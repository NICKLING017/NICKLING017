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75" tabRatio="840" activeTab="2"/>
  </bookViews>
  <sheets>
    <sheet name="圣遗物" sheetId="5" r:id="rId1"/>
    <sheet name="更新" sheetId="24" r:id="rId2"/>
    <sheet name="图示" sheetId="28" r:id="rId3"/>
    <sheet name="更新整理" sheetId="27" r:id="rId4"/>
    <sheet name="掉率" sheetId="14" r:id="rId5"/>
    <sheet name="原神成长线" sheetId="15" r:id="rId6"/>
    <sheet name="经验" sheetId="25" r:id="rId7"/>
    <sheet name="升级消耗" sheetId="11" r:id="rId8"/>
    <sheet name="角色" sheetId="23" r:id="rId9"/>
    <sheet name="武器" sheetId="7" r:id="rId10"/>
    <sheet name="元素精通" sheetId="18" r:id="rId11"/>
    <sheet name="八重神子" sheetId="34" r:id="rId12"/>
    <sheet name="阿贝多" sheetId="26" r:id="rId13"/>
    <sheet name="皇女" sheetId="32" r:id="rId14"/>
    <sheet name="草神" sheetId="19" r:id="rId15"/>
    <sheet name="雷神" sheetId="36" r:id="rId16"/>
    <sheet name="原神" sheetId="4" r:id="rId17"/>
    <sheet name="夜兰" sheetId="6" r:id="rId18"/>
    <sheet name="行秋" sheetId="8" r:id="rId19"/>
    <sheet name="万叶" sheetId="9" r:id="rId20"/>
    <sheet name="其他测算" sheetId="10" r:id="rId21"/>
    <sheet name="胡桃" sheetId="16" r:id="rId22"/>
    <sheet name="优菈" sheetId="29" r:id="rId23"/>
    <sheet name="原神元素反应分析" sheetId="17" r:id="rId24"/>
    <sheet name="久岐忍" sheetId="20" r:id="rId25"/>
    <sheet name="伤害计算" sheetId="21" r:id="rId26"/>
    <sheet name="宵宫" sheetId="22" r:id="rId27"/>
    <sheet name="谱子" sheetId="30" r:id="rId28"/>
    <sheet name="汇总" sheetId="31" r:id="rId29"/>
    <sheet name="Sheet1" sheetId="33" r:id="rId30"/>
    <sheet name="成就" sheetId="37" r:id="rId31"/>
  </sheets>
  <definedNames>
    <definedName name="_xlnm._FilterDatabase" localSheetId="1" hidden="1">更新!$A$1:$F$41</definedName>
    <definedName name="_xlnm._FilterDatabase" localSheetId="28" hidden="1">汇总!$A$1:$O$65</definedName>
  </definedNames>
  <calcPr calcId="144525"/>
</workbook>
</file>

<file path=xl/sharedStrings.xml><?xml version="1.0" encoding="utf-8"?>
<sst xmlns="http://schemas.openxmlformats.org/spreadsheetml/2006/main" count="2616" uniqueCount="1261">
  <si>
    <t>圣遗物</t>
  </si>
  <si>
    <t>主词缀</t>
  </si>
  <si>
    <t>副词缀</t>
  </si>
  <si>
    <t>副词缀-强化</t>
  </si>
  <si>
    <t>满强度圣遗物选择</t>
  </si>
  <si>
    <t>主词条</t>
  </si>
  <si>
    <t>副词条</t>
  </si>
  <si>
    <t>上限9</t>
  </si>
  <si>
    <t>暴击率</t>
  </si>
  <si>
    <t>属性</t>
  </si>
  <si>
    <t>数值</t>
  </si>
  <si>
    <t>暴击伤害</t>
  </si>
  <si>
    <t>元素精通</t>
  </si>
  <si>
    <t>生命值</t>
  </si>
  <si>
    <t>暴击</t>
  </si>
  <si>
    <t>爆伤</t>
  </si>
  <si>
    <t>攻击力</t>
  </si>
  <si>
    <t>生之花</t>
  </si>
  <si>
    <t>生命值固定值</t>
  </si>
  <si>
    <t>死之羽</t>
  </si>
  <si>
    <t>攻击力固定值</t>
  </si>
  <si>
    <t>元素充能</t>
  </si>
  <si>
    <t>时之沙</t>
  </si>
  <si>
    <t>防御力</t>
  </si>
  <si>
    <t>空之杯</t>
  </si>
  <si>
    <t>火元素伤害</t>
  </si>
  <si>
    <t>理之冠</t>
  </si>
  <si>
    <t>元素伤害</t>
  </si>
  <si>
    <t>物理伤害</t>
  </si>
  <si>
    <t>胡桃+护摩</t>
  </si>
  <si>
    <t>人物基础</t>
  </si>
  <si>
    <t>人物基础暴击</t>
  </si>
  <si>
    <t>人物基础暴击伤害</t>
  </si>
  <si>
    <t>人物基础火元素伤害加成</t>
  </si>
  <si>
    <t>基础</t>
  </si>
  <si>
    <t>单位</t>
  </si>
  <si>
    <t>价值</t>
  </si>
  <si>
    <t>人物基础攻击</t>
  </si>
  <si>
    <t>暴击初始</t>
  </si>
  <si>
    <t>人物基础生命值上限</t>
  </si>
  <si>
    <t>爆伤初始</t>
  </si>
  <si>
    <t>武器</t>
  </si>
  <si>
    <t>护摩生命</t>
  </si>
  <si>
    <t>狼末基础攻击</t>
  </si>
  <si>
    <t>护摩爆伤</t>
  </si>
  <si>
    <t>攻击力加成</t>
  </si>
  <si>
    <t>护摩攻击提升</t>
  </si>
  <si>
    <t>攻击提高</t>
  </si>
  <si>
    <t>护摩50%以下攻击提升</t>
  </si>
  <si>
    <t>血量低于30%敌人攻击提高</t>
  </si>
  <si>
    <t>护摩最终攻击提升</t>
  </si>
  <si>
    <t>提供的攻击力</t>
  </si>
  <si>
    <t>圣遗物套装</t>
  </si>
  <si>
    <t>二件套火元素伤害加成</t>
  </si>
  <si>
    <t>圣遗物属性</t>
  </si>
  <si>
    <t>三星武器</t>
  </si>
  <si>
    <t>四星武器</t>
  </si>
  <si>
    <t>生命值额外</t>
  </si>
  <si>
    <t>圣遗物攻击</t>
  </si>
  <si>
    <t>攻击</t>
  </si>
  <si>
    <t>额外</t>
  </si>
  <si>
    <t>dps</t>
  </si>
  <si>
    <t>最终属性计算</t>
  </si>
  <si>
    <t>最终暴击率</t>
  </si>
  <si>
    <t>差距倍率</t>
  </si>
  <si>
    <t>最终暴击伤害</t>
  </si>
  <si>
    <t>最终攻击白值</t>
  </si>
  <si>
    <t>最终生命</t>
  </si>
  <si>
    <t>最终攻击</t>
  </si>
  <si>
    <t>最终火元素伤害加成</t>
  </si>
  <si>
    <t>E技能</t>
  </si>
  <si>
    <t>开E伤害提升</t>
  </si>
  <si>
    <t>开E后攻击</t>
  </si>
  <si>
    <t>普攻1段</t>
  </si>
  <si>
    <t>普攻2段</t>
  </si>
  <si>
    <t>雪梅香伤害（跳/4s）</t>
  </si>
  <si>
    <t>普攻3段</t>
  </si>
  <si>
    <t>一段伤害</t>
  </si>
  <si>
    <t>普攻4段</t>
  </si>
  <si>
    <t>重击伤害</t>
  </si>
  <si>
    <t>E1段</t>
  </si>
  <si>
    <t>胡桃的爆发期</t>
  </si>
  <si>
    <t>开E持续9s，认为9段重击。三跳雪梅香</t>
  </si>
  <si>
    <t>E2段</t>
  </si>
  <si>
    <t>持续时间</t>
  </si>
  <si>
    <t>E3段</t>
  </si>
  <si>
    <t>伤害dps（8s的dps)</t>
  </si>
  <si>
    <t>开大</t>
  </si>
  <si>
    <t>2s</t>
  </si>
  <si>
    <t>最终期望伤害dps</t>
  </si>
  <si>
    <t>大招斩击</t>
  </si>
  <si>
    <t>第一套打完</t>
  </si>
  <si>
    <t>6s</t>
  </si>
  <si>
    <t>胡桃的疲软期</t>
  </si>
  <si>
    <t>大招持续</t>
  </si>
  <si>
    <t>第二套</t>
  </si>
  <si>
    <t>没有E的时间</t>
  </si>
  <si>
    <t>大招持续命中次数</t>
  </si>
  <si>
    <t>此时伤害dps</t>
  </si>
  <si>
    <t>大招爆裂</t>
  </si>
  <si>
    <t>大招附魔持续</t>
  </si>
  <si>
    <t>大招冷却时间</t>
  </si>
  <si>
    <t>用时</t>
  </si>
  <si>
    <t>秒均倍率</t>
  </si>
  <si>
    <t>时间</t>
  </si>
  <si>
    <t>四下平A时间</t>
  </si>
  <si>
    <t>最终伤害</t>
  </si>
  <si>
    <t>综合最终期望伤害dps</t>
  </si>
  <si>
    <t>开大招时间</t>
  </si>
  <si>
    <t>1s打完大招</t>
  </si>
  <si>
    <t>A-E-A-E-A-E</t>
  </si>
  <si>
    <t>一套普攻</t>
  </si>
  <si>
    <t>如果放大</t>
  </si>
  <si>
    <t>Q放大伤害</t>
  </si>
  <si>
    <t>最终伤害期望</t>
  </si>
  <si>
    <t>总时间</t>
  </si>
  <si>
    <t>总伤害dps倍率</t>
  </si>
  <si>
    <t>总伤害dps</t>
  </si>
  <si>
    <t>版本</t>
  </si>
  <si>
    <t>内容</t>
  </si>
  <si>
    <t>内容总结</t>
  </si>
  <si>
    <t>UP角色1</t>
  </si>
  <si>
    <t>UP角色2</t>
  </si>
  <si>
    <t>1.0</t>
  </si>
  <si>
    <t>2020/09/28 12:00:00 ~ 2020/10/18 17:59:59</t>
  </si>
  <si>
    <t>温迪</t>
  </si>
  <si>
    <t xml:space="preserve">2020/10/20 18:00:00 ~ 2020/11/10 14:59:59 </t>
  </si>
  <si>
    <t>可莉</t>
  </si>
  <si>
    <t>1.1</t>
  </si>
  <si>
    <t>1.1版本更新后 ~ 2020/12/01 15:59:59</t>
  </si>
  <si>
    <r>
      <rPr>
        <sz val="11"/>
        <color rgb="FFFF0000"/>
        <rFont val="微软雅黑"/>
        <charset val="134"/>
      </rPr>
      <t>主线——第一章·第三幕「迫近的客星」</t>
    </r>
    <r>
      <rPr>
        <sz val="11"/>
        <color theme="1"/>
        <rFont val="微软雅黑"/>
        <charset val="134"/>
      </rPr>
      <t xml:space="preserve">
新UP角色及传说任务
城市声望系统、图鉴系统、探索度系统、角色图鉴系统</t>
    </r>
  </si>
  <si>
    <t>主线</t>
  </si>
  <si>
    <t>达达利亚</t>
  </si>
  <si>
    <t>2020/12/01 18:00:00 ~ 2020/12/22 14:59:59</t>
  </si>
  <si>
    <t>钟离</t>
  </si>
  <si>
    <t>1.2</t>
  </si>
  <si>
    <t>1.2版本更新后 ~ 2021/01/12 15:59:59</t>
  </si>
  <si>
    <t>新地图——龙脊雪山</t>
  </si>
  <si>
    <t>地图</t>
  </si>
  <si>
    <t>阿贝多</t>
  </si>
  <si>
    <t>2021/01/12 18:00:00 ~ 2021/02/02 14:59:59</t>
  </si>
  <si>
    <t>甘雨</t>
  </si>
  <si>
    <t>1.3</t>
  </si>
  <si>
    <t>1.3版本更新后 ~ 2021/02/17 15:59:59</t>
  </si>
  <si>
    <t>大活动——海灯节（春节活动，包含全套剧情+语音）</t>
  </si>
  <si>
    <t>活动</t>
  </si>
  <si>
    <t>魈</t>
  </si>
  <si>
    <t>2021/02/17 18:00:00 ~ 2021/03/02 15:59:59</t>
  </si>
  <si>
    <t>刻晴</t>
  </si>
  <si>
    <t>2021/03/02 18:00:00 ~ 2021/03/16 14:59:59</t>
  </si>
  <si>
    <t>胡桃</t>
  </si>
  <si>
    <t>1.4</t>
  </si>
  <si>
    <t>1.4版本更新后 ~ 2021/04/06 15:59:59</t>
  </si>
  <si>
    <r>
      <rPr>
        <sz val="11"/>
        <color rgb="FFFF0000"/>
        <rFont val="微软雅黑"/>
        <charset val="134"/>
      </rPr>
      <t>主线——第一章·第四幕「我们终将重逢」</t>
    </r>
    <r>
      <rPr>
        <sz val="11"/>
        <color theme="1"/>
        <rFont val="微软雅黑"/>
        <charset val="134"/>
      </rPr>
      <t xml:space="preserve">
活动——风花的邀约
系统——邀约任务</t>
    </r>
  </si>
  <si>
    <t>温迪（2）</t>
  </si>
  <si>
    <t>2021/04/06 18:00:00 ~ 2021/04/27 14:59:59</t>
  </si>
  <si>
    <t>达达利亚（2）</t>
  </si>
  <si>
    <t>1.5</t>
  </si>
  <si>
    <t>1.5版本更新后 ~ 2021/05/18 17:59:59</t>
  </si>
  <si>
    <t>系统——尘歌壶
钟离传说任务——古闻之章·第二幕「匪石」(解锁周本，若陀龙王）
新邀约任务（迪奥娜、诺艾尔）
新秘境（优菈、钟离圣遗物）
新周本+周本前3次体力减半</t>
  </si>
  <si>
    <t>新系统</t>
  </si>
  <si>
    <t>钟离（2）</t>
  </si>
  <si>
    <t>2021/05/18 18:00:00 ~ 2021/06/08 14:59:59</t>
  </si>
  <si>
    <t>优菈</t>
  </si>
  <si>
    <t>1.6</t>
  </si>
  <si>
    <t>1.6版本更新后 ~ 2021/06/29 17:59:59</t>
  </si>
  <si>
    <t>新地图、活动——海岛（限时开放）
衣装系统（皮肤）</t>
  </si>
  <si>
    <t>可莉（2）</t>
  </si>
  <si>
    <t>2021/06/29 18:00:00 ~ 2021/07/20 14:59:59</t>
  </si>
  <si>
    <t>主线——第二章·序幕：「振袖秋风问红叶」</t>
  </si>
  <si>
    <t>万叶</t>
  </si>
  <si>
    <t>2.0</t>
  </si>
  <si>
    <t>2.0版本更新后 ~ 2021/08/10 17:59:59</t>
  </si>
  <si>
    <t>新地区——稻妻
主线——第二章·第一幕「不动鸣神，恒常乐土」
主线——第二章·第二幕「无念无想，泡影断灭」
新秘境——追忆、绝缘（宵宫、雷神）
功能——尘歌壶新增种植
武器UP池增加定轨
功能——圣遗物三合一</t>
  </si>
  <si>
    <t>主线、地图（大版本）</t>
  </si>
  <si>
    <t>神里凌华</t>
  </si>
  <si>
    <t>2021/08/10 18:00:00 ~ 2021/08/31 14:59:59</t>
  </si>
  <si>
    <t>宵宫</t>
  </si>
  <si>
    <t>2.1</t>
  </si>
  <si>
    <t>2.1版本更新后 ~ 2021/09/21 17:59:59</t>
  </si>
  <si>
    <t>主线——第二章·第三幕「千手百眼，天下人间」
秘境——女士
稻妻地区新岛屿——「清籁岛」、「海祇岛」
新功能——钓鱼</t>
  </si>
  <si>
    <t>主线、地图</t>
  </si>
  <si>
    <t>雷电将军</t>
  </si>
  <si>
    <t>2021/09/21 18:00:00 ~ 2021/10/12 14:59:59</t>
  </si>
  <si>
    <t>珊瑚宫心海</t>
  </si>
  <si>
    <t>2.2</t>
  </si>
  <si>
    <t>2.2版本更新后 ~ 2021/11/02 17:59:59</t>
  </si>
  <si>
    <t>稻妻地区全新岛屿——「鹤观」
新邀约——托马</t>
  </si>
  <si>
    <t>达达利亚（3）</t>
  </si>
  <si>
    <t>2021/11/02 18:00:00 ~ 2021/11/23 14:59:59</t>
  </si>
  <si>
    <t>胡桃（2）</t>
  </si>
  <si>
    <t>2.3</t>
  </si>
  <si>
    <t>2.3版本更新后 ~ 2021/12/14 18:00:00</t>
  </si>
  <si>
    <t>新活动——雪山二期
新秘境——华馆、海染（一斗、心海）
功能——「四方八方之网」（抓动物）
新邀约（五郎、北斗）</t>
  </si>
  <si>
    <t>优菈（2）</t>
  </si>
  <si>
    <t>阿贝多（2）</t>
  </si>
  <si>
    <t>2021/12/14 18:00:00 ~ 2022/01/04 14:59:59</t>
  </si>
  <si>
    <t>荒泷一斗</t>
  </si>
  <si>
    <t>2.4</t>
  </si>
  <si>
    <t>2.4版本更新后 ~ 2022/01/25 17:59</t>
  </si>
  <si>
    <t>主线——魔神任务间章·第一幕「风起鹤归」
新地图——渊下宫
活动——新年活动
新邀约——凝光、云堇</t>
  </si>
  <si>
    <t>申鹤</t>
  </si>
  <si>
    <t>魈（2）</t>
  </si>
  <si>
    <t>2022/01/25 18:00 ~ 2022/02/15 14:59</t>
  </si>
  <si>
    <t>甘雨（2）</t>
  </si>
  <si>
    <t>钟离（3）</t>
  </si>
  <si>
    <t>2.5</t>
  </si>
  <si>
    <t>2.5版本更新后 ~ 2022/03/08 17:59:59</t>
  </si>
  <si>
    <t>新周本（雷电将军）
雷电将军传说任务——天下人之章·第二幕「须臾百梦」
八重神子传说任务——仙狐之章·第一幕「鸣神御祓祈愿祭」</t>
  </si>
  <si>
    <t>八重神子</t>
  </si>
  <si>
    <t>2022/03/08 18:00 ~ 2022/03/29 14:59</t>
  </si>
  <si>
    <t>珊瑚宫心海（2）</t>
  </si>
  <si>
    <t>雷电将军（2）</t>
  </si>
  <si>
    <t>2.6</t>
  </si>
  <si>
    <t>2022/03/30 11:00 ~ 2022/04/19 18:00</t>
  </si>
  <si>
    <t>主线——魔神任务第二章·第四幕「回响渊底的安魂曲」
新地图——层岩巨渊
新圣遗物——辰砂往生录、来歆余响</t>
  </si>
  <si>
    <t>神里凌人</t>
  </si>
  <si>
    <t>温迪（3）</t>
  </si>
  <si>
    <t>2022/04/19 18:00 ~ 2022/05/31 05:59</t>
  </si>
  <si>
    <t>神里凌华（2）</t>
  </si>
  <si>
    <t>2.7</t>
  </si>
  <si>
    <t>2022/05/31 11:00 ~ 2022/06/21 17:59</t>
  </si>
  <si>
    <t>主线——魔神任务间章·第二幕「危途疑踪」
新邀约——久岐忍</t>
  </si>
  <si>
    <t>夜兰</t>
  </si>
  <si>
    <t>魈（3）</t>
  </si>
  <si>
    <t>2022/6/21 18:00:00 ~ 2022/7/12 14:59:59</t>
  </si>
  <si>
    <t>荒泷一斗（2）</t>
  </si>
  <si>
    <t>2.8</t>
  </si>
  <si>
    <t>2022/07/13 11:00 ~ 2022/08/02 17:59</t>
  </si>
  <si>
    <t>限时区域、活动——「金苹果群岛」
新外观——菲谢尔、迪卢克
枫原万叶传说任务——枫红之章·第一幕「陌野不识故人」
新邀约——鹿野苑平藏</t>
  </si>
  <si>
    <t>万叶（2）</t>
  </si>
  <si>
    <t>可莉（3）</t>
  </si>
  <si>
    <t>2022/08/02 18:00 ~ 2022/08/23 14:59</t>
  </si>
  <si>
    <t>宵宫（2）</t>
  </si>
  <si>
    <t>3.0</t>
  </si>
  <si>
    <t>2022/08/24 11:00 ~ 2022/09/09 17:59</t>
  </si>
  <si>
    <t>主线——第三章·第一幕「穿越烟帷与暗林」
主线——第三章·第二幕「千朵玫瑰带来的黎明」
新地图——须弥</t>
  </si>
  <si>
    <t>地图（大版本）</t>
  </si>
  <si>
    <t>提纳里</t>
  </si>
  <si>
    <t>钟离（4）</t>
  </si>
  <si>
    <t>2022/09/09 18:00 ~ 2022/09/27 14:59</t>
  </si>
  <si>
    <t>甘雨（3）</t>
  </si>
  <si>
    <t>珊瑚宫心海（3）</t>
  </si>
  <si>
    <t>3.1</t>
  </si>
  <si>
    <t>2022/09/28 11:00 ~ 2022/10/14 17:59</t>
  </si>
  <si>
    <t>主线——第三章·第三幕「迷梦与空幻与欺骗」
主线——第三章·第四幕「赤土之王与三朝圣者」
新地图——沙漠</t>
  </si>
  <si>
    <t>温迪（4）</t>
  </si>
  <si>
    <t>雷电将军（3）</t>
  </si>
  <si>
    <t>2022/10/14 18:00 ~ 2022/11/01 14:59</t>
  </si>
  <si>
    <t>妮露</t>
  </si>
  <si>
    <t>阿贝多（3）</t>
  </si>
  <si>
    <t>3.2</t>
  </si>
  <si>
    <t>2022/11/02 11:00 ~ 2022/11/18 17:59</t>
  </si>
  <si>
    <t>主线——第三章·第五幕「虚空鼓动，劫火高扬」
新周本——散兵</t>
  </si>
  <si>
    <t>纳西妲</t>
  </si>
  <si>
    <t>宵宫（3）</t>
  </si>
  <si>
    <t>2022/11/18 18:00 ~ 2022/12/06 14:59</t>
  </si>
  <si>
    <t>达达利亚（4）</t>
  </si>
  <si>
    <t>八重神子（2）</t>
  </si>
  <si>
    <t>3.3</t>
  </si>
  <si>
    <t>系统</t>
  </si>
  <si>
    <t>限时地区</t>
  </si>
  <si>
    <t>新UP角色</t>
  </si>
  <si>
    <t>原有角色</t>
  </si>
  <si>
    <t>温迪、可莉</t>
  </si>
  <si>
    <t>第一章·第三幕「迫近的客星」</t>
  </si>
  <si>
    <t>达达利亚、钟离</t>
  </si>
  <si>
    <t>龙脊雪山</t>
  </si>
  <si>
    <t>阿贝多、甘雨</t>
  </si>
  <si>
    <t>海灯节</t>
  </si>
  <si>
    <t>魈、胡桃</t>
  </si>
  <si>
    <t>第一章·第四幕「我们终将重逢」</t>
  </si>
  <si>
    <t>温迪、达达利亚</t>
  </si>
  <si>
    <t>尘歌壶</t>
  </si>
  <si>
    <t>第二章·序幕：「振袖秋风问红叶」</t>
  </si>
  <si>
    <t>金苹果群岛</t>
  </si>
  <si>
    <t>第二章·第一幕「不动鸣神，恒常乐土」
第二章·第二幕「无念无想，泡影断灭」</t>
  </si>
  <si>
    <t>稻妻（地区）</t>
  </si>
  <si>
    <t>神里凌华、宵宫</t>
  </si>
  <si>
    <t>第二章·第三幕「千手百眼，天下人间」</t>
  </si>
  <si>
    <t>钓鱼</t>
  </si>
  <si>
    <t>清籁岛、海祇岛</t>
  </si>
  <si>
    <t>雷电将军、珊瑚宫心海</t>
  </si>
  <si>
    <t>鹤观</t>
  </si>
  <si>
    <t>达达利亚、胡桃</t>
  </si>
  <si>
    <t>捕捉小动物</t>
  </si>
  <si>
    <t>优菈、阿贝多</t>
  </si>
  <si>
    <t>间章·第一幕「风起鹤归」</t>
  </si>
  <si>
    <t>渊下宫</t>
  </si>
  <si>
    <t>魈、甘雨、钟离</t>
  </si>
  <si>
    <t>三界路飨祭</t>
  </si>
  <si>
    <t>珊瑚宫心海、雷电将军</t>
  </si>
  <si>
    <t>第二章·第四幕「回响渊底的安魂曲」</t>
  </si>
  <si>
    <t>层岩巨渊</t>
  </si>
  <si>
    <t>温迪、神里凌华</t>
  </si>
  <si>
    <t>间章·第二幕「危途疑踪」</t>
  </si>
  <si>
    <t>魈、荒泷一斗</t>
  </si>
  <si>
    <t>万叶、可莉、宵宫</t>
  </si>
  <si>
    <t>第三章·第一幕「穿越烟帷与暗林」
第三章·第二幕「千朵玫瑰带来的黎明」</t>
  </si>
  <si>
    <t>须弥（地区）</t>
  </si>
  <si>
    <t>钟离、甘雨、珊瑚宫心海</t>
  </si>
  <si>
    <t>第三章·第三幕「迷梦与空幻与欺骗」
第三章·第四幕「赤土之王与三朝圣者」</t>
  </si>
  <si>
    <t>沙漠</t>
  </si>
  <si>
    <t>温迪、雷电将军、阿贝多</t>
  </si>
  <si>
    <t>第三章·第五幕「虚空鼓动，劫火高扬」</t>
  </si>
  <si>
    <t>宵宫、达达利亚、八重神子</t>
  </si>
  <si>
    <t>天赋</t>
  </si>
  <si>
    <t>1级天赋书</t>
  </si>
  <si>
    <t>2级天赋书</t>
  </si>
  <si>
    <t>3级天赋书</t>
  </si>
  <si>
    <t>每次合成10%概率翻倍</t>
  </si>
  <si>
    <t>副本等级</t>
  </si>
  <si>
    <t>avg</t>
  </si>
  <si>
    <t>range</t>
  </si>
  <si>
    <t>1级期望</t>
  </si>
  <si>
    <t>2级期望</t>
  </si>
  <si>
    <t>3级期望</t>
  </si>
  <si>
    <t>总期望</t>
  </si>
  <si>
    <t>成长</t>
  </si>
  <si>
    <t>最终期望</t>
  </si>
  <si>
    <t>3~4</t>
  </si>
  <si>
    <t>2~3</t>
  </si>
  <si>
    <t>1~2</t>
  </si>
  <si>
    <t>0~3</t>
  </si>
  <si>
    <t>天赋书等级</t>
  </si>
  <si>
    <t>权数</t>
  </si>
  <si>
    <t>拟合</t>
  </si>
  <si>
    <t>等价权数</t>
  </si>
  <si>
    <t>天赋书数量</t>
  </si>
  <si>
    <t>概率</t>
  </si>
  <si>
    <t>武器素材</t>
  </si>
  <si>
    <t>1级突破素材</t>
  </si>
  <si>
    <t>2级突破素材</t>
  </si>
  <si>
    <t>3级突破素材</t>
  </si>
  <si>
    <t>4级突破素材</t>
  </si>
  <si>
    <t>平均数</t>
  </si>
  <si>
    <t>范围</t>
  </si>
  <si>
    <t>4级期望</t>
  </si>
  <si>
    <t>倍率</t>
  </si>
  <si>
    <t>4~6</t>
  </si>
  <si>
    <t>0~2</t>
  </si>
  <si>
    <t>1~4</t>
  </si>
  <si>
    <t>10%概率获得2倍</t>
  </si>
  <si>
    <t>25%概率返还1/3</t>
  </si>
  <si>
    <t>所在等阶</t>
  </si>
  <si>
    <t>所需经验</t>
  </si>
  <si>
    <t>阅历差值</t>
  </si>
  <si>
    <t>总阅历</t>
  </si>
  <si>
    <t>理论升级时间（天）</t>
  </si>
  <si>
    <t>理论总时间</t>
  </si>
  <si>
    <t>世界等级</t>
  </si>
  <si>
    <t>进度</t>
  </si>
  <si>
    <t>主线、传说任务</t>
  </si>
  <si>
    <t>功能</t>
  </si>
  <si>
    <t>消耗体力的功能解锁</t>
  </si>
  <si>
    <t>时间节点</t>
  </si>
  <si>
    <t>冒险等阶</t>
  </si>
  <si>
    <t>提升方式</t>
  </si>
  <si>
    <t>北风狼王</t>
  </si>
  <si>
    <t>精英BOSS等级</t>
  </si>
  <si>
    <t>怪物等级</t>
  </si>
  <si>
    <t>角色等级上限</t>
  </si>
  <si>
    <t>人物突破等级</t>
  </si>
  <si>
    <t>武器等级上限</t>
  </si>
  <si>
    <t>武器突破等级</t>
  </si>
  <si>
    <t>天赋等级上限</t>
  </si>
  <si>
    <t>其它</t>
  </si>
  <si>
    <t>天赋副本</t>
  </si>
  <si>
    <t>武器副本</t>
  </si>
  <si>
    <t>圣遗物副本</t>
  </si>
  <si>
    <t>不同副本的等级区分数目不同</t>
  </si>
  <si>
    <t>自动</t>
  </si>
  <si>
    <t>1~10</t>
  </si>
  <si>
    <t>11~21</t>
  </si>
  <si>
    <t>解锁固有天赋1</t>
  </si>
  <si>
    <t>(22级开放)</t>
  </si>
  <si>
    <t>任务</t>
  </si>
  <si>
    <t>21~40</t>
  </si>
  <si>
    <t>41~50</t>
  </si>
  <si>
    <t>解锁固有天赋2</t>
  </si>
  <si>
    <t>50%概率出紫</t>
  </si>
  <si>
    <t>51~60</t>
  </si>
  <si>
    <t>一定出紫</t>
  </si>
  <si>
    <t>61~70</t>
  </si>
  <si>
    <t>50%概率出金</t>
  </si>
  <si>
    <t>做完主线，到这里</t>
  </si>
  <si>
    <t>凯亚、安柏、丽莎传说任务+各种支线</t>
  </si>
  <si>
    <t>地脉之花</t>
  </si>
  <si>
    <t>71~80</t>
  </si>
  <si>
    <t>一定出金</t>
  </si>
  <si>
    <t>81~89</t>
  </si>
  <si>
    <t>主线 序章·第二幕</t>
  </si>
  <si>
    <t>90~91</t>
  </si>
  <si>
    <t>香菱传说任务</t>
  </si>
  <si>
    <t>日常委托</t>
  </si>
  <si>
    <t>人物突破、武器突破</t>
  </si>
  <si>
    <t>多人游戏</t>
  </si>
  <si>
    <t>主线 序章·第三幕</t>
  </si>
  <si>
    <t>纪行、深境螺旋</t>
  </si>
  <si>
    <t>雷泽传说任务</t>
  </si>
  <si>
    <t>周本（北风狼王）</t>
  </si>
  <si>
    <t>主线 第一章·第一幕（璃月）</t>
  </si>
  <si>
    <t>世界等级提升</t>
  </si>
  <si>
    <t>风魔龙·周本</t>
  </si>
  <si>
    <t>行秋传说任务</t>
  </si>
  <si>
    <t>主线 第一章·第二幕（璃月）</t>
  </si>
  <si>
    <t>主线 第一章·第三幕（璃月）</t>
  </si>
  <si>
    <t>备注1</t>
  </si>
  <si>
    <t>备注2</t>
  </si>
  <si>
    <t>冒险等级限制</t>
  </si>
  <si>
    <t>性质</t>
  </si>
  <si>
    <t>单经验</t>
  </si>
  <si>
    <t>个数</t>
  </si>
  <si>
    <t>总经验</t>
  </si>
  <si>
    <t>经验汇总</t>
  </si>
  <si>
    <t>天数</t>
  </si>
  <si>
    <t>经验</t>
  </si>
  <si>
    <t>等级</t>
  </si>
  <si>
    <t>每日委托</t>
  </si>
  <si>
    <t>每日</t>
  </si>
  <si>
    <t>一次性</t>
  </si>
  <si>
    <t>每日委托领奖</t>
  </si>
  <si>
    <t>体力</t>
  </si>
  <si>
    <t>风神瞳1</t>
  </si>
  <si>
    <t>风神瞳2</t>
  </si>
  <si>
    <t>风神瞳3</t>
  </si>
  <si>
    <t>风神瞳4</t>
  </si>
  <si>
    <t>风神瞳5</t>
  </si>
  <si>
    <t>风神瞳6</t>
  </si>
  <si>
    <t>风神瞳7</t>
  </si>
  <si>
    <t>风神瞳8</t>
  </si>
  <si>
    <t>风神瞳9</t>
  </si>
  <si>
    <t>岩神瞳1</t>
  </si>
  <si>
    <t>岩神瞳2</t>
  </si>
  <si>
    <t>岩神瞳3</t>
  </si>
  <si>
    <t>岩神瞳4</t>
  </si>
  <si>
    <t>岩神瞳5</t>
  </si>
  <si>
    <t>岩神瞳6</t>
  </si>
  <si>
    <t>岩神瞳7</t>
  </si>
  <si>
    <t>岩神瞳8</t>
  </si>
  <si>
    <t>岩神瞳9</t>
  </si>
  <si>
    <t>冒险之证1</t>
  </si>
  <si>
    <t>冒险之证2</t>
  </si>
  <si>
    <t>冒险之证3</t>
  </si>
  <si>
    <t>冒险之证4</t>
  </si>
  <si>
    <t>冒险之证5</t>
  </si>
  <si>
    <t>人物40级</t>
  </si>
  <si>
    <t>冒险等阶20</t>
  </si>
  <si>
    <t>冒险之证6</t>
  </si>
  <si>
    <t>1武器3阶</t>
  </si>
  <si>
    <t>冒险等阶30</t>
  </si>
  <si>
    <t>冒险之证7</t>
  </si>
  <si>
    <t>1武器70级</t>
  </si>
  <si>
    <t>冒险等阶35</t>
  </si>
  <si>
    <t>冒险之证8</t>
  </si>
  <si>
    <t>1武器5阶</t>
  </si>
  <si>
    <t>冒险等阶40</t>
  </si>
  <si>
    <t>冒险之证9</t>
  </si>
  <si>
    <t>1武器80级</t>
  </si>
  <si>
    <t>主线-序章 第一幕</t>
  </si>
  <si>
    <t>主线-序章 第二幕</t>
  </si>
  <si>
    <t>主线-序章 第三幕</t>
  </si>
  <si>
    <t>冒险等级18级</t>
  </si>
  <si>
    <t>主线-第一章 第一幕</t>
  </si>
  <si>
    <t>冒险等阶23</t>
  </si>
  <si>
    <t>主线-第一章 第二幕</t>
  </si>
  <si>
    <t>冒险等阶29（2.0调整为25）</t>
  </si>
  <si>
    <t>主线-第一章 第三幕</t>
  </si>
  <si>
    <t>冒险等阶35（1.1版本更新）（2.0调整为28级）</t>
  </si>
  <si>
    <t>世界任务</t>
  </si>
  <si>
    <t>挑战副本</t>
  </si>
  <si>
    <t>锚点</t>
  </si>
  <si>
    <t>七天神像</t>
  </si>
  <si>
    <t>普通的宝箱</t>
  </si>
  <si>
    <t>精致的宝箱</t>
  </si>
  <si>
    <t>珍贵的宝箱</t>
  </si>
  <si>
    <t>华丽的宝箱</t>
  </si>
  <si>
    <t>传说任务</t>
  </si>
  <si>
    <t>凯亚</t>
  </si>
  <si>
    <t>孔雀羽之章</t>
  </si>
  <si>
    <t>安柏</t>
  </si>
  <si>
    <t>小兔之章</t>
  </si>
  <si>
    <t>丽莎</t>
  </si>
  <si>
    <t>沙漏之章（冒险等级15级）</t>
  </si>
  <si>
    <t>迪卢克</t>
  </si>
  <si>
    <t>夜枭之章 序章·第三幕「巨龙与自由之歌」</t>
  </si>
  <si>
    <t>雷泽</t>
  </si>
  <si>
    <t>小狼之章 冒险等级21</t>
  </si>
  <si>
    <t>香菱</t>
  </si>
  <si>
    <t>长杓之章 冒险等级12</t>
  </si>
  <si>
    <t>行秋</t>
  </si>
  <si>
    <t>锦织之章 冒险等级26</t>
  </si>
  <si>
    <t>专属掉落数</t>
  </si>
  <si>
    <t>刷本次数</t>
  </si>
  <si>
    <t>总天数</t>
  </si>
  <si>
    <t>人物等级</t>
  </si>
  <si>
    <t>所到等级</t>
  </si>
  <si>
    <t>消耗的经验书</t>
  </si>
  <si>
    <t>消耗占比</t>
  </si>
  <si>
    <t>上限</t>
  </si>
  <si>
    <t>突破材料等级</t>
  </si>
  <si>
    <t>数量</t>
  </si>
  <si>
    <t>总数量需求</t>
  </si>
  <si>
    <t>刷本次数（满级本）</t>
  </si>
  <si>
    <t>总数量</t>
  </si>
  <si>
    <t>副本次数</t>
  </si>
  <si>
    <t>天赋*3</t>
  </si>
  <si>
    <t>五星角色数</t>
  </si>
  <si>
    <t>五星黄数</t>
  </si>
  <si>
    <t>5星角色数</t>
  </si>
  <si>
    <t>4星角色数</t>
  </si>
  <si>
    <t>总数</t>
  </si>
  <si>
    <t>角色</t>
  </si>
  <si>
    <t>神里绫华</t>
  </si>
  <si>
    <t>赛诺</t>
  </si>
  <si>
    <t>神里绫人</t>
  </si>
  <si>
    <t>埃洛伊</t>
  </si>
  <si>
    <t>莫娜</t>
  </si>
  <si>
    <t>琴</t>
  </si>
  <si>
    <t>七七</t>
  </si>
  <si>
    <t>落霞</t>
  </si>
  <si>
    <r>
      <rPr>
        <sz val="11"/>
        <color theme="1"/>
        <rFont val="微软雅黑"/>
        <charset val="134"/>
      </rPr>
      <t>具有夕暮、流霞、朝晖三种状态，分别能使造成的伤害提升(6%/7.5%/9%/10.5%/12%)/</t>
    </r>
    <r>
      <rPr>
        <sz val="11"/>
        <color theme="1"/>
        <rFont val="Times New Roman"/>
        <charset val="134"/>
      </rPr>
      <t>‌</t>
    </r>
    <r>
      <rPr>
        <sz val="11"/>
        <color theme="1"/>
        <rFont val="微软雅黑"/>
        <charset val="134"/>
      </rPr>
      <t>(10%/12.5%/15%/17.5%/20%)/</t>
    </r>
    <r>
      <rPr>
        <sz val="11"/>
        <color theme="1"/>
        <rFont val="Times New Roman"/>
        <charset val="134"/>
      </rPr>
      <t>‌</t>
    </r>
    <r>
      <rPr>
        <sz val="11"/>
        <color theme="1"/>
        <rFont val="微软雅黑"/>
        <charset val="134"/>
      </rPr>
      <t>(14%/17.5%/21%/24.5%/28%)。攻击命中敌人后，将转换为下一种状态，每7秒至多转換一次状态。装备该武器的角色处于队伍后台时该效果依旧能触发转换。</t>
    </r>
  </si>
  <si>
    <t>基础攻击力</t>
  </si>
  <si>
    <t>元素充能效率</t>
  </si>
  <si>
    <t>突破前</t>
  </si>
  <si>
    <t>突破后</t>
  </si>
  <si>
    <t>若水</t>
  </si>
  <si>
    <t>初始</t>
  </si>
  <si>
    <t>-</t>
  </si>
  <si>
    <t>祭礼剑</t>
  </si>
  <si>
    <t>20级</t>
  </si>
  <si>
    <t>40级</t>
  </si>
  <si>
    <t>50级</t>
  </si>
  <si>
    <t>60级</t>
  </si>
  <si>
    <t>70级</t>
  </si>
  <si>
    <t>80级</t>
  </si>
  <si>
    <t>90级</t>
  </si>
  <si>
    <t>生命值提升16%/20%/24%/28%/32%。周围存在敌人时，装备该武器的角色造成的伤害都会提升20%/25%/30%/35%/40%，不论该角色处于场上或是处于队伍后台。</t>
  </si>
  <si>
    <t>元素战技造成伤害时，有40%/50%/60%/70%/80%概率重置该技能的冷却时间，该效果每30/26/22/19/16秒只能触发一次。</t>
  </si>
  <si>
    <t>千夜浮梦</t>
  </si>
  <si>
    <t>队伍中每个其他角色，都会依据元素类型与装备者相同与否，为装备者提供提升效果。若相同则元素精通提升32点；若不同则装备者元素类型的元素伤害加成提升10%。上述提升效果每种至多叠加3层。此外，队伍中装备者以外的附近角色的元素精通提升40点，多件同名武器产生的此效果可以叠加。</t>
  </si>
  <si>
    <t>元素伤害加成</t>
  </si>
  <si>
    <t>万国诸海图谱</t>
  </si>
  <si>
    <t>触发元素反应后的10秒内，获得8%/10%/12%/14%/16%元素伤害加成，该效果最多可叠加2层。</t>
  </si>
  <si>
    <r>
      <rPr>
        <b/>
        <sz val="11"/>
        <color rgb="FF9933E5"/>
        <rFont val="微软雅黑"/>
        <charset val="134"/>
      </rPr>
      <t>增幅公式为：</t>
    </r>
    <r>
      <rPr>
        <sz val="11"/>
        <color theme="1"/>
        <rFont val="微软雅黑"/>
        <charset val="134"/>
      </rPr>
      <t>y=278*x/(x+1400)（单位%）</t>
    </r>
  </si>
  <si>
    <r>
      <rPr>
        <b/>
        <sz val="11"/>
        <color rgb="FF9933E5"/>
        <rFont val="微软雅黑"/>
        <charset val="134"/>
      </rPr>
      <t>剧变公式为：</t>
    </r>
    <r>
      <rPr>
        <sz val="11"/>
        <color theme="1"/>
        <rFont val="微软雅黑"/>
        <charset val="134"/>
      </rPr>
      <t>y=667*x/(x+1400)（单位%）</t>
    </r>
  </si>
  <si>
    <t>绽放公式：4</t>
  </si>
  <si>
    <t>伤害加成</t>
  </si>
  <si>
    <t>反应加成</t>
  </si>
  <si>
    <t>草神专武收益</t>
  </si>
  <si>
    <t>增益</t>
  </si>
  <si>
    <t>万国</t>
  </si>
  <si>
    <t>证誓之明瞳</t>
  </si>
  <si>
    <t>匣里日月</t>
  </si>
  <si>
    <t>天空之卷</t>
  </si>
  <si>
    <t>基础攻击</t>
  </si>
  <si>
    <t>额外攻击</t>
  </si>
  <si>
    <t>雷元素加成</t>
  </si>
  <si>
    <t>饰金</t>
  </si>
  <si>
    <t>相同元素人数</t>
  </si>
  <si>
    <t>不同元素人数</t>
  </si>
  <si>
    <t>攻击提升</t>
  </si>
  <si>
    <t>元素精通提升</t>
  </si>
  <si>
    <t>最终攻击力</t>
  </si>
  <si>
    <t>最终元素精通</t>
  </si>
  <si>
    <t>最终元素伤害加成</t>
  </si>
  <si>
    <t>杀生樱伤害加成</t>
  </si>
  <si>
    <t>E</t>
  </si>
  <si>
    <t>3层</t>
  </si>
  <si>
    <t>R</t>
  </si>
  <si>
    <t>E期望伤害</t>
  </si>
  <si>
    <t>Q期望伤害</t>
  </si>
  <si>
    <t>华馆</t>
  </si>
  <si>
    <t>剧团</t>
  </si>
  <si>
    <t>防御头</t>
  </si>
  <si>
    <t>元素战技</t>
  </si>
  <si>
    <t>武器提供伤害</t>
  </si>
  <si>
    <t>基于防御</t>
  </si>
  <si>
    <t>基础防御力</t>
  </si>
  <si>
    <t>额外防御力</t>
  </si>
  <si>
    <t>圣遗物二件套防御</t>
  </si>
  <si>
    <t>圣遗物4件套buff防御</t>
  </si>
  <si>
    <t>元素战技伤害提升</t>
  </si>
  <si>
    <t>总防御力</t>
  </si>
  <si>
    <t>圣遗物4件套BUFF元素伤害</t>
  </si>
  <si>
    <t>岩元素加成</t>
  </si>
  <si>
    <t>总伤害</t>
  </si>
  <si>
    <t>暴击期望</t>
  </si>
  <si>
    <t>物理</t>
  </si>
  <si>
    <t>超激化</t>
  </si>
  <si>
    <t>现在</t>
  </si>
  <si>
    <t>散件</t>
  </si>
  <si>
    <t>弹弓</t>
  </si>
  <si>
    <t>弓藏</t>
  </si>
  <si>
    <t>物理伤害加成</t>
  </si>
  <si>
    <t>雷伤</t>
  </si>
  <si>
    <t>精通</t>
  </si>
  <si>
    <t>超激化提升</t>
  </si>
  <si>
    <t>剧团战技提升</t>
  </si>
  <si>
    <t>普攻系数</t>
  </si>
  <si>
    <t>E伤害</t>
  </si>
  <si>
    <t>奥兹伤害</t>
  </si>
  <si>
    <t>6命</t>
  </si>
  <si>
    <t>普攻期望伤害</t>
  </si>
  <si>
    <t>奥兹期望伤害</t>
  </si>
  <si>
    <t>E技能伤害</t>
  </si>
  <si>
    <t>超激化伤害</t>
  </si>
  <si>
    <t>反应</t>
  </si>
  <si>
    <t>元素精通、暴击爆伤均衡</t>
  </si>
  <si>
    <t>元素精通、暴击</t>
  </si>
  <si>
    <t>专武</t>
  </si>
  <si>
    <t>23暴击70爆伤</t>
  </si>
  <si>
    <t>草元素加成</t>
  </si>
  <si>
    <t>48.6暴击，2.356爆伤</t>
  </si>
  <si>
    <t>人物基础属性</t>
  </si>
  <si>
    <t>生命上限</t>
  </si>
  <si>
    <t>元素精通、草元素、暴击伤害。暴击27%，爆伤108.8%，元素精通1000.DPS=33409（非专武=26972），反应伤害=34882</t>
  </si>
  <si>
    <t>元素精通、草元素、元素精通。暴击27%，爆伤108.8%，元素精通1000.DPS=33490（非专武=27109），反应伤害=34954</t>
  </si>
  <si>
    <t>普通攻击·行相</t>
  </si>
  <si>
    <t>详细属性</t>
  </si>
  <si>
    <t>LV1</t>
  </si>
  <si>
    <t>LV2</t>
  </si>
  <si>
    <t>LV3</t>
  </si>
  <si>
    <t>LV4</t>
  </si>
  <si>
    <t>LV5</t>
  </si>
  <si>
    <t>LV6</t>
  </si>
  <si>
    <t>LV7</t>
  </si>
  <si>
    <t>LV8</t>
  </si>
  <si>
    <t>LV9</t>
  </si>
  <si>
    <t>LV10</t>
  </si>
  <si>
    <t>LV11</t>
  </si>
  <si>
    <t>LV12</t>
  </si>
  <si>
    <t>LV13</t>
  </si>
  <si>
    <t>LV14</t>
  </si>
  <si>
    <t>LV15</t>
  </si>
  <si>
    <t>二段伤害</t>
  </si>
  <si>
    <t>三段伤害</t>
  </si>
  <si>
    <t>四段伤害</t>
  </si>
  <si>
    <t>重击体力消耗</t>
  </si>
  <si>
    <t>50.0点</t>
  </si>
  <si>
    <t>下坠期间伤害</t>
  </si>
  <si>
    <t>低空/高空坠地冲击伤害</t>
  </si>
  <si>
    <t>114%/142%</t>
  </si>
  <si>
    <t>123%/153%</t>
  </si>
  <si>
    <t>132%/162%</t>
  </si>
  <si>
    <t>145%/182%</t>
  </si>
  <si>
    <t>155%/193%</t>
  </si>
  <si>
    <t>165%/206%</t>
  </si>
  <si>
    <t>180%/224%</t>
  </si>
  <si>
    <t>194%/243%</t>
  </si>
  <si>
    <t>209%/261%</t>
  </si>
  <si>
    <t>225%/281%</t>
  </si>
  <si>
    <t>240%/300%</t>
  </si>
  <si>
    <t>点按伤害</t>
  </si>
  <si>
    <t>长按伤害</t>
  </si>
  <si>
    <t>灭净三业伤害</t>
  </si>
  <si>
    <t>103.2%攻击力+206.4%元素精通</t>
  </si>
  <si>
    <t>110.9%攻击力+221.9%元素精通</t>
  </si>
  <si>
    <t>118.7%攻击力+237.4%元素精通</t>
  </si>
  <si>
    <t>129.0%攻击力+258.0%元素精通</t>
  </si>
  <si>
    <t>136.7%攻击力+273.5%元素精通</t>
  </si>
  <si>
    <t>144.5%攻击力+289.0%元素精通</t>
  </si>
  <si>
    <t>154.8%攻击力+309.6%元素精通</t>
  </si>
  <si>
    <t>165.1%攻击力+330.2%元素精通</t>
  </si>
  <si>
    <t>175.4%攻击力+350.9%元素精通</t>
  </si>
  <si>
    <t>185.8%攻击力+371.5%元素精通</t>
  </si>
  <si>
    <t>196.1%攻击力+392.2%元素精通</t>
  </si>
  <si>
    <t>206.4%攻击力+412.8%元素精通</t>
  </si>
  <si>
    <t>219.3%攻击力+438.6%元素精通</t>
  </si>
  <si>
    <t>灭净三业触发间隔</t>
  </si>
  <si>
    <t>2.5秒</t>
  </si>
  <si>
    <t>蕴种印持续时间</t>
  </si>
  <si>
    <t>25.0秒</t>
  </si>
  <si>
    <t>点按冷却时间</t>
  </si>
  <si>
    <t>5.0秒</t>
  </si>
  <si>
    <t>长按冷却时间</t>
  </si>
  <si>
    <t>6.0秒</t>
  </si>
  <si>
    <t>Q</t>
  </si>
  <si>
    <t>火：伤害提升</t>
  </si>
  <si>
    <t>1名角色14.9%</t>
  </si>
  <si>
    <t>1名角色16.0%</t>
  </si>
  <si>
    <t>1名角色17.1%</t>
  </si>
  <si>
    <t>1名角色18.6%</t>
  </si>
  <si>
    <t>1名角色19.7%</t>
  </si>
  <si>
    <t>1名角色20.8%</t>
  </si>
  <si>
    <t>1名角色22.3%</t>
  </si>
  <si>
    <t>1名角色23.8%</t>
  </si>
  <si>
    <t>1名角色25.3%</t>
  </si>
  <si>
    <t>1名角色26.8%</t>
  </si>
  <si>
    <t>1名角色28.3%</t>
  </si>
  <si>
    <t>1名角色29.8%</t>
  </si>
  <si>
    <t>1名角色31.6%</t>
  </si>
  <si>
    <t>2名角色22.3%</t>
  </si>
  <si>
    <t>2名角色24.0%</t>
  </si>
  <si>
    <t>2名角色25.7%</t>
  </si>
  <si>
    <t>2名角色27.9%</t>
  </si>
  <si>
    <t>2名角色29.6%</t>
  </si>
  <si>
    <t>2名角色31.3%</t>
  </si>
  <si>
    <t>2名角色33.5%</t>
  </si>
  <si>
    <t>2名角色35.7%</t>
  </si>
  <si>
    <t>2名角色37.9%</t>
  </si>
  <si>
    <t>2名角色40.2%</t>
  </si>
  <si>
    <t>2名角色42.4%</t>
  </si>
  <si>
    <t>2名角色44.6%</t>
  </si>
  <si>
    <t>2名角色47.4%</t>
  </si>
  <si>
    <t>雷：间隔降低</t>
  </si>
  <si>
    <t>1名角色0.25秒</t>
  </si>
  <si>
    <t>1名角色0.27秒</t>
  </si>
  <si>
    <t>1名角色0.29秒</t>
  </si>
  <si>
    <t>1名角色0.31秒</t>
  </si>
  <si>
    <t>1名角色0.33秒</t>
  </si>
  <si>
    <t>1名角色0.35秒</t>
  </si>
  <si>
    <t>1名角色0.37秒</t>
  </si>
  <si>
    <t>1名角色0.40秒</t>
  </si>
  <si>
    <t>1名角色0.42秒</t>
  </si>
  <si>
    <t>1名角色0.45秒</t>
  </si>
  <si>
    <t>1名角色0.47秒</t>
  </si>
  <si>
    <t>1名角色0.50秒</t>
  </si>
  <si>
    <t>1名角色0.53秒</t>
  </si>
  <si>
    <t>2名角色0.37秒</t>
  </si>
  <si>
    <t>2名角色0.40秒</t>
  </si>
  <si>
    <t>2名角色0.43秒</t>
  </si>
  <si>
    <t>2名角色0.47秒</t>
  </si>
  <si>
    <t>2名角色0.49秒</t>
  </si>
  <si>
    <t>2名角色0.52秒</t>
  </si>
  <si>
    <t>2名角色0.56秒</t>
  </si>
  <si>
    <t>2名角色0.60秒</t>
  </si>
  <si>
    <t>2名角色0.63秒</t>
  </si>
  <si>
    <t>2名角色0.67秒</t>
  </si>
  <si>
    <t>2名角色0.71秒</t>
  </si>
  <si>
    <t>2名角色0.74秒</t>
  </si>
  <si>
    <t>2名角色0.79秒</t>
  </si>
  <si>
    <t>水：持续时间延长</t>
  </si>
  <si>
    <t>1名角色3.34秒</t>
  </si>
  <si>
    <t>1名角色3.59秒</t>
  </si>
  <si>
    <t>1名角色3.85秒</t>
  </si>
  <si>
    <t>1名角色4.18秒</t>
  </si>
  <si>
    <t>1名角色4.43秒</t>
  </si>
  <si>
    <t>1名角色4.68秒</t>
  </si>
  <si>
    <t>1名角色5.02秒</t>
  </si>
  <si>
    <t>1名角色5.30秒</t>
  </si>
  <si>
    <t>1名角色5.68秒</t>
  </si>
  <si>
    <t>1名角色6.02秒</t>
  </si>
  <si>
    <t>1名角色6.35秒</t>
  </si>
  <si>
    <t>1名角色6.69秒</t>
  </si>
  <si>
    <t>1名角色7.11秒</t>
  </si>
  <si>
    <t>2名角色5.02秒</t>
  </si>
  <si>
    <t>2名角色5.39秒</t>
  </si>
  <si>
    <t>2名角色5.77秒</t>
  </si>
  <si>
    <t>2名角色6.27秒</t>
  </si>
  <si>
    <t>2名角色6.65秒</t>
  </si>
  <si>
    <t>2名角色7.02秒</t>
  </si>
  <si>
    <t>2名角色7.52秒</t>
  </si>
  <si>
    <t>2名角色8.03秒</t>
  </si>
  <si>
    <t>2名角色8.53秒</t>
  </si>
  <si>
    <t>2名角色9.03秒</t>
  </si>
  <si>
    <t>2名角色9.53秒</t>
  </si>
  <si>
    <t>2名角色10.03秒</t>
  </si>
  <si>
    <t>2名角色10.66秒</t>
  </si>
  <si>
    <t>基础持续时间</t>
  </si>
  <si>
    <t>15.0秒</t>
  </si>
  <si>
    <t>冷却时间</t>
  </si>
  <si>
    <t>13.5秒</t>
  </si>
  <si>
    <t>元素能量</t>
  </si>
  <si>
    <t>被动1</t>
  </si>
  <si>
    <t>依据队伍中元素精通最高的角色的元素精通数值的25%，提高领域内当前场上角色的元素精通。</t>
  </si>
  <si>
    <t>通过这种方式，至多提升250点元素精通。</t>
  </si>
  <si>
    <t>被动2</t>
  </si>
  <si>
    <r>
      <rPr>
        <sz val="11"/>
        <color theme="1"/>
        <rFont val="宋体"/>
        <charset val="134"/>
        <scheme val="minor"/>
      </rPr>
      <t>基于纳西妲元素精通超过200点的部分，每1点元素精通能使</t>
    </r>
    <r>
      <rPr>
        <sz val="11"/>
        <color rgb="FFE3BF72"/>
        <rFont val="宋体"/>
        <charset val="134"/>
        <scheme val="minor"/>
      </rPr>
      <t>所闻遍计</t>
    </r>
    <r>
      <rPr>
        <sz val="11"/>
        <color theme="1"/>
        <rFont val="宋体"/>
        <charset val="134"/>
        <scheme val="minor"/>
      </rPr>
      <t>的灭净三业造成的伤害提升0.1%，暴击率提升0.03%。</t>
    </r>
  </si>
  <si>
    <t>通过这种方式，至多使灭净三业造成的伤害提升80%，暴击率提升24%。</t>
  </si>
  <si>
    <t>精通上限</t>
  </si>
  <si>
    <t>四风</t>
  </si>
  <si>
    <t>元素加成</t>
  </si>
  <si>
    <t>总属性</t>
  </si>
  <si>
    <t>草伤害加成</t>
  </si>
  <si>
    <t>深林的记忆</t>
  </si>
  <si>
    <t>草元素抗性降低</t>
  </si>
  <si>
    <t>E等级</t>
  </si>
  <si>
    <t>伤害倍率</t>
  </si>
  <si>
    <t>E提升</t>
  </si>
  <si>
    <t>伤害</t>
  </si>
  <si>
    <t>伤害提升</t>
  </si>
  <si>
    <t>最终暴击期望</t>
  </si>
  <si>
    <t>暴击率提升</t>
  </si>
  <si>
    <t>草+雷</t>
  </si>
  <si>
    <t>激化反应</t>
  </si>
  <si>
    <t>攻击*倍率</t>
  </si>
  <si>
    <t>命座</t>
  </si>
  <si>
    <t>草+水</t>
  </si>
  <si>
    <t>绽放反应</t>
  </si>
  <si>
    <t>反应基础伤害</t>
  </si>
  <si>
    <t>最终暴击</t>
  </si>
  <si>
    <t>最终伤害提升</t>
  </si>
  <si>
    <t>伤害计算</t>
  </si>
  <si>
    <t>E暴击期望</t>
  </si>
  <si>
    <t>激化</t>
  </si>
  <si>
    <t>绽放</t>
  </si>
  <si>
    <t>激化暴击期望</t>
  </si>
  <si>
    <t>绽放暴击期望</t>
  </si>
  <si>
    <t>在用</t>
  </si>
  <si>
    <t>攻击杯</t>
  </si>
  <si>
    <t>攻击沙</t>
  </si>
  <si>
    <t>爆伤头</t>
  </si>
  <si>
    <t>XX</t>
  </si>
  <si>
    <t>鱼叉</t>
  </si>
  <si>
    <t>基础属性</t>
  </si>
  <si>
    <t>攻击基础</t>
  </si>
  <si>
    <t>攻击百分比</t>
  </si>
  <si>
    <t>雷神</t>
  </si>
  <si>
    <t>超载、超导</t>
  </si>
  <si>
    <t>九条</t>
  </si>
  <si>
    <t>雷元素伤害加成</t>
  </si>
  <si>
    <t>专武攻击力提升</t>
  </si>
  <si>
    <t>绝缘</t>
  </si>
  <si>
    <t>绝缘套提高爆发伤害</t>
  </si>
  <si>
    <t>超出100%的部分的28%</t>
  </si>
  <si>
    <t>至多80%</t>
  </si>
  <si>
    <t>协同攻击伤害</t>
  </si>
  <si>
    <t>元素爆发伤害提高</t>
  </si>
  <si>
    <t>元素爆发能量</t>
  </si>
  <si>
    <t>Q梦想一刀伤害</t>
  </si>
  <si>
    <t>梦想一刀愿力加成</t>
  </si>
  <si>
    <t>梦想一心愿力加成</t>
  </si>
  <si>
    <t>愿力层数上限</t>
  </si>
  <si>
    <t>每点元素能量</t>
  </si>
  <si>
    <t>总共需要能量</t>
  </si>
  <si>
    <t>元素爆发能量层数</t>
  </si>
  <si>
    <t>层数提供的梦想一刀伤害</t>
  </si>
  <si>
    <t>层数提供的梦想一心伤害</t>
  </si>
  <si>
    <t>平均</t>
  </si>
  <si>
    <t>元素爆发伤害提升</t>
  </si>
  <si>
    <t>最终雷元素伤害加成</t>
  </si>
  <si>
    <t>梦想一刀伤害</t>
  </si>
  <si>
    <t>梦想一心</t>
  </si>
  <si>
    <t>E伤害期望</t>
  </si>
  <si>
    <t>协同攻击伤害期望</t>
  </si>
  <si>
    <t>梦想一刀伤害期望</t>
  </si>
  <si>
    <t>梦想一心期望</t>
  </si>
  <si>
    <t>芭芭拉</t>
  </si>
  <si>
    <t>心海</t>
  </si>
  <si>
    <t>生命基础</t>
  </si>
  <si>
    <t>生命百分比</t>
  </si>
  <si>
    <t>治疗</t>
  </si>
  <si>
    <t>生明值上限</t>
  </si>
  <si>
    <t>普攻</t>
  </si>
  <si>
    <t>超导、超载</t>
  </si>
  <si>
    <t>持续</t>
  </si>
  <si>
    <t>治疗效果</t>
  </si>
  <si>
    <t>水元素伤害加成</t>
  </si>
  <si>
    <t>治疗加成</t>
  </si>
  <si>
    <t>岩元素</t>
  </si>
  <si>
    <t>融化反应加成</t>
  </si>
  <si>
    <t>技能伤害</t>
  </si>
  <si>
    <t>水元素伤害</t>
  </si>
  <si>
    <t>普通攻击伤害提升</t>
  </si>
  <si>
    <t>普攻、重击额外提升</t>
  </si>
  <si>
    <t>Q技能伤害</t>
  </si>
  <si>
    <t>地心</t>
  </si>
  <si>
    <t>DPS</t>
  </si>
  <si>
    <t>重击伤害提升</t>
  </si>
  <si>
    <t>天狐霆雷</t>
  </si>
  <si>
    <t>天星</t>
  </si>
  <si>
    <t>化海月伤害提升</t>
  </si>
  <si>
    <t>普攻伤害</t>
  </si>
  <si>
    <t>元素反应伤害</t>
  </si>
  <si>
    <t>命中治疗量</t>
  </si>
  <si>
    <t>E技能伤害提升</t>
  </si>
  <si>
    <t>普攻暴击期望伤害</t>
  </si>
  <si>
    <t>E治疗</t>
  </si>
  <si>
    <t>E技能暴击期望伤害</t>
  </si>
  <si>
    <t>每日体力</t>
  </si>
  <si>
    <t>普通攻击</t>
  </si>
  <si>
    <t>Q技能暴击期望伤害</t>
  </si>
  <si>
    <t>Q-技能伤害</t>
  </si>
  <si>
    <t>突破等级</t>
  </si>
  <si>
    <t>Q-普通攻击</t>
  </si>
  <si>
    <t>Q-E技能伤害</t>
  </si>
  <si>
    <t>总计</t>
  </si>
  <si>
    <t>总1级个数</t>
  </si>
  <si>
    <t>最终属性</t>
  </si>
  <si>
    <t>理论计算</t>
  </si>
  <si>
    <t>若水。+16%生命值上限，+20%伤害</t>
  </si>
  <si>
    <t>暴击头</t>
  </si>
  <si>
    <t>基础生命</t>
  </si>
  <si>
    <t>额外生命</t>
  </si>
  <si>
    <t>双水加成生命</t>
  </si>
  <si>
    <t>天赋-3种元素</t>
  </si>
  <si>
    <t>天赋-4种元素</t>
  </si>
  <si>
    <t>满蓄力瞄准射击</t>
  </si>
  <si>
    <t>破局矢伤害</t>
  </si>
  <si>
    <t>玄掷玲珑伤害</t>
  </si>
  <si>
    <t>天赋技能</t>
  </si>
  <si>
    <t>加成</t>
  </si>
  <si>
    <t>套装效果（绝缘，大招伤害增加）</t>
  </si>
  <si>
    <t>A</t>
  </si>
  <si>
    <t>不考虑套装伤害，与行秋对比</t>
  </si>
  <si>
    <t>瞄准射击</t>
  </si>
  <si>
    <t>Q伤害期望</t>
  </si>
  <si>
    <t>生命值上限</t>
  </si>
  <si>
    <t>玄掷玲珑伤害期望</t>
  </si>
  <si>
    <t>132%/165%</t>
  </si>
  <si>
    <t>154%/193%</t>
  </si>
  <si>
    <t>长按最大持续时间</t>
  </si>
  <si>
    <t>3.0秒</t>
  </si>
  <si>
    <t>10.0秒</t>
  </si>
  <si>
    <t>18.0秒</t>
  </si>
  <si>
    <t>队伍中存在1/2/3/4种元素类型的角色时，夜兰的生命值上限提升6%/12%/18%/30%。</t>
  </si>
  <si>
    <r>
      <rPr>
        <sz val="11"/>
        <color rgb="FFE3BF72"/>
        <rFont val="微软雅黑"/>
        <charset val="134"/>
      </rPr>
      <t>「玄掷玲珑」</t>
    </r>
    <r>
      <rPr>
        <sz val="11"/>
        <color theme="1"/>
        <rFont val="微软雅黑"/>
        <charset val="134"/>
      </rPr>
      <t>存在期间，能使队伍中自己的当前场上角色造成的伤害提高1%，并且每1秒进一步提高3.5%，至多使角色造成的伤害提高50%。效果存在期间重新释放渊图玲珑骰，将移除原有的上述效果。</t>
    </r>
  </si>
  <si>
    <t>提到最大的时间</t>
  </si>
  <si>
    <t>伤害加成期望</t>
  </si>
  <si>
    <t>可选属性</t>
  </si>
  <si>
    <t>普攻等级</t>
  </si>
  <si>
    <t>Q等级</t>
  </si>
  <si>
    <t>水元素抗性降低</t>
  </si>
  <si>
    <t>伤害增加</t>
  </si>
  <si>
    <t>28.6%+28.6%</t>
  </si>
  <si>
    <t>30.9%+30.9%</t>
  </si>
  <si>
    <t>33.2%+33.2%</t>
  </si>
  <si>
    <t>36.5%+36.5%</t>
  </si>
  <si>
    <t>38.8%+38.8%</t>
  </si>
  <si>
    <t>41.5%+41.5%</t>
  </si>
  <si>
    <t>45.2%+45.2%</t>
  </si>
  <si>
    <t>48.8%+48.8%</t>
  </si>
  <si>
    <t>52.5%+52.5%</t>
  </si>
  <si>
    <t>56.4%+56.4%</t>
  </si>
  <si>
    <t>61.0%+61.0%</t>
  </si>
  <si>
    <t>期望dps</t>
  </si>
  <si>
    <t>五段伤害</t>
  </si>
  <si>
    <t>35.9%+35.9%</t>
  </si>
  <si>
    <t>41.7%+41.7%</t>
  </si>
  <si>
    <t>45.9%+45.9%</t>
  </si>
  <si>
    <t>52.1%+52.1%</t>
  </si>
  <si>
    <t>56.7%+56.7%</t>
  </si>
  <si>
    <t>61.3%+61.3%</t>
  </si>
  <si>
    <t>65.9%+65.9%</t>
  </si>
  <si>
    <t>70.9%+70.9%</t>
  </si>
  <si>
    <t>76.6%+76.6%</t>
  </si>
  <si>
    <t>47.3%+56.2%</t>
  </si>
  <si>
    <t>51.2%+60.7%</t>
  </si>
  <si>
    <t>55.0%+65.3%</t>
  </si>
  <si>
    <t>60.5%+71.8%</t>
  </si>
  <si>
    <t>64.4%+76.4%</t>
  </si>
  <si>
    <t>68.8%+81.6%</t>
  </si>
  <si>
    <t>74.8%+88.8%</t>
  </si>
  <si>
    <t>80.9%+96.0%</t>
  </si>
  <si>
    <t>86.9%+103.2%</t>
  </si>
  <si>
    <t>93.5%+111.0%</t>
  </si>
  <si>
    <t>101.1%+120.0%</t>
  </si>
  <si>
    <t>20.0点</t>
  </si>
  <si>
    <t>大招倍率</t>
  </si>
  <si>
    <t>128%/160%</t>
  </si>
  <si>
    <t>138%/173%</t>
  </si>
  <si>
    <t>149%/186%</t>
  </si>
  <si>
    <t>164%/204%</t>
  </si>
  <si>
    <t>174%/217%</t>
  </si>
  <si>
    <t>186%/232%</t>
  </si>
  <si>
    <t>202%/253%</t>
  </si>
  <si>
    <t>219%/273%</t>
  </si>
  <si>
    <t>235%/293%</t>
  </si>
  <si>
    <t>253%/316%</t>
  </si>
  <si>
    <t>271%/338%</t>
  </si>
  <si>
    <t>伤害系数</t>
  </si>
  <si>
    <t>减伤比例</t>
  </si>
  <si>
    <t>21.0秒</t>
  </si>
  <si>
    <t>剑雨伤害</t>
  </si>
  <si>
    <t>20.0秒</t>
  </si>
  <si>
    <t>提供百分比</t>
  </si>
  <si>
    <t>原元素加成</t>
  </si>
  <si>
    <t>提高比率</t>
  </si>
  <si>
    <t>四星-祭礼剑</t>
  </si>
  <si>
    <t>属性占比</t>
  </si>
  <si>
    <t>上阵</t>
  </si>
  <si>
    <t>未上阵</t>
  </si>
  <si>
    <t>精通沙</t>
  </si>
  <si>
    <t>魔女</t>
  </si>
  <si>
    <t>生命</t>
  </si>
  <si>
    <t>两件套效果提升</t>
  </si>
  <si>
    <t>超载燃烧</t>
  </si>
  <si>
    <t>蒸发融化</t>
  </si>
  <si>
    <t>最终蒸发融化</t>
  </si>
  <si>
    <t>最终火伤</t>
  </si>
  <si>
    <t>魔女4件套</t>
  </si>
  <si>
    <t>技能系数</t>
  </si>
  <si>
    <t>E加的攻击力</t>
  </si>
  <si>
    <t>最终附加的攻击力</t>
  </si>
  <si>
    <t>暴击dps</t>
  </si>
  <si>
    <t>期望火元素伤害</t>
  </si>
  <si>
    <t>蒸发反应伤害</t>
  </si>
  <si>
    <t>火女四件套最佳</t>
  </si>
  <si>
    <t>现在使用</t>
  </si>
  <si>
    <t>目前</t>
  </si>
  <si>
    <t>前</t>
  </si>
  <si>
    <t>苍白</t>
  </si>
  <si>
    <t>主播</t>
  </si>
  <si>
    <t>苍白四件套</t>
  </si>
  <si>
    <t>元素战技命中敌人后，攻击提升9%，持续7秒，两层。两层时，2件套效果翻倍。</t>
  </si>
  <si>
    <t>物理伤害提升</t>
  </si>
  <si>
    <t>增加攻击力</t>
  </si>
  <si>
    <t>专武攻击力</t>
  </si>
  <si>
    <t>最终物理伤害</t>
  </si>
  <si>
    <t>期望伤害</t>
  </si>
  <si>
    <t xml:space="preserve">原神是典型的小数值游戏=较很容易拉到满级，横向扩展角色。
以元素反应为主、填充大量环境适应（增加维度），作为“数值”投放，来达到长期、横向收集卡牌的目的。
这种做法在很早之前就已经有了。从端游开始的大数值游戏尤为突出（传奇，征途等，包括早期的卡牌游戏、IP类手游）
1.0版本：最开始的端游是等级无限上升。但是发现玩家对于等级的追求丧失了。
1.1版本：设定了一些可追求的等级并加上转生、转职。
1.2版本：设定了赛季和等级上限，不断引导玩家追求。
1.N版本的问题在于，新入玩家很难追赶老玩家。这种问题在手游上尤为严重。会导致用户环境分层，断流，无新入坑玩家。从而优先流失免费玩家和中小R，导致游戏生态失衡。
所以变换了思路，改为小数值的模式。
2.0端游版本：（小数值+赛季）从长期追求的等级转变为周期性追求的装备。（wow，剑三，ff14）
2.1手游版本：（小数值+阵营）增加环境适配，以达到玩家横向追求（以集换式卡牌为主，为了周期出卡牌内容拉动活跃和付费。）（剑与远征）
2.N及其衍生，就是原神、阴阳师这种，对验证关卡做出相应适配的卡牌。
原神在这里做的比较好的一点确实是引入了元素反应。而引入元素反应的优点，其实是增加玩家对需求维度的认知（也是学习成本）
玩家最多能上4个元素，而元素反应一共有7个，在不同的场景下，玩家就会上阵不同的英雄。
第1点：7个元素+三种职业定位（草分输出、辅助、副C），耦合就可以有多种环境适配和玩法。
第2点：再耦合上长手短手、破元素盾速度、前台后台奶。对环境的要求就越来越苛刻。
这样就既保证了环境耦合的复杂程度，又拉动了玩家追求角色的需求。
以目前的分法，就可以7*3*2*2=84个角色（UP）。
目前三年22个UP角色。原神这个游戏的规划目标至少在20年往上走。
</t>
  </si>
  <si>
    <t>攻击力百分比</t>
  </si>
  <si>
    <t>基础暴伤</t>
  </si>
  <si>
    <t>雷元素伤害</t>
  </si>
  <si>
    <t>基础暴击</t>
  </si>
  <si>
    <t>生命额外</t>
  </si>
  <si>
    <t>攻击力基础</t>
  </si>
  <si>
    <t>攻击力额外</t>
  </si>
  <si>
    <t>元素反应</t>
  </si>
  <si>
    <t>伤害（9级）</t>
  </si>
  <si>
    <t>基础伤害</t>
  </si>
  <si>
    <t>最终受益</t>
  </si>
  <si>
    <t>期望</t>
  </si>
  <si>
    <t>防御力=等级*5+500</t>
  </si>
  <si>
    <t>减伤率=防御力/（防御力+5*等级+500）</t>
  </si>
  <si>
    <t>防御</t>
  </si>
  <si>
    <t>己方等级</t>
  </si>
  <si>
    <t>怪物减伤</t>
  </si>
  <si>
    <t>攻击额外</t>
  </si>
  <si>
    <t>暴伤</t>
  </si>
  <si>
    <t>追忆套</t>
  </si>
  <si>
    <t>普攻伤害提升</t>
  </si>
  <si>
    <t>云堇伤害提升</t>
  </si>
  <si>
    <t>班尼特</t>
  </si>
  <si>
    <t>双火</t>
  </si>
  <si>
    <t>二命</t>
  </si>
  <si>
    <t>宗师</t>
  </si>
  <si>
    <t>最终普攻伤害提升</t>
  </si>
  <si>
    <t>双岩</t>
  </si>
  <si>
    <t>造成伤害提升</t>
  </si>
  <si>
    <t>单人最终期望dps</t>
  </si>
  <si>
    <t>普攻期望dps</t>
  </si>
  <si>
    <t>起风了</t>
  </si>
  <si>
    <t>赐我</t>
  </si>
  <si>
    <t>前奏：</t>
  </si>
  <si>
    <t>开头副歌：</t>
  </si>
  <si>
    <t>(VJ)Q(AW)ED TE B S G</t>
  </si>
  <si>
    <t>(CJ)Q(MW)ED TE (NW)E(AQ)W(DJ)QG</t>
  </si>
  <si>
    <t xml:space="preserve">  T/H Q /</t>
  </si>
  <si>
    <t>(VW) (AQ)/(DH) (AW)W/(BW) (SQ) /(GJ) (SJ) /</t>
  </si>
  <si>
    <t>(CJ)Q(MW)ED TE (NDW)EQW(BSJ)QG</t>
  </si>
  <si>
    <t>N (DH) /(GJ) (DQ) /H (DT) /(BH) (SQ) /</t>
  </si>
  <si>
    <t>(VW) (AQ) /(DH) (AW)W/(BW) (SQ) /(GW) (SW) /</t>
  </si>
  <si>
    <t>(VJ)Q(AW)ED (AT)EB S G S</t>
  </si>
  <si>
    <t>N (DQ) /(GW) (DE) /H (DT) /(BH) (SQ) /</t>
  </si>
  <si>
    <t>(CJ)Q(MW)ED (MT)E (NW)E(AQ)W(DJ)QG</t>
  </si>
  <si>
    <t>(VJ)Q(AW)ED (AT)EB S G</t>
  </si>
  <si>
    <t>(VW) (AQ) /(DH) (AW)W/(BW) (SQ) /(GQ) (SW) /</t>
  </si>
  <si>
    <t>(NDWY)EWH DNSDN</t>
  </si>
  <si>
    <t>(NE) D /(GT) (DE) /(HE) D /(AW) (NE) /</t>
  </si>
  <si>
    <t>(VT) (AE) /(DW) (AE) /(BW) S /(GE) (SW) /</t>
  </si>
  <si>
    <t>(NW) (DH) /G D /H    /(NH) Q /</t>
  </si>
  <si>
    <t>主歌：</t>
  </si>
  <si>
    <t>(ZS) CA(BS) XA(CS)D G D</t>
  </si>
  <si>
    <t>(ZS) BA(XS) CA(BS) DSA N</t>
  </si>
  <si>
    <t>(CS) XA(CS) BA(NS)D G D</t>
  </si>
  <si>
    <t>(VE) A /E D /(BH) S /(GQ) S /</t>
  </si>
  <si>
    <t>(VS) XD(VS) (BA)S (NS)</t>
  </si>
  <si>
    <t>(NW) (DQ)J/  (GQ)J/H D /(AH) (NQ) /</t>
  </si>
  <si>
    <t>(XS) VA(NS) VA (BS)(XD)(VG)D</t>
  </si>
  <si>
    <t>(NW) (DQ)W/  (GT)E/E D /(AE) (NT) /</t>
  </si>
  <si>
    <t>(NS) XD(CS)(BA)N</t>
  </si>
  <si>
    <t>DSAS (VA) Z (XD)SAS (BA) X</t>
  </si>
  <si>
    <t>(VY) A /Y D /(BT) S /(GW) (SQ) /</t>
  </si>
  <si>
    <t>(VD)SAS Z (BA) X C (NA)S (BAD)A</t>
  </si>
  <si>
    <t>(NW) (DQ)W/  (GE) /H D /A (NG) /</t>
  </si>
  <si>
    <t>(VH) (AE) /H (DG) /(BH) (SG) /(DH) (SQ) /</t>
  </si>
  <si>
    <t xml:space="preserve"> </t>
  </si>
  <si>
    <t>(VH) (AG)HD A (BJ) (SH)JG S</t>
  </si>
  <si>
    <t>N (DH) /  G /  D /(AH) (NQ) /</t>
  </si>
  <si>
    <t>(CJ) (BH)JMDB (NQ) W(AQ)J(DH)(AG)</t>
  </si>
  <si>
    <t>(VH) (AG)HD G(AH)G (BH)(MG)(AS)(MG)</t>
  </si>
  <si>
    <t>Z (BD) X C (NA)S (BAD)A</t>
  </si>
  <si>
    <t>(NW) (DQ)W/  (GT)E/(HE) D /(AH) (NG) /</t>
  </si>
  <si>
    <t>(VH) (AE)E DGA (BH) (ME)E SGMH</t>
  </si>
  <si>
    <t>(CNH) C (NM) C (NA)</t>
  </si>
  <si>
    <t>(VH) AH/  (DE) /(BW) SQ/G (SW) /</t>
  </si>
  <si>
    <t>(NT) DG/  (DH) /H (DQ) /A (NH) /</t>
  </si>
  <si>
    <t>Q W (VQE) (AY)TD (AY)TB (SY)TGWS</t>
  </si>
  <si>
    <t>(VH) (AE) /H (DG) /(BH) (SG) /(SH) (SQ) /</t>
  </si>
  <si>
    <t>(CE) (MY)TD (MY)TN (DY)THED W</t>
  </si>
  <si>
    <t>(ND) G /H   /D T /(NH) Q /</t>
  </si>
  <si>
    <t>(VW) (AQ)HD AQ (BW) (SQ)HGQS</t>
  </si>
  <si>
    <t>(ZQE) B A R(SE)W (DE)W (BQ) W</t>
  </si>
  <si>
    <t>副歌：</t>
  </si>
  <si>
    <t>(VQE) (AY)TD (AY)TB (SY)TGWS</t>
  </si>
  <si>
    <t>(VW) (AQ) /(DH) (AW)W/(BW) (SQ) /(GJ) (SJ) /</t>
  </si>
  <si>
    <t>(VW) (AQ)HDEA W(BW) (SQ)HGQS</t>
  </si>
  <si>
    <t>(NQ) C N M A</t>
  </si>
  <si>
    <t>H E (VAW) QH E (BSW) QH Q Q</t>
  </si>
  <si>
    <t>(NW) (DH) /G D /H    /      /</t>
  </si>
  <si>
    <t>第二段：</t>
  </si>
  <si>
    <t>(VH) (AE) /E (DW) /(BE) S /(GT) (SE) /</t>
  </si>
  <si>
    <t>N (DQ) /Q (GJ) /Q (DH) /(AH) N /</t>
  </si>
  <si>
    <t>(VH) (AE) /E (DW) /(BE) S /(GT) (ST) /</t>
  </si>
  <si>
    <t>(NE) (DQ) /Q (GJ) /Q (DJ) /(AH) N /</t>
  </si>
  <si>
    <t>(VH) (AE) /E (DW) /(BE) S /(GT) (SY) /</t>
  </si>
  <si>
    <t>N (DT) /E (GW) /E D /A N /</t>
  </si>
  <si>
    <t>(VQ) (AQ) /Q (DQ) /(BJ) S /(GQ) (SJ) /</t>
  </si>
  <si>
    <t>N (CH) /N A /D   /     /</t>
  </si>
  <si>
    <t>间奏：</t>
  </si>
  <si>
    <t>(VY) A /G H /(BT) S /H J /</t>
  </si>
  <si>
    <t>(NE) D /J Q /E W /(DJ)Q(NJ) /</t>
  </si>
  <si>
    <t>(VH) A /(GE) H /(BW) S /(GT) J /</t>
  </si>
  <si>
    <t>(NDH)  /       /       /H Q /</t>
  </si>
  <si>
    <t>(NW) (DQ)J/  (GQ)J /H D /H Q /</t>
  </si>
  <si>
    <t>(NW) (DQ)W/  (GT)E/E D /H G /</t>
  </si>
  <si>
    <t>(VH) AH/  (DE) /(BW) (SE)W/(GQ) (SW) /</t>
  </si>
  <si>
    <t>(NT) DG/  (DH) /(NH) (DQ) /A (NY) /</t>
  </si>
  <si>
    <t>(VY) (AT)T/  (DE) /(BW) (SQ) /(GW) (SQ) /</t>
  </si>
  <si>
    <t>(NE) D /(GT) (DE) /(HE) D /(BW) (SE) /</t>
  </si>
  <si>
    <t>(NW) (CH) /N A /D   /      /</t>
  </si>
  <si>
    <t>结尾：</t>
  </si>
  <si>
    <t>(VE) A /(GW) (HQ) /(BW) S /(HE) J /</t>
  </si>
  <si>
    <t>(NW) (DQ) /(MQ) A /(DE) S /M A /</t>
  </si>
  <si>
    <t>(NW) D /(MG) (AE) /(DE) S /M A /</t>
  </si>
  <si>
    <t>(VY) A /(GT) (HE) /(GT) S /(HY) J /</t>
  </si>
  <si>
    <t>(NT) (DE) /(ME) A /(DY) S /M (AE) /</t>
  </si>
  <si>
    <t>(VE) A /(GQ) H /(BQ) S /(HW) Q /</t>
  </si>
  <si>
    <t>(NQ) (DH) /M A /D   /N   /</t>
  </si>
  <si>
    <t>(VE) A /(GW) Q /(BW) S /(HE)  /</t>
  </si>
  <si>
    <t>(NW) (DQ) /(MQ) A /(DE)   /N    /</t>
  </si>
  <si>
    <t>(VE) A /(GW) Q /(BW) S /(HE)   /</t>
  </si>
  <si>
    <t>(NW) D /(MT) (AE) /(DE)   /N    /</t>
  </si>
  <si>
    <t>(VY) A /(GT) E /(BT) S /(HY)   /</t>
  </si>
  <si>
    <t>(NT) (DE) /(ME) A /(DY) S /N E /</t>
  </si>
  <si>
    <t>(NQ) (CH) /M A /D   /      /</t>
  </si>
  <si>
    <t>是否UP</t>
  </si>
  <si>
    <t>星级</t>
  </si>
  <si>
    <t>角色星数</t>
  </si>
  <si>
    <t>专武星数</t>
  </si>
  <si>
    <t>培养说明</t>
  </si>
  <si>
    <t>皇冠</t>
  </si>
  <si>
    <t>养成优先级</t>
  </si>
  <si>
    <t>材料</t>
  </si>
  <si>
    <t>是否已养成</t>
  </si>
  <si>
    <t>总UP角色数</t>
  </si>
  <si>
    <t>总UP武器数</t>
  </si>
  <si>
    <t>黄金</t>
  </si>
  <si>
    <t>3、6</t>
  </si>
  <si>
    <t>勤劳</t>
  </si>
  <si>
    <t>2、5</t>
  </si>
  <si>
    <t>繁荣</t>
  </si>
  <si>
    <t>1、4</t>
  </si>
  <si>
    <t>神子</t>
  </si>
  <si>
    <t>天光</t>
  </si>
  <si>
    <t>巧思</t>
  </si>
  <si>
    <t>浮世</t>
  </si>
  <si>
    <t>诗文</t>
  </si>
  <si>
    <t>抗争</t>
  </si>
  <si>
    <t>神里</t>
  </si>
  <si>
    <t>风雅</t>
  </si>
  <si>
    <t>艾尔海森</t>
  </si>
  <si>
    <t>散兵</t>
  </si>
  <si>
    <t>笃行</t>
  </si>
  <si>
    <t>自由</t>
  </si>
  <si>
    <t>迪希雅</t>
  </si>
  <si>
    <t>云瑾</t>
  </si>
  <si>
    <t>绮良良</t>
  </si>
  <si>
    <t>菲谢尔</t>
  </si>
  <si>
    <t>久岐忍</t>
  </si>
  <si>
    <t>珐露珊</t>
  </si>
  <si>
    <t>诤言</t>
  </si>
  <si>
    <t>早柚</t>
  </si>
  <si>
    <t>凝光</t>
  </si>
  <si>
    <t>罗莎莉亚</t>
  </si>
  <si>
    <t>瑶瑶</t>
  </si>
  <si>
    <t>迪奥娜</t>
  </si>
  <si>
    <t>米卡</t>
  </si>
  <si>
    <t>主角</t>
  </si>
  <si>
    <t>砂糖</t>
  </si>
  <si>
    <t>坎蒂丝</t>
  </si>
  <si>
    <t>琳妮特</t>
  </si>
  <si>
    <t>秩序</t>
  </si>
  <si>
    <t>菲米尼</t>
  </si>
  <si>
    <t>正义</t>
  </si>
  <si>
    <t>莱依拉</t>
  </si>
  <si>
    <t>五郎</t>
  </si>
  <si>
    <t>诺艾尔</t>
  </si>
  <si>
    <t>鹿野苑平藏</t>
  </si>
  <si>
    <t>重云</t>
  </si>
  <si>
    <t>多莉</t>
  </si>
  <si>
    <t>北斗</t>
  </si>
  <si>
    <t>柯莱</t>
  </si>
  <si>
    <t>托马</t>
  </si>
  <si>
    <t>烟绯</t>
  </si>
  <si>
    <t>辛焱</t>
  </si>
  <si>
    <t>地区名/国家名</t>
  </si>
  <si>
    <t>文化参考</t>
  </si>
  <si>
    <t>对应属性</t>
  </si>
  <si>
    <t>采矿</t>
  </si>
  <si>
    <t>伐树</t>
  </si>
  <si>
    <t>元素力附着</t>
  </si>
  <si>
    <t>打击</t>
  </si>
  <si>
    <t>破盾效率</t>
  </si>
  <si>
    <t>蒙德</t>
  </si>
  <si>
    <t>中世纪英国</t>
  </si>
  <si>
    <t>风</t>
  </si>
  <si>
    <t>单手剑</t>
  </si>
  <si>
    <t>可采矿</t>
  </si>
  <si>
    <t>频率快</t>
  </si>
  <si>
    <t>无元素力</t>
  </si>
  <si>
    <t>水</t>
  </si>
  <si>
    <t>火</t>
  </si>
  <si>
    <t>冰</t>
  </si>
  <si>
    <t>雷</t>
  </si>
  <si>
    <t>岩</t>
  </si>
  <si>
    <t>草</t>
  </si>
  <si>
    <t>璃月</t>
  </si>
  <si>
    <t>中国</t>
  </si>
  <si>
    <t>双手剑</t>
  </si>
  <si>
    <t>采矿威力大</t>
  </si>
  <si>
    <t>频率低</t>
  </si>
  <si>
    <t>可破冻结状态，可破岩盾</t>
  </si>
  <si>
    <t>⭐</t>
  </si>
  <si>
    <t>稻妻</t>
  </si>
  <si>
    <t>江户日本</t>
  </si>
  <si>
    <t>长柄武器</t>
  </si>
  <si>
    <t>频率中</t>
  </si>
  <si>
    <t>无效</t>
  </si>
  <si>
    <t>⭐⭐⭐</t>
  </si>
  <si>
    <t>须弥</t>
  </si>
  <si>
    <t>古印度</t>
  </si>
  <si>
    <t>法器</t>
  </si>
  <si>
    <t>无法采矿</t>
  </si>
  <si>
    <t>无法伐树</t>
  </si>
  <si>
    <t>每次攻击均有元素力</t>
  </si>
  <si>
    <t>⭐⭐</t>
  </si>
  <si>
    <t>枫丹</t>
  </si>
  <si>
    <t>中世纪法国</t>
  </si>
  <si>
    <t>未出</t>
  </si>
  <si>
    <t>弓</t>
  </si>
  <si>
    <t>蓄力后有元素力</t>
  </si>
  <si>
    <t>穆纳塔</t>
  </si>
  <si>
    <t>古希腊罗马</t>
  </si>
  <si>
    <t>至冬</t>
  </si>
  <si>
    <t>沙俄苏联</t>
  </si>
  <si>
    <t>水伤</t>
  </si>
  <si>
    <t>天赋水伤</t>
  </si>
  <si>
    <t>二命加爆伤</t>
  </si>
  <si>
    <t>重击伤害系数</t>
  </si>
  <si>
    <t>天赋加成</t>
  </si>
  <si>
    <t>圣遗物暴击</t>
  </si>
  <si>
    <t>圣遗物提伤害</t>
  </si>
  <si>
    <t>专武伤害提升</t>
  </si>
  <si>
    <t>最终爆伤</t>
  </si>
  <si>
    <t>最终增伤</t>
  </si>
  <si>
    <t>最终水伤</t>
  </si>
  <si>
    <t>好兆头</t>
  </si>
  <si>
    <t>猫和鱼</t>
  </si>
  <si>
    <t>抓鱼</t>
  </si>
  <si>
    <t>应该完成了</t>
  </si>
  <si>
    <t>两只鸽子</t>
  </si>
  <si>
    <t>完成</t>
  </si>
  <si>
    <t>打鸽子</t>
  </si>
  <si>
    <t>落叶堆</t>
  </si>
  <si>
    <t>吹落叶</t>
  </si>
  <si>
    <t>三只狗</t>
  </si>
  <si>
    <t>赶小狗</t>
  </si>
  <si>
    <t>老奶奶</t>
  </si>
</sst>
</file>

<file path=xl/styles.xml><?xml version="1.0" encoding="utf-8"?>
<styleSheet xmlns="http://schemas.openxmlformats.org/spreadsheetml/2006/main" xmlns:xr9="http://schemas.microsoft.com/office/spreadsheetml/2016/revision9">
  <numFmts count="9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0_ "/>
    <numFmt numFmtId="178" formatCode="0.000%"/>
    <numFmt numFmtId="179" formatCode="yyyy/mm/dd"/>
    <numFmt numFmtId="180" formatCode="0.00_);[Red]\(0.00\)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2"/>
      <color rgb="FF18191C"/>
      <name val="微软雅黑"/>
      <charset val="134"/>
    </font>
    <font>
      <sz val="11"/>
      <color rgb="FFFF0000"/>
      <name val="微软雅黑"/>
      <charset val="134"/>
    </font>
    <font>
      <b/>
      <sz val="11"/>
      <color theme="1"/>
      <name val="微软雅黑"/>
      <charset val="134"/>
    </font>
    <font>
      <sz val="11"/>
      <color rgb="FFE3BF72"/>
      <name val="微软雅黑"/>
      <charset val="134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rgb="FF9933E5"/>
      <name val="微软雅黑"/>
      <charset val="134"/>
    </font>
    <font>
      <sz val="11"/>
      <name val="微软雅黑"/>
      <charset val="134"/>
    </font>
    <font>
      <sz val="11"/>
      <color theme="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E3BF72"/>
      <name val="宋体"/>
      <charset val="134"/>
      <scheme val="minor"/>
    </font>
    <font>
      <sz val="11"/>
      <color theme="1"/>
      <name val="Times New Roman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0" borderId="2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11" borderId="5" applyNumberFormat="0" applyAlignment="0" applyProtection="0">
      <alignment vertical="center"/>
    </xf>
    <xf numFmtId="0" fontId="20" fillId="12" borderId="6" applyNumberFormat="0" applyAlignment="0" applyProtection="0">
      <alignment vertical="center"/>
    </xf>
    <xf numFmtId="0" fontId="21" fillId="12" borderId="5" applyNumberFormat="0" applyAlignment="0" applyProtection="0">
      <alignment vertical="center"/>
    </xf>
    <xf numFmtId="0" fontId="22" fillId="13" borderId="7" applyNumberFormat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28" fillId="40" borderId="0" applyNumberFormat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58" fontId="1" fillId="0" borderId="0" xfId="0" applyNumberFormat="1" applyFont="1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10" fontId="0" fillId="0" borderId="0" xfId="0" applyNumberFormat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vertical="top" wrapText="1"/>
    </xf>
    <xf numFmtId="0" fontId="0" fillId="2" borderId="0" xfId="0" applyFill="1">
      <alignment vertical="center"/>
    </xf>
    <xf numFmtId="10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1" fillId="0" borderId="0" xfId="0" applyFont="1" applyFill="1" applyAlignment="1">
      <alignment vertical="center"/>
    </xf>
    <xf numFmtId="0" fontId="1" fillId="0" borderId="0" xfId="0" applyNumberFormat="1" applyFont="1" applyFill="1" applyAlignment="1" applyProtection="1">
      <alignment vertical="center"/>
    </xf>
    <xf numFmtId="10" fontId="1" fillId="0" borderId="0" xfId="0" applyNumberFormat="1" applyFont="1" applyFill="1" applyAlignment="1">
      <alignment vertical="center"/>
    </xf>
    <xf numFmtId="10" fontId="1" fillId="2" borderId="0" xfId="0" applyNumberFormat="1" applyFont="1" applyFill="1" applyAlignment="1">
      <alignment vertical="center"/>
    </xf>
    <xf numFmtId="9" fontId="1" fillId="0" borderId="0" xfId="0" applyNumberFormat="1" applyFont="1" applyFill="1" applyAlignment="1">
      <alignment vertical="center"/>
    </xf>
    <xf numFmtId="10" fontId="1" fillId="3" borderId="0" xfId="0" applyNumberFormat="1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77" fontId="1" fillId="0" borderId="0" xfId="0" applyNumberFormat="1" applyFont="1" applyFill="1" applyAlignment="1">
      <alignment vertical="center"/>
    </xf>
    <xf numFmtId="0" fontId="1" fillId="5" borderId="0" xfId="0" applyFont="1" applyFill="1">
      <alignment vertical="center"/>
    </xf>
    <xf numFmtId="0" fontId="1" fillId="6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10" fontId="1" fillId="5" borderId="0" xfId="0" applyNumberFormat="1" applyFont="1" applyFill="1">
      <alignment vertical="center"/>
    </xf>
    <xf numFmtId="0" fontId="1" fillId="0" borderId="1" xfId="0" applyFont="1" applyBorder="1" applyAlignment="1">
      <alignment horizontal="center" vertical="center" wrapText="1"/>
    </xf>
    <xf numFmtId="10" fontId="1" fillId="0" borderId="0" xfId="0" applyNumberFormat="1" applyFo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/>
    </xf>
    <xf numFmtId="10" fontId="1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0" fontId="1" fillId="0" borderId="0" xfId="0" applyFont="1" applyFill="1">
      <alignment vertical="center"/>
    </xf>
    <xf numFmtId="0" fontId="1" fillId="0" borderId="0" xfId="0" applyFont="1" applyFill="1" applyAlignment="1">
      <alignment vertical="center" wrapText="1"/>
    </xf>
    <xf numFmtId="0" fontId="5" fillId="0" borderId="0" xfId="0" applyFont="1">
      <alignment vertical="center"/>
    </xf>
    <xf numFmtId="0" fontId="1" fillId="0" borderId="0" xfId="0" applyFont="1" applyAlignment="1">
      <alignment vertical="center" wrapText="1"/>
    </xf>
    <xf numFmtId="9" fontId="1" fillId="0" borderId="1" xfId="0" applyNumberFormat="1" applyFont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 wrapText="1"/>
    </xf>
    <xf numFmtId="0" fontId="1" fillId="0" borderId="0" xfId="0" applyNumberFormat="1" applyFont="1" applyFill="1" applyAlignment="1">
      <alignment vertical="center"/>
    </xf>
    <xf numFmtId="9" fontId="1" fillId="0" borderId="0" xfId="0" applyNumberFormat="1" applyFont="1">
      <alignment vertical="center"/>
    </xf>
    <xf numFmtId="0" fontId="4" fillId="0" borderId="0" xfId="0" applyFont="1" applyAlignment="1">
      <alignment vertical="center" wrapText="1"/>
    </xf>
    <xf numFmtId="0" fontId="1" fillId="2" borderId="0" xfId="0" applyFont="1" applyFill="1">
      <alignment vertical="center"/>
    </xf>
    <xf numFmtId="0" fontId="1" fillId="4" borderId="0" xfId="0" applyFont="1" applyFill="1">
      <alignment vertical="center"/>
    </xf>
    <xf numFmtId="10" fontId="1" fillId="4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10" fontId="1" fillId="7" borderId="0" xfId="0" applyNumberFormat="1" applyFont="1" applyFill="1" applyAlignment="1">
      <alignment vertical="center"/>
    </xf>
    <xf numFmtId="9" fontId="1" fillId="2" borderId="0" xfId="0" applyNumberFormat="1" applyFont="1" applyFill="1" applyAlignment="1">
      <alignment vertical="center"/>
    </xf>
    <xf numFmtId="0" fontId="1" fillId="7" borderId="0" xfId="0" applyFont="1" applyFill="1" applyAlignment="1">
      <alignment vertical="center"/>
    </xf>
    <xf numFmtId="10" fontId="1" fillId="0" borderId="0" xfId="0" applyNumberFormat="1" applyFont="1" applyFill="1" applyBorder="1" applyAlignment="1" applyProtection="1">
      <alignment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10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0" fontId="7" fillId="0" borderId="0" xfId="0" applyFont="1" applyFill="1">
      <alignment vertical="center"/>
    </xf>
    <xf numFmtId="10" fontId="7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/>
    </xf>
    <xf numFmtId="0" fontId="7" fillId="2" borderId="0" xfId="0" applyFont="1" applyFill="1">
      <alignment vertical="center"/>
    </xf>
    <xf numFmtId="0" fontId="0" fillId="0" borderId="0" xfId="0" applyFill="1">
      <alignment vertical="center"/>
    </xf>
    <xf numFmtId="10" fontId="0" fillId="0" borderId="0" xfId="0" applyNumberFormat="1" applyFill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 applyFill="1" applyAlignment="1">
      <alignment horizontal="center" vertical="center"/>
    </xf>
    <xf numFmtId="0" fontId="8" fillId="0" borderId="0" xfId="0" applyFont="1">
      <alignment vertical="center"/>
    </xf>
    <xf numFmtId="178" fontId="1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0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0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0" fontId="1" fillId="6" borderId="0" xfId="0" applyFont="1" applyFill="1">
      <alignment vertical="center"/>
    </xf>
    <xf numFmtId="0" fontId="1" fillId="6" borderId="0" xfId="0" applyFont="1" applyFill="1" applyAlignment="1">
      <alignment vertical="center"/>
    </xf>
    <xf numFmtId="177" fontId="1" fillId="0" borderId="0" xfId="0" applyNumberFormat="1" applyFont="1" applyAlignment="1">
      <alignment horizontal="center" vertical="center"/>
    </xf>
    <xf numFmtId="177" fontId="1" fillId="4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0" fontId="3" fillId="0" borderId="0" xfId="0" applyFont="1">
      <alignment vertical="center"/>
    </xf>
    <xf numFmtId="0" fontId="1" fillId="6" borderId="0" xfId="0" applyFont="1" applyFill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10" fillId="8" borderId="0" xfId="0" applyFont="1" applyFill="1">
      <alignment vertical="center"/>
    </xf>
    <xf numFmtId="0" fontId="1" fillId="0" borderId="0" xfId="0" applyFont="1" applyAlignment="1">
      <alignment vertical="center"/>
    </xf>
    <xf numFmtId="177" fontId="1" fillId="0" borderId="0" xfId="0" applyNumberFormat="1" applyFont="1">
      <alignment vertical="center"/>
    </xf>
    <xf numFmtId="49" fontId="1" fillId="0" borderId="0" xfId="0" applyNumberFormat="1" applyFont="1" applyAlignment="1">
      <alignment horizontal="center" vertical="center"/>
    </xf>
    <xf numFmtId="179" fontId="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>
      <alignment vertical="center"/>
    </xf>
    <xf numFmtId="0" fontId="9" fillId="0" borderId="0" xfId="0" applyFont="1" applyFill="1" applyAlignment="1">
      <alignment vertical="center" wrapText="1"/>
    </xf>
    <xf numFmtId="180" fontId="1" fillId="0" borderId="0" xfId="0" applyNumberFormat="1" applyFont="1">
      <alignment vertical="center"/>
    </xf>
    <xf numFmtId="0" fontId="0" fillId="9" borderId="0" xfId="0" applyFill="1">
      <alignment vertical="center"/>
    </xf>
    <xf numFmtId="49" fontId="1" fillId="0" borderId="0" xfId="0" applyNumberFormat="1" applyFont="1">
      <alignment vertical="center"/>
    </xf>
    <xf numFmtId="0" fontId="9" fillId="0" borderId="0" xfId="0" applyFont="1" applyAlignment="1">
      <alignment vertical="center" wrapText="1"/>
    </xf>
    <xf numFmtId="10" fontId="1" fillId="0" borderId="0" xfId="0" applyNumberFormat="1" applyFont="1" applyFill="1" applyAlignment="1">
      <alignment horizontal="center" vertical="center"/>
    </xf>
    <xf numFmtId="9" fontId="1" fillId="0" borderId="0" xfId="0" applyNumberFormat="1" applyFont="1" applyFill="1" applyAlignment="1">
      <alignment horizontal="center" vertical="center"/>
    </xf>
    <xf numFmtId="177" fontId="1" fillId="0" borderId="0" xfId="0" applyNumberFormat="1" applyFont="1" applyFill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9" tint="0.8"/>
        </patternFill>
      </fill>
    </dxf>
    <dxf>
      <fill>
        <patternFill patternType="solid">
          <bgColor theme="7" tint="0.8"/>
        </patternFill>
      </fill>
    </dxf>
    <dxf>
      <fill>
        <patternFill patternType="solid">
          <bgColor theme="8" tint="0.8"/>
        </patternFill>
      </fill>
    </dxf>
    <dxf>
      <fill>
        <patternFill patternType="solid"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4" Type="http://schemas.openxmlformats.org/officeDocument/2006/relationships/sharedStrings" Target="sharedStrings.xml"/><Relationship Id="rId33" Type="http://schemas.openxmlformats.org/officeDocument/2006/relationships/styles" Target="styles.xml"/><Relationship Id="rId32" Type="http://schemas.openxmlformats.org/officeDocument/2006/relationships/theme" Target="theme/theme1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7</xdr:col>
      <xdr:colOff>238125</xdr:colOff>
      <xdr:row>17</xdr:row>
      <xdr:rowOff>47625</xdr:rowOff>
    </xdr:from>
    <xdr:to>
      <xdr:col>16</xdr:col>
      <xdr:colOff>19050</xdr:colOff>
      <xdr:row>22</xdr:row>
      <xdr:rowOff>742950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3411200" y="6962775"/>
          <a:ext cx="5953125" cy="25812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95250</xdr:colOff>
      <xdr:row>13</xdr:row>
      <xdr:rowOff>80645</xdr:rowOff>
    </xdr:from>
    <xdr:to>
      <xdr:col>3</xdr:col>
      <xdr:colOff>457200</xdr:colOff>
      <xdr:row>16</xdr:row>
      <xdr:rowOff>167005</xdr:rowOff>
    </xdr:to>
    <xdr:sp>
      <xdr:nvSpPr>
        <xdr:cNvPr id="2" name="圆角矩形 1"/>
        <xdr:cNvSpPr/>
      </xdr:nvSpPr>
      <xdr:spPr>
        <a:xfrm>
          <a:off x="1466850" y="230949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人物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457200</xdr:colOff>
      <xdr:row>15</xdr:row>
      <xdr:rowOff>38100</xdr:rowOff>
    </xdr:from>
    <xdr:to>
      <xdr:col>5</xdr:col>
      <xdr:colOff>360045</xdr:colOff>
      <xdr:row>15</xdr:row>
      <xdr:rowOff>38100</xdr:rowOff>
    </xdr:to>
    <xdr:cxnSp>
      <xdr:nvCxnSpPr>
        <xdr:cNvPr id="3" name="直接连接符 2"/>
        <xdr:cNvCxnSpPr>
          <a:stCxn id="2" idx="3"/>
          <a:endCxn id="4" idx="1"/>
        </xdr:cNvCxnSpPr>
      </xdr:nvCxnSpPr>
      <xdr:spPr>
        <a:xfrm>
          <a:off x="2514600" y="2609850"/>
          <a:ext cx="127444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360045</xdr:colOff>
      <xdr:row>13</xdr:row>
      <xdr:rowOff>80645</xdr:rowOff>
    </xdr:from>
    <xdr:to>
      <xdr:col>7</xdr:col>
      <xdr:colOff>36195</xdr:colOff>
      <xdr:row>16</xdr:row>
      <xdr:rowOff>167005</xdr:rowOff>
    </xdr:to>
    <xdr:sp>
      <xdr:nvSpPr>
        <xdr:cNvPr id="4" name="圆角矩形 3"/>
        <xdr:cNvSpPr/>
      </xdr:nvSpPr>
      <xdr:spPr>
        <a:xfrm>
          <a:off x="3789045" y="230949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升级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5</xdr:col>
      <xdr:colOff>360045</xdr:colOff>
      <xdr:row>19</xdr:row>
      <xdr:rowOff>128270</xdr:rowOff>
    </xdr:from>
    <xdr:to>
      <xdr:col>7</xdr:col>
      <xdr:colOff>36195</xdr:colOff>
      <xdr:row>23</xdr:row>
      <xdr:rowOff>43180</xdr:rowOff>
    </xdr:to>
    <xdr:sp>
      <xdr:nvSpPr>
        <xdr:cNvPr id="5" name="圆角矩形 4"/>
        <xdr:cNvSpPr/>
      </xdr:nvSpPr>
      <xdr:spPr>
        <a:xfrm>
          <a:off x="3789045" y="338582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突破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13</xdr:row>
      <xdr:rowOff>80645</xdr:rowOff>
    </xdr:from>
    <xdr:to>
      <xdr:col>10</xdr:col>
      <xdr:colOff>196215</xdr:colOff>
      <xdr:row>16</xdr:row>
      <xdr:rowOff>167005</xdr:rowOff>
    </xdr:to>
    <xdr:sp>
      <xdr:nvSpPr>
        <xdr:cNvPr id="6" name="圆角矩形 5"/>
        <xdr:cNvSpPr/>
      </xdr:nvSpPr>
      <xdr:spPr>
        <a:xfrm>
          <a:off x="6006465" y="230949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经验书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19</xdr:row>
      <xdr:rowOff>128905</xdr:rowOff>
    </xdr:from>
    <xdr:to>
      <xdr:col>10</xdr:col>
      <xdr:colOff>196215</xdr:colOff>
      <xdr:row>23</xdr:row>
      <xdr:rowOff>43180</xdr:rowOff>
    </xdr:to>
    <xdr:sp>
      <xdr:nvSpPr>
        <xdr:cNvPr id="8" name="圆角矩形 7"/>
        <xdr:cNvSpPr/>
      </xdr:nvSpPr>
      <xdr:spPr>
        <a:xfrm>
          <a:off x="6006465" y="3386455"/>
          <a:ext cx="1047750" cy="600075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atin typeface="微软雅黑" panose="020B0503020204020204" charset="-122"/>
              <a:ea typeface="微软雅黑" panose="020B0503020204020204" charset="-122"/>
            </a:rPr>
            <a:t>地图</a:t>
          </a:r>
          <a:r>
            <a:rPr lang="en-US" altLang="zh-CN" sz="900">
              <a:latin typeface="微软雅黑" panose="020B0503020204020204" charset="-122"/>
              <a:ea typeface="微软雅黑" panose="020B0503020204020204" charset="-122"/>
            </a:rPr>
            <a:t>BOSS</a:t>
          </a:r>
          <a:r>
            <a:rPr lang="zh-CN" altLang="en-US" sz="900">
              <a:latin typeface="微软雅黑" panose="020B0503020204020204" charset="-122"/>
              <a:ea typeface="微软雅黑" panose="020B0503020204020204" charset="-122"/>
            </a:rPr>
            <a:t>核心素材</a:t>
          </a:r>
          <a:endParaRPr lang="zh-CN" altLang="en-US" sz="9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11</xdr:col>
      <xdr:colOff>680085</xdr:colOff>
      <xdr:row>13</xdr:row>
      <xdr:rowOff>80645</xdr:rowOff>
    </xdr:from>
    <xdr:to>
      <xdr:col>13</xdr:col>
      <xdr:colOff>356235</xdr:colOff>
      <xdr:row>16</xdr:row>
      <xdr:rowOff>167005</xdr:rowOff>
    </xdr:to>
    <xdr:sp>
      <xdr:nvSpPr>
        <xdr:cNvPr id="9" name="圆角矩形 8"/>
        <xdr:cNvSpPr/>
      </xdr:nvSpPr>
      <xdr:spPr>
        <a:xfrm>
          <a:off x="8223885" y="230949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地脉花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11</xdr:col>
      <xdr:colOff>679450</xdr:colOff>
      <xdr:row>19</xdr:row>
      <xdr:rowOff>128270</xdr:rowOff>
    </xdr:from>
    <xdr:to>
      <xdr:col>13</xdr:col>
      <xdr:colOff>355600</xdr:colOff>
      <xdr:row>23</xdr:row>
      <xdr:rowOff>43180</xdr:rowOff>
    </xdr:to>
    <xdr:sp>
      <xdr:nvSpPr>
        <xdr:cNvPr id="10" name="圆角矩形 9"/>
        <xdr:cNvSpPr/>
      </xdr:nvSpPr>
      <xdr:spPr>
        <a:xfrm>
          <a:off x="8223250" y="338582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>
              <a:latin typeface="微软雅黑" panose="020B0503020204020204" charset="-122"/>
              <a:ea typeface="微软雅黑" panose="020B0503020204020204" charset="-122"/>
            </a:rPr>
            <a:t>地图</a:t>
          </a:r>
          <a:r>
            <a:rPr lang="en-US" altLang="zh-CN" sz="1200">
              <a:latin typeface="微软雅黑" panose="020B0503020204020204" charset="-122"/>
              <a:ea typeface="微软雅黑" panose="020B0503020204020204" charset="-122"/>
            </a:rPr>
            <a:t>BOSS</a:t>
          </a:r>
          <a:endParaRPr lang="en-US" altLang="zh-CN" sz="12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26</xdr:row>
      <xdr:rowOff>5080</xdr:rowOff>
    </xdr:from>
    <xdr:to>
      <xdr:col>10</xdr:col>
      <xdr:colOff>196215</xdr:colOff>
      <xdr:row>29</xdr:row>
      <xdr:rowOff>90805</xdr:rowOff>
    </xdr:to>
    <xdr:sp>
      <xdr:nvSpPr>
        <xdr:cNvPr id="11" name="圆角矩形 10"/>
        <xdr:cNvSpPr/>
      </xdr:nvSpPr>
      <xdr:spPr>
        <a:xfrm>
          <a:off x="6006465" y="4462780"/>
          <a:ext cx="1047750" cy="600075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atin typeface="微软雅黑" panose="020B0503020204020204" charset="-122"/>
              <a:ea typeface="微软雅黑" panose="020B0503020204020204" charset="-122"/>
            </a:rPr>
            <a:t>属性碎片</a:t>
          </a:r>
          <a:endParaRPr lang="zh-CN" altLang="en-US" sz="10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95250</xdr:colOff>
      <xdr:row>39</xdr:row>
      <xdr:rowOff>19050</xdr:rowOff>
    </xdr:from>
    <xdr:to>
      <xdr:col>3</xdr:col>
      <xdr:colOff>457200</xdr:colOff>
      <xdr:row>42</xdr:row>
      <xdr:rowOff>105410</xdr:rowOff>
    </xdr:to>
    <xdr:sp>
      <xdr:nvSpPr>
        <xdr:cNvPr id="13" name="圆角矩形 12"/>
        <xdr:cNvSpPr/>
      </xdr:nvSpPr>
      <xdr:spPr>
        <a:xfrm>
          <a:off x="1466850" y="670560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天赋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5</xdr:col>
      <xdr:colOff>360045</xdr:colOff>
      <xdr:row>32</xdr:row>
      <xdr:rowOff>52705</xdr:rowOff>
    </xdr:from>
    <xdr:to>
      <xdr:col>7</xdr:col>
      <xdr:colOff>36195</xdr:colOff>
      <xdr:row>35</xdr:row>
      <xdr:rowOff>139065</xdr:rowOff>
    </xdr:to>
    <xdr:sp>
      <xdr:nvSpPr>
        <xdr:cNvPr id="14" name="圆角矩形 13"/>
        <xdr:cNvSpPr/>
      </xdr:nvSpPr>
      <xdr:spPr>
        <a:xfrm>
          <a:off x="3789045" y="553910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升</a:t>
          </a:r>
          <a:r>
            <a:rPr lang="en-US" altLang="zh-CN" sz="1400">
              <a:latin typeface="微软雅黑" panose="020B0503020204020204" charset="-122"/>
              <a:ea typeface="微软雅黑" panose="020B0503020204020204" charset="-122"/>
            </a:rPr>
            <a:t>1~6</a:t>
          </a:r>
          <a:endParaRPr lang="en-US" altLang="zh-CN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5</xdr:col>
      <xdr:colOff>360045</xdr:colOff>
      <xdr:row>38</xdr:row>
      <xdr:rowOff>100965</xdr:rowOff>
    </xdr:from>
    <xdr:to>
      <xdr:col>7</xdr:col>
      <xdr:colOff>36195</xdr:colOff>
      <xdr:row>42</xdr:row>
      <xdr:rowOff>15875</xdr:rowOff>
    </xdr:to>
    <xdr:sp>
      <xdr:nvSpPr>
        <xdr:cNvPr id="15" name="圆角矩形 14"/>
        <xdr:cNvSpPr/>
      </xdr:nvSpPr>
      <xdr:spPr>
        <a:xfrm>
          <a:off x="3789045" y="661606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升</a:t>
          </a:r>
          <a:r>
            <a:rPr lang="en-US" altLang="zh-CN" sz="1400">
              <a:latin typeface="微软雅黑" panose="020B0503020204020204" charset="-122"/>
              <a:ea typeface="微软雅黑" panose="020B0503020204020204" charset="-122"/>
            </a:rPr>
            <a:t>6~9</a:t>
          </a:r>
          <a:endParaRPr lang="en-US" altLang="zh-CN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5</xdr:col>
      <xdr:colOff>360045</xdr:colOff>
      <xdr:row>44</xdr:row>
      <xdr:rowOff>149225</xdr:rowOff>
    </xdr:from>
    <xdr:to>
      <xdr:col>7</xdr:col>
      <xdr:colOff>36195</xdr:colOff>
      <xdr:row>48</xdr:row>
      <xdr:rowOff>64135</xdr:rowOff>
    </xdr:to>
    <xdr:sp>
      <xdr:nvSpPr>
        <xdr:cNvPr id="16" name="圆角矩形 15"/>
        <xdr:cNvSpPr/>
      </xdr:nvSpPr>
      <xdr:spPr>
        <a:xfrm>
          <a:off x="3789045" y="769302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升</a:t>
          </a:r>
          <a:r>
            <a:rPr lang="en-US" altLang="zh-CN" sz="1400">
              <a:latin typeface="微软雅黑" panose="020B0503020204020204" charset="-122"/>
              <a:ea typeface="微软雅黑" panose="020B0503020204020204" charset="-122"/>
            </a:rPr>
            <a:t>9~10</a:t>
          </a:r>
          <a:endParaRPr lang="en-US" altLang="zh-CN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32</xdr:row>
      <xdr:rowOff>52705</xdr:rowOff>
    </xdr:from>
    <xdr:to>
      <xdr:col>10</xdr:col>
      <xdr:colOff>196215</xdr:colOff>
      <xdr:row>35</xdr:row>
      <xdr:rowOff>139065</xdr:rowOff>
    </xdr:to>
    <xdr:sp>
      <xdr:nvSpPr>
        <xdr:cNvPr id="17" name="圆角矩形 16"/>
        <xdr:cNvSpPr/>
      </xdr:nvSpPr>
      <xdr:spPr>
        <a:xfrm>
          <a:off x="6006465" y="553910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atin typeface="微软雅黑" panose="020B0503020204020204" charset="-122"/>
              <a:ea typeface="微软雅黑" panose="020B0503020204020204" charset="-122"/>
            </a:rPr>
            <a:t>怪物素材</a:t>
          </a:r>
          <a:r>
            <a:rPr lang="en-US" altLang="zh-CN" sz="900">
              <a:latin typeface="微软雅黑" panose="020B0503020204020204" charset="-122"/>
              <a:ea typeface="微软雅黑" panose="020B0503020204020204" charset="-122"/>
            </a:rPr>
            <a:t>&amp;</a:t>
          </a:r>
          <a:r>
            <a:rPr lang="zh-CN" altLang="en-US" sz="900">
              <a:latin typeface="微软雅黑" panose="020B0503020204020204" charset="-122"/>
              <a:ea typeface="微软雅黑" panose="020B0503020204020204" charset="-122"/>
            </a:rPr>
            <a:t>采集素材</a:t>
          </a:r>
          <a:endParaRPr lang="zh-CN" altLang="en-US" sz="9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38</xdr:row>
      <xdr:rowOff>100965</xdr:rowOff>
    </xdr:from>
    <xdr:to>
      <xdr:col>10</xdr:col>
      <xdr:colOff>196215</xdr:colOff>
      <xdr:row>42</xdr:row>
      <xdr:rowOff>15875</xdr:rowOff>
    </xdr:to>
    <xdr:sp>
      <xdr:nvSpPr>
        <xdr:cNvPr id="18" name="圆角矩形 17"/>
        <xdr:cNvSpPr/>
      </xdr:nvSpPr>
      <xdr:spPr>
        <a:xfrm>
          <a:off x="6006465" y="661606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天赋书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44</xdr:row>
      <xdr:rowOff>149225</xdr:rowOff>
    </xdr:from>
    <xdr:to>
      <xdr:col>10</xdr:col>
      <xdr:colOff>196215</xdr:colOff>
      <xdr:row>48</xdr:row>
      <xdr:rowOff>64135</xdr:rowOff>
    </xdr:to>
    <xdr:sp>
      <xdr:nvSpPr>
        <xdr:cNvPr id="19" name="圆角矩形 18"/>
        <xdr:cNvSpPr/>
      </xdr:nvSpPr>
      <xdr:spPr>
        <a:xfrm>
          <a:off x="6006465" y="769302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atin typeface="微软雅黑" panose="020B0503020204020204" charset="-122"/>
              <a:ea typeface="微软雅黑" panose="020B0503020204020204" charset="-122"/>
            </a:rPr>
            <a:t>周本核心天赋素材</a:t>
          </a:r>
          <a:endParaRPr lang="zh-CN" altLang="en-US" sz="9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51</xdr:row>
      <xdr:rowOff>121285</xdr:rowOff>
    </xdr:from>
    <xdr:to>
      <xdr:col>10</xdr:col>
      <xdr:colOff>196215</xdr:colOff>
      <xdr:row>55</xdr:row>
      <xdr:rowOff>36195</xdr:rowOff>
    </xdr:to>
    <xdr:sp>
      <xdr:nvSpPr>
        <xdr:cNvPr id="20" name="圆角矩形 19"/>
        <xdr:cNvSpPr/>
      </xdr:nvSpPr>
      <xdr:spPr>
        <a:xfrm>
          <a:off x="6006465" y="886523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atin typeface="微软雅黑" panose="020B0503020204020204" charset="-122"/>
              <a:ea typeface="微软雅黑" panose="020B0503020204020204" charset="-122"/>
            </a:rPr>
            <a:t>皇冠</a:t>
          </a:r>
          <a:endParaRPr lang="zh-CN" altLang="en-US" sz="9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11</xdr:col>
      <xdr:colOff>679450</xdr:colOff>
      <xdr:row>44</xdr:row>
      <xdr:rowOff>149225</xdr:rowOff>
    </xdr:from>
    <xdr:to>
      <xdr:col>13</xdr:col>
      <xdr:colOff>355600</xdr:colOff>
      <xdr:row>48</xdr:row>
      <xdr:rowOff>64135</xdr:rowOff>
    </xdr:to>
    <xdr:sp>
      <xdr:nvSpPr>
        <xdr:cNvPr id="22" name="圆角矩形 21"/>
        <xdr:cNvSpPr/>
      </xdr:nvSpPr>
      <xdr:spPr>
        <a:xfrm>
          <a:off x="8223250" y="769302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周本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11</xdr:col>
      <xdr:colOff>679450</xdr:colOff>
      <xdr:row>71</xdr:row>
      <xdr:rowOff>136525</xdr:rowOff>
    </xdr:from>
    <xdr:to>
      <xdr:col>13</xdr:col>
      <xdr:colOff>355600</xdr:colOff>
      <xdr:row>75</xdr:row>
      <xdr:rowOff>51435</xdr:rowOff>
    </xdr:to>
    <xdr:sp>
      <xdr:nvSpPr>
        <xdr:cNvPr id="23" name="圆角矩形 22"/>
        <xdr:cNvSpPr/>
      </xdr:nvSpPr>
      <xdr:spPr>
        <a:xfrm>
          <a:off x="8223250" y="1230947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圣遗物本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11</xdr:col>
      <xdr:colOff>679450</xdr:colOff>
      <xdr:row>51</xdr:row>
      <xdr:rowOff>121285</xdr:rowOff>
    </xdr:from>
    <xdr:to>
      <xdr:col>13</xdr:col>
      <xdr:colOff>355600</xdr:colOff>
      <xdr:row>55</xdr:row>
      <xdr:rowOff>36195</xdr:rowOff>
    </xdr:to>
    <xdr:sp>
      <xdr:nvSpPr>
        <xdr:cNvPr id="25" name="圆角矩形 24"/>
        <xdr:cNvSpPr/>
      </xdr:nvSpPr>
      <xdr:spPr>
        <a:xfrm>
          <a:off x="8223250" y="886523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稀有奖励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95250</xdr:colOff>
      <xdr:row>58</xdr:row>
      <xdr:rowOff>121920</xdr:rowOff>
    </xdr:from>
    <xdr:to>
      <xdr:col>3</xdr:col>
      <xdr:colOff>457200</xdr:colOff>
      <xdr:row>62</xdr:row>
      <xdr:rowOff>36830</xdr:rowOff>
    </xdr:to>
    <xdr:sp>
      <xdr:nvSpPr>
        <xdr:cNvPr id="26" name="圆角矩形 25"/>
        <xdr:cNvSpPr/>
      </xdr:nvSpPr>
      <xdr:spPr>
        <a:xfrm>
          <a:off x="1466850" y="1006602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武器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5</xdr:col>
      <xdr:colOff>360045</xdr:colOff>
      <xdr:row>58</xdr:row>
      <xdr:rowOff>121920</xdr:rowOff>
    </xdr:from>
    <xdr:to>
      <xdr:col>7</xdr:col>
      <xdr:colOff>36195</xdr:colOff>
      <xdr:row>62</xdr:row>
      <xdr:rowOff>36830</xdr:rowOff>
    </xdr:to>
    <xdr:sp>
      <xdr:nvSpPr>
        <xdr:cNvPr id="27" name="圆角矩形 26"/>
        <xdr:cNvSpPr/>
      </xdr:nvSpPr>
      <xdr:spPr>
        <a:xfrm>
          <a:off x="3789045" y="1006602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升级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5</xdr:col>
      <xdr:colOff>360045</xdr:colOff>
      <xdr:row>64</xdr:row>
      <xdr:rowOff>170180</xdr:rowOff>
    </xdr:from>
    <xdr:to>
      <xdr:col>7</xdr:col>
      <xdr:colOff>36195</xdr:colOff>
      <xdr:row>68</xdr:row>
      <xdr:rowOff>85090</xdr:rowOff>
    </xdr:to>
    <xdr:sp>
      <xdr:nvSpPr>
        <xdr:cNvPr id="28" name="圆角矩形 27"/>
        <xdr:cNvSpPr/>
      </xdr:nvSpPr>
      <xdr:spPr>
        <a:xfrm>
          <a:off x="3789045" y="1114298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突破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58</xdr:row>
      <xdr:rowOff>121920</xdr:rowOff>
    </xdr:from>
    <xdr:to>
      <xdr:col>10</xdr:col>
      <xdr:colOff>196215</xdr:colOff>
      <xdr:row>62</xdr:row>
      <xdr:rowOff>36830</xdr:rowOff>
    </xdr:to>
    <xdr:sp>
      <xdr:nvSpPr>
        <xdr:cNvPr id="29" name="圆角矩形 28"/>
        <xdr:cNvSpPr/>
      </xdr:nvSpPr>
      <xdr:spPr>
        <a:xfrm>
          <a:off x="6006465" y="1006602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>
              <a:latin typeface="微软雅黑" panose="020B0503020204020204" charset="-122"/>
              <a:ea typeface="微软雅黑" panose="020B0503020204020204" charset="-122"/>
            </a:rPr>
            <a:t>矿石</a:t>
          </a:r>
          <a:r>
            <a:rPr lang="en-US" altLang="zh-CN" sz="1200">
              <a:latin typeface="微软雅黑" panose="020B0503020204020204" charset="-122"/>
              <a:ea typeface="微软雅黑" panose="020B0503020204020204" charset="-122"/>
            </a:rPr>
            <a:t>&amp;</a:t>
          </a:r>
          <a:r>
            <a:rPr lang="zh-CN" altLang="en-US" sz="1200">
              <a:latin typeface="微软雅黑" panose="020B0503020204020204" charset="-122"/>
              <a:ea typeface="微软雅黑" panose="020B0503020204020204" charset="-122"/>
            </a:rPr>
            <a:t>狗粮</a:t>
          </a:r>
          <a:endParaRPr lang="zh-CN" altLang="en-US" sz="12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64</xdr:row>
      <xdr:rowOff>170180</xdr:rowOff>
    </xdr:from>
    <xdr:to>
      <xdr:col>10</xdr:col>
      <xdr:colOff>196215</xdr:colOff>
      <xdr:row>68</xdr:row>
      <xdr:rowOff>85090</xdr:rowOff>
    </xdr:to>
    <xdr:sp>
      <xdr:nvSpPr>
        <xdr:cNvPr id="30" name="圆角矩形 29"/>
        <xdr:cNvSpPr/>
      </xdr:nvSpPr>
      <xdr:spPr>
        <a:xfrm>
          <a:off x="6006465" y="1114298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200">
              <a:latin typeface="微软雅黑" panose="020B0503020204020204" charset="-122"/>
              <a:ea typeface="微软雅黑" panose="020B0503020204020204" charset="-122"/>
            </a:rPr>
            <a:t>武器突破材料</a:t>
          </a:r>
          <a:endParaRPr lang="zh-CN" altLang="en-US" sz="12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7</xdr:col>
      <xdr:colOff>36195</xdr:colOff>
      <xdr:row>15</xdr:row>
      <xdr:rowOff>38100</xdr:rowOff>
    </xdr:from>
    <xdr:to>
      <xdr:col>8</xdr:col>
      <xdr:colOff>520065</xdr:colOff>
      <xdr:row>15</xdr:row>
      <xdr:rowOff>38100</xdr:rowOff>
    </xdr:to>
    <xdr:cxnSp>
      <xdr:nvCxnSpPr>
        <xdr:cNvPr id="31" name="直接连接符 30"/>
        <xdr:cNvCxnSpPr>
          <a:stCxn id="4" idx="3"/>
          <a:endCxn id="6" idx="1"/>
        </xdr:cNvCxnSpPr>
      </xdr:nvCxnSpPr>
      <xdr:spPr>
        <a:xfrm>
          <a:off x="4836795" y="2609850"/>
          <a:ext cx="116967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21</xdr:row>
      <xdr:rowOff>85725</xdr:rowOff>
    </xdr:from>
    <xdr:to>
      <xdr:col>8</xdr:col>
      <xdr:colOff>520065</xdr:colOff>
      <xdr:row>21</xdr:row>
      <xdr:rowOff>86360</xdr:rowOff>
    </xdr:to>
    <xdr:cxnSp>
      <xdr:nvCxnSpPr>
        <xdr:cNvPr id="32" name="直接连接符 31"/>
        <xdr:cNvCxnSpPr>
          <a:stCxn id="5" idx="3"/>
          <a:endCxn id="8" idx="1"/>
        </xdr:cNvCxnSpPr>
      </xdr:nvCxnSpPr>
      <xdr:spPr>
        <a:xfrm>
          <a:off x="4836795" y="3686175"/>
          <a:ext cx="1169670" cy="63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21</xdr:row>
      <xdr:rowOff>85725</xdr:rowOff>
    </xdr:from>
    <xdr:to>
      <xdr:col>8</xdr:col>
      <xdr:colOff>520065</xdr:colOff>
      <xdr:row>27</xdr:row>
      <xdr:rowOff>133985</xdr:rowOff>
    </xdr:to>
    <xdr:cxnSp>
      <xdr:nvCxnSpPr>
        <xdr:cNvPr id="33" name="直接连接符 32"/>
        <xdr:cNvCxnSpPr>
          <a:stCxn id="5" idx="3"/>
          <a:endCxn id="11" idx="1"/>
        </xdr:cNvCxnSpPr>
      </xdr:nvCxnSpPr>
      <xdr:spPr>
        <a:xfrm>
          <a:off x="4836795" y="3686175"/>
          <a:ext cx="1169670" cy="107696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34</xdr:row>
      <xdr:rowOff>10160</xdr:rowOff>
    </xdr:from>
    <xdr:to>
      <xdr:col>5</xdr:col>
      <xdr:colOff>360045</xdr:colOff>
      <xdr:row>40</xdr:row>
      <xdr:rowOff>147955</xdr:rowOff>
    </xdr:to>
    <xdr:cxnSp>
      <xdr:nvCxnSpPr>
        <xdr:cNvPr id="35" name="直接连接符 34"/>
        <xdr:cNvCxnSpPr>
          <a:stCxn id="13" idx="3"/>
          <a:endCxn id="14" idx="1"/>
        </xdr:cNvCxnSpPr>
      </xdr:nvCxnSpPr>
      <xdr:spPr>
        <a:xfrm flipV="1">
          <a:off x="2514600" y="5839460"/>
          <a:ext cx="1274445" cy="116649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34</xdr:row>
      <xdr:rowOff>10160</xdr:rowOff>
    </xdr:from>
    <xdr:to>
      <xdr:col>8</xdr:col>
      <xdr:colOff>520065</xdr:colOff>
      <xdr:row>34</xdr:row>
      <xdr:rowOff>10160</xdr:rowOff>
    </xdr:to>
    <xdr:cxnSp>
      <xdr:nvCxnSpPr>
        <xdr:cNvPr id="36" name="直接连接符 35"/>
        <xdr:cNvCxnSpPr>
          <a:stCxn id="14" idx="3"/>
          <a:endCxn id="17" idx="1"/>
        </xdr:cNvCxnSpPr>
      </xdr:nvCxnSpPr>
      <xdr:spPr>
        <a:xfrm>
          <a:off x="4836795" y="5839460"/>
          <a:ext cx="116967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40</xdr:row>
      <xdr:rowOff>58420</xdr:rowOff>
    </xdr:from>
    <xdr:to>
      <xdr:col>8</xdr:col>
      <xdr:colOff>520065</xdr:colOff>
      <xdr:row>40</xdr:row>
      <xdr:rowOff>58420</xdr:rowOff>
    </xdr:to>
    <xdr:cxnSp>
      <xdr:nvCxnSpPr>
        <xdr:cNvPr id="37" name="直接连接符 36"/>
        <xdr:cNvCxnSpPr>
          <a:stCxn id="15" idx="3"/>
          <a:endCxn id="18" idx="1"/>
        </xdr:cNvCxnSpPr>
      </xdr:nvCxnSpPr>
      <xdr:spPr>
        <a:xfrm>
          <a:off x="4836795" y="6916420"/>
          <a:ext cx="116967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34</xdr:row>
      <xdr:rowOff>10160</xdr:rowOff>
    </xdr:from>
    <xdr:to>
      <xdr:col>8</xdr:col>
      <xdr:colOff>520065</xdr:colOff>
      <xdr:row>40</xdr:row>
      <xdr:rowOff>58420</xdr:rowOff>
    </xdr:to>
    <xdr:cxnSp>
      <xdr:nvCxnSpPr>
        <xdr:cNvPr id="38" name="直接连接符 37"/>
        <xdr:cNvCxnSpPr>
          <a:stCxn id="14" idx="3"/>
          <a:endCxn id="18" idx="1"/>
        </xdr:cNvCxnSpPr>
      </xdr:nvCxnSpPr>
      <xdr:spPr>
        <a:xfrm>
          <a:off x="4836795" y="5839460"/>
          <a:ext cx="1169670" cy="107696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34</xdr:row>
      <xdr:rowOff>10160</xdr:rowOff>
    </xdr:from>
    <xdr:to>
      <xdr:col>8</xdr:col>
      <xdr:colOff>520065</xdr:colOff>
      <xdr:row>40</xdr:row>
      <xdr:rowOff>58420</xdr:rowOff>
    </xdr:to>
    <xdr:cxnSp>
      <xdr:nvCxnSpPr>
        <xdr:cNvPr id="39" name="直接连接符 38"/>
        <xdr:cNvCxnSpPr>
          <a:stCxn id="15" idx="3"/>
          <a:endCxn id="17" idx="1"/>
        </xdr:cNvCxnSpPr>
      </xdr:nvCxnSpPr>
      <xdr:spPr>
        <a:xfrm flipV="1">
          <a:off x="4836795" y="5839460"/>
          <a:ext cx="1169670" cy="107696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40</xdr:row>
      <xdr:rowOff>58420</xdr:rowOff>
    </xdr:from>
    <xdr:to>
      <xdr:col>8</xdr:col>
      <xdr:colOff>520065</xdr:colOff>
      <xdr:row>46</xdr:row>
      <xdr:rowOff>106680</xdr:rowOff>
    </xdr:to>
    <xdr:cxnSp>
      <xdr:nvCxnSpPr>
        <xdr:cNvPr id="40" name="直接连接符 39"/>
        <xdr:cNvCxnSpPr>
          <a:stCxn id="15" idx="3"/>
          <a:endCxn id="19" idx="1"/>
        </xdr:cNvCxnSpPr>
      </xdr:nvCxnSpPr>
      <xdr:spPr>
        <a:xfrm>
          <a:off x="4836795" y="6916420"/>
          <a:ext cx="1169670" cy="107696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46</xdr:row>
      <xdr:rowOff>106680</xdr:rowOff>
    </xdr:from>
    <xdr:to>
      <xdr:col>8</xdr:col>
      <xdr:colOff>520065</xdr:colOff>
      <xdr:row>53</xdr:row>
      <xdr:rowOff>78740</xdr:rowOff>
    </xdr:to>
    <xdr:cxnSp>
      <xdr:nvCxnSpPr>
        <xdr:cNvPr id="41" name="直接连接符 40"/>
        <xdr:cNvCxnSpPr>
          <a:stCxn id="16" idx="3"/>
          <a:endCxn id="20" idx="1"/>
        </xdr:cNvCxnSpPr>
      </xdr:nvCxnSpPr>
      <xdr:spPr>
        <a:xfrm>
          <a:off x="4836795" y="7993380"/>
          <a:ext cx="1169670" cy="117221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46</xdr:row>
      <xdr:rowOff>106680</xdr:rowOff>
    </xdr:from>
    <xdr:to>
      <xdr:col>8</xdr:col>
      <xdr:colOff>520065</xdr:colOff>
      <xdr:row>46</xdr:row>
      <xdr:rowOff>106680</xdr:rowOff>
    </xdr:to>
    <xdr:cxnSp>
      <xdr:nvCxnSpPr>
        <xdr:cNvPr id="42" name="直接连接符 41"/>
        <xdr:cNvCxnSpPr>
          <a:stCxn id="16" idx="3"/>
          <a:endCxn id="19" idx="1"/>
        </xdr:cNvCxnSpPr>
      </xdr:nvCxnSpPr>
      <xdr:spPr>
        <a:xfrm>
          <a:off x="4836795" y="7993380"/>
          <a:ext cx="116967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40</xdr:row>
      <xdr:rowOff>58420</xdr:rowOff>
    </xdr:from>
    <xdr:to>
      <xdr:col>8</xdr:col>
      <xdr:colOff>520065</xdr:colOff>
      <xdr:row>46</xdr:row>
      <xdr:rowOff>106680</xdr:rowOff>
    </xdr:to>
    <xdr:cxnSp>
      <xdr:nvCxnSpPr>
        <xdr:cNvPr id="43" name="直接连接符 42"/>
        <xdr:cNvCxnSpPr>
          <a:stCxn id="16" idx="3"/>
          <a:endCxn id="18" idx="1"/>
        </xdr:cNvCxnSpPr>
      </xdr:nvCxnSpPr>
      <xdr:spPr>
        <a:xfrm flipV="1">
          <a:off x="4836795" y="6916420"/>
          <a:ext cx="1169670" cy="107696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34</xdr:row>
      <xdr:rowOff>10160</xdr:rowOff>
    </xdr:from>
    <xdr:to>
      <xdr:col>8</xdr:col>
      <xdr:colOff>520065</xdr:colOff>
      <xdr:row>46</xdr:row>
      <xdr:rowOff>106680</xdr:rowOff>
    </xdr:to>
    <xdr:cxnSp>
      <xdr:nvCxnSpPr>
        <xdr:cNvPr id="44" name="直接连接符 43"/>
        <xdr:cNvCxnSpPr>
          <a:stCxn id="16" idx="3"/>
          <a:endCxn id="17" idx="1"/>
        </xdr:cNvCxnSpPr>
      </xdr:nvCxnSpPr>
      <xdr:spPr>
        <a:xfrm flipV="1">
          <a:off x="4836795" y="5839460"/>
          <a:ext cx="1169670" cy="215392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60</xdr:row>
      <xdr:rowOff>79375</xdr:rowOff>
    </xdr:from>
    <xdr:to>
      <xdr:col>5</xdr:col>
      <xdr:colOff>360045</xdr:colOff>
      <xdr:row>60</xdr:row>
      <xdr:rowOff>79375</xdr:rowOff>
    </xdr:to>
    <xdr:cxnSp>
      <xdr:nvCxnSpPr>
        <xdr:cNvPr id="45" name="直接连接符 44"/>
        <xdr:cNvCxnSpPr>
          <a:stCxn id="26" idx="3"/>
          <a:endCxn id="27" idx="1"/>
        </xdr:cNvCxnSpPr>
      </xdr:nvCxnSpPr>
      <xdr:spPr>
        <a:xfrm>
          <a:off x="2514600" y="10366375"/>
          <a:ext cx="127444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60</xdr:row>
      <xdr:rowOff>79375</xdr:rowOff>
    </xdr:from>
    <xdr:to>
      <xdr:col>5</xdr:col>
      <xdr:colOff>360045</xdr:colOff>
      <xdr:row>66</xdr:row>
      <xdr:rowOff>127635</xdr:rowOff>
    </xdr:to>
    <xdr:cxnSp>
      <xdr:nvCxnSpPr>
        <xdr:cNvPr id="46" name="直接连接符 45"/>
        <xdr:cNvCxnSpPr>
          <a:stCxn id="26" idx="3"/>
          <a:endCxn id="28" idx="1"/>
        </xdr:cNvCxnSpPr>
      </xdr:nvCxnSpPr>
      <xdr:spPr>
        <a:xfrm>
          <a:off x="2514600" y="10366375"/>
          <a:ext cx="1274445" cy="107696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60</xdr:row>
      <xdr:rowOff>79375</xdr:rowOff>
    </xdr:from>
    <xdr:to>
      <xdr:col>8</xdr:col>
      <xdr:colOff>520065</xdr:colOff>
      <xdr:row>60</xdr:row>
      <xdr:rowOff>79375</xdr:rowOff>
    </xdr:to>
    <xdr:cxnSp>
      <xdr:nvCxnSpPr>
        <xdr:cNvPr id="47" name="直接连接符 46"/>
        <xdr:cNvCxnSpPr>
          <a:stCxn id="27" idx="3"/>
          <a:endCxn id="29" idx="1"/>
        </xdr:cNvCxnSpPr>
      </xdr:nvCxnSpPr>
      <xdr:spPr>
        <a:xfrm>
          <a:off x="4836795" y="10366375"/>
          <a:ext cx="116967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66</xdr:row>
      <xdr:rowOff>127635</xdr:rowOff>
    </xdr:from>
    <xdr:to>
      <xdr:col>8</xdr:col>
      <xdr:colOff>520065</xdr:colOff>
      <xdr:row>66</xdr:row>
      <xdr:rowOff>127635</xdr:rowOff>
    </xdr:to>
    <xdr:cxnSp>
      <xdr:nvCxnSpPr>
        <xdr:cNvPr id="48" name="直接连接符 47"/>
        <xdr:cNvCxnSpPr>
          <a:stCxn id="28" idx="3"/>
          <a:endCxn id="30" idx="1"/>
        </xdr:cNvCxnSpPr>
      </xdr:nvCxnSpPr>
      <xdr:spPr>
        <a:xfrm>
          <a:off x="4836795" y="11443335"/>
          <a:ext cx="116967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60</xdr:row>
      <xdr:rowOff>79375</xdr:rowOff>
    </xdr:from>
    <xdr:to>
      <xdr:col>11</xdr:col>
      <xdr:colOff>679450</xdr:colOff>
      <xdr:row>60</xdr:row>
      <xdr:rowOff>80010</xdr:rowOff>
    </xdr:to>
    <xdr:cxnSp>
      <xdr:nvCxnSpPr>
        <xdr:cNvPr id="49" name="直接连接符 48"/>
        <xdr:cNvCxnSpPr>
          <a:stCxn id="29" idx="3"/>
          <a:endCxn id="50" idx="1"/>
        </xdr:cNvCxnSpPr>
      </xdr:nvCxnSpPr>
      <xdr:spPr>
        <a:xfrm>
          <a:off x="7054215" y="10366375"/>
          <a:ext cx="1169035" cy="635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679450</xdr:colOff>
      <xdr:row>58</xdr:row>
      <xdr:rowOff>122555</xdr:rowOff>
    </xdr:from>
    <xdr:to>
      <xdr:col>13</xdr:col>
      <xdr:colOff>355600</xdr:colOff>
      <xdr:row>62</xdr:row>
      <xdr:rowOff>36830</xdr:rowOff>
    </xdr:to>
    <xdr:sp>
      <xdr:nvSpPr>
        <xdr:cNvPr id="50" name="圆角矩形 49"/>
        <xdr:cNvSpPr/>
      </xdr:nvSpPr>
      <xdr:spPr>
        <a:xfrm>
          <a:off x="8223250" y="10066655"/>
          <a:ext cx="1047750" cy="600075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solidFill>
                <a:srgbClr val="FF0000"/>
              </a:solidFill>
              <a:latin typeface="微软雅黑" panose="020B0503020204020204" charset="-122"/>
              <a:ea typeface="微软雅黑" panose="020B0503020204020204" charset="-122"/>
            </a:rPr>
            <a:t>地图探索</a:t>
          </a:r>
          <a:endParaRPr lang="zh-CN" altLang="en-US" sz="1400" b="1">
            <a:solidFill>
              <a:srgbClr val="FF0000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11</xdr:col>
      <xdr:colOff>679450</xdr:colOff>
      <xdr:row>64</xdr:row>
      <xdr:rowOff>170180</xdr:rowOff>
    </xdr:from>
    <xdr:to>
      <xdr:col>13</xdr:col>
      <xdr:colOff>355600</xdr:colOff>
      <xdr:row>68</xdr:row>
      <xdr:rowOff>85090</xdr:rowOff>
    </xdr:to>
    <xdr:sp>
      <xdr:nvSpPr>
        <xdr:cNvPr id="51" name="圆角矩形 50"/>
        <xdr:cNvSpPr/>
      </xdr:nvSpPr>
      <xdr:spPr>
        <a:xfrm>
          <a:off x="8223250" y="1114298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武器副本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10</xdr:col>
      <xdr:colOff>196215</xdr:colOff>
      <xdr:row>66</xdr:row>
      <xdr:rowOff>127635</xdr:rowOff>
    </xdr:from>
    <xdr:to>
      <xdr:col>11</xdr:col>
      <xdr:colOff>679450</xdr:colOff>
      <xdr:row>66</xdr:row>
      <xdr:rowOff>127635</xdr:rowOff>
    </xdr:to>
    <xdr:cxnSp>
      <xdr:nvCxnSpPr>
        <xdr:cNvPr id="53" name="直接连接符 52"/>
        <xdr:cNvCxnSpPr>
          <a:stCxn id="30" idx="3"/>
          <a:endCxn id="51" idx="1"/>
        </xdr:cNvCxnSpPr>
      </xdr:nvCxnSpPr>
      <xdr:spPr>
        <a:xfrm>
          <a:off x="7054215" y="11443335"/>
          <a:ext cx="116903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15</xdr:row>
      <xdr:rowOff>38100</xdr:rowOff>
    </xdr:from>
    <xdr:to>
      <xdr:col>11</xdr:col>
      <xdr:colOff>680085</xdr:colOff>
      <xdr:row>15</xdr:row>
      <xdr:rowOff>38100</xdr:rowOff>
    </xdr:to>
    <xdr:cxnSp>
      <xdr:nvCxnSpPr>
        <xdr:cNvPr id="55" name="直接连接符 54"/>
        <xdr:cNvCxnSpPr>
          <a:stCxn id="6" idx="3"/>
          <a:endCxn id="9" idx="1"/>
        </xdr:cNvCxnSpPr>
      </xdr:nvCxnSpPr>
      <xdr:spPr>
        <a:xfrm>
          <a:off x="7054215" y="2609850"/>
          <a:ext cx="1169670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21</xdr:row>
      <xdr:rowOff>85725</xdr:rowOff>
    </xdr:from>
    <xdr:to>
      <xdr:col>11</xdr:col>
      <xdr:colOff>679450</xdr:colOff>
      <xdr:row>21</xdr:row>
      <xdr:rowOff>86360</xdr:rowOff>
    </xdr:to>
    <xdr:cxnSp>
      <xdr:nvCxnSpPr>
        <xdr:cNvPr id="56" name="直接连接符 55"/>
        <xdr:cNvCxnSpPr>
          <a:stCxn id="8" idx="3"/>
          <a:endCxn id="10" idx="1"/>
        </xdr:cNvCxnSpPr>
      </xdr:nvCxnSpPr>
      <xdr:spPr>
        <a:xfrm flipV="1">
          <a:off x="7054215" y="3686175"/>
          <a:ext cx="1169035" cy="63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21</xdr:row>
      <xdr:rowOff>85725</xdr:rowOff>
    </xdr:from>
    <xdr:to>
      <xdr:col>11</xdr:col>
      <xdr:colOff>679450</xdr:colOff>
      <xdr:row>27</xdr:row>
      <xdr:rowOff>133985</xdr:rowOff>
    </xdr:to>
    <xdr:cxnSp>
      <xdr:nvCxnSpPr>
        <xdr:cNvPr id="57" name="直接连接符 56"/>
        <xdr:cNvCxnSpPr>
          <a:stCxn id="11" idx="3"/>
          <a:endCxn id="10" idx="1"/>
        </xdr:cNvCxnSpPr>
      </xdr:nvCxnSpPr>
      <xdr:spPr>
        <a:xfrm flipV="1">
          <a:off x="7054215" y="3686175"/>
          <a:ext cx="1169035" cy="107696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27</xdr:row>
      <xdr:rowOff>133985</xdr:rowOff>
    </xdr:from>
    <xdr:to>
      <xdr:col>11</xdr:col>
      <xdr:colOff>679450</xdr:colOff>
      <xdr:row>46</xdr:row>
      <xdr:rowOff>106680</xdr:rowOff>
    </xdr:to>
    <xdr:cxnSp>
      <xdr:nvCxnSpPr>
        <xdr:cNvPr id="58" name="直接连接符 57"/>
        <xdr:cNvCxnSpPr>
          <a:stCxn id="11" idx="3"/>
          <a:endCxn id="22" idx="1"/>
        </xdr:cNvCxnSpPr>
      </xdr:nvCxnSpPr>
      <xdr:spPr>
        <a:xfrm>
          <a:off x="7054215" y="4763135"/>
          <a:ext cx="1169035" cy="323024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40</xdr:row>
      <xdr:rowOff>58420</xdr:rowOff>
    </xdr:from>
    <xdr:to>
      <xdr:col>11</xdr:col>
      <xdr:colOff>679450</xdr:colOff>
      <xdr:row>40</xdr:row>
      <xdr:rowOff>58420</xdr:rowOff>
    </xdr:to>
    <xdr:cxnSp>
      <xdr:nvCxnSpPr>
        <xdr:cNvPr id="59" name="直接连接符 58"/>
        <xdr:cNvCxnSpPr>
          <a:stCxn id="18" idx="3"/>
          <a:endCxn id="21" idx="1"/>
        </xdr:cNvCxnSpPr>
      </xdr:nvCxnSpPr>
      <xdr:spPr>
        <a:xfrm>
          <a:off x="7054215" y="6916420"/>
          <a:ext cx="116903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40</xdr:row>
      <xdr:rowOff>58420</xdr:rowOff>
    </xdr:from>
    <xdr:to>
      <xdr:col>5</xdr:col>
      <xdr:colOff>360045</xdr:colOff>
      <xdr:row>40</xdr:row>
      <xdr:rowOff>147955</xdr:rowOff>
    </xdr:to>
    <xdr:cxnSp>
      <xdr:nvCxnSpPr>
        <xdr:cNvPr id="61" name="直接连接符 60"/>
        <xdr:cNvCxnSpPr>
          <a:stCxn id="13" idx="3"/>
          <a:endCxn id="15" idx="1"/>
        </xdr:cNvCxnSpPr>
      </xdr:nvCxnSpPr>
      <xdr:spPr>
        <a:xfrm flipV="1">
          <a:off x="2514600" y="6916420"/>
          <a:ext cx="1274445" cy="8953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40</xdr:row>
      <xdr:rowOff>147955</xdr:rowOff>
    </xdr:from>
    <xdr:to>
      <xdr:col>5</xdr:col>
      <xdr:colOff>360045</xdr:colOff>
      <xdr:row>46</xdr:row>
      <xdr:rowOff>106680</xdr:rowOff>
    </xdr:to>
    <xdr:cxnSp>
      <xdr:nvCxnSpPr>
        <xdr:cNvPr id="62" name="直接连接符 61"/>
        <xdr:cNvCxnSpPr>
          <a:stCxn id="13" idx="3"/>
          <a:endCxn id="16" idx="1"/>
        </xdr:cNvCxnSpPr>
      </xdr:nvCxnSpPr>
      <xdr:spPr>
        <a:xfrm>
          <a:off x="2514600" y="7005955"/>
          <a:ext cx="1274445" cy="98742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46</xdr:row>
      <xdr:rowOff>106680</xdr:rowOff>
    </xdr:from>
    <xdr:to>
      <xdr:col>11</xdr:col>
      <xdr:colOff>679450</xdr:colOff>
      <xdr:row>46</xdr:row>
      <xdr:rowOff>106680</xdr:rowOff>
    </xdr:to>
    <xdr:cxnSp>
      <xdr:nvCxnSpPr>
        <xdr:cNvPr id="63" name="直接连接符 62"/>
        <xdr:cNvCxnSpPr>
          <a:stCxn id="19" idx="3"/>
          <a:endCxn id="22" idx="1"/>
        </xdr:cNvCxnSpPr>
      </xdr:nvCxnSpPr>
      <xdr:spPr>
        <a:xfrm>
          <a:off x="7054215" y="7993380"/>
          <a:ext cx="116903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53</xdr:row>
      <xdr:rowOff>78740</xdr:rowOff>
    </xdr:from>
    <xdr:to>
      <xdr:col>11</xdr:col>
      <xdr:colOff>679450</xdr:colOff>
      <xdr:row>53</xdr:row>
      <xdr:rowOff>78740</xdr:rowOff>
    </xdr:to>
    <xdr:cxnSp>
      <xdr:nvCxnSpPr>
        <xdr:cNvPr id="65" name="直接连接符 64"/>
        <xdr:cNvCxnSpPr>
          <a:stCxn id="20" idx="3"/>
          <a:endCxn id="25" idx="1"/>
        </xdr:cNvCxnSpPr>
      </xdr:nvCxnSpPr>
      <xdr:spPr>
        <a:xfrm>
          <a:off x="7054215" y="9165590"/>
          <a:ext cx="116903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34</xdr:row>
      <xdr:rowOff>10160</xdr:rowOff>
    </xdr:from>
    <xdr:to>
      <xdr:col>11</xdr:col>
      <xdr:colOff>679450</xdr:colOff>
      <xdr:row>60</xdr:row>
      <xdr:rowOff>80010</xdr:rowOff>
    </xdr:to>
    <xdr:cxnSp>
      <xdr:nvCxnSpPr>
        <xdr:cNvPr id="70" name="直接连接符 69"/>
        <xdr:cNvCxnSpPr>
          <a:stCxn id="17" idx="3"/>
          <a:endCxn id="50" idx="1"/>
        </xdr:cNvCxnSpPr>
      </xdr:nvCxnSpPr>
      <xdr:spPr>
        <a:xfrm>
          <a:off x="7054215" y="5839460"/>
          <a:ext cx="1169035" cy="452755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79375</xdr:colOff>
      <xdr:row>58</xdr:row>
      <xdr:rowOff>122555</xdr:rowOff>
    </xdr:from>
    <xdr:to>
      <xdr:col>17</xdr:col>
      <xdr:colOff>441325</xdr:colOff>
      <xdr:row>62</xdr:row>
      <xdr:rowOff>36830</xdr:rowOff>
    </xdr:to>
    <xdr:sp>
      <xdr:nvSpPr>
        <xdr:cNvPr id="71" name="圆角矩形 70"/>
        <xdr:cNvSpPr/>
      </xdr:nvSpPr>
      <xdr:spPr>
        <a:xfrm>
          <a:off x="11052175" y="10066655"/>
          <a:ext cx="1047750" cy="600075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周期刷新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11</xdr:col>
      <xdr:colOff>679450</xdr:colOff>
      <xdr:row>38</xdr:row>
      <xdr:rowOff>100965</xdr:rowOff>
    </xdr:from>
    <xdr:to>
      <xdr:col>13</xdr:col>
      <xdr:colOff>355600</xdr:colOff>
      <xdr:row>42</xdr:row>
      <xdr:rowOff>15875</xdr:rowOff>
    </xdr:to>
    <xdr:sp>
      <xdr:nvSpPr>
        <xdr:cNvPr id="21" name="圆角矩形 20"/>
        <xdr:cNvSpPr/>
      </xdr:nvSpPr>
      <xdr:spPr>
        <a:xfrm>
          <a:off x="8223250" y="661606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atin typeface="微软雅黑" panose="020B0503020204020204" charset="-122"/>
              <a:ea typeface="微软雅黑" panose="020B0503020204020204" charset="-122"/>
            </a:rPr>
            <a:t>天赋副本</a:t>
          </a:r>
          <a:endParaRPr lang="zh-CN" altLang="en-US" sz="10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16</xdr:col>
      <xdr:colOff>79375</xdr:colOff>
      <xdr:row>38</xdr:row>
      <xdr:rowOff>100965</xdr:rowOff>
    </xdr:from>
    <xdr:to>
      <xdr:col>17</xdr:col>
      <xdr:colOff>441325</xdr:colOff>
      <xdr:row>42</xdr:row>
      <xdr:rowOff>15240</xdr:rowOff>
    </xdr:to>
    <xdr:sp>
      <xdr:nvSpPr>
        <xdr:cNvPr id="73" name="圆角矩形 72"/>
        <xdr:cNvSpPr/>
      </xdr:nvSpPr>
      <xdr:spPr>
        <a:xfrm>
          <a:off x="11052175" y="6616065"/>
          <a:ext cx="1047750" cy="600075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体力消耗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13</xdr:col>
      <xdr:colOff>356235</xdr:colOff>
      <xdr:row>15</xdr:row>
      <xdr:rowOff>38100</xdr:rowOff>
    </xdr:from>
    <xdr:to>
      <xdr:col>16</xdr:col>
      <xdr:colOff>79375</xdr:colOff>
      <xdr:row>40</xdr:row>
      <xdr:rowOff>58420</xdr:rowOff>
    </xdr:to>
    <xdr:cxnSp>
      <xdr:nvCxnSpPr>
        <xdr:cNvPr id="74" name="直接连接符 73"/>
        <xdr:cNvCxnSpPr>
          <a:stCxn id="9" idx="3"/>
          <a:endCxn id="73" idx="1"/>
        </xdr:cNvCxnSpPr>
      </xdr:nvCxnSpPr>
      <xdr:spPr>
        <a:xfrm>
          <a:off x="9271635" y="2609850"/>
          <a:ext cx="1780540" cy="430657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355600</xdr:colOff>
      <xdr:row>21</xdr:row>
      <xdr:rowOff>85725</xdr:rowOff>
    </xdr:from>
    <xdr:to>
      <xdr:col>16</xdr:col>
      <xdr:colOff>79375</xdr:colOff>
      <xdr:row>40</xdr:row>
      <xdr:rowOff>58420</xdr:rowOff>
    </xdr:to>
    <xdr:cxnSp>
      <xdr:nvCxnSpPr>
        <xdr:cNvPr id="75" name="直接连接符 74"/>
        <xdr:cNvCxnSpPr>
          <a:stCxn id="10" idx="3"/>
          <a:endCxn id="73" idx="1"/>
        </xdr:cNvCxnSpPr>
      </xdr:nvCxnSpPr>
      <xdr:spPr>
        <a:xfrm>
          <a:off x="9271000" y="3686175"/>
          <a:ext cx="1781175" cy="323024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355600</xdr:colOff>
      <xdr:row>40</xdr:row>
      <xdr:rowOff>58420</xdr:rowOff>
    </xdr:from>
    <xdr:to>
      <xdr:col>16</xdr:col>
      <xdr:colOff>79375</xdr:colOff>
      <xdr:row>40</xdr:row>
      <xdr:rowOff>58420</xdr:rowOff>
    </xdr:to>
    <xdr:cxnSp>
      <xdr:nvCxnSpPr>
        <xdr:cNvPr id="76" name="直接连接符 75"/>
        <xdr:cNvCxnSpPr>
          <a:stCxn id="21" idx="3"/>
          <a:endCxn id="73" idx="1"/>
        </xdr:cNvCxnSpPr>
      </xdr:nvCxnSpPr>
      <xdr:spPr>
        <a:xfrm>
          <a:off x="9271000" y="6916420"/>
          <a:ext cx="178117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355600</xdr:colOff>
      <xdr:row>40</xdr:row>
      <xdr:rowOff>58420</xdr:rowOff>
    </xdr:from>
    <xdr:to>
      <xdr:col>16</xdr:col>
      <xdr:colOff>79375</xdr:colOff>
      <xdr:row>46</xdr:row>
      <xdr:rowOff>106680</xdr:rowOff>
    </xdr:to>
    <xdr:cxnSp>
      <xdr:nvCxnSpPr>
        <xdr:cNvPr id="77" name="直接连接符 76"/>
        <xdr:cNvCxnSpPr>
          <a:stCxn id="22" idx="3"/>
          <a:endCxn id="73" idx="1"/>
        </xdr:cNvCxnSpPr>
      </xdr:nvCxnSpPr>
      <xdr:spPr>
        <a:xfrm flipV="1">
          <a:off x="9271000" y="6916420"/>
          <a:ext cx="1781175" cy="107696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355600</xdr:colOff>
      <xdr:row>60</xdr:row>
      <xdr:rowOff>80010</xdr:rowOff>
    </xdr:from>
    <xdr:to>
      <xdr:col>16</xdr:col>
      <xdr:colOff>79375</xdr:colOff>
      <xdr:row>60</xdr:row>
      <xdr:rowOff>80010</xdr:rowOff>
    </xdr:to>
    <xdr:cxnSp>
      <xdr:nvCxnSpPr>
        <xdr:cNvPr id="78" name="直接连接符 77"/>
        <xdr:cNvCxnSpPr>
          <a:stCxn id="50" idx="3"/>
          <a:endCxn id="71" idx="1"/>
        </xdr:cNvCxnSpPr>
      </xdr:nvCxnSpPr>
      <xdr:spPr>
        <a:xfrm>
          <a:off x="9271000" y="10367010"/>
          <a:ext cx="1781175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355600</xdr:colOff>
      <xdr:row>40</xdr:row>
      <xdr:rowOff>58420</xdr:rowOff>
    </xdr:from>
    <xdr:to>
      <xdr:col>16</xdr:col>
      <xdr:colOff>79375</xdr:colOff>
      <xdr:row>66</xdr:row>
      <xdr:rowOff>127635</xdr:rowOff>
    </xdr:to>
    <xdr:cxnSp>
      <xdr:nvCxnSpPr>
        <xdr:cNvPr id="80" name="直接连接符 79"/>
        <xdr:cNvCxnSpPr>
          <a:stCxn id="51" idx="3"/>
          <a:endCxn id="73" idx="1"/>
        </xdr:cNvCxnSpPr>
      </xdr:nvCxnSpPr>
      <xdr:spPr>
        <a:xfrm flipV="1">
          <a:off x="9271000" y="6916420"/>
          <a:ext cx="1781175" cy="452691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355600</xdr:colOff>
      <xdr:row>40</xdr:row>
      <xdr:rowOff>58420</xdr:rowOff>
    </xdr:from>
    <xdr:to>
      <xdr:col>16</xdr:col>
      <xdr:colOff>79375</xdr:colOff>
      <xdr:row>73</xdr:row>
      <xdr:rowOff>93980</xdr:rowOff>
    </xdr:to>
    <xdr:cxnSp>
      <xdr:nvCxnSpPr>
        <xdr:cNvPr id="81" name="直接连接符 80"/>
        <xdr:cNvCxnSpPr>
          <a:stCxn id="23" idx="3"/>
          <a:endCxn id="73" idx="1"/>
        </xdr:cNvCxnSpPr>
      </xdr:nvCxnSpPr>
      <xdr:spPr>
        <a:xfrm flipV="1">
          <a:off x="9271000" y="6916420"/>
          <a:ext cx="1781175" cy="569341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95250</xdr:colOff>
      <xdr:row>71</xdr:row>
      <xdr:rowOff>136525</xdr:rowOff>
    </xdr:from>
    <xdr:to>
      <xdr:col>3</xdr:col>
      <xdr:colOff>457200</xdr:colOff>
      <xdr:row>75</xdr:row>
      <xdr:rowOff>51435</xdr:rowOff>
    </xdr:to>
    <xdr:sp>
      <xdr:nvSpPr>
        <xdr:cNvPr id="83" name="圆角矩形 82"/>
        <xdr:cNvSpPr/>
      </xdr:nvSpPr>
      <xdr:spPr>
        <a:xfrm>
          <a:off x="1466850" y="1230947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圣遗物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457200</xdr:colOff>
      <xdr:row>73</xdr:row>
      <xdr:rowOff>93980</xdr:rowOff>
    </xdr:from>
    <xdr:to>
      <xdr:col>5</xdr:col>
      <xdr:colOff>360045</xdr:colOff>
      <xdr:row>73</xdr:row>
      <xdr:rowOff>93980</xdr:rowOff>
    </xdr:to>
    <xdr:cxnSp>
      <xdr:nvCxnSpPr>
        <xdr:cNvPr id="84" name="直接连接符 83"/>
        <xdr:cNvCxnSpPr>
          <a:stCxn id="83" idx="3"/>
          <a:endCxn id="89" idx="1"/>
        </xdr:cNvCxnSpPr>
      </xdr:nvCxnSpPr>
      <xdr:spPr>
        <a:xfrm>
          <a:off x="2514600" y="12609830"/>
          <a:ext cx="127444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21</xdr:row>
      <xdr:rowOff>85725</xdr:rowOff>
    </xdr:from>
    <xdr:to>
      <xdr:col>8</xdr:col>
      <xdr:colOff>520065</xdr:colOff>
      <xdr:row>34</xdr:row>
      <xdr:rowOff>10160</xdr:rowOff>
    </xdr:to>
    <xdr:cxnSp>
      <xdr:nvCxnSpPr>
        <xdr:cNvPr id="85" name="直接连接符 84"/>
        <xdr:cNvCxnSpPr>
          <a:stCxn id="5" idx="3"/>
          <a:endCxn id="17" idx="1"/>
        </xdr:cNvCxnSpPr>
      </xdr:nvCxnSpPr>
      <xdr:spPr>
        <a:xfrm>
          <a:off x="4836795" y="3686175"/>
          <a:ext cx="1169670" cy="2153285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544195</xdr:colOff>
      <xdr:row>66</xdr:row>
      <xdr:rowOff>160020</xdr:rowOff>
    </xdr:from>
    <xdr:to>
      <xdr:col>18</xdr:col>
      <xdr:colOff>38735</xdr:colOff>
      <xdr:row>72</xdr:row>
      <xdr:rowOff>20955</xdr:rowOff>
    </xdr:to>
    <xdr:sp>
      <xdr:nvSpPr>
        <xdr:cNvPr id="87" name="圆角矩形 86"/>
        <xdr:cNvSpPr/>
      </xdr:nvSpPr>
      <xdr:spPr>
        <a:xfrm>
          <a:off x="10831195" y="11475720"/>
          <a:ext cx="1551940" cy="889635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任务、活动、纪行、一次性探索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7</xdr:col>
      <xdr:colOff>36195</xdr:colOff>
      <xdr:row>34</xdr:row>
      <xdr:rowOff>10160</xdr:rowOff>
    </xdr:from>
    <xdr:to>
      <xdr:col>8</xdr:col>
      <xdr:colOff>520065</xdr:colOff>
      <xdr:row>66</xdr:row>
      <xdr:rowOff>127635</xdr:rowOff>
    </xdr:to>
    <xdr:cxnSp>
      <xdr:nvCxnSpPr>
        <xdr:cNvPr id="88" name="直接连接符 87"/>
        <xdr:cNvCxnSpPr>
          <a:stCxn id="28" idx="3"/>
          <a:endCxn id="17" idx="1"/>
        </xdr:cNvCxnSpPr>
      </xdr:nvCxnSpPr>
      <xdr:spPr>
        <a:xfrm flipV="1">
          <a:off x="4836795" y="5839460"/>
          <a:ext cx="1169670" cy="5603875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360045</xdr:colOff>
      <xdr:row>71</xdr:row>
      <xdr:rowOff>136525</xdr:rowOff>
    </xdr:from>
    <xdr:to>
      <xdr:col>7</xdr:col>
      <xdr:colOff>36195</xdr:colOff>
      <xdr:row>75</xdr:row>
      <xdr:rowOff>51435</xdr:rowOff>
    </xdr:to>
    <xdr:sp>
      <xdr:nvSpPr>
        <xdr:cNvPr id="89" name="圆角矩形 88"/>
        <xdr:cNvSpPr/>
      </xdr:nvSpPr>
      <xdr:spPr>
        <a:xfrm>
          <a:off x="3789045" y="12309475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本体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8</xdr:col>
      <xdr:colOff>520065</xdr:colOff>
      <xdr:row>77</xdr:row>
      <xdr:rowOff>69850</xdr:rowOff>
    </xdr:from>
    <xdr:to>
      <xdr:col>10</xdr:col>
      <xdr:colOff>196215</xdr:colOff>
      <xdr:row>80</xdr:row>
      <xdr:rowOff>156210</xdr:rowOff>
    </xdr:to>
    <xdr:sp>
      <xdr:nvSpPr>
        <xdr:cNvPr id="90" name="圆角矩形 89"/>
        <xdr:cNvSpPr/>
      </xdr:nvSpPr>
      <xdr:spPr>
        <a:xfrm>
          <a:off x="6006465" y="1327150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狗粮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457200</xdr:colOff>
      <xdr:row>73</xdr:row>
      <xdr:rowOff>93980</xdr:rowOff>
    </xdr:from>
    <xdr:to>
      <xdr:col>5</xdr:col>
      <xdr:colOff>360045</xdr:colOff>
      <xdr:row>79</xdr:row>
      <xdr:rowOff>27305</xdr:rowOff>
    </xdr:to>
    <xdr:cxnSp>
      <xdr:nvCxnSpPr>
        <xdr:cNvPr id="91" name="直接连接符 90"/>
        <xdr:cNvCxnSpPr>
          <a:stCxn id="83" idx="3"/>
          <a:endCxn id="94" idx="1"/>
        </xdr:cNvCxnSpPr>
      </xdr:nvCxnSpPr>
      <xdr:spPr>
        <a:xfrm>
          <a:off x="2514600" y="12609830"/>
          <a:ext cx="1274445" cy="96202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60</xdr:row>
      <xdr:rowOff>80010</xdr:rowOff>
    </xdr:from>
    <xdr:to>
      <xdr:col>11</xdr:col>
      <xdr:colOff>679450</xdr:colOff>
      <xdr:row>79</xdr:row>
      <xdr:rowOff>27305</xdr:rowOff>
    </xdr:to>
    <xdr:cxnSp>
      <xdr:nvCxnSpPr>
        <xdr:cNvPr id="92" name="直接连接符 91"/>
        <xdr:cNvCxnSpPr>
          <a:stCxn id="90" idx="3"/>
          <a:endCxn id="50" idx="1"/>
        </xdr:cNvCxnSpPr>
      </xdr:nvCxnSpPr>
      <xdr:spPr>
        <a:xfrm flipV="1">
          <a:off x="7054215" y="10367010"/>
          <a:ext cx="1169035" cy="3204845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</xdr:colOff>
      <xdr:row>73</xdr:row>
      <xdr:rowOff>93980</xdr:rowOff>
    </xdr:from>
    <xdr:to>
      <xdr:col>11</xdr:col>
      <xdr:colOff>679450</xdr:colOff>
      <xdr:row>73</xdr:row>
      <xdr:rowOff>93980</xdr:rowOff>
    </xdr:to>
    <xdr:cxnSp>
      <xdr:nvCxnSpPr>
        <xdr:cNvPr id="93" name="直接连接符 92"/>
        <xdr:cNvCxnSpPr>
          <a:stCxn id="89" idx="3"/>
          <a:endCxn id="23" idx="1"/>
        </xdr:cNvCxnSpPr>
      </xdr:nvCxnSpPr>
      <xdr:spPr>
        <a:xfrm>
          <a:off x="4836795" y="12609830"/>
          <a:ext cx="3386455" cy="0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360045</xdr:colOff>
      <xdr:row>77</xdr:row>
      <xdr:rowOff>69850</xdr:rowOff>
    </xdr:from>
    <xdr:to>
      <xdr:col>7</xdr:col>
      <xdr:colOff>36195</xdr:colOff>
      <xdr:row>80</xdr:row>
      <xdr:rowOff>156210</xdr:rowOff>
    </xdr:to>
    <xdr:sp>
      <xdr:nvSpPr>
        <xdr:cNvPr id="94" name="圆角矩形 93"/>
        <xdr:cNvSpPr/>
      </xdr:nvSpPr>
      <xdr:spPr>
        <a:xfrm>
          <a:off x="3789045" y="13271500"/>
          <a:ext cx="1047750" cy="60071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>
              <a:latin typeface="微软雅黑" panose="020B0503020204020204" charset="-122"/>
              <a:ea typeface="微软雅黑" panose="020B0503020204020204" charset="-122"/>
            </a:rPr>
            <a:t>强化</a:t>
          </a:r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7</xdr:col>
      <xdr:colOff>36195</xdr:colOff>
      <xdr:row>79</xdr:row>
      <xdr:rowOff>27305</xdr:rowOff>
    </xdr:from>
    <xdr:to>
      <xdr:col>8</xdr:col>
      <xdr:colOff>520065</xdr:colOff>
      <xdr:row>79</xdr:row>
      <xdr:rowOff>27305</xdr:rowOff>
    </xdr:to>
    <xdr:cxnSp>
      <xdr:nvCxnSpPr>
        <xdr:cNvPr id="95" name="直接连接符 94"/>
        <xdr:cNvCxnSpPr>
          <a:stCxn id="94" idx="3"/>
          <a:endCxn id="90" idx="1"/>
        </xdr:cNvCxnSpPr>
      </xdr:nvCxnSpPr>
      <xdr:spPr>
        <a:xfrm>
          <a:off x="4836795" y="13571855"/>
          <a:ext cx="1169670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196215</xdr:colOff>
      <xdr:row>73</xdr:row>
      <xdr:rowOff>93980</xdr:rowOff>
    </xdr:from>
    <xdr:to>
      <xdr:col>11</xdr:col>
      <xdr:colOff>679450</xdr:colOff>
      <xdr:row>79</xdr:row>
      <xdr:rowOff>27305</xdr:rowOff>
    </xdr:to>
    <xdr:cxnSp>
      <xdr:nvCxnSpPr>
        <xdr:cNvPr id="96" name="直接连接符 95"/>
        <xdr:cNvCxnSpPr>
          <a:stCxn id="90" idx="3"/>
          <a:endCxn id="23" idx="1"/>
        </xdr:cNvCxnSpPr>
      </xdr:nvCxnSpPr>
      <xdr:spPr>
        <a:xfrm flipV="1">
          <a:off x="7054215" y="12609830"/>
          <a:ext cx="1169035" cy="96202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393065</xdr:colOff>
      <xdr:row>81</xdr:row>
      <xdr:rowOff>114300</xdr:rowOff>
    </xdr:from>
    <xdr:to>
      <xdr:col>7</xdr:col>
      <xdr:colOff>69215</xdr:colOff>
      <xdr:row>85</xdr:row>
      <xdr:rowOff>29210</xdr:rowOff>
    </xdr:to>
    <xdr:sp>
      <xdr:nvSpPr>
        <xdr:cNvPr id="97" name="圆角矩形 96"/>
        <xdr:cNvSpPr/>
      </xdr:nvSpPr>
      <xdr:spPr>
        <a:xfrm>
          <a:off x="3822065" y="14001750"/>
          <a:ext cx="1047750" cy="600710"/>
        </a:xfrm>
        <a:prstGeom prst="round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400"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456565</xdr:colOff>
      <xdr:row>15</xdr:row>
      <xdr:rowOff>39370</xdr:rowOff>
    </xdr:from>
    <xdr:to>
      <xdr:col>5</xdr:col>
      <xdr:colOff>359410</xdr:colOff>
      <xdr:row>21</xdr:row>
      <xdr:rowOff>85725</xdr:rowOff>
    </xdr:to>
    <xdr:cxnSp>
      <xdr:nvCxnSpPr>
        <xdr:cNvPr id="7" name="直接连接符 6"/>
        <xdr:cNvCxnSpPr>
          <a:stCxn id="2" idx="3"/>
          <a:endCxn id="5" idx="1"/>
        </xdr:cNvCxnSpPr>
      </xdr:nvCxnSpPr>
      <xdr:spPr>
        <a:xfrm>
          <a:off x="2513965" y="2611120"/>
          <a:ext cx="1274445" cy="107505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Q67"/>
  <sheetViews>
    <sheetView workbookViewId="0">
      <selection activeCell="G20" sqref="G20"/>
    </sheetView>
  </sheetViews>
  <sheetFormatPr defaultColWidth="9" defaultRowHeight="16.5"/>
  <cols>
    <col min="1" max="1" width="17.125" style="19" customWidth="1"/>
    <col min="2" max="3" width="14.125" style="19"/>
    <col min="4" max="6" width="9" style="19"/>
    <col min="7" max="7" width="16.375" style="19" customWidth="1"/>
    <col min="8" max="11" width="9" style="19"/>
    <col min="12" max="12" width="9.125" style="19"/>
    <col min="13" max="13" width="9" style="19"/>
    <col min="14" max="14" width="10.375" style="19"/>
    <col min="15" max="15" width="9" style="19"/>
    <col min="16" max="16" width="16.125" style="19" customWidth="1"/>
    <col min="17" max="17" width="12.875" style="19" customWidth="1"/>
    <col min="18" max="18" width="11.5" style="19"/>
    <col min="19" max="19" width="19.25" style="19" customWidth="1"/>
    <col min="20" max="20" width="17.125" style="19" customWidth="1"/>
    <col min="21" max="23" width="14.125" style="19"/>
    <col min="24" max="24" width="9.125" style="19"/>
    <col min="25" max="25" width="8.875" style="19" customWidth="1"/>
    <col min="26" max="29" width="9" style="19"/>
    <col min="30" max="30" width="21.875" style="19" customWidth="1"/>
    <col min="31" max="32" width="9" style="19"/>
    <col min="33" max="33" width="14.25" style="19" customWidth="1"/>
    <col min="34" max="35" width="14.125" style="19"/>
    <col min="36" max="36" width="9" style="19"/>
    <col min="37" max="37" width="10.375" style="19"/>
    <col min="38" max="42" width="9" style="19"/>
    <col min="43" max="43" width="14.125" style="19"/>
    <col min="44" max="16384" width="9" style="19"/>
  </cols>
  <sheetData>
    <row r="1" spans="1:34">
      <c r="A1" s="19" t="s">
        <v>0</v>
      </c>
      <c r="B1" s="19" t="s">
        <v>1</v>
      </c>
      <c r="C1" s="19" t="s">
        <v>2</v>
      </c>
      <c r="G1" s="19" t="s">
        <v>3</v>
      </c>
      <c r="P1" s="19" t="s">
        <v>4</v>
      </c>
      <c r="Q1" s="19" t="s">
        <v>5</v>
      </c>
      <c r="S1" s="19" t="s">
        <v>6</v>
      </c>
      <c r="T1" s="19" t="s">
        <v>7</v>
      </c>
      <c r="AC1" s="19" t="s">
        <v>4</v>
      </c>
      <c r="AD1" s="19" t="s">
        <v>5</v>
      </c>
      <c r="AF1" s="19" t="s">
        <v>6</v>
      </c>
      <c r="AG1" s="19" t="s">
        <v>7</v>
      </c>
      <c r="AH1" s="19">
        <f>AH67</f>
        <v>36835.4449110175</v>
      </c>
    </row>
    <row r="2" spans="1:39">
      <c r="A2" s="19" t="s">
        <v>8</v>
      </c>
      <c r="B2" s="21">
        <v>0.311</v>
      </c>
      <c r="C2" s="21">
        <v>0.022</v>
      </c>
      <c r="D2" s="21">
        <v>0.025</v>
      </c>
      <c r="E2" s="21">
        <v>0.028</v>
      </c>
      <c r="F2" s="21">
        <v>0.031</v>
      </c>
      <c r="G2" s="21">
        <v>0.027</v>
      </c>
      <c r="H2" s="21">
        <v>0.031</v>
      </c>
      <c r="I2" s="21">
        <v>0.035</v>
      </c>
      <c r="J2" s="21">
        <v>0.039</v>
      </c>
      <c r="L2" s="21">
        <f>J2*6</f>
        <v>0.234</v>
      </c>
      <c r="Q2" s="19" t="s">
        <v>9</v>
      </c>
      <c r="R2" s="19" t="s">
        <v>10</v>
      </c>
      <c r="S2" s="19" t="s">
        <v>8</v>
      </c>
      <c r="T2" s="19" t="s">
        <v>11</v>
      </c>
      <c r="U2" s="19" t="s">
        <v>12</v>
      </c>
      <c r="V2" s="19" t="s">
        <v>13</v>
      </c>
      <c r="W2" s="19" t="s">
        <v>8</v>
      </c>
      <c r="X2" s="19" t="s">
        <v>11</v>
      </c>
      <c r="Y2" s="19" t="s">
        <v>12</v>
      </c>
      <c r="Z2" s="19" t="s">
        <v>13</v>
      </c>
      <c r="AD2" s="19" t="s">
        <v>9</v>
      </c>
      <c r="AE2" s="19" t="s">
        <v>10</v>
      </c>
      <c r="AF2" s="19" t="s">
        <v>14</v>
      </c>
      <c r="AG2" s="19" t="s">
        <v>15</v>
      </c>
      <c r="AH2" s="19" t="s">
        <v>12</v>
      </c>
      <c r="AI2" s="19" t="s">
        <v>16</v>
      </c>
      <c r="AJ2" s="19" t="s">
        <v>8</v>
      </c>
      <c r="AK2" s="19" t="s">
        <v>11</v>
      </c>
      <c r="AL2" s="19" t="s">
        <v>12</v>
      </c>
      <c r="AM2" s="19" t="s">
        <v>16</v>
      </c>
    </row>
    <row r="3" spans="1:39">
      <c r="A3" s="19" t="s">
        <v>13</v>
      </c>
      <c r="B3" s="21">
        <v>0.466</v>
      </c>
      <c r="C3" s="21">
        <v>0.033</v>
      </c>
      <c r="D3" s="21">
        <v>0.037</v>
      </c>
      <c r="E3" s="21">
        <v>0.042</v>
      </c>
      <c r="F3" s="21">
        <v>0.047</v>
      </c>
      <c r="G3" s="21">
        <v>0.041</v>
      </c>
      <c r="H3" s="21">
        <v>0.047</v>
      </c>
      <c r="I3" s="21">
        <v>0.053</v>
      </c>
      <c r="J3" s="21">
        <v>0.058</v>
      </c>
      <c r="L3" s="21">
        <f>L2*5+B2</f>
        <v>1.481</v>
      </c>
      <c r="P3" s="19" t="s">
        <v>17</v>
      </c>
      <c r="Q3" s="19" t="s">
        <v>18</v>
      </c>
      <c r="R3" s="19">
        <f>B11</f>
        <v>4780</v>
      </c>
      <c r="S3" s="19">
        <v>6</v>
      </c>
      <c r="T3" s="19">
        <v>1</v>
      </c>
      <c r="U3" s="19">
        <v>1</v>
      </c>
      <c r="V3" s="19">
        <v>1</v>
      </c>
      <c r="W3" s="21">
        <f>VLOOKUP(W$2,$A:$F,6,0)+(S3-1)*VLOOKUP(W$2,$A:$J,10,0)</f>
        <v>0.226</v>
      </c>
      <c r="X3" s="21">
        <f>VLOOKUP(X$2,$A:$F,6,0)+(T3-1)*VLOOKUP(X$2,$A:$J,10,0)</f>
        <v>0.062</v>
      </c>
      <c r="Y3" s="48">
        <f>VLOOKUP(Y$2,$A:$F,6,0)+(U3-1)*VLOOKUP(Y$2,$A:$J,10,0)</f>
        <v>19</v>
      </c>
      <c r="Z3" s="21">
        <f>VLOOKUP(Z$2,$A:$F,6,0)+(V3-1)*VLOOKUP(Z$2,$A:$J,10,0)</f>
        <v>0.047</v>
      </c>
      <c r="AC3" s="19" t="s">
        <v>18</v>
      </c>
      <c r="AD3" s="19" t="s">
        <v>13</v>
      </c>
      <c r="AE3" s="19">
        <f>B11</f>
        <v>4780</v>
      </c>
      <c r="AF3" s="19">
        <f t="shared" ref="AF3:AF7" si="0">9-SUM(AG3:AI3)</f>
        <v>6</v>
      </c>
      <c r="AG3" s="19">
        <v>1</v>
      </c>
      <c r="AH3" s="19">
        <v>1</v>
      </c>
      <c r="AI3" s="19">
        <v>1</v>
      </c>
      <c r="AJ3" s="21">
        <f>VLOOKUP(AJ$2,$A:$F,6,0)+(AF3-1)*VLOOKUP(AJ$2,$A:$J,10,0)</f>
        <v>0.226</v>
      </c>
      <c r="AK3" s="21">
        <f>VLOOKUP(AK$2,$A:$F,6,0)+(AG3-1)*VLOOKUP(AK$2,$A:$J,10,0)</f>
        <v>0.062</v>
      </c>
      <c r="AL3" s="48">
        <f>VLOOKUP(AL$2,$A:$F,6,0)+(AH3-1)*VLOOKUP(AL$2,$A:$J,10,0)</f>
        <v>19</v>
      </c>
      <c r="AM3" s="21">
        <f>VLOOKUP(AM$2,$A:$F,6,0)+(AI3-1)*VLOOKUP(AM$2,$A:$J,10,0)</f>
        <v>0.047</v>
      </c>
    </row>
    <row r="4" spans="1:39">
      <c r="A4" s="19" t="s">
        <v>16</v>
      </c>
      <c r="B4" s="21">
        <v>0.466</v>
      </c>
      <c r="C4" s="21">
        <v>0.033</v>
      </c>
      <c r="D4" s="21">
        <v>0.037</v>
      </c>
      <c r="E4" s="21">
        <v>0.042</v>
      </c>
      <c r="F4" s="21">
        <v>0.047</v>
      </c>
      <c r="G4" s="21">
        <v>0.041</v>
      </c>
      <c r="H4" s="21">
        <v>0.047</v>
      </c>
      <c r="I4" s="21">
        <v>0.053</v>
      </c>
      <c r="J4" s="21">
        <v>0.058</v>
      </c>
      <c r="P4" s="19" t="s">
        <v>19</v>
      </c>
      <c r="Q4" s="19" t="s">
        <v>20</v>
      </c>
      <c r="R4" s="48">
        <f>B8</f>
        <v>311</v>
      </c>
      <c r="S4" s="19">
        <v>6</v>
      </c>
      <c r="T4" s="19">
        <v>1</v>
      </c>
      <c r="U4" s="19">
        <v>1</v>
      </c>
      <c r="V4" s="19">
        <v>1</v>
      </c>
      <c r="W4" s="21">
        <f>VLOOKUP(W$2,$A:$F,6,0)+(S4-1)*VLOOKUP(W$2,$A:$J,10,0)</f>
        <v>0.226</v>
      </c>
      <c r="X4" s="21">
        <f>VLOOKUP(X$2,$A:$F,6,0)+(T4-1)*VLOOKUP(X$2,$A:$J,10,0)</f>
        <v>0.062</v>
      </c>
      <c r="Y4" s="48">
        <f>VLOOKUP(Y$2,$A:$F,6,0)+(U4-1)*VLOOKUP(Y$2,$A:$J,10,0)</f>
        <v>19</v>
      </c>
      <c r="Z4" s="21">
        <f>VLOOKUP(Z$2,$A:$F,6,0)+(V4-1)*VLOOKUP(Z$2,$A:$J,10,0)</f>
        <v>0.047</v>
      </c>
      <c r="AC4" s="19" t="s">
        <v>20</v>
      </c>
      <c r="AD4" s="19" t="s">
        <v>16</v>
      </c>
      <c r="AE4" s="48">
        <f>B8</f>
        <v>311</v>
      </c>
      <c r="AF4" s="19">
        <f t="shared" si="0"/>
        <v>6</v>
      </c>
      <c r="AG4" s="19">
        <v>1</v>
      </c>
      <c r="AH4" s="19">
        <v>1</v>
      </c>
      <c r="AI4" s="19">
        <v>1</v>
      </c>
      <c r="AJ4" s="21">
        <f>VLOOKUP(AJ$2,$A:$F,6,0)+(AF4-1)*VLOOKUP(AJ$2,$A:$J,10,0)</f>
        <v>0.226</v>
      </c>
      <c r="AK4" s="21">
        <f>VLOOKUP(AK$2,$A:$F,6,0)+(AG4-1)*VLOOKUP(AK$2,$A:$J,10,0)</f>
        <v>0.062</v>
      </c>
      <c r="AL4" s="48">
        <f>VLOOKUP(AL$2,$A:$F,6,0)+(AH4-1)*VLOOKUP(AL$2,$A:$J,10,0)</f>
        <v>19</v>
      </c>
      <c r="AM4" s="21">
        <f>VLOOKUP(AM$2,$A:$F,6,0)+(AI4-1)*VLOOKUP(AM$2,$A:$J,10,0)</f>
        <v>0.047</v>
      </c>
    </row>
    <row r="5" spans="1:39">
      <c r="A5" s="19" t="s">
        <v>21</v>
      </c>
      <c r="B5" s="21">
        <v>0.518</v>
      </c>
      <c r="C5" s="21">
        <v>0.036</v>
      </c>
      <c r="D5" s="21">
        <v>0.041</v>
      </c>
      <c r="E5" s="21">
        <v>0.047</v>
      </c>
      <c r="F5" s="21">
        <v>0.052</v>
      </c>
      <c r="G5" s="21">
        <v>0.045</v>
      </c>
      <c r="H5" s="21">
        <v>0.052</v>
      </c>
      <c r="I5" s="21">
        <v>0.058</v>
      </c>
      <c r="J5" s="21">
        <v>0.065</v>
      </c>
      <c r="P5" s="19" t="s">
        <v>22</v>
      </c>
      <c r="Q5" s="19" t="s">
        <v>13</v>
      </c>
      <c r="R5" s="21">
        <f>VLOOKUP(Q5,$A:$B,2,0)</f>
        <v>0.466</v>
      </c>
      <c r="S5" s="19">
        <v>6</v>
      </c>
      <c r="T5" s="19">
        <v>1</v>
      </c>
      <c r="U5" s="19">
        <v>1</v>
      </c>
      <c r="V5" s="19">
        <v>1</v>
      </c>
      <c r="W5" s="21">
        <f>VLOOKUP(W$2,$A:$F,6,0)+(S5-1)*VLOOKUP(W$2,$A:$J,10,0)</f>
        <v>0.226</v>
      </c>
      <c r="X5" s="21">
        <f>VLOOKUP(X$2,$A:$F,6,0)+(T5-1)*VLOOKUP(X$2,$A:$J,10,0)</f>
        <v>0.062</v>
      </c>
      <c r="Y5" s="48">
        <f>VLOOKUP(Y$2,$A:$F,6,0)+(U5-1)*VLOOKUP(Y$2,$A:$J,10,0)</f>
        <v>19</v>
      </c>
      <c r="Z5" s="21">
        <f>VLOOKUP(Z$2,$A:$F,6,0)+(V5-1)*VLOOKUP(Z$2,$A:$J,10,0)</f>
        <v>0.047</v>
      </c>
      <c r="AC5" s="19" t="s">
        <v>22</v>
      </c>
      <c r="AD5" s="19" t="s">
        <v>16</v>
      </c>
      <c r="AE5" s="21">
        <f>VLOOKUP(AD5,$A:$B,2,0)</f>
        <v>0.466</v>
      </c>
      <c r="AF5" s="19">
        <f t="shared" si="0"/>
        <v>1</v>
      </c>
      <c r="AG5" s="19">
        <v>6</v>
      </c>
      <c r="AH5" s="19">
        <v>1</v>
      </c>
      <c r="AI5" s="19">
        <v>1</v>
      </c>
      <c r="AJ5" s="21">
        <f>VLOOKUP(AJ$2,$A:$F,6,0)+(AF5-1)*VLOOKUP(AJ$2,$A:$J,10,0)</f>
        <v>0.031</v>
      </c>
      <c r="AK5" s="21">
        <f>VLOOKUP(AK$2,$A:$F,6,0)+(AG5-1)*VLOOKUP(AK$2,$A:$J,10,0)</f>
        <v>0.452</v>
      </c>
      <c r="AL5" s="48">
        <f>VLOOKUP(AL$2,$A:$F,6,0)+(AH5-1)*VLOOKUP(AL$2,$A:$J,10,0)</f>
        <v>19</v>
      </c>
      <c r="AM5" s="21">
        <f>VLOOKUP(AM$2,$A:$F,6,0)+(AI5-1)*VLOOKUP(AM$2,$A:$J,10,0)</f>
        <v>0.047</v>
      </c>
    </row>
    <row r="6" spans="1:39">
      <c r="A6" s="19" t="s">
        <v>23</v>
      </c>
      <c r="B6" s="21">
        <v>0.583</v>
      </c>
      <c r="C6" s="21">
        <v>0.041</v>
      </c>
      <c r="D6" s="21">
        <v>0.047</v>
      </c>
      <c r="E6" s="21">
        <v>0.053</v>
      </c>
      <c r="F6" s="21">
        <v>0.058</v>
      </c>
      <c r="G6" s="21">
        <v>0.051</v>
      </c>
      <c r="H6" s="21">
        <v>0.058</v>
      </c>
      <c r="I6" s="21">
        <v>0.066</v>
      </c>
      <c r="J6" s="21">
        <v>0.073</v>
      </c>
      <c r="P6" s="19" t="s">
        <v>24</v>
      </c>
      <c r="Q6" s="43" t="s">
        <v>25</v>
      </c>
      <c r="R6" s="21">
        <f>$B$12</f>
        <v>0.466</v>
      </c>
      <c r="S6" s="19">
        <v>6</v>
      </c>
      <c r="T6" s="19">
        <v>6</v>
      </c>
      <c r="U6" s="19">
        <v>1</v>
      </c>
      <c r="V6" s="19">
        <v>1</v>
      </c>
      <c r="W6" s="21">
        <f>VLOOKUP(W$2,$A:$F,6,0)+(S6-1)*VLOOKUP(W$2,$A:$J,10,0)</f>
        <v>0.226</v>
      </c>
      <c r="X6" s="21">
        <f>VLOOKUP(X$2,$A:$F,6,0)+(T6-1)*VLOOKUP(X$2,$A:$J,10,0)</f>
        <v>0.452</v>
      </c>
      <c r="Y6" s="48">
        <f>VLOOKUP(Y$2,$A:$F,6,0)+(U6-1)*VLOOKUP(Y$2,$A:$J,10,0)</f>
        <v>19</v>
      </c>
      <c r="Z6" s="21">
        <f>VLOOKUP(Z$2,$A:$F,6,0)+(V6-1)*VLOOKUP(Z$2,$A:$J,10,0)</f>
        <v>0.047</v>
      </c>
      <c r="AC6" s="19" t="s">
        <v>24</v>
      </c>
      <c r="AD6" s="43" t="s">
        <v>25</v>
      </c>
      <c r="AE6" s="21">
        <f>$B$12</f>
        <v>0.466</v>
      </c>
      <c r="AF6" s="19">
        <f t="shared" si="0"/>
        <v>1</v>
      </c>
      <c r="AG6" s="19">
        <v>6</v>
      </c>
      <c r="AH6" s="19">
        <v>1</v>
      </c>
      <c r="AI6" s="19">
        <v>1</v>
      </c>
      <c r="AJ6" s="21">
        <f>VLOOKUP(AJ$2,$A:$F,6,0)+(AF6-1)*VLOOKUP(AJ$2,$A:$J,10,0)</f>
        <v>0.031</v>
      </c>
      <c r="AK6" s="21">
        <f>VLOOKUP(AK$2,$A:$F,6,0)+(AG6-1)*VLOOKUP(AK$2,$A:$J,10,0)</f>
        <v>0.452</v>
      </c>
      <c r="AL6" s="48">
        <f>VLOOKUP(AL$2,$A:$F,6,0)+(AH6-1)*VLOOKUP(AL$2,$A:$J,10,0)</f>
        <v>19</v>
      </c>
      <c r="AM6" s="21">
        <f>VLOOKUP(AM$2,$A:$F,6,0)+(AI6-1)*VLOOKUP(AM$2,$A:$J,10,0)</f>
        <v>0.047</v>
      </c>
    </row>
    <row r="7" spans="1:39">
      <c r="A7" s="19" t="s">
        <v>11</v>
      </c>
      <c r="B7" s="21">
        <v>0.622</v>
      </c>
      <c r="C7" s="21">
        <v>0.044</v>
      </c>
      <c r="D7" s="21">
        <v>0.05</v>
      </c>
      <c r="E7" s="21">
        <v>0.056</v>
      </c>
      <c r="F7" s="21">
        <v>0.062</v>
      </c>
      <c r="G7" s="21">
        <v>0.054</v>
      </c>
      <c r="H7" s="21">
        <v>0.062</v>
      </c>
      <c r="I7" s="21">
        <v>0.07</v>
      </c>
      <c r="J7" s="21">
        <v>0.078</v>
      </c>
      <c r="P7" s="19" t="s">
        <v>26</v>
      </c>
      <c r="Q7" s="19" t="s">
        <v>11</v>
      </c>
      <c r="R7" s="21">
        <f>VLOOKUP(Q7,$A:$B,2,0)</f>
        <v>0.622</v>
      </c>
      <c r="S7" s="19">
        <v>2</v>
      </c>
      <c r="T7" s="19">
        <v>6</v>
      </c>
      <c r="U7" s="19">
        <v>1</v>
      </c>
      <c r="V7" s="19">
        <v>1</v>
      </c>
      <c r="W7" s="21">
        <f>VLOOKUP(W$2,$A:$F,6,0)+(S7-1)*VLOOKUP(W$2,$A:$J,10,0)</f>
        <v>0.07</v>
      </c>
      <c r="X7" s="21">
        <f>VLOOKUP(X$2,$A:$F,6,0)+(T7-1)*VLOOKUP(X$2,$A:$J,10,0)</f>
        <v>0.452</v>
      </c>
      <c r="Y7" s="48">
        <f>VLOOKUP(Y$2,$A:$F,6,0)+(U7-1)*VLOOKUP(Y$2,$A:$J,10,0)</f>
        <v>19</v>
      </c>
      <c r="Z7" s="21">
        <f>VLOOKUP(Z$2,$A:$F,6,0)+(V7-1)*VLOOKUP(Z$2,$A:$J,10,0)</f>
        <v>0.047</v>
      </c>
      <c r="AC7" s="19" t="s">
        <v>26</v>
      </c>
      <c r="AD7" s="19" t="s">
        <v>11</v>
      </c>
      <c r="AE7" s="21">
        <f>VLOOKUP(AD7,$A:$B,2,0)</f>
        <v>0.622</v>
      </c>
      <c r="AF7" s="19">
        <f t="shared" si="0"/>
        <v>1</v>
      </c>
      <c r="AG7" s="19">
        <v>6</v>
      </c>
      <c r="AH7" s="19">
        <v>1</v>
      </c>
      <c r="AI7" s="19">
        <v>1</v>
      </c>
      <c r="AJ7" s="21">
        <f>VLOOKUP(AJ$2,$A:$F,6,0)+(AF7-1)*VLOOKUP(AJ$2,$A:$J,10,0)</f>
        <v>0.031</v>
      </c>
      <c r="AK7" s="21">
        <f>VLOOKUP(AK$2,$A:$F,6,0)+(AG7-1)*VLOOKUP(AK$2,$A:$J,10,0)</f>
        <v>0.452</v>
      </c>
      <c r="AL7" s="48">
        <f>VLOOKUP(AL$2,$A:$F,6,0)+(AH7-1)*VLOOKUP(AL$2,$A:$J,10,0)</f>
        <v>19</v>
      </c>
      <c r="AM7" s="21">
        <f>VLOOKUP(AM$2,$A:$F,6,0)+(AI7-1)*VLOOKUP(AM$2,$A:$J,10,0)</f>
        <v>0.047</v>
      </c>
    </row>
    <row r="8" spans="1:39">
      <c r="A8" s="19" t="s">
        <v>20</v>
      </c>
      <c r="B8" s="19">
        <v>311</v>
      </c>
      <c r="C8" s="19">
        <v>11</v>
      </c>
      <c r="D8" s="19">
        <v>12</v>
      </c>
      <c r="E8" s="19">
        <v>14</v>
      </c>
      <c r="F8" s="19">
        <v>16</v>
      </c>
      <c r="G8" s="19">
        <v>14</v>
      </c>
      <c r="H8" s="19">
        <v>16</v>
      </c>
      <c r="I8" s="19">
        <v>18</v>
      </c>
      <c r="J8" s="19">
        <v>19</v>
      </c>
      <c r="W8" s="21">
        <f t="shared" ref="W8:Z8" si="1">SUM(W3:W7)</f>
        <v>0.974</v>
      </c>
      <c r="X8" s="21">
        <f t="shared" si="1"/>
        <v>1.09</v>
      </c>
      <c r="Y8" s="48">
        <f t="shared" si="1"/>
        <v>95</v>
      </c>
      <c r="Z8" s="21">
        <f t="shared" si="1"/>
        <v>0.235</v>
      </c>
      <c r="AJ8" s="21">
        <f t="shared" ref="AJ8:AM8" si="2">SUM(AJ3:AJ7)</f>
        <v>0.545</v>
      </c>
      <c r="AK8" s="21">
        <f t="shared" si="2"/>
        <v>1.48</v>
      </c>
      <c r="AL8" s="48">
        <f t="shared" si="2"/>
        <v>95</v>
      </c>
      <c r="AM8" s="21">
        <f t="shared" si="2"/>
        <v>0.235</v>
      </c>
    </row>
    <row r="9" spans="1:10">
      <c r="A9" s="19" t="s">
        <v>23</v>
      </c>
      <c r="B9" s="21">
        <v>0.359</v>
      </c>
      <c r="C9" s="19">
        <v>13</v>
      </c>
      <c r="D9" s="19">
        <v>15</v>
      </c>
      <c r="E9" s="19">
        <v>17</v>
      </c>
      <c r="F9" s="19">
        <v>19</v>
      </c>
      <c r="G9" s="19">
        <v>16</v>
      </c>
      <c r="H9" s="19">
        <v>19</v>
      </c>
      <c r="I9" s="19">
        <v>21</v>
      </c>
      <c r="J9" s="19">
        <v>23</v>
      </c>
    </row>
    <row r="10" spans="1:10">
      <c r="A10" s="19" t="s">
        <v>12</v>
      </c>
      <c r="B10" s="19">
        <v>187</v>
      </c>
      <c r="C10" s="19">
        <v>13</v>
      </c>
      <c r="D10" s="19">
        <v>15</v>
      </c>
      <c r="E10" s="19">
        <v>17</v>
      </c>
      <c r="F10" s="19">
        <v>19</v>
      </c>
      <c r="G10" s="19">
        <v>16</v>
      </c>
      <c r="H10" s="19">
        <v>19</v>
      </c>
      <c r="I10" s="19">
        <v>21</v>
      </c>
      <c r="J10" s="19">
        <v>23</v>
      </c>
    </row>
    <row r="11" spans="1:10">
      <c r="A11" s="19" t="s">
        <v>18</v>
      </c>
      <c r="B11" s="19">
        <v>4780</v>
      </c>
      <c r="C11" s="19">
        <v>167</v>
      </c>
      <c r="D11" s="19">
        <v>191</v>
      </c>
      <c r="E11" s="19">
        <v>215</v>
      </c>
      <c r="F11" s="19">
        <v>239</v>
      </c>
      <c r="G11" s="19">
        <v>209</v>
      </c>
      <c r="H11" s="19">
        <v>239</v>
      </c>
      <c r="I11" s="19">
        <v>269</v>
      </c>
      <c r="J11" s="19">
        <v>299</v>
      </c>
    </row>
    <row r="12" spans="1:2">
      <c r="A12" s="19" t="s">
        <v>27</v>
      </c>
      <c r="B12" s="21">
        <v>0.466</v>
      </c>
    </row>
    <row r="13" spans="1:21">
      <c r="A13" s="19" t="s">
        <v>28</v>
      </c>
      <c r="B13" s="21">
        <v>0.583</v>
      </c>
      <c r="U13" s="19" t="s">
        <v>29</v>
      </c>
    </row>
    <row r="14" spans="19:34">
      <c r="S14" s="19" t="s">
        <v>30</v>
      </c>
      <c r="T14" s="19" t="s">
        <v>31</v>
      </c>
      <c r="U14" s="23">
        <v>0.05</v>
      </c>
      <c r="AF14" s="19" t="s">
        <v>30</v>
      </c>
      <c r="AG14" s="19" t="s">
        <v>31</v>
      </c>
      <c r="AH14" s="23">
        <v>0.242</v>
      </c>
    </row>
    <row r="15" spans="20:34">
      <c r="T15" s="19" t="s">
        <v>32</v>
      </c>
      <c r="U15" s="21">
        <v>0.884</v>
      </c>
      <c r="AG15" s="19" t="s">
        <v>32</v>
      </c>
      <c r="AH15" s="21">
        <v>0.5</v>
      </c>
    </row>
    <row r="16" spans="12:34">
      <c r="L16" s="19">
        <v>17576</v>
      </c>
      <c r="T16" s="19" t="s">
        <v>33</v>
      </c>
      <c r="U16" s="23">
        <v>0.33</v>
      </c>
      <c r="AG16" s="19" t="s">
        <v>33</v>
      </c>
      <c r="AH16" s="23">
        <v>0</v>
      </c>
    </row>
    <row r="17" spans="2:34">
      <c r="B17" s="19" t="s">
        <v>34</v>
      </c>
      <c r="C17" s="19" t="s">
        <v>35</v>
      </c>
      <c r="D17" s="19" t="s">
        <v>36</v>
      </c>
      <c r="T17" s="19" t="s">
        <v>37</v>
      </c>
      <c r="U17" s="19">
        <v>139</v>
      </c>
      <c r="AG17" s="19" t="s">
        <v>37</v>
      </c>
      <c r="AH17" s="19">
        <f>358-23</f>
        <v>335</v>
      </c>
    </row>
    <row r="18" spans="1:34">
      <c r="A18" s="19" t="s">
        <v>38</v>
      </c>
      <c r="B18" s="23">
        <v>0.6</v>
      </c>
      <c r="C18" s="23">
        <v>0.01</v>
      </c>
      <c r="D18" s="19">
        <f>1*(C18*(B19-1))</f>
        <v>0.016</v>
      </c>
      <c r="T18" s="19" t="s">
        <v>39</v>
      </c>
      <c r="U18" s="19">
        <v>15552</v>
      </c>
      <c r="AG18" s="19" t="s">
        <v>39</v>
      </c>
      <c r="AH18" s="19">
        <v>12981</v>
      </c>
    </row>
    <row r="19" spans="1:4">
      <c r="A19" s="19" t="s">
        <v>40</v>
      </c>
      <c r="B19" s="23">
        <v>2.6</v>
      </c>
      <c r="C19" s="23">
        <v>0.02</v>
      </c>
      <c r="D19" s="19">
        <f>B18*(C19)</f>
        <v>0.012</v>
      </c>
    </row>
    <row r="20" spans="19:34">
      <c r="S20" s="19" t="s">
        <v>41</v>
      </c>
      <c r="T20" s="19" t="s">
        <v>42</v>
      </c>
      <c r="U20" s="19">
        <f>0.2*U18</f>
        <v>3110.4</v>
      </c>
      <c r="AF20" s="19" t="s">
        <v>41</v>
      </c>
      <c r="AG20" s="19" t="s">
        <v>43</v>
      </c>
      <c r="AH20" s="19">
        <v>608</v>
      </c>
    </row>
    <row r="21" spans="20:34">
      <c r="T21" s="19" t="s">
        <v>44</v>
      </c>
      <c r="U21" s="21">
        <v>0.662</v>
      </c>
      <c r="AG21" s="19" t="s">
        <v>45</v>
      </c>
      <c r="AH21" s="21">
        <v>0.496</v>
      </c>
    </row>
    <row r="22" spans="20:34">
      <c r="T22" s="19" t="s">
        <v>46</v>
      </c>
      <c r="U22" s="21">
        <v>0.008</v>
      </c>
      <c r="AG22" s="19" t="s">
        <v>47</v>
      </c>
      <c r="AH22" s="23">
        <v>0.2</v>
      </c>
    </row>
    <row r="23" spans="20:34">
      <c r="T23" s="19" t="s">
        <v>48</v>
      </c>
      <c r="U23" s="23">
        <v>0.01</v>
      </c>
      <c r="AG23" s="19" t="s">
        <v>49</v>
      </c>
      <c r="AH23" s="21">
        <v>0.4</v>
      </c>
    </row>
    <row r="24" spans="20:34">
      <c r="T24" s="19" t="s">
        <v>50</v>
      </c>
      <c r="U24" s="19">
        <f>(U22+U23)*U34</f>
        <v>618.198336</v>
      </c>
      <c r="AG24" s="19" t="s">
        <v>51</v>
      </c>
      <c r="AH24" s="48">
        <f>(AH21+AH22)*AH33</f>
        <v>656.328</v>
      </c>
    </row>
    <row r="25" spans="19:19">
      <c r="S25" s="19" t="s">
        <v>52</v>
      </c>
    </row>
    <row r="26" spans="20:32">
      <c r="T26" s="19" t="s">
        <v>53</v>
      </c>
      <c r="U26" s="23">
        <v>0.15</v>
      </c>
      <c r="AF26" s="19" t="s">
        <v>52</v>
      </c>
    </row>
    <row r="27" spans="2:34">
      <c r="B27" s="21"/>
      <c r="S27" s="19" t="s">
        <v>54</v>
      </c>
      <c r="AG27" s="19" t="s">
        <v>53</v>
      </c>
      <c r="AH27" s="23">
        <v>0.15</v>
      </c>
    </row>
    <row r="28" spans="2:34">
      <c r="B28" s="109" t="s">
        <v>55</v>
      </c>
      <c r="C28" s="5" t="s">
        <v>56</v>
      </c>
      <c r="T28" s="19" t="s">
        <v>57</v>
      </c>
      <c r="U28" s="19">
        <f>(R5+Z8)*U18+R3</f>
        <v>15681.952</v>
      </c>
      <c r="AG28" s="19" t="s">
        <v>58</v>
      </c>
      <c r="AH28" s="19">
        <f>AE4+(AE5+AM8)*AH33</f>
        <v>972.043</v>
      </c>
    </row>
    <row r="29" spans="1:29">
      <c r="A29" s="19" t="s">
        <v>59</v>
      </c>
      <c r="B29" s="5">
        <f>599+717</f>
        <v>1316</v>
      </c>
      <c r="C29" s="5">
        <f>754+1110</f>
        <v>1864</v>
      </c>
      <c r="P29" s="21"/>
      <c r="T29" s="19" t="s">
        <v>16</v>
      </c>
      <c r="U29" s="19">
        <v>715</v>
      </c>
      <c r="AC29" s="21"/>
    </row>
    <row r="30" spans="1:21">
      <c r="A30" s="19" t="s">
        <v>14</v>
      </c>
      <c r="B30" s="109">
        <v>1.043</v>
      </c>
      <c r="C30" s="110">
        <v>0.73</v>
      </c>
      <c r="N30" s="21"/>
      <c r="T30" s="19" t="s">
        <v>60</v>
      </c>
      <c r="U30" s="19">
        <f>R4</f>
        <v>311</v>
      </c>
    </row>
    <row r="31" spans="1:14">
      <c r="A31" s="19" t="s">
        <v>15</v>
      </c>
      <c r="B31" s="109">
        <v>1.067</v>
      </c>
      <c r="C31" s="109">
        <v>1.067</v>
      </c>
      <c r="N31" s="21"/>
    </row>
    <row r="32" spans="1:21">
      <c r="A32" s="19" t="s">
        <v>61</v>
      </c>
      <c r="B32" s="111">
        <f>B29*(1+MIN(B30,1)*B31)</f>
        <v>2720.172</v>
      </c>
      <c r="C32" s="111">
        <f>C29*(1+MIN(C30,1)*C31)</f>
        <v>3315.88824</v>
      </c>
      <c r="S32" s="19" t="s">
        <v>62</v>
      </c>
      <c r="T32" s="19" t="s">
        <v>63</v>
      </c>
      <c r="U32" s="21">
        <f>W8+U14</f>
        <v>1.024</v>
      </c>
    </row>
    <row r="33" spans="1:34">
      <c r="A33" s="19" t="s">
        <v>64</v>
      </c>
      <c r="B33" s="5">
        <v>1</v>
      </c>
      <c r="C33" s="109">
        <f>C32/B32</f>
        <v>1.2189994750332</v>
      </c>
      <c r="T33" s="19" t="s">
        <v>65</v>
      </c>
      <c r="U33" s="21">
        <f>X8+U15+U21+R7</f>
        <v>3.258</v>
      </c>
      <c r="W33" s="19">
        <f>U33/U32</f>
        <v>3.181640625</v>
      </c>
      <c r="AF33" s="19" t="s">
        <v>62</v>
      </c>
      <c r="AG33" s="19" t="s">
        <v>66</v>
      </c>
      <c r="AH33" s="19">
        <f>AH17+AH20</f>
        <v>943</v>
      </c>
    </row>
    <row r="34" spans="2:34">
      <c r="B34" s="5"/>
      <c r="C34" s="5"/>
      <c r="T34" s="19" t="s">
        <v>67</v>
      </c>
      <c r="U34" s="19">
        <f>U18+U28+U20</f>
        <v>34344.352</v>
      </c>
      <c r="AG34" s="19" t="s">
        <v>63</v>
      </c>
      <c r="AH34" s="21">
        <f>AJ8+AH14</f>
        <v>0.787</v>
      </c>
    </row>
    <row r="35" spans="20:35">
      <c r="T35" s="19" t="s">
        <v>68</v>
      </c>
      <c r="U35" s="19">
        <f>U29+U30+U24</f>
        <v>1644.198336</v>
      </c>
      <c r="AG35" s="19" t="s">
        <v>65</v>
      </c>
      <c r="AH35" s="21">
        <f>AK8+AH15+AE7</f>
        <v>2.602</v>
      </c>
      <c r="AI35" s="19">
        <f>AH35/AH34</f>
        <v>3.30622617534943</v>
      </c>
    </row>
    <row r="36" spans="20:34">
      <c r="T36" s="19" t="s">
        <v>69</v>
      </c>
      <c r="U36" s="21">
        <f>R6+U16+U26</f>
        <v>0.946</v>
      </c>
      <c r="AG36" s="19" t="s">
        <v>68</v>
      </c>
      <c r="AH36" s="19">
        <f>AH24+AH28+AH33</f>
        <v>2571.371</v>
      </c>
    </row>
    <row r="37" spans="33:34">
      <c r="AG37" s="19" t="s">
        <v>69</v>
      </c>
      <c r="AH37" s="21">
        <f>AE6+AH16+AH27</f>
        <v>0.616</v>
      </c>
    </row>
    <row r="38" spans="19:21">
      <c r="S38" s="19" t="s">
        <v>70</v>
      </c>
      <c r="T38" s="19" t="s">
        <v>71</v>
      </c>
      <c r="U38" s="21">
        <v>0.0626</v>
      </c>
    </row>
    <row r="39" spans="20:34">
      <c r="T39" s="19" t="s">
        <v>72</v>
      </c>
      <c r="U39" s="19">
        <f>U38*U34+U35</f>
        <v>3794.1547712</v>
      </c>
      <c r="AG39" s="19" t="s">
        <v>73</v>
      </c>
      <c r="AH39" s="21">
        <v>1.77</v>
      </c>
    </row>
    <row r="40" spans="33:34">
      <c r="AG40" s="19" t="s">
        <v>74</v>
      </c>
      <c r="AH40" s="23">
        <v>1.73</v>
      </c>
    </row>
    <row r="41" spans="20:34">
      <c r="T41" s="19" t="s">
        <v>75</v>
      </c>
      <c r="U41" s="23">
        <v>1.15</v>
      </c>
      <c r="AG41" s="19" t="s">
        <v>76</v>
      </c>
      <c r="AH41" s="23">
        <v>1.95</v>
      </c>
    </row>
    <row r="42" spans="20:34">
      <c r="T42" s="19" t="s">
        <v>77</v>
      </c>
      <c r="U42" s="21">
        <v>0.836</v>
      </c>
      <c r="AG42" s="19" t="s">
        <v>78</v>
      </c>
      <c r="AH42" s="23">
        <v>2.65</v>
      </c>
    </row>
    <row r="43" spans="20:34">
      <c r="T43" s="19" t="s">
        <v>79</v>
      </c>
      <c r="U43" s="21">
        <v>2.426</v>
      </c>
      <c r="AH43" s="21"/>
    </row>
    <row r="44" spans="33:34">
      <c r="AG44" s="19" t="s">
        <v>80</v>
      </c>
      <c r="AH44" s="21">
        <v>1.7</v>
      </c>
    </row>
    <row r="45" spans="19:34">
      <c r="S45" s="19" t="s">
        <v>81</v>
      </c>
      <c r="T45" s="19" t="s">
        <v>82</v>
      </c>
      <c r="AG45" s="19" t="s">
        <v>83</v>
      </c>
      <c r="AH45" s="23">
        <v>1.76</v>
      </c>
    </row>
    <row r="46" spans="20:34">
      <c r="T46" s="19" t="s">
        <v>84</v>
      </c>
      <c r="U46" s="19">
        <v>9</v>
      </c>
      <c r="AG46" s="19" t="s">
        <v>85</v>
      </c>
      <c r="AH46" s="23">
        <v>2.32</v>
      </c>
    </row>
    <row r="47" spans="20:41">
      <c r="T47" s="19" t="s">
        <v>86</v>
      </c>
      <c r="U47" s="19">
        <f>(U39*(U42+U43)*9+U41*U39*3)/9</f>
        <v>13830.9588592811</v>
      </c>
      <c r="AM47" s="19">
        <v>34</v>
      </c>
      <c r="AN47" s="19" t="s">
        <v>87</v>
      </c>
      <c r="AO47" s="19" t="s">
        <v>88</v>
      </c>
    </row>
    <row r="48" spans="20:41">
      <c r="T48" s="19" t="s">
        <v>89</v>
      </c>
      <c r="U48" s="19">
        <f>U47*(1+U32*(U33-1))*(1+U36)</f>
        <v>89147.7998426336</v>
      </c>
      <c r="AG48" s="19" t="s">
        <v>90</v>
      </c>
      <c r="AH48" s="23">
        <v>3.67</v>
      </c>
      <c r="AM48" s="19">
        <v>40</v>
      </c>
      <c r="AN48" s="19" t="s">
        <v>91</v>
      </c>
      <c r="AO48" s="19" t="s">
        <v>92</v>
      </c>
    </row>
    <row r="49" spans="19:40">
      <c r="S49" s="19" t="s">
        <v>93</v>
      </c>
      <c r="AG49" s="19" t="s">
        <v>94</v>
      </c>
      <c r="AH49" s="23">
        <v>1.08</v>
      </c>
      <c r="AM49" s="19">
        <v>43</v>
      </c>
      <c r="AN49" s="19" t="s">
        <v>95</v>
      </c>
    </row>
    <row r="50" spans="20:34">
      <c r="T50" s="19" t="s">
        <v>96</v>
      </c>
      <c r="U50" s="19">
        <f>16-8</f>
        <v>8</v>
      </c>
      <c r="AG50" s="19" t="s">
        <v>97</v>
      </c>
      <c r="AH50" s="19">
        <v>2</v>
      </c>
    </row>
    <row r="51" spans="20:39">
      <c r="T51" s="19" t="s">
        <v>98</v>
      </c>
      <c r="U51" s="19">
        <f>(U35*(U42+U43)*8)/8</f>
        <v>5363.374972032</v>
      </c>
      <c r="AG51" s="19" t="s">
        <v>99</v>
      </c>
      <c r="AH51" s="23">
        <v>3.67</v>
      </c>
      <c r="AM51" s="19">
        <v>57</v>
      </c>
    </row>
    <row r="52" spans="20:39">
      <c r="T52" s="19" t="s">
        <v>89</v>
      </c>
      <c r="U52" s="19">
        <f>U51*(1+U32*(U33-1))*(1+U36)</f>
        <v>34569.7708562595</v>
      </c>
      <c r="AG52" s="19" t="s">
        <v>100</v>
      </c>
      <c r="AH52" s="19">
        <v>8</v>
      </c>
      <c r="AM52" s="19">
        <v>1</v>
      </c>
    </row>
    <row r="53" spans="33:43">
      <c r="AG53" s="19" t="s">
        <v>101</v>
      </c>
      <c r="AH53" s="19">
        <v>12</v>
      </c>
      <c r="AP53" s="19" t="s">
        <v>102</v>
      </c>
      <c r="AQ53" s="19" t="s">
        <v>103</v>
      </c>
    </row>
    <row r="54" spans="35:43">
      <c r="AI54" s="19" t="s">
        <v>104</v>
      </c>
      <c r="AM54" s="19" t="s">
        <v>105</v>
      </c>
      <c r="AN54" s="19">
        <v>4</v>
      </c>
      <c r="AO54" s="19">
        <f>SUM(AH39:AH42)</f>
        <v>8.1</v>
      </c>
      <c r="AP54" s="19">
        <f>35.92/10</f>
        <v>3.592</v>
      </c>
      <c r="AQ54" s="19">
        <f>AO54/AP54</f>
        <v>2.25501113585746</v>
      </c>
    </row>
    <row r="55" spans="19:41">
      <c r="S55" s="19" t="s">
        <v>106</v>
      </c>
      <c r="T55" s="19" t="s">
        <v>107</v>
      </c>
      <c r="U55" s="19">
        <f>(U46*U48+U50*U52)/(U46+U50)</f>
        <v>63464.0214961046</v>
      </c>
      <c r="AF55" s="19" t="s">
        <v>108</v>
      </c>
      <c r="AG55" s="19" t="s">
        <v>109</v>
      </c>
      <c r="AH55" s="19">
        <f>SUM(AH48+AH49*AH50+AH51)</f>
        <v>9.5</v>
      </c>
      <c r="AI55" s="19">
        <v>1</v>
      </c>
      <c r="AM55" s="19" t="s">
        <v>110</v>
      </c>
      <c r="AN55" s="19">
        <v>4</v>
      </c>
      <c r="AO55" s="19">
        <f>SUM(AH44:AH46,AH39*4)</f>
        <v>12.86</v>
      </c>
    </row>
    <row r="56" spans="33:35">
      <c r="AG56" s="19" t="s">
        <v>111</v>
      </c>
      <c r="AH56" s="19">
        <f t="shared" ref="AH56:AH60" si="3">SUM($AH$39:$AH$42)</f>
        <v>8.1</v>
      </c>
      <c r="AI56" s="19">
        <f t="shared" ref="AI56:AI60" si="4">$AP$54</f>
        <v>3.592</v>
      </c>
    </row>
    <row r="57" spans="33:34">
      <c r="AG57" s="19" t="s">
        <v>80</v>
      </c>
      <c r="AH57" s="19">
        <f>AH44</f>
        <v>1.7</v>
      </c>
    </row>
    <row r="58" spans="33:35">
      <c r="AG58" s="19" t="s">
        <v>111</v>
      </c>
      <c r="AH58" s="19">
        <f t="shared" si="3"/>
        <v>8.1</v>
      </c>
      <c r="AI58" s="19">
        <f t="shared" si="4"/>
        <v>3.592</v>
      </c>
    </row>
    <row r="59" spans="19:34">
      <c r="S59" s="19" t="s">
        <v>112</v>
      </c>
      <c r="T59" s="19" t="s">
        <v>113</v>
      </c>
      <c r="U59" s="23">
        <v>6.17</v>
      </c>
      <c r="AG59" s="19" t="s">
        <v>83</v>
      </c>
      <c r="AH59" s="19">
        <f>AH45</f>
        <v>1.76</v>
      </c>
    </row>
    <row r="60" spans="20:35">
      <c r="T60" s="19" t="s">
        <v>114</v>
      </c>
      <c r="U60" s="19">
        <f>(U39*(U42+U43)*8+U41*U39*3+U59*U39)/8</f>
        <v>16939.0039760224</v>
      </c>
      <c r="AG60" s="19" t="s">
        <v>111</v>
      </c>
      <c r="AH60" s="19">
        <f t="shared" si="3"/>
        <v>8.1</v>
      </c>
      <c r="AI60" s="19">
        <f t="shared" si="4"/>
        <v>3.592</v>
      </c>
    </row>
    <row r="61" spans="20:34">
      <c r="T61" s="19" t="s">
        <v>89</v>
      </c>
      <c r="U61" s="19">
        <f>U60*(1+U32*(U33-1))*(1+U36)</f>
        <v>109180.784308002</v>
      </c>
      <c r="AG61" s="19" t="s">
        <v>85</v>
      </c>
      <c r="AH61" s="19">
        <f>AH46</f>
        <v>2.32</v>
      </c>
    </row>
    <row r="62" spans="20:35">
      <c r="T62" s="19" t="s">
        <v>107</v>
      </c>
      <c r="U62" s="19">
        <f>(U46*U61+U50*U52)/(U46+U50)</f>
        <v>74069.719154241</v>
      </c>
      <c r="AG62" s="19" t="s">
        <v>111</v>
      </c>
      <c r="AH62" s="19">
        <f>SUM($AH$39:$AH$42)</f>
        <v>8.1</v>
      </c>
      <c r="AI62" s="19">
        <f>$AP$54</f>
        <v>3.592</v>
      </c>
    </row>
    <row r="63" spans="33:35">
      <c r="AG63" s="19" t="s">
        <v>115</v>
      </c>
      <c r="AI63" s="19">
        <f>10+AI56+AI55</f>
        <v>14.592</v>
      </c>
    </row>
    <row r="65" spans="33:34">
      <c r="AG65" s="19" t="s">
        <v>116</v>
      </c>
      <c r="AH65" s="19">
        <f>SUM(AH55:AH62)/AI63</f>
        <v>3.26754385964912</v>
      </c>
    </row>
    <row r="66" spans="33:34">
      <c r="AG66" s="19" t="s">
        <v>117</v>
      </c>
      <c r="AH66" s="19">
        <f>AH65*AH36</f>
        <v>8402.06752192982</v>
      </c>
    </row>
    <row r="67" spans="33:37">
      <c r="AG67" s="19" t="s">
        <v>89</v>
      </c>
      <c r="AH67" s="19">
        <f>AH66*(1+AH34*(AH35-1))*(1+AH37)*(1+AH23*0.5)</f>
        <v>36835.4449110175</v>
      </c>
      <c r="AK67" s="21">
        <f>U62/AH67</f>
        <v>2.01082732496294</v>
      </c>
    </row>
  </sheetData>
  <pageMargins left="0.75" right="0.75" top="1" bottom="1" header="0.5" footer="0.5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41"/>
  <sheetViews>
    <sheetView workbookViewId="0">
      <pane xSplit="1" ySplit="1" topLeftCell="B29" activePane="bottomRight" state="frozen"/>
      <selection/>
      <selection pane="topRight"/>
      <selection pane="bottomLeft"/>
      <selection pane="bottomRight" activeCell="C19" sqref="C19"/>
    </sheetView>
  </sheetViews>
  <sheetFormatPr defaultColWidth="9" defaultRowHeight="16.5" outlineLevelCol="5"/>
  <cols>
    <col min="1" max="1" width="9" style="107"/>
    <col min="2" max="2" width="47.125" style="107" customWidth="1"/>
    <col min="3" max="3" width="50" style="7" customWidth="1"/>
    <col min="4" max="4" width="25.5" style="92" customWidth="1"/>
    <col min="5" max="6" width="16.125" style="7" customWidth="1"/>
    <col min="7" max="16384" width="9" style="7"/>
  </cols>
  <sheetData>
    <row r="1" spans="1:6">
      <c r="A1" s="107" t="s">
        <v>118</v>
      </c>
      <c r="B1" s="107" t="s">
        <v>104</v>
      </c>
      <c r="C1" s="7" t="s">
        <v>119</v>
      </c>
      <c r="D1" s="92" t="s">
        <v>120</v>
      </c>
      <c r="E1" s="7" t="s">
        <v>121</v>
      </c>
      <c r="F1" s="7" t="s">
        <v>122</v>
      </c>
    </row>
    <row r="2" spans="1:5">
      <c r="A2" s="107" t="s">
        <v>123</v>
      </c>
      <c r="B2" s="107" t="s">
        <v>124</v>
      </c>
      <c r="E2" s="7" t="s">
        <v>125</v>
      </c>
    </row>
    <row r="3" spans="2:5">
      <c r="B3" s="107" t="s">
        <v>126</v>
      </c>
      <c r="E3" s="7" t="s">
        <v>127</v>
      </c>
    </row>
    <row r="4" ht="49.5" spans="1:5">
      <c r="A4" s="107" t="s">
        <v>128</v>
      </c>
      <c r="B4" s="7" t="s">
        <v>129</v>
      </c>
      <c r="C4" s="95" t="s">
        <v>130</v>
      </c>
      <c r="D4" s="108" t="s">
        <v>131</v>
      </c>
      <c r="E4" s="7" t="s">
        <v>132</v>
      </c>
    </row>
    <row r="5" spans="2:5">
      <c r="B5" s="7" t="s">
        <v>133</v>
      </c>
      <c r="E5" s="7" t="s">
        <v>134</v>
      </c>
    </row>
    <row r="6" spans="1:5">
      <c r="A6" s="107" t="s">
        <v>135</v>
      </c>
      <c r="B6" s="7" t="s">
        <v>136</v>
      </c>
      <c r="C6" s="7" t="s">
        <v>137</v>
      </c>
      <c r="D6" s="92" t="s">
        <v>138</v>
      </c>
      <c r="E6" s="7" t="s">
        <v>139</v>
      </c>
    </row>
    <row r="7" spans="2:5">
      <c r="B7" s="7" t="s">
        <v>140</v>
      </c>
      <c r="E7" s="7" t="s">
        <v>141</v>
      </c>
    </row>
    <row r="8" spans="1:5">
      <c r="A8" s="107" t="s">
        <v>142</v>
      </c>
      <c r="B8" s="7" t="s">
        <v>143</v>
      </c>
      <c r="C8" s="7" t="s">
        <v>144</v>
      </c>
      <c r="D8" s="92" t="s">
        <v>145</v>
      </c>
      <c r="E8" s="7" t="s">
        <v>146</v>
      </c>
    </row>
    <row r="9" spans="2:5">
      <c r="B9" s="7" t="s">
        <v>147</v>
      </c>
      <c r="E9" s="7" t="s">
        <v>148</v>
      </c>
    </row>
    <row r="10" spans="2:5">
      <c r="B10" s="7" t="s">
        <v>149</v>
      </c>
      <c r="E10" s="7" t="s">
        <v>150</v>
      </c>
    </row>
    <row r="11" ht="49.5" spans="1:5">
      <c r="A11" s="107" t="s">
        <v>151</v>
      </c>
      <c r="B11" s="7" t="s">
        <v>152</v>
      </c>
      <c r="C11" s="95" t="s">
        <v>153</v>
      </c>
      <c r="D11" s="108" t="s">
        <v>131</v>
      </c>
      <c r="E11" s="7" t="s">
        <v>154</v>
      </c>
    </row>
    <row r="12" spans="2:5">
      <c r="B12" s="7" t="s">
        <v>155</v>
      </c>
      <c r="E12" s="7" t="s">
        <v>156</v>
      </c>
    </row>
    <row r="13" ht="99" spans="1:5">
      <c r="A13" s="107" t="s">
        <v>157</v>
      </c>
      <c r="B13" s="7" t="s">
        <v>158</v>
      </c>
      <c r="C13" s="45" t="s">
        <v>159</v>
      </c>
      <c r="D13" s="108" t="s">
        <v>160</v>
      </c>
      <c r="E13" s="7" t="s">
        <v>161</v>
      </c>
    </row>
    <row r="14" spans="2:5">
      <c r="B14" s="7" t="s">
        <v>162</v>
      </c>
      <c r="E14" s="7" t="s">
        <v>163</v>
      </c>
    </row>
    <row r="15" ht="33" spans="1:5">
      <c r="A15" s="107" t="s">
        <v>164</v>
      </c>
      <c r="B15" s="7" t="s">
        <v>165</v>
      </c>
      <c r="C15" s="45" t="s">
        <v>166</v>
      </c>
      <c r="D15" s="108" t="s">
        <v>145</v>
      </c>
      <c r="E15" s="7" t="s">
        <v>167</v>
      </c>
    </row>
    <row r="16" spans="2:5">
      <c r="B16" s="7" t="s">
        <v>168</v>
      </c>
      <c r="C16" s="7" t="s">
        <v>169</v>
      </c>
      <c r="E16" s="7" t="s">
        <v>170</v>
      </c>
    </row>
    <row r="17" ht="115.5" spans="1:5">
      <c r="A17" s="107" t="s">
        <v>171</v>
      </c>
      <c r="B17" s="7" t="s">
        <v>172</v>
      </c>
      <c r="C17" s="45" t="s">
        <v>173</v>
      </c>
      <c r="D17" s="108" t="s">
        <v>174</v>
      </c>
      <c r="E17" s="7" t="s">
        <v>175</v>
      </c>
    </row>
    <row r="18" spans="2:5">
      <c r="B18" s="7" t="s">
        <v>176</v>
      </c>
      <c r="E18" s="7" t="s">
        <v>177</v>
      </c>
    </row>
    <row r="19" ht="66" spans="1:5">
      <c r="A19" s="107" t="s">
        <v>178</v>
      </c>
      <c r="B19" s="7" t="s">
        <v>179</v>
      </c>
      <c r="C19" s="45" t="s">
        <v>180</v>
      </c>
      <c r="D19" s="108" t="s">
        <v>181</v>
      </c>
      <c r="E19" s="7" t="s">
        <v>182</v>
      </c>
    </row>
    <row r="20" spans="2:5">
      <c r="B20" s="7" t="s">
        <v>183</v>
      </c>
      <c r="E20" s="7" t="s">
        <v>184</v>
      </c>
    </row>
    <row r="21" ht="33" spans="1:5">
      <c r="A21" s="107" t="s">
        <v>185</v>
      </c>
      <c r="B21" s="7" t="s">
        <v>186</v>
      </c>
      <c r="C21" s="45" t="s">
        <v>187</v>
      </c>
      <c r="D21" s="108" t="s">
        <v>138</v>
      </c>
      <c r="E21" s="7" t="s">
        <v>188</v>
      </c>
    </row>
    <row r="22" spans="2:5">
      <c r="B22" s="7" t="s">
        <v>189</v>
      </c>
      <c r="E22" s="7" t="s">
        <v>190</v>
      </c>
    </row>
    <row r="23" ht="66" spans="1:6">
      <c r="A23" s="107" t="s">
        <v>191</v>
      </c>
      <c r="B23" s="7" t="s">
        <v>192</v>
      </c>
      <c r="C23" s="45" t="s">
        <v>193</v>
      </c>
      <c r="D23" s="108" t="s">
        <v>145</v>
      </c>
      <c r="E23" s="7" t="s">
        <v>194</v>
      </c>
      <c r="F23" s="7" t="s">
        <v>195</v>
      </c>
    </row>
    <row r="24" spans="2:5">
      <c r="B24" s="7" t="s">
        <v>196</v>
      </c>
      <c r="E24" s="7" t="s">
        <v>197</v>
      </c>
    </row>
    <row r="25" ht="66" spans="1:6">
      <c r="A25" s="107" t="s">
        <v>198</v>
      </c>
      <c r="B25" s="7" t="s">
        <v>199</v>
      </c>
      <c r="C25" s="45" t="s">
        <v>200</v>
      </c>
      <c r="D25" s="92" t="s">
        <v>131</v>
      </c>
      <c r="E25" s="7" t="s">
        <v>201</v>
      </c>
      <c r="F25" s="7" t="s">
        <v>202</v>
      </c>
    </row>
    <row r="26" spans="2:6">
      <c r="B26" s="7" t="s">
        <v>203</v>
      </c>
      <c r="E26" s="7" t="s">
        <v>204</v>
      </c>
      <c r="F26" s="7" t="s">
        <v>205</v>
      </c>
    </row>
    <row r="27" ht="66" spans="1:5">
      <c r="A27" s="107" t="s">
        <v>206</v>
      </c>
      <c r="B27" s="7" t="s">
        <v>207</v>
      </c>
      <c r="C27" s="45" t="s">
        <v>208</v>
      </c>
      <c r="E27" s="7" t="s">
        <v>209</v>
      </c>
    </row>
    <row r="28" spans="2:6">
      <c r="B28" s="7" t="s">
        <v>210</v>
      </c>
      <c r="E28" s="7" t="s">
        <v>211</v>
      </c>
      <c r="F28" s="7" t="s">
        <v>212</v>
      </c>
    </row>
    <row r="29" ht="49.5" spans="1:6">
      <c r="A29" s="107" t="s">
        <v>213</v>
      </c>
      <c r="B29" s="7" t="s">
        <v>214</v>
      </c>
      <c r="C29" s="45" t="s">
        <v>215</v>
      </c>
      <c r="D29" s="92" t="s">
        <v>138</v>
      </c>
      <c r="E29" s="7" t="s">
        <v>216</v>
      </c>
      <c r="F29" s="7" t="s">
        <v>217</v>
      </c>
    </row>
    <row r="30" spans="2:5">
      <c r="B30" s="7" t="s">
        <v>218</v>
      </c>
      <c r="E30" s="7" t="s">
        <v>219</v>
      </c>
    </row>
    <row r="31" ht="33" spans="1:6">
      <c r="A31" s="107" t="s">
        <v>220</v>
      </c>
      <c r="B31" s="7" t="s">
        <v>221</v>
      </c>
      <c r="C31" s="45" t="s">
        <v>222</v>
      </c>
      <c r="D31" s="92" t="s">
        <v>131</v>
      </c>
      <c r="E31" s="7" t="s">
        <v>223</v>
      </c>
      <c r="F31" s="7" t="s">
        <v>224</v>
      </c>
    </row>
    <row r="32" spans="2:5">
      <c r="B32" s="7" t="s">
        <v>225</v>
      </c>
      <c r="E32" s="7" t="s">
        <v>226</v>
      </c>
    </row>
    <row r="33" ht="66" spans="1:6">
      <c r="A33" s="107" t="s">
        <v>227</v>
      </c>
      <c r="B33" s="7" t="s">
        <v>228</v>
      </c>
      <c r="C33" s="45" t="s">
        <v>229</v>
      </c>
      <c r="E33" s="7" t="s">
        <v>230</v>
      </c>
      <c r="F33" s="7" t="s">
        <v>231</v>
      </c>
    </row>
    <row r="34" spans="2:5">
      <c r="B34" s="7" t="s">
        <v>232</v>
      </c>
      <c r="E34" s="7" t="s">
        <v>233</v>
      </c>
    </row>
    <row r="35" ht="49.5" spans="1:6">
      <c r="A35" s="107" t="s">
        <v>234</v>
      </c>
      <c r="B35" s="7" t="s">
        <v>235</v>
      </c>
      <c r="C35" s="45" t="s">
        <v>236</v>
      </c>
      <c r="D35" s="92" t="s">
        <v>237</v>
      </c>
      <c r="E35" s="7" t="s">
        <v>238</v>
      </c>
      <c r="F35" s="7" t="s">
        <v>239</v>
      </c>
    </row>
    <row r="36" spans="2:6">
      <c r="B36" s="7" t="s">
        <v>240</v>
      </c>
      <c r="E36" s="7" t="s">
        <v>241</v>
      </c>
      <c r="F36" s="7" t="s">
        <v>242</v>
      </c>
    </row>
    <row r="37" ht="49.5" spans="1:6">
      <c r="A37" s="107" t="s">
        <v>243</v>
      </c>
      <c r="B37" s="7" t="s">
        <v>244</v>
      </c>
      <c r="C37" s="45" t="s">
        <v>245</v>
      </c>
      <c r="D37" s="92" t="s">
        <v>181</v>
      </c>
      <c r="E37" s="7" t="s">
        <v>246</v>
      </c>
      <c r="F37" s="7" t="s">
        <v>247</v>
      </c>
    </row>
    <row r="38" spans="2:6">
      <c r="B38" s="7" t="s">
        <v>248</v>
      </c>
      <c r="E38" s="7" t="s">
        <v>249</v>
      </c>
      <c r="F38" s="7" t="s">
        <v>250</v>
      </c>
    </row>
    <row r="39" ht="33" spans="1:6">
      <c r="A39" s="107" t="s">
        <v>251</v>
      </c>
      <c r="B39" s="7" t="s">
        <v>252</v>
      </c>
      <c r="C39" s="45" t="s">
        <v>253</v>
      </c>
      <c r="D39" s="92" t="s">
        <v>131</v>
      </c>
      <c r="E39" s="7" t="s">
        <v>254</v>
      </c>
      <c r="F39" s="7" t="s">
        <v>255</v>
      </c>
    </row>
    <row r="40" spans="2:6">
      <c r="B40" s="7" t="s">
        <v>256</v>
      </c>
      <c r="E40" s="7" t="s">
        <v>257</v>
      </c>
      <c r="F40" s="7" t="s">
        <v>258</v>
      </c>
    </row>
    <row r="41" spans="1:1">
      <c r="A41" s="107" t="s">
        <v>259</v>
      </c>
    </row>
  </sheetData>
  <autoFilter ref="A1:F41">
    <extLst/>
  </autoFilter>
  <conditionalFormatting sqref="B$1:B$1048576">
    <cfRule type="duplicateValues" dxfId="0" priority="3"/>
  </conditionalFormatting>
  <conditionalFormatting sqref="E2:F40">
    <cfRule type="duplicateValues" dxfId="0" priority="2"/>
  </conditionalFormatting>
  <conditionalFormatting sqref="E2:F1048576">
    <cfRule type="expression" dxfId="1" priority="1">
      <formula>IF(E2="",0,IFERROR(IF(FIND("（",E2)&gt;0,0,1),1))</formula>
    </cfRule>
  </conditionalFormatting>
  <pageMargins left="0.75" right="0.75" top="1" bottom="1" header="0.5" footer="0.5"/>
  <pageSetup paperSize="9" orientation="portrait"/>
  <headerFooter/>
  <ignoredErrors>
    <ignoredError sqref="A2:A41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tabSelected="1" zoomScale="85" zoomScaleNormal="85" topLeftCell="A15" workbookViewId="0">
      <selection activeCell="K44" sqref="K44"/>
    </sheetView>
  </sheetViews>
  <sheetFormatPr defaultColWidth="9" defaultRowHeight="13.5"/>
  <cols>
    <col min="1" max="16384" width="9" style="106"/>
  </cols>
  <sheetData/>
  <pageMargins left="0.75" right="0.75" top="1" bottom="1" header="0.5" footer="0.5"/>
  <pageSetup paperSize="9" orientation="portrait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32"/>
  <sheetViews>
    <sheetView workbookViewId="0">
      <selection activeCell="C22" sqref="C22"/>
    </sheetView>
  </sheetViews>
  <sheetFormatPr defaultColWidth="9" defaultRowHeight="16.5"/>
  <cols>
    <col min="1" max="1" width="5.125" style="7" customWidth="1"/>
    <col min="2" max="2" width="12.125" style="7" customWidth="1"/>
    <col min="3" max="3" width="36.375" style="7" customWidth="1"/>
    <col min="4" max="4" width="10.875" style="7" customWidth="1"/>
    <col min="5" max="5" width="10" style="7" customWidth="1"/>
    <col min="6" max="6" width="13.75" style="7" customWidth="1"/>
    <col min="7" max="7" width="10.875" style="7" customWidth="1"/>
    <col min="8" max="8" width="21.25" style="7" customWidth="1"/>
    <col min="9" max="9" width="25.375" style="7" customWidth="1"/>
    <col min="10" max="10" width="32.125" style="7" customWidth="1"/>
    <col min="11" max="12" width="14.125" style="7" customWidth="1"/>
    <col min="13" max="16384" width="9" style="7"/>
  </cols>
  <sheetData>
    <row r="1" spans="1:9">
      <c r="A1" s="1" t="s">
        <v>118</v>
      </c>
      <c r="B1" s="1" t="s">
        <v>104</v>
      </c>
      <c r="C1" s="1" t="s">
        <v>131</v>
      </c>
      <c r="D1" s="1" t="s">
        <v>145</v>
      </c>
      <c r="E1" s="1" t="s">
        <v>260</v>
      </c>
      <c r="F1" s="1" t="s">
        <v>138</v>
      </c>
      <c r="G1" s="1" t="s">
        <v>261</v>
      </c>
      <c r="H1" s="92" t="s">
        <v>262</v>
      </c>
      <c r="I1" s="7" t="s">
        <v>263</v>
      </c>
    </row>
    <row r="2" spans="1:8">
      <c r="A2" s="99" t="s">
        <v>123</v>
      </c>
      <c r="B2" s="100">
        <v>44102</v>
      </c>
      <c r="C2" s="101"/>
      <c r="D2" s="101"/>
      <c r="E2" s="101"/>
      <c r="F2" s="101"/>
      <c r="G2" s="101"/>
      <c r="H2" s="7" t="s">
        <v>264</v>
      </c>
    </row>
    <row r="3" spans="1:8">
      <c r="A3" s="99" t="s">
        <v>128</v>
      </c>
      <c r="B3" s="100">
        <v>44146</v>
      </c>
      <c r="C3" s="102" t="s">
        <v>265</v>
      </c>
      <c r="D3" s="102"/>
      <c r="E3" s="102"/>
      <c r="F3" s="102"/>
      <c r="G3" s="102"/>
      <c r="H3" s="103" t="s">
        <v>266</v>
      </c>
    </row>
    <row r="4" spans="1:8">
      <c r="A4" s="99" t="s">
        <v>135</v>
      </c>
      <c r="B4" s="100">
        <v>44188</v>
      </c>
      <c r="C4" s="101"/>
      <c r="D4" s="101"/>
      <c r="E4" s="1"/>
      <c r="F4" s="101" t="s">
        <v>267</v>
      </c>
      <c r="G4" s="101"/>
      <c r="H4" s="7" t="s">
        <v>268</v>
      </c>
    </row>
    <row r="5" spans="1:9">
      <c r="A5" s="99" t="s">
        <v>142</v>
      </c>
      <c r="B5" s="100">
        <v>44230</v>
      </c>
      <c r="C5" s="101"/>
      <c r="D5" s="101" t="s">
        <v>269</v>
      </c>
      <c r="E5" s="101"/>
      <c r="F5" s="101"/>
      <c r="G5" s="101"/>
      <c r="H5" s="42" t="s">
        <v>270</v>
      </c>
      <c r="I5" s="42" t="s">
        <v>148</v>
      </c>
    </row>
    <row r="6" spans="1:9">
      <c r="A6" s="99" t="s">
        <v>151</v>
      </c>
      <c r="B6" s="100">
        <v>44272</v>
      </c>
      <c r="C6" s="102" t="s">
        <v>271</v>
      </c>
      <c r="D6" s="102"/>
      <c r="E6" s="102"/>
      <c r="F6" s="102"/>
      <c r="G6" s="102"/>
      <c r="H6" s="104"/>
      <c r="I6" s="42" t="s">
        <v>272</v>
      </c>
    </row>
    <row r="7" spans="1:9">
      <c r="A7" s="99" t="s">
        <v>157</v>
      </c>
      <c r="B7" s="100">
        <v>44314</v>
      </c>
      <c r="C7" s="102"/>
      <c r="D7" s="102"/>
      <c r="E7" s="102" t="s">
        <v>273</v>
      </c>
      <c r="F7" s="102"/>
      <c r="G7" s="102"/>
      <c r="H7" s="104" t="s">
        <v>163</v>
      </c>
      <c r="I7" s="103" t="s">
        <v>134</v>
      </c>
    </row>
    <row r="8" spans="1:9">
      <c r="A8" s="99" t="s">
        <v>164</v>
      </c>
      <c r="B8" s="100">
        <v>44356</v>
      </c>
      <c r="C8" s="102" t="s">
        <v>274</v>
      </c>
      <c r="D8" s="101" t="s">
        <v>275</v>
      </c>
      <c r="E8" s="102"/>
      <c r="F8" s="1"/>
      <c r="G8" s="101" t="s">
        <v>275</v>
      </c>
      <c r="H8" s="104" t="s">
        <v>170</v>
      </c>
      <c r="I8" s="42" t="s">
        <v>127</v>
      </c>
    </row>
    <row r="9" ht="33" spans="1:9">
      <c r="A9" s="99" t="s">
        <v>171</v>
      </c>
      <c r="B9" s="100">
        <v>44398</v>
      </c>
      <c r="C9" s="82" t="s">
        <v>276</v>
      </c>
      <c r="D9" s="102"/>
      <c r="E9" s="102"/>
      <c r="F9" s="102" t="s">
        <v>277</v>
      </c>
      <c r="G9" s="102"/>
      <c r="H9" s="42" t="s">
        <v>278</v>
      </c>
      <c r="I9" s="42"/>
    </row>
    <row r="10" spans="1:9">
      <c r="A10" s="99" t="s">
        <v>178</v>
      </c>
      <c r="B10" s="100">
        <v>44440</v>
      </c>
      <c r="C10" s="102" t="s">
        <v>279</v>
      </c>
      <c r="D10" s="102"/>
      <c r="E10" s="102" t="s">
        <v>280</v>
      </c>
      <c r="F10" s="102" t="s">
        <v>281</v>
      </c>
      <c r="G10" s="102"/>
      <c r="H10" s="42" t="s">
        <v>282</v>
      </c>
      <c r="I10" s="42"/>
    </row>
    <row r="11" spans="1:9">
      <c r="A11" s="99" t="s">
        <v>185</v>
      </c>
      <c r="B11" s="100">
        <v>44482</v>
      </c>
      <c r="C11" s="102"/>
      <c r="D11" s="102"/>
      <c r="E11" s="102"/>
      <c r="F11" s="102" t="s">
        <v>283</v>
      </c>
      <c r="G11" s="102"/>
      <c r="H11" s="104"/>
      <c r="I11" s="42" t="s">
        <v>284</v>
      </c>
    </row>
    <row r="12" spans="1:9">
      <c r="A12" s="99" t="s">
        <v>191</v>
      </c>
      <c r="B12" s="100">
        <v>44524</v>
      </c>
      <c r="C12" s="102"/>
      <c r="D12" s="102"/>
      <c r="E12" s="102" t="s">
        <v>285</v>
      </c>
      <c r="F12" s="102"/>
      <c r="G12" s="102"/>
      <c r="H12" s="104" t="s">
        <v>197</v>
      </c>
      <c r="I12" s="42" t="s">
        <v>286</v>
      </c>
    </row>
    <row r="13" spans="1:9">
      <c r="A13" s="99" t="s">
        <v>198</v>
      </c>
      <c r="B13" s="100">
        <v>44566</v>
      </c>
      <c r="C13" s="101" t="s">
        <v>287</v>
      </c>
      <c r="D13" s="101"/>
      <c r="E13" s="101"/>
      <c r="F13" s="101" t="s">
        <v>288</v>
      </c>
      <c r="G13" s="101"/>
      <c r="H13" s="42" t="s">
        <v>201</v>
      </c>
      <c r="I13" s="103" t="s">
        <v>289</v>
      </c>
    </row>
    <row r="14" spans="1:9">
      <c r="A14" s="99" t="s">
        <v>206</v>
      </c>
      <c r="B14" s="100">
        <v>44608</v>
      </c>
      <c r="C14" s="101"/>
      <c r="D14" s="101"/>
      <c r="E14" s="101"/>
      <c r="F14" s="101"/>
      <c r="G14" s="101" t="s">
        <v>290</v>
      </c>
      <c r="H14" s="42" t="s">
        <v>209</v>
      </c>
      <c r="I14" s="42" t="s">
        <v>291</v>
      </c>
    </row>
    <row r="15" spans="1:9">
      <c r="A15" s="99" t="s">
        <v>213</v>
      </c>
      <c r="B15" s="100">
        <v>44650</v>
      </c>
      <c r="C15" s="101" t="s">
        <v>292</v>
      </c>
      <c r="D15" s="101"/>
      <c r="E15" s="101"/>
      <c r="F15" s="101" t="s">
        <v>293</v>
      </c>
      <c r="G15" s="101"/>
      <c r="H15" s="42" t="s">
        <v>216</v>
      </c>
      <c r="I15" s="42" t="s">
        <v>294</v>
      </c>
    </row>
    <row r="16" spans="1:9">
      <c r="A16" s="99" t="s">
        <v>220</v>
      </c>
      <c r="B16" s="100">
        <v>44712</v>
      </c>
      <c r="C16" s="101" t="s">
        <v>295</v>
      </c>
      <c r="D16" s="101"/>
      <c r="E16" s="101"/>
      <c r="F16" s="101"/>
      <c r="G16" s="101"/>
      <c r="H16" s="7" t="s">
        <v>223</v>
      </c>
      <c r="I16" s="7" t="s">
        <v>296</v>
      </c>
    </row>
    <row r="17" spans="1:9">
      <c r="A17" s="99" t="s">
        <v>227</v>
      </c>
      <c r="B17" s="100">
        <v>44755</v>
      </c>
      <c r="C17" s="101"/>
      <c r="D17" s="101" t="s">
        <v>275</v>
      </c>
      <c r="E17" s="101"/>
      <c r="F17" s="101"/>
      <c r="G17" s="101" t="s">
        <v>275</v>
      </c>
      <c r="H17" s="92"/>
      <c r="I17" s="7" t="s">
        <v>297</v>
      </c>
    </row>
    <row r="18" ht="33" spans="1:9">
      <c r="A18" s="99" t="s">
        <v>234</v>
      </c>
      <c r="B18" s="100">
        <v>44797</v>
      </c>
      <c r="C18" s="102" t="s">
        <v>298</v>
      </c>
      <c r="D18" s="101"/>
      <c r="E18" s="101"/>
      <c r="F18" s="101" t="s">
        <v>299</v>
      </c>
      <c r="G18" s="101"/>
      <c r="H18" s="7" t="s">
        <v>238</v>
      </c>
      <c r="I18" s="103" t="s">
        <v>300</v>
      </c>
    </row>
    <row r="19" ht="33" spans="1:9">
      <c r="A19" s="99" t="s">
        <v>243</v>
      </c>
      <c r="B19" s="100">
        <v>44832</v>
      </c>
      <c r="C19" s="102" t="s">
        <v>301</v>
      </c>
      <c r="D19" s="101"/>
      <c r="E19" s="101"/>
      <c r="F19" s="101" t="s">
        <v>302</v>
      </c>
      <c r="G19" s="101"/>
      <c r="H19" s="92" t="s">
        <v>249</v>
      </c>
      <c r="I19" s="7" t="s">
        <v>303</v>
      </c>
    </row>
    <row r="20" spans="1:9">
      <c r="A20" s="99" t="s">
        <v>251</v>
      </c>
      <c r="B20" s="100">
        <v>44867</v>
      </c>
      <c r="C20" s="101" t="s">
        <v>304</v>
      </c>
      <c r="D20" s="101"/>
      <c r="E20" s="101"/>
      <c r="F20" s="101"/>
      <c r="G20" s="101"/>
      <c r="H20" s="7" t="s">
        <v>254</v>
      </c>
      <c r="I20" s="7" t="s">
        <v>305</v>
      </c>
    </row>
    <row r="32" spans="3:3">
      <c r="C32" s="105"/>
    </row>
  </sheetData>
  <conditionalFormatting sqref="B2:B20">
    <cfRule type="duplicateValues" dxfId="0" priority="3"/>
  </conditionalFormatting>
  <conditionalFormatting sqref="J2:J12 J14 J17 J19">
    <cfRule type="expression" dxfId="1" priority="1">
      <formula>IF(J2="",0,IFERROR(IF(FIND("（",J2)&gt;0,0,1),1))</formula>
    </cfRule>
    <cfRule type="duplicateValues" dxfId="0" priority="2"/>
  </conditionalFormatting>
  <pageMargins left="0.75" right="0.75" top="1" bottom="1" header="0.5" footer="0.5"/>
  <pageSetup paperSize="9" orientation="portrait"/>
  <headerFooter/>
  <ignoredErrors>
    <ignoredError sqref="A2:A20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Q53"/>
  <sheetViews>
    <sheetView workbookViewId="0">
      <selection activeCell="L34" sqref="L34"/>
    </sheetView>
  </sheetViews>
  <sheetFormatPr defaultColWidth="9" defaultRowHeight="16.5"/>
  <cols>
    <col min="1" max="2" width="9" style="7"/>
    <col min="3" max="3" width="14.875" style="7" customWidth="1"/>
    <col min="4" max="7" width="9" style="7"/>
    <col min="8" max="8" width="14.125" style="7"/>
    <col min="9" max="13" width="9" style="7"/>
    <col min="14" max="14" width="10.375" style="7"/>
    <col min="15" max="15" width="9" style="7"/>
    <col min="16" max="16" width="17.375" style="7" customWidth="1"/>
    <col min="17" max="17" width="14.125" style="7"/>
    <col min="18" max="16384" width="9" style="7"/>
  </cols>
  <sheetData>
    <row r="1" spans="1:11">
      <c r="A1" s="96" t="s">
        <v>306</v>
      </c>
      <c r="I1" s="7">
        <f>1.1*1.1</f>
        <v>1.21</v>
      </c>
      <c r="J1" s="7">
        <v>1.1</v>
      </c>
      <c r="K1" s="7">
        <v>1</v>
      </c>
    </row>
    <row r="2" spans="3:16">
      <c r="C2" s="1" t="s">
        <v>307</v>
      </c>
      <c r="D2" s="1"/>
      <c r="E2" s="1" t="s">
        <v>308</v>
      </c>
      <c r="F2" s="1"/>
      <c r="G2" s="1" t="s">
        <v>309</v>
      </c>
      <c r="H2" s="1"/>
      <c r="I2" s="7">
        <v>1</v>
      </c>
      <c r="J2" s="7">
        <v>3</v>
      </c>
      <c r="K2" s="7">
        <v>9</v>
      </c>
      <c r="P2" s="7" t="s">
        <v>310</v>
      </c>
    </row>
    <row r="3" spans="2:16">
      <c r="B3" s="7" t="s">
        <v>311</v>
      </c>
      <c r="C3" s="1" t="s">
        <v>312</v>
      </c>
      <c r="D3" s="1" t="s">
        <v>313</v>
      </c>
      <c r="E3" s="1" t="s">
        <v>312</v>
      </c>
      <c r="F3" s="1" t="s">
        <v>313</v>
      </c>
      <c r="G3" s="1" t="s">
        <v>312</v>
      </c>
      <c r="H3" s="1" t="s">
        <v>313</v>
      </c>
      <c r="I3" s="7" t="s">
        <v>314</v>
      </c>
      <c r="J3" s="7" t="s">
        <v>315</v>
      </c>
      <c r="K3" s="7" t="s">
        <v>316</v>
      </c>
      <c r="M3" s="7" t="s">
        <v>317</v>
      </c>
      <c r="O3" s="7" t="s">
        <v>318</v>
      </c>
      <c r="P3" s="7" t="s">
        <v>319</v>
      </c>
    </row>
    <row r="4" spans="1:17">
      <c r="A4" s="7">
        <v>27</v>
      </c>
      <c r="B4" s="7">
        <v>1</v>
      </c>
      <c r="C4" s="1">
        <v>3.19</v>
      </c>
      <c r="D4" s="6" t="s">
        <v>320</v>
      </c>
      <c r="E4" s="1"/>
      <c r="F4" s="1"/>
      <c r="G4" s="1"/>
      <c r="H4" s="1"/>
      <c r="I4" s="7">
        <f>C4</f>
        <v>3.19</v>
      </c>
      <c r="L4" s="7">
        <f>SUMPRODUCT($I$2:$K$2,I4:K4)</f>
        <v>3.19</v>
      </c>
      <c r="M4" s="52">
        <v>3.2</v>
      </c>
      <c r="N4" s="7">
        <f>M4/$M$4</f>
        <v>1</v>
      </c>
      <c r="P4" s="52">
        <f>SUMPRODUCT(I4:K4,$I$2:$K$2,$I$1:$K$1)</f>
        <v>3.8599</v>
      </c>
      <c r="Q4" s="98">
        <f>P4/$P$4</f>
        <v>1</v>
      </c>
    </row>
    <row r="5" spans="1:17">
      <c r="A5" s="7">
        <v>28</v>
      </c>
      <c r="B5" s="7">
        <v>2</v>
      </c>
      <c r="C5" s="1">
        <v>2.55</v>
      </c>
      <c r="D5" s="1" t="s">
        <v>321</v>
      </c>
      <c r="E5" s="1">
        <v>1</v>
      </c>
      <c r="F5" s="1">
        <v>1</v>
      </c>
      <c r="G5" s="1"/>
      <c r="H5" s="1"/>
      <c r="I5" s="7">
        <f>C5</f>
        <v>2.55</v>
      </c>
      <c r="J5" s="7">
        <f>E5</f>
        <v>1</v>
      </c>
      <c r="L5" s="7">
        <f>SUMPRODUCT($I$2:$K$2,I5:K5)</f>
        <v>5.55</v>
      </c>
      <c r="M5" s="52">
        <v>5.5</v>
      </c>
      <c r="N5" s="7">
        <f>M5/$M$4</f>
        <v>1.71875</v>
      </c>
      <c r="O5" s="98">
        <f t="shared" ref="O5:O7" si="0">M5/M4</f>
        <v>1.71875</v>
      </c>
      <c r="P5" s="52">
        <f>SUMPRODUCT(I5:K5,$I$2:$K$2,$I$1:$K$1)</f>
        <v>6.3855</v>
      </c>
      <c r="Q5" s="98">
        <f>P5/$P$4</f>
        <v>1.65431746936449</v>
      </c>
    </row>
    <row r="6" spans="1:17">
      <c r="A6" s="7">
        <v>36</v>
      </c>
      <c r="B6" s="7">
        <v>3</v>
      </c>
      <c r="C6" s="1">
        <v>1.81</v>
      </c>
      <c r="D6" s="1" t="s">
        <v>322</v>
      </c>
      <c r="E6" s="1">
        <v>2</v>
      </c>
      <c r="F6" s="1">
        <v>2</v>
      </c>
      <c r="G6" s="1"/>
      <c r="H6" s="1"/>
      <c r="I6" s="7">
        <f>C6</f>
        <v>1.81</v>
      </c>
      <c r="J6" s="7">
        <f>E6</f>
        <v>2</v>
      </c>
      <c r="L6" s="7">
        <f>SUMPRODUCT($I$2:$K$2,I6:K6)</f>
        <v>7.81</v>
      </c>
      <c r="M6" s="52">
        <v>7.8</v>
      </c>
      <c r="N6" s="7">
        <f>M6/$M$4</f>
        <v>2.4375</v>
      </c>
      <c r="O6" s="98">
        <f t="shared" si="0"/>
        <v>1.41818181818182</v>
      </c>
      <c r="P6" s="52">
        <f>SUMPRODUCT(I6:K6,$I$2:$K$2,$I$1:$K$1)</f>
        <v>8.7901</v>
      </c>
      <c r="Q6" s="98">
        <f>P6/$P$4</f>
        <v>2.27728697634654</v>
      </c>
    </row>
    <row r="7" spans="1:17">
      <c r="A7" s="7">
        <v>45</v>
      </c>
      <c r="B7" s="7">
        <v>4</v>
      </c>
      <c r="C7" s="1">
        <v>2.2</v>
      </c>
      <c r="D7" s="1" t="s">
        <v>321</v>
      </c>
      <c r="E7" s="1">
        <v>1.97</v>
      </c>
      <c r="F7" s="1" t="s">
        <v>323</v>
      </c>
      <c r="G7" s="1">
        <v>0.24</v>
      </c>
      <c r="H7" s="1" t="s">
        <v>323</v>
      </c>
      <c r="I7" s="7">
        <f>C7</f>
        <v>2.2</v>
      </c>
      <c r="J7" s="7">
        <f>E7</f>
        <v>1.97</v>
      </c>
      <c r="K7" s="7">
        <f>G7</f>
        <v>0.24</v>
      </c>
      <c r="L7" s="7">
        <f>SUMPRODUCT($I$2:$K$2,I7:K7)</f>
        <v>10.27</v>
      </c>
      <c r="M7" s="52">
        <v>10.09</v>
      </c>
      <c r="N7" s="7">
        <f>M7/$M$4</f>
        <v>3.153125</v>
      </c>
      <c r="O7" s="98">
        <f t="shared" si="0"/>
        <v>1.29358974358974</v>
      </c>
      <c r="P7" s="52">
        <f>SUMPRODUCT(I7:K7,$I$2:$K$2,$I$1:$K$1)</f>
        <v>11.323</v>
      </c>
      <c r="Q7" s="98">
        <f>P7/$P$4</f>
        <v>2.93349568641675</v>
      </c>
    </row>
    <row r="9" spans="2:3">
      <c r="B9" s="7" t="s">
        <v>324</v>
      </c>
      <c r="C9" s="7" t="s">
        <v>325</v>
      </c>
    </row>
    <row r="10" spans="2:3">
      <c r="B10" s="7">
        <v>1</v>
      </c>
      <c r="C10" s="7">
        <v>1</v>
      </c>
    </row>
    <row r="11" spans="2:3">
      <c r="B11" s="7">
        <v>2</v>
      </c>
      <c r="C11" s="7">
        <f>C10*3</f>
        <v>3</v>
      </c>
    </row>
    <row r="12" spans="2:3">
      <c r="B12" s="7">
        <v>3</v>
      </c>
      <c r="C12" s="7">
        <f>C11*3</f>
        <v>9</v>
      </c>
    </row>
    <row r="13" spans="2:2">
      <c r="B13" s="7" t="s">
        <v>326</v>
      </c>
    </row>
    <row r="15" spans="3:13">
      <c r="C15" s="7" t="s">
        <v>311</v>
      </c>
      <c r="D15" s="7">
        <v>1</v>
      </c>
      <c r="E15" s="97"/>
      <c r="F15" s="97"/>
      <c r="G15" s="7" t="s">
        <v>311</v>
      </c>
      <c r="H15" s="7">
        <v>2</v>
      </c>
      <c r="L15" s="7" t="s">
        <v>311</v>
      </c>
      <c r="M15" s="7">
        <v>3</v>
      </c>
    </row>
    <row r="16" spans="3:15">
      <c r="C16" s="97" t="s">
        <v>324</v>
      </c>
      <c r="D16" s="7">
        <v>1</v>
      </c>
      <c r="E16" s="7">
        <v>1</v>
      </c>
      <c r="G16" s="97" t="s">
        <v>324</v>
      </c>
      <c r="H16" s="7">
        <v>1</v>
      </c>
      <c r="I16" s="7">
        <v>1</v>
      </c>
      <c r="J16" s="7">
        <v>2</v>
      </c>
      <c r="L16" s="97" t="s">
        <v>324</v>
      </c>
      <c r="M16" s="7">
        <v>1</v>
      </c>
      <c r="N16" s="7">
        <v>1</v>
      </c>
      <c r="O16" s="7">
        <v>2</v>
      </c>
    </row>
    <row r="17" spans="3:15">
      <c r="C17" s="97" t="s">
        <v>327</v>
      </c>
      <c r="D17" s="7">
        <f>VLOOKUP(D16,$B$10:$C$12,2,0)</f>
        <v>1</v>
      </c>
      <c r="E17" s="7">
        <f>VLOOKUP(E16,$B$10:$C$12,2,0)</f>
        <v>1</v>
      </c>
      <c r="G17" s="97" t="s">
        <v>327</v>
      </c>
      <c r="H17" s="7">
        <f>VLOOKUP(H16,$B$10:$C$12,2,0)</f>
        <v>1</v>
      </c>
      <c r="I17" s="7">
        <f>VLOOKUP(I16,$B$10:$C$12,2,0)</f>
        <v>1</v>
      </c>
      <c r="J17" s="7">
        <f>VLOOKUP(J16,$B$10:$C$12,2,0)</f>
        <v>3</v>
      </c>
      <c r="L17" s="97" t="s">
        <v>327</v>
      </c>
      <c r="M17" s="7">
        <f>VLOOKUP(M16,$B$10:$C$12,2,0)</f>
        <v>1</v>
      </c>
      <c r="N17" s="7">
        <f>VLOOKUP(N16,$B$10:$C$12,2,0)</f>
        <v>1</v>
      </c>
      <c r="O17" s="7">
        <f>VLOOKUP(O16,$B$10:$C$12,2,0)</f>
        <v>3</v>
      </c>
    </row>
    <row r="18" spans="3:15">
      <c r="C18" s="7" t="s">
        <v>328</v>
      </c>
      <c r="D18" s="7">
        <v>3</v>
      </c>
      <c r="E18" s="7">
        <v>4</v>
      </c>
      <c r="G18" s="7" t="s">
        <v>328</v>
      </c>
      <c r="H18" s="7">
        <v>2</v>
      </c>
      <c r="I18" s="7">
        <v>3</v>
      </c>
      <c r="J18" s="7">
        <v>1</v>
      </c>
      <c r="L18" s="7" t="s">
        <v>328</v>
      </c>
      <c r="M18" s="7">
        <v>1</v>
      </c>
      <c r="N18" s="7">
        <v>2</v>
      </c>
      <c r="O18" s="7">
        <v>2</v>
      </c>
    </row>
    <row r="19" spans="3:15">
      <c r="C19" s="97" t="s">
        <v>329</v>
      </c>
      <c r="D19" s="49">
        <v>0.8</v>
      </c>
      <c r="E19" s="49">
        <v>0.2</v>
      </c>
      <c r="G19" s="97" t="s">
        <v>329</v>
      </c>
      <c r="H19" s="49">
        <v>0.5</v>
      </c>
      <c r="I19" s="49">
        <v>0.5</v>
      </c>
      <c r="J19" s="49">
        <v>1</v>
      </c>
      <c r="L19" s="97" t="s">
        <v>329</v>
      </c>
      <c r="M19" s="49">
        <v>0.2</v>
      </c>
      <c r="N19" s="49">
        <f>1-M19</f>
        <v>0.8</v>
      </c>
      <c r="O19" s="49">
        <v>1</v>
      </c>
    </row>
    <row r="20" spans="3:13">
      <c r="C20" s="7" t="s">
        <v>319</v>
      </c>
      <c r="D20" s="7">
        <f>SUMPRODUCT(D18:F18,D19:F19,D17:F17)</f>
        <v>3.2</v>
      </c>
      <c r="G20" s="7" t="s">
        <v>319</v>
      </c>
      <c r="H20" s="7">
        <f>SUMPRODUCT(H18:J18,H19:J19,H17:J17)</f>
        <v>5.5</v>
      </c>
      <c r="L20" s="7" t="s">
        <v>319</v>
      </c>
      <c r="M20" s="7">
        <f>SUMPRODUCT(M18:O18,M19:O19,M17:O17)</f>
        <v>7.8</v>
      </c>
    </row>
    <row r="22" spans="3:4">
      <c r="C22" s="7" t="s">
        <v>311</v>
      </c>
      <c r="D22" s="7">
        <v>4</v>
      </c>
    </row>
    <row r="23" spans="3:13">
      <c r="C23" s="97" t="s">
        <v>324</v>
      </c>
      <c r="D23" s="7">
        <v>1</v>
      </c>
      <c r="E23" s="7">
        <v>1</v>
      </c>
      <c r="F23" s="7">
        <v>2</v>
      </c>
      <c r="G23" s="7">
        <v>2</v>
      </c>
      <c r="H23" s="7">
        <v>2</v>
      </c>
      <c r="I23" s="7">
        <v>2</v>
      </c>
      <c r="J23" s="7">
        <v>3</v>
      </c>
      <c r="K23" s="7">
        <v>3</v>
      </c>
      <c r="L23" s="7">
        <v>3</v>
      </c>
      <c r="M23" s="7">
        <v>3</v>
      </c>
    </row>
    <row r="24" spans="3:13">
      <c r="C24" s="97" t="s">
        <v>327</v>
      </c>
      <c r="D24" s="7">
        <f t="shared" ref="D24:M24" si="1">VLOOKUP(D23,$B$10:$C$12,2,0)</f>
        <v>1</v>
      </c>
      <c r="E24" s="7">
        <f t="shared" si="1"/>
        <v>1</v>
      </c>
      <c r="F24" s="7">
        <f t="shared" si="1"/>
        <v>3</v>
      </c>
      <c r="G24" s="7">
        <f t="shared" si="1"/>
        <v>3</v>
      </c>
      <c r="H24" s="7">
        <f t="shared" si="1"/>
        <v>3</v>
      </c>
      <c r="I24" s="7">
        <f t="shared" si="1"/>
        <v>3</v>
      </c>
      <c r="J24" s="7">
        <f t="shared" si="1"/>
        <v>9</v>
      </c>
      <c r="K24" s="7">
        <f t="shared" si="1"/>
        <v>9</v>
      </c>
      <c r="L24" s="7">
        <f t="shared" si="1"/>
        <v>9</v>
      </c>
      <c r="M24" s="7">
        <f t="shared" si="1"/>
        <v>9</v>
      </c>
    </row>
    <row r="25" spans="3:13">
      <c r="C25" s="7" t="s">
        <v>328</v>
      </c>
      <c r="D25" s="7">
        <v>2</v>
      </c>
      <c r="E25" s="7">
        <v>3</v>
      </c>
      <c r="F25" s="7">
        <v>0</v>
      </c>
      <c r="G25" s="7">
        <v>1</v>
      </c>
      <c r="H25" s="7">
        <v>2</v>
      </c>
      <c r="I25" s="7">
        <v>3</v>
      </c>
      <c r="J25" s="7">
        <v>0</v>
      </c>
      <c r="K25" s="7">
        <v>1</v>
      </c>
      <c r="L25" s="7">
        <v>2</v>
      </c>
      <c r="M25" s="7">
        <v>3</v>
      </c>
    </row>
    <row r="26" spans="3:15">
      <c r="C26" s="97" t="s">
        <v>329</v>
      </c>
      <c r="D26" s="49">
        <v>0.8</v>
      </c>
      <c r="E26" s="49">
        <f>1-D26</f>
        <v>0.2</v>
      </c>
      <c r="F26" s="49">
        <v>0.1</v>
      </c>
      <c r="G26" s="49">
        <v>0.2</v>
      </c>
      <c r="H26" s="49">
        <v>0.3</v>
      </c>
      <c r="I26" s="35">
        <f>1-SUM(F26:H26)</f>
        <v>0.4</v>
      </c>
      <c r="J26" s="35">
        <v>0.05</v>
      </c>
      <c r="K26" s="35">
        <v>0.05</v>
      </c>
      <c r="L26" s="35">
        <v>0.05</v>
      </c>
      <c r="M26" s="35">
        <v>0.02</v>
      </c>
      <c r="N26" s="35"/>
      <c r="O26" s="35"/>
    </row>
    <row r="27" spans="4:10">
      <c r="D27" s="7">
        <f>SUMPRODUCT(D25:E25,D26:E26)</f>
        <v>2.2</v>
      </c>
      <c r="F27" s="7">
        <f>SUMPRODUCT(F25:I25,F26:I26)</f>
        <v>2</v>
      </c>
      <c r="J27" s="7">
        <f>SUMPRODUCT(J25:M25,J26:M26)</f>
        <v>0.21</v>
      </c>
    </row>
    <row r="28" spans="3:4">
      <c r="C28" s="7" t="s">
        <v>319</v>
      </c>
      <c r="D28" s="7">
        <f>SUMPRODUCT(D25:M25,D26:M26,D24:M24)</f>
        <v>10.09</v>
      </c>
    </row>
    <row r="29" spans="4:4">
      <c r="D29" s="7">
        <v>10.09</v>
      </c>
    </row>
    <row r="31" spans="1:14">
      <c r="A31" s="96" t="s">
        <v>330</v>
      </c>
      <c r="M31" s="7">
        <v>1.1</v>
      </c>
      <c r="N31" s="7">
        <v>1</v>
      </c>
    </row>
    <row r="32" spans="3:14">
      <c r="C32" s="7" t="s">
        <v>331</v>
      </c>
      <c r="E32" s="7" t="s">
        <v>332</v>
      </c>
      <c r="G32" s="7" t="s">
        <v>333</v>
      </c>
      <c r="I32" s="7" t="s">
        <v>334</v>
      </c>
      <c r="K32" s="7">
        <v>1</v>
      </c>
      <c r="L32" s="7">
        <v>3</v>
      </c>
      <c r="M32" s="7">
        <v>9</v>
      </c>
      <c r="N32" s="7">
        <v>27</v>
      </c>
    </row>
    <row r="33" spans="2:16">
      <c r="B33" s="7" t="s">
        <v>311</v>
      </c>
      <c r="C33" s="7" t="s">
        <v>335</v>
      </c>
      <c r="D33" s="7" t="s">
        <v>336</v>
      </c>
      <c r="E33" s="7" t="s">
        <v>335</v>
      </c>
      <c r="F33" s="7" t="s">
        <v>336</v>
      </c>
      <c r="G33" s="7" t="s">
        <v>335</v>
      </c>
      <c r="H33" s="7" t="s">
        <v>336</v>
      </c>
      <c r="I33" s="7" t="s">
        <v>335</v>
      </c>
      <c r="J33" s="7" t="s">
        <v>336</v>
      </c>
      <c r="K33" s="7" t="s">
        <v>314</v>
      </c>
      <c r="L33" s="7" t="s">
        <v>315</v>
      </c>
      <c r="M33" s="7" t="s">
        <v>316</v>
      </c>
      <c r="N33" s="7" t="s">
        <v>337</v>
      </c>
      <c r="O33" s="7" t="s">
        <v>317</v>
      </c>
      <c r="P33" s="7" t="s">
        <v>338</v>
      </c>
    </row>
    <row r="34" spans="2:16">
      <c r="B34" s="7">
        <v>1</v>
      </c>
      <c r="C34" s="7">
        <v>4.77</v>
      </c>
      <c r="D34" s="7" t="s">
        <v>339</v>
      </c>
      <c r="K34" s="7">
        <f>C34</f>
        <v>4.77</v>
      </c>
      <c r="O34" s="52">
        <f>SUMPRODUCT(K34:N34,$K$32:$N$32)</f>
        <v>4.77</v>
      </c>
      <c r="P34" s="98">
        <f>O34/$O$34</f>
        <v>1</v>
      </c>
    </row>
    <row r="35" spans="2:16">
      <c r="B35" s="7">
        <v>2</v>
      </c>
      <c r="C35" s="7">
        <v>2.71</v>
      </c>
      <c r="D35" s="7" t="s">
        <v>321</v>
      </c>
      <c r="E35" s="7">
        <v>2</v>
      </c>
      <c r="F35" s="7">
        <v>2</v>
      </c>
      <c r="K35" s="7">
        <f>C35</f>
        <v>2.71</v>
      </c>
      <c r="L35" s="7">
        <f t="shared" ref="L35:L37" si="2">E35</f>
        <v>2</v>
      </c>
      <c r="O35" s="52">
        <f>SUMPRODUCT(K35:N35,$K$32:$N$32)</f>
        <v>8.71</v>
      </c>
      <c r="P35" s="98">
        <f>O35/$O$34</f>
        <v>1.82599580712788</v>
      </c>
    </row>
    <row r="36" spans="2:16">
      <c r="B36" s="7">
        <v>3</v>
      </c>
      <c r="C36" s="7">
        <v>2.19</v>
      </c>
      <c r="D36" s="7" t="s">
        <v>321</v>
      </c>
      <c r="E36" s="7">
        <v>2.81</v>
      </c>
      <c r="F36" s="7" t="s">
        <v>321</v>
      </c>
      <c r="G36" s="7">
        <v>0.19</v>
      </c>
      <c r="H36" s="7" t="s">
        <v>340</v>
      </c>
      <c r="K36" s="7">
        <f>C36</f>
        <v>2.19</v>
      </c>
      <c r="L36" s="7">
        <f t="shared" si="2"/>
        <v>2.81</v>
      </c>
      <c r="M36" s="7">
        <f>G36</f>
        <v>0.19</v>
      </c>
      <c r="O36" s="52">
        <f>SUMPRODUCT(K36:N36,$K$32:$N$32)</f>
        <v>12.33</v>
      </c>
      <c r="P36" s="98">
        <f>O36/$O$34</f>
        <v>2.58490566037736</v>
      </c>
    </row>
    <row r="37" spans="2:16">
      <c r="B37" s="7">
        <v>4</v>
      </c>
      <c r="C37" s="7">
        <v>2.21</v>
      </c>
      <c r="D37" s="7" t="s">
        <v>321</v>
      </c>
      <c r="E37" s="7">
        <v>2.4</v>
      </c>
      <c r="F37" s="7" t="s">
        <v>341</v>
      </c>
      <c r="G37" s="7">
        <v>0.64</v>
      </c>
      <c r="H37" s="7" t="s">
        <v>323</v>
      </c>
      <c r="I37" s="7">
        <v>0.07</v>
      </c>
      <c r="J37" s="7" t="s">
        <v>340</v>
      </c>
      <c r="K37" s="7">
        <f>C37</f>
        <v>2.21</v>
      </c>
      <c r="L37" s="7">
        <f t="shared" si="2"/>
        <v>2.4</v>
      </c>
      <c r="M37" s="7">
        <f>G37</f>
        <v>0.64</v>
      </c>
      <c r="N37" s="7">
        <f>I37</f>
        <v>0.07</v>
      </c>
      <c r="O37" s="52">
        <f>SUMPRODUCT(K37:N37,$K$32:$N$32)</f>
        <v>17.06</v>
      </c>
      <c r="P37" s="98">
        <f>O37/$O$34</f>
        <v>3.57651991614256</v>
      </c>
    </row>
    <row r="52" spans="3:8">
      <c r="C52" s="7" t="s">
        <v>342</v>
      </c>
      <c r="E52" s="7">
        <v>3</v>
      </c>
      <c r="G52" s="7">
        <f>E52*(1+0.1*(2-1))</f>
        <v>3.3</v>
      </c>
      <c r="H52" s="7">
        <f>G52/E52</f>
        <v>1.1</v>
      </c>
    </row>
    <row r="53" spans="3:8">
      <c r="C53" s="7" t="s">
        <v>343</v>
      </c>
      <c r="E53" s="7">
        <v>3</v>
      </c>
      <c r="F53" s="7">
        <f>0.25*1</f>
        <v>0.25</v>
      </c>
      <c r="G53" s="7">
        <f>E53-F53</f>
        <v>2.75</v>
      </c>
      <c r="H53" s="98">
        <f>E53/G53</f>
        <v>1.09090909090909</v>
      </c>
    </row>
  </sheetData>
  <mergeCells count="3">
    <mergeCell ref="C2:D2"/>
    <mergeCell ref="E2:F2"/>
    <mergeCell ref="G2:H2"/>
  </mergeCells>
  <pageMargins left="0.75" right="0.75" top="1" bottom="1" header="0.5" footer="0.5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D61"/>
  <sheetViews>
    <sheetView workbookViewId="0">
      <pane xSplit="3" ySplit="1" topLeftCell="D2" activePane="bottomRight" state="frozen"/>
      <selection/>
      <selection pane="topRight"/>
      <selection pane="bottomLeft"/>
      <selection pane="bottomRight" activeCell="E23" sqref="E23"/>
    </sheetView>
  </sheetViews>
  <sheetFormatPr defaultColWidth="9" defaultRowHeight="16.5"/>
  <cols>
    <col min="1" max="3" width="9" style="1"/>
    <col min="4" max="4" width="9.25" style="1"/>
    <col min="5" max="5" width="17.5" style="1" customWidth="1"/>
    <col min="6" max="6" width="10.875" style="1" customWidth="1"/>
    <col min="7" max="7" width="9" style="7"/>
    <col min="8" max="8" width="17.125" style="7" customWidth="1"/>
    <col min="9" max="10" width="25.375" style="7" customWidth="1"/>
    <col min="11" max="13" width="22.625" style="7" customWidth="1"/>
    <col min="14" max="14" width="9" style="7"/>
    <col min="15" max="16" width="8.875" style="7" customWidth="1"/>
    <col min="17" max="18" width="8.125" style="7" customWidth="1"/>
    <col min="19" max="19" width="14.125" style="7" customWidth="1"/>
    <col min="20" max="20" width="8.875" style="7" customWidth="1"/>
    <col min="21" max="21" width="11.875" style="7" customWidth="1"/>
    <col min="22" max="22" width="12.875" style="7" customWidth="1"/>
    <col min="23" max="23" width="11.875" style="7" customWidth="1"/>
    <col min="24" max="24" width="12.875" style="7" customWidth="1"/>
    <col min="25" max="26" width="11.875" style="7" customWidth="1"/>
    <col min="27" max="28" width="8.875" style="7" customWidth="1"/>
    <col min="29" max="29" width="10.875" style="7" customWidth="1"/>
    <col min="30" max="30" width="27.5" style="7" customWidth="1"/>
    <col min="31" max="16384" width="9" style="7"/>
  </cols>
  <sheetData>
    <row r="1" spans="1:30">
      <c r="A1" s="91" t="s">
        <v>344</v>
      </c>
      <c r="B1" s="91" t="s">
        <v>345</v>
      </c>
      <c r="C1" s="91" t="s">
        <v>346</v>
      </c>
      <c r="D1" s="91" t="s">
        <v>347</v>
      </c>
      <c r="E1" s="91" t="s">
        <v>348</v>
      </c>
      <c r="F1" s="1" t="s">
        <v>349</v>
      </c>
      <c r="G1" s="7" t="s">
        <v>350</v>
      </c>
      <c r="H1" s="7" t="s">
        <v>351</v>
      </c>
      <c r="I1" s="7" t="s">
        <v>352</v>
      </c>
      <c r="J1" s="7" t="s">
        <v>353</v>
      </c>
      <c r="K1" s="7" t="s">
        <v>354</v>
      </c>
      <c r="L1" s="7" t="s">
        <v>355</v>
      </c>
      <c r="O1" s="87" t="s">
        <v>350</v>
      </c>
      <c r="P1" s="87" t="s">
        <v>356</v>
      </c>
      <c r="Q1" s="94" t="s">
        <v>357</v>
      </c>
      <c r="R1" s="94" t="s">
        <v>358</v>
      </c>
      <c r="S1" s="87" t="s">
        <v>359</v>
      </c>
      <c r="T1" s="87" t="s">
        <v>360</v>
      </c>
      <c r="U1" s="94" t="s">
        <v>361</v>
      </c>
      <c r="V1" s="87" t="s">
        <v>362</v>
      </c>
      <c r="W1" s="94" t="s">
        <v>363</v>
      </c>
      <c r="X1" s="87" t="s">
        <v>364</v>
      </c>
      <c r="Y1" s="94" t="s">
        <v>365</v>
      </c>
      <c r="Z1" s="94" t="s">
        <v>366</v>
      </c>
      <c r="AA1" s="87" t="s">
        <v>367</v>
      </c>
      <c r="AB1" s="87" t="s">
        <v>368</v>
      </c>
      <c r="AC1" s="87" t="s">
        <v>369</v>
      </c>
      <c r="AD1" s="87" t="s">
        <v>370</v>
      </c>
    </row>
    <row r="2" s="7" customFormat="1" spans="1:26">
      <c r="A2" s="82">
        <v>1</v>
      </c>
      <c r="B2" s="1">
        <v>0</v>
      </c>
      <c r="C2" s="82">
        <v>0</v>
      </c>
      <c r="D2" s="82">
        <f>SUM($B$2:B2)</f>
        <v>0</v>
      </c>
      <c r="E2" s="1">
        <v>0</v>
      </c>
      <c r="F2" s="1">
        <v>0</v>
      </c>
      <c r="G2" s="7">
        <v>1</v>
      </c>
      <c r="O2" s="7">
        <v>0</v>
      </c>
      <c r="P2" s="7">
        <v>1</v>
      </c>
      <c r="Q2" s="45" t="s">
        <v>371</v>
      </c>
      <c r="R2" s="45"/>
      <c r="S2" s="7">
        <v>36</v>
      </c>
      <c r="T2" s="7" t="s">
        <v>372</v>
      </c>
      <c r="U2" s="45">
        <v>20</v>
      </c>
      <c r="W2" s="45">
        <v>20</v>
      </c>
      <c r="Y2" s="45">
        <v>1</v>
      </c>
      <c r="Z2" s="45"/>
    </row>
    <row r="3" s="7" customFormat="1" spans="1:25">
      <c r="A3" s="82">
        <v>2</v>
      </c>
      <c r="B3" s="82">
        <v>375</v>
      </c>
      <c r="C3" s="82">
        <f t="shared" ref="C3:C34" si="0">B3-B2</f>
        <v>375</v>
      </c>
      <c r="D3" s="82">
        <f>SUM($B$2:B3)</f>
        <v>375</v>
      </c>
      <c r="E3" s="82">
        <v>0.16</v>
      </c>
      <c r="F3" s="1">
        <f>SUM($E$3:E3)</f>
        <v>0.16</v>
      </c>
      <c r="P3" s="7">
        <v>15</v>
      </c>
      <c r="U3" s="7">
        <v>40</v>
      </c>
      <c r="V3" s="7">
        <v>1</v>
      </c>
      <c r="W3" s="95">
        <v>40</v>
      </c>
      <c r="X3" s="7">
        <v>1</v>
      </c>
      <c r="Y3" s="7">
        <v>1</v>
      </c>
    </row>
    <row r="4" s="7" customFormat="1" ht="33" spans="1:30">
      <c r="A4" s="82">
        <v>3</v>
      </c>
      <c r="B4" s="82">
        <v>500</v>
      </c>
      <c r="C4" s="82">
        <f t="shared" si="0"/>
        <v>125</v>
      </c>
      <c r="D4" s="82">
        <f>SUM($B$2:B4)</f>
        <v>875</v>
      </c>
      <c r="E4" s="82">
        <v>0.21</v>
      </c>
      <c r="F4" s="1">
        <f>SUM($E$3:E4)</f>
        <v>0.37</v>
      </c>
      <c r="O4" s="7">
        <v>1</v>
      </c>
      <c r="P4" s="7">
        <v>20</v>
      </c>
      <c r="Q4" s="45" t="s">
        <v>371</v>
      </c>
      <c r="R4" s="45">
        <v>39</v>
      </c>
      <c r="S4" s="7">
        <v>37</v>
      </c>
      <c r="T4" s="7" t="s">
        <v>373</v>
      </c>
      <c r="U4" s="45"/>
      <c r="Y4" s="45"/>
      <c r="Z4" s="45" t="s">
        <v>374</v>
      </c>
      <c r="AC4" s="42">
        <v>1</v>
      </c>
      <c r="AD4" s="42" t="s">
        <v>375</v>
      </c>
    </row>
    <row r="5" s="7" customFormat="1" spans="1:30">
      <c r="A5" s="82">
        <v>4</v>
      </c>
      <c r="B5" s="82">
        <v>625</v>
      </c>
      <c r="C5" s="82">
        <f t="shared" si="0"/>
        <v>125</v>
      </c>
      <c r="D5" s="82">
        <f>SUM($B$2:B5)</f>
        <v>1500</v>
      </c>
      <c r="E5" s="82">
        <v>0.26</v>
      </c>
      <c r="F5" s="1">
        <f>SUM($E$3:E5)</f>
        <v>0.63</v>
      </c>
      <c r="O5" s="7">
        <v>2</v>
      </c>
      <c r="P5" s="7">
        <v>25</v>
      </c>
      <c r="Q5" s="45" t="s">
        <v>376</v>
      </c>
      <c r="R5" s="45"/>
      <c r="S5" s="7">
        <v>41</v>
      </c>
      <c r="T5" s="7" t="s">
        <v>377</v>
      </c>
      <c r="U5" s="45">
        <v>50</v>
      </c>
      <c r="V5" s="7">
        <v>2</v>
      </c>
      <c r="W5" s="45">
        <v>50</v>
      </c>
      <c r="X5" s="7">
        <v>2</v>
      </c>
      <c r="Y5" s="45">
        <v>2</v>
      </c>
      <c r="Z5" s="45"/>
      <c r="AA5" s="7">
        <v>1</v>
      </c>
      <c r="AB5" s="7">
        <v>1</v>
      </c>
      <c r="AC5" s="42">
        <v>2</v>
      </c>
      <c r="AD5" s="42"/>
    </row>
    <row r="6" s="7" customFormat="1" ht="33" spans="1:30">
      <c r="A6" s="82">
        <v>5</v>
      </c>
      <c r="B6" s="82">
        <v>725</v>
      </c>
      <c r="C6" s="82">
        <f t="shared" si="0"/>
        <v>100</v>
      </c>
      <c r="D6" s="82">
        <f>SUM($B$2:B6)</f>
        <v>2225</v>
      </c>
      <c r="E6" s="82">
        <v>0.3</v>
      </c>
      <c r="F6" s="1">
        <f>SUM($E$3:E6)</f>
        <v>0.93</v>
      </c>
      <c r="O6" s="7">
        <v>3</v>
      </c>
      <c r="P6" s="7">
        <v>30</v>
      </c>
      <c r="Q6" s="45" t="s">
        <v>371</v>
      </c>
      <c r="R6" s="45"/>
      <c r="S6" s="7">
        <v>50</v>
      </c>
      <c r="T6" s="7" t="s">
        <v>378</v>
      </c>
      <c r="U6" s="45">
        <v>60</v>
      </c>
      <c r="V6" s="7">
        <v>3</v>
      </c>
      <c r="W6" s="45">
        <v>60</v>
      </c>
      <c r="X6" s="7">
        <v>3</v>
      </c>
      <c r="Y6" s="45">
        <v>4</v>
      </c>
      <c r="Z6" s="45" t="s">
        <v>379</v>
      </c>
      <c r="AA6" s="7">
        <v>2</v>
      </c>
      <c r="AB6" s="7">
        <v>2</v>
      </c>
      <c r="AC6" s="42">
        <v>3</v>
      </c>
      <c r="AD6" s="42" t="s">
        <v>380</v>
      </c>
    </row>
    <row r="7" s="7" customFormat="1" spans="1:30">
      <c r="A7" s="82">
        <v>6</v>
      </c>
      <c r="B7" s="82">
        <v>850</v>
      </c>
      <c r="C7" s="82">
        <f t="shared" si="0"/>
        <v>125</v>
      </c>
      <c r="D7" s="82">
        <f>SUM($B$2:B7)</f>
        <v>3075</v>
      </c>
      <c r="E7" s="82">
        <v>0.35</v>
      </c>
      <c r="F7" s="1">
        <f>SUM($E$3:E7)</f>
        <v>1.28</v>
      </c>
      <c r="O7" s="7">
        <v>4</v>
      </c>
      <c r="P7" s="7">
        <v>35</v>
      </c>
      <c r="Q7" s="45" t="s">
        <v>376</v>
      </c>
      <c r="R7" s="45"/>
      <c r="S7" s="7">
        <v>62</v>
      </c>
      <c r="T7" s="7" t="s">
        <v>381</v>
      </c>
      <c r="U7" s="45">
        <v>70</v>
      </c>
      <c r="V7" s="7">
        <v>4</v>
      </c>
      <c r="W7" s="45">
        <v>70</v>
      </c>
      <c r="X7" s="7">
        <v>4</v>
      </c>
      <c r="Y7" s="45">
        <v>6</v>
      </c>
      <c r="Z7" s="45"/>
      <c r="AA7" s="7">
        <v>3</v>
      </c>
      <c r="AB7" s="7">
        <v>3</v>
      </c>
      <c r="AC7" s="42">
        <v>4</v>
      </c>
      <c r="AD7" s="42" t="s">
        <v>382</v>
      </c>
    </row>
    <row r="8" s="7" customFormat="1" spans="1:30">
      <c r="A8" s="82">
        <v>7</v>
      </c>
      <c r="B8" s="82">
        <v>950</v>
      </c>
      <c r="C8" s="82">
        <f t="shared" si="0"/>
        <v>100</v>
      </c>
      <c r="D8" s="82">
        <f>SUM($B$2:B8)</f>
        <v>4025</v>
      </c>
      <c r="E8" s="82">
        <v>0.4</v>
      </c>
      <c r="F8" s="1">
        <f>SUM($E$3:E8)</f>
        <v>1.68</v>
      </c>
      <c r="O8" s="7">
        <v>5</v>
      </c>
      <c r="P8" s="7">
        <v>40</v>
      </c>
      <c r="Q8" s="45" t="s">
        <v>371</v>
      </c>
      <c r="R8" s="45"/>
      <c r="S8" s="7">
        <v>72</v>
      </c>
      <c r="T8" s="7" t="s">
        <v>383</v>
      </c>
      <c r="U8" s="45">
        <v>80</v>
      </c>
      <c r="V8" s="7">
        <v>5</v>
      </c>
      <c r="W8" s="45">
        <v>80</v>
      </c>
      <c r="X8" s="7">
        <v>5</v>
      </c>
      <c r="Y8" s="45">
        <v>8</v>
      </c>
      <c r="Z8" s="45"/>
      <c r="AC8" s="42">
        <v>5</v>
      </c>
      <c r="AD8" s="42" t="s">
        <v>384</v>
      </c>
    </row>
    <row r="9" s="7" customFormat="1" spans="1:30">
      <c r="A9" s="82">
        <v>8</v>
      </c>
      <c r="B9" s="82">
        <v>1075</v>
      </c>
      <c r="C9" s="82">
        <f t="shared" si="0"/>
        <v>125</v>
      </c>
      <c r="D9" s="82">
        <f>SUM($B$2:B9)</f>
        <v>5100</v>
      </c>
      <c r="E9" s="82">
        <v>0.45</v>
      </c>
      <c r="F9" s="1">
        <f>SUM($E$3:E9)</f>
        <v>2.13</v>
      </c>
      <c r="H9" s="7" t="s">
        <v>385</v>
      </c>
      <c r="I9" s="7" t="s">
        <v>386</v>
      </c>
      <c r="K9" s="7" t="s">
        <v>387</v>
      </c>
      <c r="O9" s="7">
        <v>6</v>
      </c>
      <c r="P9" s="7">
        <v>45</v>
      </c>
      <c r="Q9" s="45" t="s">
        <v>376</v>
      </c>
      <c r="R9" s="45"/>
      <c r="S9" s="7">
        <v>83</v>
      </c>
      <c r="T9" s="7" t="s">
        <v>388</v>
      </c>
      <c r="U9" s="45"/>
      <c r="W9" s="45"/>
      <c r="Y9" s="45"/>
      <c r="Z9" s="45"/>
      <c r="AA9" s="7">
        <v>4</v>
      </c>
      <c r="AB9" s="7">
        <v>4</v>
      </c>
      <c r="AC9" s="42">
        <v>6</v>
      </c>
      <c r="AD9" s="42" t="s">
        <v>389</v>
      </c>
    </row>
    <row r="10" s="7" customFormat="1" spans="1:26">
      <c r="A10" s="82">
        <v>9</v>
      </c>
      <c r="B10" s="82">
        <v>1200</v>
      </c>
      <c r="C10" s="82">
        <f t="shared" si="0"/>
        <v>125</v>
      </c>
      <c r="D10" s="82">
        <f>SUM($B$2:B10)</f>
        <v>6300</v>
      </c>
      <c r="E10" s="82">
        <v>0.5</v>
      </c>
      <c r="F10" s="1">
        <f>SUM($E$3:E10)</f>
        <v>2.63</v>
      </c>
      <c r="O10" s="7">
        <v>7</v>
      </c>
      <c r="P10" s="7">
        <v>50</v>
      </c>
      <c r="Q10" s="45" t="s">
        <v>376</v>
      </c>
      <c r="R10" s="45"/>
      <c r="S10" s="7">
        <v>91</v>
      </c>
      <c r="T10" s="7" t="s">
        <v>390</v>
      </c>
      <c r="U10" s="45">
        <v>90</v>
      </c>
      <c r="V10" s="7">
        <v>6</v>
      </c>
      <c r="W10" s="45">
        <v>90</v>
      </c>
      <c r="X10" s="7">
        <v>6</v>
      </c>
      <c r="Y10" s="45">
        <v>10</v>
      </c>
      <c r="Z10" s="45"/>
    </row>
    <row r="11" s="7" customFormat="1" spans="1:23">
      <c r="A11" s="82">
        <v>10</v>
      </c>
      <c r="B11" s="82">
        <v>1300</v>
      </c>
      <c r="C11" s="82">
        <f t="shared" si="0"/>
        <v>100</v>
      </c>
      <c r="D11" s="82">
        <f>SUM($B$2:B11)</f>
        <v>7600</v>
      </c>
      <c r="E11" s="82">
        <v>0.54</v>
      </c>
      <c r="F11" s="1">
        <f>SUM($E$3:E11)</f>
        <v>3.17</v>
      </c>
      <c r="I11" s="7" t="s">
        <v>391</v>
      </c>
      <c r="O11" s="7">
        <v>8</v>
      </c>
      <c r="P11" s="7">
        <v>55</v>
      </c>
      <c r="Q11" s="45" t="s">
        <v>371</v>
      </c>
      <c r="R11" s="45"/>
      <c r="S11" s="7">
        <v>93</v>
      </c>
      <c r="T11" s="7" t="s">
        <v>392</v>
      </c>
      <c r="U11" s="45"/>
      <c r="W11" s="45"/>
    </row>
    <row r="12" s="7" customFormat="1" spans="1:6">
      <c r="A12" s="82">
        <v>11</v>
      </c>
      <c r="B12" s="82">
        <v>1425</v>
      </c>
      <c r="C12" s="82">
        <f t="shared" si="0"/>
        <v>125</v>
      </c>
      <c r="D12" s="82">
        <f>SUM($B$2:B12)</f>
        <v>9025</v>
      </c>
      <c r="E12" s="82">
        <v>0.59</v>
      </c>
      <c r="F12" s="1">
        <f>SUM($E$3:E12)</f>
        <v>3.76</v>
      </c>
    </row>
    <row r="13" s="7" customFormat="1" spans="1:9">
      <c r="A13" s="82">
        <v>12</v>
      </c>
      <c r="B13" s="82">
        <v>1525</v>
      </c>
      <c r="C13" s="82">
        <f t="shared" si="0"/>
        <v>100</v>
      </c>
      <c r="D13" s="82">
        <f>SUM($B$2:B13)</f>
        <v>10550</v>
      </c>
      <c r="E13" s="82">
        <v>0.64</v>
      </c>
      <c r="F13" s="1">
        <f>SUM($E$3:E13)</f>
        <v>4.4</v>
      </c>
      <c r="I13" s="7" t="s">
        <v>393</v>
      </c>
    </row>
    <row r="14" s="7" customFormat="1" spans="1:23">
      <c r="A14" s="82">
        <v>13</v>
      </c>
      <c r="B14" s="82">
        <v>1650</v>
      </c>
      <c r="C14" s="82">
        <f t="shared" si="0"/>
        <v>125</v>
      </c>
      <c r="D14" s="82">
        <f>SUM($B$2:B14)</f>
        <v>12200</v>
      </c>
      <c r="E14" s="82">
        <v>0.69</v>
      </c>
      <c r="F14" s="1">
        <f>SUM($E$3:E14)</f>
        <v>5.09</v>
      </c>
      <c r="J14" s="7" t="s">
        <v>394</v>
      </c>
      <c r="L14" s="7">
        <v>1</v>
      </c>
      <c r="T14" s="60"/>
      <c r="U14" s="60"/>
      <c r="W14" s="60"/>
    </row>
    <row r="15" s="7" customFormat="1" spans="1:23">
      <c r="A15" s="82">
        <v>14</v>
      </c>
      <c r="B15" s="82">
        <v>1775</v>
      </c>
      <c r="C15" s="82">
        <f t="shared" si="0"/>
        <v>125</v>
      </c>
      <c r="D15" s="82">
        <f>SUM($B$2:B15)</f>
        <v>13975</v>
      </c>
      <c r="E15" s="82">
        <v>0.74</v>
      </c>
      <c r="F15" s="1">
        <f>SUM($E$3:E15)</f>
        <v>5.83</v>
      </c>
      <c r="T15" s="61"/>
      <c r="U15" s="61"/>
      <c r="W15" s="61"/>
    </row>
    <row r="16" s="7" customFormat="1" spans="1:23">
      <c r="A16" s="82">
        <v>15</v>
      </c>
      <c r="B16" s="82">
        <v>1875</v>
      </c>
      <c r="C16" s="82">
        <f t="shared" si="0"/>
        <v>100</v>
      </c>
      <c r="D16" s="82">
        <f>SUM($B$2:B16)</f>
        <v>15850</v>
      </c>
      <c r="E16" s="82">
        <v>0.78</v>
      </c>
      <c r="F16" s="1">
        <f>SUM($E$3:E16)</f>
        <v>6.61</v>
      </c>
      <c r="J16" s="92" t="s">
        <v>395</v>
      </c>
      <c r="K16" s="93"/>
      <c r="O16"/>
      <c r="P16"/>
      <c r="Q16"/>
      <c r="R16"/>
      <c r="S16"/>
      <c r="T16"/>
      <c r="U16"/>
      <c r="V16"/>
      <c r="W16" s="61"/>
    </row>
    <row r="17" s="7" customFormat="1" spans="1:23">
      <c r="A17" s="82">
        <v>16</v>
      </c>
      <c r="B17" s="82">
        <v>2000</v>
      </c>
      <c r="C17" s="82">
        <f t="shared" si="0"/>
        <v>125</v>
      </c>
      <c r="D17" s="82">
        <f>SUM($B$2:B17)</f>
        <v>17850</v>
      </c>
      <c r="E17" s="82">
        <v>0.83</v>
      </c>
      <c r="F17" s="1">
        <f>SUM($E$3:E17)</f>
        <v>7.44</v>
      </c>
      <c r="J17" s="7" t="s">
        <v>396</v>
      </c>
      <c r="O17"/>
      <c r="P17"/>
      <c r="Q17"/>
      <c r="R17"/>
      <c r="S17"/>
      <c r="T17"/>
      <c r="U17"/>
      <c r="V17"/>
      <c r="W17" s="61"/>
    </row>
    <row r="18" s="7" customFormat="1" spans="1:23">
      <c r="A18" s="82">
        <v>17</v>
      </c>
      <c r="B18" s="82">
        <v>2375</v>
      </c>
      <c r="C18" s="82">
        <f t="shared" si="0"/>
        <v>375</v>
      </c>
      <c r="D18" s="82">
        <f>SUM($B$2:B18)</f>
        <v>20225</v>
      </c>
      <c r="E18" s="82">
        <v>0.99</v>
      </c>
      <c r="F18" s="1">
        <f>SUM($E$3:E18)</f>
        <v>8.43</v>
      </c>
      <c r="O18"/>
      <c r="P18"/>
      <c r="Q18"/>
      <c r="R18"/>
      <c r="S18"/>
      <c r="T18"/>
      <c r="U18"/>
      <c r="V18"/>
      <c r="W18" s="61"/>
    </row>
    <row r="19" s="7" customFormat="1" spans="1:23">
      <c r="A19" s="82">
        <v>18</v>
      </c>
      <c r="B19" s="82">
        <v>2500</v>
      </c>
      <c r="C19" s="82">
        <f t="shared" si="0"/>
        <v>125</v>
      </c>
      <c r="D19" s="82">
        <f>SUM($B$2:B19)</f>
        <v>22725</v>
      </c>
      <c r="E19" s="82">
        <v>1.04</v>
      </c>
      <c r="F19" s="1">
        <f>SUM($E$3:E19)</f>
        <v>9.47</v>
      </c>
      <c r="I19" s="7" t="s">
        <v>397</v>
      </c>
      <c r="L19" s="7">
        <v>2</v>
      </c>
      <c r="O19"/>
      <c r="P19"/>
      <c r="Q19"/>
      <c r="R19"/>
      <c r="S19"/>
      <c r="T19"/>
      <c r="U19"/>
      <c r="V19"/>
      <c r="W19" s="61"/>
    </row>
    <row r="20" s="7" customFormat="1" spans="1:23">
      <c r="A20" s="82">
        <v>19</v>
      </c>
      <c r="B20" s="82">
        <v>2625</v>
      </c>
      <c r="C20" s="82">
        <f t="shared" si="0"/>
        <v>125</v>
      </c>
      <c r="D20" s="82">
        <f>SUM($B$2:B20)</f>
        <v>25350</v>
      </c>
      <c r="E20" s="82">
        <v>1.09</v>
      </c>
      <c r="F20" s="1">
        <f>SUM($E$3:E20)</f>
        <v>10.56</v>
      </c>
      <c r="O20"/>
      <c r="P20"/>
      <c r="Q20"/>
      <c r="R20"/>
      <c r="S20"/>
      <c r="T20"/>
      <c r="U20"/>
      <c r="V20"/>
      <c r="W20" s="61"/>
    </row>
    <row r="21" s="7" customFormat="1" spans="1:23">
      <c r="A21" s="82">
        <v>20</v>
      </c>
      <c r="B21" s="82">
        <v>2775</v>
      </c>
      <c r="C21" s="82">
        <f t="shared" si="0"/>
        <v>150</v>
      </c>
      <c r="D21" s="82">
        <f>SUM($B$2:B21)</f>
        <v>28125</v>
      </c>
      <c r="E21" s="82">
        <v>1.16</v>
      </c>
      <c r="F21" s="1">
        <f>SUM($E$3:E21)</f>
        <v>11.72</v>
      </c>
      <c r="J21" s="92" t="s">
        <v>398</v>
      </c>
      <c r="K21" s="93"/>
      <c r="O21"/>
      <c r="P21"/>
      <c r="Q21"/>
      <c r="R21"/>
      <c r="S21"/>
      <c r="T21"/>
      <c r="U21"/>
      <c r="V21"/>
      <c r="W21" s="61"/>
    </row>
    <row r="22" s="7" customFormat="1" spans="1:23">
      <c r="A22" s="82">
        <v>21</v>
      </c>
      <c r="B22" s="82">
        <v>2825</v>
      </c>
      <c r="C22" s="82">
        <f t="shared" si="0"/>
        <v>50</v>
      </c>
      <c r="D22" s="82">
        <f>SUM($B$2:B22)</f>
        <v>30950</v>
      </c>
      <c r="E22" s="82">
        <v>1.18</v>
      </c>
      <c r="F22" s="1">
        <f>SUM($E$3:E22)</f>
        <v>12.9</v>
      </c>
      <c r="I22" s="7" t="s">
        <v>399</v>
      </c>
      <c r="K22" s="7" t="s">
        <v>400</v>
      </c>
      <c r="L22" s="7">
        <v>3</v>
      </c>
      <c r="O22"/>
      <c r="P22"/>
      <c r="Q22"/>
      <c r="R22"/>
      <c r="S22"/>
      <c r="T22"/>
      <c r="U22"/>
      <c r="V22"/>
      <c r="W22" s="61"/>
    </row>
    <row r="23" s="7" customFormat="1" spans="1:29">
      <c r="A23" s="82">
        <v>22</v>
      </c>
      <c r="B23" s="82">
        <v>3425</v>
      </c>
      <c r="C23" s="82">
        <f t="shared" si="0"/>
        <v>600</v>
      </c>
      <c r="D23" s="82">
        <f>SUM($B$2:B23)</f>
        <v>34375</v>
      </c>
      <c r="E23" s="82">
        <v>1.43</v>
      </c>
      <c r="F23" s="1">
        <f>SUM($E$3:E23)</f>
        <v>14.33</v>
      </c>
      <c r="O23"/>
      <c r="P23"/>
      <c r="Q23"/>
      <c r="R23"/>
      <c r="S23"/>
      <c r="T23"/>
      <c r="U23"/>
      <c r="V23"/>
      <c r="W23" s="61"/>
      <c r="AB23" s="61"/>
      <c r="AC23" s="61"/>
    </row>
    <row r="24" s="7" customFormat="1" spans="1:22">
      <c r="A24" s="82">
        <v>23</v>
      </c>
      <c r="B24" s="82">
        <v>3725</v>
      </c>
      <c r="C24" s="82">
        <f t="shared" si="0"/>
        <v>300</v>
      </c>
      <c r="D24" s="82">
        <f>SUM($B$2:B24)</f>
        <v>38100</v>
      </c>
      <c r="E24" s="82">
        <v>1.55</v>
      </c>
      <c r="F24" s="1">
        <f>SUM($E$3:E24)</f>
        <v>15.88</v>
      </c>
      <c r="I24" s="7" t="s">
        <v>401</v>
      </c>
      <c r="L24" s="7">
        <v>4</v>
      </c>
      <c r="O24"/>
      <c r="P24"/>
      <c r="Q24"/>
      <c r="R24"/>
      <c r="S24"/>
      <c r="T24"/>
      <c r="U24"/>
      <c r="V24"/>
    </row>
    <row r="25" s="7" customFormat="1" spans="1:22">
      <c r="A25" s="82">
        <v>24</v>
      </c>
      <c r="B25" s="82">
        <v>4000</v>
      </c>
      <c r="C25" s="82">
        <f t="shared" si="0"/>
        <v>275</v>
      </c>
      <c r="D25" s="82">
        <f>SUM($B$2:B25)</f>
        <v>42100</v>
      </c>
      <c r="E25" s="82">
        <v>1.67</v>
      </c>
      <c r="F25" s="1">
        <f>SUM($E$3:E25)</f>
        <v>17.55</v>
      </c>
      <c r="O25"/>
      <c r="P25"/>
      <c r="Q25"/>
      <c r="R25"/>
      <c r="S25"/>
      <c r="T25"/>
      <c r="U25"/>
      <c r="V25"/>
    </row>
    <row r="26" s="7" customFormat="1" spans="1:22">
      <c r="A26" s="82">
        <v>25</v>
      </c>
      <c r="B26" s="82">
        <v>4300</v>
      </c>
      <c r="C26" s="82">
        <f t="shared" si="0"/>
        <v>300</v>
      </c>
      <c r="D26" s="82">
        <f>SUM($B$2:B26)</f>
        <v>46400</v>
      </c>
      <c r="E26" s="82">
        <v>1.79</v>
      </c>
      <c r="F26" s="1">
        <f>SUM($E$3:E26)</f>
        <v>19.34</v>
      </c>
      <c r="G26" s="7">
        <v>2</v>
      </c>
      <c r="J26" s="92" t="s">
        <v>402</v>
      </c>
      <c r="K26" s="92" t="s">
        <v>403</v>
      </c>
      <c r="L26" s="7">
        <v>5</v>
      </c>
      <c r="O26"/>
      <c r="P26"/>
      <c r="Q26"/>
      <c r="R26"/>
      <c r="S26"/>
      <c r="T26"/>
      <c r="U26"/>
      <c r="V26"/>
    </row>
    <row r="27" s="7" customFormat="1" spans="1:22">
      <c r="A27" s="82">
        <v>26</v>
      </c>
      <c r="B27" s="82">
        <v>4575</v>
      </c>
      <c r="C27" s="82">
        <f t="shared" si="0"/>
        <v>275</v>
      </c>
      <c r="D27" s="82">
        <f>SUM($B$2:B27)</f>
        <v>50975</v>
      </c>
      <c r="E27" s="82">
        <v>1.91</v>
      </c>
      <c r="F27" s="1">
        <f>SUM($E$3:E27)</f>
        <v>21.25</v>
      </c>
      <c r="I27" s="7" t="s">
        <v>404</v>
      </c>
      <c r="O27"/>
      <c r="P27"/>
      <c r="Q27"/>
      <c r="R27"/>
      <c r="S27"/>
      <c r="T27"/>
      <c r="U27"/>
      <c r="V27"/>
    </row>
    <row r="28" s="7" customFormat="1" spans="1:22">
      <c r="A28" s="82">
        <v>27</v>
      </c>
      <c r="B28" s="82">
        <v>4875</v>
      </c>
      <c r="C28" s="82">
        <f t="shared" si="0"/>
        <v>300</v>
      </c>
      <c r="D28" s="82">
        <f>SUM($B$2:B28)</f>
        <v>55850</v>
      </c>
      <c r="E28" s="82">
        <v>2.03</v>
      </c>
      <c r="F28" s="1">
        <f>SUM($E$3:E28)</f>
        <v>23.28</v>
      </c>
      <c r="L28" s="7">
        <v>6</v>
      </c>
      <c r="O28"/>
      <c r="P28"/>
      <c r="Q28"/>
      <c r="R28"/>
      <c r="S28"/>
      <c r="T28"/>
      <c r="U28"/>
      <c r="V28"/>
    </row>
    <row r="29" s="7" customFormat="1" spans="1:22">
      <c r="A29" s="82">
        <v>28</v>
      </c>
      <c r="B29" s="82">
        <v>5150</v>
      </c>
      <c r="C29" s="82">
        <f t="shared" si="0"/>
        <v>275</v>
      </c>
      <c r="D29" s="82">
        <f>SUM($B$2:B29)</f>
        <v>61000</v>
      </c>
      <c r="E29" s="82">
        <v>2.15</v>
      </c>
      <c r="F29" s="1">
        <f>SUM($E$3:E29)</f>
        <v>25.43</v>
      </c>
      <c r="O29"/>
      <c r="P29"/>
      <c r="Q29"/>
      <c r="R29"/>
      <c r="S29"/>
      <c r="T29"/>
      <c r="U29"/>
      <c r="V29"/>
    </row>
    <row r="30" s="7" customFormat="1" spans="1:22">
      <c r="A30" s="82">
        <v>29</v>
      </c>
      <c r="B30" s="82">
        <v>5450</v>
      </c>
      <c r="C30" s="82">
        <f t="shared" si="0"/>
        <v>300</v>
      </c>
      <c r="D30" s="82">
        <f>SUM($B$2:B30)</f>
        <v>66450</v>
      </c>
      <c r="E30" s="82">
        <v>2.27</v>
      </c>
      <c r="F30" s="1">
        <f>SUM($E$3:E30)</f>
        <v>27.7</v>
      </c>
      <c r="I30" s="7" t="s">
        <v>405</v>
      </c>
      <c r="L30" s="7">
        <v>7</v>
      </c>
      <c r="O30"/>
      <c r="P30"/>
      <c r="Q30"/>
      <c r="R30"/>
      <c r="S30"/>
      <c r="T30"/>
      <c r="U30"/>
      <c r="V30"/>
    </row>
    <row r="31" s="7" customFormat="1" spans="1:22">
      <c r="A31" s="82">
        <v>30</v>
      </c>
      <c r="B31" s="82">
        <v>5725</v>
      </c>
      <c r="C31" s="82">
        <f t="shared" si="0"/>
        <v>275</v>
      </c>
      <c r="D31" s="82">
        <f>SUM($B$2:B31)</f>
        <v>72175</v>
      </c>
      <c r="E31" s="82">
        <v>2.39</v>
      </c>
      <c r="F31" s="1">
        <f>SUM($E$3:E31)</f>
        <v>30.09</v>
      </c>
      <c r="G31" s="7">
        <v>3</v>
      </c>
      <c r="O31"/>
      <c r="P31"/>
      <c r="Q31"/>
      <c r="R31"/>
      <c r="S31"/>
      <c r="T31"/>
      <c r="U31"/>
      <c r="V31"/>
    </row>
    <row r="32" s="7" customFormat="1" spans="1:22">
      <c r="A32" s="82">
        <v>31</v>
      </c>
      <c r="B32" s="82">
        <v>6025</v>
      </c>
      <c r="C32" s="82">
        <f t="shared" si="0"/>
        <v>300</v>
      </c>
      <c r="D32" s="82">
        <f>SUM($B$2:B32)</f>
        <v>78200</v>
      </c>
      <c r="E32" s="82">
        <v>2.51</v>
      </c>
      <c r="F32" s="1">
        <f>SUM($E$3:E32)</f>
        <v>32.6</v>
      </c>
      <c r="O32"/>
      <c r="P32"/>
      <c r="Q32"/>
      <c r="R32"/>
      <c r="S32"/>
      <c r="T32"/>
      <c r="U32"/>
      <c r="V32"/>
    </row>
    <row r="33" s="7" customFormat="1" spans="1:22">
      <c r="A33" s="82">
        <v>32</v>
      </c>
      <c r="B33" s="82">
        <v>6300</v>
      </c>
      <c r="C33" s="82">
        <f t="shared" si="0"/>
        <v>275</v>
      </c>
      <c r="D33" s="82">
        <f>SUM($B$2:B33)</f>
        <v>84500</v>
      </c>
      <c r="E33" s="82">
        <v>2.63</v>
      </c>
      <c r="F33" s="1">
        <f>SUM($E$3:E33)</f>
        <v>35.23</v>
      </c>
      <c r="O33"/>
      <c r="P33"/>
      <c r="Q33"/>
      <c r="R33"/>
      <c r="S33"/>
      <c r="T33"/>
      <c r="U33"/>
      <c r="V33"/>
    </row>
    <row r="34" s="7" customFormat="1" spans="1:22">
      <c r="A34" s="82">
        <v>33</v>
      </c>
      <c r="B34" s="82">
        <v>6600</v>
      </c>
      <c r="C34" s="82">
        <f t="shared" si="0"/>
        <v>300</v>
      </c>
      <c r="D34" s="82">
        <f>SUM($B$2:B34)</f>
        <v>91100</v>
      </c>
      <c r="E34" s="82">
        <v>2.75</v>
      </c>
      <c r="F34" s="1">
        <f>SUM($E$3:E34)</f>
        <v>37.98</v>
      </c>
      <c r="O34"/>
      <c r="P34"/>
      <c r="Q34"/>
      <c r="R34"/>
      <c r="S34"/>
      <c r="T34"/>
      <c r="U34"/>
      <c r="V34"/>
    </row>
    <row r="35" s="7" customFormat="1" spans="1:22">
      <c r="A35" s="82">
        <v>34</v>
      </c>
      <c r="B35" s="82">
        <v>6900</v>
      </c>
      <c r="C35" s="82">
        <f t="shared" ref="C35:C61" si="1">B35-B34</f>
        <v>300</v>
      </c>
      <c r="D35" s="82">
        <f>SUM($B$2:B35)</f>
        <v>98000</v>
      </c>
      <c r="E35" s="82">
        <v>2.88</v>
      </c>
      <c r="F35" s="1">
        <f>SUM($E$3:E35)</f>
        <v>40.86</v>
      </c>
      <c r="O35"/>
      <c r="P35"/>
      <c r="Q35"/>
      <c r="R35"/>
      <c r="S35"/>
      <c r="T35"/>
      <c r="U35"/>
      <c r="V35"/>
    </row>
    <row r="36" s="7" customFormat="1" spans="1:22">
      <c r="A36" s="82">
        <v>35</v>
      </c>
      <c r="B36" s="82">
        <v>7175</v>
      </c>
      <c r="C36" s="82">
        <f t="shared" si="1"/>
        <v>275</v>
      </c>
      <c r="D36" s="82">
        <f>SUM($B$2:B36)</f>
        <v>105175</v>
      </c>
      <c r="E36" s="82">
        <v>2.99</v>
      </c>
      <c r="F36" s="1">
        <f>SUM($E$3:E36)</f>
        <v>43.85</v>
      </c>
      <c r="G36" s="7">
        <v>4</v>
      </c>
      <c r="I36" s="7" t="s">
        <v>406</v>
      </c>
      <c r="O36"/>
      <c r="P36"/>
      <c r="Q36"/>
      <c r="R36"/>
      <c r="S36"/>
      <c r="T36"/>
      <c r="U36"/>
      <c r="V36"/>
    </row>
    <row r="37" s="7" customFormat="1" spans="1:22">
      <c r="A37" s="82">
        <v>36</v>
      </c>
      <c r="B37" s="82">
        <v>7475</v>
      </c>
      <c r="C37" s="82">
        <f t="shared" si="1"/>
        <v>300</v>
      </c>
      <c r="D37" s="82">
        <f>SUM($B$2:B37)</f>
        <v>112650</v>
      </c>
      <c r="E37" s="82">
        <v>3.11</v>
      </c>
      <c r="F37" s="1">
        <f>SUM($E$3:E37)</f>
        <v>46.96</v>
      </c>
      <c r="O37"/>
      <c r="P37"/>
      <c r="Q37"/>
      <c r="R37"/>
      <c r="S37"/>
      <c r="T37"/>
      <c r="U37"/>
      <c r="V37"/>
    </row>
    <row r="38" s="7" customFormat="1" spans="1:22">
      <c r="A38" s="82">
        <v>37</v>
      </c>
      <c r="B38" s="82">
        <v>7750</v>
      </c>
      <c r="C38" s="82">
        <f t="shared" si="1"/>
        <v>275</v>
      </c>
      <c r="D38" s="82">
        <f>SUM($B$2:B38)</f>
        <v>120400</v>
      </c>
      <c r="E38" s="82">
        <v>3.23</v>
      </c>
      <c r="F38" s="1">
        <f>SUM($E$3:E38)</f>
        <v>50.19</v>
      </c>
      <c r="O38"/>
      <c r="P38"/>
      <c r="Q38"/>
      <c r="R38"/>
      <c r="S38"/>
      <c r="T38"/>
      <c r="U38"/>
      <c r="V38"/>
    </row>
    <row r="39" s="7" customFormat="1" spans="1:22">
      <c r="A39" s="82">
        <v>38</v>
      </c>
      <c r="B39" s="82">
        <v>8050</v>
      </c>
      <c r="C39" s="82">
        <f t="shared" si="1"/>
        <v>300</v>
      </c>
      <c r="D39" s="82">
        <f>SUM($B$2:B39)</f>
        <v>128450</v>
      </c>
      <c r="E39" s="82">
        <v>3.35</v>
      </c>
      <c r="F39" s="1">
        <f>SUM($E$3:E39)</f>
        <v>53.54</v>
      </c>
      <c r="O39"/>
      <c r="P39"/>
      <c r="Q39"/>
      <c r="R39"/>
      <c r="S39"/>
      <c r="T39"/>
      <c r="U39"/>
      <c r="V39"/>
    </row>
    <row r="40" s="7" customFormat="1" spans="1:22">
      <c r="A40" s="82">
        <v>39</v>
      </c>
      <c r="B40" s="82">
        <v>8325</v>
      </c>
      <c r="C40" s="82">
        <f t="shared" si="1"/>
        <v>275</v>
      </c>
      <c r="D40" s="82">
        <f>SUM($B$2:B40)</f>
        <v>136775</v>
      </c>
      <c r="E40" s="82">
        <v>3.47</v>
      </c>
      <c r="F40" s="1">
        <f>SUM($E$3:E40)</f>
        <v>57.01</v>
      </c>
      <c r="O40"/>
      <c r="P40"/>
      <c r="Q40"/>
      <c r="R40"/>
      <c r="S40"/>
      <c r="T40"/>
      <c r="U40"/>
      <c r="V40"/>
    </row>
    <row r="41" s="7" customFormat="1" spans="1:22">
      <c r="A41" s="82">
        <v>40</v>
      </c>
      <c r="B41" s="82">
        <v>8625</v>
      </c>
      <c r="C41" s="82">
        <f t="shared" si="1"/>
        <v>300</v>
      </c>
      <c r="D41" s="82">
        <f>SUM($B$2:B41)</f>
        <v>145400</v>
      </c>
      <c r="E41" s="82">
        <v>3.59</v>
      </c>
      <c r="F41" s="1">
        <f>SUM($E$3:E41)</f>
        <v>60.6</v>
      </c>
      <c r="G41" s="7">
        <v>5</v>
      </c>
      <c r="O41"/>
      <c r="P41"/>
      <c r="Q41"/>
      <c r="R41"/>
      <c r="S41"/>
      <c r="T41"/>
      <c r="U41"/>
      <c r="V41"/>
    </row>
    <row r="42" s="7" customFormat="1" spans="1:22">
      <c r="A42" s="82">
        <v>41</v>
      </c>
      <c r="B42" s="82">
        <v>10550</v>
      </c>
      <c r="C42" s="82">
        <f t="shared" si="1"/>
        <v>1925</v>
      </c>
      <c r="D42" s="82">
        <f>SUM($B$2:B42)</f>
        <v>155950</v>
      </c>
      <c r="E42" s="82">
        <v>4.4</v>
      </c>
      <c r="F42" s="1">
        <f>SUM($E$3:E42)</f>
        <v>65</v>
      </c>
      <c r="O42"/>
      <c r="P42"/>
      <c r="Q42"/>
      <c r="R42"/>
      <c r="S42"/>
      <c r="T42"/>
      <c r="U42"/>
      <c r="V42"/>
    </row>
    <row r="43" s="7" customFormat="1" spans="1:6">
      <c r="A43" s="82">
        <v>42</v>
      </c>
      <c r="B43" s="82">
        <v>11525</v>
      </c>
      <c r="C43" s="82">
        <f t="shared" si="1"/>
        <v>975</v>
      </c>
      <c r="D43" s="82">
        <f>SUM($B$2:B43)</f>
        <v>167475</v>
      </c>
      <c r="E43" s="82">
        <v>4.8</v>
      </c>
      <c r="F43" s="1">
        <f>SUM($E$3:E43)</f>
        <v>69.8</v>
      </c>
    </row>
    <row r="44" s="7" customFormat="1" spans="1:6">
      <c r="A44" s="82">
        <v>43</v>
      </c>
      <c r="B44" s="82">
        <v>12475</v>
      </c>
      <c r="C44" s="82">
        <f t="shared" si="1"/>
        <v>950</v>
      </c>
      <c r="D44" s="82">
        <f>SUM($B$2:B44)</f>
        <v>179950</v>
      </c>
      <c r="E44" s="82">
        <v>5.2</v>
      </c>
      <c r="F44" s="1">
        <f>SUM($E$3:E44)</f>
        <v>75</v>
      </c>
    </row>
    <row r="45" s="7" customFormat="1" spans="1:6">
      <c r="A45" s="82">
        <v>44</v>
      </c>
      <c r="B45" s="82">
        <v>13450</v>
      </c>
      <c r="C45" s="82">
        <f t="shared" si="1"/>
        <v>975</v>
      </c>
      <c r="D45" s="82">
        <f>SUM($B$2:B45)</f>
        <v>193400</v>
      </c>
      <c r="E45" s="82">
        <v>5.6</v>
      </c>
      <c r="F45" s="1">
        <f>SUM($E$3:E45)</f>
        <v>80.6</v>
      </c>
    </row>
    <row r="46" s="7" customFormat="1" spans="1:7">
      <c r="A46" s="82">
        <v>45</v>
      </c>
      <c r="B46" s="82">
        <v>14400</v>
      </c>
      <c r="C46" s="82">
        <f t="shared" si="1"/>
        <v>950</v>
      </c>
      <c r="D46" s="82">
        <f>SUM($B$2:B46)</f>
        <v>207800</v>
      </c>
      <c r="E46" s="82">
        <v>6</v>
      </c>
      <c r="F46" s="1">
        <f>SUM($E$3:E46)</f>
        <v>86.6</v>
      </c>
      <c r="G46" s="7">
        <v>6</v>
      </c>
    </row>
    <row r="47" s="7" customFormat="1" spans="1:6">
      <c r="A47" s="82">
        <v>46</v>
      </c>
      <c r="B47" s="82">
        <v>15350</v>
      </c>
      <c r="C47" s="82">
        <f t="shared" si="1"/>
        <v>950</v>
      </c>
      <c r="D47" s="82">
        <f>SUM($B$2:B47)</f>
        <v>223150</v>
      </c>
      <c r="E47" s="82">
        <v>6.4</v>
      </c>
      <c r="F47" s="1">
        <f>SUM($E$3:E47)</f>
        <v>93</v>
      </c>
    </row>
    <row r="48" s="7" customFormat="1" spans="1:6">
      <c r="A48" s="82">
        <v>47</v>
      </c>
      <c r="B48" s="82">
        <v>16325</v>
      </c>
      <c r="C48" s="82">
        <f t="shared" si="1"/>
        <v>975</v>
      </c>
      <c r="D48" s="82">
        <f>SUM($B$2:B48)</f>
        <v>239475</v>
      </c>
      <c r="E48" s="82">
        <v>6.8</v>
      </c>
      <c r="F48" s="1">
        <f>SUM($E$3:E48)</f>
        <v>99.8</v>
      </c>
    </row>
    <row r="49" s="7" customFormat="1" spans="1:6">
      <c r="A49" s="82">
        <v>48</v>
      </c>
      <c r="B49" s="82">
        <v>17275</v>
      </c>
      <c r="C49" s="82">
        <f t="shared" si="1"/>
        <v>950</v>
      </c>
      <c r="D49" s="82">
        <f>SUM($B$2:B49)</f>
        <v>256750</v>
      </c>
      <c r="E49" s="82">
        <v>7.2</v>
      </c>
      <c r="F49" s="1">
        <f>SUM($E$3:E49)</f>
        <v>107</v>
      </c>
    </row>
    <row r="50" s="7" customFormat="1" spans="1:6">
      <c r="A50" s="82">
        <v>49</v>
      </c>
      <c r="B50" s="82">
        <v>18250</v>
      </c>
      <c r="C50" s="82">
        <f t="shared" si="1"/>
        <v>975</v>
      </c>
      <c r="D50" s="82">
        <f>SUM($B$2:B50)</f>
        <v>275000</v>
      </c>
      <c r="E50" s="82">
        <v>7.6</v>
      </c>
      <c r="F50" s="1">
        <f>SUM($E$3:E50)</f>
        <v>114.6</v>
      </c>
    </row>
    <row r="51" s="7" customFormat="1" spans="1:7">
      <c r="A51" s="82">
        <v>50</v>
      </c>
      <c r="B51" s="82">
        <v>19200</v>
      </c>
      <c r="C51" s="82">
        <f t="shared" si="1"/>
        <v>950</v>
      </c>
      <c r="D51" s="82">
        <f>SUM($B$2:B51)</f>
        <v>294200</v>
      </c>
      <c r="E51" s="82">
        <v>8</v>
      </c>
      <c r="F51" s="1">
        <f>SUM($E$3:E51)</f>
        <v>122.6</v>
      </c>
      <c r="G51" s="7">
        <v>7</v>
      </c>
    </row>
    <row r="52" s="7" customFormat="1" spans="1:6">
      <c r="A52" s="82">
        <v>51</v>
      </c>
      <c r="B52" s="82">
        <v>26400</v>
      </c>
      <c r="C52" s="82">
        <f t="shared" si="1"/>
        <v>7200</v>
      </c>
      <c r="D52" s="82">
        <f>SUM($B$2:B52)</f>
        <v>320600</v>
      </c>
      <c r="E52" s="82">
        <v>11</v>
      </c>
      <c r="F52" s="1">
        <f>SUM($E$3:E52)</f>
        <v>133.6</v>
      </c>
    </row>
    <row r="53" s="7" customFormat="1" spans="1:6">
      <c r="A53" s="82">
        <v>52</v>
      </c>
      <c r="B53" s="82">
        <v>28800</v>
      </c>
      <c r="C53" s="82">
        <f t="shared" si="1"/>
        <v>2400</v>
      </c>
      <c r="D53" s="82">
        <f>SUM($B$2:B53)</f>
        <v>349400</v>
      </c>
      <c r="E53" s="82">
        <v>12</v>
      </c>
      <c r="F53" s="1">
        <f>SUM($E$3:E53)</f>
        <v>145.6</v>
      </c>
    </row>
    <row r="54" s="7" customFormat="1" spans="1:6">
      <c r="A54" s="82">
        <v>53</v>
      </c>
      <c r="B54" s="82">
        <v>31200</v>
      </c>
      <c r="C54" s="82">
        <f t="shared" si="1"/>
        <v>2400</v>
      </c>
      <c r="D54" s="82">
        <f>SUM($B$2:B54)</f>
        <v>380600</v>
      </c>
      <c r="E54" s="82">
        <v>13</v>
      </c>
      <c r="F54" s="1">
        <f>SUM($E$3:E54)</f>
        <v>158.6</v>
      </c>
    </row>
    <row r="55" s="7" customFormat="1" spans="1:6">
      <c r="A55" s="82">
        <v>54</v>
      </c>
      <c r="B55" s="82">
        <v>33600</v>
      </c>
      <c r="C55" s="82">
        <f t="shared" si="1"/>
        <v>2400</v>
      </c>
      <c r="D55" s="82">
        <f>SUM($B$2:B55)</f>
        <v>414200</v>
      </c>
      <c r="E55" s="82">
        <v>14</v>
      </c>
      <c r="F55" s="1">
        <f>SUM($E$3:E55)</f>
        <v>172.6</v>
      </c>
    </row>
    <row r="56" s="7" customFormat="1" spans="1:7">
      <c r="A56" s="82">
        <v>55</v>
      </c>
      <c r="B56" s="82">
        <v>36000</v>
      </c>
      <c r="C56" s="82">
        <f t="shared" si="1"/>
        <v>2400</v>
      </c>
      <c r="D56" s="82">
        <f>SUM($B$2:B56)</f>
        <v>450200</v>
      </c>
      <c r="E56" s="82">
        <v>15</v>
      </c>
      <c r="F56" s="1">
        <f>SUM($E$3:E56)</f>
        <v>187.6</v>
      </c>
      <c r="G56" s="7">
        <v>8</v>
      </c>
    </row>
    <row r="57" s="7" customFormat="1" spans="1:6">
      <c r="A57" s="82">
        <v>56</v>
      </c>
      <c r="B57" s="82">
        <v>232350</v>
      </c>
      <c r="C57" s="82">
        <f t="shared" si="1"/>
        <v>196350</v>
      </c>
      <c r="D57" s="82">
        <f>SUM($B$2:B57)</f>
        <v>682550</v>
      </c>
      <c r="E57" s="82">
        <v>96.81</v>
      </c>
      <c r="F57" s="1">
        <f>SUM($E$3:E57)</f>
        <v>284.41</v>
      </c>
    </row>
    <row r="58" s="7" customFormat="1" spans="1:6">
      <c r="A58" s="82">
        <v>57</v>
      </c>
      <c r="B58" s="82">
        <v>258950</v>
      </c>
      <c r="C58" s="82">
        <f t="shared" si="1"/>
        <v>26600</v>
      </c>
      <c r="D58" s="82">
        <f>SUM($B$2:B58)</f>
        <v>941500</v>
      </c>
      <c r="E58" s="82">
        <v>107.9</v>
      </c>
      <c r="F58" s="1">
        <f>SUM($E$3:E58)</f>
        <v>392.31</v>
      </c>
    </row>
    <row r="59" s="7" customFormat="1" spans="1:6">
      <c r="A59" s="82">
        <v>58</v>
      </c>
      <c r="B59" s="82">
        <v>285750</v>
      </c>
      <c r="C59" s="82">
        <f t="shared" si="1"/>
        <v>26800</v>
      </c>
      <c r="D59" s="82">
        <f>SUM($B$2:B59)</f>
        <v>1227250</v>
      </c>
      <c r="E59" s="82">
        <v>119.06</v>
      </c>
      <c r="F59" s="1">
        <f>SUM($E$3:E59)</f>
        <v>511.37</v>
      </c>
    </row>
    <row r="60" s="7" customFormat="1" spans="1:6">
      <c r="A60" s="82">
        <v>59</v>
      </c>
      <c r="B60" s="82">
        <v>312825</v>
      </c>
      <c r="C60" s="82">
        <f t="shared" si="1"/>
        <v>27075</v>
      </c>
      <c r="D60" s="82">
        <f>SUM($B$2:B60)</f>
        <v>1540075</v>
      </c>
      <c r="E60" s="82">
        <v>130.34</v>
      </c>
      <c r="F60" s="1">
        <f>SUM($E$3:E60)</f>
        <v>641.71</v>
      </c>
    </row>
    <row r="61" s="7" customFormat="1" spans="1:6">
      <c r="A61" s="82">
        <v>60</v>
      </c>
      <c r="B61" s="82">
        <v>340125</v>
      </c>
      <c r="C61" s="82">
        <f t="shared" si="1"/>
        <v>27300</v>
      </c>
      <c r="D61" s="82">
        <f>SUM($B$2:B61)</f>
        <v>1880200</v>
      </c>
      <c r="E61" s="82">
        <v>141.72</v>
      </c>
      <c r="F61" s="1">
        <f>SUM($E$3:E61)</f>
        <v>783.43</v>
      </c>
    </row>
  </sheetData>
  <pageMargins left="0.75" right="0.75" top="1" bottom="1" header="0.5" footer="0.5"/>
  <pageSetup paperSize="9" orientation="portrait"/>
  <headerFooter/>
  <ignoredErrors>
    <ignoredError sqref="D3:F61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P56"/>
  <sheetViews>
    <sheetView workbookViewId="0">
      <pane xSplit="1" ySplit="1" topLeftCell="B19" activePane="bottomRight" state="frozen"/>
      <selection/>
      <selection pane="topRight"/>
      <selection pane="bottomLeft"/>
      <selection pane="bottomRight" activeCell="F21" sqref="F21"/>
    </sheetView>
  </sheetViews>
  <sheetFormatPr defaultColWidth="9" defaultRowHeight="16.5"/>
  <cols>
    <col min="1" max="1" width="21.125" style="7" customWidth="1"/>
    <col min="2" max="2" width="15.125" style="7" customWidth="1"/>
    <col min="3" max="3" width="36.125" style="7" customWidth="1"/>
    <col min="4" max="4" width="12.875" style="7" customWidth="1"/>
    <col min="5" max="10" width="9" style="7"/>
    <col min="11" max="11" width="15" style="7" customWidth="1"/>
    <col min="12" max="16384" width="9" style="7"/>
  </cols>
  <sheetData>
    <row r="1" spans="1:16">
      <c r="A1" s="7" t="s">
        <v>260</v>
      </c>
      <c r="B1" s="7" t="s">
        <v>407</v>
      </c>
      <c r="C1" s="7" t="s">
        <v>408</v>
      </c>
      <c r="D1" s="7" t="s">
        <v>409</v>
      </c>
      <c r="E1" s="7" t="s">
        <v>410</v>
      </c>
      <c r="F1" s="7" t="s">
        <v>411</v>
      </c>
      <c r="G1" s="7" t="s">
        <v>412</v>
      </c>
      <c r="H1" s="7" t="s">
        <v>413</v>
      </c>
      <c r="I1" s="45"/>
      <c r="L1" s="7" t="s">
        <v>414</v>
      </c>
      <c r="N1" s="7" t="s">
        <v>415</v>
      </c>
      <c r="O1" s="7" t="s">
        <v>416</v>
      </c>
      <c r="P1" s="7" t="s">
        <v>417</v>
      </c>
    </row>
    <row r="2" spans="1:16">
      <c r="A2" s="7" t="s">
        <v>418</v>
      </c>
      <c r="E2" s="7" t="s">
        <v>419</v>
      </c>
      <c r="F2" s="7">
        <v>250</v>
      </c>
      <c r="G2" s="7">
        <v>4</v>
      </c>
      <c r="H2" s="7">
        <f>F2*G2</f>
        <v>1000</v>
      </c>
      <c r="I2" s="45"/>
      <c r="K2" s="7" t="s">
        <v>420</v>
      </c>
      <c r="L2" s="7">
        <f>SUMIF($E:$E,K2,$H:$H)</f>
        <v>77060</v>
      </c>
      <c r="N2" s="7">
        <v>1</v>
      </c>
      <c r="O2" s="7">
        <f>$L$3*N2+$L$2</f>
        <v>79460</v>
      </c>
      <c r="P2" s="7">
        <f>_xlfn.XLOOKUP(O2,原神成长线!D:D,原神成长线!A:A,,-1)</f>
        <v>31</v>
      </c>
    </row>
    <row r="3" spans="1:16">
      <c r="A3" s="7" t="s">
        <v>421</v>
      </c>
      <c r="E3" s="7" t="s">
        <v>419</v>
      </c>
      <c r="F3" s="7">
        <v>500</v>
      </c>
      <c r="G3" s="7">
        <v>1</v>
      </c>
      <c r="H3" s="7">
        <f>F3*G3</f>
        <v>500</v>
      </c>
      <c r="I3" s="45"/>
      <c r="K3" s="7" t="s">
        <v>419</v>
      </c>
      <c r="L3" s="7">
        <f>SUMIF($E:$E,K3,$H:$H)</f>
        <v>2400</v>
      </c>
      <c r="N3" s="7">
        <v>2</v>
      </c>
      <c r="O3" s="7">
        <f>$L$3*N3+$L$2</f>
        <v>81860</v>
      </c>
      <c r="P3" s="7">
        <f>_xlfn.XLOOKUP(O3,原神成长线!D:D,原神成长线!A:A,,-1)</f>
        <v>31</v>
      </c>
    </row>
    <row r="4" spans="1:16">
      <c r="A4" s="7" t="s">
        <v>422</v>
      </c>
      <c r="E4" s="7" t="s">
        <v>419</v>
      </c>
      <c r="F4" s="7">
        <f>180/20*100</f>
        <v>900</v>
      </c>
      <c r="G4" s="7">
        <v>1</v>
      </c>
      <c r="H4" s="7">
        <f>F4*G4</f>
        <v>900</v>
      </c>
      <c r="I4" s="45"/>
      <c r="N4" s="7">
        <v>3</v>
      </c>
      <c r="O4" s="7">
        <f>$L$3*N4+$L$2</f>
        <v>84260</v>
      </c>
      <c r="P4" s="7">
        <f>_xlfn.XLOOKUP(O4,原神成长线!D:D,原神成长线!A:A,,-1)</f>
        <v>31</v>
      </c>
    </row>
    <row r="5" spans="1:16">
      <c r="A5" s="7" t="s">
        <v>423</v>
      </c>
      <c r="E5" s="7" t="s">
        <v>420</v>
      </c>
      <c r="F5" s="7">
        <v>80</v>
      </c>
      <c r="G5" s="7">
        <v>1</v>
      </c>
      <c r="H5" s="7">
        <f t="shared" ref="H5:H22" si="0">F5*G5</f>
        <v>80</v>
      </c>
      <c r="I5" s="45"/>
      <c r="N5" s="7">
        <v>4</v>
      </c>
      <c r="O5" s="7">
        <f>$L$3*N5+$L$2</f>
        <v>86660</v>
      </c>
      <c r="P5" s="7">
        <f>_xlfn.XLOOKUP(O5,原神成长线!D:D,原神成长线!A:A,,-1)</f>
        <v>32</v>
      </c>
    </row>
    <row r="6" spans="1:16">
      <c r="A6" s="7" t="s">
        <v>424</v>
      </c>
      <c r="E6" s="7" t="s">
        <v>420</v>
      </c>
      <c r="F6" s="7">
        <v>120</v>
      </c>
      <c r="G6" s="7">
        <v>1</v>
      </c>
      <c r="H6" s="7">
        <f t="shared" si="0"/>
        <v>120</v>
      </c>
      <c r="I6" s="45"/>
      <c r="N6" s="7">
        <v>5</v>
      </c>
      <c r="O6" s="7">
        <f>$L$3*N6+$L$2</f>
        <v>89060</v>
      </c>
      <c r="P6" s="7">
        <f>_xlfn.XLOOKUP(O6,原神成长线!D:D,原神成长线!A:A,,-1)</f>
        <v>32</v>
      </c>
    </row>
    <row r="7" spans="1:16">
      <c r="A7" s="7" t="s">
        <v>425</v>
      </c>
      <c r="E7" s="7" t="s">
        <v>420</v>
      </c>
      <c r="F7" s="7">
        <v>160</v>
      </c>
      <c r="G7" s="7">
        <v>1</v>
      </c>
      <c r="H7" s="7">
        <f t="shared" si="0"/>
        <v>160</v>
      </c>
      <c r="I7" s="45"/>
      <c r="K7" s="7">
        <f>24*60/8</f>
        <v>180</v>
      </c>
      <c r="N7" s="7">
        <v>6</v>
      </c>
      <c r="O7" s="7">
        <f>$L$3*N7+$L$2</f>
        <v>91460</v>
      </c>
      <c r="P7" s="7">
        <f>_xlfn.XLOOKUP(O7,原神成长线!D:D,原神成长线!A:A,,-1)</f>
        <v>33</v>
      </c>
    </row>
    <row r="8" spans="1:16">
      <c r="A8" s="7" t="s">
        <v>426</v>
      </c>
      <c r="E8" s="7" t="s">
        <v>420</v>
      </c>
      <c r="F8" s="7">
        <v>200</v>
      </c>
      <c r="G8" s="7">
        <v>1</v>
      </c>
      <c r="H8" s="7">
        <f t="shared" si="0"/>
        <v>200</v>
      </c>
      <c r="N8" s="7">
        <v>7</v>
      </c>
      <c r="O8" s="7">
        <f t="shared" ref="O8:O20" si="1">$L$3*N8+$L$2</f>
        <v>93860</v>
      </c>
      <c r="P8" s="7">
        <f>_xlfn.XLOOKUP(O8,原神成长线!D:D,原神成长线!A:A,,-1)</f>
        <v>33</v>
      </c>
    </row>
    <row r="9" spans="1:16">
      <c r="A9" s="7" t="s">
        <v>427</v>
      </c>
      <c r="E9" s="7" t="s">
        <v>420</v>
      </c>
      <c r="F9" s="7">
        <v>240</v>
      </c>
      <c r="G9" s="7">
        <v>1</v>
      </c>
      <c r="H9" s="7">
        <f t="shared" si="0"/>
        <v>240</v>
      </c>
      <c r="N9" s="7">
        <v>8</v>
      </c>
      <c r="O9" s="7">
        <f t="shared" si="1"/>
        <v>96260</v>
      </c>
      <c r="P9" s="7">
        <f>_xlfn.XLOOKUP(O9,原神成长线!D:D,原神成长线!A:A,,-1)</f>
        <v>33</v>
      </c>
    </row>
    <row r="10" spans="1:16">
      <c r="A10" s="7" t="s">
        <v>428</v>
      </c>
      <c r="E10" s="7" t="s">
        <v>420</v>
      </c>
      <c r="F10" s="7">
        <v>280</v>
      </c>
      <c r="G10" s="7">
        <v>1</v>
      </c>
      <c r="H10" s="7">
        <f t="shared" si="0"/>
        <v>280</v>
      </c>
      <c r="N10" s="7">
        <v>9</v>
      </c>
      <c r="O10" s="7">
        <f t="shared" si="1"/>
        <v>98660</v>
      </c>
      <c r="P10" s="7">
        <f>_xlfn.XLOOKUP(O10,原神成长线!D:D,原神成长线!A:A,,-1)</f>
        <v>34</v>
      </c>
    </row>
    <row r="11" spans="1:16">
      <c r="A11" s="7" t="s">
        <v>429</v>
      </c>
      <c r="E11" s="7" t="s">
        <v>420</v>
      </c>
      <c r="F11" s="7">
        <v>320</v>
      </c>
      <c r="G11" s="7">
        <v>1</v>
      </c>
      <c r="H11" s="7">
        <f t="shared" si="0"/>
        <v>320</v>
      </c>
      <c r="N11" s="7">
        <v>10</v>
      </c>
      <c r="O11" s="7">
        <f t="shared" si="1"/>
        <v>101060</v>
      </c>
      <c r="P11" s="7">
        <f>_xlfn.XLOOKUP(O11,原神成长线!D:D,原神成长线!A:A,,-1)</f>
        <v>34</v>
      </c>
    </row>
    <row r="12" spans="1:16">
      <c r="A12" s="7" t="s">
        <v>430</v>
      </c>
      <c r="E12" s="7" t="s">
        <v>420</v>
      </c>
      <c r="F12" s="7">
        <v>360</v>
      </c>
      <c r="G12" s="7">
        <v>1</v>
      </c>
      <c r="H12" s="7">
        <f t="shared" si="0"/>
        <v>360</v>
      </c>
      <c r="N12" s="7">
        <v>11</v>
      </c>
      <c r="O12" s="7">
        <f t="shared" si="1"/>
        <v>103460</v>
      </c>
      <c r="P12" s="7">
        <f>_xlfn.XLOOKUP(O12,原神成长线!D:D,原神成长线!A:A,,-1)</f>
        <v>34</v>
      </c>
    </row>
    <row r="13" spans="1:16">
      <c r="A13" s="7" t="s">
        <v>431</v>
      </c>
      <c r="E13" s="7" t="s">
        <v>420</v>
      </c>
      <c r="F13" s="7">
        <v>400</v>
      </c>
      <c r="G13" s="7">
        <v>1</v>
      </c>
      <c r="H13" s="7">
        <f t="shared" si="0"/>
        <v>400</v>
      </c>
      <c r="N13" s="7">
        <v>12</v>
      </c>
      <c r="O13" s="7">
        <f t="shared" si="1"/>
        <v>105860</v>
      </c>
      <c r="P13" s="7">
        <f>_xlfn.XLOOKUP(O13,原神成长线!D:D,原神成长线!A:A,,-1)</f>
        <v>35</v>
      </c>
    </row>
    <row r="14" spans="1:16">
      <c r="A14" s="7" t="s">
        <v>432</v>
      </c>
      <c r="E14" s="7" t="s">
        <v>420</v>
      </c>
      <c r="F14" s="7">
        <v>80</v>
      </c>
      <c r="G14" s="7">
        <v>1</v>
      </c>
      <c r="H14" s="7">
        <f t="shared" si="0"/>
        <v>80</v>
      </c>
      <c r="N14" s="7">
        <v>13</v>
      </c>
      <c r="O14" s="7">
        <f t="shared" si="1"/>
        <v>108260</v>
      </c>
      <c r="P14" s="7">
        <f>_xlfn.XLOOKUP(O14,原神成长线!D:D,原神成长线!A:A,,-1)</f>
        <v>35</v>
      </c>
    </row>
    <row r="15" spans="1:16">
      <c r="A15" s="7" t="s">
        <v>433</v>
      </c>
      <c r="E15" s="7" t="s">
        <v>420</v>
      </c>
      <c r="F15" s="7">
        <v>120</v>
      </c>
      <c r="G15" s="7">
        <v>1</v>
      </c>
      <c r="H15" s="7">
        <f t="shared" si="0"/>
        <v>120</v>
      </c>
      <c r="N15" s="7">
        <v>14</v>
      </c>
      <c r="O15" s="7">
        <f t="shared" si="1"/>
        <v>110660</v>
      </c>
      <c r="P15" s="7">
        <f>_xlfn.XLOOKUP(O15,原神成长线!D:D,原神成长线!A:A,,-1)</f>
        <v>35</v>
      </c>
    </row>
    <row r="16" spans="1:16">
      <c r="A16" s="7" t="s">
        <v>434</v>
      </c>
      <c r="E16" s="7" t="s">
        <v>420</v>
      </c>
      <c r="F16" s="7">
        <v>160</v>
      </c>
      <c r="G16" s="7">
        <v>1</v>
      </c>
      <c r="H16" s="7">
        <f t="shared" si="0"/>
        <v>160</v>
      </c>
      <c r="N16" s="7">
        <v>15</v>
      </c>
      <c r="O16" s="7">
        <f t="shared" si="1"/>
        <v>113060</v>
      </c>
      <c r="P16" s="7">
        <f>_xlfn.XLOOKUP(O16,原神成长线!D:D,原神成长线!A:A,,-1)</f>
        <v>36</v>
      </c>
    </row>
    <row r="17" spans="1:16">
      <c r="A17" s="7" t="s">
        <v>435</v>
      </c>
      <c r="E17" s="7" t="s">
        <v>420</v>
      </c>
      <c r="F17" s="7">
        <v>200</v>
      </c>
      <c r="G17" s="7">
        <v>1</v>
      </c>
      <c r="H17" s="7">
        <f t="shared" si="0"/>
        <v>200</v>
      </c>
      <c r="N17" s="7">
        <v>16</v>
      </c>
      <c r="O17" s="7">
        <f t="shared" si="1"/>
        <v>115460</v>
      </c>
      <c r="P17" s="7">
        <f>_xlfn.XLOOKUP(O17,原神成长线!D:D,原神成长线!A:A,,-1)</f>
        <v>36</v>
      </c>
    </row>
    <row r="18" spans="1:16">
      <c r="A18" s="7" t="s">
        <v>436</v>
      </c>
      <c r="E18" s="7" t="s">
        <v>420</v>
      </c>
      <c r="F18" s="7">
        <v>240</v>
      </c>
      <c r="G18" s="7">
        <v>1</v>
      </c>
      <c r="H18" s="7">
        <f t="shared" si="0"/>
        <v>240</v>
      </c>
      <c r="N18" s="7">
        <v>17</v>
      </c>
      <c r="O18" s="7">
        <f t="shared" si="1"/>
        <v>117860</v>
      </c>
      <c r="P18" s="7">
        <f>_xlfn.XLOOKUP(O18,原神成长线!D:D,原神成长线!A:A,,-1)</f>
        <v>36</v>
      </c>
    </row>
    <row r="19" spans="1:16">
      <c r="A19" s="7" t="s">
        <v>437</v>
      </c>
      <c r="E19" s="7" t="s">
        <v>420</v>
      </c>
      <c r="F19" s="7">
        <v>280</v>
      </c>
      <c r="G19" s="7">
        <v>1</v>
      </c>
      <c r="H19" s="7">
        <f t="shared" si="0"/>
        <v>280</v>
      </c>
      <c r="N19" s="7">
        <v>18</v>
      </c>
      <c r="O19" s="7">
        <f t="shared" si="1"/>
        <v>120260</v>
      </c>
      <c r="P19" s="7">
        <f>_xlfn.XLOOKUP(O19,原神成长线!D:D,原神成长线!A:A,,-1)</f>
        <v>36</v>
      </c>
    </row>
    <row r="20" spans="1:16">
      <c r="A20" s="7" t="s">
        <v>438</v>
      </c>
      <c r="E20" s="7" t="s">
        <v>420</v>
      </c>
      <c r="F20" s="7">
        <v>320</v>
      </c>
      <c r="G20" s="7">
        <v>1</v>
      </c>
      <c r="H20" s="7">
        <f t="shared" si="0"/>
        <v>320</v>
      </c>
      <c r="N20" s="7">
        <v>19</v>
      </c>
      <c r="O20" s="7">
        <f t="shared" si="1"/>
        <v>122660</v>
      </c>
      <c r="P20" s="7">
        <f>_xlfn.XLOOKUP(O20,原神成长线!D:D,原神成长线!A:A,,-1)</f>
        <v>37</v>
      </c>
    </row>
    <row r="21" spans="1:16">
      <c r="A21" s="7" t="s">
        <v>439</v>
      </c>
      <c r="E21" s="7" t="s">
        <v>420</v>
      </c>
      <c r="F21" s="7">
        <v>360</v>
      </c>
      <c r="G21" s="7">
        <v>1</v>
      </c>
      <c r="H21" s="7">
        <f t="shared" si="0"/>
        <v>360</v>
      </c>
      <c r="N21" s="7">
        <v>20</v>
      </c>
      <c r="O21" s="7">
        <f t="shared" ref="O21:O33" si="2">$L$3*N21+$L$2</f>
        <v>125060</v>
      </c>
      <c r="P21" s="7">
        <f>_xlfn.XLOOKUP(O21,原神成长线!D:D,原神成长线!A:A,,-1)</f>
        <v>37</v>
      </c>
    </row>
    <row r="22" spans="1:16">
      <c r="A22" s="7" t="s">
        <v>440</v>
      </c>
      <c r="E22" s="7" t="s">
        <v>420</v>
      </c>
      <c r="F22" s="7">
        <v>400</v>
      </c>
      <c r="G22" s="7">
        <v>1</v>
      </c>
      <c r="H22" s="7">
        <f t="shared" si="0"/>
        <v>400</v>
      </c>
      <c r="N22" s="7">
        <v>21</v>
      </c>
      <c r="O22" s="7">
        <f t="shared" si="2"/>
        <v>127460</v>
      </c>
      <c r="P22" s="7">
        <f>_xlfn.XLOOKUP(O22,原神成长线!D:D,原神成长线!A:A,,-1)</f>
        <v>37</v>
      </c>
    </row>
    <row r="23" spans="1:16">
      <c r="A23" s="7" t="s">
        <v>441</v>
      </c>
      <c r="E23" s="7" t="s">
        <v>420</v>
      </c>
      <c r="F23" s="7">
        <v>100</v>
      </c>
      <c r="G23" s="7">
        <v>4</v>
      </c>
      <c r="H23" s="7">
        <f t="shared" ref="H23:H37" si="3">F23*G23</f>
        <v>400</v>
      </c>
      <c r="N23" s="7">
        <v>22</v>
      </c>
      <c r="O23" s="7">
        <f t="shared" si="2"/>
        <v>129860</v>
      </c>
      <c r="P23" s="7">
        <f>_xlfn.XLOOKUP(O23,原神成长线!D:D,原神成长线!A:A,,-1)</f>
        <v>38</v>
      </c>
    </row>
    <row r="24" spans="1:16">
      <c r="A24" s="7" t="s">
        <v>442</v>
      </c>
      <c r="E24" s="7" t="s">
        <v>420</v>
      </c>
      <c r="F24" s="7">
        <v>100</v>
      </c>
      <c r="G24" s="7">
        <v>7</v>
      </c>
      <c r="H24" s="7">
        <f t="shared" si="3"/>
        <v>700</v>
      </c>
      <c r="N24" s="7">
        <v>23</v>
      </c>
      <c r="O24" s="7">
        <f t="shared" si="2"/>
        <v>132260</v>
      </c>
      <c r="P24" s="7">
        <f>_xlfn.XLOOKUP(O24,原神成长线!D:D,原神成长线!A:A,,-1)</f>
        <v>38</v>
      </c>
    </row>
    <row r="25" spans="1:16">
      <c r="A25" s="7" t="s">
        <v>443</v>
      </c>
      <c r="E25" s="7" t="s">
        <v>420</v>
      </c>
      <c r="F25" s="7">
        <v>100</v>
      </c>
      <c r="G25" s="7">
        <v>8</v>
      </c>
      <c r="H25" s="7">
        <f t="shared" si="3"/>
        <v>800</v>
      </c>
      <c r="N25" s="7">
        <v>24</v>
      </c>
      <c r="O25" s="7">
        <f t="shared" si="2"/>
        <v>134660</v>
      </c>
      <c r="P25" s="7">
        <f>_xlfn.XLOOKUP(O25,原神成长线!D:D,原神成长线!A:A,,-1)</f>
        <v>38</v>
      </c>
    </row>
    <row r="26" spans="1:16">
      <c r="A26" s="7" t="s">
        <v>444</v>
      </c>
      <c r="E26" s="7" t="s">
        <v>420</v>
      </c>
      <c r="F26" s="7">
        <v>100</v>
      </c>
      <c r="G26" s="7">
        <v>10</v>
      </c>
      <c r="H26" s="7">
        <f t="shared" si="3"/>
        <v>1000</v>
      </c>
      <c r="N26" s="7">
        <v>25</v>
      </c>
      <c r="O26" s="7">
        <f t="shared" si="2"/>
        <v>137060</v>
      </c>
      <c r="P26" s="7">
        <f>_xlfn.XLOOKUP(O26,原神成长线!D:D,原神成长线!A:A,,-1)</f>
        <v>39</v>
      </c>
    </row>
    <row r="27" spans="1:16">
      <c r="A27" s="7" t="s">
        <v>445</v>
      </c>
      <c r="B27" s="7" t="s">
        <v>446</v>
      </c>
      <c r="C27" s="7" t="s">
        <v>447</v>
      </c>
      <c r="D27" s="7">
        <v>20</v>
      </c>
      <c r="E27" s="7" t="s">
        <v>420</v>
      </c>
      <c r="F27" s="7">
        <v>100</v>
      </c>
      <c r="G27" s="7">
        <v>10</v>
      </c>
      <c r="H27" s="7">
        <f t="shared" si="3"/>
        <v>1000</v>
      </c>
      <c r="N27" s="7">
        <v>26</v>
      </c>
      <c r="O27" s="7">
        <f t="shared" si="2"/>
        <v>139460</v>
      </c>
      <c r="P27" s="7">
        <f>_xlfn.XLOOKUP(O27,原神成长线!D:D,原神成长线!A:A,,-1)</f>
        <v>39</v>
      </c>
    </row>
    <row r="28" spans="1:16">
      <c r="A28" s="7" t="s">
        <v>448</v>
      </c>
      <c r="B28" s="7" t="s">
        <v>449</v>
      </c>
      <c r="C28" s="7" t="s">
        <v>450</v>
      </c>
      <c r="D28" s="7">
        <v>30</v>
      </c>
      <c r="E28" s="7" t="s">
        <v>420</v>
      </c>
      <c r="F28" s="7">
        <v>100</v>
      </c>
      <c r="G28" s="7">
        <v>12</v>
      </c>
      <c r="H28" s="7">
        <f t="shared" si="3"/>
        <v>1200</v>
      </c>
      <c r="N28" s="7">
        <v>27</v>
      </c>
      <c r="O28" s="7">
        <f t="shared" si="2"/>
        <v>141860</v>
      </c>
      <c r="P28" s="7">
        <f>_xlfn.XLOOKUP(O28,原神成长线!D:D,原神成长线!A:A,,-1)</f>
        <v>39</v>
      </c>
    </row>
    <row r="29" spans="1:16">
      <c r="A29" s="7" t="s">
        <v>451</v>
      </c>
      <c r="B29" s="7" t="s">
        <v>452</v>
      </c>
      <c r="C29" s="7" t="s">
        <v>453</v>
      </c>
      <c r="D29" s="7">
        <v>35</v>
      </c>
      <c r="E29" s="7" t="s">
        <v>420</v>
      </c>
      <c r="F29" s="7">
        <v>100</v>
      </c>
      <c r="G29" s="7">
        <v>0</v>
      </c>
      <c r="H29" s="7">
        <f t="shared" si="3"/>
        <v>0</v>
      </c>
      <c r="N29" s="7">
        <v>28</v>
      </c>
      <c r="O29" s="7">
        <f t="shared" si="2"/>
        <v>144260</v>
      </c>
      <c r="P29" s="7">
        <f>_xlfn.XLOOKUP(O29,原神成长线!D:D,原神成长线!A:A,,-1)</f>
        <v>39</v>
      </c>
    </row>
    <row r="30" spans="1:16">
      <c r="A30" s="7" t="s">
        <v>454</v>
      </c>
      <c r="B30" s="7" t="s">
        <v>455</v>
      </c>
      <c r="C30" s="7" t="s">
        <v>456</v>
      </c>
      <c r="D30" s="7">
        <v>40</v>
      </c>
      <c r="E30" s="7" t="s">
        <v>420</v>
      </c>
      <c r="F30" s="7">
        <v>100</v>
      </c>
      <c r="G30" s="7">
        <v>0</v>
      </c>
      <c r="H30" s="7">
        <f t="shared" si="3"/>
        <v>0</v>
      </c>
      <c r="N30" s="7">
        <v>29</v>
      </c>
      <c r="O30" s="7">
        <f t="shared" si="2"/>
        <v>146660</v>
      </c>
      <c r="P30" s="7">
        <f>_xlfn.XLOOKUP(O30,原神成长线!D:D,原神成长线!A:A,,-1)</f>
        <v>40</v>
      </c>
    </row>
    <row r="31" spans="1:16">
      <c r="A31" s="7" t="s">
        <v>457</v>
      </c>
      <c r="B31" s="7" t="s">
        <v>458</v>
      </c>
      <c r="C31" s="7" t="s">
        <v>456</v>
      </c>
      <c r="D31" s="7">
        <v>40</v>
      </c>
      <c r="E31" s="7" t="s">
        <v>420</v>
      </c>
      <c r="F31" s="7">
        <v>100</v>
      </c>
      <c r="G31" s="7">
        <v>0</v>
      </c>
      <c r="H31" s="7">
        <f t="shared" si="3"/>
        <v>0</v>
      </c>
      <c r="N31" s="7">
        <v>30</v>
      </c>
      <c r="O31" s="7">
        <f t="shared" si="2"/>
        <v>149060</v>
      </c>
      <c r="P31" s="7">
        <f>_xlfn.XLOOKUP(O31,原神成长线!D:D,原神成长线!A:A,,-1)</f>
        <v>40</v>
      </c>
    </row>
    <row r="32" spans="1:16">
      <c r="A32" s="7" t="s">
        <v>459</v>
      </c>
      <c r="B32" s="7">
        <v>12</v>
      </c>
      <c r="E32" s="7" t="s">
        <v>420</v>
      </c>
      <c r="F32" s="7">
        <f>225+235+250+250+275+275+250+275+275+275+275+275</f>
        <v>3135</v>
      </c>
      <c r="G32" s="7">
        <v>1</v>
      </c>
      <c r="H32" s="7">
        <f t="shared" si="3"/>
        <v>3135</v>
      </c>
      <c r="N32" s="7">
        <v>31</v>
      </c>
      <c r="O32" s="7">
        <f t="shared" si="2"/>
        <v>151460</v>
      </c>
      <c r="P32" s="7">
        <f>_xlfn.XLOOKUP(O32,原神成长线!D:D,原神成长线!A:A,,-1)</f>
        <v>40</v>
      </c>
    </row>
    <row r="33" spans="1:16">
      <c r="A33" s="7" t="s">
        <v>460</v>
      </c>
      <c r="B33" s="7">
        <v>15</v>
      </c>
      <c r="E33" s="7" t="s">
        <v>420</v>
      </c>
      <c r="F33" s="7">
        <f>225+275+250+250+275+250+250+175+175+250+250+250+250+250+250</f>
        <v>3625</v>
      </c>
      <c r="G33" s="7">
        <v>1</v>
      </c>
      <c r="H33" s="7">
        <f t="shared" si="3"/>
        <v>3625</v>
      </c>
      <c r="N33" s="7">
        <v>32</v>
      </c>
      <c r="O33" s="7">
        <f t="shared" si="2"/>
        <v>153860</v>
      </c>
      <c r="P33" s="7">
        <f>_xlfn.XLOOKUP(O33,原神成长线!D:D,原神成长线!A:A,,-1)</f>
        <v>40</v>
      </c>
    </row>
    <row r="34" spans="1:8">
      <c r="A34" s="7" t="s">
        <v>461</v>
      </c>
      <c r="B34" s="7">
        <v>8</v>
      </c>
      <c r="C34" s="7" t="s">
        <v>462</v>
      </c>
      <c r="E34" s="7" t="s">
        <v>420</v>
      </c>
      <c r="F34" s="7">
        <f>350+350+300+375+275+425+275+375</f>
        <v>2725</v>
      </c>
      <c r="G34" s="7">
        <v>1</v>
      </c>
      <c r="H34" s="7">
        <f t="shared" ref="H34:H45" si="4">F34*G34</f>
        <v>2725</v>
      </c>
    </row>
    <row r="35" spans="1:8">
      <c r="A35" s="7" t="s">
        <v>463</v>
      </c>
      <c r="B35" s="7">
        <v>6</v>
      </c>
      <c r="C35" s="7" t="s">
        <v>464</v>
      </c>
      <c r="D35" s="7">
        <v>23</v>
      </c>
      <c r="E35" s="7" t="s">
        <v>420</v>
      </c>
      <c r="F35" s="7">
        <f>375+550+400+400+475+300</f>
        <v>2500</v>
      </c>
      <c r="G35" s="7">
        <v>1</v>
      </c>
      <c r="H35" s="7">
        <f t="shared" si="4"/>
        <v>2500</v>
      </c>
    </row>
    <row r="36" spans="1:8">
      <c r="A36" s="7" t="s">
        <v>465</v>
      </c>
      <c r="B36" s="7">
        <v>7</v>
      </c>
      <c r="C36" s="7" t="s">
        <v>466</v>
      </c>
      <c r="D36" s="7">
        <v>29</v>
      </c>
      <c r="E36" s="7" t="s">
        <v>420</v>
      </c>
      <c r="F36" s="7">
        <f>500+625+525+575+575+700+575</f>
        <v>4075</v>
      </c>
      <c r="G36" s="7">
        <v>1</v>
      </c>
      <c r="H36" s="7">
        <f t="shared" si="4"/>
        <v>4075</v>
      </c>
    </row>
    <row r="37" spans="1:8">
      <c r="A37" s="7" t="s">
        <v>467</v>
      </c>
      <c r="B37" s="7">
        <v>6</v>
      </c>
      <c r="C37" s="7" t="s">
        <v>468</v>
      </c>
      <c r="D37" s="7">
        <v>35</v>
      </c>
      <c r="E37" s="7" t="s">
        <v>420</v>
      </c>
      <c r="F37" s="7">
        <f>675+725+675+800+775+750</f>
        <v>4400</v>
      </c>
      <c r="G37" s="7">
        <v>0</v>
      </c>
      <c r="H37" s="7">
        <f t="shared" si="4"/>
        <v>0</v>
      </c>
    </row>
    <row r="38" spans="1:8">
      <c r="A38" s="7" t="s">
        <v>469</v>
      </c>
      <c r="E38" s="7" t="s">
        <v>420</v>
      </c>
      <c r="F38" s="7">
        <v>200</v>
      </c>
      <c r="G38" s="7">
        <v>15</v>
      </c>
      <c r="H38" s="7">
        <f t="shared" si="4"/>
        <v>3000</v>
      </c>
    </row>
    <row r="39" spans="1:8">
      <c r="A39" s="7" t="s">
        <v>470</v>
      </c>
      <c r="E39" s="7" t="s">
        <v>420</v>
      </c>
      <c r="F39" s="7">
        <v>500</v>
      </c>
      <c r="G39" s="7">
        <v>8</v>
      </c>
      <c r="H39" s="7">
        <f t="shared" si="4"/>
        <v>4000</v>
      </c>
    </row>
    <row r="40" spans="1:8">
      <c r="A40" s="7" t="s">
        <v>471</v>
      </c>
      <c r="E40" s="7" t="s">
        <v>420</v>
      </c>
      <c r="F40" s="7">
        <v>50</v>
      </c>
      <c r="G40" s="7">
        <v>61</v>
      </c>
      <c r="H40" s="7">
        <f t="shared" si="4"/>
        <v>3050</v>
      </c>
    </row>
    <row r="41" spans="1:8">
      <c r="A41" s="7" t="s">
        <v>472</v>
      </c>
      <c r="E41" s="7" t="s">
        <v>420</v>
      </c>
      <c r="F41" s="7">
        <v>0</v>
      </c>
      <c r="G41" s="7">
        <v>9</v>
      </c>
      <c r="H41" s="7">
        <f t="shared" si="4"/>
        <v>0</v>
      </c>
    </row>
    <row r="42" spans="1:8">
      <c r="A42" s="7" t="s">
        <v>473</v>
      </c>
      <c r="E42" s="7" t="s">
        <v>420</v>
      </c>
      <c r="F42" s="7">
        <v>20</v>
      </c>
      <c r="G42" s="7">
        <f>1147+523-G44-G45</f>
        <v>1592</v>
      </c>
      <c r="H42" s="7">
        <f t="shared" si="4"/>
        <v>31840</v>
      </c>
    </row>
    <row r="43" spans="1:8">
      <c r="A43" s="7" t="s">
        <v>474</v>
      </c>
      <c r="E43" s="7" t="s">
        <v>420</v>
      </c>
      <c r="F43" s="7">
        <v>20</v>
      </c>
      <c r="H43" s="7">
        <f t="shared" si="4"/>
        <v>0</v>
      </c>
    </row>
    <row r="44" spans="1:8">
      <c r="A44" s="7" t="s">
        <v>475</v>
      </c>
      <c r="E44" s="7" t="s">
        <v>420</v>
      </c>
      <c r="F44" s="7">
        <v>30</v>
      </c>
      <c r="G44" s="7">
        <v>23</v>
      </c>
      <c r="H44" s="7">
        <f t="shared" si="4"/>
        <v>690</v>
      </c>
    </row>
    <row r="45" spans="1:8">
      <c r="A45" s="7" t="s">
        <v>476</v>
      </c>
      <c r="E45" s="7" t="s">
        <v>420</v>
      </c>
      <c r="F45" s="7">
        <v>30</v>
      </c>
      <c r="G45" s="7">
        <f>1+4+9+10+21+10</f>
        <v>55</v>
      </c>
      <c r="H45" s="7">
        <f t="shared" si="4"/>
        <v>1650</v>
      </c>
    </row>
    <row r="46" spans="1:8">
      <c r="A46" s="7" t="s">
        <v>477</v>
      </c>
      <c r="B46" s="7" t="s">
        <v>478</v>
      </c>
      <c r="C46" s="7" t="s">
        <v>479</v>
      </c>
      <c r="E46" s="7" t="s">
        <v>420</v>
      </c>
      <c r="F46" s="7">
        <f>250+250+300</f>
        <v>800</v>
      </c>
      <c r="G46" s="7">
        <v>1</v>
      </c>
      <c r="H46" s="7">
        <f t="shared" ref="H46:H52" si="5">F46*G46</f>
        <v>800</v>
      </c>
    </row>
    <row r="47" spans="1:8">
      <c r="A47" s="7" t="s">
        <v>477</v>
      </c>
      <c r="B47" s="7" t="s">
        <v>480</v>
      </c>
      <c r="C47" s="7" t="s">
        <v>481</v>
      </c>
      <c r="E47" s="7" t="s">
        <v>420</v>
      </c>
      <c r="F47" s="7">
        <f>125+175+225+275+275</f>
        <v>1075</v>
      </c>
      <c r="G47" s="7">
        <v>1</v>
      </c>
      <c r="H47" s="7">
        <f t="shared" si="5"/>
        <v>1075</v>
      </c>
    </row>
    <row r="48" spans="1:8">
      <c r="A48" s="7" t="s">
        <v>477</v>
      </c>
      <c r="B48" s="7" t="s">
        <v>482</v>
      </c>
      <c r="C48" s="7" t="s">
        <v>483</v>
      </c>
      <c r="E48" s="7" t="s">
        <v>420</v>
      </c>
      <c r="F48" s="7">
        <f>425+475</f>
        <v>900</v>
      </c>
      <c r="G48" s="7">
        <v>1</v>
      </c>
      <c r="H48" s="7">
        <f t="shared" si="5"/>
        <v>900</v>
      </c>
    </row>
    <row r="49" spans="1:8">
      <c r="A49" s="7" t="s">
        <v>477</v>
      </c>
      <c r="B49" s="7" t="s">
        <v>484</v>
      </c>
      <c r="C49" s="7" t="s">
        <v>485</v>
      </c>
      <c r="E49" s="7" t="s">
        <v>420</v>
      </c>
      <c r="F49" s="7">
        <f>300+300+300</f>
        <v>900</v>
      </c>
      <c r="G49" s="7">
        <v>1</v>
      </c>
      <c r="H49" s="7">
        <f t="shared" si="5"/>
        <v>900</v>
      </c>
    </row>
    <row r="50" spans="1:8">
      <c r="A50" s="7" t="s">
        <v>477</v>
      </c>
      <c r="B50" s="7" t="s">
        <v>486</v>
      </c>
      <c r="C50" s="7" t="s">
        <v>487</v>
      </c>
      <c r="E50" s="7" t="s">
        <v>420</v>
      </c>
      <c r="F50" s="7">
        <f>275+275+275+400</f>
        <v>1225</v>
      </c>
      <c r="G50" s="7">
        <v>1</v>
      </c>
      <c r="H50" s="7">
        <f t="shared" si="5"/>
        <v>1225</v>
      </c>
    </row>
    <row r="51" spans="1:8">
      <c r="A51" s="7" t="s">
        <v>477</v>
      </c>
      <c r="B51" s="7" t="s">
        <v>488</v>
      </c>
      <c r="C51" s="7" t="s">
        <v>489</v>
      </c>
      <c r="E51" s="7" t="s">
        <v>420</v>
      </c>
      <c r="F51" s="7">
        <f>175+125+175+125+225+225</f>
        <v>1050</v>
      </c>
      <c r="G51" s="7">
        <v>1</v>
      </c>
      <c r="H51" s="7">
        <f t="shared" si="5"/>
        <v>1050</v>
      </c>
    </row>
    <row r="52" spans="1:8">
      <c r="A52" s="7" t="s">
        <v>477</v>
      </c>
      <c r="B52" s="7" t="s">
        <v>490</v>
      </c>
      <c r="C52" s="7" t="s">
        <v>491</v>
      </c>
      <c r="E52" s="7" t="s">
        <v>420</v>
      </c>
      <c r="F52" s="7">
        <f>350+350+350+350</f>
        <v>1400</v>
      </c>
      <c r="G52" s="7">
        <v>1</v>
      </c>
      <c r="H52" s="7">
        <f t="shared" si="5"/>
        <v>1400</v>
      </c>
    </row>
    <row r="56" spans="3:4">
      <c r="C56" s="45"/>
      <c r="D56" s="45"/>
    </row>
  </sheetData>
  <pageMargins left="0.75" right="0.75" top="1" bottom="1" header="0.5" footer="0.5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9"/>
  <dimension ref="A1:J40"/>
  <sheetViews>
    <sheetView workbookViewId="0">
      <selection activeCell="H22" sqref="H22"/>
    </sheetView>
  </sheetViews>
  <sheetFormatPr defaultColWidth="9" defaultRowHeight="16.5"/>
  <cols>
    <col min="1" max="1" width="11.5" style="1" customWidth="1"/>
    <col min="2" max="2" width="9" style="1"/>
    <col min="3" max="5" width="12.875" style="1" customWidth="1"/>
    <col min="6" max="8" width="14.125" style="1"/>
    <col min="9" max="9" width="9" style="1"/>
    <col min="10" max="10" width="14.125" style="1"/>
    <col min="11" max="15" width="9" style="1"/>
    <col min="16" max="16" width="19.125" style="1" customWidth="1"/>
    <col min="17" max="18" width="14.125" style="1"/>
    <col min="19" max="16384" width="9" style="1"/>
  </cols>
  <sheetData>
    <row r="1" spans="1:6">
      <c r="A1" s="1" t="s">
        <v>362</v>
      </c>
      <c r="B1" s="1" t="s">
        <v>417</v>
      </c>
      <c r="C1" s="1" t="s">
        <v>492</v>
      </c>
      <c r="D1" s="1" t="s">
        <v>493</v>
      </c>
      <c r="E1" s="1" t="s">
        <v>415</v>
      </c>
      <c r="F1" s="1" t="s">
        <v>494</v>
      </c>
    </row>
    <row r="2" spans="1:10">
      <c r="A2" s="1">
        <v>1</v>
      </c>
      <c r="B2" s="1">
        <v>20</v>
      </c>
      <c r="J2" s="1" t="s">
        <v>115</v>
      </c>
    </row>
    <row r="3" spans="1:10">
      <c r="A3" s="1">
        <v>2</v>
      </c>
      <c r="B3" s="1">
        <v>40</v>
      </c>
      <c r="C3" s="1">
        <v>2</v>
      </c>
      <c r="D3" s="1">
        <f t="shared" ref="D3:D7" si="0">C3/2.5</f>
        <v>0.8</v>
      </c>
      <c r="E3" s="89">
        <f>D3/(180/40)</f>
        <v>0.177777777777778</v>
      </c>
      <c r="F3" s="90">
        <f>E3</f>
        <v>0.177777777777778</v>
      </c>
      <c r="J3" s="1">
        <f>F7+H17+I26+H39</f>
        <v>22.8828079652542</v>
      </c>
    </row>
    <row r="4" spans="1:6">
      <c r="A4" s="1">
        <v>3</v>
      </c>
      <c r="B4" s="1">
        <v>50</v>
      </c>
      <c r="C4" s="1">
        <v>4</v>
      </c>
      <c r="D4" s="1">
        <f t="shared" si="0"/>
        <v>1.6</v>
      </c>
      <c r="E4" s="89">
        <f>D4/(180/40)</f>
        <v>0.355555555555556</v>
      </c>
      <c r="F4" s="90">
        <f>F3+E4</f>
        <v>0.533333333333333</v>
      </c>
    </row>
    <row r="5" spans="1:6">
      <c r="A5" s="1">
        <v>4</v>
      </c>
      <c r="B5" s="1">
        <v>60</v>
      </c>
      <c r="C5" s="1">
        <v>8</v>
      </c>
      <c r="D5" s="1">
        <f t="shared" si="0"/>
        <v>3.2</v>
      </c>
      <c r="E5" s="89">
        <f>D5/(180/40)</f>
        <v>0.711111111111111</v>
      </c>
      <c r="F5" s="90">
        <f>F4+E5</f>
        <v>1.24444444444444</v>
      </c>
    </row>
    <row r="6" spans="1:6">
      <c r="A6" s="1">
        <v>5</v>
      </c>
      <c r="B6" s="1">
        <v>70</v>
      </c>
      <c r="C6" s="1">
        <v>12</v>
      </c>
      <c r="D6" s="1">
        <f t="shared" si="0"/>
        <v>4.8</v>
      </c>
      <c r="E6" s="89">
        <f>D6/(180/40)</f>
        <v>1.06666666666667</v>
      </c>
      <c r="F6" s="90">
        <f>F5+E6</f>
        <v>2.31111111111111</v>
      </c>
    </row>
    <row r="7" spans="1:6">
      <c r="A7" s="1">
        <v>6</v>
      </c>
      <c r="B7" s="1">
        <v>80</v>
      </c>
      <c r="C7" s="1">
        <v>20</v>
      </c>
      <c r="D7" s="1">
        <f t="shared" si="0"/>
        <v>8</v>
      </c>
      <c r="E7" s="89">
        <f>D7/(180/40)</f>
        <v>1.77777777777778</v>
      </c>
      <c r="F7" s="90">
        <f>F6+E7</f>
        <v>4.08888888888889</v>
      </c>
    </row>
    <row r="10" spans="1:8">
      <c r="A10" s="1" t="s">
        <v>495</v>
      </c>
      <c r="B10" s="1" t="s">
        <v>496</v>
      </c>
      <c r="C10" s="1" t="s">
        <v>497</v>
      </c>
      <c r="D10" s="1" t="s">
        <v>498</v>
      </c>
      <c r="E10" s="1" t="s">
        <v>498</v>
      </c>
      <c r="F10" s="1">
        <v>12</v>
      </c>
      <c r="G10" s="1" t="s">
        <v>415</v>
      </c>
      <c r="H10" s="1" t="s">
        <v>494</v>
      </c>
    </row>
    <row r="11" spans="1:8">
      <c r="A11" s="1">
        <v>1</v>
      </c>
      <c r="B11" s="1">
        <v>20</v>
      </c>
      <c r="C11" s="1">
        <v>6</v>
      </c>
      <c r="D11" s="3">
        <f t="shared" ref="D11:D17" si="1">C11/$C$18</f>
        <v>0.0142857142857143</v>
      </c>
      <c r="E11" s="3">
        <f>D11</f>
        <v>0.0142857142857143</v>
      </c>
      <c r="F11" s="89">
        <f>C11/$F$10</f>
        <v>0.5</v>
      </c>
      <c r="G11" s="89">
        <f>F11/(180/20)</f>
        <v>0.0555555555555556</v>
      </c>
      <c r="H11" s="90">
        <f>G11</f>
        <v>0.0555555555555556</v>
      </c>
    </row>
    <row r="12" spans="1:8">
      <c r="A12" s="1">
        <f t="shared" ref="A12:A17" si="2">B11</f>
        <v>20</v>
      </c>
      <c r="B12" s="1">
        <v>40</v>
      </c>
      <c r="C12" s="1">
        <v>29</v>
      </c>
      <c r="D12" s="3">
        <f t="shared" si="1"/>
        <v>0.0690476190476191</v>
      </c>
      <c r="E12" s="3">
        <f t="shared" ref="E12:E17" si="3">E11+D12</f>
        <v>0.0833333333333333</v>
      </c>
      <c r="F12" s="89">
        <f t="shared" ref="F12:F17" si="4">C12/$F$10</f>
        <v>2.41666666666667</v>
      </c>
      <c r="G12" s="89">
        <f t="shared" ref="G12:G18" si="5">F12/(180/20)</f>
        <v>0.268518518518519</v>
      </c>
      <c r="H12" s="90">
        <f>H11+G12</f>
        <v>0.324074074074074</v>
      </c>
    </row>
    <row r="13" spans="1:8">
      <c r="A13" s="1">
        <f t="shared" si="2"/>
        <v>40</v>
      </c>
      <c r="B13" s="1">
        <v>50</v>
      </c>
      <c r="C13" s="1">
        <v>29</v>
      </c>
      <c r="D13" s="3">
        <f t="shared" si="1"/>
        <v>0.0690476190476191</v>
      </c>
      <c r="E13" s="3">
        <f t="shared" si="3"/>
        <v>0.152380952380952</v>
      </c>
      <c r="F13" s="89">
        <f t="shared" si="4"/>
        <v>2.41666666666667</v>
      </c>
      <c r="G13" s="89">
        <f t="shared" si="5"/>
        <v>0.268518518518519</v>
      </c>
      <c r="H13" s="90">
        <f t="shared" ref="H13:H18" si="6">H12+G13</f>
        <v>0.592592592592593</v>
      </c>
    </row>
    <row r="14" spans="1:8">
      <c r="A14" s="1">
        <f t="shared" si="2"/>
        <v>50</v>
      </c>
      <c r="B14" s="1">
        <v>60</v>
      </c>
      <c r="C14" s="1">
        <v>43</v>
      </c>
      <c r="D14" s="3">
        <f t="shared" si="1"/>
        <v>0.102380952380952</v>
      </c>
      <c r="E14" s="3">
        <f t="shared" si="3"/>
        <v>0.254761904761905</v>
      </c>
      <c r="F14" s="89">
        <f t="shared" si="4"/>
        <v>3.58333333333333</v>
      </c>
      <c r="G14" s="89">
        <f t="shared" si="5"/>
        <v>0.398148148148148</v>
      </c>
      <c r="H14" s="90">
        <f t="shared" si="6"/>
        <v>0.990740740740741</v>
      </c>
    </row>
    <row r="15" spans="1:8">
      <c r="A15" s="1">
        <f t="shared" si="2"/>
        <v>60</v>
      </c>
      <c r="B15" s="1">
        <v>70</v>
      </c>
      <c r="C15" s="1">
        <v>60</v>
      </c>
      <c r="D15" s="3">
        <f t="shared" si="1"/>
        <v>0.142857142857143</v>
      </c>
      <c r="E15" s="3">
        <f t="shared" si="3"/>
        <v>0.397619047619048</v>
      </c>
      <c r="F15" s="89">
        <f t="shared" si="4"/>
        <v>5</v>
      </c>
      <c r="G15" s="89">
        <f t="shared" si="5"/>
        <v>0.555555555555556</v>
      </c>
      <c r="H15" s="90">
        <f t="shared" si="6"/>
        <v>1.5462962962963</v>
      </c>
    </row>
    <row r="16" spans="1:8">
      <c r="A16" s="1">
        <f t="shared" si="2"/>
        <v>70</v>
      </c>
      <c r="B16" s="1">
        <v>80</v>
      </c>
      <c r="C16" s="1">
        <v>81</v>
      </c>
      <c r="D16" s="3">
        <f t="shared" si="1"/>
        <v>0.192857142857143</v>
      </c>
      <c r="E16" s="3">
        <f t="shared" si="3"/>
        <v>0.59047619047619</v>
      </c>
      <c r="F16" s="89">
        <f t="shared" si="4"/>
        <v>6.75</v>
      </c>
      <c r="G16" s="89">
        <f t="shared" si="5"/>
        <v>0.75</v>
      </c>
      <c r="H16" s="90">
        <f t="shared" si="6"/>
        <v>2.2962962962963</v>
      </c>
    </row>
    <row r="17" spans="1:8">
      <c r="A17" s="1">
        <f t="shared" si="2"/>
        <v>80</v>
      </c>
      <c r="B17" s="1">
        <v>90</v>
      </c>
      <c r="C17" s="1">
        <v>172</v>
      </c>
      <c r="D17" s="3">
        <f t="shared" si="1"/>
        <v>0.40952380952381</v>
      </c>
      <c r="E17" s="3">
        <f t="shared" si="3"/>
        <v>1</v>
      </c>
      <c r="F17" s="89">
        <f t="shared" si="4"/>
        <v>14.3333333333333</v>
      </c>
      <c r="G17" s="89">
        <f t="shared" si="5"/>
        <v>1.59259259259259</v>
      </c>
      <c r="H17" s="90">
        <f t="shared" si="6"/>
        <v>3.88888888888889</v>
      </c>
    </row>
    <row r="18" spans="3:8">
      <c r="C18" s="1">
        <f>SUM(C11:C17)</f>
        <v>420</v>
      </c>
      <c r="G18" s="89"/>
      <c r="H18" s="89"/>
    </row>
    <row r="20" spans="1:9">
      <c r="A20" s="1" t="s">
        <v>41</v>
      </c>
      <c r="B20" s="1" t="s">
        <v>417</v>
      </c>
      <c r="C20" s="1" t="s">
        <v>499</v>
      </c>
      <c r="D20" s="1" t="s">
        <v>500</v>
      </c>
      <c r="E20" s="1" t="s">
        <v>501</v>
      </c>
      <c r="F20" s="1" t="s">
        <v>502</v>
      </c>
      <c r="G20" s="1" t="s">
        <v>503</v>
      </c>
      <c r="H20" s="1" t="s">
        <v>415</v>
      </c>
      <c r="I20" s="1" t="s">
        <v>494</v>
      </c>
    </row>
    <row r="21" spans="1:9">
      <c r="A21" s="1">
        <v>1</v>
      </c>
      <c r="B21" s="1">
        <v>1</v>
      </c>
      <c r="C21" s="1">
        <v>20</v>
      </c>
      <c r="D21" s="1">
        <v>1</v>
      </c>
      <c r="E21" s="1">
        <v>3</v>
      </c>
      <c r="F21" s="1">
        <f t="shared" ref="F21:F26" si="7">3^(D21-1)*E21</f>
        <v>3</v>
      </c>
      <c r="G21" s="89">
        <f>F21/掉率!$O$37</f>
        <v>0.175849941383353</v>
      </c>
      <c r="H21" s="89">
        <f t="shared" ref="H21:H26" si="8">G21/(180/20)</f>
        <v>0.0195388823759281</v>
      </c>
      <c r="I21" s="90">
        <f>H21</f>
        <v>0.0195388823759281</v>
      </c>
    </row>
    <row r="22" spans="1:9">
      <c r="A22" s="1">
        <v>2</v>
      </c>
      <c r="B22" s="1">
        <f t="shared" ref="B22:B27" si="9">C21</f>
        <v>20</v>
      </c>
      <c r="C22" s="1">
        <v>40</v>
      </c>
      <c r="D22" s="1">
        <v>2</v>
      </c>
      <c r="E22" s="1">
        <v>3</v>
      </c>
      <c r="F22" s="1">
        <f t="shared" si="7"/>
        <v>9</v>
      </c>
      <c r="G22" s="89">
        <f>F22/掉率!$O$37</f>
        <v>0.527549824150059</v>
      </c>
      <c r="H22" s="89">
        <f t="shared" si="8"/>
        <v>0.0586166471277843</v>
      </c>
      <c r="I22" s="90">
        <f>I21+H22</f>
        <v>0.0781555295037124</v>
      </c>
    </row>
    <row r="23" spans="1:9">
      <c r="A23" s="1">
        <v>3</v>
      </c>
      <c r="B23" s="1">
        <f t="shared" si="9"/>
        <v>40</v>
      </c>
      <c r="C23" s="1">
        <v>50</v>
      </c>
      <c r="D23" s="1">
        <v>2</v>
      </c>
      <c r="E23" s="1">
        <v>6</v>
      </c>
      <c r="F23" s="1">
        <f t="shared" si="7"/>
        <v>18</v>
      </c>
      <c r="G23" s="89">
        <f>F23/掉率!$O$37</f>
        <v>1.05509964830012</v>
      </c>
      <c r="H23" s="89">
        <f t="shared" si="8"/>
        <v>0.117233294255569</v>
      </c>
      <c r="I23" s="90">
        <f>I22+H23</f>
        <v>0.195388823759281</v>
      </c>
    </row>
    <row r="24" spans="1:9">
      <c r="A24" s="1">
        <v>4</v>
      </c>
      <c r="B24" s="1">
        <f t="shared" si="9"/>
        <v>50</v>
      </c>
      <c r="C24" s="1">
        <v>60</v>
      </c>
      <c r="D24" s="1">
        <v>3</v>
      </c>
      <c r="E24" s="1">
        <v>3</v>
      </c>
      <c r="F24" s="1">
        <f t="shared" si="7"/>
        <v>27</v>
      </c>
      <c r="G24" s="89">
        <f>F24/掉率!$O$37</f>
        <v>1.58264947245018</v>
      </c>
      <c r="H24" s="89">
        <f t="shared" si="8"/>
        <v>0.175849941383353</v>
      </c>
      <c r="I24" s="90">
        <f>I23+H24</f>
        <v>0.371238765142634</v>
      </c>
    </row>
    <row r="25" spans="1:9">
      <c r="A25" s="1">
        <v>5</v>
      </c>
      <c r="B25" s="1">
        <f t="shared" si="9"/>
        <v>60</v>
      </c>
      <c r="C25" s="1">
        <v>70</v>
      </c>
      <c r="D25" s="1">
        <v>3</v>
      </c>
      <c r="E25" s="1">
        <v>6</v>
      </c>
      <c r="F25" s="1">
        <f t="shared" si="7"/>
        <v>54</v>
      </c>
      <c r="G25" s="89">
        <f>F25/掉率!$O$37</f>
        <v>3.16529894490035</v>
      </c>
      <c r="H25" s="89">
        <f t="shared" si="8"/>
        <v>0.351699882766706</v>
      </c>
      <c r="I25" s="90">
        <f>I24+H25</f>
        <v>0.72293864790934</v>
      </c>
    </row>
    <row r="26" spans="1:9">
      <c r="A26" s="1">
        <v>6</v>
      </c>
      <c r="B26" s="1">
        <f t="shared" si="9"/>
        <v>70</v>
      </c>
      <c r="C26" s="1">
        <v>80</v>
      </c>
      <c r="D26" s="1">
        <v>4</v>
      </c>
      <c r="E26" s="1">
        <v>4</v>
      </c>
      <c r="F26" s="1">
        <f t="shared" si="7"/>
        <v>108</v>
      </c>
      <c r="G26" s="89">
        <f>F26/掉率!$O$37</f>
        <v>6.3305978898007</v>
      </c>
      <c r="H26" s="89">
        <f t="shared" si="8"/>
        <v>0.703399765533412</v>
      </c>
      <c r="I26" s="90">
        <f>I25+H26</f>
        <v>1.42633841344275</v>
      </c>
    </row>
    <row r="27" spans="1:3">
      <c r="A27" s="1">
        <v>7</v>
      </c>
      <c r="B27" s="1">
        <f t="shared" si="9"/>
        <v>80</v>
      </c>
      <c r="C27" s="1">
        <v>90</v>
      </c>
    </row>
    <row r="30" spans="1:8">
      <c r="A30" s="1" t="s">
        <v>306</v>
      </c>
      <c r="B30" s="1" t="s">
        <v>324</v>
      </c>
      <c r="C30" s="1" t="s">
        <v>501</v>
      </c>
      <c r="D30" s="1" t="s">
        <v>504</v>
      </c>
      <c r="E30" s="1" t="s">
        <v>505</v>
      </c>
      <c r="F30" s="1" t="s">
        <v>415</v>
      </c>
      <c r="G30" s="1" t="s">
        <v>494</v>
      </c>
      <c r="H30" s="1" t="s">
        <v>506</v>
      </c>
    </row>
    <row r="31" spans="1:8">
      <c r="A31" s="1">
        <v>1</v>
      </c>
      <c r="B31" s="1">
        <v>1</v>
      </c>
      <c r="C31" s="1">
        <v>3</v>
      </c>
      <c r="D31" s="1">
        <f>3^(B31-1)*C31</f>
        <v>3</v>
      </c>
      <c r="E31" s="89">
        <f>D31/掉率!$M$7</f>
        <v>0.297324083250743</v>
      </c>
      <c r="F31" s="89">
        <f>E31/(180/20)</f>
        <v>0.0330360092500826</v>
      </c>
      <c r="G31" s="89">
        <f>F31</f>
        <v>0.0330360092500826</v>
      </c>
      <c r="H31" s="90">
        <f t="shared" ref="H31:H39" si="10">G31*3</f>
        <v>0.0991080277502478</v>
      </c>
    </row>
    <row r="32" spans="1:8">
      <c r="A32" s="1">
        <v>2</v>
      </c>
      <c r="B32" s="1">
        <v>2</v>
      </c>
      <c r="C32" s="1">
        <v>2</v>
      </c>
      <c r="D32" s="1">
        <f t="shared" ref="D32:D39" si="11">3^(B32-1)*C32</f>
        <v>6</v>
      </c>
      <c r="E32" s="89">
        <f>D32/掉率!$M$7</f>
        <v>0.594648166501487</v>
      </c>
      <c r="F32" s="89">
        <f t="shared" ref="F32:F39" si="12">E32/(180/20)</f>
        <v>0.0660720185001652</v>
      </c>
      <c r="G32" s="89">
        <f t="shared" ref="G32:G39" si="13">G31+F32</f>
        <v>0.0991080277502478</v>
      </c>
      <c r="H32" s="90">
        <f t="shared" si="10"/>
        <v>0.297324083250743</v>
      </c>
    </row>
    <row r="33" spans="1:8">
      <c r="A33" s="1">
        <v>3</v>
      </c>
      <c r="B33" s="1">
        <v>2</v>
      </c>
      <c r="C33" s="1">
        <v>4</v>
      </c>
      <c r="D33" s="1">
        <f t="shared" si="11"/>
        <v>12</v>
      </c>
      <c r="E33" s="89">
        <f>D33/掉率!$M$7</f>
        <v>1.18929633300297</v>
      </c>
      <c r="F33" s="89">
        <f t="shared" si="12"/>
        <v>0.13214403700033</v>
      </c>
      <c r="G33" s="89">
        <f t="shared" si="13"/>
        <v>0.231252064750578</v>
      </c>
      <c r="H33" s="90">
        <f t="shared" si="10"/>
        <v>0.693756194251734</v>
      </c>
    </row>
    <row r="34" spans="1:8">
      <c r="A34" s="1">
        <v>4</v>
      </c>
      <c r="B34" s="1">
        <v>2</v>
      </c>
      <c r="C34" s="1">
        <v>6</v>
      </c>
      <c r="D34" s="1">
        <f t="shared" si="11"/>
        <v>18</v>
      </c>
      <c r="E34" s="89">
        <f>D34/掉率!$M$7</f>
        <v>1.78394449950446</v>
      </c>
      <c r="F34" s="89">
        <f t="shared" si="12"/>
        <v>0.198216055500496</v>
      </c>
      <c r="G34" s="89">
        <f t="shared" si="13"/>
        <v>0.429468120251074</v>
      </c>
      <c r="H34" s="90">
        <f t="shared" si="10"/>
        <v>1.28840436075322</v>
      </c>
    </row>
    <row r="35" spans="1:8">
      <c r="A35" s="1">
        <v>5</v>
      </c>
      <c r="B35" s="1">
        <v>2</v>
      </c>
      <c r="C35" s="1">
        <v>9</v>
      </c>
      <c r="D35" s="1">
        <f t="shared" si="11"/>
        <v>27</v>
      </c>
      <c r="E35" s="89">
        <f>D35/掉率!$M$7</f>
        <v>2.67591674925669</v>
      </c>
      <c r="F35" s="89">
        <f t="shared" si="12"/>
        <v>0.297324083250743</v>
      </c>
      <c r="G35" s="89">
        <f t="shared" si="13"/>
        <v>0.726792203501817</v>
      </c>
      <c r="H35" s="90">
        <f t="shared" si="10"/>
        <v>2.18037661050545</v>
      </c>
    </row>
    <row r="36" spans="1:8">
      <c r="A36" s="1">
        <v>6</v>
      </c>
      <c r="B36" s="1">
        <v>3</v>
      </c>
      <c r="C36" s="1">
        <v>4</v>
      </c>
      <c r="D36" s="1">
        <f t="shared" si="11"/>
        <v>36</v>
      </c>
      <c r="E36" s="89">
        <f>D36/掉率!$M$7</f>
        <v>3.56788899900892</v>
      </c>
      <c r="F36" s="89">
        <f t="shared" si="12"/>
        <v>0.396432111000991</v>
      </c>
      <c r="G36" s="89">
        <f t="shared" si="13"/>
        <v>1.12322431450281</v>
      </c>
      <c r="H36" s="90">
        <f t="shared" si="10"/>
        <v>3.36967294350842</v>
      </c>
    </row>
    <row r="37" spans="1:8">
      <c r="A37" s="1">
        <v>7</v>
      </c>
      <c r="B37" s="1">
        <v>3</v>
      </c>
      <c r="C37" s="1">
        <v>6</v>
      </c>
      <c r="D37" s="1">
        <f t="shared" si="11"/>
        <v>54</v>
      </c>
      <c r="E37" s="89">
        <f>D37/掉率!$M$7</f>
        <v>5.35183349851338</v>
      </c>
      <c r="F37" s="89">
        <f t="shared" si="12"/>
        <v>0.594648166501487</v>
      </c>
      <c r="G37" s="89">
        <f t="shared" si="13"/>
        <v>1.71787248100429</v>
      </c>
      <c r="H37" s="90">
        <f t="shared" si="10"/>
        <v>5.15361744301288</v>
      </c>
    </row>
    <row r="38" spans="1:8">
      <c r="A38" s="1">
        <v>8</v>
      </c>
      <c r="B38" s="1">
        <v>3</v>
      </c>
      <c r="C38" s="1">
        <v>12</v>
      </c>
      <c r="D38" s="1">
        <f t="shared" si="11"/>
        <v>108</v>
      </c>
      <c r="E38" s="89">
        <f>D38/掉率!$M$7</f>
        <v>10.7036669970268</v>
      </c>
      <c r="F38" s="89">
        <f t="shared" si="12"/>
        <v>1.18929633300297</v>
      </c>
      <c r="G38" s="89">
        <f t="shared" si="13"/>
        <v>2.90716881400727</v>
      </c>
      <c r="H38" s="90">
        <f t="shared" si="10"/>
        <v>8.72150644202181</v>
      </c>
    </row>
    <row r="39" spans="1:8">
      <c r="A39" s="1">
        <v>9</v>
      </c>
      <c r="B39" s="1">
        <v>3</v>
      </c>
      <c r="C39" s="1">
        <v>16</v>
      </c>
      <c r="D39" s="1">
        <f t="shared" si="11"/>
        <v>144</v>
      </c>
      <c r="E39" s="89">
        <f>D39/掉率!$M$7</f>
        <v>14.2715559960357</v>
      </c>
      <c r="F39" s="89">
        <f t="shared" si="12"/>
        <v>1.58572844400396</v>
      </c>
      <c r="G39" s="89">
        <f t="shared" si="13"/>
        <v>4.49289725801123</v>
      </c>
      <c r="H39" s="90">
        <f t="shared" si="10"/>
        <v>13.4786917740337</v>
      </c>
    </row>
    <row r="40" spans="1:1">
      <c r="A40" s="1">
        <v>10</v>
      </c>
    </row>
  </sheetData>
  <pageMargins left="0.75" right="0.75" top="1" bottom="1" header="0.5" footer="0.5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40"/>
  <sheetViews>
    <sheetView workbookViewId="0">
      <selection activeCell="D27" sqref="D27:D28"/>
    </sheetView>
  </sheetViews>
  <sheetFormatPr defaultColWidth="9" defaultRowHeight="16.5"/>
  <cols>
    <col min="1" max="1" width="10.875" style="7" customWidth="1"/>
    <col min="2" max="2" width="9" style="7"/>
    <col min="3" max="3" width="10" style="7" customWidth="1"/>
    <col min="4" max="7" width="9" style="7"/>
    <col min="8" max="8" width="11.125" style="7" customWidth="1"/>
    <col min="9" max="9" width="9" style="7"/>
    <col min="10" max="10" width="14.125" style="7"/>
    <col min="11" max="16384" width="9" style="7"/>
  </cols>
  <sheetData>
    <row r="1" spans="1:2">
      <c r="A1" s="19" t="s">
        <v>507</v>
      </c>
      <c r="B1" s="19" t="s">
        <v>508</v>
      </c>
    </row>
    <row r="2" spans="1:9">
      <c r="A2" s="19">
        <v>18</v>
      </c>
      <c r="B2" s="19">
        <v>21</v>
      </c>
      <c r="H2" s="7" t="s">
        <v>509</v>
      </c>
      <c r="I2" s="7">
        <v>31</v>
      </c>
    </row>
    <row r="3" spans="1:9">
      <c r="A3" s="19">
        <v>5</v>
      </c>
      <c r="B3" s="19">
        <v>12</v>
      </c>
      <c r="H3" s="7" t="s">
        <v>510</v>
      </c>
      <c r="I3" s="7">
        <v>29</v>
      </c>
    </row>
    <row r="4" spans="1:10">
      <c r="A4" s="19">
        <f>SUM(A2:A3)</f>
        <v>23</v>
      </c>
      <c r="B4" s="19">
        <f>SUM(B2:B3)</f>
        <v>33</v>
      </c>
      <c r="H4" s="7" t="s">
        <v>511</v>
      </c>
      <c r="I4" s="7">
        <f>SUM(I2:I3)</f>
        <v>60</v>
      </c>
      <c r="J4" s="7">
        <f>I4*22.8</f>
        <v>1368</v>
      </c>
    </row>
    <row r="5" spans="1:10">
      <c r="A5" s="19"/>
      <c r="B5" s="19"/>
      <c r="J5" s="7">
        <f>J4/365</f>
        <v>3.74794520547945</v>
      </c>
    </row>
    <row r="6" spans="1:2">
      <c r="A6" s="19">
        <f>COUNTA(A8:A39)</f>
        <v>29</v>
      </c>
      <c r="B6" s="19"/>
    </row>
    <row r="7" spans="1:5">
      <c r="A7" s="87" t="s">
        <v>512</v>
      </c>
      <c r="B7" s="88"/>
      <c r="C7" s="87"/>
      <c r="D7" s="87"/>
      <c r="E7" s="87"/>
    </row>
    <row r="8" spans="1:1">
      <c r="A8" s="19" t="s">
        <v>254</v>
      </c>
    </row>
    <row r="9" spans="1:1">
      <c r="A9" s="19" t="s">
        <v>182</v>
      </c>
    </row>
    <row r="10" spans="1:1">
      <c r="A10" s="19" t="s">
        <v>134</v>
      </c>
    </row>
    <row r="11" spans="1:1">
      <c r="A11" s="19" t="s">
        <v>125</v>
      </c>
    </row>
    <row r="12" spans="1:1">
      <c r="A12" s="19"/>
    </row>
    <row r="13" spans="1:1">
      <c r="A13" s="19" t="s">
        <v>150</v>
      </c>
    </row>
    <row r="14" spans="1:1">
      <c r="A14" s="19" t="s">
        <v>177</v>
      </c>
    </row>
    <row r="15" spans="1:1">
      <c r="A15" s="19" t="s">
        <v>513</v>
      </c>
    </row>
    <row r="16" spans="1:1">
      <c r="A16" s="19" t="s">
        <v>141</v>
      </c>
    </row>
    <row r="17" spans="1:1">
      <c r="A17" s="19" t="s">
        <v>146</v>
      </c>
    </row>
    <row r="18" spans="1:1">
      <c r="A18" s="19" t="s">
        <v>170</v>
      </c>
    </row>
    <row r="19" spans="1:1">
      <c r="A19" s="19" t="s">
        <v>223</v>
      </c>
    </row>
    <row r="20" spans="1:1">
      <c r="A20" s="19" t="s">
        <v>184</v>
      </c>
    </row>
    <row r="21" spans="1:1">
      <c r="A21" s="19"/>
    </row>
    <row r="22" spans="1:1">
      <c r="A22" s="19" t="s">
        <v>249</v>
      </c>
    </row>
    <row r="23" spans="1:1">
      <c r="A23" s="19" t="s">
        <v>514</v>
      </c>
    </row>
    <row r="24" spans="1:1">
      <c r="A24" s="19" t="s">
        <v>515</v>
      </c>
    </row>
    <row r="25" spans="1:1">
      <c r="A25" s="19" t="s">
        <v>132</v>
      </c>
    </row>
    <row r="26" spans="1:1">
      <c r="A26" s="19" t="s">
        <v>209</v>
      </c>
    </row>
    <row r="27" spans="1:1">
      <c r="A27" s="19" t="s">
        <v>201</v>
      </c>
    </row>
    <row r="28" spans="1:1">
      <c r="A28" s="19" t="s">
        <v>163</v>
      </c>
    </row>
    <row r="29" spans="1:1">
      <c r="A29" s="19" t="s">
        <v>197</v>
      </c>
    </row>
    <row r="30" spans="1:1">
      <c r="A30" s="19" t="s">
        <v>139</v>
      </c>
    </row>
    <row r="31" spans="1:1">
      <c r="A31" s="19" t="s">
        <v>127</v>
      </c>
    </row>
    <row r="32" spans="1:1">
      <c r="A32" s="19"/>
    </row>
    <row r="33" spans="1:1">
      <c r="A33" s="19" t="s">
        <v>516</v>
      </c>
    </row>
    <row r="34" spans="1:1">
      <c r="A34" s="19" t="s">
        <v>517</v>
      </c>
    </row>
    <row r="35" spans="1:1">
      <c r="A35" s="19" t="s">
        <v>518</v>
      </c>
    </row>
    <row r="36" spans="1:1">
      <c r="A36" s="19" t="s">
        <v>484</v>
      </c>
    </row>
    <row r="37" spans="1:1">
      <c r="A37" s="19" t="s">
        <v>148</v>
      </c>
    </row>
    <row r="38" spans="1:1">
      <c r="A38" s="19" t="s">
        <v>519</v>
      </c>
    </row>
    <row r="39" spans="1:1">
      <c r="A39" s="19" t="s">
        <v>238</v>
      </c>
    </row>
    <row r="40" spans="1:1">
      <c r="A40" s="19"/>
    </row>
  </sheetData>
  <pageMargins left="0.75" right="0.75" top="1" bottom="1" header="0.5" footer="0.5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/>
  <dimension ref="A1:N59"/>
  <sheetViews>
    <sheetView workbookViewId="0">
      <selection activeCell="E62" sqref="E62"/>
    </sheetView>
  </sheetViews>
  <sheetFormatPr defaultColWidth="9" defaultRowHeight="16.5"/>
  <cols>
    <col min="1" max="1" width="10.375" style="7" customWidth="1"/>
    <col min="2" max="2" width="11.875" style="7" customWidth="1"/>
    <col min="3" max="3" width="10.625" style="7" customWidth="1"/>
    <col min="4" max="4" width="19.625" style="7" customWidth="1"/>
    <col min="5" max="5" width="12.625" style="7" customWidth="1"/>
    <col min="6" max="11" width="9" style="7"/>
    <col min="12" max="12" width="10.875" style="7" customWidth="1"/>
    <col min="13" max="13" width="12.875" style="7" customWidth="1"/>
    <col min="14" max="14" width="8.875" style="7" customWidth="1"/>
    <col min="15" max="16384" width="9" style="7"/>
  </cols>
  <sheetData>
    <row r="1" customHeight="1" spans="1:14">
      <c r="A1" s="81" t="s">
        <v>520</v>
      </c>
      <c r="B1" s="7" t="s">
        <v>521</v>
      </c>
      <c r="L1" s="7" t="s">
        <v>522</v>
      </c>
      <c r="M1" s="7" t="s">
        <v>523</v>
      </c>
      <c r="N1" s="7" t="s">
        <v>11</v>
      </c>
    </row>
    <row r="2" spans="1:13">
      <c r="A2" s="82" t="s">
        <v>417</v>
      </c>
      <c r="B2" s="82" t="s">
        <v>522</v>
      </c>
      <c r="C2" s="82"/>
      <c r="D2" s="82" t="s">
        <v>523</v>
      </c>
      <c r="K2" s="7" t="s">
        <v>520</v>
      </c>
      <c r="L2" s="7">
        <f ca="1">OFFSET($A$1,MATCH(K2,$A:$A,0)+9,1)</f>
        <v>565</v>
      </c>
      <c r="M2" s="7">
        <f>D11</f>
        <v>0.306</v>
      </c>
    </row>
    <row r="3" spans="1:14">
      <c r="A3" s="82"/>
      <c r="B3" s="82" t="s">
        <v>524</v>
      </c>
      <c r="C3" s="82" t="s">
        <v>525</v>
      </c>
      <c r="D3" s="82"/>
      <c r="K3" s="7" t="s">
        <v>526</v>
      </c>
      <c r="L3" s="7">
        <f ca="1">OFFSET($A$1,MATCH(K3,$A:$A,0)+9,1)</f>
        <v>542</v>
      </c>
      <c r="N3" s="7">
        <f>D23</f>
        <v>0.882</v>
      </c>
    </row>
    <row r="4" spans="1:13">
      <c r="A4" s="82" t="s">
        <v>527</v>
      </c>
      <c r="B4" s="82" t="s">
        <v>528</v>
      </c>
      <c r="C4" s="82">
        <v>44</v>
      </c>
      <c r="D4" s="83">
        <v>0.067</v>
      </c>
      <c r="K4" s="7" t="s">
        <v>529</v>
      </c>
      <c r="L4" s="7">
        <f ca="1">OFFSET($A$1,MATCH(K4,$A:$A,0)+9,1)</f>
        <v>454</v>
      </c>
      <c r="M4" s="7">
        <f>D35</f>
        <v>0.613</v>
      </c>
    </row>
    <row r="5" spans="1:4">
      <c r="A5" s="82" t="s">
        <v>530</v>
      </c>
      <c r="B5" s="82">
        <v>119</v>
      </c>
      <c r="C5" s="82">
        <v>144</v>
      </c>
      <c r="D5" s="83">
        <v>0.118</v>
      </c>
    </row>
    <row r="6" spans="1:4">
      <c r="A6" s="82" t="s">
        <v>531</v>
      </c>
      <c r="B6" s="82">
        <v>226</v>
      </c>
      <c r="C6" s="82">
        <v>252</v>
      </c>
      <c r="D6" s="83">
        <v>0.172</v>
      </c>
    </row>
    <row r="7" spans="1:4">
      <c r="A7" s="82" t="s">
        <v>532</v>
      </c>
      <c r="B7" s="82">
        <v>293</v>
      </c>
      <c r="C7" s="82">
        <v>319</v>
      </c>
      <c r="D7" s="83">
        <v>0.199</v>
      </c>
    </row>
    <row r="8" spans="1:4">
      <c r="A8" s="82" t="s">
        <v>533</v>
      </c>
      <c r="B8" s="82">
        <v>361</v>
      </c>
      <c r="C8" s="82">
        <v>387</v>
      </c>
      <c r="D8" s="83">
        <v>0.226</v>
      </c>
    </row>
    <row r="9" spans="1:4">
      <c r="A9" s="82" t="s">
        <v>534</v>
      </c>
      <c r="B9" s="82">
        <v>429</v>
      </c>
      <c r="C9" s="82">
        <v>455</v>
      </c>
      <c r="D9" s="83">
        <v>0.252</v>
      </c>
    </row>
    <row r="10" spans="1:4">
      <c r="A10" s="82" t="s">
        <v>535</v>
      </c>
      <c r="B10" s="82">
        <v>497</v>
      </c>
      <c r="C10" s="82">
        <v>523</v>
      </c>
      <c r="D10" s="83">
        <v>0.279</v>
      </c>
    </row>
    <row r="11" spans="1:4">
      <c r="A11" s="82" t="s">
        <v>536</v>
      </c>
      <c r="B11" s="82">
        <v>565</v>
      </c>
      <c r="C11" s="82" t="s">
        <v>528</v>
      </c>
      <c r="D11" s="83">
        <v>0.306</v>
      </c>
    </row>
    <row r="13" spans="1:2">
      <c r="A13" s="81" t="s">
        <v>526</v>
      </c>
      <c r="B13" s="7" t="s">
        <v>537</v>
      </c>
    </row>
    <row r="14" spans="1:4">
      <c r="A14" s="82" t="s">
        <v>417</v>
      </c>
      <c r="B14" s="82" t="s">
        <v>522</v>
      </c>
      <c r="C14" s="82"/>
      <c r="D14" s="82" t="s">
        <v>11</v>
      </c>
    </row>
    <row r="15" spans="1:5">
      <c r="A15" s="82"/>
      <c r="B15" s="82" t="s">
        <v>524</v>
      </c>
      <c r="C15" s="82" t="s">
        <v>525</v>
      </c>
      <c r="D15" s="82"/>
      <c r="E15" s="1"/>
    </row>
    <row r="16" spans="1:5">
      <c r="A16" s="82" t="s">
        <v>527</v>
      </c>
      <c r="B16" s="82" t="s">
        <v>528</v>
      </c>
      <c r="C16" s="82">
        <v>44</v>
      </c>
      <c r="D16" s="83">
        <v>0.192</v>
      </c>
      <c r="E16" s="1"/>
    </row>
    <row r="17" spans="1:5">
      <c r="A17" s="82" t="s">
        <v>530</v>
      </c>
      <c r="B17" s="82">
        <v>110</v>
      </c>
      <c r="C17" s="82">
        <v>141</v>
      </c>
      <c r="D17" s="83">
        <v>0.34</v>
      </c>
      <c r="E17" s="1"/>
    </row>
    <row r="18" spans="1:5">
      <c r="A18" s="82" t="s">
        <v>531</v>
      </c>
      <c r="B18" s="82">
        <v>210</v>
      </c>
      <c r="C18" s="82">
        <v>241</v>
      </c>
      <c r="D18" s="83">
        <v>0.494</v>
      </c>
      <c r="E18" s="1"/>
    </row>
    <row r="19" spans="1:5">
      <c r="A19" s="82" t="s">
        <v>532</v>
      </c>
      <c r="B19" s="82">
        <v>275</v>
      </c>
      <c r="C19" s="82">
        <v>307</v>
      </c>
      <c r="D19" s="83">
        <v>0.572</v>
      </c>
      <c r="E19" s="1"/>
    </row>
    <row r="20" spans="1:5">
      <c r="A20" s="82" t="s">
        <v>533</v>
      </c>
      <c r="B20" s="82">
        <v>341</v>
      </c>
      <c r="C20" s="82">
        <v>373</v>
      </c>
      <c r="D20" s="83">
        <v>0.65</v>
      </c>
      <c r="E20" s="1"/>
    </row>
    <row r="21" spans="1:5">
      <c r="A21" s="82" t="s">
        <v>534</v>
      </c>
      <c r="B21" s="82">
        <v>408</v>
      </c>
      <c r="C21" s="82">
        <v>439</v>
      </c>
      <c r="D21" s="83">
        <v>0.727</v>
      </c>
      <c r="E21" s="1"/>
    </row>
    <row r="22" spans="1:5">
      <c r="A22" s="82" t="s">
        <v>535</v>
      </c>
      <c r="B22" s="82">
        <v>475</v>
      </c>
      <c r="C22" s="82">
        <v>506</v>
      </c>
      <c r="D22" s="83">
        <v>0.804</v>
      </c>
      <c r="E22" s="1"/>
    </row>
    <row r="23" spans="1:5">
      <c r="A23" s="82" t="s">
        <v>536</v>
      </c>
      <c r="B23" s="82">
        <v>542</v>
      </c>
      <c r="C23" s="82" t="s">
        <v>528</v>
      </c>
      <c r="D23" s="83">
        <v>0.882</v>
      </c>
      <c r="E23" s="1"/>
    </row>
    <row r="24" spans="1:5">
      <c r="A24" s="1"/>
      <c r="B24" s="1"/>
      <c r="C24" s="1"/>
      <c r="D24" s="1"/>
      <c r="E24" s="1"/>
    </row>
    <row r="25" spans="1:5">
      <c r="A25" s="1" t="s">
        <v>529</v>
      </c>
      <c r="B25" s="84" t="s">
        <v>538</v>
      </c>
      <c r="C25" s="1"/>
      <c r="D25" s="1"/>
      <c r="E25" s="1"/>
    </row>
    <row r="26" spans="1:5">
      <c r="A26" s="1" t="s">
        <v>417</v>
      </c>
      <c r="B26" s="1" t="s">
        <v>522</v>
      </c>
      <c r="C26" s="1"/>
      <c r="D26" s="1" t="s">
        <v>523</v>
      </c>
      <c r="E26" s="1"/>
    </row>
    <row r="27" spans="1:5">
      <c r="A27" s="1"/>
      <c r="B27" s="1" t="s">
        <v>524</v>
      </c>
      <c r="C27" s="1" t="s">
        <v>525</v>
      </c>
      <c r="D27" s="1"/>
      <c r="E27" s="1"/>
    </row>
    <row r="28" spans="1:4">
      <c r="A28" s="1" t="s">
        <v>527</v>
      </c>
      <c r="B28" s="1" t="s">
        <v>528</v>
      </c>
      <c r="C28" s="1">
        <v>41</v>
      </c>
      <c r="D28" s="1">
        <v>0.133</v>
      </c>
    </row>
    <row r="29" spans="1:4">
      <c r="A29" s="1" t="s">
        <v>530</v>
      </c>
      <c r="B29" s="1">
        <v>99</v>
      </c>
      <c r="C29" s="1">
        <v>125</v>
      </c>
      <c r="D29" s="1">
        <v>0.236</v>
      </c>
    </row>
    <row r="30" spans="1:4">
      <c r="A30" s="1" t="s">
        <v>531</v>
      </c>
      <c r="B30" s="1">
        <v>184</v>
      </c>
      <c r="C30" s="1">
        <v>210</v>
      </c>
      <c r="D30" s="1">
        <v>0.343</v>
      </c>
    </row>
    <row r="31" spans="1:4">
      <c r="A31" s="1" t="s">
        <v>532</v>
      </c>
      <c r="B31" s="1">
        <v>238</v>
      </c>
      <c r="C31" s="1">
        <v>264</v>
      </c>
      <c r="D31" s="1">
        <v>0.397</v>
      </c>
    </row>
    <row r="32" spans="1:4">
      <c r="A32" s="1" t="s">
        <v>533</v>
      </c>
      <c r="B32" s="1">
        <v>293</v>
      </c>
      <c r="C32" s="1">
        <v>319</v>
      </c>
      <c r="D32" s="1">
        <v>0.451</v>
      </c>
    </row>
    <row r="33" spans="1:4">
      <c r="A33" s="1" t="s">
        <v>534</v>
      </c>
      <c r="B33" s="1">
        <v>347</v>
      </c>
      <c r="C33" s="1">
        <v>373</v>
      </c>
      <c r="D33" s="1">
        <v>0.505</v>
      </c>
    </row>
    <row r="34" spans="1:4">
      <c r="A34" s="1" t="s">
        <v>535</v>
      </c>
      <c r="B34" s="1">
        <v>401</v>
      </c>
      <c r="C34" s="1">
        <v>427</v>
      </c>
      <c r="D34" s="1">
        <v>0.559</v>
      </c>
    </row>
    <row r="35" spans="1:4">
      <c r="A35" s="1" t="s">
        <v>536</v>
      </c>
      <c r="B35" s="1">
        <v>454</v>
      </c>
      <c r="C35" s="1" t="s">
        <v>528</v>
      </c>
      <c r="D35" s="1">
        <v>0.613</v>
      </c>
    </row>
    <row r="36" spans="1:4">
      <c r="A36" s="1"/>
      <c r="B36" s="1"/>
      <c r="C36" s="1"/>
      <c r="D36" s="1"/>
    </row>
    <row r="37" spans="1:2">
      <c r="A37" s="81" t="s">
        <v>539</v>
      </c>
      <c r="B37" s="7" t="s">
        <v>540</v>
      </c>
    </row>
    <row r="38" spans="1:4">
      <c r="A38" s="82" t="s">
        <v>417</v>
      </c>
      <c r="B38" s="82" t="s">
        <v>522</v>
      </c>
      <c r="C38" s="82"/>
      <c r="D38" s="82" t="s">
        <v>12</v>
      </c>
    </row>
    <row r="39" spans="1:9">
      <c r="A39" s="82"/>
      <c r="B39" s="82" t="s">
        <v>524</v>
      </c>
      <c r="C39" s="82" t="s">
        <v>525</v>
      </c>
      <c r="D39" s="82"/>
      <c r="H39" s="49">
        <v>0.3</v>
      </c>
      <c r="I39" s="7" t="s">
        <v>541</v>
      </c>
    </row>
    <row r="40" spans="1:4">
      <c r="A40" s="82" t="s">
        <v>527</v>
      </c>
      <c r="B40" s="82" t="s">
        <v>528</v>
      </c>
      <c r="C40" s="82">
        <v>44</v>
      </c>
      <c r="D40" s="83"/>
    </row>
    <row r="41" spans="1:4">
      <c r="A41" s="82" t="s">
        <v>530</v>
      </c>
      <c r="B41" s="82">
        <v>110</v>
      </c>
      <c r="C41" s="82">
        <v>141</v>
      </c>
      <c r="D41" s="83"/>
    </row>
    <row r="42" spans="1:4">
      <c r="A42" s="82" t="s">
        <v>531</v>
      </c>
      <c r="B42" s="82">
        <v>210</v>
      </c>
      <c r="C42" s="82">
        <v>241</v>
      </c>
      <c r="D42" s="83"/>
    </row>
    <row r="43" spans="1:4">
      <c r="A43" s="82" t="s">
        <v>532</v>
      </c>
      <c r="B43" s="82">
        <v>275</v>
      </c>
      <c r="C43" s="82">
        <v>307</v>
      </c>
      <c r="D43" s="83"/>
    </row>
    <row r="44" spans="1:4">
      <c r="A44" s="82" t="s">
        <v>533</v>
      </c>
      <c r="B44" s="82">
        <v>341</v>
      </c>
      <c r="C44" s="82">
        <v>373</v>
      </c>
      <c r="D44" s="83"/>
    </row>
    <row r="45" spans="1:4">
      <c r="A45" s="82" t="s">
        <v>534</v>
      </c>
      <c r="B45" s="82">
        <v>408</v>
      </c>
      <c r="C45" s="82">
        <v>439</v>
      </c>
      <c r="D45" s="83"/>
    </row>
    <row r="46" spans="1:4">
      <c r="A46" s="82" t="s">
        <v>535</v>
      </c>
      <c r="B46" s="82">
        <v>475</v>
      </c>
      <c r="C46" s="82">
        <v>506</v>
      </c>
      <c r="D46" s="83"/>
    </row>
    <row r="47" spans="1:4">
      <c r="A47" s="82" t="s">
        <v>536</v>
      </c>
      <c r="B47" s="82">
        <v>542</v>
      </c>
      <c r="C47" s="82" t="s">
        <v>528</v>
      </c>
      <c r="D47" s="85">
        <v>265</v>
      </c>
    </row>
    <row r="49" spans="1:2">
      <c r="A49" s="81" t="s">
        <v>542</v>
      </c>
      <c r="B49" s="7" t="s">
        <v>543</v>
      </c>
    </row>
    <row r="50" spans="1:4">
      <c r="A50" s="82" t="s">
        <v>417</v>
      </c>
      <c r="B50" s="82" t="s">
        <v>522</v>
      </c>
      <c r="C50" s="82"/>
      <c r="D50" s="82" t="s">
        <v>12</v>
      </c>
    </row>
    <row r="51" spans="1:4">
      <c r="A51" s="82"/>
      <c r="B51" s="82" t="s">
        <v>524</v>
      </c>
      <c r="C51" s="82" t="s">
        <v>525</v>
      </c>
      <c r="D51" s="82"/>
    </row>
    <row r="52" spans="1:9">
      <c r="A52" s="82" t="s">
        <v>527</v>
      </c>
      <c r="B52" s="82" t="s">
        <v>528</v>
      </c>
      <c r="C52" s="82">
        <v>44</v>
      </c>
      <c r="D52" s="86">
        <v>24</v>
      </c>
      <c r="H52" s="7">
        <f>32%</f>
        <v>0.32</v>
      </c>
      <c r="I52" s="7" t="s">
        <v>541</v>
      </c>
    </row>
    <row r="53" spans="1:4">
      <c r="A53" s="82" t="s">
        <v>530</v>
      </c>
      <c r="B53" s="82">
        <v>119</v>
      </c>
      <c r="C53" s="82">
        <v>144</v>
      </c>
      <c r="D53" s="86">
        <v>42</v>
      </c>
    </row>
    <row r="54" spans="1:4">
      <c r="A54" s="82" t="s">
        <v>531</v>
      </c>
      <c r="B54" s="82">
        <v>226</v>
      </c>
      <c r="C54" s="82">
        <v>252</v>
      </c>
      <c r="D54" s="86">
        <v>62</v>
      </c>
    </row>
    <row r="55" spans="1:4">
      <c r="A55" s="82" t="s">
        <v>532</v>
      </c>
      <c r="B55" s="82">
        <v>293</v>
      </c>
      <c r="C55" s="82">
        <v>319</v>
      </c>
      <c r="D55" s="86">
        <v>71</v>
      </c>
    </row>
    <row r="56" spans="1:4">
      <c r="A56" s="82" t="s">
        <v>533</v>
      </c>
      <c r="B56" s="82">
        <v>361</v>
      </c>
      <c r="C56" s="82">
        <v>387</v>
      </c>
      <c r="D56" s="86">
        <v>81</v>
      </c>
    </row>
    <row r="57" spans="1:4">
      <c r="A57" s="82" t="s">
        <v>534</v>
      </c>
      <c r="B57" s="82">
        <v>429</v>
      </c>
      <c r="C57" s="82">
        <v>455</v>
      </c>
      <c r="D57" s="86">
        <v>91</v>
      </c>
    </row>
    <row r="58" spans="1:4">
      <c r="A58" s="82" t="s">
        <v>535</v>
      </c>
      <c r="B58" s="82">
        <v>497</v>
      </c>
      <c r="C58" s="82">
        <v>523</v>
      </c>
      <c r="D58" s="86">
        <v>101</v>
      </c>
    </row>
    <row r="59" spans="1:4">
      <c r="A59" s="82" t="s">
        <v>536</v>
      </c>
      <c r="B59" s="82">
        <v>565</v>
      </c>
      <c r="C59" s="82" t="s">
        <v>528</v>
      </c>
      <c r="D59" s="85">
        <v>110</v>
      </c>
    </row>
  </sheetData>
  <pageMargins left="0.75" right="0.75" top="1" bottom="1" header="0.5" footer="0.5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M156"/>
  <sheetViews>
    <sheetView workbookViewId="0">
      <selection activeCell="E20" sqref="E20"/>
    </sheetView>
  </sheetViews>
  <sheetFormatPr defaultColWidth="9" defaultRowHeight="16.5"/>
  <cols>
    <col min="1" max="1" width="9" style="7"/>
    <col min="2" max="3" width="10.25" style="7"/>
    <col min="4" max="6" width="14.125" style="7"/>
    <col min="7" max="7" width="9" style="7"/>
    <col min="8" max="8" width="14.125" style="7"/>
    <col min="9" max="11" width="9" style="7"/>
    <col min="12" max="12" width="9.125" style="7"/>
    <col min="13" max="16384" width="9" style="7"/>
  </cols>
  <sheetData>
    <row r="1" spans="1:1">
      <c r="A1" s="79" t="s">
        <v>544</v>
      </c>
    </row>
    <row r="2" spans="1:1">
      <c r="A2" s="79" t="s">
        <v>545</v>
      </c>
    </row>
    <row r="3" ht="15" spans="1:1">
      <c r="A3" s="79" t="s">
        <v>546</v>
      </c>
    </row>
    <row r="5" spans="1:5">
      <c r="A5" s="36" t="s">
        <v>12</v>
      </c>
      <c r="B5" s="36" t="s">
        <v>547</v>
      </c>
      <c r="C5" s="36" t="s">
        <v>548</v>
      </c>
      <c r="D5" s="7" t="s">
        <v>549</v>
      </c>
      <c r="E5" s="7" t="s">
        <v>550</v>
      </c>
    </row>
    <row r="6" spans="1:6">
      <c r="A6" s="34">
        <v>10</v>
      </c>
      <c r="B6" s="80">
        <f>278*A6/(A6+1400)/100</f>
        <v>0.0197163120567376</v>
      </c>
      <c r="C6" s="80">
        <f>1272*A6/(A6+1400)/100</f>
        <v>0.0902127659574468</v>
      </c>
      <c r="D6" s="35">
        <f>VLOOKUP(150+A6,A:B,2,0)</f>
        <v>0.285128205128205</v>
      </c>
      <c r="E6" s="35">
        <f>D7-D6</f>
        <v>0.01589090315205</v>
      </c>
      <c r="F6" s="35">
        <f>D6-B6</f>
        <v>0.265411893071467</v>
      </c>
    </row>
    <row r="7" spans="1:6">
      <c r="A7" s="34">
        <f>A6+10</f>
        <v>20</v>
      </c>
      <c r="B7" s="80">
        <f>278*A7/(A7+1400)/100</f>
        <v>0.0391549295774648</v>
      </c>
      <c r="C7" s="80">
        <f t="shared" ref="C7:C38" si="0">1272*A7/(A7+1400)/100</f>
        <v>0.179154929577465</v>
      </c>
      <c r="D7" s="35">
        <f t="shared" ref="D7:D38" si="1">VLOOKUP(150+A7,A:B,2,0)</f>
        <v>0.301019108280255</v>
      </c>
      <c r="E7" s="35">
        <f t="shared" ref="E7:E38" si="2">D8-D7</f>
        <v>0.015689752479239</v>
      </c>
      <c r="F7" s="35">
        <f t="shared" ref="F7:F38" si="3">D7-B7</f>
        <v>0.26186417870279</v>
      </c>
    </row>
    <row r="8" spans="1:6">
      <c r="A8" s="34">
        <f t="shared" ref="A8:A39" si="4">A7+10</f>
        <v>30</v>
      </c>
      <c r="B8" s="80">
        <f t="shared" ref="B7:B38" si="5">278*A8/(A8+1400)/100</f>
        <v>0.0583216783216783</v>
      </c>
      <c r="C8" s="80">
        <f t="shared" si="0"/>
        <v>0.266853146853147</v>
      </c>
      <c r="D8" s="35">
        <f t="shared" si="1"/>
        <v>0.316708860759494</v>
      </c>
      <c r="E8" s="35">
        <f t="shared" si="2"/>
        <v>0.015492397102141</v>
      </c>
      <c r="F8" s="35">
        <f t="shared" si="3"/>
        <v>0.258387182437816</v>
      </c>
    </row>
    <row r="9" spans="1:6">
      <c r="A9" s="34">
        <f t="shared" si="4"/>
        <v>40</v>
      </c>
      <c r="B9" s="80">
        <f t="shared" si="5"/>
        <v>0.0772222222222222</v>
      </c>
      <c r="C9" s="80">
        <f t="shared" si="0"/>
        <v>0.353333333333333</v>
      </c>
      <c r="D9" s="35">
        <f t="shared" si="1"/>
        <v>0.332201257861635</v>
      </c>
      <c r="E9" s="35">
        <f t="shared" si="2"/>
        <v>0.015298742138365</v>
      </c>
      <c r="F9" s="35">
        <f t="shared" si="3"/>
        <v>0.254979035639413</v>
      </c>
    </row>
    <row r="10" spans="1:6">
      <c r="A10" s="34">
        <f t="shared" si="4"/>
        <v>50</v>
      </c>
      <c r="B10" s="80">
        <f t="shared" si="5"/>
        <v>0.0958620689655172</v>
      </c>
      <c r="C10" s="80">
        <f t="shared" si="0"/>
        <v>0.438620689655172</v>
      </c>
      <c r="D10" s="35">
        <f t="shared" si="1"/>
        <v>0.3475</v>
      </c>
      <c r="E10" s="35">
        <f t="shared" si="2"/>
        <v>0.015108695652174</v>
      </c>
      <c r="F10" s="35">
        <f t="shared" si="3"/>
        <v>0.251637931034483</v>
      </c>
    </row>
    <row r="11" spans="1:12">
      <c r="A11" s="34">
        <f t="shared" si="4"/>
        <v>60</v>
      </c>
      <c r="B11" s="80">
        <f t="shared" si="5"/>
        <v>0.114246575342466</v>
      </c>
      <c r="C11" s="80">
        <f t="shared" si="0"/>
        <v>0.522739726027397</v>
      </c>
      <c r="D11" s="35">
        <f t="shared" si="1"/>
        <v>0.362608695652174</v>
      </c>
      <c r="E11" s="35">
        <f t="shared" si="2"/>
        <v>0.014922168545357</v>
      </c>
      <c r="F11" s="35">
        <f t="shared" si="3"/>
        <v>0.248362120309708</v>
      </c>
      <c r="H11" s="7">
        <v>0</v>
      </c>
      <c r="I11" s="80">
        <f>278*H11/(H11+1400)/100</f>
        <v>0</v>
      </c>
      <c r="J11" s="80">
        <f>667*H11/(H11+1400)/100</f>
        <v>0</v>
      </c>
      <c r="K11" s="35">
        <f>667*171.22%*H11/(H11+1400)/100</f>
        <v>0</v>
      </c>
      <c r="L11" s="35"/>
    </row>
    <row r="12" spans="1:13">
      <c r="A12" s="34">
        <f t="shared" si="4"/>
        <v>70</v>
      </c>
      <c r="B12" s="80">
        <f t="shared" si="5"/>
        <v>0.132380952380952</v>
      </c>
      <c r="C12" s="80">
        <f t="shared" si="0"/>
        <v>0.605714285714286</v>
      </c>
      <c r="D12" s="35">
        <f t="shared" si="1"/>
        <v>0.377530864197531</v>
      </c>
      <c r="E12" s="35">
        <f t="shared" si="2"/>
        <v>0.014739074452776</v>
      </c>
      <c r="F12" s="35">
        <f t="shared" si="3"/>
        <v>0.245149911816579</v>
      </c>
      <c r="H12" s="7">
        <v>79</v>
      </c>
      <c r="I12" s="80">
        <f>278*H12/(H12+1400)/100</f>
        <v>0.148492224475997</v>
      </c>
      <c r="J12" s="80">
        <f>667*H12/(H12+1400)/100</f>
        <v>0.356274509803922</v>
      </c>
      <c r="K12" s="35">
        <f>667*171.22%*H12/(H12+1400)/100</f>
        <v>0.610013215686274</v>
      </c>
      <c r="L12" s="35"/>
      <c r="M12" s="35"/>
    </row>
    <row r="13" spans="1:11">
      <c r="A13" s="34">
        <f t="shared" si="4"/>
        <v>80</v>
      </c>
      <c r="B13" s="80">
        <f t="shared" si="5"/>
        <v>0.15027027027027</v>
      </c>
      <c r="C13" s="80">
        <f t="shared" si="0"/>
        <v>0.687567567567568</v>
      </c>
      <c r="D13" s="35">
        <f t="shared" si="1"/>
        <v>0.392269938650307</v>
      </c>
      <c r="E13" s="35">
        <f t="shared" si="2"/>
        <v>0.014559329642376</v>
      </c>
      <c r="F13" s="35">
        <f t="shared" si="3"/>
        <v>0.241999668380037</v>
      </c>
      <c r="H13" s="7">
        <v>130</v>
      </c>
      <c r="I13" s="80">
        <f>278*H13/(H13+1400)/100</f>
        <v>0.236209150326797</v>
      </c>
      <c r="J13" s="80">
        <f>667*H13/(H13+1400)/100</f>
        <v>0.566732026143791</v>
      </c>
      <c r="K13" s="35">
        <f>667*171.22%*H13/(H13+1400)/100</f>
        <v>0.970358575163399</v>
      </c>
    </row>
    <row r="14" spans="1:6">
      <c r="A14" s="34">
        <f t="shared" si="4"/>
        <v>90</v>
      </c>
      <c r="B14" s="80">
        <f t="shared" si="5"/>
        <v>0.167919463087248</v>
      </c>
      <c r="C14" s="80">
        <f t="shared" si="0"/>
        <v>0.768322147651007</v>
      </c>
      <c r="D14" s="35">
        <f t="shared" si="1"/>
        <v>0.406829268292683</v>
      </c>
      <c r="E14" s="35">
        <f t="shared" si="2"/>
        <v>0.014382852919438</v>
      </c>
      <c r="F14" s="35">
        <f t="shared" si="3"/>
        <v>0.238909805205435</v>
      </c>
    </row>
    <row r="15" spans="1:6">
      <c r="A15" s="34">
        <f t="shared" si="4"/>
        <v>100</v>
      </c>
      <c r="B15" s="80">
        <f t="shared" si="5"/>
        <v>0.185333333333333</v>
      </c>
      <c r="C15" s="80">
        <f t="shared" si="0"/>
        <v>0.848</v>
      </c>
      <c r="D15" s="35">
        <f t="shared" si="1"/>
        <v>0.421212121212121</v>
      </c>
      <c r="E15" s="35">
        <f t="shared" si="2"/>
        <v>0.014209565534867</v>
      </c>
      <c r="F15" s="35">
        <f t="shared" si="3"/>
        <v>0.235878787878788</v>
      </c>
    </row>
    <row r="16" spans="1:10">
      <c r="A16" s="34">
        <f t="shared" si="4"/>
        <v>110</v>
      </c>
      <c r="B16" s="80">
        <f t="shared" si="5"/>
        <v>0.202516556291391</v>
      </c>
      <c r="C16" s="80">
        <f t="shared" si="0"/>
        <v>0.926622516556291</v>
      </c>
      <c r="D16" s="35">
        <f t="shared" si="1"/>
        <v>0.435421686746988</v>
      </c>
      <c r="E16" s="35">
        <f t="shared" si="2"/>
        <v>0.014039391097323</v>
      </c>
      <c r="F16" s="35">
        <f t="shared" si="3"/>
        <v>0.232905130455597</v>
      </c>
      <c r="H16" s="7">
        <f>1200</f>
        <v>1200</v>
      </c>
      <c r="I16" s="7">
        <v>0</v>
      </c>
      <c r="J16" s="7">
        <f>H16*(1+I16)</f>
        <v>1200</v>
      </c>
    </row>
    <row r="17" spans="1:10">
      <c r="A17" s="34">
        <f t="shared" si="4"/>
        <v>120</v>
      </c>
      <c r="B17" s="80">
        <f t="shared" si="5"/>
        <v>0.219473684210526</v>
      </c>
      <c r="C17" s="80">
        <f t="shared" si="0"/>
        <v>1.00421052631579</v>
      </c>
      <c r="D17" s="35">
        <f t="shared" si="1"/>
        <v>0.449461077844311</v>
      </c>
      <c r="E17" s="35">
        <f t="shared" si="2"/>
        <v>0.013872255489022</v>
      </c>
      <c r="F17" s="35">
        <f t="shared" si="3"/>
        <v>0.229987393633785</v>
      </c>
      <c r="H17" s="7">
        <v>1000</v>
      </c>
      <c r="I17" s="49">
        <v>0.97</v>
      </c>
      <c r="J17" s="7">
        <f>H17*(1+I17)</f>
        <v>1970</v>
      </c>
    </row>
    <row r="18" spans="1:6">
      <c r="A18" s="34">
        <f t="shared" si="4"/>
        <v>130</v>
      </c>
      <c r="B18" s="80">
        <f t="shared" si="5"/>
        <v>0.236209150326797</v>
      </c>
      <c r="C18" s="80">
        <f t="shared" si="0"/>
        <v>1.08078431372549</v>
      </c>
      <c r="D18" s="35">
        <f t="shared" si="1"/>
        <v>0.463333333333333</v>
      </c>
      <c r="E18" s="35">
        <f t="shared" si="2"/>
        <v>0.01370808678501</v>
      </c>
      <c r="F18" s="35">
        <f t="shared" si="3"/>
        <v>0.227124183006536</v>
      </c>
    </row>
    <row r="19" spans="1:6">
      <c r="A19" s="34">
        <f t="shared" si="4"/>
        <v>140</v>
      </c>
      <c r="B19" s="80">
        <f t="shared" si="5"/>
        <v>0.252727272727273</v>
      </c>
      <c r="C19" s="80">
        <f t="shared" si="0"/>
        <v>1.15636363636364</v>
      </c>
      <c r="D19" s="35">
        <f t="shared" si="1"/>
        <v>0.477041420118343</v>
      </c>
      <c r="E19" s="35">
        <f t="shared" si="2"/>
        <v>0.013546815175775</v>
      </c>
      <c r="F19" s="35">
        <f t="shared" si="3"/>
        <v>0.22431414739107</v>
      </c>
    </row>
    <row r="20" spans="1:6">
      <c r="A20" s="34">
        <f t="shared" si="4"/>
        <v>150</v>
      </c>
      <c r="B20" s="80">
        <f t="shared" si="5"/>
        <v>0.269032258064516</v>
      </c>
      <c r="C20" s="80">
        <f t="shared" si="0"/>
        <v>1.23096774193548</v>
      </c>
      <c r="D20" s="35">
        <f t="shared" si="1"/>
        <v>0.490588235294118</v>
      </c>
      <c r="E20" s="35">
        <f t="shared" si="2"/>
        <v>0.013388372893017</v>
      </c>
      <c r="F20" s="35">
        <f t="shared" si="3"/>
        <v>0.221555977229602</v>
      </c>
    </row>
    <row r="21" spans="1:6">
      <c r="A21" s="34">
        <f t="shared" si="4"/>
        <v>160</v>
      </c>
      <c r="B21" s="80">
        <f t="shared" si="5"/>
        <v>0.285128205128205</v>
      </c>
      <c r="C21" s="80">
        <f t="shared" si="0"/>
        <v>1.30461538461538</v>
      </c>
      <c r="D21" s="35">
        <f t="shared" si="1"/>
        <v>0.503976608187135</v>
      </c>
      <c r="E21" s="35">
        <f t="shared" si="2"/>
        <v>0.0132326941384461</v>
      </c>
      <c r="F21" s="35">
        <f t="shared" si="3"/>
        <v>0.21884840305893</v>
      </c>
    </row>
    <row r="22" spans="1:6">
      <c r="A22" s="34">
        <f t="shared" si="4"/>
        <v>170</v>
      </c>
      <c r="B22" s="80">
        <f t="shared" si="5"/>
        <v>0.301019108280255</v>
      </c>
      <c r="C22" s="80">
        <f t="shared" si="0"/>
        <v>1.37732484076433</v>
      </c>
      <c r="D22" s="35">
        <f t="shared" si="1"/>
        <v>0.517209302325581</v>
      </c>
      <c r="E22" s="35">
        <f t="shared" si="2"/>
        <v>0.0130797150154599</v>
      </c>
      <c r="F22" s="35">
        <f t="shared" si="3"/>
        <v>0.216190194045326</v>
      </c>
    </row>
    <row r="23" spans="1:6">
      <c r="A23" s="34">
        <f t="shared" si="4"/>
        <v>180</v>
      </c>
      <c r="B23" s="80">
        <f t="shared" si="5"/>
        <v>0.316708860759494</v>
      </c>
      <c r="C23" s="80">
        <f t="shared" si="0"/>
        <v>1.44911392405063</v>
      </c>
      <c r="D23" s="35">
        <f t="shared" si="1"/>
        <v>0.530289017341041</v>
      </c>
      <c r="E23" s="35">
        <f t="shared" si="2"/>
        <v>0.012929373463557</v>
      </c>
      <c r="F23" s="35">
        <f t="shared" si="3"/>
        <v>0.213580156581547</v>
      </c>
    </row>
    <row r="24" spans="1:6">
      <c r="A24" s="34">
        <f t="shared" si="4"/>
        <v>190</v>
      </c>
      <c r="B24" s="80">
        <f t="shared" si="5"/>
        <v>0.332201257861635</v>
      </c>
      <c r="C24" s="80">
        <f t="shared" si="0"/>
        <v>1.52</v>
      </c>
      <c r="D24" s="35">
        <f t="shared" si="1"/>
        <v>0.543218390804598</v>
      </c>
      <c r="E24" s="35">
        <f t="shared" si="2"/>
        <v>0.0127816091954021</v>
      </c>
      <c r="F24" s="35">
        <f t="shared" si="3"/>
        <v>0.211017132942963</v>
      </c>
    </row>
    <row r="25" spans="1:6">
      <c r="A25" s="34">
        <f t="shared" si="4"/>
        <v>200</v>
      </c>
      <c r="B25" s="80">
        <f t="shared" si="5"/>
        <v>0.3475</v>
      </c>
      <c r="C25" s="80">
        <f t="shared" si="0"/>
        <v>1.59</v>
      </c>
      <c r="D25" s="35">
        <f t="shared" si="1"/>
        <v>0.556</v>
      </c>
      <c r="E25" s="35">
        <f t="shared" si="2"/>
        <v>0.012636363636364</v>
      </c>
      <c r="F25" s="35">
        <f t="shared" si="3"/>
        <v>0.2085</v>
      </c>
    </row>
    <row r="26" spans="1:6">
      <c r="A26" s="34">
        <f t="shared" si="4"/>
        <v>210</v>
      </c>
      <c r="B26" s="80">
        <f t="shared" si="5"/>
        <v>0.362608695652174</v>
      </c>
      <c r="C26" s="80">
        <f t="shared" si="0"/>
        <v>1.65913043478261</v>
      </c>
      <c r="D26" s="35">
        <f t="shared" si="1"/>
        <v>0.568636363636364</v>
      </c>
      <c r="E26" s="35">
        <f t="shared" si="2"/>
        <v>0.0124935798664609</v>
      </c>
      <c r="F26" s="35">
        <f t="shared" si="3"/>
        <v>0.20602766798419</v>
      </c>
    </row>
    <row r="27" spans="1:6">
      <c r="A27" s="34">
        <f t="shared" si="4"/>
        <v>220</v>
      </c>
      <c r="B27" s="80">
        <f t="shared" si="5"/>
        <v>0.377530864197531</v>
      </c>
      <c r="C27" s="80">
        <f t="shared" si="0"/>
        <v>1.72740740740741</v>
      </c>
      <c r="D27" s="35">
        <f t="shared" si="1"/>
        <v>0.581129943502825</v>
      </c>
      <c r="E27" s="35">
        <f t="shared" si="2"/>
        <v>0.012353202564591</v>
      </c>
      <c r="F27" s="35">
        <f t="shared" si="3"/>
        <v>0.203599079305294</v>
      </c>
    </row>
    <row r="28" spans="1:6">
      <c r="A28" s="34">
        <f t="shared" si="4"/>
        <v>230</v>
      </c>
      <c r="B28" s="80">
        <f t="shared" si="5"/>
        <v>0.392269938650307</v>
      </c>
      <c r="C28" s="80">
        <f t="shared" si="0"/>
        <v>1.79484662576687</v>
      </c>
      <c r="D28" s="35">
        <f t="shared" si="1"/>
        <v>0.593483146067416</v>
      </c>
      <c r="E28" s="35">
        <f t="shared" si="2"/>
        <v>0.01221517795493</v>
      </c>
      <c r="F28" s="35">
        <f t="shared" si="3"/>
        <v>0.201213207417109</v>
      </c>
    </row>
    <row r="29" spans="1:6">
      <c r="A29" s="34">
        <f t="shared" si="4"/>
        <v>240</v>
      </c>
      <c r="B29" s="80">
        <f t="shared" si="5"/>
        <v>0.406829268292683</v>
      </c>
      <c r="C29" s="80">
        <f t="shared" si="0"/>
        <v>1.86146341463415</v>
      </c>
      <c r="D29" s="35">
        <f t="shared" si="1"/>
        <v>0.605698324022346</v>
      </c>
      <c r="E29" s="35">
        <f t="shared" si="2"/>
        <v>0.012079453755432</v>
      </c>
      <c r="F29" s="35">
        <f t="shared" si="3"/>
        <v>0.198869055729663</v>
      </c>
    </row>
    <row r="30" spans="1:6">
      <c r="A30" s="34">
        <f t="shared" si="4"/>
        <v>250</v>
      </c>
      <c r="B30" s="80">
        <f t="shared" si="5"/>
        <v>0.421212121212121</v>
      </c>
      <c r="C30" s="80">
        <f t="shared" si="0"/>
        <v>1.92727272727273</v>
      </c>
      <c r="D30" s="35">
        <f t="shared" si="1"/>
        <v>0.617777777777778</v>
      </c>
      <c r="E30" s="35">
        <f t="shared" si="2"/>
        <v>0.011945979128299</v>
      </c>
      <c r="F30" s="35">
        <f t="shared" si="3"/>
        <v>0.196565656565657</v>
      </c>
    </row>
    <row r="31" spans="1:6">
      <c r="A31" s="34">
        <f t="shared" si="4"/>
        <v>260</v>
      </c>
      <c r="B31" s="80">
        <f t="shared" si="5"/>
        <v>0.435421686746988</v>
      </c>
      <c r="C31" s="80">
        <f t="shared" si="0"/>
        <v>1.99228915662651</v>
      </c>
      <c r="D31" s="35">
        <f t="shared" si="1"/>
        <v>0.629723756906077</v>
      </c>
      <c r="E31" s="35">
        <f t="shared" si="2"/>
        <v>0.011814704632385</v>
      </c>
      <c r="F31" s="35">
        <f t="shared" si="3"/>
        <v>0.194302070159089</v>
      </c>
    </row>
    <row r="32" spans="1:6">
      <c r="A32" s="34">
        <f t="shared" si="4"/>
        <v>270</v>
      </c>
      <c r="B32" s="80">
        <f t="shared" si="5"/>
        <v>0.449461077844311</v>
      </c>
      <c r="C32" s="80">
        <f t="shared" si="0"/>
        <v>2.05652694610778</v>
      </c>
      <c r="D32" s="35">
        <f t="shared" si="1"/>
        <v>0.641538461538462</v>
      </c>
      <c r="E32" s="35">
        <f t="shared" si="2"/>
        <v>0.011685582177385</v>
      </c>
      <c r="F32" s="35">
        <f t="shared" si="3"/>
        <v>0.192077383694151</v>
      </c>
    </row>
    <row r="33" spans="1:6">
      <c r="A33" s="34">
        <f t="shared" si="4"/>
        <v>280</v>
      </c>
      <c r="B33" s="80">
        <f t="shared" si="5"/>
        <v>0.463333333333333</v>
      </c>
      <c r="C33" s="80">
        <f t="shared" si="0"/>
        <v>2.12</v>
      </c>
      <c r="D33" s="35">
        <f t="shared" si="1"/>
        <v>0.653224043715847</v>
      </c>
      <c r="E33" s="35">
        <f t="shared" si="2"/>
        <v>0.011558564979805</v>
      </c>
      <c r="F33" s="35">
        <f t="shared" si="3"/>
        <v>0.189890710382514</v>
      </c>
    </row>
    <row r="34" spans="1:6">
      <c r="A34" s="34">
        <f t="shared" si="4"/>
        <v>290</v>
      </c>
      <c r="B34" s="80">
        <f t="shared" si="5"/>
        <v>0.477041420118343</v>
      </c>
      <c r="C34" s="80">
        <f t="shared" si="0"/>
        <v>2.18272189349112</v>
      </c>
      <c r="D34" s="35">
        <f t="shared" si="1"/>
        <v>0.664782608695652</v>
      </c>
      <c r="E34" s="35">
        <f t="shared" si="2"/>
        <v>0.011433607520564</v>
      </c>
      <c r="F34" s="35">
        <f t="shared" si="3"/>
        <v>0.187741188577309</v>
      </c>
    </row>
    <row r="35" spans="1:6">
      <c r="A35" s="34">
        <f t="shared" si="4"/>
        <v>300</v>
      </c>
      <c r="B35" s="80">
        <f t="shared" si="5"/>
        <v>0.490588235294118</v>
      </c>
      <c r="C35" s="80">
        <f t="shared" si="0"/>
        <v>2.24470588235294</v>
      </c>
      <c r="D35" s="35">
        <f t="shared" si="1"/>
        <v>0.676216216216216</v>
      </c>
      <c r="E35" s="35">
        <f t="shared" si="2"/>
        <v>0.011310665504214</v>
      </c>
      <c r="F35" s="35">
        <f t="shared" si="3"/>
        <v>0.185627980922098</v>
      </c>
    </row>
    <row r="36" spans="1:6">
      <c r="A36" s="34">
        <f t="shared" si="4"/>
        <v>310</v>
      </c>
      <c r="B36" s="80">
        <f t="shared" si="5"/>
        <v>0.503976608187135</v>
      </c>
      <c r="C36" s="80">
        <f t="shared" si="0"/>
        <v>2.3059649122807</v>
      </c>
      <c r="D36" s="35">
        <f t="shared" si="1"/>
        <v>0.68752688172043</v>
      </c>
      <c r="E36" s="35">
        <f t="shared" si="2"/>
        <v>0.011189695819677</v>
      </c>
      <c r="F36" s="35">
        <f t="shared" si="3"/>
        <v>0.183550273533295</v>
      </c>
    </row>
    <row r="37" spans="1:6">
      <c r="A37" s="34">
        <f t="shared" si="4"/>
        <v>320</v>
      </c>
      <c r="B37" s="80">
        <f t="shared" si="5"/>
        <v>0.517209302325581</v>
      </c>
      <c r="C37" s="80">
        <f t="shared" si="0"/>
        <v>2.36651162790698</v>
      </c>
      <c r="D37" s="35">
        <f t="shared" si="1"/>
        <v>0.698716577540107</v>
      </c>
      <c r="E37" s="35">
        <f t="shared" si="2"/>
        <v>0.011070656502446</v>
      </c>
      <c r="F37" s="35">
        <f t="shared" si="3"/>
        <v>0.181507275214526</v>
      </c>
    </row>
    <row r="38" spans="1:6">
      <c r="A38" s="34">
        <f t="shared" si="4"/>
        <v>330</v>
      </c>
      <c r="B38" s="80">
        <f t="shared" si="5"/>
        <v>0.530289017341041</v>
      </c>
      <c r="C38" s="80">
        <f t="shared" si="0"/>
        <v>2.42635838150289</v>
      </c>
      <c r="D38" s="35">
        <f t="shared" si="1"/>
        <v>0.709787234042553</v>
      </c>
      <c r="E38" s="35">
        <f t="shared" si="2"/>
        <v>0.0109535066981881</v>
      </c>
      <c r="F38" s="35">
        <f t="shared" si="3"/>
        <v>0.179498216701512</v>
      </c>
    </row>
    <row r="39" spans="1:6">
      <c r="A39" s="34">
        <f t="shared" si="4"/>
        <v>340</v>
      </c>
      <c r="B39" s="80">
        <f t="shared" ref="B39:B70" si="6">278*A39/(A39+1400)/100</f>
        <v>0.543218390804598</v>
      </c>
      <c r="C39" s="80">
        <f t="shared" ref="C39:C70" si="7">1272*A39/(A39+1400)/100</f>
        <v>2.48551724137931</v>
      </c>
      <c r="D39" s="35">
        <f t="shared" ref="D39:D70" si="8">VLOOKUP(150+A39,A:B,2,0)</f>
        <v>0.720740740740741</v>
      </c>
      <c r="E39" s="35">
        <f t="shared" ref="E39:E70" si="9">D40-D39</f>
        <v>0.01083820662768</v>
      </c>
      <c r="F39" s="35">
        <f t="shared" ref="F39:F70" si="10">D39-B39</f>
        <v>0.177522349936143</v>
      </c>
    </row>
    <row r="40" spans="1:6">
      <c r="A40" s="34">
        <f t="shared" ref="A40:A71" si="11">A39+10</f>
        <v>350</v>
      </c>
      <c r="B40" s="80">
        <f t="shared" si="6"/>
        <v>0.556</v>
      </c>
      <c r="C40" s="80">
        <f t="shared" si="7"/>
        <v>2.544</v>
      </c>
      <c r="D40" s="35">
        <f t="shared" si="8"/>
        <v>0.731578947368421</v>
      </c>
      <c r="E40" s="35">
        <f t="shared" si="9"/>
        <v>0.010724717553045</v>
      </c>
      <c r="F40" s="35">
        <f t="shared" si="10"/>
        <v>0.175578947368421</v>
      </c>
    </row>
    <row r="41" spans="1:6">
      <c r="A41" s="34">
        <f t="shared" si="11"/>
        <v>360</v>
      </c>
      <c r="B41" s="80">
        <f t="shared" si="6"/>
        <v>0.568636363636364</v>
      </c>
      <c r="C41" s="80">
        <f t="shared" si="7"/>
        <v>2.60181818181818</v>
      </c>
      <c r="D41" s="35">
        <f t="shared" si="8"/>
        <v>0.742303664921466</v>
      </c>
      <c r="E41" s="35">
        <f t="shared" si="9"/>
        <v>0.010613001745201</v>
      </c>
      <c r="F41" s="35">
        <f t="shared" si="10"/>
        <v>0.173667301285102</v>
      </c>
    </row>
    <row r="42" spans="1:6">
      <c r="A42" s="34">
        <f t="shared" si="11"/>
        <v>370</v>
      </c>
      <c r="B42" s="80">
        <f t="shared" si="6"/>
        <v>0.581129943502825</v>
      </c>
      <c r="C42" s="80">
        <f t="shared" si="7"/>
        <v>2.65898305084746</v>
      </c>
      <c r="D42" s="35">
        <f t="shared" si="8"/>
        <v>0.752916666666667</v>
      </c>
      <c r="E42" s="35">
        <f t="shared" si="9"/>
        <v>0.010503022452504</v>
      </c>
      <c r="F42" s="35">
        <f t="shared" si="10"/>
        <v>0.171786723163842</v>
      </c>
    </row>
    <row r="43" spans="1:6">
      <c r="A43" s="34">
        <f t="shared" si="11"/>
        <v>380</v>
      </c>
      <c r="B43" s="80">
        <f t="shared" si="6"/>
        <v>0.593483146067416</v>
      </c>
      <c r="C43" s="80">
        <f t="shared" si="7"/>
        <v>2.71550561797753</v>
      </c>
      <c r="D43" s="35">
        <f t="shared" si="8"/>
        <v>0.763419689119171</v>
      </c>
      <c r="E43" s="35">
        <f t="shared" si="9"/>
        <v>0.01039474387052</v>
      </c>
      <c r="F43" s="35">
        <f t="shared" si="10"/>
        <v>0.169936543051755</v>
      </c>
    </row>
    <row r="44" spans="1:6">
      <c r="A44" s="34">
        <f t="shared" si="11"/>
        <v>390</v>
      </c>
      <c r="B44" s="80">
        <f t="shared" si="6"/>
        <v>0.605698324022346</v>
      </c>
      <c r="C44" s="80">
        <f t="shared" si="7"/>
        <v>2.77139664804469</v>
      </c>
      <c r="D44" s="35">
        <f t="shared" si="8"/>
        <v>0.773814432989691</v>
      </c>
      <c r="E44" s="35">
        <f t="shared" si="9"/>
        <v>0.010288131112873</v>
      </c>
      <c r="F44" s="35">
        <f t="shared" si="10"/>
        <v>0.168116108967345</v>
      </c>
    </row>
    <row r="45" spans="1:6">
      <c r="A45" s="34">
        <f t="shared" si="11"/>
        <v>400</v>
      </c>
      <c r="B45" s="80">
        <f t="shared" si="6"/>
        <v>0.617777777777778</v>
      </c>
      <c r="C45" s="80">
        <f t="shared" si="7"/>
        <v>2.82666666666667</v>
      </c>
      <c r="D45" s="35">
        <f t="shared" si="8"/>
        <v>0.784102564102564</v>
      </c>
      <c r="E45" s="35">
        <f t="shared" si="9"/>
        <v>0.0101831501831501</v>
      </c>
      <c r="F45" s="35">
        <f t="shared" si="10"/>
        <v>0.166324786324786</v>
      </c>
    </row>
    <row r="46" spans="1:6">
      <c r="A46" s="34">
        <f t="shared" si="11"/>
        <v>410</v>
      </c>
      <c r="B46" s="80">
        <f t="shared" si="6"/>
        <v>0.629723756906077</v>
      </c>
      <c r="C46" s="80">
        <f t="shared" si="7"/>
        <v>2.88132596685083</v>
      </c>
      <c r="D46" s="35">
        <f t="shared" si="8"/>
        <v>0.794285714285714</v>
      </c>
      <c r="E46" s="35">
        <f t="shared" si="9"/>
        <v>0.010079767947789</v>
      </c>
      <c r="F46" s="35">
        <f t="shared" si="10"/>
        <v>0.164561957379637</v>
      </c>
    </row>
    <row r="47" spans="1:6">
      <c r="A47" s="34">
        <f t="shared" si="11"/>
        <v>420</v>
      </c>
      <c r="B47" s="80">
        <f t="shared" si="6"/>
        <v>0.641538461538462</v>
      </c>
      <c r="C47" s="80">
        <f t="shared" si="7"/>
        <v>2.93538461538462</v>
      </c>
      <c r="D47" s="35">
        <f t="shared" si="8"/>
        <v>0.804365482233503</v>
      </c>
      <c r="E47" s="35">
        <f t="shared" si="9"/>
        <v>0.00997795210993102</v>
      </c>
      <c r="F47" s="35">
        <f t="shared" si="10"/>
        <v>0.162827020695041</v>
      </c>
    </row>
    <row r="48" spans="1:6">
      <c r="A48" s="34">
        <f t="shared" si="11"/>
        <v>430</v>
      </c>
      <c r="B48" s="80">
        <f t="shared" si="6"/>
        <v>0.653224043715847</v>
      </c>
      <c r="C48" s="80">
        <f t="shared" si="7"/>
        <v>2.98885245901639</v>
      </c>
      <c r="D48" s="35">
        <f t="shared" si="8"/>
        <v>0.814343434343434</v>
      </c>
      <c r="E48" s="35">
        <f t="shared" si="9"/>
        <v>0.00987767118420402</v>
      </c>
      <c r="F48" s="35">
        <f t="shared" si="10"/>
        <v>0.161119390627587</v>
      </c>
    </row>
    <row r="49" spans="1:6">
      <c r="A49" s="34">
        <f t="shared" si="11"/>
        <v>440</v>
      </c>
      <c r="B49" s="80">
        <f t="shared" si="6"/>
        <v>0.664782608695652</v>
      </c>
      <c r="C49" s="80">
        <f t="shared" si="7"/>
        <v>3.04173913043478</v>
      </c>
      <c r="D49" s="35">
        <f t="shared" si="8"/>
        <v>0.824221105527638</v>
      </c>
      <c r="E49" s="35">
        <f t="shared" si="9"/>
        <v>0.00977889447236191</v>
      </c>
      <c r="F49" s="35">
        <f t="shared" si="10"/>
        <v>0.159438496831986</v>
      </c>
    </row>
    <row r="50" spans="1:6">
      <c r="A50" s="34">
        <f t="shared" si="11"/>
        <v>450</v>
      </c>
      <c r="B50" s="80">
        <f t="shared" si="6"/>
        <v>0.676216216216216</v>
      </c>
      <c r="C50" s="80">
        <f t="shared" si="7"/>
        <v>3.09405405405405</v>
      </c>
      <c r="D50" s="35">
        <f t="shared" si="8"/>
        <v>0.834</v>
      </c>
      <c r="E50" s="35">
        <f t="shared" si="9"/>
        <v>0.00968159203980101</v>
      </c>
      <c r="F50" s="35">
        <f t="shared" si="10"/>
        <v>0.157783783783784</v>
      </c>
    </row>
    <row r="51" spans="1:6">
      <c r="A51" s="34">
        <f t="shared" si="11"/>
        <v>460</v>
      </c>
      <c r="B51" s="80">
        <f t="shared" si="6"/>
        <v>0.68752688172043</v>
      </c>
      <c r="C51" s="80">
        <f t="shared" si="7"/>
        <v>3.1458064516129</v>
      </c>
      <c r="D51" s="35">
        <f t="shared" si="8"/>
        <v>0.843681592039801</v>
      </c>
      <c r="E51" s="35">
        <f t="shared" si="9"/>
        <v>0.00958573469287205</v>
      </c>
      <c r="F51" s="35">
        <f t="shared" si="10"/>
        <v>0.156154710319371</v>
      </c>
    </row>
    <row r="52" spans="1:6">
      <c r="A52" s="34">
        <f t="shared" si="11"/>
        <v>470</v>
      </c>
      <c r="B52" s="80">
        <f t="shared" si="6"/>
        <v>0.698716577540107</v>
      </c>
      <c r="C52" s="80">
        <f t="shared" si="7"/>
        <v>3.19700534759358</v>
      </c>
      <c r="D52" s="35">
        <f t="shared" si="8"/>
        <v>0.853267326732673</v>
      </c>
      <c r="E52" s="35">
        <f t="shared" si="9"/>
        <v>0.00949129395698201</v>
      </c>
      <c r="F52" s="35">
        <f t="shared" si="10"/>
        <v>0.154550749192566</v>
      </c>
    </row>
    <row r="53" spans="1:6">
      <c r="A53" s="34">
        <f t="shared" si="11"/>
        <v>480</v>
      </c>
      <c r="B53" s="80">
        <f t="shared" si="6"/>
        <v>0.709787234042553</v>
      </c>
      <c r="C53" s="80">
        <f t="shared" si="7"/>
        <v>3.24765957446808</v>
      </c>
      <c r="D53" s="35">
        <f t="shared" si="8"/>
        <v>0.862758620689655</v>
      </c>
      <c r="E53" s="35">
        <f t="shared" si="9"/>
        <v>0.00939824205544293</v>
      </c>
      <c r="F53" s="35">
        <f t="shared" si="10"/>
        <v>0.152971386647102</v>
      </c>
    </row>
    <row r="54" spans="1:6">
      <c r="A54" s="34">
        <f t="shared" si="11"/>
        <v>490</v>
      </c>
      <c r="B54" s="80">
        <f t="shared" si="6"/>
        <v>0.720740740740741</v>
      </c>
      <c r="C54" s="80">
        <f t="shared" si="7"/>
        <v>3.29777777777778</v>
      </c>
      <c r="D54" s="35">
        <f t="shared" si="8"/>
        <v>0.872156862745098</v>
      </c>
      <c r="E54" s="35">
        <f t="shared" si="9"/>
        <v>0.00930655188904805</v>
      </c>
      <c r="F54" s="35">
        <f t="shared" si="10"/>
        <v>0.151416122004357</v>
      </c>
    </row>
    <row r="55" spans="1:6">
      <c r="A55" s="34">
        <f t="shared" si="11"/>
        <v>500</v>
      </c>
      <c r="B55" s="80">
        <f t="shared" si="6"/>
        <v>0.731578947368421</v>
      </c>
      <c r="C55" s="80">
        <f t="shared" si="7"/>
        <v>3.34736842105263</v>
      </c>
      <c r="D55" s="35">
        <f t="shared" si="8"/>
        <v>0.881463414634146</v>
      </c>
      <c r="E55" s="35">
        <f t="shared" si="9"/>
        <v>0.00921619701633902</v>
      </c>
      <c r="F55" s="35">
        <f t="shared" si="10"/>
        <v>0.149884467265725</v>
      </c>
    </row>
    <row r="56" spans="1:6">
      <c r="A56" s="34">
        <f t="shared" si="11"/>
        <v>510</v>
      </c>
      <c r="B56" s="80">
        <f t="shared" si="6"/>
        <v>0.742303664921466</v>
      </c>
      <c r="C56" s="80">
        <f t="shared" si="7"/>
        <v>3.39643979057592</v>
      </c>
      <c r="D56" s="35">
        <f t="shared" si="8"/>
        <v>0.890679611650485</v>
      </c>
      <c r="E56" s="35">
        <f t="shared" si="9"/>
        <v>0.00912715163453892</v>
      </c>
      <c r="F56" s="35">
        <f t="shared" si="10"/>
        <v>0.148375946729019</v>
      </c>
    </row>
    <row r="57" spans="1:6">
      <c r="A57" s="34">
        <f t="shared" si="11"/>
        <v>520</v>
      </c>
      <c r="B57" s="80">
        <f t="shared" si="6"/>
        <v>0.752916666666667</v>
      </c>
      <c r="C57" s="80">
        <f t="shared" si="7"/>
        <v>3.445</v>
      </c>
      <c r="D57" s="35">
        <f t="shared" si="8"/>
        <v>0.899806763285024</v>
      </c>
      <c r="E57" s="35">
        <f t="shared" si="9"/>
        <v>0.00903939056113001</v>
      </c>
      <c r="F57" s="35">
        <f t="shared" si="10"/>
        <v>0.146890096618357</v>
      </c>
    </row>
    <row r="58" spans="1:6">
      <c r="A58" s="34">
        <f t="shared" si="11"/>
        <v>530</v>
      </c>
      <c r="B58" s="80">
        <f t="shared" si="6"/>
        <v>0.763419689119171</v>
      </c>
      <c r="C58" s="80">
        <f t="shared" si="7"/>
        <v>3.49305699481865</v>
      </c>
      <c r="D58" s="35">
        <f t="shared" si="8"/>
        <v>0.908846153846154</v>
      </c>
      <c r="E58" s="35">
        <f t="shared" si="9"/>
        <v>0.00895288921604698</v>
      </c>
      <c r="F58" s="35">
        <f t="shared" si="10"/>
        <v>0.145426464726983</v>
      </c>
    </row>
    <row r="59" spans="1:6">
      <c r="A59" s="34">
        <f t="shared" si="11"/>
        <v>540</v>
      </c>
      <c r="B59" s="80">
        <f t="shared" si="6"/>
        <v>0.773814432989691</v>
      </c>
      <c r="C59" s="80">
        <f t="shared" si="7"/>
        <v>3.54061855670103</v>
      </c>
      <c r="D59" s="35">
        <f t="shared" si="8"/>
        <v>0.917799043062201</v>
      </c>
      <c r="E59" s="35">
        <f t="shared" si="9"/>
        <v>0.00886762360446602</v>
      </c>
      <c r="F59" s="35">
        <f t="shared" si="10"/>
        <v>0.14398461007251</v>
      </c>
    </row>
    <row r="60" spans="1:6">
      <c r="A60" s="34">
        <f t="shared" si="11"/>
        <v>550</v>
      </c>
      <c r="B60" s="80">
        <f t="shared" si="6"/>
        <v>0.784102564102564</v>
      </c>
      <c r="C60" s="80">
        <f t="shared" si="7"/>
        <v>3.58769230769231</v>
      </c>
      <c r="D60" s="35">
        <f t="shared" si="8"/>
        <v>0.926666666666667</v>
      </c>
      <c r="E60" s="35">
        <f t="shared" si="9"/>
        <v>0.00878357030015808</v>
      </c>
      <c r="F60" s="35">
        <f t="shared" si="10"/>
        <v>0.142564102564103</v>
      </c>
    </row>
    <row r="61" spans="1:6">
      <c r="A61" s="34">
        <f t="shared" si="11"/>
        <v>560</v>
      </c>
      <c r="B61" s="80">
        <f t="shared" si="6"/>
        <v>0.794285714285714</v>
      </c>
      <c r="C61" s="80">
        <f t="shared" si="7"/>
        <v>3.63428571428571</v>
      </c>
      <c r="D61" s="35">
        <f t="shared" si="8"/>
        <v>0.935450236966825</v>
      </c>
      <c r="E61" s="35">
        <f t="shared" si="9"/>
        <v>0.00870070642940091</v>
      </c>
      <c r="F61" s="35">
        <f t="shared" si="10"/>
        <v>0.141164522681111</v>
      </c>
    </row>
    <row r="62" spans="1:6">
      <c r="A62" s="34">
        <f t="shared" si="11"/>
        <v>570</v>
      </c>
      <c r="B62" s="80">
        <f t="shared" si="6"/>
        <v>0.804365482233503</v>
      </c>
      <c r="C62" s="80">
        <f t="shared" si="7"/>
        <v>3.68040609137056</v>
      </c>
      <c r="D62" s="35">
        <f t="shared" si="8"/>
        <v>0.944150943396226</v>
      </c>
      <c r="E62" s="35">
        <f t="shared" si="9"/>
        <v>0.00861900965541706</v>
      </c>
      <c r="F62" s="35">
        <f t="shared" si="10"/>
        <v>0.139785461162723</v>
      </c>
    </row>
    <row r="63" spans="1:6">
      <c r="A63" s="34">
        <f t="shared" si="11"/>
        <v>580</v>
      </c>
      <c r="B63" s="80">
        <f t="shared" si="6"/>
        <v>0.814343434343434</v>
      </c>
      <c r="C63" s="80">
        <f t="shared" si="7"/>
        <v>3.72606060606061</v>
      </c>
      <c r="D63" s="35">
        <f t="shared" si="8"/>
        <v>0.952769953051643</v>
      </c>
      <c r="E63" s="35">
        <f t="shared" si="9"/>
        <v>0.00853845816331</v>
      </c>
      <c r="F63" s="35">
        <f t="shared" si="10"/>
        <v>0.138426518708209</v>
      </c>
    </row>
    <row r="64" spans="1:6">
      <c r="A64" s="34">
        <f t="shared" si="11"/>
        <v>590</v>
      </c>
      <c r="B64" s="80">
        <f t="shared" si="6"/>
        <v>0.824221105527638</v>
      </c>
      <c r="C64" s="80">
        <f t="shared" si="7"/>
        <v>3.77125628140703</v>
      </c>
      <c r="D64" s="35">
        <f t="shared" si="8"/>
        <v>0.961308411214953</v>
      </c>
      <c r="E64" s="35">
        <f t="shared" si="9"/>
        <v>0.00845903064551201</v>
      </c>
      <c r="F64" s="35">
        <f t="shared" si="10"/>
        <v>0.137087305687315</v>
      </c>
    </row>
    <row r="65" spans="1:6">
      <c r="A65" s="34">
        <f t="shared" si="11"/>
        <v>600</v>
      </c>
      <c r="B65" s="80">
        <f t="shared" si="6"/>
        <v>0.834</v>
      </c>
      <c r="C65" s="80">
        <f t="shared" si="7"/>
        <v>3.816</v>
      </c>
      <c r="D65" s="35">
        <f t="shared" si="8"/>
        <v>0.969767441860465</v>
      </c>
      <c r="E65" s="35">
        <f t="shared" si="9"/>
        <v>0.00838070628768295</v>
      </c>
      <c r="F65" s="35">
        <f t="shared" si="10"/>
        <v>0.135767441860465</v>
      </c>
    </row>
    <row r="66" spans="1:6">
      <c r="A66" s="34">
        <f t="shared" si="11"/>
        <v>610</v>
      </c>
      <c r="B66" s="80">
        <f t="shared" si="6"/>
        <v>0.843681592039801</v>
      </c>
      <c r="C66" s="80">
        <f t="shared" si="7"/>
        <v>3.86029850746269</v>
      </c>
      <c r="D66" s="35">
        <f t="shared" si="8"/>
        <v>0.978148148148148</v>
      </c>
      <c r="E66" s="35">
        <f t="shared" si="9"/>
        <v>0.00830346475507804</v>
      </c>
      <c r="F66" s="35">
        <f t="shared" si="10"/>
        <v>0.134466556108347</v>
      </c>
    </row>
    <row r="67" spans="1:6">
      <c r="A67" s="34">
        <f t="shared" si="11"/>
        <v>620</v>
      </c>
      <c r="B67" s="80">
        <f t="shared" si="6"/>
        <v>0.853267326732673</v>
      </c>
      <c r="C67" s="80">
        <f t="shared" si="7"/>
        <v>3.90415841584158</v>
      </c>
      <c r="D67" s="35">
        <f t="shared" si="8"/>
        <v>0.986451612903226</v>
      </c>
      <c r="E67" s="35">
        <f t="shared" si="9"/>
        <v>0.00822728617934299</v>
      </c>
      <c r="F67" s="35">
        <f t="shared" si="10"/>
        <v>0.133184286170553</v>
      </c>
    </row>
    <row r="68" spans="1:6">
      <c r="A68" s="34">
        <f t="shared" si="11"/>
        <v>630</v>
      </c>
      <c r="B68" s="80">
        <f t="shared" si="6"/>
        <v>0.862758620689655</v>
      </c>
      <c r="C68" s="80">
        <f t="shared" si="7"/>
        <v>3.94758620689655</v>
      </c>
      <c r="D68" s="35">
        <f t="shared" si="8"/>
        <v>0.994678899082569</v>
      </c>
      <c r="E68" s="35">
        <f t="shared" si="9"/>
        <v>0.00815215114574097</v>
      </c>
      <c r="F68" s="35">
        <f t="shared" si="10"/>
        <v>0.131920278392914</v>
      </c>
    </row>
    <row r="69" spans="1:6">
      <c r="A69" s="34">
        <f t="shared" si="11"/>
        <v>640</v>
      </c>
      <c r="B69" s="80">
        <f t="shared" si="6"/>
        <v>0.872156862745098</v>
      </c>
      <c r="C69" s="80">
        <f t="shared" si="7"/>
        <v>3.99058823529412</v>
      </c>
      <c r="D69" s="35">
        <f t="shared" si="8"/>
        <v>1.00283105022831</v>
      </c>
      <c r="E69" s="35">
        <f t="shared" si="9"/>
        <v>0.00807804068078011</v>
      </c>
      <c r="F69" s="35">
        <f t="shared" si="10"/>
        <v>0.130674187483212</v>
      </c>
    </row>
    <row r="70" spans="1:6">
      <c r="A70" s="34">
        <f t="shared" si="11"/>
        <v>650</v>
      </c>
      <c r="B70" s="80">
        <f t="shared" si="6"/>
        <v>0.881463414634146</v>
      </c>
      <c r="C70" s="80">
        <f t="shared" si="7"/>
        <v>4.03317073170732</v>
      </c>
      <c r="D70" s="35">
        <f t="shared" si="8"/>
        <v>1.01090909090909</v>
      </c>
      <c r="E70" s="35">
        <f t="shared" si="9"/>
        <v>0.00800493624022991</v>
      </c>
      <c r="F70" s="35">
        <f t="shared" si="10"/>
        <v>0.129445676274944</v>
      </c>
    </row>
    <row r="71" spans="1:6">
      <c r="A71" s="34">
        <f t="shared" si="11"/>
        <v>660</v>
      </c>
      <c r="B71" s="80">
        <f t="shared" ref="B71:B105" si="12">278*A71/(A71+1400)/100</f>
        <v>0.890679611650485</v>
      </c>
      <c r="C71" s="80">
        <f t="shared" ref="C71:C102" si="13">1272*A71/(A71+1400)/100</f>
        <v>4.07533980582524</v>
      </c>
      <c r="D71" s="35">
        <f t="shared" ref="D71:D102" si="14">VLOOKUP(150+A71,A:B,2,0)</f>
        <v>1.01891402714932</v>
      </c>
      <c r="E71" s="35">
        <f t="shared" ref="E71:E105" si="15">D72-D71</f>
        <v>0.0079328196975299</v>
      </c>
      <c r="F71" s="35">
        <f t="shared" ref="F71:F102" si="16">D71-B71</f>
        <v>0.128234415498835</v>
      </c>
    </row>
    <row r="72" spans="1:6">
      <c r="A72" s="34">
        <f t="shared" ref="A72:A105" si="17">A71+10</f>
        <v>670</v>
      </c>
      <c r="B72" s="80">
        <f t="shared" si="12"/>
        <v>0.899806763285024</v>
      </c>
      <c r="C72" s="80">
        <f t="shared" si="13"/>
        <v>4.11710144927536</v>
      </c>
      <c r="D72" s="35">
        <f t="shared" si="14"/>
        <v>1.02684684684685</v>
      </c>
      <c r="E72" s="35">
        <f t="shared" si="15"/>
        <v>0.00786167333252008</v>
      </c>
      <c r="F72" s="35">
        <f t="shared" si="16"/>
        <v>0.127040083561826</v>
      </c>
    </row>
    <row r="73" spans="1:6">
      <c r="A73" s="34">
        <f t="shared" si="17"/>
        <v>680</v>
      </c>
      <c r="B73" s="80">
        <f t="shared" si="12"/>
        <v>0.908846153846154</v>
      </c>
      <c r="C73" s="80">
        <f t="shared" si="13"/>
        <v>4.15846153846154</v>
      </c>
      <c r="D73" s="35">
        <f t="shared" si="14"/>
        <v>1.03470852017937</v>
      </c>
      <c r="E73" s="35">
        <f t="shared" si="15"/>
        <v>0.00779147982063</v>
      </c>
      <c r="F73" s="35">
        <f t="shared" si="16"/>
        <v>0.125862366333216</v>
      </c>
    </row>
    <row r="74" spans="1:6">
      <c r="A74" s="34">
        <f t="shared" si="17"/>
        <v>690</v>
      </c>
      <c r="B74" s="80">
        <f t="shared" si="12"/>
        <v>0.917799043062201</v>
      </c>
      <c r="C74" s="80">
        <f t="shared" si="13"/>
        <v>4.19942583732057</v>
      </c>
      <c r="D74" s="35">
        <f t="shared" si="14"/>
        <v>1.0425</v>
      </c>
      <c r="E74" s="35">
        <f t="shared" si="15"/>
        <v>0.00772222222221997</v>
      </c>
      <c r="F74" s="35">
        <f t="shared" si="16"/>
        <v>0.124700956937799</v>
      </c>
    </row>
    <row r="75" spans="1:6">
      <c r="A75" s="34">
        <f t="shared" si="17"/>
        <v>700</v>
      </c>
      <c r="B75" s="80">
        <f t="shared" si="12"/>
        <v>0.926666666666667</v>
      </c>
      <c r="C75" s="80">
        <f t="shared" si="13"/>
        <v>4.24</v>
      </c>
      <c r="D75" s="35">
        <f t="shared" si="14"/>
        <v>1.05022222222222</v>
      </c>
      <c r="E75" s="35">
        <f t="shared" si="15"/>
        <v>0.00765388397247002</v>
      </c>
      <c r="F75" s="35">
        <f t="shared" si="16"/>
        <v>0.123555555555553</v>
      </c>
    </row>
    <row r="76" spans="1:6">
      <c r="A76" s="34">
        <f t="shared" si="17"/>
        <v>710</v>
      </c>
      <c r="B76" s="80">
        <f t="shared" si="12"/>
        <v>0.935450236966825</v>
      </c>
      <c r="C76" s="80">
        <f t="shared" si="13"/>
        <v>4.28018957345972</v>
      </c>
      <c r="D76" s="35">
        <f t="shared" si="14"/>
        <v>1.05787610619469</v>
      </c>
      <c r="E76" s="35">
        <f t="shared" si="15"/>
        <v>0.00758644887138993</v>
      </c>
      <c r="F76" s="35">
        <f t="shared" si="16"/>
        <v>0.122425869227865</v>
      </c>
    </row>
    <row r="77" spans="1:6">
      <c r="A77" s="34">
        <f t="shared" si="17"/>
        <v>720</v>
      </c>
      <c r="B77" s="80">
        <f t="shared" si="12"/>
        <v>0.944150943396226</v>
      </c>
      <c r="C77" s="80">
        <f t="shared" si="13"/>
        <v>4.32</v>
      </c>
      <c r="D77" s="35">
        <f t="shared" si="14"/>
        <v>1.06546255506608</v>
      </c>
      <c r="E77" s="35">
        <f t="shared" si="15"/>
        <v>0.00751990107427014</v>
      </c>
      <c r="F77" s="35">
        <f t="shared" si="16"/>
        <v>0.121311611669854</v>
      </c>
    </row>
    <row r="78" spans="1:6">
      <c r="A78" s="34">
        <f t="shared" si="17"/>
        <v>730</v>
      </c>
      <c r="B78" s="80">
        <f t="shared" si="12"/>
        <v>0.952769953051643</v>
      </c>
      <c r="C78" s="80">
        <f t="shared" si="13"/>
        <v>4.35943661971831</v>
      </c>
      <c r="D78" s="35">
        <f t="shared" si="14"/>
        <v>1.07298245614035</v>
      </c>
      <c r="E78" s="35">
        <f t="shared" si="15"/>
        <v>0.00745422508235993</v>
      </c>
      <c r="F78" s="35">
        <f t="shared" si="16"/>
        <v>0.120212503088707</v>
      </c>
    </row>
    <row r="79" spans="1:6">
      <c r="A79" s="34">
        <f t="shared" si="17"/>
        <v>740</v>
      </c>
      <c r="B79" s="80">
        <f t="shared" si="12"/>
        <v>0.961308411214953</v>
      </c>
      <c r="C79" s="80">
        <f t="shared" si="13"/>
        <v>4.3985046728972</v>
      </c>
      <c r="D79" s="35">
        <f t="shared" si="14"/>
        <v>1.08043668122271</v>
      </c>
      <c r="E79" s="35">
        <f t="shared" si="15"/>
        <v>0.00738940573380997</v>
      </c>
      <c r="F79" s="35">
        <f t="shared" si="16"/>
        <v>0.119128270007757</v>
      </c>
    </row>
    <row r="80" spans="1:6">
      <c r="A80" s="34">
        <f t="shared" si="17"/>
        <v>750</v>
      </c>
      <c r="B80" s="80">
        <f t="shared" si="12"/>
        <v>0.969767441860465</v>
      </c>
      <c r="C80" s="80">
        <f t="shared" si="13"/>
        <v>4.43720930232558</v>
      </c>
      <c r="D80" s="35">
        <f t="shared" si="14"/>
        <v>1.08782608695652</v>
      </c>
      <c r="E80" s="35">
        <f t="shared" si="15"/>
        <v>0.00732542819500015</v>
      </c>
      <c r="F80" s="35">
        <f t="shared" si="16"/>
        <v>0.118058645096055</v>
      </c>
    </row>
    <row r="81" spans="1:6">
      <c r="A81" s="34">
        <f t="shared" si="17"/>
        <v>760</v>
      </c>
      <c r="B81" s="80">
        <f t="shared" si="12"/>
        <v>0.978148148148148</v>
      </c>
      <c r="C81" s="80">
        <f t="shared" si="13"/>
        <v>4.47555555555556</v>
      </c>
      <c r="D81" s="35">
        <f t="shared" si="14"/>
        <v>1.09515151515152</v>
      </c>
      <c r="E81" s="35">
        <f t="shared" si="15"/>
        <v>0.0072622779519298</v>
      </c>
      <c r="F81" s="35">
        <f t="shared" si="16"/>
        <v>0.117003367003372</v>
      </c>
    </row>
    <row r="82" spans="1:6">
      <c r="A82" s="34">
        <f t="shared" si="17"/>
        <v>770</v>
      </c>
      <c r="B82" s="80">
        <f t="shared" si="12"/>
        <v>0.986451612903226</v>
      </c>
      <c r="C82" s="80">
        <f t="shared" si="13"/>
        <v>4.51354838709677</v>
      </c>
      <c r="D82" s="35">
        <f t="shared" si="14"/>
        <v>1.10241379310345</v>
      </c>
      <c r="E82" s="35">
        <f t="shared" si="15"/>
        <v>0.00719994080213016</v>
      </c>
      <c r="F82" s="35">
        <f t="shared" si="16"/>
        <v>0.115962180200224</v>
      </c>
    </row>
    <row r="83" spans="1:6">
      <c r="A83" s="34">
        <f t="shared" si="17"/>
        <v>780</v>
      </c>
      <c r="B83" s="80">
        <f t="shared" si="12"/>
        <v>0.994678899082569</v>
      </c>
      <c r="C83" s="80">
        <f t="shared" si="13"/>
        <v>4.55119266055046</v>
      </c>
      <c r="D83" s="35">
        <f t="shared" si="14"/>
        <v>1.10961373390558</v>
      </c>
      <c r="E83" s="35">
        <f t="shared" si="15"/>
        <v>0.00713840284655998</v>
      </c>
      <c r="F83" s="35">
        <f t="shared" si="16"/>
        <v>0.114934834823011</v>
      </c>
    </row>
    <row r="84" spans="1:6">
      <c r="A84" s="34">
        <f t="shared" si="17"/>
        <v>790</v>
      </c>
      <c r="B84" s="80">
        <f t="shared" si="12"/>
        <v>1.00283105022831</v>
      </c>
      <c r="C84" s="80">
        <f t="shared" si="13"/>
        <v>4.58849315068493</v>
      </c>
      <c r="D84" s="35">
        <f t="shared" si="14"/>
        <v>1.11675213675214</v>
      </c>
      <c r="E84" s="35">
        <f t="shared" si="15"/>
        <v>0.0070776504818999</v>
      </c>
      <c r="F84" s="35">
        <f t="shared" si="16"/>
        <v>0.11392108652383</v>
      </c>
    </row>
    <row r="85" spans="1:6">
      <c r="A85" s="34">
        <f t="shared" si="17"/>
        <v>800</v>
      </c>
      <c r="B85" s="80">
        <f t="shared" si="12"/>
        <v>1.01090909090909</v>
      </c>
      <c r="C85" s="80">
        <f t="shared" si="13"/>
        <v>4.62545454545455</v>
      </c>
      <c r="D85" s="35">
        <f t="shared" si="14"/>
        <v>1.12382978723404</v>
      </c>
      <c r="E85" s="35">
        <f t="shared" si="15"/>
        <v>0.00701767039307999</v>
      </c>
      <c r="F85" s="35">
        <f t="shared" si="16"/>
        <v>0.11292069632495</v>
      </c>
    </row>
    <row r="86" spans="1:6">
      <c r="A86" s="34">
        <f t="shared" si="17"/>
        <v>810</v>
      </c>
      <c r="B86" s="80">
        <f t="shared" si="12"/>
        <v>1.01891402714932</v>
      </c>
      <c r="C86" s="80">
        <f t="shared" si="13"/>
        <v>4.6620814479638</v>
      </c>
      <c r="D86" s="35">
        <f t="shared" si="14"/>
        <v>1.13084745762712</v>
      </c>
      <c r="E86" s="35">
        <f t="shared" si="15"/>
        <v>0.0069584495458801</v>
      </c>
      <c r="F86" s="35">
        <f t="shared" si="16"/>
        <v>0.1119334304778</v>
      </c>
    </row>
    <row r="87" spans="1:6">
      <c r="A87" s="34">
        <f t="shared" si="17"/>
        <v>820</v>
      </c>
      <c r="B87" s="80">
        <f t="shared" si="12"/>
        <v>1.02684684684685</v>
      </c>
      <c r="C87" s="80">
        <f t="shared" si="13"/>
        <v>4.69837837837838</v>
      </c>
      <c r="D87" s="35">
        <f t="shared" si="14"/>
        <v>1.137805907173</v>
      </c>
      <c r="E87" s="35">
        <f t="shared" si="15"/>
        <v>0.0068999751799399</v>
      </c>
      <c r="F87" s="35">
        <f t="shared" si="16"/>
        <v>0.11095906032615</v>
      </c>
    </row>
    <row r="88" spans="1:6">
      <c r="A88" s="34">
        <f t="shared" si="17"/>
        <v>830</v>
      </c>
      <c r="B88" s="80">
        <f t="shared" si="12"/>
        <v>1.03470852017937</v>
      </c>
      <c r="C88" s="80">
        <f t="shared" si="13"/>
        <v>4.73434977578475</v>
      </c>
      <c r="D88" s="35">
        <f t="shared" si="14"/>
        <v>1.14470588235294</v>
      </c>
      <c r="E88" s="35">
        <f t="shared" si="15"/>
        <v>0.00684223480187018</v>
      </c>
      <c r="F88" s="35">
        <f t="shared" si="16"/>
        <v>0.10999736217357</v>
      </c>
    </row>
    <row r="89" spans="1:6">
      <c r="A89" s="34">
        <f t="shared" si="17"/>
        <v>840</v>
      </c>
      <c r="B89" s="80">
        <f t="shared" si="12"/>
        <v>1.0425</v>
      </c>
      <c r="C89" s="80">
        <f t="shared" si="13"/>
        <v>4.77</v>
      </c>
      <c r="D89" s="35">
        <f t="shared" si="14"/>
        <v>1.15154811715481</v>
      </c>
      <c r="E89" s="35">
        <f t="shared" si="15"/>
        <v>0.00678521617852001</v>
      </c>
      <c r="F89" s="35">
        <f t="shared" si="16"/>
        <v>0.10904811715481</v>
      </c>
    </row>
    <row r="90" spans="1:6">
      <c r="A90" s="34">
        <f t="shared" si="17"/>
        <v>850</v>
      </c>
      <c r="B90" s="80">
        <f t="shared" si="12"/>
        <v>1.05022222222222</v>
      </c>
      <c r="C90" s="80">
        <f t="shared" si="13"/>
        <v>4.80533333333333</v>
      </c>
      <c r="D90" s="35">
        <f t="shared" si="14"/>
        <v>1.15833333333333</v>
      </c>
      <c r="E90" s="35">
        <f t="shared" si="15"/>
        <v>0.00672890733056986</v>
      </c>
      <c r="F90" s="35">
        <f t="shared" si="16"/>
        <v>0.10811111111111</v>
      </c>
    </row>
    <row r="91" spans="1:6">
      <c r="A91" s="34">
        <f t="shared" si="17"/>
        <v>860</v>
      </c>
      <c r="B91" s="80">
        <f t="shared" si="12"/>
        <v>1.05787610619469</v>
      </c>
      <c r="C91" s="80">
        <f t="shared" si="13"/>
        <v>4.84035398230089</v>
      </c>
      <c r="D91" s="35">
        <f t="shared" si="14"/>
        <v>1.1650622406639</v>
      </c>
      <c r="E91" s="35">
        <f t="shared" si="15"/>
        <v>0.00667329652617998</v>
      </c>
      <c r="F91" s="35">
        <f t="shared" si="16"/>
        <v>0.10718613446921</v>
      </c>
    </row>
    <row r="92" spans="1:6">
      <c r="A92" s="34">
        <f t="shared" si="17"/>
        <v>870</v>
      </c>
      <c r="B92" s="80">
        <f t="shared" si="12"/>
        <v>1.06546255506608</v>
      </c>
      <c r="C92" s="80">
        <f t="shared" si="13"/>
        <v>4.87506607929515</v>
      </c>
      <c r="D92" s="35">
        <f t="shared" si="14"/>
        <v>1.17173553719008</v>
      </c>
      <c r="E92" s="35">
        <f t="shared" si="15"/>
        <v>0.00661837227494</v>
      </c>
      <c r="F92" s="35">
        <f t="shared" si="16"/>
        <v>0.106272982124</v>
      </c>
    </row>
    <row r="93" spans="1:6">
      <c r="A93" s="34">
        <f t="shared" si="17"/>
        <v>880</v>
      </c>
      <c r="B93" s="80">
        <f t="shared" si="12"/>
        <v>1.07298245614035</v>
      </c>
      <c r="C93" s="80">
        <f t="shared" si="13"/>
        <v>4.90947368421053</v>
      </c>
      <c r="D93" s="35">
        <f t="shared" si="14"/>
        <v>1.17835390946502</v>
      </c>
      <c r="E93" s="35">
        <f t="shared" si="15"/>
        <v>0.00656412332187006</v>
      </c>
      <c r="F93" s="35">
        <f t="shared" si="16"/>
        <v>0.10537145332467</v>
      </c>
    </row>
    <row r="94" spans="1:6">
      <c r="A94" s="34">
        <f t="shared" si="17"/>
        <v>890</v>
      </c>
      <c r="B94" s="80">
        <f t="shared" si="12"/>
        <v>1.08043668122271</v>
      </c>
      <c r="C94" s="80">
        <f t="shared" si="13"/>
        <v>4.9435807860262</v>
      </c>
      <c r="D94" s="35">
        <f t="shared" si="14"/>
        <v>1.18491803278689</v>
      </c>
      <c r="E94" s="35">
        <f t="shared" si="15"/>
        <v>0.00651053864167994</v>
      </c>
      <c r="F94" s="35">
        <f t="shared" si="16"/>
        <v>0.10448135156418</v>
      </c>
    </row>
    <row r="95" spans="1:6">
      <c r="A95" s="34">
        <f t="shared" si="17"/>
        <v>900</v>
      </c>
      <c r="B95" s="80">
        <f t="shared" si="12"/>
        <v>1.08782608695652</v>
      </c>
      <c r="C95" s="80">
        <f t="shared" si="13"/>
        <v>4.97739130434783</v>
      </c>
      <c r="D95" s="35">
        <f t="shared" si="14"/>
        <v>1.19142857142857</v>
      </c>
      <c r="E95" s="35">
        <f t="shared" si="15"/>
        <v>0.0064576074332201</v>
      </c>
      <c r="F95" s="35">
        <f t="shared" si="16"/>
        <v>0.10360248447205</v>
      </c>
    </row>
    <row r="96" spans="1:6">
      <c r="A96" s="34">
        <f t="shared" si="17"/>
        <v>910</v>
      </c>
      <c r="B96" s="80">
        <f t="shared" si="12"/>
        <v>1.09515151515152</v>
      </c>
      <c r="C96" s="80">
        <f t="shared" si="13"/>
        <v>5.01090909090909</v>
      </c>
      <c r="D96" s="35">
        <f t="shared" si="14"/>
        <v>1.19788617886179</v>
      </c>
      <c r="E96" s="35">
        <f t="shared" si="15"/>
        <v>0.00640531911391995</v>
      </c>
      <c r="F96" s="35">
        <f t="shared" si="16"/>
        <v>0.10273466371027</v>
      </c>
    </row>
    <row r="97" spans="1:6">
      <c r="A97" s="34">
        <f t="shared" si="17"/>
        <v>920</v>
      </c>
      <c r="B97" s="80">
        <f t="shared" si="12"/>
        <v>1.10241379310345</v>
      </c>
      <c r="C97" s="80">
        <f t="shared" si="13"/>
        <v>5.04413793103448</v>
      </c>
      <c r="D97" s="35">
        <f t="shared" si="14"/>
        <v>1.20429149797571</v>
      </c>
      <c r="E97" s="35">
        <f t="shared" si="15"/>
        <v>0.00635366331460996</v>
      </c>
      <c r="F97" s="35">
        <f t="shared" si="16"/>
        <v>0.10187770487226</v>
      </c>
    </row>
    <row r="98" spans="1:8">
      <c r="A98" s="34">
        <f t="shared" si="17"/>
        <v>930</v>
      </c>
      <c r="B98" s="80">
        <f t="shared" si="12"/>
        <v>1.10961373390558</v>
      </c>
      <c r="C98" s="80">
        <f t="shared" si="13"/>
        <v>5.07708154506438</v>
      </c>
      <c r="D98" s="35">
        <f t="shared" si="14"/>
        <v>1.21064516129032</v>
      </c>
      <c r="E98" s="35">
        <f t="shared" si="15"/>
        <v>0.00630262987434005</v>
      </c>
      <c r="F98" s="35">
        <f t="shared" si="16"/>
        <v>0.10103142738474</v>
      </c>
      <c r="H98" s="7">
        <f>507.8%/C98*1150</f>
        <v>1150.20803746534</v>
      </c>
    </row>
    <row r="99" spans="1:6">
      <c r="A99" s="34">
        <f t="shared" si="17"/>
        <v>940</v>
      </c>
      <c r="B99" s="80">
        <f t="shared" si="12"/>
        <v>1.11675213675214</v>
      </c>
      <c r="C99" s="80">
        <f t="shared" si="13"/>
        <v>5.10974358974359</v>
      </c>
      <c r="D99" s="35">
        <f t="shared" si="14"/>
        <v>1.21694779116466</v>
      </c>
      <c r="E99" s="35">
        <f t="shared" si="15"/>
        <v>0.00625220883534006</v>
      </c>
      <c r="F99" s="35">
        <f t="shared" si="16"/>
        <v>0.10019565441252</v>
      </c>
    </row>
    <row r="100" spans="1:6">
      <c r="A100" s="34">
        <f t="shared" si="17"/>
        <v>950</v>
      </c>
      <c r="B100" s="80">
        <f t="shared" si="12"/>
        <v>1.12382978723404</v>
      </c>
      <c r="C100" s="80">
        <f t="shared" si="13"/>
        <v>5.14212765957447</v>
      </c>
      <c r="D100" s="35">
        <f t="shared" si="14"/>
        <v>1.2232</v>
      </c>
      <c r="E100" s="35">
        <f t="shared" si="15"/>
        <v>0.00620239043824999</v>
      </c>
      <c r="F100" s="35">
        <f t="shared" si="16"/>
        <v>0.0993702127659601</v>
      </c>
    </row>
    <row r="101" spans="1:6">
      <c r="A101" s="34">
        <f t="shared" si="17"/>
        <v>960</v>
      </c>
      <c r="B101" s="80">
        <f t="shared" si="12"/>
        <v>1.13084745762712</v>
      </c>
      <c r="C101" s="80">
        <f t="shared" si="13"/>
        <v>5.17423728813559</v>
      </c>
      <c r="D101" s="35">
        <f t="shared" si="14"/>
        <v>1.22940239043825</v>
      </c>
      <c r="E101" s="35">
        <f t="shared" si="15"/>
        <v>0.0061531651173099</v>
      </c>
      <c r="F101" s="35">
        <f t="shared" si="16"/>
        <v>0.0985549328111301</v>
      </c>
    </row>
    <row r="102" spans="1:6">
      <c r="A102" s="34">
        <f t="shared" si="17"/>
        <v>970</v>
      </c>
      <c r="B102" s="80">
        <f t="shared" si="12"/>
        <v>1.137805907173</v>
      </c>
      <c r="C102" s="80">
        <f t="shared" si="13"/>
        <v>5.20607594936709</v>
      </c>
      <c r="D102" s="35">
        <f t="shared" si="14"/>
        <v>1.23555555555556</v>
      </c>
      <c r="E102" s="35">
        <f t="shared" si="15"/>
        <v>0.00610452349582014</v>
      </c>
      <c r="F102" s="35">
        <f t="shared" si="16"/>
        <v>0.09774964838256</v>
      </c>
    </row>
    <row r="103" spans="1:6">
      <c r="A103" s="34">
        <f t="shared" si="17"/>
        <v>980</v>
      </c>
      <c r="B103" s="80">
        <f t="shared" si="12"/>
        <v>1.14470588235294</v>
      </c>
      <c r="C103" s="80">
        <f t="shared" ref="C103:C134" si="18">1272*A103/(A103+1400)/100</f>
        <v>5.23764705882353</v>
      </c>
      <c r="D103" s="35">
        <f>VLOOKUP(150+A103,A:B,2,0)</f>
        <v>1.24166007905138</v>
      </c>
      <c r="E103" s="35">
        <f t="shared" si="15"/>
        <v>0.00605645638168983</v>
      </c>
      <c r="F103" s="35">
        <f t="shared" ref="F103:F134" si="19">D103-B103</f>
        <v>0.0969541966984402</v>
      </c>
    </row>
    <row r="104" spans="1:6">
      <c r="A104" s="34">
        <f t="shared" si="17"/>
        <v>990</v>
      </c>
      <c r="B104" s="80">
        <f t="shared" si="12"/>
        <v>1.15154811715481</v>
      </c>
      <c r="C104" s="80">
        <f t="shared" si="18"/>
        <v>5.2689539748954</v>
      </c>
      <c r="D104" s="35">
        <f>VLOOKUP(150+A104,A:B,2,0)</f>
        <v>1.24771653543307</v>
      </c>
      <c r="E104" s="35">
        <f t="shared" si="15"/>
        <v>0.00600895476301</v>
      </c>
      <c r="F104" s="35">
        <f t="shared" si="19"/>
        <v>0.0961684182782598</v>
      </c>
    </row>
    <row r="105" spans="1:6">
      <c r="A105" s="34">
        <f t="shared" si="17"/>
        <v>1000</v>
      </c>
      <c r="B105" s="80">
        <f t="shared" si="12"/>
        <v>1.15833333333333</v>
      </c>
      <c r="C105" s="80">
        <f t="shared" si="18"/>
        <v>5.3</v>
      </c>
      <c r="D105" s="35">
        <f>VLOOKUP(150+A105,A:B,2,0)</f>
        <v>1.25372549019608</v>
      </c>
      <c r="E105" s="35">
        <f t="shared" si="15"/>
        <v>0.00596200980392014</v>
      </c>
      <c r="F105" s="35">
        <f t="shared" si="19"/>
        <v>0.0953921568627498</v>
      </c>
    </row>
    <row r="106" spans="1:6">
      <c r="A106" s="34">
        <f t="shared" ref="A106:A132" si="20">A105+10</f>
        <v>1010</v>
      </c>
      <c r="B106" s="80">
        <f t="shared" ref="B106:B132" si="21">278*A106/(A106+1400)/100</f>
        <v>1.1650622406639</v>
      </c>
      <c r="C106" s="80">
        <f t="shared" si="18"/>
        <v>5.33078838174274</v>
      </c>
      <c r="D106" s="35">
        <f t="shared" ref="D106:D137" si="22">VLOOKUP(150+A106,A:B,2,0)</f>
        <v>1.2596875</v>
      </c>
      <c r="E106" s="35">
        <f t="shared" ref="E106:E137" si="23">D107-D106</f>
        <v>0.00591561284046982</v>
      </c>
      <c r="F106" s="35">
        <f t="shared" si="19"/>
        <v>0.0946252593361001</v>
      </c>
    </row>
    <row r="107" spans="1:6">
      <c r="A107" s="34">
        <f t="shared" si="20"/>
        <v>1020</v>
      </c>
      <c r="B107" s="80">
        <f t="shared" si="21"/>
        <v>1.17173553719008</v>
      </c>
      <c r="C107" s="80">
        <f t="shared" si="18"/>
        <v>5.36132231404959</v>
      </c>
      <c r="D107" s="35">
        <f t="shared" si="22"/>
        <v>1.26560311284047</v>
      </c>
      <c r="E107" s="35">
        <f t="shared" si="23"/>
        <v>0.00586975537658008</v>
      </c>
      <c r="F107" s="35">
        <f t="shared" si="19"/>
        <v>0.0938675756503899</v>
      </c>
    </row>
    <row r="108" spans="1:6">
      <c r="A108" s="34">
        <f t="shared" si="20"/>
        <v>1030</v>
      </c>
      <c r="B108" s="80">
        <f t="shared" si="21"/>
        <v>1.17835390946502</v>
      </c>
      <c r="C108" s="80">
        <f t="shared" si="18"/>
        <v>5.39160493827161</v>
      </c>
      <c r="D108" s="35">
        <f t="shared" si="22"/>
        <v>1.27147286821705</v>
      </c>
      <c r="E108" s="35">
        <f t="shared" si="23"/>
        <v>0.00582442908025005</v>
      </c>
      <c r="F108" s="35">
        <f t="shared" si="19"/>
        <v>0.09311895875203</v>
      </c>
    </row>
    <row r="109" spans="1:6">
      <c r="A109" s="34">
        <f t="shared" si="20"/>
        <v>1040</v>
      </c>
      <c r="B109" s="80">
        <f t="shared" si="21"/>
        <v>1.18491803278689</v>
      </c>
      <c r="C109" s="80">
        <f t="shared" si="18"/>
        <v>5.42163934426229</v>
      </c>
      <c r="D109" s="35">
        <f t="shared" si="22"/>
        <v>1.2772972972973</v>
      </c>
      <c r="E109" s="35">
        <f t="shared" si="23"/>
        <v>0.00577962577961988</v>
      </c>
      <c r="F109" s="35">
        <f t="shared" si="19"/>
        <v>0.09237926451041</v>
      </c>
    </row>
    <row r="110" spans="1:6">
      <c r="A110" s="34">
        <f t="shared" si="20"/>
        <v>1050</v>
      </c>
      <c r="B110" s="80">
        <f t="shared" si="21"/>
        <v>1.19142857142857</v>
      </c>
      <c r="C110" s="80">
        <f t="shared" si="18"/>
        <v>5.45142857142857</v>
      </c>
      <c r="D110" s="35">
        <f t="shared" si="22"/>
        <v>1.28307692307692</v>
      </c>
      <c r="E110" s="35">
        <f t="shared" si="23"/>
        <v>0.00573533745948018</v>
      </c>
      <c r="F110" s="35">
        <f t="shared" si="19"/>
        <v>0.0916483516483499</v>
      </c>
    </row>
    <row r="111" spans="1:6">
      <c r="A111" s="34">
        <f t="shared" si="20"/>
        <v>1060</v>
      </c>
      <c r="B111" s="80">
        <f t="shared" si="21"/>
        <v>1.19788617886179</v>
      </c>
      <c r="C111" s="80">
        <f t="shared" si="18"/>
        <v>5.4809756097561</v>
      </c>
      <c r="D111" s="35">
        <f t="shared" si="22"/>
        <v>1.2888122605364</v>
      </c>
      <c r="E111" s="35">
        <f t="shared" si="23"/>
        <v>0.00569155625748996</v>
      </c>
      <c r="F111" s="35">
        <f t="shared" si="19"/>
        <v>0.09092608167461</v>
      </c>
    </row>
    <row r="112" spans="1:6">
      <c r="A112" s="34">
        <f t="shared" si="20"/>
        <v>1070</v>
      </c>
      <c r="B112" s="80">
        <f t="shared" si="21"/>
        <v>1.20429149797571</v>
      </c>
      <c r="C112" s="80">
        <f t="shared" si="18"/>
        <v>5.51028340080972</v>
      </c>
      <c r="D112" s="35">
        <f t="shared" si="22"/>
        <v>1.29450381679389</v>
      </c>
      <c r="E112" s="35">
        <f t="shared" si="23"/>
        <v>0.00564827446085991</v>
      </c>
      <c r="F112" s="35">
        <f t="shared" si="19"/>
        <v>0.09021231881818</v>
      </c>
    </row>
    <row r="113" spans="1:6">
      <c r="A113" s="34">
        <f t="shared" si="20"/>
        <v>1080</v>
      </c>
      <c r="B113" s="80">
        <f t="shared" si="21"/>
        <v>1.21064516129032</v>
      </c>
      <c r="C113" s="80">
        <f t="shared" si="18"/>
        <v>5.53935483870968</v>
      </c>
      <c r="D113" s="35">
        <f t="shared" si="22"/>
        <v>1.30015209125475</v>
      </c>
      <c r="E113" s="35">
        <f t="shared" si="23"/>
        <v>0.00560548450282994</v>
      </c>
      <c r="F113" s="35">
        <f t="shared" si="19"/>
        <v>0.08950692996443</v>
      </c>
    </row>
    <row r="114" spans="1:6">
      <c r="A114" s="34">
        <f t="shared" si="20"/>
        <v>1090</v>
      </c>
      <c r="B114" s="80">
        <f t="shared" si="21"/>
        <v>1.21694779116466</v>
      </c>
      <c r="C114" s="80">
        <f t="shared" si="18"/>
        <v>5.56819277108434</v>
      </c>
      <c r="D114" s="35">
        <f t="shared" si="22"/>
        <v>1.30575757575758</v>
      </c>
      <c r="E114" s="35">
        <f t="shared" si="23"/>
        <v>0.00556317895940017</v>
      </c>
      <c r="F114" s="35">
        <f t="shared" si="19"/>
        <v>0.0888097845929199</v>
      </c>
    </row>
    <row r="115" spans="1:6">
      <c r="A115" s="34">
        <f t="shared" si="20"/>
        <v>1100</v>
      </c>
      <c r="B115" s="80">
        <f t="shared" si="21"/>
        <v>1.2232</v>
      </c>
      <c r="C115" s="80">
        <f t="shared" si="18"/>
        <v>5.5968</v>
      </c>
      <c r="D115" s="35">
        <f t="shared" si="22"/>
        <v>1.31132075471698</v>
      </c>
      <c r="E115" s="35">
        <f t="shared" si="23"/>
        <v>0.00552135054617997</v>
      </c>
      <c r="F115" s="35">
        <f t="shared" si="19"/>
        <v>0.08812075471698</v>
      </c>
    </row>
    <row r="116" spans="1:6">
      <c r="A116" s="34">
        <f t="shared" si="20"/>
        <v>1110</v>
      </c>
      <c r="B116" s="80">
        <f t="shared" si="21"/>
        <v>1.22940239043825</v>
      </c>
      <c r="C116" s="80">
        <f t="shared" si="18"/>
        <v>5.62517928286853</v>
      </c>
      <c r="D116" s="35">
        <f t="shared" si="22"/>
        <v>1.31684210526316</v>
      </c>
      <c r="E116" s="35">
        <f t="shared" si="23"/>
        <v>0.00547999211512007</v>
      </c>
      <c r="F116" s="35">
        <f t="shared" si="19"/>
        <v>0.08743971482491</v>
      </c>
    </row>
    <row r="117" spans="1:6">
      <c r="A117" s="34">
        <f t="shared" si="20"/>
        <v>1120</v>
      </c>
      <c r="B117" s="80">
        <f t="shared" si="21"/>
        <v>1.23555555555556</v>
      </c>
      <c r="C117" s="80">
        <f t="shared" si="18"/>
        <v>5.65333333333333</v>
      </c>
      <c r="D117" s="35">
        <f t="shared" si="22"/>
        <v>1.32232209737828</v>
      </c>
      <c r="E117" s="35">
        <f t="shared" si="23"/>
        <v>0.00543909665156983</v>
      </c>
      <c r="F117" s="35">
        <f t="shared" si="19"/>
        <v>0.0867665418227201</v>
      </c>
    </row>
    <row r="118" spans="1:6">
      <c r="A118" s="34">
        <f t="shared" si="20"/>
        <v>1130</v>
      </c>
      <c r="B118" s="80">
        <f t="shared" si="21"/>
        <v>1.24166007905138</v>
      </c>
      <c r="C118" s="80">
        <f t="shared" si="18"/>
        <v>5.68126482213439</v>
      </c>
      <c r="D118" s="35">
        <f t="shared" si="22"/>
        <v>1.32776119402985</v>
      </c>
      <c r="E118" s="35">
        <f t="shared" si="23"/>
        <v>0.00539865727127009</v>
      </c>
      <c r="F118" s="35">
        <f t="shared" si="19"/>
        <v>0.0861011149784698</v>
      </c>
    </row>
    <row r="119" spans="1:6">
      <c r="A119" s="34">
        <f t="shared" si="20"/>
        <v>1140</v>
      </c>
      <c r="B119" s="80">
        <f t="shared" si="21"/>
        <v>1.24771653543307</v>
      </c>
      <c r="C119" s="80">
        <f t="shared" si="18"/>
        <v>5.70897637795276</v>
      </c>
      <c r="D119" s="35">
        <f t="shared" si="22"/>
        <v>1.33315985130112</v>
      </c>
      <c r="E119" s="35">
        <f t="shared" si="23"/>
        <v>0.00535866721739997</v>
      </c>
      <c r="F119" s="35">
        <f t="shared" si="19"/>
        <v>0.0854433158680501</v>
      </c>
    </row>
    <row r="120" spans="1:6">
      <c r="A120" s="34">
        <f t="shared" si="20"/>
        <v>1150</v>
      </c>
      <c r="B120" s="80">
        <f t="shared" si="21"/>
        <v>1.25372549019608</v>
      </c>
      <c r="C120" s="80">
        <f t="shared" si="18"/>
        <v>5.73647058823529</v>
      </c>
      <c r="D120" s="35">
        <f t="shared" si="22"/>
        <v>1.33851851851852</v>
      </c>
      <c r="E120" s="35">
        <f t="shared" si="23"/>
        <v>0.00531911985785993</v>
      </c>
      <c r="F120" s="35">
        <f t="shared" si="19"/>
        <v>0.0847930283224401</v>
      </c>
    </row>
    <row r="121" spans="1:6">
      <c r="A121" s="34">
        <f t="shared" si="20"/>
        <v>1160</v>
      </c>
      <c r="B121" s="80">
        <f t="shared" si="21"/>
        <v>1.2596875</v>
      </c>
      <c r="C121" s="80">
        <f t="shared" si="18"/>
        <v>5.76375</v>
      </c>
      <c r="D121" s="35">
        <f t="shared" si="22"/>
        <v>1.34383763837638</v>
      </c>
      <c r="E121" s="35">
        <f t="shared" si="23"/>
        <v>0.00528000868244005</v>
      </c>
      <c r="F121" s="35">
        <f t="shared" si="19"/>
        <v>0.0841501383763799</v>
      </c>
    </row>
    <row r="122" spans="1:6">
      <c r="A122" s="34">
        <f t="shared" si="20"/>
        <v>1170</v>
      </c>
      <c r="B122" s="80">
        <f t="shared" si="21"/>
        <v>1.26560311284047</v>
      </c>
      <c r="C122" s="80">
        <f t="shared" si="18"/>
        <v>5.79081712062257</v>
      </c>
      <c r="D122" s="35">
        <f t="shared" si="22"/>
        <v>1.34911764705882</v>
      </c>
      <c r="E122" s="35">
        <f t="shared" si="23"/>
        <v>0.00524132730014992</v>
      </c>
      <c r="F122" s="35">
        <f t="shared" si="19"/>
        <v>0.0835145342183501</v>
      </c>
    </row>
    <row r="123" spans="1:6">
      <c r="A123" s="34">
        <f t="shared" si="20"/>
        <v>1180</v>
      </c>
      <c r="B123" s="80">
        <f t="shared" si="21"/>
        <v>1.27147286821705</v>
      </c>
      <c r="C123" s="80">
        <f t="shared" si="18"/>
        <v>5.81767441860465</v>
      </c>
      <c r="D123" s="35">
        <f t="shared" si="22"/>
        <v>1.35435897435897</v>
      </c>
      <c r="E123" s="35">
        <f t="shared" si="23"/>
        <v>0.00520306943665005</v>
      </c>
      <c r="F123" s="35">
        <f t="shared" si="19"/>
        <v>0.0828861061419199</v>
      </c>
    </row>
    <row r="124" spans="1:6">
      <c r="A124" s="34">
        <f t="shared" si="20"/>
        <v>1190</v>
      </c>
      <c r="B124" s="80">
        <f t="shared" si="21"/>
        <v>1.2772972972973</v>
      </c>
      <c r="C124" s="80">
        <f t="shared" si="18"/>
        <v>5.84432432432432</v>
      </c>
      <c r="D124" s="35">
        <f t="shared" si="22"/>
        <v>1.35956204379562</v>
      </c>
      <c r="E124" s="35">
        <f t="shared" si="23"/>
        <v>0.00516522893164995</v>
      </c>
      <c r="F124" s="35">
        <f t="shared" si="19"/>
        <v>0.0822647464983199</v>
      </c>
    </row>
    <row r="125" spans="1:6">
      <c r="A125" s="34">
        <f t="shared" si="20"/>
        <v>1200</v>
      </c>
      <c r="B125" s="80">
        <f t="shared" si="21"/>
        <v>1.28307692307692</v>
      </c>
      <c r="C125" s="80">
        <f t="shared" si="18"/>
        <v>5.87076923076923</v>
      </c>
      <c r="D125" s="35">
        <f t="shared" si="22"/>
        <v>1.36472727272727</v>
      </c>
      <c r="E125" s="35">
        <f t="shared" si="23"/>
        <v>0.00512779973650002</v>
      </c>
      <c r="F125" s="35">
        <f t="shared" si="19"/>
        <v>0.08165034965035</v>
      </c>
    </row>
    <row r="126" spans="1:6">
      <c r="A126" s="34">
        <f t="shared" si="20"/>
        <v>1210</v>
      </c>
      <c r="B126" s="80">
        <f t="shared" si="21"/>
        <v>1.2888122605364</v>
      </c>
      <c r="C126" s="80">
        <f t="shared" si="18"/>
        <v>5.89701149425287</v>
      </c>
      <c r="D126" s="35">
        <f t="shared" si="22"/>
        <v>1.36985507246377</v>
      </c>
      <c r="E126" s="35">
        <f t="shared" si="23"/>
        <v>0.00509077591168006</v>
      </c>
      <c r="F126" s="35">
        <f t="shared" si="19"/>
        <v>0.0810428119273698</v>
      </c>
    </row>
    <row r="127" spans="1:6">
      <c r="A127" s="34">
        <f t="shared" si="20"/>
        <v>1220</v>
      </c>
      <c r="B127" s="80">
        <f t="shared" si="21"/>
        <v>1.29450381679389</v>
      </c>
      <c r="C127" s="80">
        <f t="shared" si="18"/>
        <v>5.9230534351145</v>
      </c>
      <c r="D127" s="35">
        <f t="shared" si="22"/>
        <v>1.37494584837545</v>
      </c>
      <c r="E127" s="35">
        <f t="shared" si="23"/>
        <v>0.00505415162454992</v>
      </c>
      <c r="F127" s="35">
        <f t="shared" si="19"/>
        <v>0.0804420315815599</v>
      </c>
    </row>
    <row r="128" spans="1:6">
      <c r="A128" s="34">
        <f t="shared" si="20"/>
        <v>1230</v>
      </c>
      <c r="B128" s="80">
        <f t="shared" si="21"/>
        <v>1.30015209125475</v>
      </c>
      <c r="C128" s="80">
        <f t="shared" si="18"/>
        <v>5.94889733840304</v>
      </c>
      <c r="D128" s="35">
        <f t="shared" si="22"/>
        <v>1.38</v>
      </c>
      <c r="E128" s="35">
        <f t="shared" si="23"/>
        <v>0.0050179211469501</v>
      </c>
      <c r="F128" s="35">
        <f t="shared" si="19"/>
        <v>0.0798479087452499</v>
      </c>
    </row>
    <row r="129" spans="1:6">
      <c r="A129" s="34">
        <f t="shared" si="20"/>
        <v>1240</v>
      </c>
      <c r="B129" s="80">
        <f t="shared" si="21"/>
        <v>1.30575757575758</v>
      </c>
      <c r="C129" s="80">
        <f t="shared" si="18"/>
        <v>5.97454545454545</v>
      </c>
      <c r="D129" s="35">
        <f t="shared" si="22"/>
        <v>1.38501792114695</v>
      </c>
      <c r="E129" s="35">
        <f t="shared" si="23"/>
        <v>0.00498207885304991</v>
      </c>
      <c r="F129" s="35">
        <f t="shared" si="19"/>
        <v>0.0792603453893701</v>
      </c>
    </row>
    <row r="130" spans="1:6">
      <c r="A130" s="34">
        <f t="shared" si="20"/>
        <v>1250</v>
      </c>
      <c r="B130" s="80">
        <f t="shared" si="21"/>
        <v>1.31132075471698</v>
      </c>
      <c r="C130" s="80">
        <f t="shared" si="18"/>
        <v>6</v>
      </c>
      <c r="D130" s="35">
        <f t="shared" si="22"/>
        <v>1.39</v>
      </c>
      <c r="E130" s="35">
        <f t="shared" si="23"/>
        <v>0.00494661921708017</v>
      </c>
      <c r="F130" s="35">
        <f t="shared" si="19"/>
        <v>0.0786792452830198</v>
      </c>
    </row>
    <row r="131" spans="1:6">
      <c r="A131" s="34">
        <f t="shared" si="20"/>
        <v>1260</v>
      </c>
      <c r="B131" s="80">
        <f t="shared" si="21"/>
        <v>1.31684210526316</v>
      </c>
      <c r="C131" s="80">
        <f t="shared" si="18"/>
        <v>6.02526315789474</v>
      </c>
      <c r="D131" s="35">
        <f t="shared" si="22"/>
        <v>1.39494661921708</v>
      </c>
      <c r="E131" s="35">
        <f t="shared" si="23"/>
        <v>0.00491153681128997</v>
      </c>
      <c r="F131" s="35">
        <f t="shared" si="19"/>
        <v>0.07810451395392</v>
      </c>
    </row>
    <row r="132" spans="1:6">
      <c r="A132" s="34">
        <f t="shared" si="20"/>
        <v>1270</v>
      </c>
      <c r="B132" s="80">
        <f t="shared" si="21"/>
        <v>1.32232209737828</v>
      </c>
      <c r="C132" s="80">
        <f t="shared" si="18"/>
        <v>6.05033707865169</v>
      </c>
      <c r="D132" s="35">
        <f t="shared" si="22"/>
        <v>1.39985815602837</v>
      </c>
      <c r="E132" s="35">
        <f t="shared" si="23"/>
        <v>0.00487682630378994</v>
      </c>
      <c r="F132" s="35">
        <f t="shared" si="19"/>
        <v>0.0775360586500899</v>
      </c>
    </row>
    <row r="133" spans="1:6">
      <c r="A133" s="34">
        <f t="shared" ref="A133:A156" si="24">A132+10</f>
        <v>1280</v>
      </c>
      <c r="B133" s="80">
        <f t="shared" ref="B133:B156" si="25">278*A133/(A133+1400)/100</f>
        <v>1.32776119402985</v>
      </c>
      <c r="C133" s="80">
        <f t="shared" si="18"/>
        <v>6.07522388059702</v>
      </c>
      <c r="D133" s="35">
        <f t="shared" si="22"/>
        <v>1.40473498233216</v>
      </c>
      <c r="E133" s="35">
        <f t="shared" si="23"/>
        <v>0.00484248245657004</v>
      </c>
      <c r="F133" s="35">
        <f t="shared" si="19"/>
        <v>0.0769737883023101</v>
      </c>
    </row>
    <row r="134" spans="1:6">
      <c r="A134" s="34">
        <f t="shared" si="24"/>
        <v>1290</v>
      </c>
      <c r="B134" s="80">
        <f t="shared" si="25"/>
        <v>1.33315985130112</v>
      </c>
      <c r="C134" s="80">
        <f t="shared" si="18"/>
        <v>6.09992565055762</v>
      </c>
      <c r="D134" s="35">
        <f t="shared" si="22"/>
        <v>1.40957746478873</v>
      </c>
      <c r="E134" s="35">
        <f t="shared" si="23"/>
        <v>0.00480850012355005</v>
      </c>
      <c r="F134" s="35">
        <f t="shared" si="19"/>
        <v>0.07641761348761</v>
      </c>
    </row>
    <row r="135" spans="1:6">
      <c r="A135" s="34">
        <f t="shared" si="24"/>
        <v>1300</v>
      </c>
      <c r="B135" s="80">
        <f t="shared" si="25"/>
        <v>1.33851851851852</v>
      </c>
      <c r="C135" s="80">
        <f t="shared" ref="C135:C156" si="26">1272*A135/(A135+1400)/100</f>
        <v>6.12444444444444</v>
      </c>
      <c r="D135" s="35">
        <f t="shared" si="22"/>
        <v>1.41438596491228</v>
      </c>
      <c r="E135" s="35">
        <f t="shared" si="23"/>
        <v>0.00477487424855982</v>
      </c>
      <c r="F135" s="35">
        <f t="shared" ref="F135:F156" si="27">D135-B135</f>
        <v>0.0758674463937601</v>
      </c>
    </row>
    <row r="136" spans="1:6">
      <c r="A136" s="34">
        <f t="shared" si="24"/>
        <v>1310</v>
      </c>
      <c r="B136" s="80">
        <f t="shared" si="25"/>
        <v>1.34383763837638</v>
      </c>
      <c r="C136" s="80">
        <f t="shared" si="26"/>
        <v>6.14878228782288</v>
      </c>
      <c r="D136" s="35">
        <f t="shared" si="22"/>
        <v>1.41916083916084</v>
      </c>
      <c r="E136" s="35">
        <f t="shared" si="23"/>
        <v>0.00474159986355005</v>
      </c>
      <c r="F136" s="35">
        <f t="shared" si="27"/>
        <v>0.07532320078446</v>
      </c>
    </row>
    <row r="137" spans="1:6">
      <c r="A137" s="34">
        <f t="shared" si="24"/>
        <v>1320</v>
      </c>
      <c r="B137" s="80">
        <f t="shared" si="25"/>
        <v>1.34911764705882</v>
      </c>
      <c r="C137" s="80">
        <f t="shared" si="26"/>
        <v>6.17294117647059</v>
      </c>
      <c r="D137" s="35">
        <f t="shared" si="22"/>
        <v>1.42390243902439</v>
      </c>
      <c r="E137" s="35">
        <f t="shared" si="23"/>
        <v>0.00470867208671999</v>
      </c>
      <c r="F137" s="35">
        <f t="shared" si="27"/>
        <v>0.07478479196557</v>
      </c>
    </row>
    <row r="138" spans="1:6">
      <c r="A138" s="34">
        <f t="shared" si="24"/>
        <v>1330</v>
      </c>
      <c r="B138" s="80">
        <f t="shared" si="25"/>
        <v>1.35435897435897</v>
      </c>
      <c r="C138" s="80">
        <f t="shared" si="26"/>
        <v>6.19692307692308</v>
      </c>
      <c r="D138" s="35">
        <f t="shared" ref="D138:D156" si="28">VLOOKUP(150+A138,A:B,2,0)</f>
        <v>1.42861111111111</v>
      </c>
      <c r="E138" s="35">
        <f t="shared" ref="E138:E156" si="29">D139-D138</f>
        <v>0.00467608612072001</v>
      </c>
      <c r="F138" s="35">
        <f t="shared" si="27"/>
        <v>0.07425213675214</v>
      </c>
    </row>
    <row r="139" spans="1:6">
      <c r="A139" s="34">
        <f t="shared" si="24"/>
        <v>1340</v>
      </c>
      <c r="B139" s="80">
        <f t="shared" si="25"/>
        <v>1.35956204379562</v>
      </c>
      <c r="C139" s="80">
        <f t="shared" si="26"/>
        <v>6.2207299270073</v>
      </c>
      <c r="D139" s="35">
        <f t="shared" si="28"/>
        <v>1.43328719723183</v>
      </c>
      <c r="E139" s="35">
        <f t="shared" si="29"/>
        <v>0.00464383725093009</v>
      </c>
      <c r="F139" s="35">
        <f t="shared" si="27"/>
        <v>0.07372515343621</v>
      </c>
    </row>
    <row r="140" spans="1:6">
      <c r="A140" s="34">
        <f t="shared" si="24"/>
        <v>1350</v>
      </c>
      <c r="B140" s="80">
        <f t="shared" si="25"/>
        <v>1.36472727272727</v>
      </c>
      <c r="C140" s="80">
        <f t="shared" si="26"/>
        <v>6.24436363636364</v>
      </c>
      <c r="D140" s="35">
        <f t="shared" si="28"/>
        <v>1.43793103448276</v>
      </c>
      <c r="E140" s="35">
        <f t="shared" si="29"/>
        <v>0.00461192084369988</v>
      </c>
      <c r="F140" s="35">
        <f t="shared" si="27"/>
        <v>0.0732037617554901</v>
      </c>
    </row>
    <row r="141" spans="1:6">
      <c r="A141" s="34">
        <f t="shared" si="24"/>
        <v>1360</v>
      </c>
      <c r="B141" s="80">
        <f t="shared" si="25"/>
        <v>1.36985507246377</v>
      </c>
      <c r="C141" s="80">
        <f t="shared" si="26"/>
        <v>6.26782608695652</v>
      </c>
      <c r="D141" s="35">
        <f t="shared" si="28"/>
        <v>1.44254295532646</v>
      </c>
      <c r="E141" s="35" t="e">
        <f t="shared" si="29"/>
        <v>#N/A</v>
      </c>
      <c r="F141" s="35">
        <f t="shared" si="27"/>
        <v>0.07268788286269</v>
      </c>
    </row>
    <row r="142" spans="1:6">
      <c r="A142" s="34">
        <f t="shared" si="24"/>
        <v>1370</v>
      </c>
      <c r="B142" s="80">
        <f t="shared" si="25"/>
        <v>1.37494584837545</v>
      </c>
      <c r="C142" s="80">
        <f t="shared" si="26"/>
        <v>6.29111913357401</v>
      </c>
      <c r="D142" s="35" t="e">
        <f t="shared" si="28"/>
        <v>#N/A</v>
      </c>
      <c r="E142" s="35" t="e">
        <f t="shared" si="29"/>
        <v>#N/A</v>
      </c>
      <c r="F142" s="35" t="e">
        <f t="shared" si="27"/>
        <v>#N/A</v>
      </c>
    </row>
    <row r="143" spans="1:6">
      <c r="A143" s="34">
        <f t="shared" si="24"/>
        <v>1380</v>
      </c>
      <c r="B143" s="80">
        <f t="shared" si="25"/>
        <v>1.38</v>
      </c>
      <c r="C143" s="80">
        <f t="shared" si="26"/>
        <v>6.31424460431655</v>
      </c>
      <c r="D143" s="35" t="e">
        <f t="shared" si="28"/>
        <v>#N/A</v>
      </c>
      <c r="E143" s="35" t="e">
        <f t="shared" si="29"/>
        <v>#N/A</v>
      </c>
      <c r="F143" s="35" t="e">
        <f t="shared" si="27"/>
        <v>#N/A</v>
      </c>
    </row>
    <row r="144" spans="1:6">
      <c r="A144" s="34">
        <f t="shared" si="24"/>
        <v>1390</v>
      </c>
      <c r="B144" s="80">
        <f t="shared" si="25"/>
        <v>1.38501792114695</v>
      </c>
      <c r="C144" s="80">
        <f t="shared" si="26"/>
        <v>6.33720430107527</v>
      </c>
      <c r="D144" s="35" t="e">
        <f t="shared" si="28"/>
        <v>#N/A</v>
      </c>
      <c r="E144" s="35" t="e">
        <f t="shared" si="29"/>
        <v>#N/A</v>
      </c>
      <c r="F144" s="35" t="e">
        <f t="shared" si="27"/>
        <v>#N/A</v>
      </c>
    </row>
    <row r="145" spans="1:6">
      <c r="A145" s="34">
        <f t="shared" si="24"/>
        <v>1400</v>
      </c>
      <c r="B145" s="80">
        <f t="shared" si="25"/>
        <v>1.39</v>
      </c>
      <c r="C145" s="80">
        <f t="shared" si="26"/>
        <v>6.36</v>
      </c>
      <c r="D145" s="35" t="e">
        <f t="shared" si="28"/>
        <v>#N/A</v>
      </c>
      <c r="E145" s="35" t="e">
        <f t="shared" si="29"/>
        <v>#N/A</v>
      </c>
      <c r="F145" s="35" t="e">
        <f t="shared" si="27"/>
        <v>#N/A</v>
      </c>
    </row>
    <row r="146" spans="1:6">
      <c r="A146" s="34">
        <f t="shared" si="24"/>
        <v>1410</v>
      </c>
      <c r="B146" s="80">
        <f t="shared" si="25"/>
        <v>1.39494661921708</v>
      </c>
      <c r="C146" s="80">
        <f t="shared" si="26"/>
        <v>6.3826334519573</v>
      </c>
      <c r="D146" s="35" t="e">
        <f t="shared" si="28"/>
        <v>#N/A</v>
      </c>
      <c r="E146" s="35" t="e">
        <f t="shared" si="29"/>
        <v>#N/A</v>
      </c>
      <c r="F146" s="35" t="e">
        <f t="shared" si="27"/>
        <v>#N/A</v>
      </c>
    </row>
    <row r="147" spans="1:6">
      <c r="A147" s="34">
        <f t="shared" si="24"/>
        <v>1420</v>
      </c>
      <c r="B147" s="80">
        <f t="shared" si="25"/>
        <v>1.39985815602837</v>
      </c>
      <c r="C147" s="80">
        <f t="shared" si="26"/>
        <v>6.40510638297872</v>
      </c>
      <c r="D147" s="35" t="e">
        <f t="shared" si="28"/>
        <v>#N/A</v>
      </c>
      <c r="E147" s="35" t="e">
        <f t="shared" si="29"/>
        <v>#N/A</v>
      </c>
      <c r="F147" s="35" t="e">
        <f t="shared" si="27"/>
        <v>#N/A</v>
      </c>
    </row>
    <row r="148" spans="1:6">
      <c r="A148" s="34">
        <f t="shared" si="24"/>
        <v>1430</v>
      </c>
      <c r="B148" s="80">
        <f t="shared" si="25"/>
        <v>1.40473498233216</v>
      </c>
      <c r="C148" s="80">
        <f t="shared" si="26"/>
        <v>6.42742049469965</v>
      </c>
      <c r="D148" s="35" t="e">
        <f t="shared" si="28"/>
        <v>#N/A</v>
      </c>
      <c r="E148" s="35" t="e">
        <f t="shared" si="29"/>
        <v>#N/A</v>
      </c>
      <c r="F148" s="35" t="e">
        <f t="shared" si="27"/>
        <v>#N/A</v>
      </c>
    </row>
    <row r="149" spans="1:6">
      <c r="A149" s="34">
        <f t="shared" si="24"/>
        <v>1440</v>
      </c>
      <c r="B149" s="80">
        <f t="shared" si="25"/>
        <v>1.40957746478873</v>
      </c>
      <c r="C149" s="80">
        <f t="shared" si="26"/>
        <v>6.44957746478873</v>
      </c>
      <c r="D149" s="35" t="e">
        <f t="shared" si="28"/>
        <v>#N/A</v>
      </c>
      <c r="E149" s="35" t="e">
        <f t="shared" si="29"/>
        <v>#N/A</v>
      </c>
      <c r="F149" s="35" t="e">
        <f t="shared" si="27"/>
        <v>#N/A</v>
      </c>
    </row>
    <row r="150" spans="1:6">
      <c r="A150" s="34">
        <f t="shared" si="24"/>
        <v>1450</v>
      </c>
      <c r="B150" s="80">
        <f t="shared" si="25"/>
        <v>1.41438596491228</v>
      </c>
      <c r="C150" s="80">
        <f t="shared" si="26"/>
        <v>6.47157894736842</v>
      </c>
      <c r="D150" s="35" t="e">
        <f t="shared" si="28"/>
        <v>#N/A</v>
      </c>
      <c r="E150" s="35" t="e">
        <f t="shared" si="29"/>
        <v>#N/A</v>
      </c>
      <c r="F150" s="35" t="e">
        <f t="shared" si="27"/>
        <v>#N/A</v>
      </c>
    </row>
    <row r="151" spans="1:6">
      <c r="A151" s="34">
        <f t="shared" si="24"/>
        <v>1460</v>
      </c>
      <c r="B151" s="80">
        <f t="shared" si="25"/>
        <v>1.41916083916084</v>
      </c>
      <c r="C151" s="80">
        <f t="shared" si="26"/>
        <v>6.49342657342657</v>
      </c>
      <c r="D151" s="35" t="e">
        <f t="shared" si="28"/>
        <v>#N/A</v>
      </c>
      <c r="E151" s="35" t="e">
        <f t="shared" si="29"/>
        <v>#N/A</v>
      </c>
      <c r="F151" s="35" t="e">
        <f t="shared" si="27"/>
        <v>#N/A</v>
      </c>
    </row>
    <row r="152" spans="1:6">
      <c r="A152" s="34">
        <f t="shared" si="24"/>
        <v>1470</v>
      </c>
      <c r="B152" s="80">
        <f t="shared" si="25"/>
        <v>1.42390243902439</v>
      </c>
      <c r="C152" s="80">
        <f t="shared" si="26"/>
        <v>6.51512195121951</v>
      </c>
      <c r="D152" s="35" t="e">
        <f t="shared" si="28"/>
        <v>#N/A</v>
      </c>
      <c r="E152" s="35" t="e">
        <f t="shared" si="29"/>
        <v>#N/A</v>
      </c>
      <c r="F152" s="35" t="e">
        <f t="shared" si="27"/>
        <v>#N/A</v>
      </c>
    </row>
    <row r="153" spans="1:6">
      <c r="A153" s="34">
        <f t="shared" si="24"/>
        <v>1480</v>
      </c>
      <c r="B153" s="80">
        <f t="shared" si="25"/>
        <v>1.42861111111111</v>
      </c>
      <c r="C153" s="80">
        <f t="shared" si="26"/>
        <v>6.53666666666667</v>
      </c>
      <c r="D153" s="35" t="e">
        <f t="shared" si="28"/>
        <v>#N/A</v>
      </c>
      <c r="E153" s="35" t="e">
        <f t="shared" si="29"/>
        <v>#N/A</v>
      </c>
      <c r="F153" s="35" t="e">
        <f t="shared" si="27"/>
        <v>#N/A</v>
      </c>
    </row>
    <row r="154" spans="1:6">
      <c r="A154" s="34">
        <f t="shared" si="24"/>
        <v>1490</v>
      </c>
      <c r="B154" s="80">
        <f t="shared" si="25"/>
        <v>1.43328719723183</v>
      </c>
      <c r="C154" s="80">
        <f t="shared" si="26"/>
        <v>6.55806228373702</v>
      </c>
      <c r="D154" s="35" t="e">
        <f t="shared" si="28"/>
        <v>#N/A</v>
      </c>
      <c r="E154" s="35" t="e">
        <f t="shared" si="29"/>
        <v>#N/A</v>
      </c>
      <c r="F154" s="35" t="e">
        <f t="shared" si="27"/>
        <v>#N/A</v>
      </c>
    </row>
    <row r="155" spans="1:6">
      <c r="A155" s="34">
        <f t="shared" si="24"/>
        <v>1500</v>
      </c>
      <c r="B155" s="80">
        <f t="shared" si="25"/>
        <v>1.43793103448276</v>
      </c>
      <c r="C155" s="80">
        <f t="shared" si="26"/>
        <v>6.57931034482759</v>
      </c>
      <c r="D155" s="35" t="e">
        <f t="shared" si="28"/>
        <v>#N/A</v>
      </c>
      <c r="E155" s="35" t="e">
        <f t="shared" si="29"/>
        <v>#N/A</v>
      </c>
      <c r="F155" s="35" t="e">
        <f t="shared" si="27"/>
        <v>#N/A</v>
      </c>
    </row>
    <row r="156" spans="1:6">
      <c r="A156" s="34">
        <f t="shared" si="24"/>
        <v>1510</v>
      </c>
      <c r="B156" s="80">
        <f t="shared" si="25"/>
        <v>1.44254295532646</v>
      </c>
      <c r="C156" s="80">
        <f t="shared" si="26"/>
        <v>6.60041237113402</v>
      </c>
      <c r="D156" s="35" t="e">
        <f t="shared" si="28"/>
        <v>#N/A</v>
      </c>
      <c r="E156" s="35" t="e">
        <f t="shared" si="29"/>
        <v>#N/A</v>
      </c>
      <c r="F156" s="35" t="e">
        <f t="shared" si="27"/>
        <v>#N/A</v>
      </c>
    </row>
  </sheetData>
  <pageMargins left="0.75" right="0.75" top="1" bottom="1" header="0.5" footer="0.5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G33"/>
  <sheetViews>
    <sheetView workbookViewId="0">
      <selection activeCell="M32" sqref="M32"/>
    </sheetView>
  </sheetViews>
  <sheetFormatPr defaultColWidth="9" defaultRowHeight="13.5" outlineLevelCol="6"/>
  <cols>
    <col min="1" max="1" width="9" style="72"/>
    <col min="2" max="2" width="15" style="72" customWidth="1"/>
    <col min="3" max="7" width="12.625" style="72"/>
    <col min="8" max="16384" width="9" style="72"/>
  </cols>
  <sheetData>
    <row r="1" spans="3:7">
      <c r="C1" s="72" t="s">
        <v>551</v>
      </c>
      <c r="E1" s="72" t="s">
        <v>552</v>
      </c>
      <c r="F1" s="72" t="s">
        <v>553</v>
      </c>
      <c r="G1" s="72" t="s">
        <v>554</v>
      </c>
    </row>
    <row r="2" spans="2:7">
      <c r="B2" s="72" t="s">
        <v>555</v>
      </c>
      <c r="C2" s="72">
        <v>904</v>
      </c>
      <c r="D2" s="72">
        <v>904</v>
      </c>
      <c r="E2" s="72">
        <v>904</v>
      </c>
      <c r="F2" s="72">
        <v>849</v>
      </c>
      <c r="G2" s="72">
        <v>1014</v>
      </c>
    </row>
    <row r="3" spans="2:7">
      <c r="B3" s="72" t="s">
        <v>556</v>
      </c>
      <c r="C3" s="72">
        <v>1092</v>
      </c>
      <c r="D3" s="72">
        <v>747</v>
      </c>
      <c r="E3" s="72">
        <v>1341</v>
      </c>
      <c r="F3" s="72">
        <v>1048</v>
      </c>
      <c r="G3" s="72">
        <v>1514</v>
      </c>
    </row>
    <row r="4" spans="2:7">
      <c r="B4" s="72" t="s">
        <v>12</v>
      </c>
      <c r="C4" s="72">
        <v>272</v>
      </c>
      <c r="D4" s="72">
        <v>458</v>
      </c>
      <c r="E4" s="72">
        <v>162</v>
      </c>
      <c r="F4" s="72">
        <v>162</v>
      </c>
      <c r="G4" s="72">
        <v>162</v>
      </c>
    </row>
    <row r="5" spans="2:7">
      <c r="B5" s="72" t="s">
        <v>8</v>
      </c>
      <c r="C5" s="75">
        <v>0.775</v>
      </c>
      <c r="D5" s="75">
        <v>0.712</v>
      </c>
      <c r="E5" s="75">
        <v>0.775</v>
      </c>
      <c r="F5" s="75">
        <v>1</v>
      </c>
      <c r="G5" s="75">
        <v>0.775</v>
      </c>
    </row>
    <row r="6" spans="2:7">
      <c r="B6" s="72" t="s">
        <v>11</v>
      </c>
      <c r="C6" s="75">
        <v>1.238</v>
      </c>
      <c r="D6" s="75">
        <v>1.036</v>
      </c>
      <c r="E6" s="75">
        <v>1.238</v>
      </c>
      <c r="F6" s="75">
        <v>1.238</v>
      </c>
      <c r="G6" s="75">
        <v>1.238</v>
      </c>
    </row>
    <row r="7" spans="2:7">
      <c r="B7" s="72" t="s">
        <v>557</v>
      </c>
      <c r="C7" s="75">
        <v>0.466</v>
      </c>
      <c r="D7" s="75">
        <v>0.466</v>
      </c>
      <c r="E7" s="75">
        <v>0.466</v>
      </c>
      <c r="F7" s="75">
        <v>0.466</v>
      </c>
      <c r="G7" s="75">
        <v>0.466</v>
      </c>
    </row>
    <row r="10" spans="1:7">
      <c r="A10" s="72" t="s">
        <v>558</v>
      </c>
      <c r="B10" s="72" t="s">
        <v>559</v>
      </c>
      <c r="C10" s="72">
        <v>0</v>
      </c>
      <c r="D10" s="72">
        <v>0</v>
      </c>
      <c r="E10" s="72">
        <v>0</v>
      </c>
      <c r="F10" s="72">
        <v>0</v>
      </c>
      <c r="G10" s="72">
        <v>0</v>
      </c>
    </row>
    <row r="11" spans="2:7">
      <c r="B11" s="72" t="s">
        <v>560</v>
      </c>
      <c r="C11" s="72">
        <f>3-C10</f>
        <v>3</v>
      </c>
      <c r="D11" s="72">
        <f>3-D10</f>
        <v>3</v>
      </c>
      <c r="E11" s="72">
        <f>3-E10</f>
        <v>3</v>
      </c>
      <c r="F11" s="72">
        <f>3-F10</f>
        <v>3</v>
      </c>
      <c r="G11" s="72">
        <f>3-G10</f>
        <v>3</v>
      </c>
    </row>
    <row r="12" spans="1:7">
      <c r="A12" s="77">
        <v>0.14</v>
      </c>
      <c r="B12" s="72" t="s">
        <v>561</v>
      </c>
      <c r="C12" s="72">
        <f>C10*$A$12</f>
        <v>0</v>
      </c>
      <c r="D12" s="72">
        <f>D10*$A$12</f>
        <v>0</v>
      </c>
      <c r="E12" s="72">
        <f>E10*$A$12</f>
        <v>0</v>
      </c>
      <c r="F12" s="72">
        <f>F10*$A$12</f>
        <v>0</v>
      </c>
      <c r="G12" s="72">
        <f>G10*$A$12</f>
        <v>0</v>
      </c>
    </row>
    <row r="13" spans="1:7">
      <c r="A13" s="72">
        <v>50</v>
      </c>
      <c r="B13" s="72" t="s">
        <v>562</v>
      </c>
      <c r="C13" s="72">
        <f>C11*$A$13</f>
        <v>150</v>
      </c>
      <c r="D13" s="72">
        <f>D11*$A$13</f>
        <v>150</v>
      </c>
      <c r="E13" s="72">
        <f>E11*$A$13</f>
        <v>150</v>
      </c>
      <c r="F13" s="72">
        <f>F11*$A$13</f>
        <v>150</v>
      </c>
      <c r="G13" s="72">
        <f>G11*$A$13</f>
        <v>150</v>
      </c>
    </row>
    <row r="15" spans="1:7">
      <c r="A15" s="72" t="s">
        <v>41</v>
      </c>
      <c r="B15" s="72" t="s">
        <v>541</v>
      </c>
      <c r="C15" s="72">
        <f>16%*2</f>
        <v>0.32</v>
      </c>
      <c r="D15" s="72">
        <f>16%*2</f>
        <v>0.32</v>
      </c>
      <c r="G15" s="77">
        <v>0.12</v>
      </c>
    </row>
    <row r="16" spans="2:7">
      <c r="B16" s="72" t="s">
        <v>547</v>
      </c>
      <c r="F16" s="77">
        <v>0.3</v>
      </c>
      <c r="G16" s="77"/>
    </row>
    <row r="19" spans="2:7">
      <c r="B19" s="72" t="s">
        <v>563</v>
      </c>
      <c r="C19" s="72">
        <f>C2*C12+C2+C3</f>
        <v>1996</v>
      </c>
      <c r="D19" s="72">
        <f>D2*D12+D2+D3</f>
        <v>1651</v>
      </c>
      <c r="E19" s="72">
        <f>E2*E12+E2+E3</f>
        <v>2245</v>
      </c>
      <c r="F19" s="72">
        <f>F2*F12+F2+F3</f>
        <v>1897</v>
      </c>
      <c r="G19" s="72">
        <f>G2*G12+G2+G3</f>
        <v>2528</v>
      </c>
    </row>
    <row r="20" spans="2:7">
      <c r="B20" s="72" t="s">
        <v>564</v>
      </c>
      <c r="C20" s="72">
        <f>C4+C13</f>
        <v>422</v>
      </c>
      <c r="D20" s="72">
        <f>D4+D13</f>
        <v>608</v>
      </c>
      <c r="E20" s="72">
        <f>E4+E13</f>
        <v>312</v>
      </c>
      <c r="F20" s="72">
        <f>F4+F13</f>
        <v>312</v>
      </c>
      <c r="G20" s="72">
        <f>G4+G13</f>
        <v>312</v>
      </c>
    </row>
    <row r="21" spans="2:7">
      <c r="B21" s="72" t="s">
        <v>565</v>
      </c>
      <c r="C21" s="72">
        <f>C7+C15</f>
        <v>0.786</v>
      </c>
      <c r="D21" s="72">
        <f>D7+D15</f>
        <v>0.786</v>
      </c>
      <c r="E21" s="72">
        <f>E7+E15</f>
        <v>0.466</v>
      </c>
      <c r="F21" s="72">
        <f>F7+F15</f>
        <v>0.466</v>
      </c>
      <c r="G21" s="72">
        <f>G7+G15</f>
        <v>0.586</v>
      </c>
    </row>
    <row r="25" spans="1:6">
      <c r="A25" s="75">
        <v>0.0015</v>
      </c>
      <c r="B25" s="72" t="s">
        <v>566</v>
      </c>
      <c r="C25" s="72">
        <f>$A$25*C20</f>
        <v>0.633</v>
      </c>
      <c r="D25" s="72">
        <f>$A$25*D20</f>
        <v>0.912</v>
      </c>
      <c r="E25" s="72">
        <f>$A$25*E20</f>
        <v>0.468</v>
      </c>
      <c r="F25" s="72">
        <f>$A$25*F20</f>
        <v>0.468</v>
      </c>
    </row>
    <row r="26" spans="1:1">
      <c r="A26" s="75"/>
    </row>
    <row r="27" spans="1:7">
      <c r="A27" s="72" t="s">
        <v>567</v>
      </c>
      <c r="B27" s="72" t="s">
        <v>568</v>
      </c>
      <c r="C27" s="75">
        <v>1.612</v>
      </c>
      <c r="D27" s="75">
        <v>1.612</v>
      </c>
      <c r="E27" s="75">
        <v>1.612</v>
      </c>
      <c r="F27" s="75">
        <v>1.612</v>
      </c>
      <c r="G27" s="75">
        <v>1.612</v>
      </c>
    </row>
    <row r="28" spans="1:7">
      <c r="A28" s="72" t="s">
        <v>569</v>
      </c>
      <c r="B28" s="72">
        <v>1</v>
      </c>
      <c r="C28" s="77">
        <f>442%</f>
        <v>4.42</v>
      </c>
      <c r="D28" s="77">
        <f>442%</f>
        <v>4.42</v>
      </c>
      <c r="E28" s="77">
        <f>442%</f>
        <v>4.42</v>
      </c>
      <c r="F28" s="77">
        <f>442%</f>
        <v>4.42</v>
      </c>
      <c r="G28" s="77">
        <f>442%</f>
        <v>4.42</v>
      </c>
    </row>
    <row r="29" spans="2:7">
      <c r="B29" s="72">
        <v>3</v>
      </c>
      <c r="C29" s="77">
        <v>5.67</v>
      </c>
      <c r="D29" s="77">
        <v>5.67</v>
      </c>
      <c r="E29" s="77">
        <v>5.67</v>
      </c>
      <c r="F29" s="77">
        <v>5.67</v>
      </c>
      <c r="G29" s="77">
        <v>5.67</v>
      </c>
    </row>
    <row r="32" spans="2:7">
      <c r="B32" s="72" t="s">
        <v>570</v>
      </c>
      <c r="C32" s="72">
        <f t="shared" ref="C32:G32" si="0">C27*C19*(1+C5*C6)*(1+C21)*(1+C16)*(1+C25)</f>
        <v>18387.6995809817</v>
      </c>
      <c r="D32" s="72">
        <f t="shared" si="0"/>
        <v>15792.0772263691</v>
      </c>
      <c r="E32" s="72">
        <f t="shared" si="0"/>
        <v>15260.7400470305</v>
      </c>
      <c r="F32" s="72">
        <f t="shared" si="0"/>
        <v>19146.7835953238</v>
      </c>
      <c r="G32" s="72">
        <f t="shared" si="0"/>
        <v>12664.2500230272</v>
      </c>
    </row>
    <row r="33" spans="2:7">
      <c r="B33" s="72" t="s">
        <v>571</v>
      </c>
      <c r="C33" s="72">
        <f>C29*C19*(1+C5*C6)*(1+C21)*(1+C16)</f>
        <v>39605.840695764</v>
      </c>
      <c r="D33" s="72">
        <f>D29*D19*(1+D5*D6)*(1+D21)*(1+D16)</f>
        <v>29051.5556292998</v>
      </c>
      <c r="E33" s="72">
        <f>E29*E19*(1+E5*E6)*(1+E21)*(1+E16)</f>
        <v>36565.166930355</v>
      </c>
      <c r="F33" s="72">
        <f>F29*F19*(1+F5*F6)*(1+F21)*(1+F16)</f>
        <v>45876.237730596</v>
      </c>
      <c r="G33" s="72">
        <f>G29*G19*(1+G5*G6)*(1+G21)*(1+G16)</f>
        <v>44544.849646752</v>
      </c>
    </row>
  </sheetData>
  <conditionalFormatting sqref="C32:G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G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A1:H27"/>
  <sheetViews>
    <sheetView workbookViewId="0">
      <selection activeCell="H39" sqref="H39"/>
    </sheetView>
  </sheetViews>
  <sheetFormatPr defaultColWidth="9" defaultRowHeight="13.5" outlineLevelCol="7"/>
  <cols>
    <col min="1" max="1" width="9" style="72"/>
    <col min="2" max="2" width="24.75" style="72" customWidth="1"/>
    <col min="3" max="6" width="12.625" style="72"/>
    <col min="8" max="8" width="12.625" style="72"/>
    <col min="9" max="16384" width="9" style="72"/>
  </cols>
  <sheetData>
    <row r="1" spans="3:5">
      <c r="C1" s="72" t="s">
        <v>572</v>
      </c>
      <c r="E1" s="72" t="s">
        <v>573</v>
      </c>
    </row>
    <row r="2" spans="6:8">
      <c r="F2" s="72" t="s">
        <v>574</v>
      </c>
      <c r="H2" s="72" t="s">
        <v>574</v>
      </c>
    </row>
    <row r="3" spans="2:8">
      <c r="B3" s="72" t="s">
        <v>575</v>
      </c>
      <c r="C3" s="77">
        <v>2.27</v>
      </c>
      <c r="D3" s="77"/>
      <c r="E3" s="77">
        <v>2.27</v>
      </c>
      <c r="F3" s="77">
        <v>2.27</v>
      </c>
      <c r="H3" s="77">
        <v>2.27</v>
      </c>
    </row>
    <row r="4" spans="2:8">
      <c r="B4" s="72" t="s">
        <v>576</v>
      </c>
      <c r="C4" s="77">
        <v>0.8</v>
      </c>
      <c r="D4" s="77"/>
      <c r="E4" s="77">
        <v>0.8</v>
      </c>
      <c r="F4" s="77">
        <v>0.8</v>
      </c>
      <c r="H4" s="77">
        <v>0.8</v>
      </c>
    </row>
    <row r="5" spans="3:8">
      <c r="C5" s="72" t="s">
        <v>577</v>
      </c>
      <c r="E5" s="72" t="s">
        <v>577</v>
      </c>
      <c r="F5" s="72" t="s">
        <v>577</v>
      </c>
      <c r="H5" s="72" t="s">
        <v>577</v>
      </c>
    </row>
    <row r="8" spans="2:8">
      <c r="B8" s="72" t="s">
        <v>578</v>
      </c>
      <c r="C8" s="72">
        <v>876</v>
      </c>
      <c r="E8" s="72">
        <v>876</v>
      </c>
      <c r="F8" s="72">
        <v>876</v>
      </c>
      <c r="H8" s="72">
        <v>876</v>
      </c>
    </row>
    <row r="9" spans="2:8">
      <c r="B9" s="72" t="s">
        <v>579</v>
      </c>
      <c r="C9" s="72">
        <v>1819</v>
      </c>
      <c r="E9" s="72">
        <f>1819-C10</f>
        <v>1556.2</v>
      </c>
      <c r="F9" s="72">
        <f>E9+58.3%*F8</f>
        <v>2066.908</v>
      </c>
      <c r="H9" s="72">
        <v>1665</v>
      </c>
    </row>
    <row r="10" spans="1:3">
      <c r="A10" s="72" t="s">
        <v>572</v>
      </c>
      <c r="B10" s="72" t="s">
        <v>580</v>
      </c>
      <c r="C10" s="72">
        <f>C8*0.3</f>
        <v>262.8</v>
      </c>
    </row>
    <row r="11" spans="2:3">
      <c r="B11" s="72" t="s">
        <v>581</v>
      </c>
      <c r="C11" s="72">
        <f>C8*(6%*4)</f>
        <v>210.24</v>
      </c>
    </row>
    <row r="12" spans="1:8">
      <c r="A12" s="72" t="s">
        <v>573</v>
      </c>
      <c r="B12" s="72" t="s">
        <v>582</v>
      </c>
      <c r="E12" s="75">
        <f>0.2+0.25+0.25</f>
        <v>0.7</v>
      </c>
      <c r="F12" s="75">
        <f>0.2+0.25+0.25</f>
        <v>0.7</v>
      </c>
      <c r="H12" s="75">
        <v>0.2</v>
      </c>
    </row>
    <row r="14" spans="2:8">
      <c r="B14" s="72" t="s">
        <v>583</v>
      </c>
      <c r="C14" s="72">
        <f>C8+C9+C11</f>
        <v>2905.24</v>
      </c>
      <c r="E14" s="72">
        <f>E8+E9+E11</f>
        <v>2432.2</v>
      </c>
      <c r="F14" s="72">
        <f>F8+F9+F11</f>
        <v>2942.908</v>
      </c>
      <c r="H14" s="72">
        <f>H8+H9+H11</f>
        <v>2541</v>
      </c>
    </row>
    <row r="16" spans="2:8">
      <c r="B16" s="72" t="s">
        <v>584</v>
      </c>
      <c r="C16" s="75">
        <f>6%*4</f>
        <v>0.24</v>
      </c>
      <c r="D16" s="75"/>
      <c r="E16" s="75"/>
      <c r="F16" s="75"/>
      <c r="H16" s="75"/>
    </row>
    <row r="17" spans="2:8">
      <c r="B17" s="72" t="s">
        <v>585</v>
      </c>
      <c r="C17" s="75">
        <f>99.4%-C16</f>
        <v>0.754</v>
      </c>
      <c r="D17" s="75"/>
      <c r="E17" s="75">
        <v>0.754</v>
      </c>
      <c r="F17" s="75">
        <v>0.754</v>
      </c>
      <c r="H17" s="75">
        <v>0.754</v>
      </c>
    </row>
    <row r="19" spans="2:8">
      <c r="B19" s="72" t="s">
        <v>14</v>
      </c>
      <c r="C19" s="75">
        <v>0.645</v>
      </c>
      <c r="D19" s="75"/>
      <c r="E19" s="75">
        <v>0.645</v>
      </c>
      <c r="F19" s="75">
        <f>64.5%-31.3%</f>
        <v>0.332</v>
      </c>
      <c r="H19" s="75">
        <v>0.505</v>
      </c>
    </row>
    <row r="20" spans="2:8">
      <c r="B20" s="72" t="s">
        <v>15</v>
      </c>
      <c r="C20" s="75">
        <v>1.223</v>
      </c>
      <c r="D20" s="75"/>
      <c r="E20" s="75">
        <v>1.223</v>
      </c>
      <c r="F20" s="75">
        <v>1.223</v>
      </c>
      <c r="H20" s="75">
        <v>1.697</v>
      </c>
    </row>
    <row r="23" spans="3:8">
      <c r="C23" s="72">
        <f>(C3+C4)*(C14)*(1+C16+C17+C12)</f>
        <v>17784.6590792</v>
      </c>
      <c r="E23" s="72">
        <f>(E3+E4)*(E14)*(1+E16+E17+E12)</f>
        <v>18323.659716</v>
      </c>
      <c r="F23" s="72">
        <f>(F3+F4)*(F14)*(1+F16+F17+F12)</f>
        <v>22171.22143224</v>
      </c>
      <c r="H23" s="72">
        <f>(H3+H4)*(H14)*(1+H16+H17+H12)</f>
        <v>15242.89998</v>
      </c>
    </row>
    <row r="25" spans="2:8">
      <c r="B25" s="72" t="s">
        <v>586</v>
      </c>
      <c r="C25" s="72">
        <f t="shared" ref="C25:H25" si="0">(C3+C4)*(C14)*(1+C16+C17+C12)</f>
        <v>17784.6590792</v>
      </c>
      <c r="E25" s="72">
        <f t="shared" si="0"/>
        <v>18323.659716</v>
      </c>
      <c r="F25" s="72">
        <f t="shared" si="0"/>
        <v>22171.22143224</v>
      </c>
      <c r="H25" s="72">
        <f t="shared" si="0"/>
        <v>15242.89998</v>
      </c>
    </row>
    <row r="26" spans="2:8">
      <c r="B26" s="72" t="s">
        <v>587</v>
      </c>
      <c r="C26" s="72">
        <f>C25*(1+C19*C20)</f>
        <v>31813.8206239407</v>
      </c>
      <c r="E26" s="72">
        <f>E25*(1+E19*E20)</f>
        <v>32778.0038280709</v>
      </c>
      <c r="F26" s="72">
        <f>F25*(1+F19*F20)</f>
        <v>31173.535497701</v>
      </c>
      <c r="H26" s="72">
        <f>H25*(1+H19*H20)</f>
        <v>28305.8366193603</v>
      </c>
    </row>
    <row r="27" s="75" customFormat="1" spans="3:8">
      <c r="C27" s="75">
        <f>C26/$C$26</f>
        <v>1</v>
      </c>
      <c r="E27" s="75">
        <f>E26/$C$26</f>
        <v>1.03030705477118</v>
      </c>
      <c r="F27" s="75">
        <f>F26/$C$26</f>
        <v>0.979873994582158</v>
      </c>
      <c r="H27" s="75">
        <f>H26/$C$26</f>
        <v>0.889733960405228</v>
      </c>
    </row>
  </sheetData>
  <conditionalFormatting sqref="F2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E26 I26:L2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I32"/>
  <sheetViews>
    <sheetView zoomScale="130" zoomScaleNormal="130" workbookViewId="0">
      <selection activeCell="I29" sqref="I29"/>
    </sheetView>
  </sheetViews>
  <sheetFormatPr defaultColWidth="9" defaultRowHeight="13.5"/>
  <cols>
    <col min="1" max="1" width="9" style="72"/>
    <col min="2" max="2" width="12.875" style="72" customWidth="1"/>
    <col min="3" max="6" width="12.625" style="72" hidden="1" customWidth="1"/>
    <col min="7" max="7" width="9" style="73" hidden="1" customWidth="1"/>
    <col min="8" max="9" width="12.625" style="72"/>
    <col min="10" max="16384" width="9" style="72"/>
  </cols>
  <sheetData>
    <row r="1" spans="3:8">
      <c r="C1" s="72" t="s">
        <v>588</v>
      </c>
      <c r="H1" s="72" t="s">
        <v>589</v>
      </c>
    </row>
    <row r="2" spans="6:9">
      <c r="F2" s="74" t="s">
        <v>590</v>
      </c>
      <c r="H2" s="72" t="s">
        <v>591</v>
      </c>
      <c r="I2" s="72" t="s">
        <v>573</v>
      </c>
    </row>
    <row r="3" spans="2:9">
      <c r="B3" s="72" t="s">
        <v>41</v>
      </c>
      <c r="C3" s="72" t="s">
        <v>592</v>
      </c>
      <c r="D3" s="72" t="s">
        <v>593</v>
      </c>
      <c r="E3" s="72" t="s">
        <v>593</v>
      </c>
      <c r="F3" s="72" t="s">
        <v>593</v>
      </c>
      <c r="H3" s="72" t="s">
        <v>526</v>
      </c>
      <c r="I3" s="72" t="s">
        <v>526</v>
      </c>
    </row>
    <row r="4" spans="2:9">
      <c r="B4" s="72" t="s">
        <v>555</v>
      </c>
      <c r="C4" s="72">
        <v>599</v>
      </c>
      <c r="D4" s="72">
        <v>754</v>
      </c>
      <c r="E4" s="72">
        <v>754</v>
      </c>
      <c r="F4" s="72">
        <v>754</v>
      </c>
      <c r="H4" s="72">
        <v>786</v>
      </c>
      <c r="I4" s="72">
        <v>786</v>
      </c>
    </row>
    <row r="5" spans="2:9">
      <c r="B5" s="72" t="s">
        <v>556</v>
      </c>
      <c r="C5" s="72">
        <v>1176</v>
      </c>
      <c r="D5" s="72">
        <v>1712</v>
      </c>
      <c r="E5" s="72">
        <v>1396</v>
      </c>
      <c r="F5" s="72">
        <v>1515</v>
      </c>
      <c r="H5" s="72">
        <v>1272</v>
      </c>
      <c r="I5" s="72">
        <f>H5-0.18*2*I4</f>
        <v>989.04</v>
      </c>
    </row>
    <row r="6" spans="2:9">
      <c r="B6" s="72" t="s">
        <v>68</v>
      </c>
      <c r="C6" s="72">
        <f>C4+C5</f>
        <v>1775</v>
      </c>
      <c r="D6" s="72">
        <f>D4+D5</f>
        <v>2466</v>
      </c>
      <c r="E6" s="72">
        <f>E4+E5</f>
        <v>2150</v>
      </c>
      <c r="F6" s="72">
        <f>F4+F5</f>
        <v>2269</v>
      </c>
      <c r="H6" s="72">
        <f>H4+H5</f>
        <v>2058</v>
      </c>
      <c r="I6" s="72">
        <f>I4+I5</f>
        <v>1775.04</v>
      </c>
    </row>
    <row r="7" spans="2:9">
      <c r="B7" s="72" t="s">
        <v>8</v>
      </c>
      <c r="C7" s="75">
        <v>0.93</v>
      </c>
      <c r="D7" s="75">
        <v>0.618</v>
      </c>
      <c r="E7" s="75">
        <v>0.618</v>
      </c>
      <c r="F7" s="75">
        <v>0.641</v>
      </c>
      <c r="G7" s="76"/>
      <c r="H7" s="75">
        <v>0.754</v>
      </c>
      <c r="I7" s="75">
        <v>0.754</v>
      </c>
    </row>
    <row r="8" spans="2:9">
      <c r="B8" s="72" t="s">
        <v>11</v>
      </c>
      <c r="C8" s="75">
        <v>1.432</v>
      </c>
      <c r="D8" s="75">
        <v>1.432</v>
      </c>
      <c r="E8" s="75">
        <v>1.339</v>
      </c>
      <c r="F8" s="75">
        <v>1.269</v>
      </c>
      <c r="G8" s="76"/>
      <c r="H8" s="75">
        <v>2.136</v>
      </c>
      <c r="I8" s="75">
        <v>2.136</v>
      </c>
    </row>
    <row r="10" spans="2:7">
      <c r="B10" s="72" t="s">
        <v>594</v>
      </c>
      <c r="C10" s="77">
        <v>0.25</v>
      </c>
      <c r="D10" s="77">
        <v>0.25</v>
      </c>
      <c r="E10" s="77">
        <v>0.583</v>
      </c>
      <c r="F10" s="77">
        <v>0.583</v>
      </c>
      <c r="G10" s="78"/>
    </row>
    <row r="11" spans="2:9">
      <c r="B11" s="72" t="s">
        <v>595</v>
      </c>
      <c r="H11" s="75">
        <v>0.466</v>
      </c>
      <c r="I11" s="75">
        <v>0.466</v>
      </c>
    </row>
    <row r="12" spans="2:9">
      <c r="B12" s="72" t="s">
        <v>596</v>
      </c>
      <c r="H12" s="72">
        <v>56</v>
      </c>
      <c r="I12" s="72">
        <v>56</v>
      </c>
    </row>
    <row r="13" spans="2:9">
      <c r="B13" s="72" t="s">
        <v>597</v>
      </c>
      <c r="H13" s="75">
        <v>0.223</v>
      </c>
      <c r="I13" s="75">
        <v>0.223</v>
      </c>
    </row>
    <row r="14" spans="2:9">
      <c r="B14" s="72" t="s">
        <v>598</v>
      </c>
      <c r="H14" s="75"/>
      <c r="I14" s="75">
        <v>0.7</v>
      </c>
    </row>
    <row r="16" spans="2:7">
      <c r="B16" s="72" t="s">
        <v>599</v>
      </c>
      <c r="C16" s="75">
        <f>(87.2%+92.5%+115%+114%+142%)/5</f>
        <v>1.1014</v>
      </c>
      <c r="D16" s="75">
        <f>(87.2%+92.5%+115%+114%+142%)/5</f>
        <v>1.1014</v>
      </c>
      <c r="E16" s="75">
        <f>(87.2%+92.5%+115%+114%+142%)/5</f>
        <v>1.1014</v>
      </c>
      <c r="F16" s="75">
        <f>(87.2%+92.5%+115%+114%+142%)/5</f>
        <v>1.1014</v>
      </c>
      <c r="G16" s="76"/>
    </row>
    <row r="17" spans="2:9">
      <c r="B17" s="72" t="s">
        <v>600</v>
      </c>
      <c r="C17" s="77">
        <v>1.89</v>
      </c>
      <c r="D17" s="77">
        <v>1.89</v>
      </c>
      <c r="E17" s="77">
        <v>1.89</v>
      </c>
      <c r="F17" s="77">
        <v>1.89</v>
      </c>
      <c r="H17" s="77">
        <v>1.89</v>
      </c>
      <c r="I17" s="77">
        <v>1.89</v>
      </c>
    </row>
    <row r="18" spans="1:9">
      <c r="A18" s="72" t="s">
        <v>601</v>
      </c>
      <c r="B18" s="72" t="s">
        <v>602</v>
      </c>
      <c r="C18" s="77">
        <v>0.3</v>
      </c>
      <c r="D18" s="77">
        <v>0.3</v>
      </c>
      <c r="E18" s="77">
        <v>0.3</v>
      </c>
      <c r="F18" s="77">
        <v>0.3</v>
      </c>
      <c r="H18" s="77">
        <v>0.3</v>
      </c>
      <c r="I18" s="77">
        <v>0.3</v>
      </c>
    </row>
    <row r="19" spans="2:9">
      <c r="B19" s="72" t="s">
        <v>306</v>
      </c>
      <c r="C19" s="77">
        <v>0.8</v>
      </c>
      <c r="D19" s="77">
        <v>0.8</v>
      </c>
      <c r="E19" s="77">
        <v>0.8</v>
      </c>
      <c r="F19" s="77">
        <v>0.8</v>
      </c>
      <c r="H19" s="77">
        <v>0.8</v>
      </c>
      <c r="I19" s="77">
        <v>0.8</v>
      </c>
    </row>
    <row r="20" spans="9:9">
      <c r="I20" s="77"/>
    </row>
    <row r="21" spans="9:9">
      <c r="I21" s="77"/>
    </row>
    <row r="22" spans="9:9">
      <c r="I22" s="77"/>
    </row>
    <row r="25" spans="2:9">
      <c r="B25" s="72" t="s">
        <v>603</v>
      </c>
      <c r="C25" s="72">
        <f t="shared" ref="C25:H25" si="0">C6*(1+C7*C8)*(1+C10)</f>
        <v>5173.5925</v>
      </c>
      <c r="D25" s="72">
        <f t="shared" si="0"/>
        <v>5810.43852</v>
      </c>
      <c r="E25" s="72">
        <f t="shared" si="0"/>
        <v>6219.8116819</v>
      </c>
      <c r="F25" s="72">
        <f t="shared" si="0"/>
        <v>6513.523244783</v>
      </c>
      <c r="G25" s="76"/>
      <c r="H25" s="72">
        <f>H6*(1+H7*H8)*(1+H10)</f>
        <v>5372.499552</v>
      </c>
      <c r="I25" s="72">
        <f>I6*(1+I7*I8)*(1+I10)</f>
        <v>4633.82002176</v>
      </c>
    </row>
    <row r="26" spans="2:9">
      <c r="B26" s="72" t="s">
        <v>601</v>
      </c>
      <c r="C26" s="72">
        <f>C6*(1+C11)*(C18+C19)</f>
        <v>1952.5</v>
      </c>
      <c r="D26" s="72">
        <f>D6*(1+D11)*(D18+D19)</f>
        <v>2712.6</v>
      </c>
      <c r="E26" s="72">
        <f>E6*(1+E11)*(E18+E19)</f>
        <v>2365</v>
      </c>
      <c r="F26" s="72">
        <f>F6*(1+F11)*(F18+F19)</f>
        <v>2495.9</v>
      </c>
      <c r="G26" s="76"/>
      <c r="H26" s="72">
        <f>H6*(1+H11)*(H18+H19)</f>
        <v>3318.7308</v>
      </c>
      <c r="I26" s="72">
        <f>I6*(1+I11)*(I18+I19)</f>
        <v>2862.429504</v>
      </c>
    </row>
    <row r="27" spans="2:9">
      <c r="B27" s="72" t="s">
        <v>604</v>
      </c>
      <c r="C27" s="72">
        <f>C26*(1+C7*C8)</f>
        <v>4552.7614</v>
      </c>
      <c r="D27" s="72">
        <f>D26*(1+D7*D8)</f>
        <v>5113.1858976</v>
      </c>
      <c r="E27" s="72">
        <f>E26*(1+E7*E8)</f>
        <v>4322.04223</v>
      </c>
      <c r="F27" s="72">
        <f>F26*(1+F7*F8)</f>
        <v>4526.1374411</v>
      </c>
      <c r="G27" s="76"/>
      <c r="H27" s="72">
        <f>H26*(1+H7*H8)</f>
        <v>8663.6927775552</v>
      </c>
      <c r="I27" s="72">
        <f>I26*(1+I7*I8)</f>
        <v>7472.49816709018</v>
      </c>
    </row>
    <row r="28" spans="2:9">
      <c r="B28" s="72" t="s">
        <v>605</v>
      </c>
      <c r="C28" s="72">
        <f>C6*(1+C11)*C17</f>
        <v>3354.75</v>
      </c>
      <c r="D28" s="72">
        <f>D6*(1+D11)*D17</f>
        <v>4660.74</v>
      </c>
      <c r="E28" s="72">
        <f>E6*(1+E11)*E17*(1+E14)</f>
        <v>4063.5</v>
      </c>
      <c r="F28" s="72">
        <f>F6*(1+F11)*F17*(1+F14)</f>
        <v>4288.41</v>
      </c>
      <c r="G28" s="76"/>
      <c r="H28" s="72">
        <f>H6*H17*(1+H11+H14)</f>
        <v>5702.18292</v>
      </c>
      <c r="I28" s="72">
        <f>I6*I17*(1+I11+I14)</f>
        <v>7266.5522496</v>
      </c>
    </row>
    <row r="29" spans="2:9">
      <c r="B29" s="72" t="s">
        <v>570</v>
      </c>
      <c r="C29" s="72">
        <f>C28*(1+C7*(C8))</f>
        <v>7822.47186</v>
      </c>
      <c r="D29" s="72">
        <f>D28*(1+D7*(D8))</f>
        <v>8785.38304224</v>
      </c>
      <c r="E29" s="72">
        <f>E28*(1+E7*(E8))</f>
        <v>7426.054377</v>
      </c>
      <c r="F29" s="72">
        <f>F28*(1+F7*(F8))</f>
        <v>7776.72705789</v>
      </c>
      <c r="H29" s="72">
        <f>H28*(1+H7*(H8))</f>
        <v>14885.7994087085</v>
      </c>
      <c r="I29" s="72">
        <f>I28*(1+I7*(I8))</f>
        <v>18969.6543758798</v>
      </c>
    </row>
    <row r="30" spans="2:9">
      <c r="B30" s="72" t="s">
        <v>317</v>
      </c>
      <c r="C30" s="72">
        <f>C29+C27</f>
        <v>12375.23326</v>
      </c>
      <c r="D30" s="72">
        <f>D29+D27</f>
        <v>13898.56893984</v>
      </c>
      <c r="E30" s="72">
        <f>E29+E27</f>
        <v>11748.096607</v>
      </c>
      <c r="F30" s="72">
        <f>F29+F27</f>
        <v>12302.86449899</v>
      </c>
      <c r="H30" s="72">
        <f>H29+H27</f>
        <v>23549.4921862637</v>
      </c>
      <c r="I30" s="72">
        <f>I29+I27</f>
        <v>26442.15254297</v>
      </c>
    </row>
    <row r="31" spans="8:9">
      <c r="H31" s="75">
        <f>H30/$H$30</f>
        <v>1</v>
      </c>
      <c r="I31" s="75">
        <f>I30/$H$30</f>
        <v>1.12283323707479</v>
      </c>
    </row>
    <row r="32" spans="2:9">
      <c r="B32" s="72" t="s">
        <v>606</v>
      </c>
      <c r="I32" s="72">
        <f>I29*(1+I13)</f>
        <v>23199.887301701</v>
      </c>
    </row>
  </sheetData>
  <conditionalFormatting sqref="C30:F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R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6"/>
  <dimension ref="A1:S103"/>
  <sheetViews>
    <sheetView workbookViewId="0">
      <pane xSplit="4" ySplit="1" topLeftCell="E50" activePane="bottomRight" state="frozen"/>
      <selection/>
      <selection pane="topRight"/>
      <selection pane="bottomLeft"/>
      <selection pane="bottomRight" activeCell="F100" sqref="F100"/>
    </sheetView>
  </sheetViews>
  <sheetFormatPr defaultColWidth="9" defaultRowHeight="13.5"/>
  <cols>
    <col min="1" max="1" width="14.875" customWidth="1"/>
    <col min="2" max="2" width="12.625"/>
    <col min="3" max="3" width="15.875" customWidth="1"/>
    <col min="6" max="6" width="12.5" customWidth="1"/>
    <col min="7" max="7" width="10.25" customWidth="1"/>
    <col min="8" max="9" width="12.625"/>
    <col min="10" max="10" width="10.25"/>
    <col min="11" max="11" width="12.625"/>
    <col min="13" max="13" width="26.125" customWidth="1"/>
    <col min="14" max="14" width="8.25" customWidth="1"/>
    <col min="15" max="15" width="9.125" customWidth="1"/>
    <col min="16" max="16" width="8.5" customWidth="1"/>
    <col min="17" max="18" width="12.625"/>
  </cols>
  <sheetData>
    <row r="1" ht="16.5" customHeight="1" spans="1:11">
      <c r="A1" s="19" t="s">
        <v>4</v>
      </c>
      <c r="B1" s="19" t="s">
        <v>5</v>
      </c>
      <c r="C1" s="19"/>
      <c r="D1" s="19" t="s">
        <v>6</v>
      </c>
      <c r="E1" s="19" t="s">
        <v>7</v>
      </c>
      <c r="F1" s="19"/>
      <c r="G1" s="19"/>
      <c r="H1" s="19"/>
      <c r="I1" s="19"/>
      <c r="J1" s="19"/>
      <c r="K1" s="19"/>
    </row>
    <row r="2" ht="16.5" spans="1:18">
      <c r="A2" s="19"/>
      <c r="B2" s="19" t="s">
        <v>9</v>
      </c>
      <c r="C2" s="19" t="s">
        <v>10</v>
      </c>
      <c r="D2" s="19" t="s">
        <v>8</v>
      </c>
      <c r="E2" s="19" t="s">
        <v>11</v>
      </c>
      <c r="F2" s="19" t="s">
        <v>12</v>
      </c>
      <c r="G2" s="19" t="s">
        <v>16</v>
      </c>
      <c r="H2" s="19" t="s">
        <v>8</v>
      </c>
      <c r="I2" s="19" t="s">
        <v>11</v>
      </c>
      <c r="J2" s="19" t="s">
        <v>12</v>
      </c>
      <c r="K2" s="19" t="s">
        <v>16</v>
      </c>
      <c r="N2" t="s">
        <v>12</v>
      </c>
      <c r="O2" t="s">
        <v>587</v>
      </c>
      <c r="P2" t="s">
        <v>11</v>
      </c>
      <c r="Q2" t="s">
        <v>61</v>
      </c>
      <c r="R2" t="s">
        <v>607</v>
      </c>
    </row>
    <row r="3" ht="16.5" customHeight="1" spans="1:18">
      <c r="A3" s="19" t="s">
        <v>17</v>
      </c>
      <c r="B3" s="19" t="s">
        <v>18</v>
      </c>
      <c r="C3" s="19">
        <f>VLOOKUP(B3,圣遗物!$A$1:$B$13,2,0)</f>
        <v>4780</v>
      </c>
      <c r="D3" s="19">
        <v>1</v>
      </c>
      <c r="E3" s="19">
        <v>1</v>
      </c>
      <c r="F3" s="19">
        <v>6</v>
      </c>
      <c r="G3" s="19">
        <f>9-SUM(D3:F3)</f>
        <v>1</v>
      </c>
      <c r="H3" s="21">
        <f>VLOOKUP(H$2,圣遗物!$A:$F,6,0)+(D3-1)*VLOOKUP(H$2,圣遗物!$A:$J,10,0)</f>
        <v>0.031</v>
      </c>
      <c r="I3" s="21">
        <f>VLOOKUP(I$2,圣遗物!$A:$F,6,0)+(E3-1)*VLOOKUP(I$2,圣遗物!$A:$J,10,0)</f>
        <v>0.062</v>
      </c>
      <c r="J3" s="48">
        <f>VLOOKUP(J$2,圣遗物!$A:$F,6,0)+(F3-1)*VLOOKUP(J$2,圣遗物!$A:$J,10,0)</f>
        <v>134</v>
      </c>
      <c r="K3" s="21">
        <f>VLOOKUP(K$2,圣遗物!$A:$F,6,0)+(G3-1)*VLOOKUP(K$2,圣遗物!$A:$J,10,0)</f>
        <v>0.047</v>
      </c>
      <c r="M3" t="s">
        <v>608</v>
      </c>
      <c r="N3">
        <f>C77</f>
        <v>984</v>
      </c>
      <c r="O3">
        <f>C78</f>
        <v>0.506</v>
      </c>
      <c r="P3">
        <f>C79</f>
        <v>1.588</v>
      </c>
      <c r="Q3">
        <f>B98</f>
        <v>54140.3584150551</v>
      </c>
      <c r="R3">
        <f>B102</f>
        <v>54613.5863760302</v>
      </c>
    </row>
    <row r="4" ht="16.5" spans="1:19">
      <c r="A4" s="19" t="s">
        <v>19</v>
      </c>
      <c r="B4" s="19" t="s">
        <v>20</v>
      </c>
      <c r="C4" s="19">
        <f>VLOOKUP(B4,圣遗物!$A$1:$B$13,2,0)</f>
        <v>311</v>
      </c>
      <c r="D4" s="19">
        <f>7-F4</f>
        <v>1</v>
      </c>
      <c r="E4" s="19">
        <v>1</v>
      </c>
      <c r="F4" s="19">
        <v>6</v>
      </c>
      <c r="G4" s="19">
        <f>9-SUM(D4:F4)</f>
        <v>1</v>
      </c>
      <c r="H4" s="21">
        <f>VLOOKUP(H$2,圣遗物!$A:$F,6,0)+(D4-1)*VLOOKUP(H$2,圣遗物!$A:$J,10,0)</f>
        <v>0.031</v>
      </c>
      <c r="I4" s="21">
        <f>VLOOKUP(I$2,圣遗物!$A:$F,6,0)+(E4-1)*VLOOKUP(I$2,圣遗物!$A:$J,10,0)</f>
        <v>0.062</v>
      </c>
      <c r="J4" s="48">
        <f>VLOOKUP(J$2,圣遗物!$A:$F,6,0)+(F4-1)*VLOOKUP(J$2,圣遗物!$A:$J,10,0)</f>
        <v>134</v>
      </c>
      <c r="K4" s="21">
        <f>VLOOKUP(K$2,圣遗物!$A:$F,6,0)+(G4-1)*VLOOKUP(K$2,圣遗物!$A:$J,10,0)</f>
        <v>0.047</v>
      </c>
      <c r="M4" t="s">
        <v>609</v>
      </c>
      <c r="N4">
        <v>1010</v>
      </c>
      <c r="O4">
        <v>0.746</v>
      </c>
      <c r="Q4">
        <v>45740.1075151656</v>
      </c>
      <c r="R4">
        <v>47588.5460739957</v>
      </c>
      <c r="S4" t="s">
        <v>610</v>
      </c>
    </row>
    <row r="5" ht="16.5" spans="1:19">
      <c r="A5" s="19" t="s">
        <v>22</v>
      </c>
      <c r="B5" s="19" t="s">
        <v>12</v>
      </c>
      <c r="C5" s="48">
        <f>VLOOKUP(B5,圣遗物!$A$1:$B$13,2,0)</f>
        <v>187</v>
      </c>
      <c r="D5" s="19">
        <v>3</v>
      </c>
      <c r="E5" s="19">
        <v>1</v>
      </c>
      <c r="F5" s="19">
        <v>4</v>
      </c>
      <c r="G5" s="19">
        <f>9-SUM(D5:F5)</f>
        <v>1</v>
      </c>
      <c r="H5" s="21">
        <f>VLOOKUP(H$2,圣遗物!$A:$F,6,0)+(D5-1)*VLOOKUP(H$2,圣遗物!$A:$J,10,0)</f>
        <v>0.109</v>
      </c>
      <c r="I5" s="21">
        <f>VLOOKUP(I$2,圣遗物!$A:$F,6,0)+(E5-1)*VLOOKUP(I$2,圣遗物!$A:$J,10,0)</f>
        <v>0.062</v>
      </c>
      <c r="J5" s="48">
        <f>VLOOKUP(J$2,圣遗物!$A:$F,6,0)+(F5-1)*VLOOKUP(J$2,圣遗物!$A:$J,10,0)</f>
        <v>88</v>
      </c>
      <c r="K5" s="21">
        <f>VLOOKUP(K$2,圣遗物!$A:$F,6,0)+(G5-1)*VLOOKUP(K$2,圣遗物!$A:$J,10,0)</f>
        <v>0.047</v>
      </c>
      <c r="M5" t="s">
        <v>608</v>
      </c>
      <c r="N5">
        <v>998</v>
      </c>
      <c r="O5">
        <v>0.8034</v>
      </c>
      <c r="Q5">
        <v>58452.7767122985</v>
      </c>
      <c r="R5">
        <v>59027.6908736209</v>
      </c>
      <c r="S5" t="s">
        <v>611</v>
      </c>
    </row>
    <row r="6" ht="16.5" spans="1:19">
      <c r="A6" s="19" t="s">
        <v>24</v>
      </c>
      <c r="B6" s="43" t="s">
        <v>612</v>
      </c>
      <c r="C6" s="59">
        <v>0.466</v>
      </c>
      <c r="D6" s="19">
        <f>6-E6</f>
        <v>3</v>
      </c>
      <c r="E6" s="19">
        <v>3</v>
      </c>
      <c r="F6" s="19">
        <v>2</v>
      </c>
      <c r="G6" s="19">
        <f>9-SUM(D6:F6)</f>
        <v>1</v>
      </c>
      <c r="H6" s="21">
        <f>VLOOKUP(H$2,圣遗物!$A:$F,6,0)+(D6-1)*VLOOKUP(H$2,圣遗物!$A:$J,10,0)</f>
        <v>0.109</v>
      </c>
      <c r="I6" s="21">
        <f>VLOOKUP(I$2,圣遗物!$A:$F,6,0)+(E6-1)*VLOOKUP(I$2,圣遗物!$A:$J,10,0)</f>
        <v>0.218</v>
      </c>
      <c r="J6" s="48">
        <f>VLOOKUP(J$2,圣遗物!$A:$F,6,0)+(F6-1)*VLOOKUP(J$2,圣遗物!$A:$J,10,0)</f>
        <v>42</v>
      </c>
      <c r="K6" s="21">
        <f>VLOOKUP(K$2,圣遗物!$A:$F,6,0)+(G6-1)*VLOOKUP(K$2,圣遗物!$A:$J,10,0)</f>
        <v>0.047</v>
      </c>
      <c r="M6" s="14" t="s">
        <v>608</v>
      </c>
      <c r="N6" s="14">
        <v>998</v>
      </c>
      <c r="O6" s="14">
        <v>0.7254</v>
      </c>
      <c r="P6" s="14"/>
      <c r="Q6" s="14">
        <v>59034.9712253309</v>
      </c>
      <c r="R6" s="14">
        <v>58401.6481407389</v>
      </c>
      <c r="S6" s="14" t="s">
        <v>613</v>
      </c>
    </row>
    <row r="7" ht="16.5" spans="1:11">
      <c r="A7" s="19" t="s">
        <v>26</v>
      </c>
      <c r="B7" s="19" t="s">
        <v>11</v>
      </c>
      <c r="C7" s="48">
        <f>VLOOKUP(B7,圣遗物!$A$1:$B$13,2,0)</f>
        <v>0.622</v>
      </c>
      <c r="D7" s="19">
        <v>6</v>
      </c>
      <c r="E7" s="19">
        <v>1</v>
      </c>
      <c r="F7" s="19">
        <v>1</v>
      </c>
      <c r="G7" s="19">
        <f>9-SUM(D7:F7)</f>
        <v>1</v>
      </c>
      <c r="H7" s="21">
        <f>VLOOKUP(H$2,圣遗物!$A:$F,6,0)+(D7-1)*VLOOKUP(H$2,圣遗物!$A:$J,10,0)</f>
        <v>0.226</v>
      </c>
      <c r="I7" s="21">
        <f>VLOOKUP(I$2,圣遗物!$A:$F,6,0)+(E7-1)*VLOOKUP(I$2,圣遗物!$A:$J,10,0)</f>
        <v>0.062</v>
      </c>
      <c r="J7" s="48">
        <f>VLOOKUP(J$2,圣遗物!$A:$F,6,0)+(F7-1)*VLOOKUP(J$2,圣遗物!$A:$J,10,0)</f>
        <v>19</v>
      </c>
      <c r="K7" s="21">
        <f>VLOOKUP(K$2,圣遗物!$A:$F,6,0)+(G7-1)*VLOOKUP(K$2,圣遗物!$A:$J,10,0)</f>
        <v>0.047</v>
      </c>
    </row>
    <row r="8" ht="16.5" spans="1:11">
      <c r="A8" s="19"/>
      <c r="B8" s="19"/>
      <c r="C8" s="19"/>
      <c r="D8" s="19"/>
      <c r="E8" s="19"/>
      <c r="F8" s="19"/>
      <c r="G8" s="19"/>
      <c r="H8" s="21">
        <f>SUM(H3:H7)+SUMIF($B$3:$B$7,"暴击率",$C$3:$C$7)</f>
        <v>0.506</v>
      </c>
      <c r="I8" s="21">
        <f>SUM(I3:I7)+SUMIF($B$3:$B$7,"暴击伤害",$C$3:$C$7)</f>
        <v>1.088</v>
      </c>
      <c r="J8" s="48">
        <f t="shared" ref="H8:K8" si="0">SUM(J3:J7)</f>
        <v>417</v>
      </c>
      <c r="K8" s="21">
        <f t="shared" si="0"/>
        <v>0.235</v>
      </c>
    </row>
    <row r="9" spans="3:18">
      <c r="C9">
        <f>圣遗物!B12</f>
        <v>0.466</v>
      </c>
      <c r="H9">
        <f>H8+C68</f>
        <v>0.837</v>
      </c>
      <c r="I9">
        <f>I8+1.5</f>
        <v>2.588</v>
      </c>
      <c r="J9" s="17"/>
      <c r="Q9">
        <v>39845.1752019278</v>
      </c>
      <c r="R9">
        <v>41708.621155247</v>
      </c>
    </row>
    <row r="10" spans="9:17">
      <c r="I10">
        <f>I9/H9</f>
        <v>3.09199522102748</v>
      </c>
      <c r="Q10">
        <v>32267.4097752189</v>
      </c>
    </row>
    <row r="11" spans="1:17">
      <c r="A11" t="s">
        <v>614</v>
      </c>
      <c r="Q11">
        <f>Q9/Q10</f>
        <v>1.23484269358765</v>
      </c>
    </row>
    <row r="12" spans="1:13">
      <c r="A12" s="60" t="s">
        <v>417</v>
      </c>
      <c r="B12" s="60" t="s">
        <v>615</v>
      </c>
      <c r="C12" s="60"/>
      <c r="D12" s="60" t="s">
        <v>16</v>
      </c>
      <c r="E12" s="60"/>
      <c r="F12" s="60" t="s">
        <v>23</v>
      </c>
      <c r="G12" s="60"/>
      <c r="H12" s="60" t="s">
        <v>12</v>
      </c>
      <c r="I12" s="60"/>
      <c r="M12" t="s">
        <v>616</v>
      </c>
    </row>
    <row r="13" spans="1:13">
      <c r="A13" s="60"/>
      <c r="B13" s="60" t="s">
        <v>524</v>
      </c>
      <c r="C13" s="60" t="s">
        <v>525</v>
      </c>
      <c r="D13" s="60" t="s">
        <v>524</v>
      </c>
      <c r="E13" s="60" t="s">
        <v>525</v>
      </c>
      <c r="F13" s="60" t="s">
        <v>524</v>
      </c>
      <c r="G13" s="60" t="s">
        <v>525</v>
      </c>
      <c r="H13" s="60" t="s">
        <v>524</v>
      </c>
      <c r="I13" s="60" t="s">
        <v>525</v>
      </c>
      <c r="M13" t="s">
        <v>617</v>
      </c>
    </row>
    <row r="14" spans="1:9">
      <c r="A14" s="61">
        <v>1</v>
      </c>
      <c r="B14" s="61">
        <v>807</v>
      </c>
      <c r="C14" s="61"/>
      <c r="D14" s="61">
        <v>23</v>
      </c>
      <c r="E14" s="61"/>
      <c r="F14" s="61">
        <v>49</v>
      </c>
      <c r="G14" s="61"/>
      <c r="H14" s="61">
        <v>0</v>
      </c>
      <c r="I14" s="61"/>
    </row>
    <row r="15" customHeight="1" spans="1:9">
      <c r="A15" s="61">
        <v>20</v>
      </c>
      <c r="B15" s="61">
        <v>2092</v>
      </c>
      <c r="C15" s="61">
        <v>2784</v>
      </c>
      <c r="D15" s="61">
        <v>60</v>
      </c>
      <c r="E15" s="61">
        <v>80</v>
      </c>
      <c r="F15" s="61">
        <v>127</v>
      </c>
      <c r="G15" s="61">
        <v>168</v>
      </c>
      <c r="H15" s="61"/>
      <c r="I15" s="61"/>
    </row>
    <row r="16" customHeight="1" spans="1:9">
      <c r="A16" s="61">
        <v>40</v>
      </c>
      <c r="B16" s="61">
        <v>4165</v>
      </c>
      <c r="C16" s="61">
        <v>4656</v>
      </c>
      <c r="D16" s="61">
        <v>120</v>
      </c>
      <c r="E16" s="61">
        <v>134</v>
      </c>
      <c r="F16" s="61">
        <v>253</v>
      </c>
      <c r="G16" s="61">
        <v>283</v>
      </c>
      <c r="H16" s="61">
        <v>0</v>
      </c>
      <c r="I16" s="61">
        <v>29</v>
      </c>
    </row>
    <row r="17" spans="1:9">
      <c r="A17" s="61">
        <v>50</v>
      </c>
      <c r="B17" s="61">
        <v>5357</v>
      </c>
      <c r="C17" s="61">
        <v>6012</v>
      </c>
      <c r="D17" s="61">
        <v>155</v>
      </c>
      <c r="E17" s="61">
        <v>174</v>
      </c>
      <c r="F17" s="61">
        <v>326</v>
      </c>
      <c r="G17" s="61">
        <v>366</v>
      </c>
      <c r="H17" s="61">
        <v>29</v>
      </c>
      <c r="I17" s="61">
        <v>58</v>
      </c>
    </row>
    <row r="18" spans="1:9">
      <c r="A18" s="61">
        <v>60</v>
      </c>
      <c r="B18" s="61">
        <v>5721</v>
      </c>
      <c r="C18" s="61">
        <v>7212</v>
      </c>
      <c r="D18" s="61">
        <v>194</v>
      </c>
      <c r="E18" s="61">
        <v>208</v>
      </c>
      <c r="F18" s="61">
        <v>409</v>
      </c>
      <c r="G18" s="61">
        <v>439</v>
      </c>
      <c r="H18" s="61">
        <v>58</v>
      </c>
      <c r="I18" s="61">
        <v>58</v>
      </c>
    </row>
    <row r="19" spans="1:9">
      <c r="A19" s="61">
        <v>70</v>
      </c>
      <c r="B19" s="61">
        <v>7926</v>
      </c>
      <c r="C19" s="61">
        <v>8419</v>
      </c>
      <c r="D19" s="61">
        <v>229</v>
      </c>
      <c r="E19" s="61">
        <v>243</v>
      </c>
      <c r="F19" s="61">
        <v>482</v>
      </c>
      <c r="G19" s="61">
        <v>512</v>
      </c>
      <c r="H19" s="61">
        <v>58</v>
      </c>
      <c r="I19" s="61">
        <v>86</v>
      </c>
    </row>
    <row r="20" spans="1:9">
      <c r="A20" s="61">
        <v>80</v>
      </c>
      <c r="B20" s="61">
        <v>9140</v>
      </c>
      <c r="C20" s="61">
        <v>9632</v>
      </c>
      <c r="D20" s="61">
        <v>264</v>
      </c>
      <c r="E20" s="61">
        <v>278</v>
      </c>
      <c r="F20" s="61">
        <v>556</v>
      </c>
      <c r="G20" s="61">
        <v>596</v>
      </c>
      <c r="H20" s="61">
        <v>86</v>
      </c>
      <c r="I20" s="61">
        <v>115</v>
      </c>
    </row>
    <row r="21" spans="1:9">
      <c r="A21" s="61">
        <v>90</v>
      </c>
      <c r="B21" s="61">
        <v>10360</v>
      </c>
      <c r="C21" s="61" t="s">
        <v>528</v>
      </c>
      <c r="D21" s="61">
        <v>299</v>
      </c>
      <c r="E21" s="61" t="s">
        <v>528</v>
      </c>
      <c r="F21" s="61">
        <v>630</v>
      </c>
      <c r="G21" s="61" t="s">
        <v>528</v>
      </c>
      <c r="H21" s="61">
        <v>115</v>
      </c>
      <c r="I21" s="61" t="s">
        <v>528</v>
      </c>
    </row>
    <row r="25" spans="1:17">
      <c r="A25" t="s">
        <v>618</v>
      </c>
      <c r="B25" s="60" t="s">
        <v>619</v>
      </c>
      <c r="C25" s="60" t="s">
        <v>620</v>
      </c>
      <c r="D25" s="60" t="s">
        <v>621</v>
      </c>
      <c r="E25" s="60" t="s">
        <v>622</v>
      </c>
      <c r="F25" s="60" t="s">
        <v>623</v>
      </c>
      <c r="G25" s="60" t="s">
        <v>624</v>
      </c>
      <c r="H25" s="60" t="s">
        <v>625</v>
      </c>
      <c r="I25" s="60" t="s">
        <v>626</v>
      </c>
      <c r="J25" s="60" t="s">
        <v>627</v>
      </c>
      <c r="K25" s="60" t="s">
        <v>628</v>
      </c>
      <c r="L25" s="60" t="s">
        <v>629</v>
      </c>
      <c r="M25" s="60" t="s">
        <v>630</v>
      </c>
      <c r="N25" s="60" t="s">
        <v>631</v>
      </c>
      <c r="O25" s="60" t="s">
        <v>632</v>
      </c>
      <c r="P25" s="60" t="s">
        <v>633</v>
      </c>
      <c r="Q25" s="60" t="s">
        <v>634</v>
      </c>
    </row>
    <row r="26" spans="2:17">
      <c r="B26" s="62" t="s">
        <v>77</v>
      </c>
      <c r="C26" s="63">
        <v>0.403</v>
      </c>
      <c r="D26" s="63">
        <v>0.433</v>
      </c>
      <c r="E26" s="63">
        <v>0.464</v>
      </c>
      <c r="F26" s="63">
        <v>0.504</v>
      </c>
      <c r="G26" s="63">
        <v>0.534</v>
      </c>
      <c r="H26" s="63">
        <v>0.564</v>
      </c>
      <c r="I26" s="63">
        <v>0.605</v>
      </c>
      <c r="J26" s="63">
        <v>0.645</v>
      </c>
      <c r="K26" s="63">
        <v>0.685</v>
      </c>
      <c r="L26" s="63">
        <v>0.726</v>
      </c>
      <c r="M26" s="63">
        <v>0.766</v>
      </c>
      <c r="N26" s="61"/>
      <c r="O26" s="61"/>
      <c r="P26" s="61"/>
      <c r="Q26" s="61"/>
    </row>
    <row r="27" spans="2:17">
      <c r="B27" s="62" t="s">
        <v>635</v>
      </c>
      <c r="C27" s="63">
        <v>0.37</v>
      </c>
      <c r="D27" s="63">
        <v>0.398</v>
      </c>
      <c r="E27" s="63">
        <v>0.425</v>
      </c>
      <c r="F27" s="63">
        <v>0.462</v>
      </c>
      <c r="G27" s="63">
        <v>0.49</v>
      </c>
      <c r="H27" s="63">
        <v>0.518</v>
      </c>
      <c r="I27" s="63">
        <v>0.555</v>
      </c>
      <c r="J27" s="63">
        <v>0.592</v>
      </c>
      <c r="K27" s="63">
        <v>0.629</v>
      </c>
      <c r="L27" s="63">
        <v>0.666</v>
      </c>
      <c r="M27" s="63">
        <v>0.703</v>
      </c>
      <c r="N27" s="61"/>
      <c r="O27" s="61"/>
      <c r="P27" s="61"/>
      <c r="Q27" s="61"/>
    </row>
    <row r="28" spans="2:17">
      <c r="B28" s="62" t="s">
        <v>636</v>
      </c>
      <c r="C28" s="63">
        <v>0.459</v>
      </c>
      <c r="D28" s="63">
        <v>0.493</v>
      </c>
      <c r="E28" s="63">
        <v>0.528</v>
      </c>
      <c r="F28" s="63">
        <v>0.573</v>
      </c>
      <c r="G28" s="63">
        <v>0.608</v>
      </c>
      <c r="H28" s="63">
        <v>0.642</v>
      </c>
      <c r="I28" s="63">
        <v>0.688</v>
      </c>
      <c r="J28" s="63">
        <v>0.734</v>
      </c>
      <c r="K28" s="63">
        <v>0.78</v>
      </c>
      <c r="L28" s="63">
        <v>0.826</v>
      </c>
      <c r="M28" s="63">
        <v>0.872</v>
      </c>
      <c r="N28" s="61"/>
      <c r="O28" s="61"/>
      <c r="P28" s="61"/>
      <c r="Q28" s="61"/>
    </row>
    <row r="29" spans="2:17">
      <c r="B29" s="62" t="s">
        <v>637</v>
      </c>
      <c r="C29" s="63">
        <v>0.584</v>
      </c>
      <c r="D29" s="63">
        <v>0.628</v>
      </c>
      <c r="E29" s="63">
        <v>0.672</v>
      </c>
      <c r="F29" s="63">
        <v>0.73</v>
      </c>
      <c r="G29" s="63">
        <v>0.774</v>
      </c>
      <c r="H29" s="63">
        <v>0.818</v>
      </c>
      <c r="I29" s="63">
        <v>0.876</v>
      </c>
      <c r="J29" s="63">
        <v>0.935</v>
      </c>
      <c r="K29" s="63">
        <v>0.993</v>
      </c>
      <c r="L29" s="63">
        <v>1.051</v>
      </c>
      <c r="M29" s="63">
        <v>1.11</v>
      </c>
      <c r="N29" s="61"/>
      <c r="O29" s="61"/>
      <c r="P29" s="61"/>
      <c r="Q29" s="61"/>
    </row>
    <row r="30" spans="2:17">
      <c r="B30" s="62" t="s">
        <v>79</v>
      </c>
      <c r="C30" s="63">
        <v>1.32</v>
      </c>
      <c r="D30" s="63">
        <v>1.419</v>
      </c>
      <c r="E30" s="63">
        <v>1.518</v>
      </c>
      <c r="F30" s="63">
        <v>1.65</v>
      </c>
      <c r="G30" s="63">
        <v>1.749</v>
      </c>
      <c r="H30" s="63">
        <v>1.848</v>
      </c>
      <c r="I30" s="63">
        <v>1.98</v>
      </c>
      <c r="J30" s="63">
        <v>2.112</v>
      </c>
      <c r="K30" s="63">
        <v>2.244</v>
      </c>
      <c r="L30" s="63">
        <v>2.376</v>
      </c>
      <c r="M30" s="63">
        <v>2.508</v>
      </c>
      <c r="N30" s="61"/>
      <c r="O30" s="61"/>
      <c r="P30" s="61"/>
      <c r="Q30" s="61"/>
    </row>
    <row r="31" spans="2:17">
      <c r="B31" s="62" t="s">
        <v>638</v>
      </c>
      <c r="C31" s="61" t="s">
        <v>639</v>
      </c>
      <c r="D31" s="61" t="s">
        <v>639</v>
      </c>
      <c r="E31" s="61" t="s">
        <v>639</v>
      </c>
      <c r="F31" s="61" t="s">
        <v>639</v>
      </c>
      <c r="G31" s="61" t="s">
        <v>639</v>
      </c>
      <c r="H31" s="61" t="s">
        <v>639</v>
      </c>
      <c r="I31" s="61" t="s">
        <v>639</v>
      </c>
      <c r="J31" s="61" t="s">
        <v>639</v>
      </c>
      <c r="K31" s="61" t="s">
        <v>639</v>
      </c>
      <c r="L31" s="61" t="s">
        <v>639</v>
      </c>
      <c r="M31" s="61" t="s">
        <v>639</v>
      </c>
      <c r="N31" s="61" t="s">
        <v>639</v>
      </c>
      <c r="O31" s="61" t="s">
        <v>639</v>
      </c>
      <c r="P31" s="61" t="s">
        <v>639</v>
      </c>
      <c r="Q31" s="61" t="s">
        <v>639</v>
      </c>
    </row>
    <row r="32" spans="2:17">
      <c r="B32" s="62" t="s">
        <v>640</v>
      </c>
      <c r="C32" s="63">
        <v>0.568</v>
      </c>
      <c r="D32" s="63">
        <v>0.615</v>
      </c>
      <c r="E32" s="63">
        <v>0.661</v>
      </c>
      <c r="F32" s="63">
        <v>0.727</v>
      </c>
      <c r="G32" s="63">
        <v>0.773</v>
      </c>
      <c r="H32" s="63">
        <v>0.826</v>
      </c>
      <c r="I32" s="63">
        <v>0.899</v>
      </c>
      <c r="J32" s="63">
        <v>0.971</v>
      </c>
      <c r="K32" s="64">
        <v>1.04</v>
      </c>
      <c r="L32" s="64">
        <v>1.12</v>
      </c>
      <c r="M32" s="64">
        <v>1.2</v>
      </c>
      <c r="N32" s="61"/>
      <c r="O32" s="61"/>
      <c r="P32" s="61"/>
      <c r="Q32" s="61"/>
    </row>
    <row r="33" ht="27" spans="2:17">
      <c r="B33" s="62" t="s">
        <v>641</v>
      </c>
      <c r="C33" s="61" t="s">
        <v>642</v>
      </c>
      <c r="D33" s="61" t="s">
        <v>643</v>
      </c>
      <c r="E33" s="61" t="s">
        <v>644</v>
      </c>
      <c r="F33" s="61" t="s">
        <v>645</v>
      </c>
      <c r="G33" s="61" t="s">
        <v>646</v>
      </c>
      <c r="H33" s="61" t="s">
        <v>647</v>
      </c>
      <c r="I33" s="61" t="s">
        <v>648</v>
      </c>
      <c r="J33" s="61" t="s">
        <v>649</v>
      </c>
      <c r="K33" s="61" t="s">
        <v>650</v>
      </c>
      <c r="L33" s="61" t="s">
        <v>651</v>
      </c>
      <c r="M33" s="61" t="s">
        <v>652</v>
      </c>
      <c r="N33" s="61"/>
      <c r="O33" s="61"/>
      <c r="P33" s="61"/>
      <c r="Q33" s="61"/>
    </row>
    <row r="34" spans="1:17">
      <c r="A34" t="s">
        <v>567</v>
      </c>
      <c r="B34" s="60" t="s">
        <v>619</v>
      </c>
      <c r="C34" s="60" t="s">
        <v>620</v>
      </c>
      <c r="D34" s="60" t="s">
        <v>621</v>
      </c>
      <c r="E34" s="60" t="s">
        <v>622</v>
      </c>
      <c r="F34" s="60" t="s">
        <v>623</v>
      </c>
      <c r="G34" s="60" t="s">
        <v>624</v>
      </c>
      <c r="H34" s="60" t="s">
        <v>625</v>
      </c>
      <c r="I34" s="60" t="s">
        <v>626</v>
      </c>
      <c r="J34" s="60" t="s">
        <v>627</v>
      </c>
      <c r="K34" s="60" t="s">
        <v>628</v>
      </c>
      <c r="L34" s="60" t="s">
        <v>629</v>
      </c>
      <c r="M34" s="60" t="s">
        <v>630</v>
      </c>
      <c r="N34" s="60" t="s">
        <v>631</v>
      </c>
      <c r="O34" s="60" t="s">
        <v>632</v>
      </c>
      <c r="P34" s="60" t="s">
        <v>633</v>
      </c>
      <c r="Q34" s="60" t="s">
        <v>634</v>
      </c>
    </row>
    <row r="35" spans="2:17">
      <c r="B35" s="62" t="s">
        <v>653</v>
      </c>
      <c r="C35" s="63">
        <v>0.984</v>
      </c>
      <c r="D35" s="63">
        <v>1.058</v>
      </c>
      <c r="E35" s="63">
        <v>1.132</v>
      </c>
      <c r="F35" s="63">
        <v>1.23</v>
      </c>
      <c r="G35" s="63">
        <v>1.304</v>
      </c>
      <c r="H35" s="63">
        <v>1.378</v>
      </c>
      <c r="I35" s="63">
        <v>1.476</v>
      </c>
      <c r="J35" s="63">
        <v>1.574</v>
      </c>
      <c r="K35" s="63">
        <v>1.673</v>
      </c>
      <c r="L35" s="63">
        <v>1.771</v>
      </c>
      <c r="M35" s="63">
        <v>1.87</v>
      </c>
      <c r="N35" s="63">
        <v>1.968</v>
      </c>
      <c r="O35" s="63">
        <v>2.091</v>
      </c>
      <c r="P35" s="61"/>
      <c r="Q35" s="61"/>
    </row>
    <row r="36" spans="2:17">
      <c r="B36" s="62" t="s">
        <v>654</v>
      </c>
      <c r="C36" s="63">
        <v>1.304</v>
      </c>
      <c r="D36" s="63">
        <v>1.402</v>
      </c>
      <c r="E36" s="63">
        <v>1.5</v>
      </c>
      <c r="F36" s="63">
        <v>1.63</v>
      </c>
      <c r="G36" s="63">
        <v>1.728</v>
      </c>
      <c r="H36" s="63">
        <v>1.826</v>
      </c>
      <c r="I36" s="63">
        <v>1.956</v>
      </c>
      <c r="J36" s="63">
        <v>2.086</v>
      </c>
      <c r="K36" s="63">
        <v>2.217</v>
      </c>
      <c r="L36" s="63">
        <v>2.347</v>
      </c>
      <c r="M36" s="63">
        <v>2.478</v>
      </c>
      <c r="N36" s="63">
        <v>2.608</v>
      </c>
      <c r="O36" s="63">
        <v>2.771</v>
      </c>
      <c r="P36" s="61"/>
      <c r="Q36" s="61"/>
    </row>
    <row r="37" ht="54" spans="2:17">
      <c r="B37" s="62" t="s">
        <v>655</v>
      </c>
      <c r="C37" s="61" t="s">
        <v>656</v>
      </c>
      <c r="D37" s="61" t="s">
        <v>657</v>
      </c>
      <c r="E37" s="61" t="s">
        <v>658</v>
      </c>
      <c r="F37" s="61" t="s">
        <v>659</v>
      </c>
      <c r="G37" s="61" t="s">
        <v>660</v>
      </c>
      <c r="H37" s="61" t="s">
        <v>661</v>
      </c>
      <c r="I37" s="61" t="s">
        <v>662</v>
      </c>
      <c r="J37" s="61" t="s">
        <v>663</v>
      </c>
      <c r="K37" s="61" t="s">
        <v>664</v>
      </c>
      <c r="L37" s="61" t="s">
        <v>665</v>
      </c>
      <c r="M37" s="61" t="s">
        <v>666</v>
      </c>
      <c r="N37" s="61" t="s">
        <v>667</v>
      </c>
      <c r="O37" s="61" t="s">
        <v>668</v>
      </c>
      <c r="P37" s="61"/>
      <c r="Q37" s="61"/>
    </row>
    <row r="38" ht="27" spans="2:17">
      <c r="B38" s="62" t="s">
        <v>669</v>
      </c>
      <c r="C38" s="61" t="s">
        <v>670</v>
      </c>
      <c r="D38" s="61" t="s">
        <v>670</v>
      </c>
      <c r="E38" s="61" t="s">
        <v>670</v>
      </c>
      <c r="F38" s="61" t="s">
        <v>670</v>
      </c>
      <c r="G38" s="61" t="s">
        <v>670</v>
      </c>
      <c r="H38" s="61" t="s">
        <v>670</v>
      </c>
      <c r="I38" s="61" t="s">
        <v>670</v>
      </c>
      <c r="J38" s="61" t="s">
        <v>670</v>
      </c>
      <c r="K38" s="61" t="s">
        <v>670</v>
      </c>
      <c r="L38" s="61" t="s">
        <v>670</v>
      </c>
      <c r="M38" s="61" t="s">
        <v>670</v>
      </c>
      <c r="N38" s="61" t="s">
        <v>670</v>
      </c>
      <c r="O38" s="61" t="s">
        <v>670</v>
      </c>
      <c r="P38" s="61" t="s">
        <v>670</v>
      </c>
      <c r="Q38" s="61" t="s">
        <v>670</v>
      </c>
    </row>
    <row r="39" ht="27" spans="2:17">
      <c r="B39" s="62" t="s">
        <v>671</v>
      </c>
      <c r="C39" s="61" t="s">
        <v>672</v>
      </c>
      <c r="D39" s="61" t="s">
        <v>672</v>
      </c>
      <c r="E39" s="61" t="s">
        <v>672</v>
      </c>
      <c r="F39" s="61" t="s">
        <v>672</v>
      </c>
      <c r="G39" s="61" t="s">
        <v>672</v>
      </c>
      <c r="H39" s="61" t="s">
        <v>672</v>
      </c>
      <c r="I39" s="61" t="s">
        <v>672</v>
      </c>
      <c r="J39" s="61" t="s">
        <v>672</v>
      </c>
      <c r="K39" s="61" t="s">
        <v>672</v>
      </c>
      <c r="L39" s="61" t="s">
        <v>672</v>
      </c>
      <c r="M39" s="61" t="s">
        <v>672</v>
      </c>
      <c r="N39" s="61" t="s">
        <v>672</v>
      </c>
      <c r="O39" s="61" t="s">
        <v>672</v>
      </c>
      <c r="P39" s="61" t="s">
        <v>672</v>
      </c>
      <c r="Q39" s="61" t="s">
        <v>672</v>
      </c>
    </row>
    <row r="40" spans="2:17">
      <c r="B40" s="62" t="s">
        <v>673</v>
      </c>
      <c r="C40" s="61" t="s">
        <v>674</v>
      </c>
      <c r="D40" s="61" t="s">
        <v>674</v>
      </c>
      <c r="E40" s="61" t="s">
        <v>674</v>
      </c>
      <c r="F40" s="61" t="s">
        <v>674</v>
      </c>
      <c r="G40" s="61" t="s">
        <v>674</v>
      </c>
      <c r="H40" s="61" t="s">
        <v>674</v>
      </c>
      <c r="I40" s="61" t="s">
        <v>674</v>
      </c>
      <c r="J40" s="61" t="s">
        <v>674</v>
      </c>
      <c r="K40" s="61" t="s">
        <v>674</v>
      </c>
      <c r="L40" s="61" t="s">
        <v>674</v>
      </c>
      <c r="M40" s="61" t="s">
        <v>674</v>
      </c>
      <c r="N40" s="61" t="s">
        <v>674</v>
      </c>
      <c r="O40" s="61" t="s">
        <v>674</v>
      </c>
      <c r="P40" s="61" t="s">
        <v>674</v>
      </c>
      <c r="Q40" s="61" t="s">
        <v>674</v>
      </c>
    </row>
    <row r="41" spans="2:17">
      <c r="B41" s="62" t="s">
        <v>675</v>
      </c>
      <c r="C41" s="61" t="s">
        <v>676</v>
      </c>
      <c r="D41" s="61" t="s">
        <v>676</v>
      </c>
      <c r="E41" s="61" t="s">
        <v>676</v>
      </c>
      <c r="F41" s="61" t="s">
        <v>676</v>
      </c>
      <c r="G41" s="61" t="s">
        <v>676</v>
      </c>
      <c r="H41" s="61" t="s">
        <v>676</v>
      </c>
      <c r="I41" s="61" t="s">
        <v>676</v>
      </c>
      <c r="J41" s="61" t="s">
        <v>676</v>
      </c>
      <c r="K41" s="61" t="s">
        <v>676</v>
      </c>
      <c r="L41" s="61" t="s">
        <v>676</v>
      </c>
      <c r="M41" s="61" t="s">
        <v>676</v>
      </c>
      <c r="N41" s="61" t="s">
        <v>676</v>
      </c>
      <c r="O41" s="61" t="s">
        <v>676</v>
      </c>
      <c r="P41" s="61" t="s">
        <v>676</v>
      </c>
      <c r="Q41" s="61" t="s">
        <v>676</v>
      </c>
    </row>
    <row r="42" spans="1:17">
      <c r="A42" t="s">
        <v>677</v>
      </c>
      <c r="B42" s="60" t="s">
        <v>619</v>
      </c>
      <c r="C42" s="60" t="s">
        <v>620</v>
      </c>
      <c r="D42" s="60" t="s">
        <v>621</v>
      </c>
      <c r="E42" s="60" t="s">
        <v>622</v>
      </c>
      <c r="F42" s="60" t="s">
        <v>623</v>
      </c>
      <c r="G42" s="60" t="s">
        <v>624</v>
      </c>
      <c r="H42" s="60" t="s">
        <v>625</v>
      </c>
      <c r="I42" s="60" t="s">
        <v>626</v>
      </c>
      <c r="J42" s="60" t="s">
        <v>627</v>
      </c>
      <c r="K42" s="60" t="s">
        <v>628</v>
      </c>
      <c r="L42" s="60" t="s">
        <v>629</v>
      </c>
      <c r="M42" s="60" t="s">
        <v>630</v>
      </c>
      <c r="N42" s="60" t="s">
        <v>631</v>
      </c>
      <c r="O42" s="60" t="s">
        <v>632</v>
      </c>
      <c r="P42" s="60" t="s">
        <v>633</v>
      </c>
      <c r="Q42" s="60" t="s">
        <v>634</v>
      </c>
    </row>
    <row r="43" ht="27" spans="2:17">
      <c r="B43" s="62" t="s">
        <v>678</v>
      </c>
      <c r="C43" s="61" t="s">
        <v>679</v>
      </c>
      <c r="D43" s="61" t="s">
        <v>680</v>
      </c>
      <c r="E43" s="61" t="s">
        <v>681</v>
      </c>
      <c r="F43" s="61" t="s">
        <v>682</v>
      </c>
      <c r="G43" s="61" t="s">
        <v>683</v>
      </c>
      <c r="H43" s="61" t="s">
        <v>684</v>
      </c>
      <c r="I43" s="61" t="s">
        <v>685</v>
      </c>
      <c r="J43" s="61" t="s">
        <v>686</v>
      </c>
      <c r="K43" s="61" t="s">
        <v>687</v>
      </c>
      <c r="L43" s="61" t="s">
        <v>688</v>
      </c>
      <c r="M43" s="61" t="s">
        <v>689</v>
      </c>
      <c r="N43" s="61" t="s">
        <v>690</v>
      </c>
      <c r="O43" s="61" t="s">
        <v>691</v>
      </c>
      <c r="P43" s="61"/>
      <c r="Q43" s="61"/>
    </row>
    <row r="44" ht="27" spans="2:17">
      <c r="B44" s="62" t="s">
        <v>678</v>
      </c>
      <c r="C44" s="61" t="s">
        <v>692</v>
      </c>
      <c r="D44" s="61" t="s">
        <v>693</v>
      </c>
      <c r="E44" s="61" t="s">
        <v>694</v>
      </c>
      <c r="F44" s="61" t="s">
        <v>695</v>
      </c>
      <c r="G44" s="61" t="s">
        <v>696</v>
      </c>
      <c r="H44" s="61" t="s">
        <v>697</v>
      </c>
      <c r="I44" s="61" t="s">
        <v>698</v>
      </c>
      <c r="J44" s="61" t="s">
        <v>699</v>
      </c>
      <c r="K44" s="61" t="s">
        <v>700</v>
      </c>
      <c r="L44" s="61" t="s">
        <v>701</v>
      </c>
      <c r="M44" s="61" t="s">
        <v>702</v>
      </c>
      <c r="N44" s="61" t="s">
        <v>703</v>
      </c>
      <c r="O44" s="61" t="s">
        <v>704</v>
      </c>
      <c r="P44" s="61"/>
      <c r="Q44" s="61"/>
    </row>
    <row r="45" ht="27" spans="2:17">
      <c r="B45" s="62" t="s">
        <v>705</v>
      </c>
      <c r="C45" s="61" t="s">
        <v>706</v>
      </c>
      <c r="D45" s="61" t="s">
        <v>707</v>
      </c>
      <c r="E45" s="61" t="s">
        <v>708</v>
      </c>
      <c r="F45" s="61" t="s">
        <v>709</v>
      </c>
      <c r="G45" s="61" t="s">
        <v>710</v>
      </c>
      <c r="H45" s="61" t="s">
        <v>711</v>
      </c>
      <c r="I45" s="61" t="s">
        <v>712</v>
      </c>
      <c r="J45" s="61" t="s">
        <v>713</v>
      </c>
      <c r="K45" s="61" t="s">
        <v>714</v>
      </c>
      <c r="L45" s="61" t="s">
        <v>715</v>
      </c>
      <c r="M45" s="61" t="s">
        <v>716</v>
      </c>
      <c r="N45" s="61" t="s">
        <v>717</v>
      </c>
      <c r="O45" s="61" t="s">
        <v>718</v>
      </c>
      <c r="P45" s="61"/>
      <c r="Q45" s="61"/>
    </row>
    <row r="46" ht="27" spans="2:17">
      <c r="B46" s="62" t="s">
        <v>705</v>
      </c>
      <c r="C46" s="61" t="s">
        <v>719</v>
      </c>
      <c r="D46" s="61" t="s">
        <v>720</v>
      </c>
      <c r="E46" s="61" t="s">
        <v>721</v>
      </c>
      <c r="F46" s="61" t="s">
        <v>722</v>
      </c>
      <c r="G46" s="61" t="s">
        <v>723</v>
      </c>
      <c r="H46" s="61" t="s">
        <v>724</v>
      </c>
      <c r="I46" s="61" t="s">
        <v>725</v>
      </c>
      <c r="J46" s="61" t="s">
        <v>726</v>
      </c>
      <c r="K46" s="61" t="s">
        <v>727</v>
      </c>
      <c r="L46" s="61" t="s">
        <v>728</v>
      </c>
      <c r="M46" s="61" t="s">
        <v>729</v>
      </c>
      <c r="N46" s="61" t="s">
        <v>730</v>
      </c>
      <c r="O46" s="61" t="s">
        <v>731</v>
      </c>
      <c r="P46" s="61"/>
      <c r="Q46" s="61"/>
    </row>
    <row r="47" ht="27" spans="2:17">
      <c r="B47" s="62" t="s">
        <v>732</v>
      </c>
      <c r="C47" s="61" t="s">
        <v>733</v>
      </c>
      <c r="D47" s="61" t="s">
        <v>734</v>
      </c>
      <c r="E47" s="61" t="s">
        <v>735</v>
      </c>
      <c r="F47" s="61" t="s">
        <v>736</v>
      </c>
      <c r="G47" s="61" t="s">
        <v>737</v>
      </c>
      <c r="H47" s="61" t="s">
        <v>738</v>
      </c>
      <c r="I47" s="61" t="s">
        <v>739</v>
      </c>
      <c r="J47" s="61" t="s">
        <v>740</v>
      </c>
      <c r="K47" s="61" t="s">
        <v>741</v>
      </c>
      <c r="L47" s="61" t="s">
        <v>742</v>
      </c>
      <c r="M47" s="61" t="s">
        <v>743</v>
      </c>
      <c r="N47" s="61" t="s">
        <v>744</v>
      </c>
      <c r="O47" s="61" t="s">
        <v>745</v>
      </c>
      <c r="P47" s="61"/>
      <c r="Q47" s="61"/>
    </row>
    <row r="48" ht="27" spans="2:17">
      <c r="B48" s="62" t="s">
        <v>732</v>
      </c>
      <c r="C48" s="61" t="s">
        <v>746</v>
      </c>
      <c r="D48" s="61" t="s">
        <v>747</v>
      </c>
      <c r="E48" s="61" t="s">
        <v>748</v>
      </c>
      <c r="F48" s="61" t="s">
        <v>749</v>
      </c>
      <c r="G48" s="61" t="s">
        <v>750</v>
      </c>
      <c r="H48" s="61" t="s">
        <v>751</v>
      </c>
      <c r="I48" s="61" t="s">
        <v>752</v>
      </c>
      <c r="J48" s="61" t="s">
        <v>753</v>
      </c>
      <c r="K48" s="61" t="s">
        <v>754</v>
      </c>
      <c r="L48" s="61" t="s">
        <v>755</v>
      </c>
      <c r="M48" s="61" t="s">
        <v>756</v>
      </c>
      <c r="N48" s="61" t="s">
        <v>757</v>
      </c>
      <c r="O48" s="61" t="s">
        <v>758</v>
      </c>
      <c r="P48" s="61"/>
      <c r="Q48" s="61"/>
    </row>
    <row r="49" spans="2:17">
      <c r="B49" s="62" t="s">
        <v>759</v>
      </c>
      <c r="C49" s="61" t="s">
        <v>760</v>
      </c>
      <c r="D49" s="61" t="s">
        <v>760</v>
      </c>
      <c r="E49" s="61" t="s">
        <v>760</v>
      </c>
      <c r="F49" s="61" t="s">
        <v>760</v>
      </c>
      <c r="G49" s="61" t="s">
        <v>760</v>
      </c>
      <c r="H49" s="61" t="s">
        <v>760</v>
      </c>
      <c r="I49" s="61" t="s">
        <v>760</v>
      </c>
      <c r="J49" s="61" t="s">
        <v>760</v>
      </c>
      <c r="K49" s="61" t="s">
        <v>760</v>
      </c>
      <c r="L49" s="61" t="s">
        <v>760</v>
      </c>
      <c r="M49" s="61" t="s">
        <v>760</v>
      </c>
      <c r="N49" s="61" t="s">
        <v>760</v>
      </c>
      <c r="O49" s="61" t="s">
        <v>760</v>
      </c>
      <c r="P49" s="61" t="s">
        <v>760</v>
      </c>
      <c r="Q49" s="61" t="s">
        <v>760</v>
      </c>
    </row>
    <row r="50" spans="2:17">
      <c r="B50" s="62" t="s">
        <v>761</v>
      </c>
      <c r="C50" s="61" t="s">
        <v>762</v>
      </c>
      <c r="D50" s="61" t="s">
        <v>762</v>
      </c>
      <c r="E50" s="61" t="s">
        <v>762</v>
      </c>
      <c r="F50" s="61" t="s">
        <v>762</v>
      </c>
      <c r="G50" s="61" t="s">
        <v>762</v>
      </c>
      <c r="H50" s="61" t="s">
        <v>762</v>
      </c>
      <c r="I50" s="61" t="s">
        <v>762</v>
      </c>
      <c r="J50" s="61" t="s">
        <v>762</v>
      </c>
      <c r="K50" s="61" t="s">
        <v>762</v>
      </c>
      <c r="L50" s="61" t="s">
        <v>762</v>
      </c>
      <c r="M50" s="61" t="s">
        <v>762</v>
      </c>
      <c r="N50" s="61" t="s">
        <v>762</v>
      </c>
      <c r="O50" s="61" t="s">
        <v>762</v>
      </c>
      <c r="P50" s="61" t="s">
        <v>762</v>
      </c>
      <c r="Q50" s="61" t="s">
        <v>762</v>
      </c>
    </row>
    <row r="51" spans="2:17">
      <c r="B51" s="62" t="s">
        <v>763</v>
      </c>
      <c r="C51" s="61">
        <v>20</v>
      </c>
      <c r="D51" s="61">
        <v>20</v>
      </c>
      <c r="E51" s="61">
        <v>20</v>
      </c>
      <c r="F51" s="61">
        <v>20</v>
      </c>
      <c r="G51" s="61">
        <v>20</v>
      </c>
      <c r="H51" s="61">
        <v>20</v>
      </c>
      <c r="I51" s="61">
        <v>20</v>
      </c>
      <c r="J51" s="61">
        <v>20</v>
      </c>
      <c r="K51" s="61">
        <v>20</v>
      </c>
      <c r="L51" s="61">
        <v>20</v>
      </c>
      <c r="M51" s="61">
        <v>20</v>
      </c>
      <c r="N51" s="61">
        <v>20</v>
      </c>
      <c r="O51" s="61">
        <v>20</v>
      </c>
      <c r="P51" s="61">
        <v>20</v>
      </c>
      <c r="Q51" s="61">
        <v>20</v>
      </c>
    </row>
    <row r="52" spans="1:2">
      <c r="A52" t="s">
        <v>764</v>
      </c>
      <c r="B52" t="s">
        <v>765</v>
      </c>
    </row>
    <row r="53" spans="2:2">
      <c r="B53" t="s">
        <v>766</v>
      </c>
    </row>
    <row r="54" spans="2:3">
      <c r="B54" t="s">
        <v>499</v>
      </c>
      <c r="C54">
        <f>250/0.25</f>
        <v>1000</v>
      </c>
    </row>
    <row r="55" spans="1:2">
      <c r="A55" t="s">
        <v>767</v>
      </c>
      <c r="B55" t="s">
        <v>768</v>
      </c>
    </row>
    <row r="56" spans="2:2">
      <c r="B56" t="s">
        <v>769</v>
      </c>
    </row>
    <row r="57" spans="2:3">
      <c r="B57" t="s">
        <v>770</v>
      </c>
      <c r="C57">
        <f>80%/0.1%+200</f>
        <v>1000</v>
      </c>
    </row>
    <row r="58" spans="3:3">
      <c r="C58">
        <f>24%/0.03%+200</f>
        <v>1000</v>
      </c>
    </row>
    <row r="61" spans="1:1">
      <c r="A61" t="s">
        <v>41</v>
      </c>
    </row>
    <row r="63" spans="1:3">
      <c r="A63" t="s">
        <v>539</v>
      </c>
      <c r="B63" t="s">
        <v>59</v>
      </c>
      <c r="C63">
        <f>武器!B47</f>
        <v>542</v>
      </c>
    </row>
    <row r="64" spans="2:3">
      <c r="B64" t="s">
        <v>596</v>
      </c>
      <c r="C64">
        <f>武器!D47</f>
        <v>265</v>
      </c>
    </row>
    <row r="65" spans="1:3">
      <c r="A65" t="str">
        <f>武器!A49</f>
        <v>万国诸海图谱</v>
      </c>
      <c r="B65" t="s">
        <v>59</v>
      </c>
      <c r="C65">
        <f>武器!B59</f>
        <v>565</v>
      </c>
    </row>
    <row r="66" spans="2:3">
      <c r="B66" t="s">
        <v>596</v>
      </c>
      <c r="C66">
        <f>武器!D59</f>
        <v>110</v>
      </c>
    </row>
    <row r="67" spans="1:3">
      <c r="A67" t="s">
        <v>771</v>
      </c>
      <c r="B67" t="s">
        <v>59</v>
      </c>
      <c r="C67">
        <v>608</v>
      </c>
    </row>
    <row r="68" spans="2:3">
      <c r="B68" t="s">
        <v>14</v>
      </c>
      <c r="C68" s="9">
        <v>0.331</v>
      </c>
    </row>
    <row r="69" spans="2:3">
      <c r="B69" t="s">
        <v>772</v>
      </c>
      <c r="C69">
        <f>16%*4</f>
        <v>0.64</v>
      </c>
    </row>
    <row r="74" spans="1:17">
      <c r="A74" t="s">
        <v>773</v>
      </c>
      <c r="L74" s="69"/>
      <c r="M74" s="69"/>
      <c r="N74" s="69"/>
      <c r="O74" s="69"/>
      <c r="P74" s="69"/>
      <c r="Q74" s="69"/>
    </row>
    <row r="75" spans="2:17">
      <c r="B75" t="s">
        <v>555</v>
      </c>
      <c r="C75">
        <f>(C63+D21)</f>
        <v>841</v>
      </c>
      <c r="E75" t="s">
        <v>555</v>
      </c>
      <c r="F75" s="65">
        <v>841</v>
      </c>
      <c r="G75" s="65">
        <v>841</v>
      </c>
      <c r="H75" s="65">
        <v>841</v>
      </c>
      <c r="J75" s="69"/>
      <c r="K75" s="69"/>
      <c r="L75" s="69"/>
      <c r="M75" s="65"/>
      <c r="N75" s="69"/>
      <c r="O75" s="69"/>
      <c r="P75" s="69"/>
      <c r="Q75" s="69"/>
    </row>
    <row r="76" spans="2:17">
      <c r="B76" t="s">
        <v>556</v>
      </c>
      <c r="C76">
        <f>C75*(K8+SUMIF($B$3:$B$7,"攻击力",$C$3:$C$7))+C4</f>
        <v>508.635</v>
      </c>
      <c r="E76" t="s">
        <v>556</v>
      </c>
      <c r="F76" s="65">
        <v>604</v>
      </c>
      <c r="G76" s="65">
        <v>555</v>
      </c>
      <c r="H76" s="65">
        <v>698</v>
      </c>
      <c r="J76" s="69"/>
      <c r="K76" s="69"/>
      <c r="L76" s="69"/>
      <c r="M76" s="65"/>
      <c r="N76" s="69"/>
      <c r="O76" s="69"/>
      <c r="P76" s="69"/>
      <c r="Q76" s="69"/>
    </row>
    <row r="77" spans="2:17">
      <c r="B77" t="s">
        <v>12</v>
      </c>
      <c r="C77">
        <f>J8+H21+SUMIF($B$3:$B$7,"元素精通",$C$3:$C$7)+C64</f>
        <v>984</v>
      </c>
      <c r="E77" t="s">
        <v>12</v>
      </c>
      <c r="F77" s="65">
        <v>823</v>
      </c>
      <c r="G77" s="65">
        <v>823</v>
      </c>
      <c r="H77" s="65">
        <v>760</v>
      </c>
      <c r="J77" s="69"/>
      <c r="K77" s="69"/>
      <c r="L77" s="69"/>
      <c r="M77" s="65"/>
      <c r="N77" s="69"/>
      <c r="O77" s="69"/>
      <c r="P77" s="69"/>
      <c r="Q77" s="69"/>
    </row>
    <row r="78" spans="2:17">
      <c r="B78" t="s">
        <v>8</v>
      </c>
      <c r="C78">
        <f>H8</f>
        <v>0.506</v>
      </c>
      <c r="E78" t="s">
        <v>8</v>
      </c>
      <c r="F78" s="66">
        <v>0.458</v>
      </c>
      <c r="G78" s="66">
        <v>0.415</v>
      </c>
      <c r="H78" s="66">
        <v>0.489</v>
      </c>
      <c r="J78" s="70"/>
      <c r="K78" s="70"/>
      <c r="L78" s="70"/>
      <c r="M78" s="66"/>
      <c r="N78" s="69"/>
      <c r="O78" s="69"/>
      <c r="P78" s="69"/>
      <c r="Q78" s="69"/>
    </row>
    <row r="79" spans="2:17">
      <c r="B79" t="s">
        <v>11</v>
      </c>
      <c r="C79">
        <f>I8+0.5</f>
        <v>1.588</v>
      </c>
      <c r="E79" t="s">
        <v>11</v>
      </c>
      <c r="F79" s="66">
        <v>1.013</v>
      </c>
      <c r="G79" s="66">
        <v>1.129</v>
      </c>
      <c r="H79" s="66">
        <v>0.966</v>
      </c>
      <c r="J79" s="70"/>
      <c r="K79" s="70"/>
      <c r="L79" s="70"/>
      <c r="M79" s="66"/>
      <c r="N79" s="69"/>
      <c r="O79" s="69"/>
      <c r="P79" s="69"/>
      <c r="Q79" s="69"/>
    </row>
    <row r="80" spans="2:17">
      <c r="B80" t="s">
        <v>774</v>
      </c>
      <c r="C80" s="9">
        <f>SUMIF($B$3:$B$7,"草元素加成",$C$3:$C$7)+0.15+0.3</f>
        <v>0.916</v>
      </c>
      <c r="E80" t="s">
        <v>774</v>
      </c>
      <c r="F80" s="66">
        <v>0.916</v>
      </c>
      <c r="G80" s="66">
        <v>0.916</v>
      </c>
      <c r="H80" s="66">
        <v>0.916</v>
      </c>
      <c r="J80" s="70"/>
      <c r="K80" s="70"/>
      <c r="L80" s="70"/>
      <c r="M80" s="66"/>
      <c r="N80" s="69"/>
      <c r="O80" s="69"/>
      <c r="P80" s="69"/>
      <c r="Q80" s="69"/>
    </row>
    <row r="81" spans="1:17">
      <c r="A81" t="s">
        <v>0</v>
      </c>
      <c r="F81" s="65"/>
      <c r="G81" s="65"/>
      <c r="H81" s="65"/>
      <c r="J81" s="69"/>
      <c r="K81" s="69"/>
      <c r="L81" s="69"/>
      <c r="M81" s="65"/>
      <c r="N81" s="69"/>
      <c r="O81" s="69"/>
      <c r="P81" s="69"/>
      <c r="Q81" s="69"/>
    </row>
    <row r="82" spans="1:17">
      <c r="A82" t="s">
        <v>775</v>
      </c>
      <c r="B82" t="s">
        <v>776</v>
      </c>
      <c r="C82" s="11">
        <v>0.3</v>
      </c>
      <c r="E82" t="s">
        <v>777</v>
      </c>
      <c r="F82" s="65">
        <v>10</v>
      </c>
      <c r="G82" s="65">
        <v>10</v>
      </c>
      <c r="H82" s="65">
        <v>10</v>
      </c>
      <c r="J82" s="69"/>
      <c r="K82" s="69"/>
      <c r="L82" s="69"/>
      <c r="M82" s="65"/>
      <c r="N82" s="69"/>
      <c r="O82" s="69"/>
      <c r="P82" s="69"/>
      <c r="Q82" s="69"/>
    </row>
    <row r="83" spans="3:17">
      <c r="C83">
        <f>(100*(1-(10%-C82)))/(100*(1-10%))</f>
        <v>1.33333333333333</v>
      </c>
      <c r="E83" t="s">
        <v>778</v>
      </c>
      <c r="F83" s="65"/>
      <c r="G83" s="65"/>
      <c r="H83" s="65"/>
      <c r="J83" s="69"/>
      <c r="K83" s="69"/>
      <c r="L83" s="69"/>
      <c r="M83" s="65"/>
      <c r="N83" s="69"/>
      <c r="O83" s="69"/>
      <c r="P83" s="69"/>
      <c r="Q83" s="69"/>
    </row>
    <row r="84" spans="5:17">
      <c r="E84" t="s">
        <v>59</v>
      </c>
      <c r="F84" s="66">
        <v>1.858</v>
      </c>
      <c r="G84" s="66">
        <v>1.858</v>
      </c>
      <c r="H84" s="66">
        <v>1.858</v>
      </c>
      <c r="J84" s="70"/>
      <c r="K84" s="70"/>
      <c r="L84" s="70"/>
      <c r="M84" s="66"/>
      <c r="N84" s="69"/>
      <c r="O84" s="69"/>
      <c r="P84" s="69"/>
      <c r="Q84" s="69"/>
    </row>
    <row r="85" spans="1:17">
      <c r="A85" t="s">
        <v>779</v>
      </c>
      <c r="B85" t="s">
        <v>780</v>
      </c>
      <c r="C85" s="9">
        <f>MIN(MAX((C77-200)*0.1%,0),80%)</f>
        <v>0.784</v>
      </c>
      <c r="E85" t="s">
        <v>12</v>
      </c>
      <c r="F85" s="66">
        <v>3.715</v>
      </c>
      <c r="G85" s="66">
        <v>3.715</v>
      </c>
      <c r="H85" s="66">
        <v>3.715</v>
      </c>
      <c r="J85" s="70"/>
      <c r="K85" s="70"/>
      <c r="L85" s="70"/>
      <c r="M85" s="66"/>
      <c r="N85" s="69"/>
      <c r="O85" s="69"/>
      <c r="P85" s="69"/>
      <c r="Q85" s="69"/>
    </row>
    <row r="86" spans="2:17">
      <c r="B86" t="s">
        <v>8</v>
      </c>
      <c r="C86" s="9">
        <f>MIN(MAX((C77-200)*0.03%,0),24%)</f>
        <v>0.2352</v>
      </c>
      <c r="F86" s="65"/>
      <c r="G86" s="65"/>
      <c r="H86" s="65"/>
      <c r="J86" s="69"/>
      <c r="K86" s="69"/>
      <c r="L86" s="69"/>
      <c r="M86" s="65"/>
      <c r="N86" s="69"/>
      <c r="O86" s="69"/>
      <c r="P86" s="69"/>
      <c r="Q86" s="69"/>
    </row>
    <row r="87" spans="5:17">
      <c r="E87" t="s">
        <v>781</v>
      </c>
      <c r="F87" s="65">
        <f>MIN(0.1%*(F77-200),80%)</f>
        <v>0.623</v>
      </c>
      <c r="G87" s="65">
        <f>MIN(0.1%*(G77-200),80%)</f>
        <v>0.623</v>
      </c>
      <c r="H87" s="65">
        <f>MIN(0.1%*(H77-200),80%)</f>
        <v>0.56</v>
      </c>
      <c r="J87" s="69"/>
      <c r="K87" s="69"/>
      <c r="L87" s="69"/>
      <c r="M87" s="65"/>
      <c r="N87" s="69"/>
      <c r="O87" s="69"/>
      <c r="P87" s="69"/>
      <c r="Q87" s="69"/>
    </row>
    <row r="88" spans="2:17">
      <c r="B88" t="s">
        <v>782</v>
      </c>
      <c r="C88" s="9">
        <f>MIN(C78+C86,1)</f>
        <v>0.7412</v>
      </c>
      <c r="E88" t="s">
        <v>783</v>
      </c>
      <c r="F88" s="65">
        <f>MIN(0.03%*(F77-200),0.24)</f>
        <v>0.1869</v>
      </c>
      <c r="G88" s="65">
        <f>MIN(0.03%*(G77-200),0.24)</f>
        <v>0.1869</v>
      </c>
      <c r="H88" s="65">
        <f>MIN(0.03%*(H77-200),0.24)</f>
        <v>0.168</v>
      </c>
      <c r="J88" s="69"/>
      <c r="K88" s="69"/>
      <c r="L88" s="69"/>
      <c r="M88" s="65"/>
      <c r="N88" s="69"/>
      <c r="O88" s="69"/>
      <c r="P88" s="69"/>
      <c r="Q88" s="69"/>
    </row>
    <row r="89" spans="6:17">
      <c r="F89" s="65"/>
      <c r="G89" s="65"/>
      <c r="H89" s="65"/>
      <c r="J89" s="69"/>
      <c r="K89" s="69"/>
      <c r="L89" s="69"/>
      <c r="M89" s="65"/>
      <c r="N89" s="69"/>
      <c r="O89" s="69"/>
      <c r="P89" s="69"/>
      <c r="Q89" s="69"/>
    </row>
    <row r="90" spans="1:17">
      <c r="A90" t="s">
        <v>784</v>
      </c>
      <c r="B90" t="s">
        <v>785</v>
      </c>
      <c r="C90" t="s">
        <v>786</v>
      </c>
      <c r="E90" t="s">
        <v>787</v>
      </c>
      <c r="F90" s="65"/>
      <c r="G90" s="65"/>
      <c r="H90" s="65"/>
      <c r="J90" s="69"/>
      <c r="K90" s="69"/>
      <c r="L90" s="69"/>
      <c r="M90" s="65"/>
      <c r="N90" s="69"/>
      <c r="O90" s="69"/>
      <c r="P90" s="69"/>
      <c r="Q90" s="69"/>
    </row>
    <row r="91" spans="1:17">
      <c r="A91" t="s">
        <v>788</v>
      </c>
      <c r="B91" t="s">
        <v>789</v>
      </c>
      <c r="C91" t="s">
        <v>790</v>
      </c>
      <c r="E91" t="s">
        <v>781</v>
      </c>
      <c r="F91" s="66">
        <v>0.268</v>
      </c>
      <c r="G91" s="66">
        <v>0.268</v>
      </c>
      <c r="H91" s="66">
        <v>0.268</v>
      </c>
      <c r="J91" s="70"/>
      <c r="K91" s="70"/>
      <c r="L91" s="70"/>
      <c r="M91" s="66"/>
      <c r="N91" s="69"/>
      <c r="O91" s="69"/>
      <c r="P91" s="69"/>
      <c r="Q91" s="69"/>
    </row>
    <row r="92" spans="6:17">
      <c r="F92" s="65"/>
      <c r="G92" s="65"/>
      <c r="H92" s="65"/>
      <c r="J92" s="69"/>
      <c r="K92" s="69"/>
      <c r="L92" s="69"/>
      <c r="M92" s="65"/>
      <c r="N92" s="69"/>
      <c r="O92" s="69"/>
      <c r="P92" s="69"/>
      <c r="Q92" s="69"/>
    </row>
    <row r="93" spans="5:17">
      <c r="E93" t="s">
        <v>563</v>
      </c>
      <c r="F93" s="65">
        <f>F75+F76</f>
        <v>1445</v>
      </c>
      <c r="G93" s="65">
        <f>G75+G76</f>
        <v>1396</v>
      </c>
      <c r="H93" s="65">
        <f>H75+H76</f>
        <v>1539</v>
      </c>
      <c r="J93" s="69"/>
      <c r="K93" s="69"/>
      <c r="L93" s="69"/>
      <c r="M93" s="65"/>
      <c r="N93" s="69"/>
      <c r="O93" s="69"/>
      <c r="P93" s="69"/>
      <c r="Q93" s="69"/>
    </row>
    <row r="94" spans="5:17">
      <c r="E94" t="s">
        <v>791</v>
      </c>
      <c r="F94" s="65">
        <f>F88+F78</f>
        <v>0.6449</v>
      </c>
      <c r="G94" s="65">
        <f>G88+G78</f>
        <v>0.6019</v>
      </c>
      <c r="H94" s="65">
        <f>H88+H78</f>
        <v>0.657</v>
      </c>
      <c r="J94" s="69"/>
      <c r="K94" s="69"/>
      <c r="L94" s="69"/>
      <c r="M94" s="65"/>
      <c r="N94" s="69"/>
      <c r="O94" s="69"/>
      <c r="P94" s="69"/>
      <c r="Q94" s="69"/>
    </row>
    <row r="95" spans="5:17">
      <c r="E95" t="s">
        <v>792</v>
      </c>
      <c r="F95" s="67">
        <f>F91+F87</f>
        <v>0.891</v>
      </c>
      <c r="G95" s="67">
        <f>G91+G87</f>
        <v>0.891</v>
      </c>
      <c r="H95" s="67">
        <f>H91+H87</f>
        <v>0.828</v>
      </c>
      <c r="J95" s="71"/>
      <c r="K95" s="71"/>
      <c r="L95" s="71"/>
      <c r="M95" s="67"/>
      <c r="N95" s="69"/>
      <c r="O95" s="69"/>
      <c r="P95" s="69"/>
      <c r="Q95" s="69"/>
    </row>
    <row r="96" spans="1:17">
      <c r="A96" t="s">
        <v>793</v>
      </c>
      <c r="F96" s="65"/>
      <c r="G96" s="65"/>
      <c r="H96" s="65"/>
      <c r="J96" s="69"/>
      <c r="K96" s="69"/>
      <c r="L96" s="69"/>
      <c r="M96" s="65"/>
      <c r="N96" s="69"/>
      <c r="O96" s="69"/>
      <c r="P96" s="69"/>
      <c r="Q96" s="69"/>
    </row>
    <row r="97" spans="1:17">
      <c r="A97" t="s">
        <v>567</v>
      </c>
      <c r="B97">
        <f>((C75+C76)*219.3%+C77*438.6%)*(1+C85)*(1+C80)</f>
        <v>24868.9580935819</v>
      </c>
      <c r="F97" s="65"/>
      <c r="G97" s="65"/>
      <c r="H97" s="65"/>
      <c r="J97" s="69"/>
      <c r="K97" s="69"/>
      <c r="L97" s="69"/>
      <c r="M97" s="65"/>
      <c r="N97" s="69"/>
      <c r="O97" s="69"/>
      <c r="P97" s="69"/>
      <c r="Q97" s="69"/>
    </row>
    <row r="98" spans="1:17">
      <c r="A98" t="s">
        <v>794</v>
      </c>
      <c r="B98">
        <f>B97*(1+C88*($C$79))</f>
        <v>54140.3584150551</v>
      </c>
      <c r="E98" t="s">
        <v>600</v>
      </c>
      <c r="F98" s="65">
        <f>F93*F84+F85*F77</f>
        <v>5742.255</v>
      </c>
      <c r="G98" s="65">
        <f>G93*G84+G85*G77</f>
        <v>5651.213</v>
      </c>
      <c r="H98" s="65">
        <f>H93*H84+H85*H77</f>
        <v>5682.862</v>
      </c>
      <c r="J98" s="69"/>
      <c r="K98" s="69"/>
      <c r="L98" s="69"/>
      <c r="M98" s="65"/>
      <c r="N98" s="69"/>
      <c r="O98" s="69"/>
      <c r="P98" s="69"/>
      <c r="Q98" s="69"/>
    </row>
    <row r="99" spans="5:17">
      <c r="E99" t="s">
        <v>570</v>
      </c>
      <c r="F99" s="68">
        <f>F98*(1+F94*F79)*(1+F95)*(1+F80)</f>
        <v>34396.7089934582</v>
      </c>
      <c r="G99" s="65">
        <f>G98*(1+G94*G79)*(1+G95)*(1+G80)</f>
        <v>34389.0659837845</v>
      </c>
      <c r="H99" s="65">
        <f>H98*(1+H94*H79)*(1+H95)*(1+H80)</f>
        <v>32536.1958086154</v>
      </c>
      <c r="J99" s="69"/>
      <c r="K99" s="69"/>
      <c r="L99" s="69"/>
      <c r="M99" s="65"/>
      <c r="N99" s="69"/>
      <c r="O99" s="69"/>
      <c r="P99" s="69"/>
      <c r="Q99" s="69"/>
    </row>
    <row r="100" spans="1:17">
      <c r="A100" t="s">
        <v>795</v>
      </c>
      <c r="B100">
        <f>B97+1664*(1+(5*C77)/(C77+1200))</f>
        <v>30281.5295221534</v>
      </c>
      <c r="F100">
        <f t="shared" ref="F100:H100" si="1">F98*(1+F94*F79)*(1+F95+F80)</f>
        <v>26648.469495831</v>
      </c>
      <c r="G100">
        <f t="shared" si="1"/>
        <v>26642.5481587001</v>
      </c>
      <c r="H100">
        <f t="shared" si="1"/>
        <v>25490.5486958951</v>
      </c>
      <c r="L100" s="69"/>
      <c r="M100" s="69"/>
      <c r="N100" s="69"/>
      <c r="O100" s="69"/>
      <c r="P100" s="69"/>
      <c r="Q100" s="69"/>
    </row>
    <row r="101" spans="1:2">
      <c r="A101" t="s">
        <v>796</v>
      </c>
      <c r="B101">
        <f>2888*(1+VLOOKUP(C77,元素精通!$A$5:$C$156,2,1))</f>
        <v>6193.91058823529</v>
      </c>
    </row>
    <row r="102" spans="1:2">
      <c r="A102" t="s">
        <v>797</v>
      </c>
      <c r="B102">
        <f>B100*(1+$C$78*($C$79))</f>
        <v>54613.5863760302</v>
      </c>
    </row>
    <row r="103" spans="1:2">
      <c r="A103" t="s">
        <v>798</v>
      </c>
      <c r="B103">
        <f>B101*(1+$C$78*($C$79))</f>
        <v>11170.8911753788</v>
      </c>
    </row>
  </sheetData>
  <mergeCells count="9">
    <mergeCell ref="B12:C12"/>
    <mergeCell ref="D12:E12"/>
    <mergeCell ref="F12:G12"/>
    <mergeCell ref="H12:I12"/>
    <mergeCell ref="B14:C14"/>
    <mergeCell ref="D14:E14"/>
    <mergeCell ref="F14:G14"/>
    <mergeCell ref="A12:A13"/>
    <mergeCell ref="H14:I15"/>
  </mergeCells>
  <conditionalFormatting sqref="F100:H10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S80"/>
  <sheetViews>
    <sheetView topLeftCell="A36" workbookViewId="0">
      <pane xSplit="3" topLeftCell="D1" activePane="topRight" state="frozen"/>
      <selection/>
      <selection pane="topRight" activeCell="G61" sqref="G61"/>
    </sheetView>
  </sheetViews>
  <sheetFormatPr defaultColWidth="9" defaultRowHeight="16.5"/>
  <cols>
    <col min="1" max="1" width="22.75" style="19" customWidth="1"/>
    <col min="2" max="2" width="9" style="19"/>
    <col min="3" max="3" width="15.125" style="19" customWidth="1"/>
    <col min="4" max="6" width="14.125" style="19"/>
    <col min="7" max="7" width="14.125" style="55"/>
    <col min="8" max="8" width="14.125" style="19"/>
    <col min="9" max="9" width="14.125" style="25"/>
    <col min="10" max="14" width="14.125" style="19"/>
    <col min="15" max="15" width="9.125" style="19"/>
    <col min="19" max="19" width="9.125"/>
  </cols>
  <sheetData>
    <row r="1" spans="7:13">
      <c r="G1" s="55" t="s">
        <v>799</v>
      </c>
      <c r="I1" s="25" t="s">
        <v>800</v>
      </c>
      <c r="J1" s="19" t="s">
        <v>801</v>
      </c>
      <c r="K1" s="19" t="s">
        <v>802</v>
      </c>
      <c r="L1" s="19" t="s">
        <v>803</v>
      </c>
      <c r="M1" s="19" t="s">
        <v>804</v>
      </c>
    </row>
    <row r="2" spans="1:13">
      <c r="A2" s="23" t="s">
        <v>805</v>
      </c>
      <c r="C2" s="19" t="s">
        <v>806</v>
      </c>
      <c r="D2" s="19">
        <v>945</v>
      </c>
      <c r="E2" s="19">
        <v>945</v>
      </c>
      <c r="F2" s="19">
        <v>945</v>
      </c>
      <c r="G2" s="55">
        <v>945</v>
      </c>
      <c r="H2" s="19">
        <v>945</v>
      </c>
      <c r="I2" s="19">
        <v>945</v>
      </c>
      <c r="J2" s="19">
        <v>945</v>
      </c>
      <c r="K2" s="19">
        <v>945</v>
      </c>
      <c r="L2" s="19">
        <f>(572-235)+608</f>
        <v>945</v>
      </c>
      <c r="M2" s="19">
        <v>847</v>
      </c>
    </row>
    <row r="3" spans="3:19">
      <c r="C3" s="19" t="s">
        <v>807</v>
      </c>
      <c r="D3" s="19">
        <v>756</v>
      </c>
      <c r="E3" s="19">
        <v>1027</v>
      </c>
      <c r="F3" s="19">
        <v>1045</v>
      </c>
      <c r="G3" s="55">
        <v>1155</v>
      </c>
      <c r="H3" s="19">
        <v>1308</v>
      </c>
      <c r="I3" s="19">
        <v>1160</v>
      </c>
      <c r="J3" s="19">
        <v>1064</v>
      </c>
      <c r="K3" s="19">
        <v>795</v>
      </c>
      <c r="L3" s="19">
        <v>673</v>
      </c>
      <c r="M3" s="19">
        <v>521</v>
      </c>
      <c r="R3" s="19" t="s">
        <v>808</v>
      </c>
      <c r="S3" s="19">
        <v>90</v>
      </c>
    </row>
    <row r="4" spans="1:19">
      <c r="A4" s="21"/>
      <c r="C4" s="19" t="s">
        <v>12</v>
      </c>
      <c r="D4" s="19">
        <v>21</v>
      </c>
      <c r="E4" s="19">
        <v>21</v>
      </c>
      <c r="F4" s="19">
        <v>21</v>
      </c>
      <c r="G4" s="55">
        <v>21</v>
      </c>
      <c r="H4" s="19">
        <v>42</v>
      </c>
      <c r="I4" s="19">
        <v>21</v>
      </c>
      <c r="J4" s="19">
        <v>21</v>
      </c>
      <c r="K4" s="19">
        <v>42</v>
      </c>
      <c r="L4" s="19">
        <v>0</v>
      </c>
      <c r="M4" s="19">
        <v>0</v>
      </c>
      <c r="P4">
        <f>0.8%*22318</f>
        <v>178.544</v>
      </c>
      <c r="R4" s="19" t="s">
        <v>490</v>
      </c>
      <c r="S4" s="19">
        <v>80</v>
      </c>
    </row>
    <row r="5" spans="3:19">
      <c r="C5" s="19" t="s">
        <v>809</v>
      </c>
      <c r="D5" s="21">
        <v>0.166</v>
      </c>
      <c r="E5" s="21">
        <v>0.166</v>
      </c>
      <c r="F5" s="21">
        <v>0.166</v>
      </c>
      <c r="G5" s="22">
        <v>0.166</v>
      </c>
      <c r="H5" s="21">
        <v>0.166</v>
      </c>
      <c r="I5" s="21">
        <v>0.166</v>
      </c>
      <c r="J5" s="21">
        <v>0.166</v>
      </c>
      <c r="K5" s="23">
        <v>0.329</v>
      </c>
      <c r="L5" s="23">
        <v>0</v>
      </c>
      <c r="M5" s="23">
        <v>0</v>
      </c>
      <c r="N5" s="23"/>
      <c r="R5" s="19" t="s">
        <v>810</v>
      </c>
      <c r="S5" s="19">
        <v>80</v>
      </c>
    </row>
    <row r="6" spans="3:19">
      <c r="C6" s="19" t="s">
        <v>8</v>
      </c>
      <c r="D6" s="21">
        <v>0.641</v>
      </c>
      <c r="E6" s="21">
        <v>0.68</v>
      </c>
      <c r="F6" s="21">
        <v>0.408</v>
      </c>
      <c r="G6" s="22">
        <v>0.408</v>
      </c>
      <c r="H6" s="21">
        <v>0.451</v>
      </c>
      <c r="I6" s="21">
        <v>0.672</v>
      </c>
      <c r="J6" s="21">
        <v>0.699</v>
      </c>
      <c r="K6" s="21">
        <v>0.388</v>
      </c>
      <c r="L6" s="21">
        <v>0.575</v>
      </c>
      <c r="M6" s="21">
        <v>0.575</v>
      </c>
      <c r="N6" s="21"/>
      <c r="R6" s="19" t="s">
        <v>141</v>
      </c>
      <c r="S6" s="19">
        <v>60</v>
      </c>
    </row>
    <row r="7" spans="3:19">
      <c r="C7" s="19" t="s">
        <v>11</v>
      </c>
      <c r="D7" s="21">
        <v>1.12</v>
      </c>
      <c r="E7" s="21">
        <v>1.347</v>
      </c>
      <c r="F7" s="21">
        <v>1.728</v>
      </c>
      <c r="G7" s="22">
        <v>1.751</v>
      </c>
      <c r="H7" s="21">
        <v>1.798</v>
      </c>
      <c r="I7" s="21">
        <v>1.106</v>
      </c>
      <c r="J7" s="21">
        <v>1.021</v>
      </c>
      <c r="K7" s="21">
        <v>1.744</v>
      </c>
      <c r="L7" s="21">
        <f>114.3%-37.1%+66.2%</f>
        <v>1.434</v>
      </c>
      <c r="M7" s="21">
        <v>0.772</v>
      </c>
      <c r="N7" s="21"/>
      <c r="R7" s="19"/>
      <c r="S7" s="19"/>
    </row>
    <row r="8" spans="3:19">
      <c r="C8" s="19" t="s">
        <v>523</v>
      </c>
      <c r="D8" s="21">
        <v>2.861</v>
      </c>
      <c r="E8" s="21">
        <v>2.848</v>
      </c>
      <c r="F8" s="21">
        <v>3.192</v>
      </c>
      <c r="G8" s="22">
        <v>3.075</v>
      </c>
      <c r="H8" s="21">
        <v>2.725</v>
      </c>
      <c r="I8" s="21">
        <v>2.861</v>
      </c>
      <c r="J8" s="21">
        <v>2.46</v>
      </c>
      <c r="K8" s="21">
        <v>2.796</v>
      </c>
      <c r="L8" s="21">
        <v>2.621</v>
      </c>
      <c r="M8" s="21">
        <v>3.08</v>
      </c>
      <c r="N8" s="21"/>
      <c r="R8" s="19"/>
      <c r="S8" s="19"/>
    </row>
    <row r="9" spans="3:19">
      <c r="C9" s="19" t="s">
        <v>811</v>
      </c>
      <c r="D9" s="21">
        <v>0.466</v>
      </c>
      <c r="E9" s="21">
        <v>0</v>
      </c>
      <c r="F9" s="21">
        <v>0</v>
      </c>
      <c r="G9" s="22">
        <v>0</v>
      </c>
      <c r="H9" s="21">
        <v>0</v>
      </c>
      <c r="I9" s="21">
        <v>0</v>
      </c>
      <c r="J9" s="21">
        <v>0.466</v>
      </c>
      <c r="K9" s="21">
        <v>0.466</v>
      </c>
      <c r="L9" s="21">
        <v>0.466</v>
      </c>
      <c r="M9" s="21">
        <v>0.466</v>
      </c>
      <c r="N9" s="21"/>
      <c r="R9" s="19" t="s">
        <v>808</v>
      </c>
      <c r="S9" s="19"/>
    </row>
    <row r="10" spans="1:19">
      <c r="A10" s="19" t="s">
        <v>610</v>
      </c>
      <c r="B10" s="23">
        <v>0.28</v>
      </c>
      <c r="C10" s="19" t="s">
        <v>812</v>
      </c>
      <c r="D10" s="21">
        <f>(D8-1)*$B$10</f>
        <v>0.52108</v>
      </c>
      <c r="E10" s="56">
        <f>(E8-1)*$B$10</f>
        <v>0.51744</v>
      </c>
      <c r="F10" s="56">
        <f>(F8-1)*$B$10</f>
        <v>0.61376</v>
      </c>
      <c r="G10" s="22">
        <f>(G8-1)*$B$10</f>
        <v>0.581</v>
      </c>
      <c r="H10" s="21">
        <f>(H8-1)*$B$10</f>
        <v>0.483</v>
      </c>
      <c r="I10" s="56">
        <f>(I8-1)*$B$10</f>
        <v>0.52108</v>
      </c>
      <c r="J10" s="56">
        <f>(J8-1)*$B$10</f>
        <v>0.4088</v>
      </c>
      <c r="K10" s="56">
        <f>(K8-1)*$B$10</f>
        <v>0.50288</v>
      </c>
      <c r="L10" s="56"/>
      <c r="M10" s="56"/>
      <c r="N10" s="56"/>
      <c r="R10" s="19"/>
      <c r="S10" s="19"/>
    </row>
    <row r="11" spans="1:19">
      <c r="A11" s="19" t="s">
        <v>813</v>
      </c>
      <c r="B11" s="23">
        <v>0.25</v>
      </c>
      <c r="C11" s="19" t="s">
        <v>814</v>
      </c>
      <c r="D11" s="21">
        <f>MIN(D8*$B$11,0.75)</f>
        <v>0.71525</v>
      </c>
      <c r="E11" s="56">
        <f>MIN(E8*$B$11,0.75)</f>
        <v>0.712</v>
      </c>
      <c r="F11" s="56">
        <f>MIN(F8*$B$11,0.75)</f>
        <v>0.75</v>
      </c>
      <c r="G11" s="22">
        <f>MIN(G8*$B$11,0.75)</f>
        <v>0.75</v>
      </c>
      <c r="H11" s="21">
        <f>MIN(H8*$B$11,0.75)</f>
        <v>0.68125</v>
      </c>
      <c r="I11" s="56">
        <f>MIN(I8*$B$11,0.75)</f>
        <v>0.71525</v>
      </c>
      <c r="J11" s="56">
        <f>MIN(J8*$B$11,0.75)</f>
        <v>0.615</v>
      </c>
      <c r="K11" s="56">
        <f>MIN(K8*$B$11,0.75)</f>
        <v>0.699</v>
      </c>
      <c r="L11" s="56">
        <f>MIN(L8*$B$11,0.75)</f>
        <v>0.65525</v>
      </c>
      <c r="M11" s="56">
        <f>MIN(M8*$B$11,0.75)</f>
        <v>0.75</v>
      </c>
      <c r="N11" s="56"/>
      <c r="R11" s="19" t="s">
        <v>610</v>
      </c>
      <c r="S11" s="23" t="s">
        <v>815</v>
      </c>
    </row>
    <row r="12" spans="9:19">
      <c r="I12" s="19"/>
      <c r="R12" s="19"/>
      <c r="S12" s="19" t="s">
        <v>816</v>
      </c>
    </row>
    <row r="13" spans="1:19">
      <c r="A13" s="19" t="s">
        <v>567</v>
      </c>
      <c r="C13" s="19" t="s">
        <v>605</v>
      </c>
      <c r="D13" s="21">
        <v>1.992</v>
      </c>
      <c r="E13" s="21">
        <v>1.992</v>
      </c>
      <c r="F13" s="21">
        <v>1.992</v>
      </c>
      <c r="G13" s="22">
        <v>1.992</v>
      </c>
      <c r="H13" s="21">
        <v>1.992</v>
      </c>
      <c r="I13" s="21">
        <v>1.992</v>
      </c>
      <c r="J13" s="21">
        <v>1.992</v>
      </c>
      <c r="K13" s="21">
        <v>1.992</v>
      </c>
      <c r="L13" s="21">
        <v>1.992</v>
      </c>
      <c r="M13" s="21">
        <v>1.992</v>
      </c>
      <c r="N13" s="21"/>
      <c r="R13" s="19"/>
      <c r="S13" s="21">
        <f>80%/28%+100%</f>
        <v>3.85714285714286</v>
      </c>
    </row>
    <row r="14" spans="3:19">
      <c r="C14" s="19" t="s">
        <v>817</v>
      </c>
      <c r="D14" s="21">
        <v>0.714</v>
      </c>
      <c r="E14" s="21">
        <v>0.714</v>
      </c>
      <c r="F14" s="21">
        <v>0.714</v>
      </c>
      <c r="G14" s="22">
        <v>0.714</v>
      </c>
      <c r="H14" s="21">
        <v>0.714</v>
      </c>
      <c r="I14" s="21">
        <v>0.714</v>
      </c>
      <c r="J14" s="21">
        <v>0.714</v>
      </c>
      <c r="K14" s="21">
        <v>0.714</v>
      </c>
      <c r="L14" s="21">
        <v>0.714</v>
      </c>
      <c r="M14" s="21">
        <v>0.714</v>
      </c>
      <c r="N14" s="21"/>
      <c r="R14" s="19"/>
      <c r="S14" s="19"/>
    </row>
    <row r="15" spans="3:19">
      <c r="C15" s="19" t="s">
        <v>818</v>
      </c>
      <c r="D15" s="21">
        <v>0.003</v>
      </c>
      <c r="E15" s="21">
        <v>0.003</v>
      </c>
      <c r="F15" s="21">
        <v>0.003</v>
      </c>
      <c r="G15" s="22">
        <v>0.003</v>
      </c>
      <c r="H15" s="21">
        <v>0.003</v>
      </c>
      <c r="I15" s="21">
        <v>0.003</v>
      </c>
      <c r="J15" s="21">
        <v>0.003</v>
      </c>
      <c r="K15" s="21">
        <v>0.003</v>
      </c>
      <c r="L15" s="21">
        <v>0.003</v>
      </c>
      <c r="M15" s="21">
        <v>0.003</v>
      </c>
      <c r="N15" s="21"/>
      <c r="R15" s="19"/>
      <c r="S15" s="19"/>
    </row>
    <row r="16" spans="3:19">
      <c r="C16" s="19" t="s">
        <v>819</v>
      </c>
      <c r="D16" s="19">
        <v>90</v>
      </c>
      <c r="E16" s="19">
        <v>90</v>
      </c>
      <c r="F16" s="19">
        <v>90</v>
      </c>
      <c r="G16" s="55">
        <v>90</v>
      </c>
      <c r="H16" s="19">
        <v>90</v>
      </c>
      <c r="I16" s="19">
        <v>90</v>
      </c>
      <c r="J16" s="19">
        <v>90</v>
      </c>
      <c r="K16" s="19">
        <v>90</v>
      </c>
      <c r="L16" s="19">
        <v>90</v>
      </c>
      <c r="M16" s="19">
        <v>90</v>
      </c>
      <c r="R16" s="19"/>
      <c r="S16" s="19"/>
    </row>
    <row r="17" spans="3:19">
      <c r="C17" s="19" t="s">
        <v>818</v>
      </c>
      <c r="D17" s="21">
        <f t="shared" ref="D17:M17" si="0">D16*D15</f>
        <v>0.27</v>
      </c>
      <c r="E17" s="56">
        <f t="shared" si="0"/>
        <v>0.27</v>
      </c>
      <c r="F17" s="56">
        <f t="shared" si="0"/>
        <v>0.27</v>
      </c>
      <c r="G17" s="22">
        <f t="shared" si="0"/>
        <v>0.27</v>
      </c>
      <c r="H17" s="21">
        <f t="shared" si="0"/>
        <v>0.27</v>
      </c>
      <c r="I17" s="56">
        <f t="shared" si="0"/>
        <v>0.27</v>
      </c>
      <c r="J17" s="56">
        <f t="shared" si="0"/>
        <v>0.27</v>
      </c>
      <c r="K17" s="56">
        <f t="shared" si="0"/>
        <v>0.27</v>
      </c>
      <c r="L17" s="56">
        <f t="shared" si="0"/>
        <v>0.27</v>
      </c>
      <c r="M17" s="56">
        <f t="shared" si="0"/>
        <v>0.27</v>
      </c>
      <c r="N17" s="56"/>
      <c r="R17" s="19"/>
      <c r="S17" s="19"/>
    </row>
    <row r="18" spans="9:19">
      <c r="I18" s="19"/>
      <c r="R18" s="19"/>
      <c r="S18" s="19"/>
    </row>
    <row r="19" spans="1:19">
      <c r="A19" s="19" t="s">
        <v>677</v>
      </c>
      <c r="C19" s="19" t="s">
        <v>820</v>
      </c>
      <c r="D19" s="23">
        <v>6.81</v>
      </c>
      <c r="E19" s="23">
        <v>6.81</v>
      </c>
      <c r="F19" s="23">
        <v>6.81</v>
      </c>
      <c r="G19" s="57">
        <v>6.81</v>
      </c>
      <c r="H19" s="23">
        <v>6.81</v>
      </c>
      <c r="I19" s="23">
        <v>6.81</v>
      </c>
      <c r="J19" s="23">
        <v>6.81</v>
      </c>
      <c r="K19" s="23">
        <v>6.81</v>
      </c>
      <c r="L19" s="23">
        <v>6.81</v>
      </c>
      <c r="M19" s="23">
        <v>6.81</v>
      </c>
      <c r="N19" s="23"/>
      <c r="R19" s="19"/>
      <c r="S19" s="19"/>
    </row>
    <row r="20" spans="3:19">
      <c r="C20" s="19" t="s">
        <v>821</v>
      </c>
      <c r="D20" s="21">
        <v>0.0661</v>
      </c>
      <c r="E20" s="21">
        <v>0.0661</v>
      </c>
      <c r="F20" s="21">
        <v>0.0661</v>
      </c>
      <c r="G20" s="22">
        <v>0.0661</v>
      </c>
      <c r="H20" s="21">
        <v>0.0661</v>
      </c>
      <c r="I20" s="21">
        <v>0.0661</v>
      </c>
      <c r="J20" s="21">
        <v>0.0661</v>
      </c>
      <c r="K20" s="21">
        <v>0.0661</v>
      </c>
      <c r="L20" s="21">
        <v>0.0661</v>
      </c>
      <c r="M20" s="21">
        <v>0.0661</v>
      </c>
      <c r="N20" s="21"/>
      <c r="R20" s="19"/>
      <c r="S20" s="19"/>
    </row>
    <row r="21" spans="3:19">
      <c r="C21" s="19" t="s">
        <v>822</v>
      </c>
      <c r="D21" s="21">
        <v>0.0123</v>
      </c>
      <c r="E21" s="21">
        <v>0.0123</v>
      </c>
      <c r="F21" s="21">
        <v>0.0123</v>
      </c>
      <c r="G21" s="22">
        <v>0.0123</v>
      </c>
      <c r="H21" s="21">
        <v>0.0123</v>
      </c>
      <c r="I21" s="21">
        <v>0.0123</v>
      </c>
      <c r="J21" s="21">
        <v>0.0123</v>
      </c>
      <c r="K21" s="21">
        <v>0.0123</v>
      </c>
      <c r="L21" s="21">
        <v>0.0123</v>
      </c>
      <c r="M21" s="21">
        <v>0.0123</v>
      </c>
      <c r="N21" s="21"/>
      <c r="R21" s="19"/>
      <c r="S21" s="19"/>
    </row>
    <row r="22" spans="9:19">
      <c r="I22" s="19"/>
      <c r="R22" s="19"/>
      <c r="S22" s="19"/>
    </row>
    <row r="23" spans="3:19">
      <c r="C23" s="19" t="s">
        <v>823</v>
      </c>
      <c r="D23" s="19">
        <v>60</v>
      </c>
      <c r="E23" s="19">
        <v>60</v>
      </c>
      <c r="F23" s="19">
        <v>60</v>
      </c>
      <c r="G23" s="55">
        <v>60</v>
      </c>
      <c r="H23" s="19">
        <v>60</v>
      </c>
      <c r="I23" s="19">
        <v>60</v>
      </c>
      <c r="J23" s="19">
        <v>60</v>
      </c>
      <c r="K23" s="19">
        <v>60</v>
      </c>
      <c r="L23" s="19">
        <v>60</v>
      </c>
      <c r="M23" s="19">
        <v>60</v>
      </c>
      <c r="R23" s="19"/>
      <c r="S23" s="19"/>
    </row>
    <row r="24" spans="3:19">
      <c r="C24" s="19" t="s">
        <v>824</v>
      </c>
      <c r="D24" s="19">
        <v>0.19</v>
      </c>
      <c r="E24" s="19">
        <v>0.19</v>
      </c>
      <c r="F24" s="19">
        <v>0.19</v>
      </c>
      <c r="G24" s="55">
        <v>0.19</v>
      </c>
      <c r="H24" s="19">
        <v>0.19</v>
      </c>
      <c r="I24" s="19">
        <v>0.19</v>
      </c>
      <c r="J24" s="19">
        <v>0.19</v>
      </c>
      <c r="K24" s="19">
        <v>0.19</v>
      </c>
      <c r="L24" s="19">
        <v>0.19</v>
      </c>
      <c r="M24" s="19">
        <v>0.19</v>
      </c>
      <c r="R24" s="19"/>
      <c r="S24" s="19"/>
    </row>
    <row r="25" spans="3:19">
      <c r="C25" s="19" t="s">
        <v>825</v>
      </c>
      <c r="D25" s="19">
        <f t="shared" ref="D25:M25" si="1">D23/D24</f>
        <v>315.789473684211</v>
      </c>
      <c r="E25" s="58">
        <f t="shared" si="1"/>
        <v>315.789473684211</v>
      </c>
      <c r="F25" s="58">
        <f t="shared" si="1"/>
        <v>315.789473684211</v>
      </c>
      <c r="G25" s="55">
        <f t="shared" si="1"/>
        <v>315.789473684211</v>
      </c>
      <c r="H25" s="19">
        <f t="shared" si="1"/>
        <v>315.789473684211</v>
      </c>
      <c r="I25" s="58">
        <f t="shared" si="1"/>
        <v>315.789473684211</v>
      </c>
      <c r="J25" s="58">
        <f t="shared" si="1"/>
        <v>315.789473684211</v>
      </c>
      <c r="K25" s="58">
        <f t="shared" si="1"/>
        <v>315.789473684211</v>
      </c>
      <c r="L25" s="58">
        <f t="shared" si="1"/>
        <v>315.789473684211</v>
      </c>
      <c r="M25" s="58">
        <f t="shared" si="1"/>
        <v>315.789473684211</v>
      </c>
      <c r="N25" s="58"/>
      <c r="R25" s="19"/>
      <c r="S25" s="19"/>
    </row>
    <row r="26" spans="9:19">
      <c r="I26" s="19"/>
      <c r="R26" s="19"/>
      <c r="S26" s="19"/>
    </row>
    <row r="27" spans="3:13">
      <c r="C27" s="19" t="s">
        <v>819</v>
      </c>
      <c r="D27" s="19">
        <f t="shared" ref="D27:M27" si="2">SUM($S$3:$S$6)</f>
        <v>310</v>
      </c>
      <c r="E27" s="19">
        <f t="shared" si="2"/>
        <v>310</v>
      </c>
      <c r="F27" s="19">
        <f t="shared" si="2"/>
        <v>310</v>
      </c>
      <c r="G27" s="55">
        <f t="shared" si="2"/>
        <v>310</v>
      </c>
      <c r="H27" s="19">
        <f t="shared" si="2"/>
        <v>310</v>
      </c>
      <c r="I27" s="19">
        <f t="shared" si="2"/>
        <v>310</v>
      </c>
      <c r="J27" s="19">
        <f t="shared" si="2"/>
        <v>310</v>
      </c>
      <c r="K27" s="19">
        <f t="shared" si="2"/>
        <v>310</v>
      </c>
      <c r="L27" s="19">
        <f t="shared" si="2"/>
        <v>310</v>
      </c>
      <c r="M27" s="19">
        <f t="shared" si="2"/>
        <v>310</v>
      </c>
    </row>
    <row r="28" spans="3:13">
      <c r="C28" s="19" t="s">
        <v>826</v>
      </c>
      <c r="D28" s="19">
        <f t="shared" ref="D28:M28" si="3">D27*D24</f>
        <v>58.9</v>
      </c>
      <c r="E28" s="19">
        <f t="shared" si="3"/>
        <v>58.9</v>
      </c>
      <c r="F28" s="19">
        <f t="shared" si="3"/>
        <v>58.9</v>
      </c>
      <c r="G28" s="55">
        <f t="shared" si="3"/>
        <v>58.9</v>
      </c>
      <c r="H28" s="19">
        <f t="shared" si="3"/>
        <v>58.9</v>
      </c>
      <c r="I28" s="19">
        <f t="shared" si="3"/>
        <v>58.9</v>
      </c>
      <c r="J28" s="19">
        <f t="shared" si="3"/>
        <v>58.9</v>
      </c>
      <c r="K28" s="19">
        <f t="shared" si="3"/>
        <v>58.9</v>
      </c>
      <c r="L28" s="19">
        <f t="shared" si="3"/>
        <v>58.9</v>
      </c>
      <c r="M28" s="19">
        <f t="shared" si="3"/>
        <v>58.9</v>
      </c>
    </row>
    <row r="29" spans="3:14">
      <c r="C29" s="19" t="s">
        <v>827</v>
      </c>
      <c r="D29" s="21">
        <f t="shared" ref="D29:M29" si="4">D28*D20</f>
        <v>3.89329</v>
      </c>
      <c r="E29" s="21">
        <f t="shared" si="4"/>
        <v>3.89329</v>
      </c>
      <c r="F29" s="21">
        <f t="shared" si="4"/>
        <v>3.89329</v>
      </c>
      <c r="G29" s="22">
        <f t="shared" si="4"/>
        <v>3.89329</v>
      </c>
      <c r="H29" s="21">
        <f t="shared" si="4"/>
        <v>3.89329</v>
      </c>
      <c r="I29" s="21">
        <f t="shared" si="4"/>
        <v>3.89329</v>
      </c>
      <c r="J29" s="21">
        <f t="shared" si="4"/>
        <v>3.89329</v>
      </c>
      <c r="K29" s="21">
        <f t="shared" si="4"/>
        <v>3.89329</v>
      </c>
      <c r="L29" s="21">
        <f t="shared" si="4"/>
        <v>3.89329</v>
      </c>
      <c r="M29" s="21">
        <f t="shared" si="4"/>
        <v>3.89329</v>
      </c>
      <c r="N29" s="21"/>
    </row>
    <row r="30" spans="3:14">
      <c r="C30" s="19" t="s">
        <v>828</v>
      </c>
      <c r="D30" s="21">
        <f t="shared" ref="D30:M30" si="5">D28*D21</f>
        <v>0.72447</v>
      </c>
      <c r="E30" s="21">
        <f t="shared" si="5"/>
        <v>0.72447</v>
      </c>
      <c r="F30" s="21">
        <f t="shared" si="5"/>
        <v>0.72447</v>
      </c>
      <c r="G30" s="22">
        <f t="shared" si="5"/>
        <v>0.72447</v>
      </c>
      <c r="H30" s="21">
        <f t="shared" si="5"/>
        <v>0.72447</v>
      </c>
      <c r="I30" s="21">
        <f t="shared" si="5"/>
        <v>0.72447</v>
      </c>
      <c r="J30" s="21">
        <f t="shared" si="5"/>
        <v>0.72447</v>
      </c>
      <c r="K30" s="21">
        <f t="shared" si="5"/>
        <v>0.72447</v>
      </c>
      <c r="L30" s="21">
        <f t="shared" si="5"/>
        <v>0.72447</v>
      </c>
      <c r="M30" s="21">
        <f t="shared" si="5"/>
        <v>0.72447</v>
      </c>
      <c r="N30" s="21"/>
    </row>
    <row r="31" spans="3:14">
      <c r="C31" s="19">
        <v>1</v>
      </c>
      <c r="D31" s="21">
        <v>0.752</v>
      </c>
      <c r="E31" s="21">
        <v>0.752</v>
      </c>
      <c r="F31" s="21">
        <v>0.752</v>
      </c>
      <c r="G31" s="22">
        <v>0.752</v>
      </c>
      <c r="H31" s="21">
        <v>0.752</v>
      </c>
      <c r="I31" s="21">
        <v>0.752</v>
      </c>
      <c r="J31" s="21">
        <v>0.752</v>
      </c>
      <c r="K31" s="21">
        <v>0.752</v>
      </c>
      <c r="L31" s="21">
        <v>0.752</v>
      </c>
      <c r="M31" s="21">
        <v>0.752</v>
      </c>
      <c r="N31" s="21"/>
    </row>
    <row r="32" spans="3:14">
      <c r="C32" s="19">
        <v>2</v>
      </c>
      <c r="D32" s="21">
        <v>0.739</v>
      </c>
      <c r="E32" s="21">
        <v>0.739</v>
      </c>
      <c r="F32" s="21">
        <v>0.739</v>
      </c>
      <c r="G32" s="22">
        <v>0.739</v>
      </c>
      <c r="H32" s="21">
        <v>0.739</v>
      </c>
      <c r="I32" s="21">
        <v>0.739</v>
      </c>
      <c r="J32" s="21">
        <v>0.739</v>
      </c>
      <c r="K32" s="21">
        <v>0.739</v>
      </c>
      <c r="L32" s="21">
        <v>0.739</v>
      </c>
      <c r="M32" s="21">
        <v>0.739</v>
      </c>
      <c r="N32" s="21"/>
    </row>
    <row r="33" spans="3:14">
      <c r="C33" s="19">
        <v>3</v>
      </c>
      <c r="D33" s="21">
        <v>0.905</v>
      </c>
      <c r="E33" s="21">
        <v>0.905</v>
      </c>
      <c r="F33" s="21">
        <v>0.905</v>
      </c>
      <c r="G33" s="22">
        <v>0.905</v>
      </c>
      <c r="H33" s="21">
        <v>0.905</v>
      </c>
      <c r="I33" s="21">
        <v>0.905</v>
      </c>
      <c r="J33" s="21">
        <v>0.905</v>
      </c>
      <c r="K33" s="21">
        <v>0.905</v>
      </c>
      <c r="L33" s="21">
        <v>0.905</v>
      </c>
      <c r="M33" s="21">
        <v>0.905</v>
      </c>
      <c r="N33" s="21"/>
    </row>
    <row r="34" spans="3:13">
      <c r="C34" s="19">
        <v>4</v>
      </c>
      <c r="D34" s="19">
        <f t="shared" ref="D34:M34" si="6">51.9%+52.1%</f>
        <v>1.04</v>
      </c>
      <c r="E34" s="19">
        <f t="shared" si="6"/>
        <v>1.04</v>
      </c>
      <c r="F34" s="19">
        <f t="shared" si="6"/>
        <v>1.04</v>
      </c>
      <c r="G34" s="55">
        <f t="shared" si="6"/>
        <v>1.04</v>
      </c>
      <c r="H34" s="19">
        <f t="shared" si="6"/>
        <v>1.04</v>
      </c>
      <c r="I34" s="19">
        <f t="shared" si="6"/>
        <v>1.04</v>
      </c>
      <c r="J34" s="19">
        <f t="shared" si="6"/>
        <v>1.04</v>
      </c>
      <c r="K34" s="19">
        <f t="shared" si="6"/>
        <v>1.04</v>
      </c>
      <c r="L34" s="19">
        <f t="shared" si="6"/>
        <v>1.04</v>
      </c>
      <c r="M34" s="19">
        <f t="shared" si="6"/>
        <v>1.04</v>
      </c>
    </row>
    <row r="35" spans="3:14">
      <c r="C35" s="19">
        <v>5</v>
      </c>
      <c r="D35" s="21">
        <v>1.244</v>
      </c>
      <c r="E35" s="21">
        <v>1.244</v>
      </c>
      <c r="F35" s="21">
        <v>1.244</v>
      </c>
      <c r="G35" s="22">
        <v>1.244</v>
      </c>
      <c r="H35" s="21">
        <v>1.244</v>
      </c>
      <c r="I35" s="21">
        <v>1.244</v>
      </c>
      <c r="J35" s="21">
        <v>1.244</v>
      </c>
      <c r="K35" s="21">
        <v>1.244</v>
      </c>
      <c r="L35" s="21">
        <v>1.244</v>
      </c>
      <c r="M35" s="21">
        <v>1.244</v>
      </c>
      <c r="N35" s="21"/>
    </row>
    <row r="36" spans="3:14">
      <c r="C36" s="19" t="s">
        <v>829</v>
      </c>
      <c r="D36" s="21">
        <f t="shared" ref="D36:M36" si="7">AVERAGEA(D31:D35)</f>
        <v>0.936</v>
      </c>
      <c r="E36" s="21">
        <f t="shared" si="7"/>
        <v>0.936</v>
      </c>
      <c r="F36" s="21">
        <f t="shared" si="7"/>
        <v>0.936</v>
      </c>
      <c r="G36" s="22">
        <f t="shared" si="7"/>
        <v>0.936</v>
      </c>
      <c r="H36" s="21">
        <f t="shared" si="7"/>
        <v>0.936</v>
      </c>
      <c r="I36" s="21">
        <f t="shared" si="7"/>
        <v>0.936</v>
      </c>
      <c r="J36" s="21">
        <f t="shared" si="7"/>
        <v>0.936</v>
      </c>
      <c r="K36" s="21">
        <f t="shared" si="7"/>
        <v>0.936</v>
      </c>
      <c r="L36" s="21">
        <f t="shared" si="7"/>
        <v>0.936</v>
      </c>
      <c r="M36" s="21">
        <f t="shared" si="7"/>
        <v>0.936</v>
      </c>
      <c r="N36" s="21"/>
    </row>
    <row r="37" spans="9:9">
      <c r="I37" s="19"/>
    </row>
    <row r="38" spans="1:14">
      <c r="A38" s="19" t="s">
        <v>306</v>
      </c>
      <c r="B38" s="21">
        <v>0.004</v>
      </c>
      <c r="C38" s="19" t="s">
        <v>811</v>
      </c>
      <c r="D38" s="21">
        <f>$B$38*(D8-1)/0.01</f>
        <v>0.7444</v>
      </c>
      <c r="E38" s="56">
        <f>$B$38*(E8-1)/0.01</f>
        <v>0.7392</v>
      </c>
      <c r="F38" s="56">
        <f>$B$38*(F8-1)/0.01</f>
        <v>0.8768</v>
      </c>
      <c r="G38" s="22">
        <f>$B$38*(G8-1)/0.01</f>
        <v>0.83</v>
      </c>
      <c r="H38" s="21">
        <f>$B$38*(H8-1)/0.01</f>
        <v>0.69</v>
      </c>
      <c r="I38" s="56">
        <f>$B$38*(I8-1)/0.01</f>
        <v>0.7444</v>
      </c>
      <c r="J38" s="56">
        <f>$B$38*(J8-1)/0.01</f>
        <v>0.584</v>
      </c>
      <c r="K38" s="56">
        <f>$B$38*(K8-1)/0.01</f>
        <v>0.7184</v>
      </c>
      <c r="L38" s="56">
        <f>$B$38*(L8-1)/0.01</f>
        <v>0.6484</v>
      </c>
      <c r="M38" s="56">
        <f>$B$38*(M8-1)/0.01</f>
        <v>0.832</v>
      </c>
      <c r="N38" s="56"/>
    </row>
    <row r="39" spans="9:9">
      <c r="I39" s="19"/>
    </row>
    <row r="40" spans="2:14">
      <c r="B40" s="19" t="s">
        <v>804</v>
      </c>
      <c r="C40" s="19" t="s">
        <v>8</v>
      </c>
      <c r="I40" s="19"/>
      <c r="M40" s="23">
        <v>0.12</v>
      </c>
      <c r="N40" s="23"/>
    </row>
    <row r="41" spans="3:14">
      <c r="C41" s="19" t="s">
        <v>830</v>
      </c>
      <c r="I41" s="19"/>
      <c r="M41" s="23">
        <v>0.32</v>
      </c>
      <c r="N41" s="23"/>
    </row>
    <row r="42" spans="9:14">
      <c r="I42" s="19"/>
      <c r="M42" s="23"/>
      <c r="N42" s="23"/>
    </row>
    <row r="43" spans="9:14">
      <c r="I43" s="19"/>
      <c r="M43" s="23"/>
      <c r="N43" s="23"/>
    </row>
    <row r="44" spans="9:14">
      <c r="I44" s="19"/>
      <c r="M44" s="23"/>
      <c r="N44" s="23"/>
    </row>
    <row r="45" spans="3:14">
      <c r="C45" s="19" t="s">
        <v>63</v>
      </c>
      <c r="I45" s="19"/>
      <c r="M45" s="21">
        <f>M40+M6</f>
        <v>0.695</v>
      </c>
      <c r="N45" s="21"/>
    </row>
    <row r="46" spans="3:13">
      <c r="C46" s="19" t="s">
        <v>563</v>
      </c>
      <c r="D46" s="19">
        <f t="shared" ref="D46:M46" si="8">D2*(1+D10)+D3</f>
        <v>2193.4206</v>
      </c>
      <c r="E46" s="19">
        <f t="shared" si="8"/>
        <v>2460.9808</v>
      </c>
      <c r="F46" s="19">
        <f t="shared" si="8"/>
        <v>2570.0032</v>
      </c>
      <c r="G46" s="55">
        <f t="shared" si="8"/>
        <v>2649.045</v>
      </c>
      <c r="H46" s="19">
        <f t="shared" si="8"/>
        <v>2709.435</v>
      </c>
      <c r="I46" s="19">
        <f t="shared" si="8"/>
        <v>2597.4206</v>
      </c>
      <c r="J46" s="19">
        <f t="shared" si="8"/>
        <v>2395.316</v>
      </c>
      <c r="K46" s="19">
        <f t="shared" si="8"/>
        <v>2215.2216</v>
      </c>
      <c r="L46" s="19">
        <f t="shared" si="8"/>
        <v>1618</v>
      </c>
      <c r="M46" s="19">
        <f t="shared" si="8"/>
        <v>1368</v>
      </c>
    </row>
    <row r="47" spans="3:14">
      <c r="C47" s="19" t="s">
        <v>831</v>
      </c>
      <c r="D47" s="21">
        <f t="shared" ref="D47:M47" si="9">D38+D9</f>
        <v>1.2104</v>
      </c>
      <c r="E47" s="21">
        <f t="shared" si="9"/>
        <v>0.7392</v>
      </c>
      <c r="F47" s="21">
        <f t="shared" si="9"/>
        <v>0.8768</v>
      </c>
      <c r="G47" s="22">
        <f t="shared" si="9"/>
        <v>0.83</v>
      </c>
      <c r="H47" s="21">
        <f t="shared" si="9"/>
        <v>0.69</v>
      </c>
      <c r="I47" s="21">
        <f t="shared" si="9"/>
        <v>0.7444</v>
      </c>
      <c r="J47" s="21">
        <f t="shared" si="9"/>
        <v>1.05</v>
      </c>
      <c r="K47" s="21">
        <f t="shared" si="9"/>
        <v>1.1844</v>
      </c>
      <c r="L47" s="21">
        <f t="shared" si="9"/>
        <v>1.1144</v>
      </c>
      <c r="M47" s="21">
        <f t="shared" si="9"/>
        <v>1.298</v>
      </c>
      <c r="N47" s="21"/>
    </row>
    <row r="48" spans="9:9">
      <c r="I48" s="19"/>
    </row>
    <row r="49" spans="3:13">
      <c r="C49" s="19" t="s">
        <v>600</v>
      </c>
      <c r="D49" s="19">
        <f>D13*D46*(1+D47)</f>
        <v>9657.88709332608</v>
      </c>
      <c r="E49" s="19">
        <f t="shared" ref="D49:M49" si="10">E13*E46*(1+E47)</f>
        <v>8526.03451226112</v>
      </c>
      <c r="F49" s="19">
        <f t="shared" si="10"/>
        <v>9608.17695547392</v>
      </c>
      <c r="G49" s="55">
        <f t="shared" si="10"/>
        <v>9656.7226812</v>
      </c>
      <c r="H49" s="19">
        <f t="shared" si="10"/>
        <v>9121.2587388</v>
      </c>
      <c r="I49" s="19">
        <f t="shared" si="10"/>
        <v>9025.63346532288</v>
      </c>
      <c r="J49" s="19">
        <f t="shared" si="10"/>
        <v>9781.5124176</v>
      </c>
      <c r="K49" s="19">
        <f t="shared" si="10"/>
        <v>9639.14868557568</v>
      </c>
      <c r="L49" s="19">
        <f t="shared" si="10"/>
        <v>6814.8296064</v>
      </c>
      <c r="M49" s="19">
        <f t="shared" si="10"/>
        <v>6262.178688</v>
      </c>
    </row>
    <row r="50" spans="3:13">
      <c r="C50" s="19" t="s">
        <v>817</v>
      </c>
      <c r="D50" s="19">
        <f t="shared" ref="D50:M50" si="11">D14*D46*(1+D47)</f>
        <v>3461.71254248736</v>
      </c>
      <c r="E50" s="19">
        <f t="shared" si="11"/>
        <v>3056.01839445504</v>
      </c>
      <c r="F50" s="19">
        <f t="shared" si="11"/>
        <v>3443.89475211264</v>
      </c>
      <c r="G50" s="55">
        <f t="shared" si="11"/>
        <v>3461.2951779</v>
      </c>
      <c r="H50" s="19">
        <f t="shared" si="11"/>
        <v>3269.3668371</v>
      </c>
      <c r="I50" s="19">
        <f t="shared" si="11"/>
        <v>3235.09151317296</v>
      </c>
      <c r="J50" s="19">
        <f t="shared" si="11"/>
        <v>3506.0240292</v>
      </c>
      <c r="K50" s="19">
        <f t="shared" si="11"/>
        <v>3454.99606501056</v>
      </c>
      <c r="L50" s="19">
        <f t="shared" si="11"/>
        <v>2442.6648288</v>
      </c>
      <c r="M50" s="19">
        <f t="shared" si="11"/>
        <v>2244.576096</v>
      </c>
    </row>
    <row r="51" spans="3:13">
      <c r="C51" s="19" t="s">
        <v>832</v>
      </c>
      <c r="D51" s="19">
        <f t="shared" ref="D51:L51" si="12">(D19+D29)*D46*(1+D17+D11)*(1+D47)</f>
        <v>103020.887545498</v>
      </c>
      <c r="E51" s="19">
        <f t="shared" si="12"/>
        <v>90798.504372818</v>
      </c>
      <c r="F51" s="19">
        <f t="shared" si="12"/>
        <v>104284.633904631</v>
      </c>
      <c r="G51" s="55">
        <f t="shared" si="12"/>
        <v>104811.536485468</v>
      </c>
      <c r="H51" s="19">
        <f t="shared" si="12"/>
        <v>95630.328999653</v>
      </c>
      <c r="I51" s="19">
        <f t="shared" si="12"/>
        <v>96276.6246149693</v>
      </c>
      <c r="J51" s="19">
        <f t="shared" si="12"/>
        <v>99070.7209956164</v>
      </c>
      <c r="K51" s="19">
        <f t="shared" si="12"/>
        <v>101979.376884483</v>
      </c>
      <c r="L51" s="19">
        <f t="shared" si="12"/>
        <v>70496.9117027225</v>
      </c>
      <c r="M51" s="19">
        <f>(M19+M29+M41)*M46*(1+M17+M11)*(1+M47)</f>
        <v>70000.1102678112</v>
      </c>
    </row>
    <row r="52" spans="3:13">
      <c r="C52" s="19" t="s">
        <v>833</v>
      </c>
      <c r="D52" s="19">
        <f t="shared" ref="D52:L52" si="13">(D36+D30)*(1+D17)*(1+D47+D11)*D46</f>
        <v>13532.5313539678</v>
      </c>
      <c r="E52" s="19">
        <f t="shared" si="13"/>
        <v>12721.0139213172</v>
      </c>
      <c r="F52" s="19">
        <f t="shared" si="13"/>
        <v>14236.244107125</v>
      </c>
      <c r="G52" s="55">
        <f t="shared" si="13"/>
        <v>14412.6485406181</v>
      </c>
      <c r="H52" s="19">
        <f t="shared" si="13"/>
        <v>13548.488125302</v>
      </c>
      <c r="I52" s="19">
        <f t="shared" si="13"/>
        <v>13472.5668714411</v>
      </c>
      <c r="J52" s="19">
        <f t="shared" si="13"/>
        <v>13461.5411559289</v>
      </c>
      <c r="K52" s="19">
        <f t="shared" si="13"/>
        <v>13469.6659738378</v>
      </c>
      <c r="L52" s="19">
        <f t="shared" si="13"/>
        <v>9450.13826254953</v>
      </c>
      <c r="M52" s="19">
        <f>(M36+M30+M41)*(1+M17)*(1+M47+M11)*M46</f>
        <v>10487.5259668416</v>
      </c>
    </row>
    <row r="53" spans="9:9">
      <c r="I53" s="19"/>
    </row>
    <row r="54" spans="3:13">
      <c r="C54" s="19" t="s">
        <v>834</v>
      </c>
      <c r="D54" s="19">
        <f>D49*(1+D$6*(D$7))</f>
        <v>16591.4773953667</v>
      </c>
      <c r="E54" s="19">
        <f t="shared" ref="E54:E57" si="14">E49*(1+E$6*(E$7))</f>
        <v>16335.5410841118</v>
      </c>
      <c r="F54" s="19">
        <f t="shared" ref="F54:F57" si="15">F49*(1+F$6*(F$7))</f>
        <v>16382.17230533</v>
      </c>
      <c r="G54" s="55">
        <f t="shared" ref="G54:G57" si="16">G49*(1+G$6*(G$7))</f>
        <v>16555.5626184307</v>
      </c>
      <c r="H54" s="19">
        <f t="shared" ref="H54:H57" si="17">H49*(1+H$6*(H$7))</f>
        <v>16517.6692075754</v>
      </c>
      <c r="I54" s="19">
        <f>I49*(1+I$6*(I$7))</f>
        <v>15733.7730770217</v>
      </c>
      <c r="J54" s="19">
        <f>J49*(1+J$6*(J$7))</f>
        <v>16762.3724182803</v>
      </c>
      <c r="K54" s="19">
        <f>K49*(1+K$6*(K$7))</f>
        <v>16161.6907049415</v>
      </c>
      <c r="L54" s="19">
        <f t="shared" ref="L54:L57" si="18">L49*(1+L$40*(L$7))</f>
        <v>6814.8296064</v>
      </c>
      <c r="M54" s="19">
        <f>M49*(1+M$40*(M$7))</f>
        <v>6842.30692165632</v>
      </c>
    </row>
    <row r="55" spans="3:13">
      <c r="C55" s="19" t="s">
        <v>835</v>
      </c>
      <c r="D55" s="19">
        <f>D50*(1+D$6*(D$7))</f>
        <v>5946.94521098989</v>
      </c>
      <c r="E55" s="19">
        <f t="shared" si="14"/>
        <v>5855.20900304008</v>
      </c>
      <c r="F55" s="19">
        <f t="shared" si="15"/>
        <v>5871.9232058261</v>
      </c>
      <c r="G55" s="55">
        <f t="shared" si="16"/>
        <v>5934.07214335318</v>
      </c>
      <c r="H55" s="19">
        <f t="shared" si="17"/>
        <v>5920.48986657072</v>
      </c>
      <c r="I55" s="19">
        <f>I50*(1+I$6*(I$7))</f>
        <v>5639.51504869152</v>
      </c>
      <c r="J55" s="19">
        <f>J50*(1+J$6*(J$7))</f>
        <v>6008.19975233542</v>
      </c>
      <c r="K55" s="19">
        <f>K50*(1+K$6*(K$7))</f>
        <v>5792.89516231339</v>
      </c>
      <c r="L55" s="19">
        <f t="shared" si="18"/>
        <v>2442.6648288</v>
      </c>
      <c r="M55" s="19">
        <f>M50*(1+M$40*(M$7))</f>
        <v>2452.51362553344</v>
      </c>
    </row>
    <row r="56" spans="3:13">
      <c r="C56" s="19" t="s">
        <v>836</v>
      </c>
      <c r="D56" s="19">
        <f>D51*(1+D$6*(D$7))</f>
        <v>176981.643132162</v>
      </c>
      <c r="E56" s="19">
        <f t="shared" si="14"/>
        <v>173966.302438144</v>
      </c>
      <c r="F56" s="19">
        <f t="shared" si="15"/>
        <v>177807.803638609</v>
      </c>
      <c r="G56" s="55">
        <f t="shared" si="16"/>
        <v>179689.736642978</v>
      </c>
      <c r="H56" s="19">
        <f t="shared" si="17"/>
        <v>173176.771524814</v>
      </c>
      <c r="I56" s="19">
        <f>I51*(1+I$6*(I$7))</f>
        <v>167832.492880802</v>
      </c>
      <c r="J56" s="19">
        <f>J51*(1+J$6*(J$7))</f>
        <v>169775.414085047</v>
      </c>
      <c r="K56" s="19">
        <f>K51*(1+K$6*(K$7))</f>
        <v>170985.96579966</v>
      </c>
      <c r="L56" s="19">
        <f t="shared" si="18"/>
        <v>70496.9117027225</v>
      </c>
      <c r="M56" s="19">
        <f>M51*(1+M$40*(M$7))</f>
        <v>76484.9204830212</v>
      </c>
    </row>
    <row r="57" spans="3:13">
      <c r="C57" s="19" t="s">
        <v>837</v>
      </c>
      <c r="D57" s="19">
        <f>D52*(1+D$6*(D$7))</f>
        <v>23247.8062636084</v>
      </c>
      <c r="E57" s="19">
        <f t="shared" si="14"/>
        <v>24372.9538326869</v>
      </c>
      <c r="F57" s="19">
        <f t="shared" si="15"/>
        <v>24273.1378725067</v>
      </c>
      <c r="G57" s="55">
        <f t="shared" si="16"/>
        <v>24709.159959224</v>
      </c>
      <c r="H57" s="19">
        <f t="shared" si="17"/>
        <v>24534.9300491331</v>
      </c>
      <c r="I57" s="19">
        <f>I52*(1+I$6*(I$7))</f>
        <v>23485.8096924359</v>
      </c>
      <c r="J57" s="19">
        <f>J52*(1+J$6*(J$7))</f>
        <v>23068.760386551</v>
      </c>
      <c r="K57" s="19">
        <f>K52*(1+K$6*(K$7))</f>
        <v>22584.2117876865</v>
      </c>
      <c r="L57" s="19">
        <f t="shared" si="18"/>
        <v>9450.13826254953</v>
      </c>
      <c r="M57" s="19">
        <f>M52*(1+M$40*(M$7))</f>
        <v>11459.0903724098</v>
      </c>
    </row>
    <row r="58" spans="4:14">
      <c r="D58" s="21">
        <f>D54/$D$54</f>
        <v>1</v>
      </c>
      <c r="E58" s="21">
        <f>E54/$D$54</f>
        <v>0.984574230181188</v>
      </c>
      <c r="F58" s="21">
        <f>F54/$D$54</f>
        <v>0.987384782858747</v>
      </c>
      <c r="G58" s="22">
        <f>G54/$D$54</f>
        <v>0.997835347866847</v>
      </c>
      <c r="H58" s="21">
        <f>H54/$D$54</f>
        <v>0.995551439692046</v>
      </c>
      <c r="I58" s="53">
        <f>I54/$D$54</f>
        <v>0.948304524189958</v>
      </c>
      <c r="J58" s="53">
        <f>J54/$D$54</f>
        <v>1.01030016910738</v>
      </c>
      <c r="K58" s="53">
        <f>K54/$D$54</f>
        <v>0.974095936113244</v>
      </c>
      <c r="L58" s="53">
        <f>L54/$M$54</f>
        <v>0.995984203051554</v>
      </c>
      <c r="M58" s="53"/>
      <c r="N58" s="53"/>
    </row>
    <row r="59" spans="4:14">
      <c r="D59" s="21">
        <f>D56/$D$56</f>
        <v>1</v>
      </c>
      <c r="E59" s="21">
        <f>E56/$D$56</f>
        <v>0.982962409882442</v>
      </c>
      <c r="F59" s="21">
        <f>F56/$D$56</f>
        <v>1.00466805761222</v>
      </c>
      <c r="G59" s="22">
        <f>G56/$D$56</f>
        <v>1.01530155027882</v>
      </c>
      <c r="H59" s="21">
        <f>H56/$D$56</f>
        <v>0.978501320588898</v>
      </c>
      <c r="I59" s="53">
        <f>I56/$D$56</f>
        <v>0.94830452418996</v>
      </c>
      <c r="J59" s="53">
        <f>J56/$D$56</f>
        <v>0.959282618696596</v>
      </c>
      <c r="K59" s="53">
        <f>K56/$D$56</f>
        <v>0.96612260330285</v>
      </c>
      <c r="L59" s="53">
        <f>L56/$M$56</f>
        <v>0.921709943051742</v>
      </c>
      <c r="M59" s="53"/>
      <c r="N59" s="53"/>
    </row>
    <row r="60" spans="4:14">
      <c r="D60" s="21">
        <f>D57/$D$57</f>
        <v>1</v>
      </c>
      <c r="E60" s="21">
        <f>E57/$D$57</f>
        <v>1.04839801038947</v>
      </c>
      <c r="F60" s="21">
        <f>F57/$D$57</f>
        <v>1.04410444569574</v>
      </c>
      <c r="G60" s="22">
        <f>G57/$D$57</f>
        <v>1.06285985348661</v>
      </c>
      <c r="H60" s="21">
        <f>H57/$D$57</f>
        <v>1.055365386778</v>
      </c>
      <c r="I60" s="53">
        <f>I57/$D$57</f>
        <v>1.01023767258419</v>
      </c>
      <c r="J60" s="53">
        <f>J57/$D$57</f>
        <v>0.992298375381009</v>
      </c>
      <c r="K60" s="53">
        <f>K57/$D$57</f>
        <v>0.971455608826172</v>
      </c>
      <c r="L60" s="53">
        <f>L57/$M$57</f>
        <v>0.82468485328493</v>
      </c>
      <c r="M60" s="53"/>
      <c r="N60" s="53"/>
    </row>
    <row r="63" spans="12:12">
      <c r="L63" s="19">
        <v>34193</v>
      </c>
    </row>
    <row r="64" spans="12:12">
      <c r="L64" s="19">
        <v>33139</v>
      </c>
    </row>
    <row r="65" spans="12:12">
      <c r="L65" s="21">
        <f>L64/L63</f>
        <v>0.969174977334542</v>
      </c>
    </row>
    <row r="69" spans="11:12">
      <c r="K69" s="23">
        <v>0.2</v>
      </c>
      <c r="L69" s="23">
        <v>0.2</v>
      </c>
    </row>
    <row r="71" spans="10:13">
      <c r="J71" s="19">
        <v>1</v>
      </c>
      <c r="K71" s="19">
        <f>(1+K69+L69)</f>
        <v>1.4</v>
      </c>
      <c r="L71" s="19">
        <v>1</v>
      </c>
      <c r="M71" s="19">
        <f>J71*K71*L71</f>
        <v>1.4</v>
      </c>
    </row>
    <row r="72" spans="10:13">
      <c r="J72" s="19">
        <v>1</v>
      </c>
      <c r="K72" s="19">
        <f>(1+K69)</f>
        <v>1.2</v>
      </c>
      <c r="L72" s="19">
        <f>(1+L69)</f>
        <v>1.2</v>
      </c>
      <c r="M72" s="19">
        <f>J72*K72*L72</f>
        <v>1.44</v>
      </c>
    </row>
    <row r="74" spans="11:11">
      <c r="K74" s="19">
        <v>1.4</v>
      </c>
    </row>
    <row r="79" spans="12:15">
      <c r="L79" s="23">
        <v>1</v>
      </c>
      <c r="M79" s="19">
        <f>75%/25%</f>
        <v>3</v>
      </c>
      <c r="O79" s="21">
        <f>200*0.4%</f>
        <v>0.8</v>
      </c>
    </row>
    <row r="80" spans="12:12">
      <c r="L80" s="19">
        <f>80%/28%</f>
        <v>2.85714285714286</v>
      </c>
    </row>
  </sheetData>
  <conditionalFormatting sqref="E5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4:N5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5:N5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6:N5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7:N5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8:E6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{2f2b3852-242c-4ea1-bc94-fd786ef628c9}</x14:id>
        </ext>
      </extLst>
    </cfRule>
  </conditionalFormatting>
  <conditionalFormatting sqref="F58:F6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{418f3018-9be6-465e-9a6c-e01cb84c8d72}</x14:id>
        </ext>
      </extLst>
    </cfRule>
  </conditionalFormatting>
  <conditionalFormatting sqref="G58:G6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{275a67aa-7fd8-42b5-a37e-287aebf93319}</x14:id>
        </ext>
      </extLst>
    </cfRule>
  </conditionalFormatting>
  <conditionalFormatting sqref="H58:H6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{dbf0ee14-e2ed-4c6b-a154-57ef237a9327}</x14:id>
        </ext>
      </extLst>
    </cfRule>
  </conditionalFormatting>
  <conditionalFormatting sqref="L58:L60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{c772c5bc-57aa-44fe-8369-50b85f9dc51b}</x14:id>
        </ext>
      </extLst>
    </cfRule>
  </conditionalFormatting>
  <conditionalFormatting sqref="D54 I54:K5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5 I55:K5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6 I56:K5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7 I57:K5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8:D60 I58:K60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{70655482-b500-43b6-a86f-8c94366feb16}</x14:id>
        </ext>
      </extLst>
    </cfRule>
  </conditionalFormatting>
  <conditionalFormatting sqref="M58:N60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{32693135-7646-4038-8e22-b9ca96a80df8}</x14:id>
        </ext>
      </extLst>
    </cfRule>
  </conditionalFormatting>
  <pageMargins left="0.75" right="0.75" top="1" bottom="1" header="0.5" footer="0.5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2b3852-242c-4ea1-bc94-fd786ef628c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E58:E60</xm:sqref>
        </x14:conditionalFormatting>
        <x14:conditionalFormatting xmlns:xm="http://schemas.microsoft.com/office/excel/2006/main">
          <x14:cfRule type="dataBar" id="{418f3018-9be6-465e-9a6c-e01cb84c8d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F58:F60</xm:sqref>
        </x14:conditionalFormatting>
        <x14:conditionalFormatting xmlns:xm="http://schemas.microsoft.com/office/excel/2006/main">
          <x14:cfRule type="dataBar" id="{275a67aa-7fd8-42b5-a37e-287aebf933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G58:G60</xm:sqref>
        </x14:conditionalFormatting>
        <x14:conditionalFormatting xmlns:xm="http://schemas.microsoft.com/office/excel/2006/main">
          <x14:cfRule type="dataBar" id="{dbf0ee14-e2ed-4c6b-a154-57ef237a93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H58:H60</xm:sqref>
        </x14:conditionalFormatting>
        <x14:conditionalFormatting xmlns:xm="http://schemas.microsoft.com/office/excel/2006/main">
          <x14:cfRule type="dataBar" id="{c772c5bc-57aa-44fe-8369-50b85f9dc5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L58:L60</xm:sqref>
        </x14:conditionalFormatting>
        <x14:conditionalFormatting xmlns:xm="http://schemas.microsoft.com/office/excel/2006/main">
          <x14:cfRule type="dataBar" id="{70655482-b500-43b6-a86f-8c94366feb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D58:D60 I58:K60</xm:sqref>
        </x14:conditionalFormatting>
        <x14:conditionalFormatting xmlns:xm="http://schemas.microsoft.com/office/excel/2006/main">
          <x14:cfRule type="dataBar" id="{32693135-7646-4038-8e22-b9ca96a80d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M58:N60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8">
    <tabColor theme="0" tint="-0.5"/>
  </sheetPr>
  <dimension ref="A1:BV38"/>
  <sheetViews>
    <sheetView workbookViewId="0">
      <pane ySplit="1" topLeftCell="A2" activePane="bottomLeft" state="frozen"/>
      <selection/>
      <selection pane="bottomLeft" activeCell="AA52" sqref="AA52"/>
    </sheetView>
  </sheetViews>
  <sheetFormatPr defaultColWidth="9" defaultRowHeight="16.5"/>
  <cols>
    <col min="1" max="1" width="17.25" style="19" customWidth="1"/>
    <col min="2" max="4" width="14.125" style="19"/>
    <col min="5" max="9" width="9" style="19"/>
    <col min="10" max="10" width="10.875" style="19" customWidth="1"/>
    <col min="11" max="11" width="9" style="19"/>
    <col min="12" max="15" width="14.125" style="19"/>
    <col min="16" max="17" width="9" style="19"/>
    <col min="18" max="18" width="12.875" style="19" customWidth="1"/>
    <col min="19" max="19" width="14.125" style="19"/>
    <col min="20" max="23" width="12.875" style="19"/>
    <col min="24" max="25" width="9" style="19"/>
    <col min="26" max="26" width="17.125" style="19" customWidth="1"/>
    <col min="27" max="30" width="14.125" style="19"/>
    <col min="31" max="32" width="9" style="19"/>
    <col min="33" max="33" width="15" style="19" customWidth="1"/>
    <col min="34" max="34" width="14.125" style="19"/>
    <col min="35" max="37" width="9.125" style="19"/>
    <col min="38" max="38" width="9" style="19"/>
    <col min="57" max="16384" width="9" style="19"/>
  </cols>
  <sheetData>
    <row r="1" spans="1:74">
      <c r="A1" s="19" t="s">
        <v>838</v>
      </c>
      <c r="J1" s="19" t="s">
        <v>134</v>
      </c>
      <c r="R1" s="19" t="s">
        <v>490</v>
      </c>
      <c r="Z1" s="19" t="s">
        <v>839</v>
      </c>
      <c r="AG1" s="19" t="s">
        <v>209</v>
      </c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</row>
    <row r="2" spans="1:74">
      <c r="A2" s="19" t="s">
        <v>840</v>
      </c>
      <c r="B2" s="19">
        <v>7996</v>
      </c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</row>
    <row r="3" spans="1:74">
      <c r="A3" s="19" t="s">
        <v>841</v>
      </c>
      <c r="B3" s="19">
        <v>16075</v>
      </c>
      <c r="C3" s="21">
        <f>B3/B2</f>
        <v>2.01038019009505</v>
      </c>
      <c r="J3" s="19" t="s">
        <v>840</v>
      </c>
      <c r="L3" s="19">
        <v>14695</v>
      </c>
      <c r="M3" s="19">
        <v>14695</v>
      </c>
      <c r="N3" s="19">
        <v>14695</v>
      </c>
      <c r="O3" s="19">
        <v>14695</v>
      </c>
      <c r="R3" s="19" t="s">
        <v>840</v>
      </c>
      <c r="Z3" s="19" t="s">
        <v>840</v>
      </c>
      <c r="AA3" s="19">
        <v>12524</v>
      </c>
      <c r="AB3" s="19">
        <v>12524</v>
      </c>
      <c r="AC3" s="19">
        <v>12524</v>
      </c>
      <c r="AD3" s="19">
        <v>12524</v>
      </c>
      <c r="AG3" s="19" t="s">
        <v>806</v>
      </c>
      <c r="AH3" s="19">
        <v>904</v>
      </c>
      <c r="AI3" s="19">
        <v>904</v>
      </c>
      <c r="AJ3" s="19">
        <v>904</v>
      </c>
      <c r="AK3" s="19">
        <v>904</v>
      </c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</row>
    <row r="4" spans="10:74">
      <c r="J4" s="19" t="s">
        <v>841</v>
      </c>
      <c r="L4" s="19">
        <v>19269</v>
      </c>
      <c r="M4" s="19">
        <v>24904</v>
      </c>
      <c r="N4" s="19">
        <f>L4-0.46*N3</f>
        <v>12509.3</v>
      </c>
      <c r="O4" s="19">
        <v>10364</v>
      </c>
      <c r="R4" s="19" t="s">
        <v>841</v>
      </c>
      <c r="Z4" s="19" t="s">
        <v>841</v>
      </c>
      <c r="AA4" s="19">
        <v>21443</v>
      </c>
      <c r="AB4" s="19">
        <v>21443</v>
      </c>
      <c r="AC4" s="19">
        <v>27040</v>
      </c>
      <c r="AD4" s="19">
        <v>30897</v>
      </c>
      <c r="AG4" s="19" t="s">
        <v>807</v>
      </c>
      <c r="AH4" s="19">
        <v>443</v>
      </c>
      <c r="AI4" s="19">
        <v>398</v>
      </c>
      <c r="AJ4" s="19">
        <v>1014</v>
      </c>
      <c r="AK4" s="19">
        <v>1263</v>
      </c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</row>
    <row r="5" spans="1:74">
      <c r="A5" s="19" t="s">
        <v>842</v>
      </c>
      <c r="B5" s="19" t="s">
        <v>843</v>
      </c>
      <c r="C5" s="19" t="s">
        <v>34</v>
      </c>
      <c r="J5" s="19" t="s">
        <v>806</v>
      </c>
      <c r="L5" s="19">
        <v>816</v>
      </c>
      <c r="M5" s="19">
        <v>761</v>
      </c>
      <c r="N5" s="19">
        <v>761</v>
      </c>
      <c r="O5" s="19">
        <v>761</v>
      </c>
      <c r="R5" s="19" t="s">
        <v>806</v>
      </c>
      <c r="S5" s="19">
        <v>656</v>
      </c>
      <c r="T5" s="19">
        <v>656</v>
      </c>
      <c r="U5" s="19">
        <v>656</v>
      </c>
      <c r="V5" s="19">
        <v>656</v>
      </c>
      <c r="W5" s="19">
        <v>656</v>
      </c>
      <c r="Z5" s="19" t="s">
        <v>806</v>
      </c>
      <c r="AA5" s="19">
        <v>728</v>
      </c>
      <c r="AB5" s="19">
        <v>728</v>
      </c>
      <c r="AC5" s="19">
        <v>728</v>
      </c>
      <c r="AD5" s="19">
        <v>728</v>
      </c>
      <c r="AG5" s="19" t="s">
        <v>12</v>
      </c>
      <c r="AH5" s="19">
        <v>526</v>
      </c>
      <c r="AI5" s="19">
        <v>657</v>
      </c>
      <c r="AJ5" s="19">
        <v>339</v>
      </c>
      <c r="AK5" s="19">
        <v>229</v>
      </c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</row>
    <row r="6" spans="1:74">
      <c r="A6" s="19" t="s">
        <v>844</v>
      </c>
      <c r="B6" s="21">
        <v>0.0128</v>
      </c>
      <c r="C6" s="19">
        <v>147</v>
      </c>
      <c r="D6" s="19">
        <f>B6*($B$2+$B$3)+C6</f>
        <v>455.1088</v>
      </c>
      <c r="J6" s="19" t="s">
        <v>807</v>
      </c>
      <c r="L6" s="19">
        <v>681</v>
      </c>
      <c r="M6" s="19">
        <v>475</v>
      </c>
      <c r="N6" s="19">
        <v>863</v>
      </c>
      <c r="O6" s="19">
        <v>915</v>
      </c>
      <c r="R6" s="19" t="s">
        <v>807</v>
      </c>
      <c r="S6" s="19">
        <v>824</v>
      </c>
      <c r="T6" s="19">
        <v>911</v>
      </c>
      <c r="U6" s="19">
        <v>843</v>
      </c>
      <c r="V6" s="19">
        <v>916</v>
      </c>
      <c r="W6" s="19">
        <v>809</v>
      </c>
      <c r="Z6" s="19" t="s">
        <v>807</v>
      </c>
      <c r="AA6" s="19">
        <v>493</v>
      </c>
      <c r="AB6" s="19">
        <v>493</v>
      </c>
      <c r="AC6" s="19">
        <v>532</v>
      </c>
      <c r="AD6" s="19">
        <v>468</v>
      </c>
      <c r="AG6" s="19" t="s">
        <v>845</v>
      </c>
      <c r="AH6" s="21">
        <v>3.332</v>
      </c>
      <c r="AI6" s="21">
        <v>3.954</v>
      </c>
      <c r="AJ6" s="21">
        <v>2.322</v>
      </c>
      <c r="AK6" s="21">
        <v>1.645</v>
      </c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</row>
    <row r="7" spans="1:74">
      <c r="A7" s="19" t="s">
        <v>846</v>
      </c>
      <c r="B7" s="21">
        <v>0.068</v>
      </c>
      <c r="C7" s="19">
        <v>783</v>
      </c>
      <c r="D7" s="19">
        <f>B7*($B$2+$B$3)+C7</f>
        <v>2419.828</v>
      </c>
      <c r="J7" s="19" t="s">
        <v>615</v>
      </c>
      <c r="L7" s="19">
        <f t="shared" ref="L7:O7" si="0">L3+L4</f>
        <v>33964</v>
      </c>
      <c r="M7" s="19">
        <f t="shared" si="0"/>
        <v>39599</v>
      </c>
      <c r="N7" s="19">
        <f t="shared" si="0"/>
        <v>27204.3</v>
      </c>
      <c r="O7" s="19">
        <f t="shared" si="0"/>
        <v>25059</v>
      </c>
      <c r="R7" s="19" t="s">
        <v>8</v>
      </c>
      <c r="S7" s="21">
        <v>0.637</v>
      </c>
      <c r="T7" s="21">
        <v>0.625</v>
      </c>
      <c r="U7" s="21">
        <v>0.392</v>
      </c>
      <c r="V7" s="21">
        <v>0.412</v>
      </c>
      <c r="W7" s="21">
        <v>0.462</v>
      </c>
      <c r="Z7" s="19" t="s">
        <v>847</v>
      </c>
      <c r="AA7" s="21">
        <v>0.759</v>
      </c>
      <c r="AB7" s="21">
        <v>0.759</v>
      </c>
      <c r="AC7" s="23">
        <v>0.4</v>
      </c>
      <c r="AD7" s="23">
        <v>0.4</v>
      </c>
      <c r="AG7" s="19" t="s">
        <v>14</v>
      </c>
      <c r="AH7" s="21">
        <v>0.759</v>
      </c>
      <c r="AI7" s="21">
        <v>0.534</v>
      </c>
      <c r="AJ7" s="21">
        <v>0.747</v>
      </c>
      <c r="AK7" s="21">
        <v>0.747</v>
      </c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</row>
    <row r="8" spans="10:74">
      <c r="J8" s="19" t="s">
        <v>8</v>
      </c>
      <c r="L8" s="21">
        <v>0.676</v>
      </c>
      <c r="M8" s="21">
        <v>0.26</v>
      </c>
      <c r="N8" s="21">
        <f>19.8%+0.31</f>
        <v>0.508</v>
      </c>
      <c r="O8" s="21">
        <v>0.532</v>
      </c>
      <c r="R8" s="19" t="s">
        <v>11</v>
      </c>
      <c r="S8" s="21">
        <v>1.316</v>
      </c>
      <c r="T8" s="21">
        <v>1.386</v>
      </c>
      <c r="U8" s="21">
        <v>1.868</v>
      </c>
      <c r="V8" s="21">
        <v>1.767</v>
      </c>
      <c r="W8" s="21">
        <v>1.619</v>
      </c>
      <c r="Z8" s="19" t="s">
        <v>848</v>
      </c>
      <c r="AA8" s="21">
        <v>0.754</v>
      </c>
      <c r="AB8" s="21">
        <v>0.754</v>
      </c>
      <c r="AC8" s="21">
        <v>0.754</v>
      </c>
      <c r="AD8" s="21">
        <v>0.288</v>
      </c>
      <c r="AG8" s="19" t="s">
        <v>11</v>
      </c>
      <c r="AH8" s="21">
        <v>1.059</v>
      </c>
      <c r="AI8" s="21">
        <v>1.059</v>
      </c>
      <c r="AJ8" s="21">
        <v>1.191</v>
      </c>
      <c r="AK8" s="21">
        <v>1.191</v>
      </c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</row>
    <row r="9" spans="3:74">
      <c r="C9" s="19" t="s">
        <v>844</v>
      </c>
      <c r="D9" s="19" t="s">
        <v>846</v>
      </c>
      <c r="J9" s="19" t="s">
        <v>11</v>
      </c>
      <c r="L9" s="21">
        <v>0.702</v>
      </c>
      <c r="M9" s="21">
        <v>0.943</v>
      </c>
      <c r="N9" s="21">
        <v>0.896</v>
      </c>
      <c r="O9" s="21">
        <v>1.176</v>
      </c>
      <c r="R9" s="19" t="s">
        <v>12</v>
      </c>
      <c r="S9" s="19">
        <v>37</v>
      </c>
      <c r="T9" s="19">
        <v>0</v>
      </c>
      <c r="U9" s="19">
        <v>75</v>
      </c>
      <c r="V9" s="19">
        <v>75</v>
      </c>
      <c r="W9" s="19">
        <v>75</v>
      </c>
      <c r="AG9" s="19" t="s">
        <v>21</v>
      </c>
      <c r="AH9" s="21">
        <v>1.531</v>
      </c>
      <c r="AI9" s="21">
        <v>1.521</v>
      </c>
      <c r="AJ9" s="21">
        <v>1.311</v>
      </c>
      <c r="AK9" s="21">
        <v>1.311</v>
      </c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</row>
    <row r="10" spans="1:74">
      <c r="A10" s="19" t="s">
        <v>849</v>
      </c>
      <c r="B10" s="21">
        <v>0.054</v>
      </c>
      <c r="C10" s="19">
        <f>(B6*($B$2+$B$3)+C6)*(1+B10)</f>
        <v>479.6846752</v>
      </c>
      <c r="D10" s="19">
        <f>(B7*($B$2+$B$3)+C7)*(1+B10)</f>
        <v>2550.498712</v>
      </c>
      <c r="J10" s="19" t="s">
        <v>850</v>
      </c>
      <c r="L10" s="21">
        <v>0.754</v>
      </c>
      <c r="M10" s="21">
        <v>0.754</v>
      </c>
      <c r="N10" s="21">
        <v>0.754</v>
      </c>
      <c r="O10" s="21">
        <v>0.754</v>
      </c>
      <c r="R10" s="19" t="s">
        <v>851</v>
      </c>
      <c r="S10" s="21">
        <v>0.072</v>
      </c>
      <c r="T10" s="19">
        <v>0</v>
      </c>
      <c r="U10" s="21">
        <v>0.141</v>
      </c>
      <c r="V10" s="21">
        <v>0.141</v>
      </c>
      <c r="W10" s="21">
        <v>0.141</v>
      </c>
      <c r="AG10" s="19" t="s">
        <v>811</v>
      </c>
      <c r="AH10" s="21">
        <v>0.466</v>
      </c>
      <c r="AI10" s="21">
        <v>0.466</v>
      </c>
      <c r="AJ10" s="21">
        <v>0.466</v>
      </c>
      <c r="AK10" s="21">
        <v>0.466</v>
      </c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</row>
    <row r="11" spans="1:74">
      <c r="A11" s="19" t="s">
        <v>13</v>
      </c>
      <c r="B11" s="23">
        <v>0.07</v>
      </c>
      <c r="C11" s="19">
        <f>B6*($B$2+$B$3+B2*B11)+C6</f>
        <v>462.273216</v>
      </c>
      <c r="D11" s="19">
        <f>B7*($B$2+$B$3+B2*B11)+C7</f>
        <v>2457.88896</v>
      </c>
      <c r="R11" s="19" t="s">
        <v>523</v>
      </c>
      <c r="S11" s="53">
        <v>1.852</v>
      </c>
      <c r="T11" s="21">
        <v>1.736</v>
      </c>
      <c r="U11" s="21">
        <v>1.956</v>
      </c>
      <c r="V11" s="21">
        <v>1.956</v>
      </c>
      <c r="W11" s="21">
        <v>1.956</v>
      </c>
      <c r="Z11" s="19" t="s">
        <v>852</v>
      </c>
      <c r="AA11" s="21">
        <v>0.156</v>
      </c>
      <c r="AB11" s="21">
        <v>0.156</v>
      </c>
      <c r="AC11" s="21">
        <v>0.156</v>
      </c>
      <c r="AD11" s="21">
        <v>0.156</v>
      </c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</row>
    <row r="12" spans="18:37">
      <c r="R12" s="19" t="s">
        <v>853</v>
      </c>
      <c r="S12" s="21">
        <v>0.816</v>
      </c>
      <c r="T12" s="21">
        <v>0.816</v>
      </c>
      <c r="U12" s="21">
        <v>0.816</v>
      </c>
      <c r="V12" s="21">
        <v>0.816</v>
      </c>
      <c r="W12" s="21">
        <v>0.816</v>
      </c>
      <c r="Z12" s="19" t="s">
        <v>854</v>
      </c>
      <c r="AA12" s="21">
        <f t="shared" ref="AA12:AD12" si="1">7.3%+15%*AA7</f>
        <v>0.18685</v>
      </c>
      <c r="AB12" s="21">
        <f t="shared" si="1"/>
        <v>0.18685</v>
      </c>
      <c r="AC12" s="21">
        <f t="shared" si="1"/>
        <v>0.133</v>
      </c>
      <c r="AD12" s="21">
        <f t="shared" si="1"/>
        <v>0.133</v>
      </c>
      <c r="AG12" s="19" t="s">
        <v>605</v>
      </c>
      <c r="AH12" s="21">
        <v>1.612</v>
      </c>
      <c r="AI12" s="21">
        <v>1.612</v>
      </c>
      <c r="AJ12" s="21">
        <v>1.612</v>
      </c>
      <c r="AK12" s="21">
        <v>1.612</v>
      </c>
    </row>
    <row r="13" spans="10:37">
      <c r="J13" s="19" t="s">
        <v>844</v>
      </c>
      <c r="K13" s="21">
        <v>0.0139</v>
      </c>
      <c r="L13" s="19">
        <f t="shared" ref="L13:O13" si="2">$K13*L$7</f>
        <v>472.0996</v>
      </c>
      <c r="M13" s="19">
        <f t="shared" si="2"/>
        <v>550.4261</v>
      </c>
      <c r="N13" s="19">
        <f t="shared" si="2"/>
        <v>378.13977</v>
      </c>
      <c r="O13" s="19">
        <f t="shared" si="2"/>
        <v>348.3201</v>
      </c>
      <c r="Z13" s="19" t="s">
        <v>855</v>
      </c>
      <c r="AA13" s="19">
        <f t="shared" ref="AA13:AD13" si="3">AA7*0.15</f>
        <v>0.11385</v>
      </c>
      <c r="AB13" s="19">
        <f t="shared" si="3"/>
        <v>0.11385</v>
      </c>
      <c r="AC13" s="19">
        <f t="shared" si="3"/>
        <v>0.06</v>
      </c>
      <c r="AD13" s="19">
        <f t="shared" si="3"/>
        <v>0.06</v>
      </c>
      <c r="AG13" s="19" t="s">
        <v>856</v>
      </c>
      <c r="AH13" s="23">
        <v>4.42</v>
      </c>
      <c r="AI13" s="23">
        <v>4.42</v>
      </c>
      <c r="AJ13" s="23">
        <v>4.42</v>
      </c>
      <c r="AK13" s="23">
        <v>4.42</v>
      </c>
    </row>
    <row r="14" spans="8:37">
      <c r="H14" s="19">
        <v>79</v>
      </c>
      <c r="J14" s="19" t="s">
        <v>857</v>
      </c>
      <c r="K14" s="21">
        <v>0.019</v>
      </c>
      <c r="L14" s="19">
        <f t="shared" ref="L14:O14" si="4">$K14*L$7</f>
        <v>645.316</v>
      </c>
      <c r="M14" s="19">
        <f t="shared" si="4"/>
        <v>752.381</v>
      </c>
      <c r="N14" s="19">
        <f t="shared" si="4"/>
        <v>516.8817</v>
      </c>
      <c r="O14" s="19">
        <f t="shared" si="4"/>
        <v>476.121</v>
      </c>
      <c r="R14" s="19" t="s">
        <v>858</v>
      </c>
      <c r="S14" s="19">
        <f t="shared" ref="S14:W14" si="5">(S5+S6)*(1+S7*(S8-1))</f>
        <v>1777.91216</v>
      </c>
      <c r="T14" s="19">
        <f t="shared" si="5"/>
        <v>1945.03875</v>
      </c>
      <c r="U14" s="19">
        <f t="shared" si="5"/>
        <v>2009.043744</v>
      </c>
      <c r="V14" s="19">
        <f t="shared" si="5"/>
        <v>2068.758288</v>
      </c>
      <c r="W14" s="19">
        <f t="shared" si="5"/>
        <v>1883.95777</v>
      </c>
      <c r="Z14" s="19" t="s">
        <v>859</v>
      </c>
      <c r="AA14" s="21">
        <f t="shared" ref="AA14:AD14" si="6">10.2%+AA13</f>
        <v>0.21585</v>
      </c>
      <c r="AB14" s="21">
        <f t="shared" si="6"/>
        <v>0.21585</v>
      </c>
      <c r="AC14" s="21">
        <f t="shared" si="6"/>
        <v>0.162</v>
      </c>
      <c r="AD14" s="21">
        <f t="shared" si="6"/>
        <v>0.162</v>
      </c>
      <c r="AG14" s="19" t="s">
        <v>860</v>
      </c>
      <c r="AH14" s="23">
        <f t="shared" ref="AH14:AK14" si="7">3*567%</f>
        <v>17.01</v>
      </c>
      <c r="AI14" s="23">
        <f t="shared" si="7"/>
        <v>17.01</v>
      </c>
      <c r="AJ14" s="23">
        <f t="shared" si="7"/>
        <v>17.01</v>
      </c>
      <c r="AK14" s="23">
        <f t="shared" si="7"/>
        <v>17.01</v>
      </c>
    </row>
    <row r="15" spans="8:37">
      <c r="H15" s="21">
        <v>0.149</v>
      </c>
      <c r="J15" s="19" t="s">
        <v>861</v>
      </c>
      <c r="K15" s="23">
        <v>0.33</v>
      </c>
      <c r="L15" s="19">
        <f t="shared" ref="L15:O15" si="8">$K15*L$7</f>
        <v>11208.12</v>
      </c>
      <c r="M15" s="19">
        <f t="shared" si="8"/>
        <v>13067.67</v>
      </c>
      <c r="N15" s="19">
        <f t="shared" si="8"/>
        <v>8977.419</v>
      </c>
      <c r="O15" s="19">
        <f t="shared" si="8"/>
        <v>8269.47</v>
      </c>
      <c r="R15" s="19" t="s">
        <v>27</v>
      </c>
      <c r="S15" s="26">
        <f t="shared" ref="S15:W15" si="9">S14*(1+S12)</f>
        <v>3228.68848256</v>
      </c>
      <c r="T15" s="26">
        <f t="shared" si="9"/>
        <v>3532.19037</v>
      </c>
      <c r="U15" s="26">
        <f t="shared" si="9"/>
        <v>3648.423439104</v>
      </c>
      <c r="V15" s="26">
        <f t="shared" si="9"/>
        <v>3756.865051008</v>
      </c>
      <c r="W15" s="26">
        <f t="shared" si="9"/>
        <v>3421.26731032</v>
      </c>
      <c r="Z15" s="19" t="s">
        <v>862</v>
      </c>
      <c r="AA15" s="21">
        <v>0.106</v>
      </c>
      <c r="AB15" s="21">
        <v>0.106</v>
      </c>
      <c r="AC15" s="21">
        <v>0.106</v>
      </c>
      <c r="AD15" s="21">
        <v>0.106</v>
      </c>
      <c r="AG15" s="19" t="s">
        <v>863</v>
      </c>
      <c r="AH15" s="23">
        <f t="shared" ref="AH15:AK15" si="10">AVERAGEA(63.5,61.6,91)/100</f>
        <v>0.720333333333333</v>
      </c>
      <c r="AI15" s="23">
        <f t="shared" si="10"/>
        <v>0.720333333333333</v>
      </c>
      <c r="AJ15" s="23">
        <f t="shared" si="10"/>
        <v>0.720333333333333</v>
      </c>
      <c r="AK15" s="23">
        <f t="shared" si="10"/>
        <v>0.720333333333333</v>
      </c>
    </row>
    <row r="16" spans="18:37">
      <c r="R16" s="19" t="s">
        <v>864</v>
      </c>
      <c r="S16" s="19">
        <f t="shared" ref="S16:W16" si="11">S15*(1+S10)</f>
        <v>3461.15405330432</v>
      </c>
      <c r="T16" s="19">
        <f t="shared" si="11"/>
        <v>3532.19037</v>
      </c>
      <c r="U16" s="19">
        <f t="shared" si="11"/>
        <v>4162.85114401766</v>
      </c>
      <c r="V16" s="19">
        <f t="shared" si="11"/>
        <v>4286.58302320013</v>
      </c>
      <c r="W16" s="19">
        <f t="shared" si="11"/>
        <v>3903.66600107512</v>
      </c>
      <c r="Y16" s="19">
        <v>133</v>
      </c>
      <c r="Z16" s="19" t="s">
        <v>865</v>
      </c>
      <c r="AA16" s="21">
        <v>0.0121</v>
      </c>
      <c r="AB16" s="21">
        <v>0.0121</v>
      </c>
      <c r="AC16" s="21">
        <v>0.0121</v>
      </c>
      <c r="AD16" s="21">
        <v>0.0121</v>
      </c>
      <c r="AG16" s="19" t="s">
        <v>866</v>
      </c>
      <c r="AH16" s="19">
        <f t="shared" ref="AH16:AK16" si="12">0.15%*AH5</f>
        <v>0.789</v>
      </c>
      <c r="AI16" s="19">
        <f t="shared" si="12"/>
        <v>0.9855</v>
      </c>
      <c r="AJ16" s="19">
        <f t="shared" si="12"/>
        <v>0.5085</v>
      </c>
      <c r="AK16" s="19">
        <f t="shared" si="12"/>
        <v>0.3435</v>
      </c>
    </row>
    <row r="17" spans="10:30">
      <c r="J17" s="19" t="s">
        <v>844</v>
      </c>
      <c r="L17" s="19">
        <f t="shared" ref="L17:O17" si="13">(L5+L6+L13)*(1+L8*(L9))</f>
        <v>2903.5397533792</v>
      </c>
      <c r="M17" s="19">
        <f t="shared" si="13"/>
        <v>2224.422051198</v>
      </c>
      <c r="N17" s="19">
        <f t="shared" si="13"/>
        <v>2913.44972483136</v>
      </c>
      <c r="O17" s="19">
        <f t="shared" si="13"/>
        <v>3290.7995328032</v>
      </c>
      <c r="Z17" s="19" t="s">
        <v>84</v>
      </c>
      <c r="AA17" s="19">
        <v>10</v>
      </c>
      <c r="AB17" s="19">
        <v>10</v>
      </c>
      <c r="AC17" s="19">
        <v>10</v>
      </c>
      <c r="AD17" s="19">
        <v>10</v>
      </c>
    </row>
    <row r="18" spans="10:37">
      <c r="J18" s="19" t="s">
        <v>857</v>
      </c>
      <c r="L18" s="19">
        <f t="shared" ref="L18:O18" si="14">(L5+L6+L14)*(1+L8*(L9))*0.512*(1+L10)</f>
        <v>2836.89442540837</v>
      </c>
      <c r="M18" s="19">
        <f t="shared" si="14"/>
        <v>2223.47008654301</v>
      </c>
      <c r="N18" s="19">
        <f t="shared" si="14"/>
        <v>2797.72713882179</v>
      </c>
      <c r="O18" s="19">
        <f t="shared" si="14"/>
        <v>3141.8719061186</v>
      </c>
      <c r="Z18" s="19" t="s">
        <v>761</v>
      </c>
      <c r="AA18" s="19">
        <v>18</v>
      </c>
      <c r="AB18" s="19">
        <v>18</v>
      </c>
      <c r="AC18" s="19">
        <v>18</v>
      </c>
      <c r="AD18" s="19">
        <v>18</v>
      </c>
      <c r="AG18" s="19" t="s">
        <v>16</v>
      </c>
      <c r="AH18" s="19">
        <f t="shared" ref="AH18:AK18" si="15">AH3+AH4</f>
        <v>1347</v>
      </c>
      <c r="AI18" s="19">
        <f t="shared" si="15"/>
        <v>1302</v>
      </c>
      <c r="AJ18" s="19">
        <f t="shared" si="15"/>
        <v>1918</v>
      </c>
      <c r="AK18" s="19">
        <f t="shared" si="15"/>
        <v>2167</v>
      </c>
    </row>
    <row r="19" spans="10:37">
      <c r="J19" s="19" t="s">
        <v>861</v>
      </c>
      <c r="L19" s="19">
        <f t="shared" ref="L19:O19" si="16">(L5+L6+L14)*(1+L8*(L9))*7.7*(1+L10)</f>
        <v>42664.2325696181</v>
      </c>
      <c r="M19" s="19">
        <f t="shared" si="16"/>
        <v>33438.9055984008</v>
      </c>
      <c r="N19" s="19">
        <f t="shared" si="16"/>
        <v>42075.193298687</v>
      </c>
      <c r="O19" s="19">
        <f t="shared" si="16"/>
        <v>47250.8079631117</v>
      </c>
      <c r="AG19" s="19" t="s">
        <v>863</v>
      </c>
      <c r="AH19" s="19">
        <f t="shared" ref="AH19:AK19" si="17">AH18*AH15*(1+AH10)</f>
        <v>1422.443674</v>
      </c>
      <c r="AI19" s="19">
        <f t="shared" si="17"/>
        <v>1374.923284</v>
      </c>
      <c r="AJ19" s="19">
        <f t="shared" si="17"/>
        <v>2025.42462266667</v>
      </c>
      <c r="AK19" s="19">
        <f t="shared" si="17"/>
        <v>2288.37078066667</v>
      </c>
    </row>
    <row r="20" spans="26:37">
      <c r="Z20" s="19" t="s">
        <v>863</v>
      </c>
      <c r="AA20" s="19">
        <f t="shared" ref="AA20:AD20" si="18">AVERAGEA(95.7%,86.2%,132%)</f>
        <v>1.04633333333333</v>
      </c>
      <c r="AB20" s="19">
        <f t="shared" si="18"/>
        <v>1.04633333333333</v>
      </c>
      <c r="AC20" s="19">
        <f t="shared" si="18"/>
        <v>1.04633333333333</v>
      </c>
      <c r="AD20" s="19">
        <f t="shared" si="18"/>
        <v>1.04633333333333</v>
      </c>
      <c r="AG20" s="19" t="s">
        <v>867</v>
      </c>
      <c r="AH20" s="19">
        <f t="shared" ref="AH20:AK20" si="19">AH19*(1+AH$7*AH$8)</f>
        <v>2565.77687273139</v>
      </c>
      <c r="AI20" s="19">
        <f t="shared" si="19"/>
        <v>2152.4506506417</v>
      </c>
      <c r="AJ20" s="19">
        <f t="shared" si="19"/>
        <v>3827.39832468688</v>
      </c>
      <c r="AK20" s="19">
        <f t="shared" si="19"/>
        <v>4324.28163169784</v>
      </c>
    </row>
    <row r="21" spans="26:30">
      <c r="Z21" s="19" t="s">
        <v>605</v>
      </c>
      <c r="AA21" s="21">
        <v>1.638</v>
      </c>
      <c r="AB21" s="21">
        <v>1.638</v>
      </c>
      <c r="AC21" s="21">
        <v>1.638</v>
      </c>
      <c r="AD21" s="21">
        <v>1.638</v>
      </c>
    </row>
    <row r="22" spans="25:37">
      <c r="Y22" s="19">
        <v>731</v>
      </c>
      <c r="Z22" s="19" t="s">
        <v>868</v>
      </c>
      <c r="AA22" s="21">
        <v>0.066</v>
      </c>
      <c r="AB22" s="21">
        <v>0.066</v>
      </c>
      <c r="AC22" s="21">
        <v>0.066</v>
      </c>
      <c r="AD22" s="21">
        <v>0.066</v>
      </c>
      <c r="AG22" s="19" t="s">
        <v>605</v>
      </c>
      <c r="AH22" s="19">
        <f t="shared" ref="AH22:AK22" si="20">AH12*AH$18*(1+AH$10)*(1+AH16)</f>
        <v>5694.779907336</v>
      </c>
      <c r="AI22" s="19">
        <f t="shared" si="20"/>
        <v>6109.137266232</v>
      </c>
      <c r="AJ22" s="19">
        <f t="shared" si="20"/>
        <v>6837.430503176</v>
      </c>
      <c r="AK22" s="19">
        <f t="shared" si="20"/>
        <v>6880.113295484</v>
      </c>
    </row>
    <row r="23" spans="13:37">
      <c r="M23" s="23">
        <v>0.46</v>
      </c>
      <c r="AG23" s="19" t="s">
        <v>869</v>
      </c>
      <c r="AH23" s="19">
        <f t="shared" ref="AH23:AK23" si="21">AH22*(1+AH$7*AH$8)</f>
        <v>10272.1357960344</v>
      </c>
      <c r="AI23" s="19">
        <f t="shared" si="21"/>
        <v>9563.89104510979</v>
      </c>
      <c r="AJ23" s="19">
        <f t="shared" si="21"/>
        <v>12920.5351609501</v>
      </c>
      <c r="AK23" s="19">
        <f t="shared" si="21"/>
        <v>13001.1918518703</v>
      </c>
    </row>
    <row r="24" spans="13:30">
      <c r="M24" s="19">
        <f>M23*M3</f>
        <v>6759.7</v>
      </c>
      <c r="Z24" s="19" t="s">
        <v>13</v>
      </c>
      <c r="AA24" s="19">
        <f t="shared" ref="AA24:AD24" si="22">AA3+AA4</f>
        <v>33967</v>
      </c>
      <c r="AB24" s="19">
        <f t="shared" si="22"/>
        <v>33967</v>
      </c>
      <c r="AC24" s="19">
        <f t="shared" si="22"/>
        <v>39564</v>
      </c>
      <c r="AD24" s="19">
        <f t="shared" si="22"/>
        <v>43421</v>
      </c>
    </row>
    <row r="25" spans="1:37">
      <c r="A25" s="19" t="s">
        <v>870</v>
      </c>
      <c r="B25" s="19">
        <f>24*60/8</f>
        <v>180</v>
      </c>
      <c r="Z25" s="19" t="s">
        <v>16</v>
      </c>
      <c r="AA25" s="19">
        <f t="shared" ref="AA25:AD25" si="23">AA5+AA6</f>
        <v>1221</v>
      </c>
      <c r="AB25" s="19">
        <f t="shared" si="23"/>
        <v>1221</v>
      </c>
      <c r="AC25" s="19">
        <f t="shared" si="23"/>
        <v>1260</v>
      </c>
      <c r="AD25" s="19">
        <f t="shared" si="23"/>
        <v>1196</v>
      </c>
      <c r="AG25" s="19" t="s">
        <v>856</v>
      </c>
      <c r="AH25" s="19">
        <f t="shared" ref="AH25:AK25" si="24">AH13*AH$18*(1+AH$10)</f>
        <v>8728.18284</v>
      </c>
      <c r="AI25" s="19">
        <f t="shared" si="24"/>
        <v>8436.59544</v>
      </c>
      <c r="AJ25" s="19">
        <f t="shared" si="24"/>
        <v>12428.10296</v>
      </c>
      <c r="AK25" s="19">
        <f t="shared" si="24"/>
        <v>14041.55324</v>
      </c>
    </row>
    <row r="26" spans="2:37">
      <c r="B26" s="19">
        <f>160/B25*24</f>
        <v>21.3333333333333</v>
      </c>
      <c r="M26" s="19">
        <f>46.6-10</f>
        <v>36.6</v>
      </c>
      <c r="Z26" s="19" t="s">
        <v>871</v>
      </c>
      <c r="AA26" s="19">
        <f t="shared" ref="AA26:AD26" si="25">AA20*AA25*(1+AA8)</f>
        <v>2240.863042</v>
      </c>
      <c r="AB26" s="19">
        <f t="shared" si="25"/>
        <v>2240.863042</v>
      </c>
      <c r="AC26" s="19">
        <f t="shared" si="25"/>
        <v>2312.43852</v>
      </c>
      <c r="AD26" s="19">
        <f t="shared" si="25"/>
        <v>1611.82209066667</v>
      </c>
      <c r="AG26" s="19" t="s">
        <v>872</v>
      </c>
      <c r="AH26" s="19">
        <f t="shared" ref="AH26:AK26" si="26">AH25*(1+AH$7*AH$8)</f>
        <v>15743.730371318</v>
      </c>
      <c r="AI26" s="19">
        <f t="shared" si="26"/>
        <v>13207.5407808926</v>
      </c>
      <c r="AJ26" s="19">
        <f t="shared" si="26"/>
        <v>23485.1003171439</v>
      </c>
      <c r="AK26" s="19">
        <f t="shared" si="26"/>
        <v>26534.0002019035</v>
      </c>
    </row>
    <row r="27" spans="13:37">
      <c r="M27" s="19">
        <f>M26/100*M3</f>
        <v>5378.37</v>
      </c>
      <c r="Z27" s="19" t="s">
        <v>605</v>
      </c>
      <c r="AA27" s="19">
        <f t="shared" ref="AA27:AD27" si="27">AA21*AA25*(1+AA8)</f>
        <v>3507.996492</v>
      </c>
      <c r="AB27" s="19">
        <f t="shared" si="27"/>
        <v>3507.996492</v>
      </c>
      <c r="AC27" s="19">
        <f t="shared" si="27"/>
        <v>3620.04552</v>
      </c>
      <c r="AD27" s="19">
        <f t="shared" si="27"/>
        <v>2523.253824</v>
      </c>
      <c r="AG27" s="19" t="s">
        <v>856</v>
      </c>
      <c r="AH27" s="19">
        <f t="shared" ref="AH27:AK27" si="28">AH14*AH$18*(1+AH$10)</f>
        <v>33589.68102</v>
      </c>
      <c r="AI27" s="19">
        <f t="shared" si="28"/>
        <v>32467.53132</v>
      </c>
      <c r="AJ27" s="19">
        <f t="shared" si="28"/>
        <v>47828.51388</v>
      </c>
      <c r="AK27" s="19">
        <f t="shared" si="28"/>
        <v>54037.74222</v>
      </c>
    </row>
    <row r="28" spans="26:37">
      <c r="Z28" s="19" t="s">
        <v>868</v>
      </c>
      <c r="AA28" s="19">
        <f t="shared" ref="AA28:AD28" si="29">(AA22*AA24+$Y$22)*(1+AA7)</f>
        <v>5229.193898</v>
      </c>
      <c r="AB28" s="19">
        <f t="shared" si="29"/>
        <v>5229.193898</v>
      </c>
      <c r="AC28" s="19">
        <f t="shared" si="29"/>
        <v>4679.1136</v>
      </c>
      <c r="AD28" s="19">
        <f t="shared" si="29"/>
        <v>5035.5004</v>
      </c>
      <c r="AG28" s="19" t="s">
        <v>872</v>
      </c>
      <c r="AH28" s="19">
        <f t="shared" ref="AH28:AK28" si="30">AH27*(1+AH$7*AH$8)</f>
        <v>60588.4284199366</v>
      </c>
      <c r="AI28" s="19">
        <f t="shared" si="30"/>
        <v>50828.1150866479</v>
      </c>
      <c r="AJ28" s="19">
        <f t="shared" si="30"/>
        <v>90380.4426232167</v>
      </c>
      <c r="AK28" s="19">
        <f t="shared" si="30"/>
        <v>102113.878605063</v>
      </c>
    </row>
    <row r="29" spans="3:30">
      <c r="C29" s="19">
        <v>1</v>
      </c>
      <c r="D29" s="19">
        <v>3</v>
      </c>
      <c r="E29" s="19">
        <f>D29*3</f>
        <v>9</v>
      </c>
      <c r="F29" s="19">
        <f>E29*3</f>
        <v>27</v>
      </c>
      <c r="M29" s="19">
        <f>M27*K15</f>
        <v>1774.8621</v>
      </c>
      <c r="Z29" s="19" t="s">
        <v>873</v>
      </c>
      <c r="AA29" s="19">
        <f t="shared" ref="AA29:AD29" si="31">AA24*AA11*(1+AA8)</f>
        <v>9294.186408</v>
      </c>
      <c r="AB29" s="19">
        <f t="shared" si="31"/>
        <v>9294.186408</v>
      </c>
      <c r="AC29" s="19">
        <f t="shared" si="31"/>
        <v>10825.659936</v>
      </c>
      <c r="AD29" s="19">
        <f t="shared" si="31"/>
        <v>8724.494688</v>
      </c>
    </row>
    <row r="30" spans="1:30">
      <c r="A30" s="19" t="s">
        <v>874</v>
      </c>
      <c r="B30" s="19" t="s">
        <v>417</v>
      </c>
      <c r="C30" s="19">
        <v>1</v>
      </c>
      <c r="D30" s="19">
        <v>2</v>
      </c>
      <c r="E30" s="19">
        <v>3</v>
      </c>
      <c r="F30" s="19">
        <v>4</v>
      </c>
      <c r="Z30" s="19" t="s">
        <v>875</v>
      </c>
      <c r="AA30" s="19">
        <f t="shared" ref="AA30:AD30" si="32">(AA26+AA24*AA12)*(1+AA8)</f>
        <v>15062.645123968</v>
      </c>
      <c r="AB30" s="19">
        <f t="shared" si="32"/>
        <v>15062.645123968</v>
      </c>
      <c r="AC30" s="19">
        <f t="shared" si="32"/>
        <v>13285.58621208</v>
      </c>
      <c r="AD30" s="19">
        <f t="shared" si="32"/>
        <v>9514.21783677867</v>
      </c>
    </row>
    <row r="31" spans="1:30">
      <c r="A31" s="19">
        <v>1</v>
      </c>
      <c r="B31" s="19">
        <v>20</v>
      </c>
      <c r="C31" s="19">
        <v>1</v>
      </c>
      <c r="Z31" s="19" t="s">
        <v>876</v>
      </c>
      <c r="AA31" s="19">
        <f t="shared" ref="AA31:AD31" si="33">(AA27+AA15*AA24)*(1+AA8)</f>
        <v>12468.306354968</v>
      </c>
      <c r="AB31" s="19">
        <f t="shared" si="33"/>
        <v>12468.306354968</v>
      </c>
      <c r="AC31" s="19">
        <f t="shared" si="33"/>
        <v>13705.45697808</v>
      </c>
      <c r="AD31" s="19">
        <f t="shared" si="33"/>
        <v>9178.133213312</v>
      </c>
    </row>
    <row r="32" spans="1:30">
      <c r="A32" s="19">
        <v>2</v>
      </c>
      <c r="B32" s="19">
        <v>40</v>
      </c>
      <c r="D32" s="19">
        <v>3</v>
      </c>
      <c r="M32" s="19">
        <f>46.6%*M5*7.7</f>
        <v>2730.6202</v>
      </c>
      <c r="Z32" s="19" t="s">
        <v>865</v>
      </c>
      <c r="AA32" s="19">
        <f t="shared" ref="AA32:AD32" si="34">(AA16*AA24+$Y$16)*(1+AA7)*4</f>
        <v>3827.5889252</v>
      </c>
      <c r="AB32" s="19">
        <f t="shared" si="34"/>
        <v>3827.5889252</v>
      </c>
      <c r="AC32" s="19">
        <f t="shared" si="34"/>
        <v>3425.65664</v>
      </c>
      <c r="AD32" s="19">
        <f t="shared" si="34"/>
        <v>3687.00696</v>
      </c>
    </row>
    <row r="33" spans="1:4">
      <c r="A33" s="19">
        <v>3</v>
      </c>
      <c r="B33" s="19">
        <v>50</v>
      </c>
      <c r="D33" s="19">
        <v>6</v>
      </c>
    </row>
    <row r="34" spans="1:5">
      <c r="A34" s="19">
        <v>4</v>
      </c>
      <c r="B34" s="19">
        <v>60</v>
      </c>
      <c r="E34" s="19">
        <v>3</v>
      </c>
    </row>
    <row r="35" spans="1:26">
      <c r="A35" s="19">
        <v>5</v>
      </c>
      <c r="B35" s="19">
        <v>70</v>
      </c>
      <c r="E35" s="19">
        <v>6</v>
      </c>
      <c r="Z35" s="19" t="s">
        <v>859</v>
      </c>
    </row>
    <row r="36" spans="1:26">
      <c r="A36" s="19">
        <v>6</v>
      </c>
      <c r="B36" s="19">
        <v>80</v>
      </c>
      <c r="F36" s="19">
        <v>6</v>
      </c>
      <c r="Z36" s="19" t="s">
        <v>862</v>
      </c>
    </row>
    <row r="37" spans="1:26">
      <c r="A37" s="19" t="s">
        <v>877</v>
      </c>
      <c r="C37" s="19">
        <f t="shared" ref="C37:F37" si="35">SUM(C31:C36)</f>
        <v>1</v>
      </c>
      <c r="D37" s="19">
        <f t="shared" si="35"/>
        <v>9</v>
      </c>
      <c r="E37" s="19">
        <f t="shared" si="35"/>
        <v>9</v>
      </c>
      <c r="F37" s="19">
        <f t="shared" si="35"/>
        <v>6</v>
      </c>
      <c r="Z37" s="19" t="s">
        <v>865</v>
      </c>
    </row>
    <row r="38" spans="1:2">
      <c r="A38" s="19" t="s">
        <v>878</v>
      </c>
      <c r="B38" s="19">
        <f>SUMPRODUCT($C$29:$F$29,C37:F37)</f>
        <v>271</v>
      </c>
    </row>
  </sheetData>
  <pageMargins left="0.75" right="0.75" top="1" bottom="1" header="0.5" footer="0.5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AL56"/>
  <sheetViews>
    <sheetView topLeftCell="U1" workbookViewId="0">
      <selection activeCell="AH4" sqref="AH4"/>
    </sheetView>
  </sheetViews>
  <sheetFormatPr defaultColWidth="9" defaultRowHeight="16.5"/>
  <cols>
    <col min="1" max="1" width="5.125" style="7" customWidth="1"/>
    <col min="2" max="2" width="8.875" style="7" customWidth="1"/>
    <col min="3" max="3" width="22.125" style="7" customWidth="1"/>
    <col min="4" max="4" width="12.875" style="7" customWidth="1"/>
    <col min="5" max="15" width="12.375" style="7" customWidth="1"/>
    <col min="16" max="16" width="8.875" style="7" customWidth="1"/>
    <col min="17" max="17" width="10" style="7" customWidth="1"/>
    <col min="18" max="18" width="8.875" style="7" customWidth="1"/>
    <col min="19" max="19" width="18.375" style="7" customWidth="1"/>
    <col min="20" max="21" width="10.375" style="7" customWidth="1"/>
    <col min="23" max="23" width="9" style="7"/>
    <col min="24" max="25" width="14.125" style="7"/>
    <col min="26" max="26" width="9" style="7"/>
    <col min="27" max="27" width="16.375" style="7" customWidth="1"/>
    <col min="28" max="34" width="14.125" style="7"/>
    <col min="35" max="36" width="9" style="7"/>
    <col min="37" max="38" width="14.125" style="7"/>
    <col min="39" max="16384" width="9" style="7"/>
  </cols>
  <sheetData>
    <row r="1" customHeight="1" spans="1:34">
      <c r="A1" s="7" t="s">
        <v>223</v>
      </c>
      <c r="R1" s="7" t="s">
        <v>879</v>
      </c>
      <c r="T1" s="7" t="s">
        <v>880</v>
      </c>
      <c r="X1" s="7" t="s">
        <v>881</v>
      </c>
      <c r="AB1" s="42"/>
      <c r="AF1" s="52" t="s">
        <v>590</v>
      </c>
      <c r="AG1" s="52" t="s">
        <v>590</v>
      </c>
      <c r="AH1" s="42" t="s">
        <v>882</v>
      </c>
    </row>
    <row r="2" spans="19:34">
      <c r="S2" s="7" t="s">
        <v>883</v>
      </c>
      <c r="AA2" s="7" t="s">
        <v>883</v>
      </c>
      <c r="AB2" s="7">
        <v>14450</v>
      </c>
      <c r="AC2" s="7">
        <v>14450</v>
      </c>
      <c r="AD2" s="7">
        <v>14450</v>
      </c>
      <c r="AE2" s="7">
        <v>14450</v>
      </c>
      <c r="AF2" s="7">
        <v>14450</v>
      </c>
      <c r="AG2" s="7">
        <v>14450</v>
      </c>
      <c r="AH2" s="7">
        <v>14450</v>
      </c>
    </row>
    <row r="3" spans="2:34">
      <c r="B3" s="7" t="s">
        <v>805</v>
      </c>
      <c r="S3" s="7" t="s">
        <v>884</v>
      </c>
      <c r="AA3" s="7" t="s">
        <v>884</v>
      </c>
      <c r="AB3" s="7">
        <v>17241</v>
      </c>
      <c r="AC3" s="7">
        <v>12258</v>
      </c>
      <c r="AD3" s="7">
        <v>17182</v>
      </c>
      <c r="AE3" s="7">
        <v>17243</v>
      </c>
      <c r="AF3" s="7">
        <v>16763</v>
      </c>
      <c r="AG3" s="7">
        <f>AF3-AG2*46.6%</f>
        <v>10029.3</v>
      </c>
      <c r="AH3" s="7">
        <v>16763</v>
      </c>
    </row>
    <row r="4" spans="3:34">
      <c r="C4" s="36" t="s">
        <v>417</v>
      </c>
      <c r="D4" s="36" t="s">
        <v>615</v>
      </c>
      <c r="E4" s="36" t="str">
        <f>D4</f>
        <v>生命上限</v>
      </c>
      <c r="F4" s="36" t="s">
        <v>16</v>
      </c>
      <c r="G4" s="36" t="str">
        <f>F4</f>
        <v>攻击力</v>
      </c>
      <c r="H4" s="36" t="s">
        <v>23</v>
      </c>
      <c r="I4" s="36" t="str">
        <f>H4</f>
        <v>防御力</v>
      </c>
      <c r="J4" s="36" t="s">
        <v>8</v>
      </c>
      <c r="K4" s="36" t="str">
        <f>J4</f>
        <v>暴击率</v>
      </c>
      <c r="S4" s="7" t="s">
        <v>615</v>
      </c>
      <c r="T4" s="7">
        <f>E51+VLOOKUP($D$43,$C$4:$K$13,MATCH(S4,$D$4:$K$4,0)+1,0)*(1+E53+M56+18%)</f>
        <v>31960.45</v>
      </c>
      <c r="W4" s="7" t="s">
        <v>615</v>
      </c>
      <c r="X4" s="7">
        <f>E51+VLOOKUP($D$43,$C$4:$K$13,MATCH(S4,$D$4:$K$4,0)+1,0)*(1+E53+M56+18%+16%)</f>
        <v>34272.45</v>
      </c>
      <c r="Z4" s="49">
        <v>0.25</v>
      </c>
      <c r="AA4" s="7" t="s">
        <v>885</v>
      </c>
      <c r="AB4" s="7">
        <f t="shared" ref="AB4:AH4" si="0">$Z$4*AB2</f>
        <v>3612.5</v>
      </c>
      <c r="AC4" s="7">
        <f t="shared" si="0"/>
        <v>3612.5</v>
      </c>
      <c r="AD4" s="7">
        <f t="shared" si="0"/>
        <v>3612.5</v>
      </c>
      <c r="AE4" s="7">
        <f t="shared" si="0"/>
        <v>3612.5</v>
      </c>
      <c r="AF4" s="7">
        <f t="shared" si="0"/>
        <v>3612.5</v>
      </c>
      <c r="AG4" s="7">
        <f t="shared" si="0"/>
        <v>3612.5</v>
      </c>
      <c r="AH4" s="7">
        <f t="shared" si="0"/>
        <v>3612.5</v>
      </c>
    </row>
    <row r="5" spans="3:34">
      <c r="C5" s="36"/>
      <c r="D5" s="36" t="s">
        <v>524</v>
      </c>
      <c r="E5" s="36" t="s">
        <v>525</v>
      </c>
      <c r="F5" s="36" t="s">
        <v>524</v>
      </c>
      <c r="G5" s="36" t="s">
        <v>525</v>
      </c>
      <c r="H5" s="36" t="s">
        <v>524</v>
      </c>
      <c r="I5" s="36" t="s">
        <v>525</v>
      </c>
      <c r="J5" s="36" t="s">
        <v>524</v>
      </c>
      <c r="K5" s="36" t="s">
        <v>525</v>
      </c>
      <c r="S5" s="7" t="s">
        <v>16</v>
      </c>
      <c r="T5" s="7">
        <f ca="1">VLOOKUP($D$43,$C$4:$K$13,MATCH(S5,$D$4:$K$4,0)+1,0)+VLOOKUP($D$47,武器!$K:$L,2,0)+E52</f>
        <v>1120</v>
      </c>
      <c r="W5" s="7" t="s">
        <v>16</v>
      </c>
      <c r="X5" s="7">
        <f ca="1">VLOOKUP($D$43,$C$4:$K$13,MATCH(S5,$D$4:$K$4,0)+1,0)+VLOOKUP($E$47,武器!$K:$L,2,0)+E52</f>
        <v>1097</v>
      </c>
      <c r="Z5" s="49">
        <v>0.18</v>
      </c>
      <c r="AA5" s="7" t="s">
        <v>886</v>
      </c>
      <c r="AB5" s="7">
        <f t="shared" ref="AB5:AH5" si="1">$Z$5*AB2</f>
        <v>2601</v>
      </c>
      <c r="AC5" s="7">
        <f t="shared" si="1"/>
        <v>2601</v>
      </c>
      <c r="AD5" s="7">
        <f t="shared" si="1"/>
        <v>2601</v>
      </c>
      <c r="AE5" s="7">
        <f t="shared" si="1"/>
        <v>2601</v>
      </c>
      <c r="AF5" s="7">
        <f t="shared" si="1"/>
        <v>2601</v>
      </c>
      <c r="AG5" s="7">
        <f t="shared" si="1"/>
        <v>2601</v>
      </c>
      <c r="AH5" s="7">
        <f t="shared" si="1"/>
        <v>2601</v>
      </c>
    </row>
    <row r="6" spans="3:34">
      <c r="C6" s="34">
        <v>1</v>
      </c>
      <c r="D6" s="34">
        <v>1125</v>
      </c>
      <c r="E6" s="34"/>
      <c r="F6" s="34">
        <v>19</v>
      </c>
      <c r="G6" s="34"/>
      <c r="H6" s="34">
        <v>43</v>
      </c>
      <c r="I6" s="34"/>
      <c r="J6" s="46">
        <v>0</v>
      </c>
      <c r="K6" s="46"/>
      <c r="S6" s="7" t="s">
        <v>21</v>
      </c>
      <c r="T6" s="7">
        <f ca="1">VLOOKUP($D$47,武器!$K:$M,3,0)+L56+1</f>
        <v>1.566</v>
      </c>
      <c r="W6" s="7" t="s">
        <v>21</v>
      </c>
      <c r="X6" s="7">
        <f ca="1">VLOOKUP($D$47,武器!$K:$M,3,0)+L56+1</f>
        <v>1.566</v>
      </c>
      <c r="Z6" s="49">
        <v>0.3</v>
      </c>
      <c r="AA6" s="7" t="s">
        <v>887</v>
      </c>
      <c r="AB6" s="7">
        <f t="shared" ref="AB6:AH6" si="2">$Z$6*AB2</f>
        <v>4335</v>
      </c>
      <c r="AC6" s="7">
        <f t="shared" si="2"/>
        <v>4335</v>
      </c>
      <c r="AD6" s="7">
        <f t="shared" si="2"/>
        <v>4335</v>
      </c>
      <c r="AE6" s="7">
        <f t="shared" si="2"/>
        <v>4335</v>
      </c>
      <c r="AF6" s="7">
        <f t="shared" si="2"/>
        <v>4335</v>
      </c>
      <c r="AG6" s="7">
        <f t="shared" si="2"/>
        <v>4335</v>
      </c>
      <c r="AH6" s="7">
        <f t="shared" si="2"/>
        <v>4335</v>
      </c>
    </row>
    <row r="7" spans="3:34">
      <c r="C7" s="34">
        <v>20</v>
      </c>
      <c r="D7" s="34">
        <v>2918</v>
      </c>
      <c r="E7" s="34">
        <v>3883</v>
      </c>
      <c r="F7" s="34">
        <v>49</v>
      </c>
      <c r="G7" s="34">
        <v>66</v>
      </c>
      <c r="H7" s="34">
        <v>111</v>
      </c>
      <c r="I7" s="34">
        <v>147</v>
      </c>
      <c r="J7" s="46"/>
      <c r="K7" s="46"/>
      <c r="AA7" s="7" t="s">
        <v>67</v>
      </c>
      <c r="AB7" s="7">
        <f t="shared" ref="AB7:AH7" si="3">AB2+AB3+AB4+AB5</f>
        <v>37904.5</v>
      </c>
      <c r="AC7" s="7">
        <f t="shared" si="3"/>
        <v>32921.5</v>
      </c>
      <c r="AD7" s="7">
        <f t="shared" si="3"/>
        <v>37845.5</v>
      </c>
      <c r="AE7" s="7">
        <f t="shared" si="3"/>
        <v>37906.5</v>
      </c>
      <c r="AF7" s="7">
        <f t="shared" si="3"/>
        <v>37426.5</v>
      </c>
      <c r="AG7" s="7">
        <f t="shared" si="3"/>
        <v>30692.8</v>
      </c>
      <c r="AH7" s="7">
        <f t="shared" si="3"/>
        <v>37426.5</v>
      </c>
    </row>
    <row r="8" spans="3:25">
      <c r="C8" s="34">
        <v>40</v>
      </c>
      <c r="D8" s="34">
        <v>5810</v>
      </c>
      <c r="E8" s="34">
        <v>6495</v>
      </c>
      <c r="F8" s="34">
        <v>98</v>
      </c>
      <c r="G8" s="34">
        <v>110</v>
      </c>
      <c r="H8" s="34">
        <v>220</v>
      </c>
      <c r="I8" s="34">
        <v>246</v>
      </c>
      <c r="J8" s="46">
        <v>0</v>
      </c>
      <c r="K8" s="47">
        <v>0.048</v>
      </c>
      <c r="S8" s="7" t="s">
        <v>888</v>
      </c>
      <c r="T8" s="7">
        <f>INDEX($C$15:$Q$32,MATCH(S8,$C$15:$C$32,0),MATCH("LV"&amp;$D$44,$C$15:$Q$15,0))</f>
        <v>1.98</v>
      </c>
      <c r="U8" s="7">
        <f ca="1">T8*T5</f>
        <v>2217.6</v>
      </c>
      <c r="W8" s="7" t="s">
        <v>888</v>
      </c>
      <c r="X8" s="7">
        <f>INDEX($C$15:$Q$32,MATCH(W8,$C$15:$C$32,0),MATCH("LV"&amp;$D$44,$C$15:$Q$15,0))</f>
        <v>1.98</v>
      </c>
      <c r="Y8" s="7">
        <f ca="1">X8*X5</f>
        <v>2172.06</v>
      </c>
    </row>
    <row r="9" spans="3:34">
      <c r="C9" s="34">
        <v>50</v>
      </c>
      <c r="D9" s="34">
        <v>7472</v>
      </c>
      <c r="E9" s="34">
        <v>8386</v>
      </c>
      <c r="F9" s="34">
        <v>126</v>
      </c>
      <c r="G9" s="34">
        <v>42</v>
      </c>
      <c r="H9" s="34">
        <v>283</v>
      </c>
      <c r="I9" s="34">
        <v>318</v>
      </c>
      <c r="J9" s="47">
        <v>0.048</v>
      </c>
      <c r="K9" s="47">
        <v>0.096</v>
      </c>
      <c r="S9" s="7" t="s">
        <v>889</v>
      </c>
      <c r="T9" s="7">
        <f>INDEX($C$15:$Q$32,MATCH(S9,$C$15:$C$32,0),MATCH("LV"&amp;$D$44,$C$15:$Q$15,0))</f>
        <v>0.1852</v>
      </c>
      <c r="U9" s="7">
        <f>T9*T4</f>
        <v>5919.07534</v>
      </c>
      <c r="W9" s="7" t="s">
        <v>889</v>
      </c>
      <c r="X9" s="7">
        <f>INDEX($C$15:$Q$32,MATCH(W9,$C$15:$C$32,0),MATCH("LV"&amp;$D$44,$C$15:$Q$15,0))</f>
        <v>0.1852</v>
      </c>
      <c r="Y9" s="7">
        <f>X9*X4</f>
        <v>6347.25774</v>
      </c>
      <c r="AA9" s="7" t="s">
        <v>8</v>
      </c>
      <c r="AB9" s="35">
        <v>0.608</v>
      </c>
      <c r="AC9" s="35">
        <v>0.503</v>
      </c>
      <c r="AD9" s="35">
        <v>0.541</v>
      </c>
      <c r="AE9" s="35">
        <v>0.631</v>
      </c>
      <c r="AF9" s="35">
        <v>0.666</v>
      </c>
      <c r="AG9" s="35">
        <v>0.666</v>
      </c>
      <c r="AH9" s="35">
        <v>0.919</v>
      </c>
    </row>
    <row r="10" spans="3:37">
      <c r="C10" s="34">
        <v>60</v>
      </c>
      <c r="D10" s="34">
        <v>9374</v>
      </c>
      <c r="E10" s="34">
        <v>10059</v>
      </c>
      <c r="F10" s="34">
        <v>158</v>
      </c>
      <c r="G10" s="34">
        <v>170</v>
      </c>
      <c r="H10" s="34">
        <v>355</v>
      </c>
      <c r="I10" s="34">
        <v>381</v>
      </c>
      <c r="J10" s="47">
        <v>0.096</v>
      </c>
      <c r="K10" s="47">
        <v>0.096</v>
      </c>
      <c r="S10" s="7" t="s">
        <v>605</v>
      </c>
      <c r="T10" s="7">
        <f>INDEX($C$25:$Q$25,1,MATCH("LV"&amp;$D$45,$C$15:$Q$15,0))</f>
        <v>0.362</v>
      </c>
      <c r="U10" s="7">
        <f>T10*T4</f>
        <v>11569.6829</v>
      </c>
      <c r="W10" s="7" t="s">
        <v>605</v>
      </c>
      <c r="X10" s="7">
        <f>INDEX($C$25:$Q$25,1,MATCH("LV"&amp;$D$45,$C$15:$Q$15,0))</f>
        <v>0.362</v>
      </c>
      <c r="Y10" s="7">
        <f>X10*X4</f>
        <v>12406.6269</v>
      </c>
      <c r="AA10" s="7" t="s">
        <v>11</v>
      </c>
      <c r="AB10" s="35">
        <v>2.587</v>
      </c>
      <c r="AC10" s="35">
        <v>2.602</v>
      </c>
      <c r="AD10" s="35">
        <v>2.532</v>
      </c>
      <c r="AE10" s="35">
        <v>2.486</v>
      </c>
      <c r="AF10" s="35">
        <v>2.587</v>
      </c>
      <c r="AG10" s="35">
        <v>2.587</v>
      </c>
      <c r="AH10" s="35">
        <v>1.965</v>
      </c>
      <c r="AK10" s="7">
        <f>AF10-0.88</f>
        <v>1.707</v>
      </c>
    </row>
    <row r="11" spans="3:25">
      <c r="C11" s="34">
        <v>70</v>
      </c>
      <c r="D11" s="34">
        <v>11056</v>
      </c>
      <c r="E11" s="34">
        <v>11741</v>
      </c>
      <c r="F11" s="34">
        <v>187</v>
      </c>
      <c r="G11" s="34">
        <v>198</v>
      </c>
      <c r="H11" s="34">
        <v>419</v>
      </c>
      <c r="I11" s="34">
        <v>445</v>
      </c>
      <c r="J11" s="47">
        <v>0.096</v>
      </c>
      <c r="K11" s="47">
        <v>0.144</v>
      </c>
      <c r="S11" s="7" t="s">
        <v>856</v>
      </c>
      <c r="T11" s="7">
        <f>INDEX($C$28:$Q$28,1,MATCH("LV"&amp;$D$46,$C$15:$Q$15,0))</f>
        <v>0.1096</v>
      </c>
      <c r="U11" s="7">
        <f>T11*T4</f>
        <v>3502.86532</v>
      </c>
      <c r="W11" s="7" t="s">
        <v>856</v>
      </c>
      <c r="X11" s="7">
        <f>INDEX($C$28:$Q$28,1,MATCH("LV"&amp;$D$46,$C$15:$Q$15,0))</f>
        <v>0.1096</v>
      </c>
      <c r="Y11" s="7">
        <f>X11*X4</f>
        <v>3756.26052</v>
      </c>
    </row>
    <row r="12" spans="3:34">
      <c r="C12" s="34">
        <v>80</v>
      </c>
      <c r="D12" s="34">
        <v>12749</v>
      </c>
      <c r="E12" s="34">
        <v>13434</v>
      </c>
      <c r="F12" s="34">
        <v>215</v>
      </c>
      <c r="G12" s="34">
        <v>227</v>
      </c>
      <c r="H12" s="34">
        <v>483</v>
      </c>
      <c r="I12" s="34">
        <v>509</v>
      </c>
      <c r="J12" s="47">
        <v>0.144</v>
      </c>
      <c r="K12" s="47">
        <v>0.192</v>
      </c>
      <c r="S12" s="7" t="s">
        <v>890</v>
      </c>
      <c r="T12" s="7">
        <f>INDEX($C$15:$Q$32,MATCH(S12,$C$15:$C$32,0),MATCH("LV"&amp;$D$46,$C$15:$Q$15,0))</f>
        <v>0.2193</v>
      </c>
      <c r="U12" s="7">
        <f>T12*T4</f>
        <v>7008.926685</v>
      </c>
      <c r="W12" s="7" t="s">
        <v>890</v>
      </c>
      <c r="X12" s="7">
        <f>INDEX($C$15:$Q$32,MATCH(W12,$C$15:$C$32,0),MATCH("LV"&amp;$D$46,$C$15:$Q$15,0))</f>
        <v>0.2193</v>
      </c>
      <c r="Y12" s="7">
        <f>X12*X4</f>
        <v>7515.948285</v>
      </c>
      <c r="AA12" s="7" t="s">
        <v>21</v>
      </c>
      <c r="AB12" s="35">
        <v>1.589</v>
      </c>
      <c r="AC12" s="35">
        <v>2.107</v>
      </c>
      <c r="AD12" s="35">
        <v>1.738</v>
      </c>
      <c r="AE12" s="35">
        <v>1.589</v>
      </c>
      <c r="AF12" s="35">
        <v>1.466</v>
      </c>
      <c r="AG12" s="35">
        <f>AF12+51.8%</f>
        <v>1.984</v>
      </c>
      <c r="AH12" s="35">
        <v>1.53</v>
      </c>
    </row>
    <row r="13" spans="3:11">
      <c r="C13" s="34">
        <v>90</v>
      </c>
      <c r="D13" s="34">
        <v>14450</v>
      </c>
      <c r="E13" s="34" t="s">
        <v>528</v>
      </c>
      <c r="F13" s="34">
        <v>244</v>
      </c>
      <c r="G13" s="34" t="s">
        <v>528</v>
      </c>
      <c r="H13" s="34">
        <v>548</v>
      </c>
      <c r="I13" s="34" t="s">
        <v>528</v>
      </c>
      <c r="J13" s="47">
        <v>0.192</v>
      </c>
      <c r="K13" s="34" t="s">
        <v>528</v>
      </c>
    </row>
    <row r="14" spans="2:34">
      <c r="B14" s="7" t="s">
        <v>891</v>
      </c>
      <c r="S14" s="7" t="s">
        <v>8</v>
      </c>
      <c r="T14" s="7">
        <f>VLOOKUP($D$43,$C$4:$K$13,MATCH(S14,$D$4:$K$4,0)+1,0)+J56</f>
        <v>0.737</v>
      </c>
      <c r="W14" s="7" t="s">
        <v>8</v>
      </c>
      <c r="X14" s="7">
        <f>VLOOKUP($D$43,$C$4:$K$13,MATCH(S14,$D$4:$K$4,0)+1,0)+J56</f>
        <v>0.737</v>
      </c>
      <c r="AA14" s="7" t="s">
        <v>848</v>
      </c>
      <c r="AB14" s="35">
        <v>0.466</v>
      </c>
      <c r="AC14" s="35">
        <v>0.466</v>
      </c>
      <c r="AD14" s="35">
        <v>0.466</v>
      </c>
      <c r="AE14" s="35">
        <v>0.466</v>
      </c>
      <c r="AF14" s="35">
        <v>0.466</v>
      </c>
      <c r="AG14" s="35">
        <v>0.466</v>
      </c>
      <c r="AH14" s="35">
        <v>0.466</v>
      </c>
    </row>
    <row r="15" customHeight="1" spans="3:34">
      <c r="C15" s="37" t="s">
        <v>891</v>
      </c>
      <c r="D15" s="37" t="s">
        <v>892</v>
      </c>
      <c r="E15" s="37" t="s">
        <v>620</v>
      </c>
      <c r="F15" s="37" t="s">
        <v>621</v>
      </c>
      <c r="G15" s="37" t="s">
        <v>622</v>
      </c>
      <c r="H15" s="37" t="s">
        <v>623</v>
      </c>
      <c r="I15" s="37" t="s">
        <v>624</v>
      </c>
      <c r="J15" s="37" t="s">
        <v>625</v>
      </c>
      <c r="K15" s="37" t="s">
        <v>626</v>
      </c>
      <c r="L15" s="37" t="s">
        <v>627</v>
      </c>
      <c r="M15" s="37" t="s">
        <v>628</v>
      </c>
      <c r="N15" s="37" t="s">
        <v>629</v>
      </c>
      <c r="O15" s="37" t="s">
        <v>630</v>
      </c>
      <c r="P15" s="37" t="s">
        <v>631</v>
      </c>
      <c r="Q15" s="37" t="s">
        <v>632</v>
      </c>
      <c r="S15" s="7" t="s">
        <v>11</v>
      </c>
      <c r="T15" s="7">
        <f>K56+1.5+E55</f>
        <v>3.602</v>
      </c>
      <c r="W15" s="7" t="s">
        <v>11</v>
      </c>
      <c r="X15" s="7">
        <f>K56+1.5+E55+武器!N3</f>
        <v>4.484</v>
      </c>
      <c r="AA15" s="7" t="s">
        <v>893</v>
      </c>
      <c r="AB15" s="7">
        <f t="shared" ref="AB15:AH15" si="4">AB12*0.25</f>
        <v>0.39725</v>
      </c>
      <c r="AC15" s="7">
        <f t="shared" si="4"/>
        <v>0.52675</v>
      </c>
      <c r="AD15" s="7">
        <f t="shared" si="4"/>
        <v>0.4345</v>
      </c>
      <c r="AE15" s="7">
        <f t="shared" si="4"/>
        <v>0.39725</v>
      </c>
      <c r="AF15" s="7">
        <f t="shared" si="4"/>
        <v>0.3665</v>
      </c>
      <c r="AG15" s="7">
        <f t="shared" si="4"/>
        <v>0.496</v>
      </c>
      <c r="AH15" s="7">
        <f t="shared" si="4"/>
        <v>0.3825</v>
      </c>
    </row>
    <row r="16" spans="2:17">
      <c r="B16" s="7" t="s">
        <v>894</v>
      </c>
      <c r="C16" s="37" t="s">
        <v>77</v>
      </c>
      <c r="D16" s="38" t="s">
        <v>16</v>
      </c>
      <c r="E16" s="38">
        <v>0.407</v>
      </c>
      <c r="F16" s="38">
        <v>0.44</v>
      </c>
      <c r="G16" s="38">
        <v>0.473</v>
      </c>
      <c r="H16" s="38">
        <v>0.52</v>
      </c>
      <c r="I16" s="38">
        <v>0.553</v>
      </c>
      <c r="J16" s="38">
        <v>0.591</v>
      </c>
      <c r="K16" s="38">
        <v>0.643</v>
      </c>
      <c r="L16" s="38">
        <v>0.695</v>
      </c>
      <c r="M16" s="38">
        <v>0.747</v>
      </c>
      <c r="N16" s="38">
        <v>0.804</v>
      </c>
      <c r="O16" s="38">
        <v>0.861</v>
      </c>
      <c r="P16" s="38"/>
      <c r="Q16" s="38"/>
    </row>
    <row r="17" spans="3:27">
      <c r="C17" s="37" t="s">
        <v>635</v>
      </c>
      <c r="D17" s="38" t="s">
        <v>16</v>
      </c>
      <c r="E17" s="38">
        <v>0.39</v>
      </c>
      <c r="F17" s="38">
        <v>0.422</v>
      </c>
      <c r="G17" s="38">
        <v>0.454</v>
      </c>
      <c r="H17" s="38">
        <v>0.499</v>
      </c>
      <c r="I17" s="38">
        <v>0.531</v>
      </c>
      <c r="J17" s="38">
        <v>0.568</v>
      </c>
      <c r="K17" s="38">
        <v>0.617</v>
      </c>
      <c r="L17" s="38">
        <v>0.667</v>
      </c>
      <c r="M17" s="38">
        <v>0.717</v>
      </c>
      <c r="N17" s="38">
        <v>0.772</v>
      </c>
      <c r="O17" s="38">
        <v>0.826</v>
      </c>
      <c r="P17" s="38"/>
      <c r="Q17" s="38"/>
      <c r="S17" s="7" t="s">
        <v>848</v>
      </c>
      <c r="T17" s="7">
        <f>E54</f>
        <v>0.466</v>
      </c>
      <c r="W17" s="7" t="s">
        <v>848</v>
      </c>
      <c r="X17" s="7">
        <f>E54</f>
        <v>0.466</v>
      </c>
      <c r="AA17" s="7" t="s">
        <v>888</v>
      </c>
    </row>
    <row r="18" spans="3:27">
      <c r="C18" s="37" t="s">
        <v>636</v>
      </c>
      <c r="D18" s="38" t="s">
        <v>16</v>
      </c>
      <c r="E18" s="38">
        <v>0.516</v>
      </c>
      <c r="F18" s="38">
        <v>0.558</v>
      </c>
      <c r="G18" s="38">
        <v>0.6</v>
      </c>
      <c r="H18" s="38">
        <v>0.66</v>
      </c>
      <c r="I18" s="38">
        <v>0.702</v>
      </c>
      <c r="J18" s="38">
        <v>0.75</v>
      </c>
      <c r="K18" s="38">
        <v>0.816</v>
      </c>
      <c r="L18" s="38">
        <v>0.882</v>
      </c>
      <c r="M18" s="38">
        <v>0.948</v>
      </c>
      <c r="N18" s="38">
        <v>1.02</v>
      </c>
      <c r="O18" s="38">
        <v>1.092</v>
      </c>
      <c r="P18" s="38"/>
      <c r="Q18" s="38"/>
      <c r="AA18" s="7" t="s">
        <v>889</v>
      </c>
    </row>
    <row r="19" spans="3:34">
      <c r="C19" s="37" t="s">
        <v>637</v>
      </c>
      <c r="D19" s="38" t="s">
        <v>16</v>
      </c>
      <c r="E19" s="38">
        <f>32.5%+32.5%</f>
        <v>0.65</v>
      </c>
      <c r="F19" s="38">
        <f>35.2%+35.2%</f>
        <v>0.704</v>
      </c>
      <c r="G19" s="38">
        <f>37.8%+37.8%</f>
        <v>0.756</v>
      </c>
      <c r="H19" s="38">
        <f>41.6%+41.6%</f>
        <v>0.832</v>
      </c>
      <c r="I19" s="38">
        <f>44.2%+44.2%</f>
        <v>0.884</v>
      </c>
      <c r="J19" s="38">
        <f>47.3%+47.3%</f>
        <v>0.946</v>
      </c>
      <c r="K19" s="38">
        <f>51.4%+51.4%</f>
        <v>1.028</v>
      </c>
      <c r="L19" s="38">
        <f>55.6%+55.6%</f>
        <v>1.112</v>
      </c>
      <c r="M19" s="38">
        <f>59.7%+59.7%</f>
        <v>1.194</v>
      </c>
      <c r="N19" s="38">
        <f>64.3%+64.3%</f>
        <v>1.286</v>
      </c>
      <c r="O19" s="38">
        <f>68.8%+68.8%</f>
        <v>1.376</v>
      </c>
      <c r="P19" s="38"/>
      <c r="Q19" s="38"/>
      <c r="W19" s="7" t="s">
        <v>895</v>
      </c>
      <c r="Y19" s="7" t="s">
        <v>490</v>
      </c>
      <c r="Z19" s="35">
        <v>0.384</v>
      </c>
      <c r="AA19" s="7" t="s">
        <v>605</v>
      </c>
      <c r="AB19" s="7">
        <f t="shared" ref="AB19:AH19" si="5">$Z$19*AB7*(1+AB14)</f>
        <v>21338.110848</v>
      </c>
      <c r="AC19" s="7">
        <f t="shared" si="5"/>
        <v>18532.960896</v>
      </c>
      <c r="AD19" s="7">
        <f t="shared" si="5"/>
        <v>21304.897152</v>
      </c>
      <c r="AE19" s="7">
        <f t="shared" si="5"/>
        <v>21339.236736</v>
      </c>
      <c r="AF19" s="7">
        <f t="shared" si="5"/>
        <v>21069.023616</v>
      </c>
      <c r="AG19" s="7">
        <f t="shared" si="5"/>
        <v>17278.3276032</v>
      </c>
      <c r="AH19" s="7">
        <f t="shared" si="5"/>
        <v>21069.023616</v>
      </c>
    </row>
    <row r="20" spans="3:34">
      <c r="C20" s="37" t="s">
        <v>896</v>
      </c>
      <c r="D20" s="38" t="s">
        <v>16</v>
      </c>
      <c r="E20" s="38">
        <v>0.439</v>
      </c>
      <c r="F20" s="38">
        <v>0.474</v>
      </c>
      <c r="G20" s="38">
        <v>0.51</v>
      </c>
      <c r="H20" s="38">
        <v>0.561</v>
      </c>
      <c r="I20" s="38">
        <v>0.597</v>
      </c>
      <c r="J20" s="38">
        <v>0.638</v>
      </c>
      <c r="K20" s="38">
        <v>0.694</v>
      </c>
      <c r="L20" s="38">
        <v>0.75</v>
      </c>
      <c r="M20" s="38">
        <v>0.806</v>
      </c>
      <c r="N20" s="38">
        <v>0.867</v>
      </c>
      <c r="O20" s="38">
        <v>0.928</v>
      </c>
      <c r="P20" s="38"/>
      <c r="Q20" s="38"/>
      <c r="S20" s="7" t="s">
        <v>895</v>
      </c>
      <c r="U20" s="7" t="s">
        <v>490</v>
      </c>
      <c r="W20" s="7" t="s">
        <v>834</v>
      </c>
      <c r="X20" s="7">
        <f>Y10*(1+$X$14*($X$15-1))*(1+20%)*(1+$X$17)</f>
        <v>77867.8602200602</v>
      </c>
      <c r="Y20" s="7">
        <f ca="1">行秋!T20</f>
        <v>49279.3686718355</v>
      </c>
      <c r="Z20" s="7">
        <f>8.28%*3</f>
        <v>0.2484</v>
      </c>
      <c r="AA20" s="7" t="s">
        <v>856</v>
      </c>
      <c r="AB20" s="7">
        <f t="shared" ref="AB20:AH20" si="6">$Z$20*AB7*(1+AB14)*(1+AB15)</f>
        <v>19286.3681379693</v>
      </c>
      <c r="AC20" s="7">
        <f t="shared" si="6"/>
        <v>18303.4562372793</v>
      </c>
      <c r="AD20" s="7">
        <f t="shared" si="6"/>
        <v>19769.7128676894</v>
      </c>
      <c r="AE20" s="7">
        <f t="shared" si="6"/>
        <v>19287.3857674401</v>
      </c>
      <c r="AF20" s="7">
        <f t="shared" si="6"/>
        <v>18624.0621864114</v>
      </c>
      <c r="AG20" s="7">
        <f t="shared" si="6"/>
        <v>16720.6695798067</v>
      </c>
      <c r="AH20" s="7">
        <f t="shared" si="6"/>
        <v>18842.126580837</v>
      </c>
    </row>
    <row r="21" spans="3:27">
      <c r="C21" s="37" t="s">
        <v>888</v>
      </c>
      <c r="D21" s="38" t="s">
        <v>16</v>
      </c>
      <c r="E21" s="38">
        <v>1.24</v>
      </c>
      <c r="F21" s="38">
        <v>1.33</v>
      </c>
      <c r="G21" s="38">
        <v>1.43</v>
      </c>
      <c r="H21" s="38">
        <v>1.55</v>
      </c>
      <c r="I21" s="38">
        <v>1.64</v>
      </c>
      <c r="J21" s="38">
        <v>1.74</v>
      </c>
      <c r="K21" s="38">
        <v>1.86</v>
      </c>
      <c r="L21" s="38">
        <v>1.98</v>
      </c>
      <c r="M21" s="38">
        <v>2.11</v>
      </c>
      <c r="N21" s="38">
        <v>2.23</v>
      </c>
      <c r="O21" s="38">
        <v>2.36</v>
      </c>
      <c r="P21" s="38"/>
      <c r="Q21" s="38"/>
      <c r="S21" s="7" t="s">
        <v>834</v>
      </c>
      <c r="T21" s="19">
        <f t="shared" ref="T21:T23" si="7">U10*(1+$T$14*($T$15-1))*(1+$T$17)</f>
        <v>49487.1213368524</v>
      </c>
      <c r="U21" s="7">
        <f ca="1">行秋!T20</f>
        <v>49279.3686718355</v>
      </c>
      <c r="W21" s="7" t="s">
        <v>897</v>
      </c>
      <c r="X21" s="7">
        <f>Y11*(1+$X$14*($X$15-1))*(1+20%)*(1+$X$17)</f>
        <v>23575.4626522613</v>
      </c>
      <c r="AA21" s="7" t="s">
        <v>890</v>
      </c>
    </row>
    <row r="22" spans="3:37">
      <c r="C22" s="37" t="s">
        <v>889</v>
      </c>
      <c r="D22" s="38" t="s">
        <v>898</v>
      </c>
      <c r="E22" s="38">
        <v>0.1158</v>
      </c>
      <c r="F22" s="38">
        <v>0.1244</v>
      </c>
      <c r="G22" s="38">
        <v>0.1331</v>
      </c>
      <c r="H22" s="38">
        <v>0.1447</v>
      </c>
      <c r="I22" s="38">
        <v>0.1534</v>
      </c>
      <c r="J22" s="38">
        <v>0.1621</v>
      </c>
      <c r="K22" s="38">
        <v>0.1736</v>
      </c>
      <c r="L22" s="38">
        <v>0.1852</v>
      </c>
      <c r="M22" s="38">
        <v>0.1968</v>
      </c>
      <c r="N22" s="38">
        <v>0.2084</v>
      </c>
      <c r="O22" s="38">
        <v>0.2199</v>
      </c>
      <c r="P22" s="38"/>
      <c r="Q22" s="38"/>
      <c r="S22" s="7" t="s">
        <v>897</v>
      </c>
      <c r="T22" s="19">
        <f t="shared" si="7"/>
        <v>14982.8411561299</v>
      </c>
      <c r="W22" s="7" t="s">
        <v>899</v>
      </c>
      <c r="X22" s="7">
        <f>Y12*(1+$X$14*($X$15-1))*(1+20%)*(1+$X$17)</f>
        <v>47172.435763147</v>
      </c>
      <c r="Y22" s="7">
        <f ca="1">行秋!T21</f>
        <v>29709.7111258772</v>
      </c>
      <c r="AK22" s="7">
        <f>AK23*1.15</f>
        <v>51774.8353334529</v>
      </c>
    </row>
    <row r="23" spans="3:38">
      <c r="C23" s="37" t="s">
        <v>640</v>
      </c>
      <c r="D23" s="38" t="s">
        <v>16</v>
      </c>
      <c r="E23" s="38">
        <v>0.568</v>
      </c>
      <c r="F23" s="38">
        <v>0.615</v>
      </c>
      <c r="G23" s="38">
        <v>0.661</v>
      </c>
      <c r="H23" s="38">
        <v>0.727</v>
      </c>
      <c r="I23" s="38">
        <v>0.773</v>
      </c>
      <c r="J23" s="38">
        <v>0.826</v>
      </c>
      <c r="K23" s="38">
        <v>0.898</v>
      </c>
      <c r="L23" s="38">
        <v>0.971</v>
      </c>
      <c r="M23" s="38">
        <v>1.044</v>
      </c>
      <c r="N23" s="38">
        <v>1.123</v>
      </c>
      <c r="O23" s="38">
        <v>1.203</v>
      </c>
      <c r="P23" s="38"/>
      <c r="Q23" s="38"/>
      <c r="S23" s="7" t="s">
        <v>899</v>
      </c>
      <c r="T23" s="19">
        <f t="shared" si="7"/>
        <v>29979.3527877672</v>
      </c>
      <c r="U23" s="7">
        <f ca="1">行秋!T21</f>
        <v>29709.7111258772</v>
      </c>
      <c r="X23" s="51">
        <f>X22/T23</f>
        <v>1.57349746997858</v>
      </c>
      <c r="AA23" s="7" t="s">
        <v>834</v>
      </c>
      <c r="AB23" s="19">
        <f t="shared" ref="AB23:AH23" si="8">AB19*(1+AB9*(AB10))</f>
        <v>54900.7400483758</v>
      </c>
      <c r="AC23" s="19">
        <f t="shared" si="8"/>
        <v>42789.0113144502</v>
      </c>
      <c r="AD23" s="19">
        <f t="shared" si="8"/>
        <v>50488.6009295754</v>
      </c>
      <c r="AE23" s="19">
        <f t="shared" si="8"/>
        <v>54813.3718697142</v>
      </c>
      <c r="AF23" s="19">
        <f t="shared" si="8"/>
        <v>57369.7293029983</v>
      </c>
      <c r="AG23" s="19">
        <f t="shared" si="8"/>
        <v>47047.8839205126</v>
      </c>
      <c r="AH23" s="19">
        <f t="shared" si="8"/>
        <v>59116.2038775994</v>
      </c>
      <c r="AK23" s="7">
        <f>AF19*(1+AF9*(AK10))</f>
        <v>45021.595942133</v>
      </c>
      <c r="AL23" s="35">
        <f>AF23/AK23</f>
        <v>1.27427133806488</v>
      </c>
    </row>
    <row r="24" spans="3:38">
      <c r="C24" s="37" t="s">
        <v>641</v>
      </c>
      <c r="D24" s="38" t="s">
        <v>16</v>
      </c>
      <c r="E24" s="38" t="s">
        <v>642</v>
      </c>
      <c r="F24" s="38" t="s">
        <v>643</v>
      </c>
      <c r="G24" s="38" t="s">
        <v>900</v>
      </c>
      <c r="H24" s="38" t="s">
        <v>645</v>
      </c>
      <c r="I24" s="38" t="s">
        <v>901</v>
      </c>
      <c r="J24" s="38" t="s">
        <v>647</v>
      </c>
      <c r="K24" s="38" t="s">
        <v>648</v>
      </c>
      <c r="L24" s="38" t="s">
        <v>649</v>
      </c>
      <c r="M24" s="38" t="s">
        <v>650</v>
      </c>
      <c r="N24" s="38" t="s">
        <v>651</v>
      </c>
      <c r="O24" s="38" t="s">
        <v>652</v>
      </c>
      <c r="P24" s="38"/>
      <c r="Q24" s="38"/>
      <c r="X24" s="7">
        <f>X23*X31</f>
        <v>1.67839730131049</v>
      </c>
      <c r="AA24" s="7" t="s">
        <v>897</v>
      </c>
      <c r="AB24" s="19">
        <f t="shared" ref="AB24:AH24" si="9">AB20*(1+AB9*(AB10))</f>
        <v>49621.8194367087</v>
      </c>
      <c r="AC24" s="19">
        <f t="shared" si="9"/>
        <v>42259.1295813679</v>
      </c>
      <c r="AD24" s="19">
        <f t="shared" si="9"/>
        <v>46850.5027904048</v>
      </c>
      <c r="AE24" s="19">
        <f t="shared" si="9"/>
        <v>49542.8520497073</v>
      </c>
      <c r="AF24" s="19">
        <f t="shared" si="9"/>
        <v>50712.2411379914</v>
      </c>
      <c r="AG24" s="19">
        <f t="shared" si="9"/>
        <v>45529.4134669781</v>
      </c>
      <c r="AH24" s="19">
        <f t="shared" si="9"/>
        <v>52867.8982349428</v>
      </c>
      <c r="AL24" s="35">
        <f>AE23/AK22</f>
        <v>1.05868751714403</v>
      </c>
    </row>
    <row r="25" spans="2:34">
      <c r="B25" s="7" t="s">
        <v>567</v>
      </c>
      <c r="C25" s="37" t="s">
        <v>852</v>
      </c>
      <c r="D25" s="38" t="s">
        <v>898</v>
      </c>
      <c r="E25" s="40">
        <v>0.226</v>
      </c>
      <c r="F25" s="40">
        <v>0.243</v>
      </c>
      <c r="G25" s="40">
        <v>0.26</v>
      </c>
      <c r="H25" s="40">
        <v>0.283</v>
      </c>
      <c r="I25" s="40">
        <v>0.3</v>
      </c>
      <c r="J25" s="40">
        <v>0.317</v>
      </c>
      <c r="K25" s="40">
        <v>0.339</v>
      </c>
      <c r="L25" s="40">
        <v>0.362</v>
      </c>
      <c r="M25" s="40">
        <v>0.384</v>
      </c>
      <c r="N25" s="40">
        <v>0.407</v>
      </c>
      <c r="O25" s="40">
        <v>0.43</v>
      </c>
      <c r="P25" s="40">
        <v>0.452</v>
      </c>
      <c r="Q25" s="40">
        <v>0.481</v>
      </c>
      <c r="R25" s="45"/>
      <c r="AA25" s="7" t="s">
        <v>899</v>
      </c>
      <c r="AG25" s="7">
        <f>AF23/AG23</f>
        <v>1.21939021529479</v>
      </c>
      <c r="AH25" s="7">
        <f>AH23/AF23</f>
        <v>1.03044244056612</v>
      </c>
    </row>
    <row r="26" spans="3:34">
      <c r="C26" s="37" t="s">
        <v>902</v>
      </c>
      <c r="D26" s="38"/>
      <c r="E26" s="38" t="s">
        <v>903</v>
      </c>
      <c r="F26" s="38" t="s">
        <v>903</v>
      </c>
      <c r="G26" s="38" t="s">
        <v>903</v>
      </c>
      <c r="H26" s="38" t="s">
        <v>903</v>
      </c>
      <c r="I26" s="38" t="s">
        <v>903</v>
      </c>
      <c r="J26" s="38" t="s">
        <v>903</v>
      </c>
      <c r="K26" s="38" t="s">
        <v>903</v>
      </c>
      <c r="L26" s="38" t="s">
        <v>903</v>
      </c>
      <c r="M26" s="38" t="s">
        <v>903</v>
      </c>
      <c r="N26" s="38" t="s">
        <v>903</v>
      </c>
      <c r="O26" s="38" t="s">
        <v>903</v>
      </c>
      <c r="P26" s="38" t="s">
        <v>903</v>
      </c>
      <c r="Q26" s="38" t="s">
        <v>903</v>
      </c>
      <c r="R26" s="45"/>
      <c r="AG26" s="7">
        <f>AF24/AG24</f>
        <v>1.11383471203231</v>
      </c>
      <c r="AH26" s="7">
        <f>AH24/AF24</f>
        <v>1.04250762830784</v>
      </c>
    </row>
    <row r="27" spans="3:19">
      <c r="C27" s="37" t="s">
        <v>761</v>
      </c>
      <c r="D27" s="38"/>
      <c r="E27" s="38" t="s">
        <v>904</v>
      </c>
      <c r="F27" s="38" t="s">
        <v>904</v>
      </c>
      <c r="G27" s="38" t="s">
        <v>904</v>
      </c>
      <c r="H27" s="38" t="s">
        <v>904</v>
      </c>
      <c r="I27" s="38" t="s">
        <v>904</v>
      </c>
      <c r="J27" s="38" t="s">
        <v>904</v>
      </c>
      <c r="K27" s="38" t="s">
        <v>904</v>
      </c>
      <c r="L27" s="38" t="s">
        <v>904</v>
      </c>
      <c r="M27" s="38" t="s">
        <v>904</v>
      </c>
      <c r="N27" s="38" t="s">
        <v>904</v>
      </c>
      <c r="O27" s="38" t="s">
        <v>904</v>
      </c>
      <c r="P27" s="38" t="s">
        <v>904</v>
      </c>
      <c r="Q27" s="38" t="s">
        <v>904</v>
      </c>
      <c r="R27" s="45"/>
      <c r="S27" s="45"/>
    </row>
    <row r="28" spans="2:29">
      <c r="B28" s="7" t="s">
        <v>677</v>
      </c>
      <c r="C28" s="37" t="s">
        <v>852</v>
      </c>
      <c r="D28" s="38" t="s">
        <v>898</v>
      </c>
      <c r="E28" s="40">
        <v>0.0731</v>
      </c>
      <c r="F28" s="40">
        <v>0.0786</v>
      </c>
      <c r="G28" s="40">
        <v>0.084</v>
      </c>
      <c r="H28" s="40">
        <v>0.0914</v>
      </c>
      <c r="I28" s="40">
        <v>0.0968</v>
      </c>
      <c r="J28" s="40">
        <v>0.1023</v>
      </c>
      <c r="K28" s="40">
        <v>0.1096</v>
      </c>
      <c r="L28" s="40">
        <v>0.1169</v>
      </c>
      <c r="M28" s="40">
        <v>0.1242</v>
      </c>
      <c r="N28" s="40">
        <v>0.1315</v>
      </c>
      <c r="O28" s="40">
        <v>0.1389</v>
      </c>
      <c r="P28" s="40">
        <v>0.1462</v>
      </c>
      <c r="Q28" s="40">
        <v>0.1553</v>
      </c>
      <c r="R28" s="45"/>
      <c r="S28" s="45"/>
      <c r="AC28" s="7">
        <f>157+30</f>
        <v>187</v>
      </c>
    </row>
    <row r="29" spans="3:31">
      <c r="C29" s="37" t="s">
        <v>890</v>
      </c>
      <c r="D29" s="38" t="s">
        <v>898</v>
      </c>
      <c r="E29" s="38">
        <f>4.87%*3</f>
        <v>0.1461</v>
      </c>
      <c r="F29" s="38">
        <f>5.24%*3</f>
        <v>0.1572</v>
      </c>
      <c r="G29" s="38">
        <f>5.6%*3</f>
        <v>0.168</v>
      </c>
      <c r="H29" s="38">
        <f>6.09%*3</f>
        <v>0.1827</v>
      </c>
      <c r="I29" s="38">
        <f>6.48%*3</f>
        <v>0.1944</v>
      </c>
      <c r="J29" s="38">
        <f>6.82%*3</f>
        <v>0.2046</v>
      </c>
      <c r="K29" s="38">
        <f>7.31%*3</f>
        <v>0.2193</v>
      </c>
      <c r="L29" s="38">
        <f>7.8%*3</f>
        <v>0.234</v>
      </c>
      <c r="M29" s="38">
        <f>8.28%*3</f>
        <v>0.2484</v>
      </c>
      <c r="N29" s="38">
        <f>8.77%*3</f>
        <v>0.2631</v>
      </c>
      <c r="O29" s="38">
        <f>9.26%*3</f>
        <v>0.2778</v>
      </c>
      <c r="P29" s="38">
        <f>9.74%*3</f>
        <v>0.2922</v>
      </c>
      <c r="Q29" s="38">
        <f>10.35%*3</f>
        <v>0.3105</v>
      </c>
      <c r="R29" s="45"/>
      <c r="S29" s="45"/>
      <c r="AC29" s="7">
        <f>AC28-7</f>
        <v>180</v>
      </c>
      <c r="AD29" s="7">
        <f>AC28/AC29-1</f>
        <v>0.038888888888889</v>
      </c>
      <c r="AE29" s="35">
        <f>AD29*0.74</f>
        <v>0.0287777777777778</v>
      </c>
    </row>
    <row r="30" spans="3:18">
      <c r="C30" s="37" t="s">
        <v>84</v>
      </c>
      <c r="D30" s="38"/>
      <c r="E30" s="38" t="s">
        <v>760</v>
      </c>
      <c r="F30" s="38" t="s">
        <v>760</v>
      </c>
      <c r="G30" s="38" t="s">
        <v>760</v>
      </c>
      <c r="H30" s="38" t="s">
        <v>760</v>
      </c>
      <c r="I30" s="38" t="s">
        <v>760</v>
      </c>
      <c r="J30" s="38" t="s">
        <v>760</v>
      </c>
      <c r="K30" s="38" t="s">
        <v>760</v>
      </c>
      <c r="L30" s="38" t="s">
        <v>760</v>
      </c>
      <c r="M30" s="38" t="s">
        <v>760</v>
      </c>
      <c r="N30" s="38" t="s">
        <v>760</v>
      </c>
      <c r="O30" s="38" t="s">
        <v>760</v>
      </c>
      <c r="P30" s="38" t="s">
        <v>760</v>
      </c>
      <c r="Q30" s="38" t="s">
        <v>760</v>
      </c>
      <c r="R30" s="45"/>
    </row>
    <row r="31" spans="3:29">
      <c r="C31" s="37" t="s">
        <v>761</v>
      </c>
      <c r="D31" s="38"/>
      <c r="E31" s="38" t="s">
        <v>905</v>
      </c>
      <c r="F31" s="38" t="s">
        <v>905</v>
      </c>
      <c r="G31" s="38" t="s">
        <v>905</v>
      </c>
      <c r="H31" s="38" t="s">
        <v>905</v>
      </c>
      <c r="I31" s="38" t="s">
        <v>905</v>
      </c>
      <c r="J31" s="38" t="s">
        <v>905</v>
      </c>
      <c r="K31" s="38" t="s">
        <v>905</v>
      </c>
      <c r="L31" s="38" t="s">
        <v>905</v>
      </c>
      <c r="M31" s="38" t="s">
        <v>905</v>
      </c>
      <c r="N31" s="38" t="s">
        <v>905</v>
      </c>
      <c r="O31" s="38" t="s">
        <v>905</v>
      </c>
      <c r="P31" s="38" t="s">
        <v>905</v>
      </c>
      <c r="Q31" s="38" t="s">
        <v>905</v>
      </c>
      <c r="R31" s="45"/>
      <c r="X31" s="7">
        <f>128%/120%</f>
        <v>1.06666666666667</v>
      </c>
      <c r="AC31" s="7">
        <f>14%*14450</f>
        <v>2023</v>
      </c>
    </row>
    <row r="32" spans="3:18">
      <c r="C32" s="37" t="s">
        <v>763</v>
      </c>
      <c r="D32" s="38"/>
      <c r="E32" s="38">
        <v>70</v>
      </c>
      <c r="F32" s="38">
        <v>70</v>
      </c>
      <c r="G32" s="38">
        <v>70</v>
      </c>
      <c r="H32" s="38">
        <v>70</v>
      </c>
      <c r="I32" s="38">
        <v>70</v>
      </c>
      <c r="J32" s="38">
        <v>70</v>
      </c>
      <c r="K32" s="38">
        <v>70</v>
      </c>
      <c r="L32" s="38">
        <v>70</v>
      </c>
      <c r="M32" s="38">
        <v>70</v>
      </c>
      <c r="N32" s="38">
        <v>70</v>
      </c>
      <c r="O32" s="38">
        <v>70</v>
      </c>
      <c r="P32" s="38">
        <v>70</v>
      </c>
      <c r="Q32" s="38">
        <v>70</v>
      </c>
      <c r="R32" s="45"/>
    </row>
    <row r="33" spans="3:29">
      <c r="C33" s="50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AC33" s="7">
        <f>14450+15319</f>
        <v>29769</v>
      </c>
    </row>
    <row r="34" spans="3:29">
      <c r="C34" s="7" t="s">
        <v>906</v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AC34" s="35">
        <f>AC31/AC33</f>
        <v>0.0679565991467634</v>
      </c>
    </row>
    <row r="35" spans="3:18">
      <c r="C35" s="44" t="s">
        <v>907</v>
      </c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</row>
    <row r="37" spans="3:4">
      <c r="C37" s="7" t="s">
        <v>908</v>
      </c>
      <c r="D37" s="7">
        <f>(50%-1%)/3.5%</f>
        <v>14</v>
      </c>
    </row>
    <row r="38" spans="3:4">
      <c r="C38" s="7" t="s">
        <v>84</v>
      </c>
      <c r="D38" s="7">
        <v>15</v>
      </c>
    </row>
    <row r="39" spans="3:4">
      <c r="C39" s="7" t="s">
        <v>909</v>
      </c>
      <c r="D39" s="35">
        <f>((1%+50%)*D37/2+(D38-D37)*50%)/D38</f>
        <v>0.271333333333333</v>
      </c>
    </row>
    <row r="42" spans="2:2">
      <c r="B42" s="7" t="s">
        <v>910</v>
      </c>
    </row>
    <row r="43" spans="3:4">
      <c r="C43" s="7" t="s">
        <v>417</v>
      </c>
      <c r="D43" s="7">
        <v>90</v>
      </c>
    </row>
    <row r="44" spans="3:4">
      <c r="C44" s="7" t="s">
        <v>911</v>
      </c>
      <c r="D44" s="7">
        <v>8</v>
      </c>
    </row>
    <row r="45" spans="3:4">
      <c r="C45" s="7" t="s">
        <v>777</v>
      </c>
      <c r="D45" s="7">
        <v>8</v>
      </c>
    </row>
    <row r="46" spans="3:4">
      <c r="C46" s="7" t="s">
        <v>912</v>
      </c>
      <c r="D46" s="7">
        <v>7</v>
      </c>
    </row>
    <row r="47" spans="3:5">
      <c r="C47" s="7" t="s">
        <v>41</v>
      </c>
      <c r="D47" s="7" t="s">
        <v>520</v>
      </c>
      <c r="E47" s="7" t="s">
        <v>526</v>
      </c>
    </row>
    <row r="49" spans="3:13">
      <c r="C49" s="19" t="s">
        <v>4</v>
      </c>
      <c r="D49" s="19" t="s">
        <v>5</v>
      </c>
      <c r="E49" s="19"/>
      <c r="F49" s="19" t="s">
        <v>6</v>
      </c>
      <c r="G49" s="19" t="s">
        <v>7</v>
      </c>
      <c r="H49" s="19"/>
      <c r="I49" s="19"/>
      <c r="J49" s="19"/>
      <c r="K49" s="19"/>
      <c r="L49" s="19"/>
      <c r="M49" s="19"/>
    </row>
    <row r="50" spans="3:13">
      <c r="C50" s="19"/>
      <c r="D50" s="19" t="s">
        <v>9</v>
      </c>
      <c r="E50" s="19" t="s">
        <v>10</v>
      </c>
      <c r="F50" s="19" t="s">
        <v>8</v>
      </c>
      <c r="G50" s="19" t="s">
        <v>11</v>
      </c>
      <c r="H50" s="19" t="s">
        <v>21</v>
      </c>
      <c r="I50" s="19" t="s">
        <v>13</v>
      </c>
      <c r="J50" s="19" t="s">
        <v>8</v>
      </c>
      <c r="K50" s="19" t="s">
        <v>11</v>
      </c>
      <c r="L50" s="19" t="s">
        <v>21</v>
      </c>
      <c r="M50" s="19" t="s">
        <v>13</v>
      </c>
    </row>
    <row r="51" spans="3:13">
      <c r="C51" s="19" t="s">
        <v>17</v>
      </c>
      <c r="D51" s="19" t="s">
        <v>18</v>
      </c>
      <c r="E51" s="19">
        <f>VLOOKUP(D51,圣遗物!$A:$B,2,0)</f>
        <v>4780</v>
      </c>
      <c r="F51" s="19">
        <f>9-SUM(G51:I51)</f>
        <v>6</v>
      </c>
      <c r="G51" s="19">
        <v>1</v>
      </c>
      <c r="H51" s="19">
        <v>1</v>
      </c>
      <c r="I51" s="19">
        <v>1</v>
      </c>
      <c r="J51" s="21">
        <f>VLOOKUP(J$50,圣遗物!$A:$F,6,0)+(F51-1)*VLOOKUP(J$50,圣遗物!$A:$J,10,0)</f>
        <v>0.226</v>
      </c>
      <c r="K51" s="21">
        <f>VLOOKUP(K$50,圣遗物!$A:$F,6,0)+(G51-1)*VLOOKUP(K$50,圣遗物!$A:$J,10,0)</f>
        <v>0.062</v>
      </c>
      <c r="L51" s="48">
        <f>VLOOKUP(L$50,圣遗物!$A:$F,6,0)+(H51-1)*VLOOKUP(L$50,圣遗物!$A:$J,10,0)</f>
        <v>0.052</v>
      </c>
      <c r="M51" s="21">
        <f>VLOOKUP(M$50,圣遗物!$A:$F,6,0)+(I51-1)*VLOOKUP(M$50,圣遗物!$A:$J,10,0)</f>
        <v>0.047</v>
      </c>
    </row>
    <row r="52" spans="3:13">
      <c r="C52" s="19" t="s">
        <v>19</v>
      </c>
      <c r="D52" s="19" t="s">
        <v>20</v>
      </c>
      <c r="E52" s="19">
        <f>VLOOKUP(D52,圣遗物!$A:$B,2,0)</f>
        <v>311</v>
      </c>
      <c r="F52" s="19">
        <f>9-SUM(G52:I52)</f>
        <v>6</v>
      </c>
      <c r="G52" s="19">
        <v>1</v>
      </c>
      <c r="H52" s="19">
        <v>1</v>
      </c>
      <c r="I52" s="19">
        <v>1</v>
      </c>
      <c r="J52" s="21">
        <f>VLOOKUP(J$50,圣遗物!$A:$F,6,0)+(F52-1)*VLOOKUP(J$50,圣遗物!$A:$J,10,0)</f>
        <v>0.226</v>
      </c>
      <c r="K52" s="21">
        <f>VLOOKUP(K$50,圣遗物!$A:$F,6,0)+(G52-1)*VLOOKUP(K$50,圣遗物!$A:$J,10,0)</f>
        <v>0.062</v>
      </c>
      <c r="L52" s="48">
        <f>VLOOKUP(L$50,圣遗物!$A:$F,6,0)+(H52-1)*VLOOKUP(L$50,圣遗物!$A:$J,10,0)</f>
        <v>0.052</v>
      </c>
      <c r="M52" s="21">
        <f>VLOOKUP(M$50,圣遗物!$A:$F,6,0)+(I52-1)*VLOOKUP(M$50,圣遗物!$A:$J,10,0)</f>
        <v>0.047</v>
      </c>
    </row>
    <row r="53" spans="3:13">
      <c r="C53" s="19" t="s">
        <v>22</v>
      </c>
      <c r="D53" s="19" t="s">
        <v>13</v>
      </c>
      <c r="E53" s="19">
        <f>VLOOKUP(D53,圣遗物!$A:$B,2,0)</f>
        <v>0.466</v>
      </c>
      <c r="F53" s="19">
        <f>9-SUM(G53:I53)</f>
        <v>1</v>
      </c>
      <c r="G53" s="19">
        <v>6</v>
      </c>
      <c r="H53" s="19">
        <v>1</v>
      </c>
      <c r="I53" s="19">
        <v>1</v>
      </c>
      <c r="J53" s="21">
        <f>VLOOKUP(J$50,圣遗物!$A:$F,6,0)+(F53-1)*VLOOKUP(J$50,圣遗物!$A:$J,10,0)</f>
        <v>0.031</v>
      </c>
      <c r="K53" s="21">
        <f>VLOOKUP(K$50,圣遗物!$A:$F,6,0)+(G53-1)*VLOOKUP(K$50,圣遗物!$A:$J,10,0)</f>
        <v>0.452</v>
      </c>
      <c r="L53" s="48">
        <f>VLOOKUP(L$50,圣遗物!$A:$F,6,0)+(H53-1)*VLOOKUP(L$50,圣遗物!$A:$J,10,0)</f>
        <v>0.052</v>
      </c>
      <c r="M53" s="21">
        <f>VLOOKUP(M$50,圣遗物!$A:$F,6,0)+(I53-1)*VLOOKUP(M$50,圣遗物!$A:$J,10,0)</f>
        <v>0.047</v>
      </c>
    </row>
    <row r="54" spans="3:13">
      <c r="C54" s="19" t="s">
        <v>24</v>
      </c>
      <c r="D54" s="43" t="s">
        <v>27</v>
      </c>
      <c r="E54" s="19">
        <f>VLOOKUP(D54,圣遗物!$A:$B,2,0)</f>
        <v>0.466</v>
      </c>
      <c r="F54" s="19">
        <f>9-SUM(G54:I54)</f>
        <v>1</v>
      </c>
      <c r="G54" s="19">
        <v>6</v>
      </c>
      <c r="H54" s="19">
        <v>1</v>
      </c>
      <c r="I54" s="19">
        <v>1</v>
      </c>
      <c r="J54" s="21">
        <f>VLOOKUP(J$50,圣遗物!$A:$F,6,0)+(F54-1)*VLOOKUP(J$50,圣遗物!$A:$J,10,0)</f>
        <v>0.031</v>
      </c>
      <c r="K54" s="21">
        <f>VLOOKUP(K$50,圣遗物!$A:$F,6,0)+(G54-1)*VLOOKUP(K$50,圣遗物!$A:$J,10,0)</f>
        <v>0.452</v>
      </c>
      <c r="L54" s="48">
        <f>VLOOKUP(L$50,圣遗物!$A:$F,6,0)+(H54-1)*VLOOKUP(L$50,圣遗物!$A:$J,10,0)</f>
        <v>0.052</v>
      </c>
      <c r="M54" s="21">
        <f>VLOOKUP(M$50,圣遗物!$A:$F,6,0)+(I54-1)*VLOOKUP(M$50,圣遗物!$A:$J,10,0)</f>
        <v>0.047</v>
      </c>
    </row>
    <row r="55" spans="3:13">
      <c r="C55" s="19" t="s">
        <v>26</v>
      </c>
      <c r="D55" s="19" t="s">
        <v>11</v>
      </c>
      <c r="E55" s="19">
        <f>VLOOKUP(D55,圣遗物!$A:$B,2,0)</f>
        <v>0.622</v>
      </c>
      <c r="F55" s="19">
        <f>9-SUM(G55:I55)</f>
        <v>1</v>
      </c>
      <c r="G55" s="19">
        <v>6</v>
      </c>
      <c r="H55" s="19">
        <v>1</v>
      </c>
      <c r="I55" s="19">
        <v>1</v>
      </c>
      <c r="J55" s="21">
        <f>VLOOKUP(J$50,圣遗物!$A:$F,6,0)+(F55-1)*VLOOKUP(J$50,圣遗物!$A:$J,10,0)</f>
        <v>0.031</v>
      </c>
      <c r="K55" s="21">
        <f>VLOOKUP(K$50,圣遗物!$A:$F,6,0)+(G55-1)*VLOOKUP(K$50,圣遗物!$A:$J,10,0)</f>
        <v>0.452</v>
      </c>
      <c r="L55" s="48">
        <f>VLOOKUP(L$50,圣遗物!$A:$F,6,0)+(H55-1)*VLOOKUP(L$50,圣遗物!$A:$J,10,0)</f>
        <v>0.052</v>
      </c>
      <c r="M55" s="21">
        <f>VLOOKUP(M$50,圣遗物!$A:$F,6,0)+(I55-1)*VLOOKUP(M$50,圣遗物!$A:$J,10,0)</f>
        <v>0.047</v>
      </c>
    </row>
    <row r="56" spans="3:13">
      <c r="C56" s="19"/>
      <c r="D56" s="19"/>
      <c r="E56" s="19"/>
      <c r="F56" s="19"/>
      <c r="G56" s="19"/>
      <c r="H56" s="19"/>
      <c r="I56" s="19"/>
      <c r="J56" s="21">
        <f>SUM(J51:J55)</f>
        <v>0.545</v>
      </c>
      <c r="K56" s="21">
        <f>SUM(K51:K55)</f>
        <v>1.48</v>
      </c>
      <c r="L56" s="48">
        <f>SUM(L51:L55)</f>
        <v>0.26</v>
      </c>
      <c r="M56" s="21">
        <f>SUM(M51:M55)</f>
        <v>0.235</v>
      </c>
    </row>
  </sheetData>
  <mergeCells count="1">
    <mergeCell ref="C4:C5"/>
  </mergeCells>
  <conditionalFormatting sqref="AG2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F23 AH2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F24 AH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/>
  <dimension ref="A1:AA49"/>
  <sheetViews>
    <sheetView topLeftCell="M1" workbookViewId="0">
      <selection activeCell="AA16" sqref="AA16"/>
    </sheetView>
  </sheetViews>
  <sheetFormatPr defaultColWidth="9" defaultRowHeight="16.5"/>
  <cols>
    <col min="1" max="1" width="5.125" style="7" customWidth="1"/>
    <col min="2" max="2" width="8.875" style="7" customWidth="1"/>
    <col min="3" max="3" width="22.125" style="7" customWidth="1"/>
    <col min="4" max="4" width="12.875" style="7" customWidth="1"/>
    <col min="5" max="15" width="12.375" style="7" customWidth="1"/>
    <col min="16" max="16" width="8.875" style="7" customWidth="1"/>
    <col min="17" max="17" width="10" style="7" customWidth="1"/>
    <col min="18" max="18" width="8.875" style="7" customWidth="1"/>
    <col min="19" max="19" width="18.375" style="7" customWidth="1"/>
    <col min="20" max="20" width="10.375" style="7" customWidth="1"/>
    <col min="21" max="21" width="14.125" style="7"/>
    <col min="22" max="24" width="9" style="7"/>
    <col min="25" max="27" width="14.125" style="7"/>
    <col min="28" max="16384" width="9" style="7"/>
  </cols>
  <sheetData>
    <row r="1" customHeight="1" spans="1:18">
      <c r="A1" s="7" t="s">
        <v>223</v>
      </c>
      <c r="R1" s="7" t="s">
        <v>879</v>
      </c>
    </row>
    <row r="3" spans="2:26">
      <c r="B3" s="7" t="s">
        <v>805</v>
      </c>
      <c r="S3" s="7" t="s">
        <v>16</v>
      </c>
      <c r="T3" s="7">
        <f ca="1">(VLOOKUP($D$36,$C$4:$K$13,MATCH(S3,$D$4:$K$4,0)+1,0)+VLOOKUP($D$40,武器!$K:$L,2,0))*(1+E46+M49+J13)+E45</f>
        <v>1584.296</v>
      </c>
      <c r="U3" s="7" t="e">
        <f ca="1">(VLOOKUP($D$36,$C$4:$K$13,MATCH(T3,$D$4:$K$4,0)+1,0)+VLOOKUP($D$40,武器!$K:$L,2,0))*(1+F46+N49+K13)+F45</f>
        <v>#N/A</v>
      </c>
      <c r="Y3" s="7">
        <f>590+899</f>
        <v>1489</v>
      </c>
      <c r="Z3" s="7">
        <f>656+1076</f>
        <v>1732</v>
      </c>
    </row>
    <row r="4" spans="3:26">
      <c r="C4" s="36" t="s">
        <v>417</v>
      </c>
      <c r="D4" s="36" t="s">
        <v>615</v>
      </c>
      <c r="E4" s="36"/>
      <c r="F4" s="36" t="s">
        <v>16</v>
      </c>
      <c r="G4" s="36"/>
      <c r="H4" s="36" t="s">
        <v>23</v>
      </c>
      <c r="I4" s="36"/>
      <c r="J4" s="36" t="s">
        <v>45</v>
      </c>
      <c r="K4" s="36"/>
      <c r="S4" s="7" t="s">
        <v>21</v>
      </c>
      <c r="T4" s="7">
        <f ca="1">VLOOKUP($D$40,武器!$K:$M,3,0)+L49+1</f>
        <v>1.873</v>
      </c>
      <c r="U4" s="7">
        <f ca="1">VLOOKUP($D$40,武器!$K:$M,3,0)+M49+1</f>
        <v>1.848</v>
      </c>
      <c r="Y4" s="35">
        <v>2.257</v>
      </c>
      <c r="Z4" s="35">
        <v>1.716</v>
      </c>
    </row>
    <row r="5" spans="3:11">
      <c r="C5" s="36"/>
      <c r="D5" s="36" t="s">
        <v>524</v>
      </c>
      <c r="E5" s="36" t="s">
        <v>525</v>
      </c>
      <c r="F5" s="36" t="s">
        <v>524</v>
      </c>
      <c r="G5" s="36" t="s">
        <v>525</v>
      </c>
      <c r="H5" s="36" t="s">
        <v>524</v>
      </c>
      <c r="I5" s="36" t="s">
        <v>525</v>
      </c>
      <c r="J5" s="36" t="s">
        <v>524</v>
      </c>
      <c r="K5" s="36" t="s">
        <v>525</v>
      </c>
    </row>
    <row r="6" spans="3:21">
      <c r="C6" s="34">
        <v>1</v>
      </c>
      <c r="D6" s="34">
        <v>857</v>
      </c>
      <c r="E6" s="34"/>
      <c r="F6" s="34">
        <v>17</v>
      </c>
      <c r="G6" s="34"/>
      <c r="H6" s="34">
        <v>64</v>
      </c>
      <c r="I6" s="34"/>
      <c r="J6" s="46">
        <v>0</v>
      </c>
      <c r="K6" s="46"/>
      <c r="S6" s="7" t="s">
        <v>605</v>
      </c>
      <c r="T6" s="7">
        <f>INDEX($C$25:$Q$25,1,MATCH("LV"&amp;$D$38,$C$15:$Q$15,0))</f>
        <v>7.63</v>
      </c>
      <c r="U6" s="7">
        <f>INDEX($C$25:$Q$25,1,MATCH("LV"&amp;$D$38,$C$15:$Q$15,0))</f>
        <v>7.63</v>
      </c>
    </row>
    <row r="7" spans="3:21">
      <c r="C7" s="34">
        <v>20</v>
      </c>
      <c r="D7" s="34">
        <v>2202</v>
      </c>
      <c r="E7" s="34">
        <v>2842</v>
      </c>
      <c r="F7" s="34">
        <v>43</v>
      </c>
      <c r="G7" s="34">
        <v>56</v>
      </c>
      <c r="H7" s="34">
        <v>163</v>
      </c>
      <c r="I7" s="34">
        <v>211</v>
      </c>
      <c r="J7" s="46"/>
      <c r="K7" s="46"/>
      <c r="S7" s="7" t="s">
        <v>856</v>
      </c>
      <c r="T7" s="7">
        <f>INDEX($C$29:$Q$29,1,MATCH("LV"&amp;$D$38,$C$15:$Q$15,0))</f>
        <v>1.15</v>
      </c>
      <c r="U7" s="7">
        <f>INDEX($C$29:$Q$29,1,MATCH("LV"&amp;$D$38,$C$15:$Q$15,0))</f>
        <v>1.15</v>
      </c>
    </row>
    <row r="8" spans="3:11">
      <c r="C8" s="34">
        <v>40</v>
      </c>
      <c r="D8" s="34">
        <v>4257</v>
      </c>
      <c r="E8" s="34">
        <v>4712</v>
      </c>
      <c r="F8" s="34">
        <v>84</v>
      </c>
      <c r="G8" s="34">
        <v>93</v>
      </c>
      <c r="H8" s="34">
        <v>316</v>
      </c>
      <c r="I8" s="34">
        <v>349</v>
      </c>
      <c r="J8" s="46">
        <v>0</v>
      </c>
      <c r="K8" s="47">
        <v>0.06</v>
      </c>
    </row>
    <row r="9" spans="3:21">
      <c r="C9" s="34">
        <v>50</v>
      </c>
      <c r="D9" s="34">
        <v>5420</v>
      </c>
      <c r="E9" s="34">
        <v>6027</v>
      </c>
      <c r="F9" s="34">
        <v>107</v>
      </c>
      <c r="G9" s="34">
        <v>119</v>
      </c>
      <c r="H9" s="34">
        <v>402</v>
      </c>
      <c r="I9" s="34">
        <v>447</v>
      </c>
      <c r="J9" s="47">
        <v>0.06</v>
      </c>
      <c r="K9" s="47">
        <v>0.12</v>
      </c>
      <c r="S9" s="7" t="s">
        <v>567</v>
      </c>
      <c r="T9" s="7">
        <f ca="1">T6*T3</f>
        <v>12088.17848</v>
      </c>
      <c r="U9" s="7" t="e">
        <f ca="1">U6*U3</f>
        <v>#N/A</v>
      </c>
    </row>
    <row r="10" spans="3:21">
      <c r="C10" s="34">
        <v>60</v>
      </c>
      <c r="D10" s="34">
        <v>6735</v>
      </c>
      <c r="E10" s="34">
        <v>7190</v>
      </c>
      <c r="F10" s="34">
        <v>133</v>
      </c>
      <c r="G10" s="34">
        <v>142</v>
      </c>
      <c r="H10" s="34">
        <v>499</v>
      </c>
      <c r="I10" s="34">
        <v>533</v>
      </c>
      <c r="J10" s="47">
        <v>0.12</v>
      </c>
      <c r="K10" s="47">
        <v>0.12</v>
      </c>
      <c r="S10" s="7" t="s">
        <v>677</v>
      </c>
      <c r="T10" s="7">
        <f ca="1">T7*T3*4</f>
        <v>7287.7616</v>
      </c>
      <c r="U10" s="7" t="e">
        <f ca="1">U7*U3*4</f>
        <v>#N/A</v>
      </c>
    </row>
    <row r="11" spans="3:11">
      <c r="C11" s="34">
        <v>70</v>
      </c>
      <c r="D11" s="34">
        <v>7897</v>
      </c>
      <c r="E11" s="34">
        <v>8352</v>
      </c>
      <c r="F11" s="34">
        <v>156</v>
      </c>
      <c r="G11" s="34">
        <v>165</v>
      </c>
      <c r="H11" s="34">
        <v>585</v>
      </c>
      <c r="I11" s="34">
        <v>619</v>
      </c>
      <c r="J11" s="47">
        <v>0.12</v>
      </c>
      <c r="K11" s="47">
        <v>0.18</v>
      </c>
    </row>
    <row r="12" spans="3:26">
      <c r="C12" s="34">
        <v>80</v>
      </c>
      <c r="D12" s="34">
        <v>9060</v>
      </c>
      <c r="E12" s="34">
        <v>9514</v>
      </c>
      <c r="F12" s="34">
        <v>179</v>
      </c>
      <c r="G12" s="34">
        <v>188</v>
      </c>
      <c r="H12" s="34">
        <v>671</v>
      </c>
      <c r="I12" s="34">
        <v>705</v>
      </c>
      <c r="J12" s="47">
        <v>0.18</v>
      </c>
      <c r="K12" s="47">
        <v>0.24</v>
      </c>
      <c r="S12" s="7" t="s">
        <v>913</v>
      </c>
      <c r="T12" s="49">
        <v>0.15</v>
      </c>
      <c r="U12" s="49">
        <v>0.15</v>
      </c>
      <c r="X12" s="7" t="s">
        <v>853</v>
      </c>
      <c r="Y12" s="35">
        <v>0.666</v>
      </c>
      <c r="Z12" s="35">
        <v>0.816</v>
      </c>
    </row>
    <row r="13" spans="3:21">
      <c r="C13" s="34">
        <v>90</v>
      </c>
      <c r="D13" s="34">
        <v>10222</v>
      </c>
      <c r="E13" s="34" t="s">
        <v>528</v>
      </c>
      <c r="F13" s="34">
        <v>202</v>
      </c>
      <c r="G13" s="34" t="s">
        <v>528</v>
      </c>
      <c r="H13" s="34">
        <v>758</v>
      </c>
      <c r="I13" s="34" t="s">
        <v>528</v>
      </c>
      <c r="J13" s="47">
        <v>0.24</v>
      </c>
      <c r="K13" s="34" t="s">
        <v>528</v>
      </c>
      <c r="S13" s="7" t="s">
        <v>914</v>
      </c>
      <c r="T13" s="35">
        <f>1/(1-T12)-1</f>
        <v>0.176470588235294</v>
      </c>
      <c r="U13" s="35">
        <f>1/(1-U12)-1</f>
        <v>0.176470588235294</v>
      </c>
    </row>
    <row r="14" spans="2:26">
      <c r="B14" s="7" t="s">
        <v>891</v>
      </c>
      <c r="S14" s="7" t="s">
        <v>8</v>
      </c>
      <c r="T14" s="7">
        <f>J49</f>
        <v>0.545</v>
      </c>
      <c r="U14" s="7">
        <f>K49</f>
        <v>1.48</v>
      </c>
      <c r="X14" s="7" t="s">
        <v>14</v>
      </c>
      <c r="Y14" s="35">
        <f>36.1%</f>
        <v>0.361</v>
      </c>
      <c r="Z14" s="35">
        <v>0.369</v>
      </c>
    </row>
    <row r="15" customHeight="1" spans="3:26">
      <c r="C15" s="37" t="s">
        <v>619</v>
      </c>
      <c r="D15" s="37" t="s">
        <v>620</v>
      </c>
      <c r="E15" s="37" t="s">
        <v>621</v>
      </c>
      <c r="F15" s="37" t="s">
        <v>622</v>
      </c>
      <c r="G15" s="37" t="s">
        <v>623</v>
      </c>
      <c r="H15" s="37" t="s">
        <v>624</v>
      </c>
      <c r="I15" s="37" t="s">
        <v>625</v>
      </c>
      <c r="J15" s="37" t="s">
        <v>626</v>
      </c>
      <c r="K15" s="37" t="s">
        <v>627</v>
      </c>
      <c r="L15" s="37" t="s">
        <v>628</v>
      </c>
      <c r="M15" s="37" t="s">
        <v>629</v>
      </c>
      <c r="N15" s="37" t="s">
        <v>630</v>
      </c>
      <c r="O15" s="37" t="s">
        <v>631</v>
      </c>
      <c r="P15" s="37" t="s">
        <v>632</v>
      </c>
      <c r="Q15" s="37" t="s">
        <v>633</v>
      </c>
      <c r="R15" s="42"/>
      <c r="S15" s="7" t="s">
        <v>11</v>
      </c>
      <c r="T15" s="7">
        <f>K49+1.5+E48</f>
        <v>3.602</v>
      </c>
      <c r="U15" s="7">
        <f>L49+1.5+F48</f>
        <v>2.76</v>
      </c>
      <c r="X15" s="7" t="s">
        <v>15</v>
      </c>
      <c r="Y15" s="35">
        <f>55.4%</f>
        <v>0.554</v>
      </c>
      <c r="Z15" s="35">
        <v>1.938</v>
      </c>
    </row>
    <row r="16" spans="2:18">
      <c r="B16" s="7" t="s">
        <v>894</v>
      </c>
      <c r="C16" s="37" t="s">
        <v>77</v>
      </c>
      <c r="D16" s="38">
        <v>0.466</v>
      </c>
      <c r="E16" s="38">
        <v>0.504</v>
      </c>
      <c r="F16" s="38">
        <v>0.542</v>
      </c>
      <c r="G16" s="38">
        <v>0.596</v>
      </c>
      <c r="H16" s="38">
        <v>0.634</v>
      </c>
      <c r="I16" s="38">
        <v>0.678</v>
      </c>
      <c r="J16" s="38">
        <v>0.737</v>
      </c>
      <c r="K16" s="38">
        <v>0.797</v>
      </c>
      <c r="L16" s="38">
        <v>0.856</v>
      </c>
      <c r="M16" s="38">
        <v>0.921</v>
      </c>
      <c r="N16" s="38">
        <v>0.996</v>
      </c>
      <c r="O16" s="38"/>
      <c r="P16" s="38"/>
      <c r="Q16" s="38"/>
      <c r="R16" s="42"/>
    </row>
    <row r="17" spans="3:21">
      <c r="C17" s="37" t="s">
        <v>635</v>
      </c>
      <c r="D17" s="38">
        <v>0.476</v>
      </c>
      <c r="E17" s="38">
        <v>0.515</v>
      </c>
      <c r="F17" s="38">
        <v>0.554</v>
      </c>
      <c r="G17" s="38">
        <v>0.609</v>
      </c>
      <c r="H17" s="38">
        <v>0.648</v>
      </c>
      <c r="I17" s="38">
        <v>0.693</v>
      </c>
      <c r="J17" s="38">
        <v>0.753</v>
      </c>
      <c r="K17" s="38">
        <v>0.814</v>
      </c>
      <c r="L17" s="38">
        <v>0.875</v>
      </c>
      <c r="M17" s="38">
        <v>0.942</v>
      </c>
      <c r="N17" s="38">
        <v>1.018</v>
      </c>
      <c r="O17" s="38"/>
      <c r="P17" s="38"/>
      <c r="Q17" s="38"/>
      <c r="R17" s="42"/>
      <c r="S17" s="7" t="s">
        <v>848</v>
      </c>
      <c r="T17" s="7">
        <f>E47</f>
        <v>0.466</v>
      </c>
      <c r="U17" s="7">
        <f>F47</f>
        <v>1</v>
      </c>
    </row>
    <row r="18" spans="3:18">
      <c r="C18" s="37" t="s">
        <v>636</v>
      </c>
      <c r="D18" s="38" t="s">
        <v>915</v>
      </c>
      <c r="E18" s="38" t="s">
        <v>916</v>
      </c>
      <c r="F18" s="38" t="s">
        <v>917</v>
      </c>
      <c r="G18" s="38" t="s">
        <v>918</v>
      </c>
      <c r="H18" s="38" t="s">
        <v>919</v>
      </c>
      <c r="I18" s="38" t="s">
        <v>920</v>
      </c>
      <c r="J18" s="38" t="s">
        <v>921</v>
      </c>
      <c r="K18" s="38" t="s">
        <v>922</v>
      </c>
      <c r="L18" s="38" t="s">
        <v>923</v>
      </c>
      <c r="M18" s="38" t="s">
        <v>924</v>
      </c>
      <c r="N18" s="38" t="s">
        <v>925</v>
      </c>
      <c r="O18" s="38"/>
      <c r="P18" s="38"/>
      <c r="Q18" s="38"/>
      <c r="R18" s="42"/>
    </row>
    <row r="19" spans="3:26">
      <c r="C19" s="37" t="s">
        <v>637</v>
      </c>
      <c r="D19" s="38">
        <v>0.56</v>
      </c>
      <c r="E19" s="38">
        <v>0.605</v>
      </c>
      <c r="F19" s="38">
        <v>0.651</v>
      </c>
      <c r="G19" s="38">
        <v>0.716</v>
      </c>
      <c r="H19" s="38">
        <v>0.762</v>
      </c>
      <c r="I19" s="38">
        <v>0.814</v>
      </c>
      <c r="J19" s="38">
        <v>0.885</v>
      </c>
      <c r="K19" s="38">
        <v>0.957</v>
      </c>
      <c r="L19" s="38">
        <v>1.029</v>
      </c>
      <c r="M19" s="38">
        <v>1.107</v>
      </c>
      <c r="N19" s="38">
        <v>1.196</v>
      </c>
      <c r="O19" s="38"/>
      <c r="P19" s="38"/>
      <c r="Q19" s="38"/>
      <c r="R19" s="42"/>
      <c r="S19" s="7" t="s">
        <v>895</v>
      </c>
      <c r="X19" s="7" t="s">
        <v>926</v>
      </c>
      <c r="Y19" s="7">
        <f>Y3*(1+Y14*(Y15))*(1+Y12)</f>
        <v>2976.793915956</v>
      </c>
      <c r="Z19" s="7">
        <f>Z3*(1+Z14*(Z15))*(1+Z12)</f>
        <v>5394.593808064</v>
      </c>
    </row>
    <row r="20" spans="3:21">
      <c r="C20" s="37" t="s">
        <v>927</v>
      </c>
      <c r="D20" s="38" t="s">
        <v>928</v>
      </c>
      <c r="E20" s="38" t="s">
        <v>919</v>
      </c>
      <c r="F20" s="38" t="s">
        <v>929</v>
      </c>
      <c r="G20" s="38" t="s">
        <v>930</v>
      </c>
      <c r="H20" s="38" t="s">
        <v>922</v>
      </c>
      <c r="I20" s="38" t="s">
        <v>931</v>
      </c>
      <c r="J20" s="38" t="s">
        <v>932</v>
      </c>
      <c r="K20" s="38" t="s">
        <v>933</v>
      </c>
      <c r="L20" s="38" t="s">
        <v>934</v>
      </c>
      <c r="M20" s="38" t="s">
        <v>935</v>
      </c>
      <c r="N20" s="38" t="s">
        <v>936</v>
      </c>
      <c r="O20" s="38"/>
      <c r="P20" s="38"/>
      <c r="Q20" s="38"/>
      <c r="R20" s="42"/>
      <c r="S20" s="7" t="s">
        <v>834</v>
      </c>
      <c r="T20" s="7">
        <f ca="1">T9*(1+$T$14*($T$15-1))*(1+$T$12)*(1+$T$17)</f>
        <v>49279.3686718355</v>
      </c>
      <c r="U20" s="7" t="e">
        <f ca="1">U9*(1+$T$14*($T$15-1))*(1+$T$12)*(1+$T$17)</f>
        <v>#N/A</v>
      </c>
    </row>
    <row r="21" spans="3:21">
      <c r="C21" s="37" t="s">
        <v>79</v>
      </c>
      <c r="D21" s="38" t="s">
        <v>937</v>
      </c>
      <c r="E21" s="38" t="s">
        <v>938</v>
      </c>
      <c r="F21" s="38" t="s">
        <v>939</v>
      </c>
      <c r="G21" s="38" t="s">
        <v>940</v>
      </c>
      <c r="H21" s="38" t="s">
        <v>941</v>
      </c>
      <c r="I21" s="38" t="s">
        <v>942</v>
      </c>
      <c r="J21" s="38" t="s">
        <v>943</v>
      </c>
      <c r="K21" s="38" t="s">
        <v>944</v>
      </c>
      <c r="L21" s="38" t="s">
        <v>945</v>
      </c>
      <c r="M21" s="38" t="s">
        <v>946</v>
      </c>
      <c r="N21" s="38" t="s">
        <v>947</v>
      </c>
      <c r="O21" s="38"/>
      <c r="P21" s="38"/>
      <c r="Q21" s="38"/>
      <c r="R21" s="42"/>
      <c r="S21" s="7" t="s">
        <v>897</v>
      </c>
      <c r="T21" s="7">
        <f ca="1">T10*(1+$T$14*($T$15-1))*(1+$T$12)*(1+$T$17)</f>
        <v>29709.7111258772</v>
      </c>
      <c r="U21" s="7" t="e">
        <f ca="1">U10*(1+$T$14*($T$15-1))*(1+$T$12)*(1+$T$17)</f>
        <v>#N/A</v>
      </c>
    </row>
    <row r="22" spans="3:26">
      <c r="C22" s="37" t="s">
        <v>638</v>
      </c>
      <c r="D22" s="38" t="s">
        <v>948</v>
      </c>
      <c r="E22" s="38" t="s">
        <v>948</v>
      </c>
      <c r="F22" s="38" t="s">
        <v>948</v>
      </c>
      <c r="G22" s="38" t="s">
        <v>948</v>
      </c>
      <c r="H22" s="38" t="s">
        <v>948</v>
      </c>
      <c r="I22" s="38" t="s">
        <v>948</v>
      </c>
      <c r="J22" s="38" t="s">
        <v>948</v>
      </c>
      <c r="K22" s="38" t="s">
        <v>948</v>
      </c>
      <c r="L22" s="38" t="s">
        <v>948</v>
      </c>
      <c r="M22" s="38" t="s">
        <v>948</v>
      </c>
      <c r="N22" s="38" t="s">
        <v>948</v>
      </c>
      <c r="O22" s="38"/>
      <c r="P22" s="38"/>
      <c r="Q22" s="38"/>
      <c r="R22" s="42"/>
      <c r="X22" s="7" t="s">
        <v>949</v>
      </c>
      <c r="Y22" s="7">
        <f>Y4*0.25</f>
        <v>0.56425</v>
      </c>
      <c r="Z22" s="7">
        <v>0.2</v>
      </c>
    </row>
    <row r="23" spans="3:27">
      <c r="C23" s="37" t="s">
        <v>640</v>
      </c>
      <c r="D23" s="38">
        <v>0.639</v>
      </c>
      <c r="E23" s="38">
        <v>0.691</v>
      </c>
      <c r="F23" s="38">
        <v>0.743</v>
      </c>
      <c r="G23" s="38">
        <v>0.818</v>
      </c>
      <c r="H23" s="38">
        <v>0.87</v>
      </c>
      <c r="I23" s="38">
        <v>0.929</v>
      </c>
      <c r="J23" s="38">
        <v>1.011</v>
      </c>
      <c r="K23" s="38">
        <v>1.093</v>
      </c>
      <c r="L23" s="38">
        <v>1.175</v>
      </c>
      <c r="M23" s="38">
        <v>1.264</v>
      </c>
      <c r="N23" s="38">
        <v>1.353</v>
      </c>
      <c r="O23" s="38"/>
      <c r="P23" s="38"/>
      <c r="Q23" s="38"/>
      <c r="R23" s="42"/>
      <c r="X23" s="7" t="s">
        <v>677</v>
      </c>
      <c r="Y23" s="7">
        <f>Y19*(1+Y22)</f>
        <v>4656.44988303417</v>
      </c>
      <c r="Z23" s="7">
        <f>Z19*(1+Z22)</f>
        <v>6473.5125696768</v>
      </c>
      <c r="AA23" s="7">
        <f>Z23/Y23</f>
        <v>1.39022489928714</v>
      </c>
    </row>
    <row r="24" spans="3:26">
      <c r="C24" s="37" t="s">
        <v>641</v>
      </c>
      <c r="D24" s="38" t="s">
        <v>950</v>
      </c>
      <c r="E24" s="38" t="s">
        <v>951</v>
      </c>
      <c r="F24" s="38" t="s">
        <v>952</v>
      </c>
      <c r="G24" s="38" t="s">
        <v>953</v>
      </c>
      <c r="H24" s="38" t="s">
        <v>954</v>
      </c>
      <c r="I24" s="38" t="s">
        <v>955</v>
      </c>
      <c r="J24" s="38" t="s">
        <v>956</v>
      </c>
      <c r="K24" s="38" t="s">
        <v>957</v>
      </c>
      <c r="L24" s="38" t="s">
        <v>958</v>
      </c>
      <c r="M24" s="38" t="s">
        <v>959</v>
      </c>
      <c r="N24" s="38" t="s">
        <v>960</v>
      </c>
      <c r="O24" s="38"/>
      <c r="P24" s="38"/>
      <c r="Q24" s="38"/>
      <c r="R24" s="42"/>
      <c r="X24" s="7" t="s">
        <v>417</v>
      </c>
      <c r="Y24" s="7">
        <v>6</v>
      </c>
      <c r="Z24" s="7">
        <v>13</v>
      </c>
    </row>
    <row r="25" spans="2:26">
      <c r="B25" s="7" t="s">
        <v>567</v>
      </c>
      <c r="C25" s="37" t="s">
        <v>852</v>
      </c>
      <c r="D25" s="38">
        <f>168%+191%</f>
        <v>3.59</v>
      </c>
      <c r="E25" s="38">
        <f>181%+206%</f>
        <v>3.87</v>
      </c>
      <c r="F25" s="38">
        <f>193%+220%</f>
        <v>4.13</v>
      </c>
      <c r="G25" s="38">
        <f>210%+239%</f>
        <v>4.49</v>
      </c>
      <c r="H25" s="38">
        <f>223%+253%</f>
        <v>4.76</v>
      </c>
      <c r="I25" s="38">
        <f>235%+268%</f>
        <v>5.03</v>
      </c>
      <c r="J25" s="38">
        <f>252%+287%</f>
        <v>5.39</v>
      </c>
      <c r="K25" s="38">
        <f>269%+306%</f>
        <v>5.75</v>
      </c>
      <c r="L25" s="38">
        <f>286%+325%</f>
        <v>6.11</v>
      </c>
      <c r="M25" s="38">
        <f>302%+344%</f>
        <v>6.46</v>
      </c>
      <c r="N25" s="38">
        <f>319%+363%</f>
        <v>6.82</v>
      </c>
      <c r="O25" s="38">
        <f>336%+382%</f>
        <v>7.18</v>
      </c>
      <c r="P25" s="38">
        <f>357%+406%</f>
        <v>7.63</v>
      </c>
      <c r="Q25" s="38"/>
      <c r="R25" s="43"/>
      <c r="X25" s="7" t="s">
        <v>961</v>
      </c>
      <c r="Y25" s="7">
        <f>I29</f>
        <v>0.76</v>
      </c>
      <c r="Z25" s="7">
        <f>Q29</f>
        <v>1.22</v>
      </c>
    </row>
    <row r="26" spans="3:27">
      <c r="C26" s="37" t="s">
        <v>962</v>
      </c>
      <c r="D26" s="39">
        <v>0.2</v>
      </c>
      <c r="E26" s="39">
        <v>0.21</v>
      </c>
      <c r="F26" s="39">
        <v>0.22</v>
      </c>
      <c r="G26" s="39">
        <v>0.23</v>
      </c>
      <c r="H26" s="39">
        <v>0.24</v>
      </c>
      <c r="I26" s="39">
        <v>0.25</v>
      </c>
      <c r="J26" s="39">
        <v>0.26</v>
      </c>
      <c r="K26" s="39">
        <v>0.27</v>
      </c>
      <c r="L26" s="39">
        <v>0.28</v>
      </c>
      <c r="M26" s="39">
        <v>0.29</v>
      </c>
      <c r="N26" s="39">
        <v>0.29</v>
      </c>
      <c r="O26" s="39">
        <v>0.29</v>
      </c>
      <c r="P26" s="39">
        <v>0.29</v>
      </c>
      <c r="Q26" s="38"/>
      <c r="R26" s="43"/>
      <c r="X26" s="7" t="s">
        <v>106</v>
      </c>
      <c r="Y26" s="7">
        <f>Y23*Y25</f>
        <v>3538.90191110597</v>
      </c>
      <c r="Z26" s="7">
        <f>Z23*Z25</f>
        <v>7897.6853350057</v>
      </c>
      <c r="AA26" s="7">
        <f>Z26/Y26</f>
        <v>2.23167681201357</v>
      </c>
    </row>
    <row r="27" spans="3:18">
      <c r="C27" s="37" t="s">
        <v>84</v>
      </c>
      <c r="D27" s="38" t="s">
        <v>760</v>
      </c>
      <c r="E27" s="40" t="s">
        <v>760</v>
      </c>
      <c r="F27" s="40" t="s">
        <v>760</v>
      </c>
      <c r="G27" s="40" t="s">
        <v>760</v>
      </c>
      <c r="H27" s="40" t="s">
        <v>760</v>
      </c>
      <c r="I27" s="40" t="s">
        <v>760</v>
      </c>
      <c r="J27" s="40" t="s">
        <v>760</v>
      </c>
      <c r="K27" s="40" t="s">
        <v>760</v>
      </c>
      <c r="L27" s="40" t="s">
        <v>760</v>
      </c>
      <c r="M27" s="40" t="s">
        <v>760</v>
      </c>
      <c r="N27" s="40" t="s">
        <v>760</v>
      </c>
      <c r="O27" s="40" t="s">
        <v>760</v>
      </c>
      <c r="P27" s="40" t="s">
        <v>760</v>
      </c>
      <c r="Q27" s="40"/>
      <c r="R27" s="43"/>
    </row>
    <row r="28" spans="3:24">
      <c r="C28" s="37" t="s">
        <v>761</v>
      </c>
      <c r="D28" s="38" t="s">
        <v>963</v>
      </c>
      <c r="E28" s="38" t="s">
        <v>963</v>
      </c>
      <c r="F28" s="38" t="s">
        <v>963</v>
      </c>
      <c r="G28" s="38" t="s">
        <v>963</v>
      </c>
      <c r="H28" s="38" t="s">
        <v>963</v>
      </c>
      <c r="I28" s="38" t="s">
        <v>963</v>
      </c>
      <c r="J28" s="38" t="s">
        <v>963</v>
      </c>
      <c r="K28" s="38" t="s">
        <v>963</v>
      </c>
      <c r="L28" s="38" t="s">
        <v>963</v>
      </c>
      <c r="M28" s="38" t="s">
        <v>963</v>
      </c>
      <c r="N28" s="38" t="s">
        <v>963</v>
      </c>
      <c r="O28" s="38" t="s">
        <v>963</v>
      </c>
      <c r="P28" s="38" t="s">
        <v>963</v>
      </c>
      <c r="Q28" s="38"/>
      <c r="R28" s="43"/>
      <c r="X28" s="7" t="s">
        <v>567</v>
      </c>
    </row>
    <row r="29" spans="2:26">
      <c r="B29" s="7" t="s">
        <v>677</v>
      </c>
      <c r="C29" s="37" t="s">
        <v>964</v>
      </c>
      <c r="D29" s="38">
        <v>0.543</v>
      </c>
      <c r="E29" s="38">
        <v>0.583</v>
      </c>
      <c r="F29" s="38">
        <v>0.624</v>
      </c>
      <c r="G29" s="38">
        <v>0.678</v>
      </c>
      <c r="H29" s="38">
        <v>0.719</v>
      </c>
      <c r="I29" s="38">
        <v>0.76</v>
      </c>
      <c r="J29" s="38">
        <v>0.814</v>
      </c>
      <c r="K29" s="38">
        <v>0.868</v>
      </c>
      <c r="L29" s="38">
        <v>0.923</v>
      </c>
      <c r="M29" s="38">
        <v>0.977</v>
      </c>
      <c r="N29" s="38">
        <v>1.03</v>
      </c>
      <c r="O29" s="38">
        <v>1.09</v>
      </c>
      <c r="P29" s="38">
        <v>1.15</v>
      </c>
      <c r="Q29" s="38">
        <v>1.22</v>
      </c>
      <c r="R29" s="43"/>
      <c r="X29" s="7" t="s">
        <v>417</v>
      </c>
      <c r="Y29" s="7">
        <v>1</v>
      </c>
      <c r="Z29" s="7">
        <v>13</v>
      </c>
    </row>
    <row r="30" spans="3:26">
      <c r="C30" s="37" t="s">
        <v>84</v>
      </c>
      <c r="D30" s="38" t="s">
        <v>760</v>
      </c>
      <c r="E30" s="38" t="s">
        <v>760</v>
      </c>
      <c r="F30" s="38" t="s">
        <v>760</v>
      </c>
      <c r="G30" s="38" t="s">
        <v>760</v>
      </c>
      <c r="H30" s="38" t="s">
        <v>760</v>
      </c>
      <c r="I30" s="38" t="s">
        <v>760</v>
      </c>
      <c r="J30" s="38" t="s">
        <v>760</v>
      </c>
      <c r="K30" s="38" t="s">
        <v>760</v>
      </c>
      <c r="L30" s="38" t="s">
        <v>760</v>
      </c>
      <c r="M30" s="38" t="s">
        <v>760</v>
      </c>
      <c r="N30" s="38" t="s">
        <v>760</v>
      </c>
      <c r="O30" s="38" t="s">
        <v>760</v>
      </c>
      <c r="P30" s="38" t="s">
        <v>760</v>
      </c>
      <c r="Q30" s="38" t="s">
        <v>760</v>
      </c>
      <c r="R30" s="43"/>
      <c r="Y30" s="7">
        <f>D25</f>
        <v>3.59</v>
      </c>
      <c r="Z30" s="7">
        <f>P25</f>
        <v>7.63</v>
      </c>
    </row>
    <row r="31" spans="3:27">
      <c r="C31" s="41" t="s">
        <v>761</v>
      </c>
      <c r="D31" s="42" t="s">
        <v>965</v>
      </c>
      <c r="E31" s="43" t="s">
        <v>965</v>
      </c>
      <c r="F31" s="43" t="s">
        <v>965</v>
      </c>
      <c r="G31" s="43" t="s">
        <v>965</v>
      </c>
      <c r="H31" s="43" t="s">
        <v>965</v>
      </c>
      <c r="I31" s="43" t="s">
        <v>965</v>
      </c>
      <c r="J31" s="43" t="s">
        <v>965</v>
      </c>
      <c r="K31" s="43" t="s">
        <v>965</v>
      </c>
      <c r="L31" s="43" t="s">
        <v>965</v>
      </c>
      <c r="M31" s="43" t="s">
        <v>965</v>
      </c>
      <c r="N31" s="43" t="s">
        <v>965</v>
      </c>
      <c r="O31" s="43" t="s">
        <v>965</v>
      </c>
      <c r="P31" s="43" t="s">
        <v>965</v>
      </c>
      <c r="Q31" s="43" t="s">
        <v>965</v>
      </c>
      <c r="R31" s="43"/>
      <c r="Y31" s="7">
        <f>Y30*Y19</f>
        <v>10686.690158282</v>
      </c>
      <c r="Z31" s="7">
        <f>Z30*Z19</f>
        <v>41160.7507555283</v>
      </c>
      <c r="AA31" s="7">
        <f>Z31/Y31</f>
        <v>3.85159016925641</v>
      </c>
    </row>
    <row r="32" spans="3:18">
      <c r="C32" s="42" t="s">
        <v>763</v>
      </c>
      <c r="D32" s="43">
        <v>80</v>
      </c>
      <c r="E32" s="43">
        <v>80</v>
      </c>
      <c r="F32" s="43">
        <v>80</v>
      </c>
      <c r="G32" s="43">
        <v>80</v>
      </c>
      <c r="H32" s="43">
        <v>80</v>
      </c>
      <c r="I32" s="43">
        <v>80</v>
      </c>
      <c r="J32" s="43">
        <v>80</v>
      </c>
      <c r="K32" s="43">
        <v>80</v>
      </c>
      <c r="L32" s="43">
        <v>80</v>
      </c>
      <c r="M32" s="43">
        <v>80</v>
      </c>
      <c r="N32" s="43">
        <v>80</v>
      </c>
      <c r="O32" s="43">
        <v>80</v>
      </c>
      <c r="P32" s="43">
        <v>80</v>
      </c>
      <c r="Q32" s="43">
        <v>80</v>
      </c>
      <c r="R32" s="43"/>
    </row>
    <row r="33" spans="3:18">
      <c r="C33" s="44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</row>
    <row r="35" spans="2:2">
      <c r="B35" s="7" t="s">
        <v>910</v>
      </c>
    </row>
    <row r="36" spans="3:4">
      <c r="C36" s="7" t="s">
        <v>417</v>
      </c>
      <c r="D36" s="7">
        <v>90</v>
      </c>
    </row>
    <row r="37" spans="3:4">
      <c r="C37" s="7" t="s">
        <v>911</v>
      </c>
      <c r="D37" s="7">
        <v>10</v>
      </c>
    </row>
    <row r="38" spans="3:4">
      <c r="C38" s="7" t="s">
        <v>777</v>
      </c>
      <c r="D38" s="7">
        <v>13</v>
      </c>
    </row>
    <row r="39" spans="3:4">
      <c r="C39" s="7" t="s">
        <v>912</v>
      </c>
      <c r="D39" s="7">
        <v>13</v>
      </c>
    </row>
    <row r="40" spans="3:4">
      <c r="C40" s="7" t="s">
        <v>41</v>
      </c>
      <c r="D40" s="7" t="s">
        <v>529</v>
      </c>
    </row>
    <row r="42" spans="3:13">
      <c r="C42" s="19" t="s">
        <v>4</v>
      </c>
      <c r="D42" s="19" t="s">
        <v>5</v>
      </c>
      <c r="E42" s="19"/>
      <c r="F42" s="19" t="s">
        <v>6</v>
      </c>
      <c r="G42" s="19" t="s">
        <v>7</v>
      </c>
      <c r="H42" s="19"/>
      <c r="I42" s="19"/>
      <c r="J42" s="19"/>
      <c r="K42" s="19"/>
      <c r="L42" s="19"/>
      <c r="M42" s="19"/>
    </row>
    <row r="43" spans="3:13">
      <c r="C43" s="19"/>
      <c r="D43" s="19" t="s">
        <v>9</v>
      </c>
      <c r="E43" s="19" t="s">
        <v>10</v>
      </c>
      <c r="F43" s="19" t="s">
        <v>8</v>
      </c>
      <c r="G43" s="19" t="s">
        <v>11</v>
      </c>
      <c r="H43" s="19" t="s">
        <v>21</v>
      </c>
      <c r="I43" s="19" t="s">
        <v>16</v>
      </c>
      <c r="J43" s="19" t="s">
        <v>8</v>
      </c>
      <c r="K43" s="19" t="s">
        <v>11</v>
      </c>
      <c r="L43" s="19" t="s">
        <v>21</v>
      </c>
      <c r="M43" s="19" t="s">
        <v>16</v>
      </c>
    </row>
    <row r="44" spans="3:13">
      <c r="C44" s="19" t="s">
        <v>17</v>
      </c>
      <c r="D44" s="19" t="s">
        <v>18</v>
      </c>
      <c r="E44" s="19">
        <f>VLOOKUP(D44,圣遗物!$A:$B,2,0)</f>
        <v>4780</v>
      </c>
      <c r="F44" s="19">
        <f t="shared" ref="F44:F48" si="0">9-SUM(G44:I44)</f>
        <v>6</v>
      </c>
      <c r="G44" s="19">
        <v>1</v>
      </c>
      <c r="H44" s="19">
        <v>1</v>
      </c>
      <c r="I44" s="19">
        <v>1</v>
      </c>
      <c r="J44" s="21">
        <f>VLOOKUP(J$43,圣遗物!$A:$F,6,0)+(F44-1)*VLOOKUP(J$43,圣遗物!$A:$J,10,0)</f>
        <v>0.226</v>
      </c>
      <c r="K44" s="21">
        <f>VLOOKUP(K$43,圣遗物!$A:$F,6,0)+(G44-1)*VLOOKUP(K$43,圣遗物!$A:$J,10,0)</f>
        <v>0.062</v>
      </c>
      <c r="L44" s="48">
        <f>VLOOKUP(L$43,圣遗物!$A:$F,6,0)+(H44-1)*VLOOKUP(L$43,圣遗物!$A:$J,10,0)</f>
        <v>0.052</v>
      </c>
      <c r="M44" s="21">
        <f>VLOOKUP(M$43,圣遗物!$A:$F,6,0)+(I44-1)*VLOOKUP(M$43,圣遗物!$A:$J,10,0)</f>
        <v>0.047</v>
      </c>
    </row>
    <row r="45" spans="3:13">
      <c r="C45" s="19" t="s">
        <v>19</v>
      </c>
      <c r="D45" s="19" t="s">
        <v>20</v>
      </c>
      <c r="E45" s="19">
        <f>VLOOKUP(D45,圣遗物!$A:$B,2,0)</f>
        <v>311</v>
      </c>
      <c r="F45" s="19">
        <f t="shared" si="0"/>
        <v>6</v>
      </c>
      <c r="G45" s="19">
        <v>1</v>
      </c>
      <c r="H45" s="19">
        <v>1</v>
      </c>
      <c r="I45" s="19">
        <v>1</v>
      </c>
      <c r="J45" s="21">
        <f>VLOOKUP(J$43,圣遗物!$A:$F,6,0)+(F45-1)*VLOOKUP(J$43,圣遗物!$A:$J,10,0)</f>
        <v>0.226</v>
      </c>
      <c r="K45" s="21">
        <f>VLOOKUP(K$43,圣遗物!$A:$F,6,0)+(G45-1)*VLOOKUP(K$43,圣遗物!$A:$J,10,0)</f>
        <v>0.062</v>
      </c>
      <c r="L45" s="48">
        <f>VLOOKUP(L$43,圣遗物!$A:$F,6,0)+(H45-1)*VLOOKUP(L$43,圣遗物!$A:$J,10,0)</f>
        <v>0.052</v>
      </c>
      <c r="M45" s="21">
        <f>VLOOKUP(M$43,圣遗物!$A:$F,6,0)+(I45-1)*VLOOKUP(M$43,圣遗物!$A:$J,10,0)</f>
        <v>0.047</v>
      </c>
    </row>
    <row r="46" spans="3:13">
      <c r="C46" s="19" t="s">
        <v>22</v>
      </c>
      <c r="D46" s="19" t="s">
        <v>16</v>
      </c>
      <c r="E46" s="19">
        <f>VLOOKUP(D46,圣遗物!$A:$B,2,0)</f>
        <v>0.466</v>
      </c>
      <c r="F46" s="19">
        <f t="shared" si="0"/>
        <v>1</v>
      </c>
      <c r="G46" s="19">
        <v>6</v>
      </c>
      <c r="H46" s="19">
        <v>1</v>
      </c>
      <c r="I46" s="19">
        <v>1</v>
      </c>
      <c r="J46" s="21">
        <f>VLOOKUP(J$43,圣遗物!$A:$F,6,0)+(F46-1)*VLOOKUP(J$43,圣遗物!$A:$J,10,0)</f>
        <v>0.031</v>
      </c>
      <c r="K46" s="21">
        <f>VLOOKUP(K$43,圣遗物!$A:$F,6,0)+(G46-1)*VLOOKUP(K$43,圣遗物!$A:$J,10,0)</f>
        <v>0.452</v>
      </c>
      <c r="L46" s="48">
        <f>VLOOKUP(L$43,圣遗物!$A:$F,6,0)+(H46-1)*VLOOKUP(L$43,圣遗物!$A:$J,10,0)</f>
        <v>0.052</v>
      </c>
      <c r="M46" s="21">
        <f>VLOOKUP(M$43,圣遗物!$A:$F,6,0)+(I46-1)*VLOOKUP(M$43,圣遗物!$A:$J,10,0)</f>
        <v>0.047</v>
      </c>
    </row>
    <row r="47" spans="3:13">
      <c r="C47" s="19" t="s">
        <v>24</v>
      </c>
      <c r="D47" s="43" t="s">
        <v>27</v>
      </c>
      <c r="E47" s="19">
        <f>VLOOKUP(D47,圣遗物!$A:$B,2,0)</f>
        <v>0.466</v>
      </c>
      <c r="F47" s="19">
        <f t="shared" si="0"/>
        <v>1</v>
      </c>
      <c r="G47" s="19">
        <v>6</v>
      </c>
      <c r="H47" s="19">
        <v>1</v>
      </c>
      <c r="I47" s="19">
        <v>1</v>
      </c>
      <c r="J47" s="21">
        <f>VLOOKUP(J$43,圣遗物!$A:$F,6,0)+(F47-1)*VLOOKUP(J$43,圣遗物!$A:$J,10,0)</f>
        <v>0.031</v>
      </c>
      <c r="K47" s="21">
        <f>VLOOKUP(K$43,圣遗物!$A:$F,6,0)+(G47-1)*VLOOKUP(K$43,圣遗物!$A:$J,10,0)</f>
        <v>0.452</v>
      </c>
      <c r="L47" s="48">
        <f>VLOOKUP(L$43,圣遗物!$A:$F,6,0)+(H47-1)*VLOOKUP(L$43,圣遗物!$A:$J,10,0)</f>
        <v>0.052</v>
      </c>
      <c r="M47" s="21">
        <f>VLOOKUP(M$43,圣遗物!$A:$F,6,0)+(I47-1)*VLOOKUP(M$43,圣遗物!$A:$J,10,0)</f>
        <v>0.047</v>
      </c>
    </row>
    <row r="48" spans="3:13">
      <c r="C48" s="19" t="s">
        <v>26</v>
      </c>
      <c r="D48" s="19" t="s">
        <v>11</v>
      </c>
      <c r="E48" s="19">
        <f>VLOOKUP(D48,圣遗物!$A:$B,2,0)</f>
        <v>0.622</v>
      </c>
      <c r="F48" s="19">
        <f t="shared" si="0"/>
        <v>1</v>
      </c>
      <c r="G48" s="19">
        <v>6</v>
      </c>
      <c r="H48" s="19">
        <v>1</v>
      </c>
      <c r="I48" s="19">
        <v>1</v>
      </c>
      <c r="J48" s="21">
        <f>VLOOKUP(J$43,圣遗物!$A:$F,6,0)+(F48-1)*VLOOKUP(J$43,圣遗物!$A:$J,10,0)</f>
        <v>0.031</v>
      </c>
      <c r="K48" s="21">
        <f>VLOOKUP(K$43,圣遗物!$A:$F,6,0)+(G48-1)*VLOOKUP(K$43,圣遗物!$A:$J,10,0)</f>
        <v>0.452</v>
      </c>
      <c r="L48" s="48">
        <f>VLOOKUP(L$43,圣遗物!$A:$F,6,0)+(H48-1)*VLOOKUP(L$43,圣遗物!$A:$J,10,0)</f>
        <v>0.052</v>
      </c>
      <c r="M48" s="21">
        <f>VLOOKUP(M$43,圣遗物!$A:$F,6,0)+(I48-1)*VLOOKUP(M$43,圣遗物!$A:$J,10,0)</f>
        <v>0.047</v>
      </c>
    </row>
    <row r="49" spans="3:13">
      <c r="C49" s="19"/>
      <c r="D49" s="19"/>
      <c r="E49" s="19"/>
      <c r="F49" s="19"/>
      <c r="G49" s="19"/>
      <c r="H49" s="19"/>
      <c r="I49" s="19"/>
      <c r="J49" s="21">
        <f t="shared" ref="J49:M49" si="1">SUM(J44:J48)</f>
        <v>0.545</v>
      </c>
      <c r="K49" s="21">
        <f t="shared" si="1"/>
        <v>1.48</v>
      </c>
      <c r="L49" s="48">
        <f t="shared" si="1"/>
        <v>0.26</v>
      </c>
      <c r="M49" s="21">
        <f t="shared" si="1"/>
        <v>0.235</v>
      </c>
    </row>
  </sheetData>
  <pageMargins left="0.75" right="0.75" top="1" bottom="1" header="0.5" footer="0.5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9"/>
  <dimension ref="H24:I28"/>
  <sheetViews>
    <sheetView workbookViewId="0">
      <selection activeCell="G36" sqref="G36"/>
    </sheetView>
  </sheetViews>
  <sheetFormatPr defaultColWidth="9" defaultRowHeight="13.5"/>
  <cols>
    <col min="9" max="9" width="12.625"/>
  </cols>
  <sheetData>
    <row r="24" spans="8:9">
      <c r="H24" t="s">
        <v>596</v>
      </c>
      <c r="I24">
        <v>900</v>
      </c>
    </row>
    <row r="25" spans="8:9">
      <c r="H25" t="s">
        <v>966</v>
      </c>
      <c r="I25" s="9">
        <v>0.0004</v>
      </c>
    </row>
    <row r="26" spans="8:9">
      <c r="H26" t="s">
        <v>892</v>
      </c>
      <c r="I26">
        <f>I24*I25</f>
        <v>0.36</v>
      </c>
    </row>
    <row r="27" spans="8:9">
      <c r="H27" t="s">
        <v>967</v>
      </c>
      <c r="I27" s="9">
        <v>0.466</v>
      </c>
    </row>
    <row r="28" spans="8:9">
      <c r="H28" t="s">
        <v>968</v>
      </c>
      <c r="I28" s="9">
        <f>(1+I27+I26)/(1+I27)</f>
        <v>1.24556616643929</v>
      </c>
    </row>
  </sheetData>
  <pageMargins left="0.75" right="0.75" top="1" bottom="1" header="0.5" footer="0.5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10"/>
  <dimension ref="A1:E16"/>
  <sheetViews>
    <sheetView workbookViewId="0">
      <selection activeCell="M48" sqref="M48"/>
    </sheetView>
  </sheetViews>
  <sheetFormatPr defaultColWidth="9" defaultRowHeight="16.5" outlineLevelCol="4"/>
  <cols>
    <col min="1" max="2" width="8.875" style="7" customWidth="1"/>
    <col min="3" max="3" width="11.625" style="7" customWidth="1"/>
    <col min="4" max="5" width="14.125" style="7"/>
    <col min="6" max="16384" width="9" style="7"/>
  </cols>
  <sheetData>
    <row r="1" spans="2:4">
      <c r="B1" s="7" t="s">
        <v>490</v>
      </c>
      <c r="C1" s="7" t="s">
        <v>969</v>
      </c>
      <c r="D1" s="7" t="s">
        <v>970</v>
      </c>
    </row>
    <row r="2" spans="1:5">
      <c r="A2" s="30" t="s">
        <v>495</v>
      </c>
      <c r="B2" s="30" t="s">
        <v>30</v>
      </c>
      <c r="C2" s="30" t="s">
        <v>41</v>
      </c>
      <c r="D2" s="30" t="s">
        <v>30</v>
      </c>
      <c r="E2" s="30" t="s">
        <v>41</v>
      </c>
    </row>
    <row r="3" s="29" customFormat="1" spans="1:5">
      <c r="A3" s="31">
        <v>1</v>
      </c>
      <c r="B3" s="32">
        <f>VLOOKUP(A3,行秋!$C$4:$K$13,4,0)</f>
        <v>17</v>
      </c>
      <c r="C3" s="32">
        <f>IFERROR(VLOOKUP(A3&amp;"级",武器!$A$27:$B$35,2,0),VLOOKUP("初始",武器!$A$27:$C$35,3,0))</f>
        <v>41</v>
      </c>
      <c r="D3" s="33">
        <f>B3/SUM($B3:$C3)</f>
        <v>0.293103448275862</v>
      </c>
      <c r="E3" s="33">
        <f>C3/SUM($B3:$C3)</f>
        <v>0.706896551724138</v>
      </c>
    </row>
    <row r="4" spans="1:5">
      <c r="A4" s="34">
        <v>20</v>
      </c>
      <c r="B4" s="1">
        <f>VLOOKUP(A4,行秋!$C$4:$K$13,4,0)</f>
        <v>43</v>
      </c>
      <c r="C4" s="1">
        <f>IFERROR(VLOOKUP(A4&amp;"级",武器!$A$27:$B$35,2,0),VLOOKUP("初始",武器!$A$27:$C$35,3,0))</f>
        <v>99</v>
      </c>
      <c r="D4" s="35">
        <f t="shared" ref="D4:D10" si="0">B4/SUM($B4:$C4)</f>
        <v>0.302816901408451</v>
      </c>
      <c r="E4" s="35">
        <f t="shared" ref="E4:E10" si="1">C4/SUM($B4:$C4)</f>
        <v>0.697183098591549</v>
      </c>
    </row>
    <row r="5" spans="1:5">
      <c r="A5" s="34">
        <v>40</v>
      </c>
      <c r="B5" s="1">
        <f>VLOOKUP(A5,行秋!$C$4:$K$13,4,0)</f>
        <v>84</v>
      </c>
      <c r="C5" s="1">
        <f>IFERROR(VLOOKUP(A5&amp;"级",武器!$A$27:$B$35,2,0),VLOOKUP("初始",武器!$A$27:$C$35,3,0))</f>
        <v>184</v>
      </c>
      <c r="D5" s="35">
        <f t="shared" si="0"/>
        <v>0.313432835820896</v>
      </c>
      <c r="E5" s="35">
        <f t="shared" si="1"/>
        <v>0.686567164179104</v>
      </c>
    </row>
    <row r="6" spans="1:5">
      <c r="A6" s="34">
        <v>50</v>
      </c>
      <c r="B6" s="1">
        <f>VLOOKUP(A6,行秋!$C$4:$K$13,4,0)</f>
        <v>107</v>
      </c>
      <c r="C6" s="1">
        <f>IFERROR(VLOOKUP(A6&amp;"级",武器!$A$27:$B$35,2,0),VLOOKUP("初始",武器!$A$27:$C$35,3,0))</f>
        <v>238</v>
      </c>
      <c r="D6" s="35">
        <f t="shared" si="0"/>
        <v>0.310144927536232</v>
      </c>
      <c r="E6" s="35">
        <f t="shared" si="1"/>
        <v>0.689855072463768</v>
      </c>
    </row>
    <row r="7" spans="1:5">
      <c r="A7" s="34">
        <v>60</v>
      </c>
      <c r="B7" s="1">
        <f>VLOOKUP(A7,行秋!$C$4:$K$13,4,0)</f>
        <v>133</v>
      </c>
      <c r="C7" s="1">
        <f>IFERROR(VLOOKUP(A7&amp;"级",武器!$A$27:$B$35,2,0),VLOOKUP("初始",武器!$A$27:$C$35,3,0))</f>
        <v>293</v>
      </c>
      <c r="D7" s="35">
        <f t="shared" si="0"/>
        <v>0.312206572769953</v>
      </c>
      <c r="E7" s="35">
        <f t="shared" si="1"/>
        <v>0.687793427230047</v>
      </c>
    </row>
    <row r="8" spans="1:5">
      <c r="A8" s="34">
        <v>70</v>
      </c>
      <c r="B8" s="1">
        <f>VLOOKUP(A8,行秋!$C$4:$K$13,4,0)</f>
        <v>156</v>
      </c>
      <c r="C8" s="1">
        <f>IFERROR(VLOOKUP(A8&amp;"级",武器!$A$27:$B$35,2,0),VLOOKUP("初始",武器!$A$27:$C$35,3,0))</f>
        <v>347</v>
      </c>
      <c r="D8" s="35">
        <f t="shared" si="0"/>
        <v>0.31013916500994</v>
      </c>
      <c r="E8" s="35">
        <f t="shared" si="1"/>
        <v>0.68986083499006</v>
      </c>
    </row>
    <row r="9" spans="1:5">
      <c r="A9" s="34">
        <v>80</v>
      </c>
      <c r="B9" s="1">
        <f>VLOOKUP(A9,行秋!$C$4:$K$13,4,0)</f>
        <v>179</v>
      </c>
      <c r="C9" s="1">
        <f>IFERROR(VLOOKUP(A9&amp;"级",武器!$A$27:$B$35,2,0),VLOOKUP("初始",武器!$A$27:$C$35,3,0))</f>
        <v>401</v>
      </c>
      <c r="D9" s="35">
        <f t="shared" si="0"/>
        <v>0.308620689655172</v>
      </c>
      <c r="E9" s="35">
        <f t="shared" si="1"/>
        <v>0.691379310344828</v>
      </c>
    </row>
    <row r="10" spans="1:5">
      <c r="A10" s="34">
        <v>90</v>
      </c>
      <c r="B10" s="1">
        <f>VLOOKUP(A10,行秋!$C$4:$K$13,4,0)</f>
        <v>202</v>
      </c>
      <c r="C10" s="1">
        <f>IFERROR(VLOOKUP(A10&amp;"级",武器!$A$27:$B$35,2,0),VLOOKUP("初始",武器!$A$27:$C$35,3,0))</f>
        <v>454</v>
      </c>
      <c r="D10" s="35">
        <f t="shared" si="0"/>
        <v>0.307926829268293</v>
      </c>
      <c r="E10" s="35">
        <f t="shared" si="1"/>
        <v>0.692073170731707</v>
      </c>
    </row>
    <row r="13" spans="1:3">
      <c r="A13" s="7" t="s">
        <v>417</v>
      </c>
      <c r="B13" s="7" t="s">
        <v>30</v>
      </c>
      <c r="C13" s="7" t="s">
        <v>41</v>
      </c>
    </row>
    <row r="14" spans="1:4">
      <c r="A14" s="7">
        <v>1</v>
      </c>
      <c r="B14" s="7">
        <v>18</v>
      </c>
      <c r="C14" s="7">
        <v>23</v>
      </c>
      <c r="D14" s="7">
        <f t="shared" ref="D14:D16" si="2">B14+C14</f>
        <v>41</v>
      </c>
    </row>
    <row r="15" spans="1:4">
      <c r="A15" s="7">
        <v>20</v>
      </c>
      <c r="B15" s="7">
        <v>46</v>
      </c>
      <c r="C15" s="7">
        <v>56</v>
      </c>
      <c r="D15" s="7">
        <f t="shared" si="2"/>
        <v>102</v>
      </c>
    </row>
    <row r="16" spans="2:5">
      <c r="B16" s="7">
        <f>B14</f>
        <v>18</v>
      </c>
      <c r="C16" s="7">
        <f>C15</f>
        <v>56</v>
      </c>
      <c r="D16" s="7">
        <f t="shared" si="2"/>
        <v>74</v>
      </c>
      <c r="E16" s="7">
        <f>D16/D14</f>
        <v>1.80487804878049</v>
      </c>
    </row>
  </sheetData>
  <pageMargins left="0.75" right="0.75" top="1" bottom="1" header="0.5" footer="0.5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Q71"/>
  <sheetViews>
    <sheetView workbookViewId="0">
      <selection activeCell="E24" sqref="E24"/>
    </sheetView>
  </sheetViews>
  <sheetFormatPr defaultColWidth="9" defaultRowHeight="13.5"/>
  <cols>
    <col min="1" max="1" width="10" customWidth="1"/>
    <col min="2" max="2" width="17.125" customWidth="1"/>
    <col min="3" max="4" width="15" customWidth="1"/>
    <col min="5" max="13" width="14.125" customWidth="1"/>
  </cols>
  <sheetData>
    <row r="1" ht="16.5" spans="1:13">
      <c r="A1" s="19"/>
      <c r="B1" s="19" t="s">
        <v>150</v>
      </c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2" ht="16.5" spans="1:13">
      <c r="A2" s="19"/>
      <c r="B2" s="19"/>
      <c r="C2" s="19"/>
      <c r="D2" s="19"/>
      <c r="E2" s="19" t="s">
        <v>971</v>
      </c>
      <c r="F2" s="19" t="s">
        <v>972</v>
      </c>
      <c r="G2" s="19" t="s">
        <v>971</v>
      </c>
      <c r="H2" s="19" t="s">
        <v>973</v>
      </c>
      <c r="I2" s="19" t="s">
        <v>974</v>
      </c>
      <c r="J2" s="19"/>
      <c r="K2" s="19"/>
      <c r="L2" s="19" t="s">
        <v>971</v>
      </c>
      <c r="M2" s="19"/>
    </row>
    <row r="3" ht="16.5" spans="1:13">
      <c r="A3" s="19"/>
      <c r="B3" s="19" t="s">
        <v>840</v>
      </c>
      <c r="C3" s="19">
        <v>15552</v>
      </c>
      <c r="D3" s="19">
        <v>15552</v>
      </c>
      <c r="E3" s="19">
        <v>15552</v>
      </c>
      <c r="F3" s="19">
        <v>15552</v>
      </c>
      <c r="G3" s="19">
        <v>15552</v>
      </c>
      <c r="H3" s="19">
        <v>15552</v>
      </c>
      <c r="I3" s="19">
        <v>15552</v>
      </c>
      <c r="J3" s="19">
        <v>15552</v>
      </c>
      <c r="K3" s="19">
        <v>15552</v>
      </c>
      <c r="L3" s="19">
        <v>15552</v>
      </c>
      <c r="M3" s="19"/>
    </row>
    <row r="4" ht="16.5" spans="1:13">
      <c r="A4" s="19"/>
      <c r="B4" s="19" t="s">
        <v>841</v>
      </c>
      <c r="C4" s="20">
        <v>15855</v>
      </c>
      <c r="D4" s="20">
        <v>16915</v>
      </c>
      <c r="E4" s="20">
        <v>17576</v>
      </c>
      <c r="F4" s="20">
        <v>17576</v>
      </c>
      <c r="G4" s="20">
        <v>18120</v>
      </c>
      <c r="H4" s="20">
        <v>12415</v>
      </c>
      <c r="I4" s="20">
        <v>16915</v>
      </c>
      <c r="J4" s="20">
        <v>18120</v>
      </c>
      <c r="K4" s="20">
        <v>17632</v>
      </c>
      <c r="L4" s="20">
        <v>17214</v>
      </c>
      <c r="M4" s="20"/>
    </row>
    <row r="5" ht="16.5" spans="1:13">
      <c r="A5" s="19"/>
      <c r="B5" s="19" t="s">
        <v>806</v>
      </c>
      <c r="C5" s="19">
        <v>715</v>
      </c>
      <c r="D5" s="19">
        <v>715</v>
      </c>
      <c r="E5" s="19">
        <v>715</v>
      </c>
      <c r="F5" s="19">
        <v>715</v>
      </c>
      <c r="G5" s="19">
        <v>715</v>
      </c>
      <c r="H5" s="19">
        <v>715</v>
      </c>
      <c r="I5" s="19">
        <v>715</v>
      </c>
      <c r="J5" s="19">
        <v>715</v>
      </c>
      <c r="K5" s="19">
        <v>715</v>
      </c>
      <c r="L5" s="19">
        <v>715</v>
      </c>
      <c r="M5" s="19"/>
    </row>
    <row r="6" ht="16.5" spans="1:13">
      <c r="A6" s="19"/>
      <c r="B6" s="19" t="s">
        <v>807</v>
      </c>
      <c r="C6" s="19">
        <v>1014</v>
      </c>
      <c r="D6" s="19">
        <v>397</v>
      </c>
      <c r="E6" s="19">
        <v>960</v>
      </c>
      <c r="F6" s="19">
        <v>364</v>
      </c>
      <c r="G6" s="19">
        <v>649</v>
      </c>
      <c r="H6" s="19">
        <v>588</v>
      </c>
      <c r="I6" s="19">
        <v>657</v>
      </c>
      <c r="J6" s="19">
        <v>452</v>
      </c>
      <c r="K6" s="19">
        <v>446</v>
      </c>
      <c r="L6" s="19">
        <v>969</v>
      </c>
      <c r="M6" s="19"/>
    </row>
    <row r="7" ht="16.5" spans="1:17">
      <c r="A7" s="19"/>
      <c r="B7" s="19" t="s">
        <v>8</v>
      </c>
      <c r="C7" s="21">
        <v>0.59</v>
      </c>
      <c r="D7" s="21">
        <v>0.699</v>
      </c>
      <c r="E7" s="21">
        <v>0.785</v>
      </c>
      <c r="F7" s="21">
        <v>0.785</v>
      </c>
      <c r="G7" s="21">
        <v>0.734</v>
      </c>
      <c r="H7" s="21">
        <v>0.703</v>
      </c>
      <c r="I7" s="21">
        <v>0.699</v>
      </c>
      <c r="J7" s="21">
        <v>0.8</v>
      </c>
      <c r="K7" s="21">
        <v>0.668</v>
      </c>
      <c r="L7" s="21">
        <v>0.727</v>
      </c>
      <c r="M7" s="21"/>
      <c r="O7" t="s">
        <v>14</v>
      </c>
      <c r="P7">
        <v>10.5</v>
      </c>
      <c r="Q7">
        <v>9.7</v>
      </c>
    </row>
    <row r="8" ht="16.5" spans="1:17">
      <c r="A8" s="19"/>
      <c r="B8" s="19" t="s">
        <v>11</v>
      </c>
      <c r="C8" s="21">
        <v>2.439</v>
      </c>
      <c r="D8" s="21">
        <v>2.447</v>
      </c>
      <c r="E8" s="21">
        <v>2.478</v>
      </c>
      <c r="F8" s="21">
        <v>2.478</v>
      </c>
      <c r="G8" s="21">
        <v>2.633</v>
      </c>
      <c r="H8" s="21">
        <v>2.633</v>
      </c>
      <c r="I8" s="21">
        <v>2.447</v>
      </c>
      <c r="J8" s="21">
        <v>2.517</v>
      </c>
      <c r="K8" s="21">
        <v>2.649</v>
      </c>
      <c r="L8" s="21">
        <v>2.633</v>
      </c>
      <c r="M8" s="21"/>
      <c r="O8" t="s">
        <v>15</v>
      </c>
      <c r="P8">
        <v>20.2</v>
      </c>
      <c r="Q8">
        <v>20.2</v>
      </c>
    </row>
    <row r="9" ht="16.5" spans="1:16">
      <c r="A9" s="19"/>
      <c r="B9" s="19" t="s">
        <v>12</v>
      </c>
      <c r="C9" s="19">
        <v>100</v>
      </c>
      <c r="D9" s="19">
        <v>103</v>
      </c>
      <c r="E9" s="19">
        <v>19</v>
      </c>
      <c r="F9" s="19">
        <v>19</v>
      </c>
      <c r="G9" s="19">
        <v>19</v>
      </c>
      <c r="H9" s="19">
        <v>205</v>
      </c>
      <c r="I9" s="19">
        <v>103</v>
      </c>
      <c r="J9" s="19">
        <v>0</v>
      </c>
      <c r="K9" s="19">
        <v>19</v>
      </c>
      <c r="L9" s="19">
        <v>42</v>
      </c>
      <c r="M9" s="19"/>
      <c r="O9" t="s">
        <v>975</v>
      </c>
      <c r="P9">
        <v>5.8</v>
      </c>
    </row>
    <row r="10" ht="16.5" spans="1:13">
      <c r="A10" s="19"/>
      <c r="B10" s="19" t="s">
        <v>851</v>
      </c>
      <c r="C10" s="22">
        <f>278*C9/(C9+1400)/100</f>
        <v>0.185333333333333</v>
      </c>
      <c r="D10" s="22">
        <f>278*D9/(D9+1400)/100</f>
        <v>0.190512308715902</v>
      </c>
      <c r="E10" s="21">
        <f t="shared" ref="E10:L10" si="0">278*E9/(E9+1400)/100</f>
        <v>0.0372233967582805</v>
      </c>
      <c r="F10" s="21">
        <f t="shared" si="0"/>
        <v>0.0372233967582805</v>
      </c>
      <c r="G10" s="21">
        <f t="shared" si="0"/>
        <v>0.0372233967582805</v>
      </c>
      <c r="H10" s="21">
        <f t="shared" si="0"/>
        <v>0.355077881619938</v>
      </c>
      <c r="I10" s="21">
        <f t="shared" si="0"/>
        <v>0.190512308715902</v>
      </c>
      <c r="J10" s="21">
        <f t="shared" si="0"/>
        <v>0</v>
      </c>
      <c r="K10" s="21">
        <f t="shared" si="0"/>
        <v>0.0372233967582805</v>
      </c>
      <c r="L10" s="21">
        <f t="shared" si="0"/>
        <v>0.0809708737864078</v>
      </c>
      <c r="M10" s="21"/>
    </row>
    <row r="11" ht="16.5" spans="1:13">
      <c r="A11" s="19"/>
      <c r="B11" s="19" t="s">
        <v>523</v>
      </c>
      <c r="C11" s="21">
        <v>1.343</v>
      </c>
      <c r="D11" s="21">
        <v>1.343</v>
      </c>
      <c r="E11" s="21"/>
      <c r="F11" s="21"/>
      <c r="G11" s="21"/>
      <c r="H11" s="21"/>
      <c r="I11" s="21"/>
      <c r="J11" s="21"/>
      <c r="K11" s="21"/>
      <c r="L11" s="21"/>
      <c r="M11" s="21"/>
    </row>
    <row r="12" ht="16.5" spans="1:13">
      <c r="A12" s="19"/>
      <c r="B12" s="19" t="s">
        <v>25</v>
      </c>
      <c r="C12" s="21">
        <v>0.946</v>
      </c>
      <c r="D12" s="21">
        <v>0.946</v>
      </c>
      <c r="E12" s="21">
        <v>0.946</v>
      </c>
      <c r="F12" s="21">
        <v>0.616</v>
      </c>
      <c r="G12" s="21">
        <v>0.616</v>
      </c>
      <c r="H12" s="21">
        <v>0.616</v>
      </c>
      <c r="I12" s="21">
        <v>0.616</v>
      </c>
      <c r="J12" s="21">
        <v>0.616</v>
      </c>
      <c r="K12" s="21">
        <v>0.616</v>
      </c>
      <c r="L12" s="21">
        <v>0.946</v>
      </c>
      <c r="M12" s="21"/>
    </row>
    <row r="13" ht="16.5" spans="1:13">
      <c r="A13" s="19"/>
      <c r="B13" s="19" t="s">
        <v>858</v>
      </c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</row>
    <row r="14" ht="16.5" spans="1:13">
      <c r="A14" s="19"/>
      <c r="B14" s="19" t="s">
        <v>976</v>
      </c>
      <c r="C14" s="23">
        <v>0.5</v>
      </c>
      <c r="D14" s="23">
        <v>0.5</v>
      </c>
      <c r="E14" s="23"/>
      <c r="F14" s="23"/>
      <c r="G14" s="23"/>
      <c r="H14" s="23"/>
      <c r="I14" s="23"/>
      <c r="J14" s="23"/>
      <c r="K14" s="23"/>
      <c r="L14" s="23">
        <v>0.5</v>
      </c>
      <c r="M14" s="23"/>
    </row>
    <row r="15" ht="16.5" spans="1:13">
      <c r="A15" s="19"/>
      <c r="B15" s="19" t="s">
        <v>977</v>
      </c>
      <c r="C15" s="21">
        <v>0.4</v>
      </c>
      <c r="D15" s="21">
        <v>0.4</v>
      </c>
      <c r="E15" s="21"/>
      <c r="F15" s="21"/>
      <c r="G15" s="21"/>
      <c r="H15" s="21"/>
      <c r="I15" s="21"/>
      <c r="J15" s="21"/>
      <c r="K15" s="21"/>
      <c r="L15" s="21">
        <v>0.4</v>
      </c>
      <c r="M15" s="21"/>
    </row>
    <row r="16" ht="16.5" spans="1:13">
      <c r="A16" s="19"/>
      <c r="B16" s="19" t="s">
        <v>978</v>
      </c>
      <c r="C16" s="21">
        <v>0.15</v>
      </c>
      <c r="D16" s="21">
        <v>0.15</v>
      </c>
      <c r="E16" s="21"/>
      <c r="F16" s="21"/>
      <c r="G16" s="21"/>
      <c r="H16" s="21"/>
      <c r="I16" s="21"/>
      <c r="J16" s="21"/>
      <c r="K16" s="21"/>
      <c r="L16" s="21">
        <v>0.15</v>
      </c>
      <c r="M16" s="21"/>
    </row>
    <row r="17" ht="16.5" spans="1:13">
      <c r="A17" s="19"/>
      <c r="B17" s="19" t="s">
        <v>979</v>
      </c>
      <c r="C17" s="24">
        <f>2*(1+C16+C10)</f>
        <v>2.67066666666667</v>
      </c>
      <c r="D17" s="24">
        <f>2*(1+D16+D10)</f>
        <v>2.6810246174318</v>
      </c>
      <c r="E17" s="24">
        <f t="shared" ref="E17:L17" si="1">2*(1+E16+E10)</f>
        <v>2.07444679351656</v>
      </c>
      <c r="F17" s="24">
        <f t="shared" si="1"/>
        <v>2.07444679351656</v>
      </c>
      <c r="G17" s="24">
        <f t="shared" si="1"/>
        <v>2.07444679351656</v>
      </c>
      <c r="H17" s="24">
        <f t="shared" si="1"/>
        <v>2.71015576323988</v>
      </c>
      <c r="I17" s="24">
        <f t="shared" si="1"/>
        <v>2.3810246174318</v>
      </c>
      <c r="J17" s="24">
        <f t="shared" si="1"/>
        <v>2</v>
      </c>
      <c r="K17" s="24">
        <f t="shared" si="1"/>
        <v>2.07444679351656</v>
      </c>
      <c r="L17" s="24">
        <f t="shared" si="1"/>
        <v>2.46194174757282</v>
      </c>
      <c r="M17" s="24"/>
    </row>
    <row r="18" ht="16.5" spans="1:13">
      <c r="A18" s="19"/>
      <c r="B18" s="19" t="s">
        <v>980</v>
      </c>
      <c r="C18" s="24">
        <f>15%*(1+C14)+C12-0.15</f>
        <v>1.021</v>
      </c>
      <c r="D18" s="24">
        <f>15%*(1+D14)+D12-0.15</f>
        <v>1.021</v>
      </c>
      <c r="E18" s="24">
        <f t="shared" ref="E18:L18" si="2">15%*(1+E14)+E12-0.15</f>
        <v>0.946</v>
      </c>
      <c r="F18" s="24">
        <f t="shared" si="2"/>
        <v>0.616</v>
      </c>
      <c r="G18" s="24">
        <f t="shared" si="2"/>
        <v>0.616</v>
      </c>
      <c r="H18" s="24">
        <f t="shared" si="2"/>
        <v>0.616</v>
      </c>
      <c r="I18" s="24">
        <f t="shared" si="2"/>
        <v>0.616</v>
      </c>
      <c r="J18" s="24">
        <f t="shared" si="2"/>
        <v>0.616</v>
      </c>
      <c r="K18" s="24">
        <f t="shared" si="2"/>
        <v>0.616</v>
      </c>
      <c r="L18" s="24">
        <f t="shared" si="2"/>
        <v>1.021</v>
      </c>
      <c r="M18" s="24"/>
    </row>
    <row r="19" ht="16.5" spans="1:13">
      <c r="A19" s="19" t="s">
        <v>981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</row>
    <row r="20" ht="16.5" spans="1:1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</row>
    <row r="21" ht="16.5" spans="1:13">
      <c r="A21" s="19"/>
      <c r="B21" s="19" t="s">
        <v>982</v>
      </c>
      <c r="C21" s="21">
        <v>0.0626</v>
      </c>
      <c r="D21" s="21">
        <v>0.0626</v>
      </c>
      <c r="E21" s="21">
        <v>0.0626</v>
      </c>
      <c r="F21" s="21">
        <v>0.0626</v>
      </c>
      <c r="G21" s="21">
        <v>0.0626</v>
      </c>
      <c r="H21" s="21">
        <v>0.0626</v>
      </c>
      <c r="I21" s="21">
        <v>0.0626</v>
      </c>
      <c r="J21" s="21">
        <v>0.0626</v>
      </c>
      <c r="K21" s="21">
        <v>0.0626</v>
      </c>
      <c r="L21" s="21">
        <v>0.0626</v>
      </c>
      <c r="M21" s="21"/>
    </row>
    <row r="22" ht="16.5" spans="1:13">
      <c r="A22" s="19"/>
      <c r="B22" s="19" t="s">
        <v>983</v>
      </c>
      <c r="C22" s="25">
        <f>(C3+C4)*C21</f>
        <v>1966.0782</v>
      </c>
      <c r="D22" s="25">
        <f>(D3+D4)*D21</f>
        <v>2032.4342</v>
      </c>
      <c r="E22" s="25">
        <f t="shared" ref="E22:L22" si="3">(E3+E4)*E21</f>
        <v>2073.8128</v>
      </c>
      <c r="F22" s="25">
        <f t="shared" si="3"/>
        <v>2073.8128</v>
      </c>
      <c r="G22" s="25">
        <f t="shared" si="3"/>
        <v>2107.8672</v>
      </c>
      <c r="H22" s="25">
        <f t="shared" si="3"/>
        <v>1750.7342</v>
      </c>
      <c r="I22" s="25">
        <f t="shared" si="3"/>
        <v>2032.4342</v>
      </c>
      <c r="J22" s="25">
        <f t="shared" si="3"/>
        <v>2107.8672</v>
      </c>
      <c r="K22" s="25">
        <f t="shared" si="3"/>
        <v>2077.3184</v>
      </c>
      <c r="L22" s="25">
        <f t="shared" si="3"/>
        <v>2051.1516</v>
      </c>
      <c r="M22" s="25"/>
    </row>
    <row r="23" ht="16.5" spans="1:13">
      <c r="A23" s="19"/>
      <c r="B23" s="19" t="s">
        <v>984</v>
      </c>
      <c r="C23" s="25">
        <f>C22+C6</f>
        <v>2980.0782</v>
      </c>
      <c r="D23" s="25">
        <f>D22+D6</f>
        <v>2429.4342</v>
      </c>
      <c r="E23" s="25">
        <f t="shared" ref="E23:L23" si="4">E22+E6</f>
        <v>3033.8128</v>
      </c>
      <c r="F23" s="25">
        <f t="shared" si="4"/>
        <v>2437.8128</v>
      </c>
      <c r="G23" s="25">
        <f t="shared" si="4"/>
        <v>2756.8672</v>
      </c>
      <c r="H23" s="25">
        <f t="shared" si="4"/>
        <v>2338.7342</v>
      </c>
      <c r="I23" s="25">
        <f t="shared" si="4"/>
        <v>2689.4342</v>
      </c>
      <c r="J23" s="25">
        <f t="shared" si="4"/>
        <v>2559.8672</v>
      </c>
      <c r="K23" s="25">
        <f t="shared" si="4"/>
        <v>2523.3184</v>
      </c>
      <c r="L23" s="25">
        <f t="shared" si="4"/>
        <v>3020.1516</v>
      </c>
      <c r="M23" s="25"/>
    </row>
    <row r="24" ht="16.5" spans="1:13">
      <c r="A24" s="19"/>
      <c r="B24" s="19" t="s">
        <v>68</v>
      </c>
      <c r="C24" s="25">
        <f>C5+C23</f>
        <v>3695.0782</v>
      </c>
      <c r="D24" s="25">
        <f>D5+D23</f>
        <v>3144.4342</v>
      </c>
      <c r="E24" s="25">
        <f t="shared" ref="E24:L24" si="5">E5+E23</f>
        <v>3748.8128</v>
      </c>
      <c r="F24" s="25">
        <f t="shared" si="5"/>
        <v>3152.8128</v>
      </c>
      <c r="G24" s="25">
        <f t="shared" si="5"/>
        <v>3471.8672</v>
      </c>
      <c r="H24" s="25">
        <f t="shared" si="5"/>
        <v>3053.7342</v>
      </c>
      <c r="I24" s="25">
        <f t="shared" si="5"/>
        <v>3404.4342</v>
      </c>
      <c r="J24" s="25">
        <f t="shared" si="5"/>
        <v>3274.8672</v>
      </c>
      <c r="K24" s="25">
        <f t="shared" si="5"/>
        <v>3238.3184</v>
      </c>
      <c r="L24" s="25">
        <f t="shared" si="5"/>
        <v>3735.1516</v>
      </c>
      <c r="M24" s="25"/>
    </row>
    <row r="25" ht="16.5" spans="1:13">
      <c r="A25" s="19"/>
      <c r="B25" s="19" t="s">
        <v>926</v>
      </c>
      <c r="C25" s="26">
        <f>C24*(1+C7*(C8-1))</f>
        <v>6832.236542582</v>
      </c>
      <c r="D25" s="26">
        <f>D24*(1+D7*(D8-1))</f>
        <v>6324.8816048926</v>
      </c>
      <c r="E25" s="26">
        <f t="shared" ref="E25:L25" si="6">E24*(1+E7*(E8-1))</f>
        <v>8098.297874944</v>
      </c>
      <c r="F25" s="26">
        <f t="shared" si="6"/>
        <v>6810.800794944</v>
      </c>
      <c r="G25" s="26">
        <f t="shared" si="6"/>
        <v>7633.3236069984</v>
      </c>
      <c r="H25" s="26">
        <f t="shared" si="6"/>
        <v>6559.4180078658</v>
      </c>
      <c r="I25" s="26">
        <f t="shared" si="6"/>
        <v>6847.8593848926</v>
      </c>
      <c r="J25" s="26">
        <f t="shared" si="6"/>
        <v>7249.24603392</v>
      </c>
      <c r="K25" s="26">
        <f t="shared" si="6"/>
        <v>6805.4297437888</v>
      </c>
      <c r="L25" s="26">
        <f t="shared" si="6"/>
        <v>8169.4899631556</v>
      </c>
      <c r="M25" s="26"/>
    </row>
    <row r="26" ht="16.5" spans="1:13">
      <c r="A26" s="19"/>
      <c r="B26" s="19" t="s">
        <v>985</v>
      </c>
      <c r="C26" s="26">
        <f>C24*C8</f>
        <v>9012.2957298</v>
      </c>
      <c r="D26" s="26">
        <f>D24*D8</f>
        <v>7694.4304874</v>
      </c>
      <c r="E26" s="26">
        <f t="shared" ref="E26:L26" si="7">E24*E8</f>
        <v>9289.5581184</v>
      </c>
      <c r="F26" s="26">
        <f t="shared" si="7"/>
        <v>7812.6701184</v>
      </c>
      <c r="G26" s="26">
        <f t="shared" si="7"/>
        <v>9141.4263376</v>
      </c>
      <c r="H26" s="26">
        <f t="shared" si="7"/>
        <v>8040.4821486</v>
      </c>
      <c r="I26" s="26">
        <f t="shared" si="7"/>
        <v>8330.6504874</v>
      </c>
      <c r="J26" s="26">
        <f t="shared" si="7"/>
        <v>8242.8407424</v>
      </c>
      <c r="K26" s="26">
        <f t="shared" si="7"/>
        <v>8578.3054416</v>
      </c>
      <c r="L26" s="26">
        <f t="shared" si="7"/>
        <v>9834.6541628</v>
      </c>
      <c r="M26" s="26"/>
    </row>
    <row r="27" ht="16.5" spans="1:13">
      <c r="A27" s="19"/>
      <c r="B27" s="19" t="s">
        <v>986</v>
      </c>
      <c r="C27" s="26">
        <f>C25*(1+C18)</f>
        <v>13807.9500525582</v>
      </c>
      <c r="D27" s="26">
        <f>D25*(1+D18)</f>
        <v>12782.5857234879</v>
      </c>
      <c r="E27" s="26">
        <f t="shared" ref="E27:L27" si="8">E25*(1+E18)</f>
        <v>15759.287664641</v>
      </c>
      <c r="F27" s="26">
        <f t="shared" si="8"/>
        <v>11006.2540846295</v>
      </c>
      <c r="G27" s="26">
        <f t="shared" si="8"/>
        <v>12335.4509489094</v>
      </c>
      <c r="H27" s="26">
        <f t="shared" si="8"/>
        <v>10600.0195007111</v>
      </c>
      <c r="I27" s="26">
        <f t="shared" si="8"/>
        <v>11066.1407659864</v>
      </c>
      <c r="J27" s="26">
        <f t="shared" si="8"/>
        <v>11714.7815908147</v>
      </c>
      <c r="K27" s="26">
        <f t="shared" si="8"/>
        <v>10997.5744659627</v>
      </c>
      <c r="L27" s="26">
        <f t="shared" si="8"/>
        <v>16510.5392155375</v>
      </c>
      <c r="M27" s="26"/>
    </row>
    <row r="28" ht="16.5" spans="1:13">
      <c r="A28" s="19"/>
      <c r="B28" s="19" t="s">
        <v>987</v>
      </c>
      <c r="C28" s="26">
        <f>C27*(1+C17)</f>
        <v>50684.3819929237</v>
      </c>
      <c r="D28" s="26">
        <f>D27*(1+D17)</f>
        <v>47053.0127225914</v>
      </c>
      <c r="E28" s="26">
        <f t="shared" ref="E28:L28" si="9">E27*(1+E17)</f>
        <v>48451.0914286607</v>
      </c>
      <c r="F28" s="26">
        <f t="shared" si="9"/>
        <v>33838.1425791177</v>
      </c>
      <c r="G28" s="26">
        <f t="shared" si="9"/>
        <v>37924.6876164554</v>
      </c>
      <c r="H28" s="26">
        <f t="shared" si="9"/>
        <v>39327.7234410185</v>
      </c>
      <c r="I28" s="26">
        <f t="shared" si="9"/>
        <v>37414.8943497658</v>
      </c>
      <c r="J28" s="26">
        <f t="shared" si="9"/>
        <v>35144.3447724442</v>
      </c>
      <c r="K28" s="26">
        <f t="shared" si="9"/>
        <v>33811.4575533386</v>
      </c>
      <c r="L28" s="26">
        <f t="shared" si="9"/>
        <v>57158.5249852073</v>
      </c>
      <c r="M28" s="26"/>
    </row>
    <row r="29" ht="16.5" spans="1:13">
      <c r="A29" s="19"/>
      <c r="B29" s="19"/>
      <c r="C29" s="27" t="s">
        <v>988</v>
      </c>
      <c r="D29" s="27" t="s">
        <v>988</v>
      </c>
      <c r="F29" s="27"/>
      <c r="G29" s="27" t="s">
        <v>989</v>
      </c>
      <c r="H29" s="27"/>
      <c r="I29" s="27"/>
      <c r="J29" s="27"/>
      <c r="K29" s="27"/>
      <c r="L29" s="27"/>
      <c r="M29" s="27"/>
    </row>
    <row r="30" ht="16.5" spans="1:13">
      <c r="A30" s="19"/>
      <c r="B30" s="19"/>
      <c r="C30" s="19"/>
      <c r="D30" s="19"/>
      <c r="E30" s="19"/>
      <c r="F30" s="19"/>
      <c r="H30" s="19"/>
      <c r="J30" s="19"/>
      <c r="K30" s="19"/>
      <c r="L30" s="19"/>
      <c r="M30" s="19"/>
    </row>
    <row r="31" ht="16.5" spans="1:13">
      <c r="A31" s="19"/>
      <c r="B31" s="19"/>
      <c r="C31" s="19"/>
      <c r="D31" s="19"/>
      <c r="E31" s="19"/>
      <c r="F31" s="19"/>
      <c r="G31">
        <v>38383</v>
      </c>
      <c r="H31" s="19">
        <v>19082</v>
      </c>
      <c r="J31" s="19"/>
      <c r="K31" s="19"/>
      <c r="L31" s="19"/>
      <c r="M31" s="19"/>
    </row>
    <row r="32" ht="16.5" spans="1:13">
      <c r="A32" s="19"/>
      <c r="B32" s="19"/>
      <c r="C32" s="19"/>
      <c r="D32" s="19"/>
      <c r="E32" s="19"/>
      <c r="F32" s="19"/>
      <c r="G32" s="19">
        <v>28343</v>
      </c>
      <c r="H32" s="19">
        <v>23007</v>
      </c>
      <c r="I32" s="19">
        <f>G32</f>
        <v>28343</v>
      </c>
      <c r="J32" s="19"/>
      <c r="K32" s="19"/>
      <c r="L32" s="19"/>
      <c r="M32" s="19"/>
    </row>
    <row r="33" ht="16.5" spans="1:13">
      <c r="A33" s="19"/>
      <c r="B33" s="19"/>
      <c r="C33" s="19"/>
      <c r="D33" s="19"/>
      <c r="E33" s="19"/>
      <c r="F33" s="19"/>
      <c r="K33" s="19"/>
      <c r="L33" s="19"/>
      <c r="M33" s="19"/>
    </row>
    <row r="34" ht="16.5" spans="1:13">
      <c r="A34" s="19"/>
      <c r="B34" s="19"/>
      <c r="C34" s="19"/>
      <c r="D34" s="19"/>
      <c r="E34" s="19"/>
      <c r="F34" s="19"/>
      <c r="G34" s="19">
        <v>51153</v>
      </c>
      <c r="H34" s="19">
        <v>66717</v>
      </c>
      <c r="I34" s="19">
        <v>72035</v>
      </c>
      <c r="J34" s="19"/>
      <c r="K34" s="19"/>
      <c r="L34" s="19"/>
      <c r="M34" s="19"/>
    </row>
    <row r="35" ht="16.5" spans="1:13">
      <c r="A35" s="19"/>
      <c r="B35" s="19"/>
      <c r="C35" s="19"/>
      <c r="D35" s="19"/>
      <c r="E35" s="19"/>
      <c r="F35" s="19"/>
      <c r="G35" s="19">
        <v>59679</v>
      </c>
      <c r="H35" s="19">
        <v>69333</v>
      </c>
      <c r="I35" s="19">
        <v>74583</v>
      </c>
      <c r="J35" s="19"/>
      <c r="K35" s="19"/>
      <c r="L35" s="19"/>
      <c r="M35" s="19"/>
    </row>
    <row r="36" ht="16.5" spans="1:13">
      <c r="A36" s="19"/>
      <c r="B36" s="19"/>
      <c r="C36" s="19"/>
      <c r="D36" s="19"/>
      <c r="E36" s="19"/>
      <c r="F36" s="19"/>
      <c r="G36" s="28">
        <f>G34/G31</f>
        <v>1.33269937211786</v>
      </c>
      <c r="I36" s="19"/>
      <c r="J36" s="19"/>
      <c r="K36" s="19"/>
      <c r="L36" s="19"/>
      <c r="M36" s="19"/>
    </row>
    <row r="37" ht="16.5" spans="1:1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ht="16.5" spans="1:1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ht="16.5" spans="1:13">
      <c r="A39" s="19"/>
      <c r="B39" s="19"/>
      <c r="C39" s="19"/>
      <c r="D39" s="19"/>
      <c r="E39" s="19"/>
      <c r="F39" s="19"/>
      <c r="G39" s="19">
        <f>G35+G32</f>
        <v>88022</v>
      </c>
      <c r="H39" s="19">
        <f>H34+H32</f>
        <v>89724</v>
      </c>
      <c r="I39" s="19">
        <f>I35+I32</f>
        <v>102926</v>
      </c>
      <c r="J39" s="19"/>
      <c r="K39" s="19"/>
      <c r="L39" s="19"/>
      <c r="M39" s="19"/>
    </row>
    <row r="40" ht="16.5" spans="1:1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ht="16.5" spans="1:1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ht="16.5" spans="1:13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ht="16.5" spans="1:13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ht="16.5" spans="1:13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ht="16.5" spans="1:13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ht="16.5" spans="1:13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ht="16.5" spans="1:13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ht="16.5" spans="1:13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ht="16.5" spans="1:13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ht="16.5" spans="1:13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ht="16.5" spans="1:13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ht="16.5" spans="1:13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ht="16.5" spans="1:1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ht="16.5" spans="1:13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ht="16.5" spans="1:13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ht="16.5" spans="1:13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ht="16.5" spans="1:13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ht="16.5" spans="1:13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ht="16.5" spans="1:13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ht="16.5" spans="1:13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ht="16.5" spans="1:13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ht="16.5" spans="1:13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ht="16.5" spans="1:13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ht="16.5" spans="1:13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ht="16.5" spans="1:13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ht="16.5" spans="1:13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ht="16.5" spans="1:13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ht="16.5" spans="1:13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ht="16.5" spans="1:13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ht="16.5" spans="1:13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ht="16.5" spans="1:13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</sheetData>
  <pageMargins left="0.75" right="0.75" top="1" bottom="1" header="0.5" footer="0.5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I32"/>
  <sheetViews>
    <sheetView workbookViewId="0">
      <selection activeCell="F24" sqref="F24"/>
    </sheetView>
  </sheetViews>
  <sheetFormatPr defaultColWidth="9" defaultRowHeight="13.5"/>
  <cols>
    <col min="1" max="1" width="12.875" customWidth="1"/>
    <col min="2" max="8" width="12.625"/>
  </cols>
  <sheetData>
    <row r="2" spans="4:4">
      <c r="D2" t="s">
        <v>990</v>
      </c>
    </row>
    <row r="3" spans="2:8">
      <c r="B3" t="s">
        <v>991</v>
      </c>
      <c r="C3" t="s">
        <v>590</v>
      </c>
      <c r="D3" s="14" t="s">
        <v>14</v>
      </c>
      <c r="E3" s="14"/>
      <c r="F3" s="14"/>
      <c r="G3" t="s">
        <v>992</v>
      </c>
      <c r="H3" t="s">
        <v>993</v>
      </c>
    </row>
    <row r="4" spans="1:8">
      <c r="A4" t="s">
        <v>555</v>
      </c>
      <c r="B4">
        <v>1083</v>
      </c>
      <c r="C4">
        <v>1083</v>
      </c>
      <c r="D4" s="14">
        <v>1083</v>
      </c>
      <c r="E4" s="14">
        <v>1083</v>
      </c>
      <c r="F4" s="14">
        <v>1083</v>
      </c>
      <c r="G4">
        <v>1083</v>
      </c>
      <c r="H4">
        <v>1083</v>
      </c>
    </row>
    <row r="5" spans="1:8">
      <c r="A5" t="s">
        <v>556</v>
      </c>
      <c r="B5">
        <v>1153</v>
      </c>
      <c r="C5">
        <v>1326</v>
      </c>
      <c r="D5" s="14">
        <v>1493</v>
      </c>
      <c r="E5" s="14">
        <v>1285</v>
      </c>
      <c r="F5" s="14">
        <v>1235</v>
      </c>
      <c r="G5">
        <v>1688</v>
      </c>
      <c r="H5">
        <v>1195</v>
      </c>
    </row>
    <row r="6" spans="4:6">
      <c r="D6" s="14"/>
      <c r="E6" s="14"/>
      <c r="F6" s="14"/>
    </row>
    <row r="7" spans="1:9">
      <c r="A7" t="s">
        <v>8</v>
      </c>
      <c r="B7" s="9">
        <v>0.287</v>
      </c>
      <c r="C7" s="9">
        <v>0.653</v>
      </c>
      <c r="D7" s="15">
        <v>0.808</v>
      </c>
      <c r="E7" s="15">
        <v>0.692</v>
      </c>
      <c r="F7" s="15">
        <v>0.482</v>
      </c>
      <c r="G7" s="9">
        <v>0.688</v>
      </c>
      <c r="H7" s="9">
        <v>0.769</v>
      </c>
      <c r="I7" s="9"/>
    </row>
    <row r="8" spans="1:9">
      <c r="A8" t="s">
        <v>11</v>
      </c>
      <c r="B8" s="9">
        <v>2.034</v>
      </c>
      <c r="C8" s="9">
        <v>1.327</v>
      </c>
      <c r="D8" s="15">
        <v>1.49</v>
      </c>
      <c r="E8" s="15">
        <v>1.607</v>
      </c>
      <c r="F8" s="15">
        <v>2.042</v>
      </c>
      <c r="G8" s="9">
        <v>1.599</v>
      </c>
      <c r="H8" s="9">
        <v>1.871</v>
      </c>
      <c r="I8" s="9"/>
    </row>
    <row r="9" spans="1:9">
      <c r="A9" t="s">
        <v>523</v>
      </c>
      <c r="B9" s="11">
        <v>1.13</v>
      </c>
      <c r="C9" s="11">
        <v>1.298</v>
      </c>
      <c r="D9" s="16">
        <v>1.162</v>
      </c>
      <c r="E9" s="16">
        <v>1.382</v>
      </c>
      <c r="F9" s="16">
        <v>1.382</v>
      </c>
      <c r="G9" s="11">
        <v>1.117</v>
      </c>
      <c r="H9" s="9">
        <v>1.583</v>
      </c>
      <c r="I9" s="9"/>
    </row>
    <row r="10" spans="1:9">
      <c r="A10" t="s">
        <v>28</v>
      </c>
      <c r="B10" s="11">
        <v>1.04</v>
      </c>
      <c r="C10" s="11">
        <v>1.29</v>
      </c>
      <c r="D10" s="16">
        <v>1.04</v>
      </c>
      <c r="E10" s="16">
        <v>1.29</v>
      </c>
      <c r="F10" s="16">
        <v>1.29</v>
      </c>
      <c r="G10" s="11">
        <v>0.457</v>
      </c>
      <c r="H10" s="11">
        <v>1.29</v>
      </c>
      <c r="I10" s="11"/>
    </row>
    <row r="11" spans="4:6">
      <c r="D11" s="14"/>
      <c r="E11" s="14"/>
      <c r="F11" s="14"/>
    </row>
    <row r="12" spans="1:6">
      <c r="A12" t="s">
        <v>994</v>
      </c>
      <c r="D12" s="14"/>
      <c r="E12" s="14"/>
      <c r="F12" s="14"/>
    </row>
    <row r="13" spans="2:6">
      <c r="B13" t="s">
        <v>995</v>
      </c>
      <c r="D13" s="14"/>
      <c r="E13" s="14"/>
      <c r="F13" s="14"/>
    </row>
    <row r="14" spans="1:7">
      <c r="A14" t="s">
        <v>561</v>
      </c>
      <c r="B14" s="11">
        <v>0.18</v>
      </c>
      <c r="C14" s="11"/>
      <c r="D14" s="16"/>
      <c r="E14" s="16"/>
      <c r="F14" s="16"/>
      <c r="G14" s="11">
        <v>0.18</v>
      </c>
    </row>
    <row r="15" spans="1:7">
      <c r="A15" t="s">
        <v>996</v>
      </c>
      <c r="B15" s="11">
        <v>0.25</v>
      </c>
      <c r="C15" s="11"/>
      <c r="D15" s="16"/>
      <c r="E15" s="16"/>
      <c r="F15" s="16"/>
      <c r="G15" s="11">
        <v>0.25</v>
      </c>
    </row>
    <row r="16" spans="1:7">
      <c r="A16" t="s">
        <v>997</v>
      </c>
      <c r="B16" s="17">
        <f>B14*B4</f>
        <v>194.94</v>
      </c>
      <c r="C16" s="17"/>
      <c r="D16" s="18"/>
      <c r="E16" s="18"/>
      <c r="F16" s="18"/>
      <c r="G16" s="17">
        <f>G14*G4</f>
        <v>194.94</v>
      </c>
    </row>
    <row r="17" spans="4:6">
      <c r="D17" s="14"/>
      <c r="E17" s="14"/>
      <c r="F17" s="14"/>
    </row>
    <row r="18" spans="1:6">
      <c r="A18" t="s">
        <v>998</v>
      </c>
      <c r="D18" s="14"/>
      <c r="E18" s="14"/>
      <c r="F18" s="14"/>
    </row>
    <row r="19" spans="1:8">
      <c r="A19" s="11">
        <v>0.2</v>
      </c>
      <c r="B19">
        <f t="shared" ref="B19:H19" si="0">B4*0.2</f>
        <v>216.6</v>
      </c>
      <c r="C19">
        <f t="shared" si="0"/>
        <v>216.6</v>
      </c>
      <c r="D19">
        <f t="shared" si="0"/>
        <v>216.6</v>
      </c>
      <c r="E19">
        <f t="shared" si="0"/>
        <v>216.6</v>
      </c>
      <c r="F19">
        <f t="shared" si="0"/>
        <v>216.6</v>
      </c>
      <c r="G19">
        <f t="shared" si="0"/>
        <v>216.6</v>
      </c>
      <c r="H19">
        <f t="shared" si="0"/>
        <v>216.6</v>
      </c>
    </row>
    <row r="20" spans="4:6">
      <c r="D20" s="14"/>
      <c r="E20" s="14"/>
      <c r="F20" s="14"/>
    </row>
    <row r="21" spans="1:8">
      <c r="A21" t="s">
        <v>68</v>
      </c>
      <c r="B21">
        <f t="shared" ref="B21:H21" si="1">B16+B4+B5+B19</f>
        <v>2647.54</v>
      </c>
      <c r="C21">
        <f t="shared" si="1"/>
        <v>2625.6</v>
      </c>
      <c r="D21">
        <f t="shared" si="1"/>
        <v>2792.6</v>
      </c>
      <c r="E21">
        <f t="shared" si="1"/>
        <v>2584.6</v>
      </c>
      <c r="F21">
        <f t="shared" si="1"/>
        <v>2534.6</v>
      </c>
      <c r="G21">
        <f t="shared" si="1"/>
        <v>3182.54</v>
      </c>
      <c r="H21">
        <f t="shared" si="1"/>
        <v>2494.6</v>
      </c>
    </row>
    <row r="22" spans="1:8">
      <c r="A22" t="s">
        <v>999</v>
      </c>
      <c r="B22">
        <f t="shared" ref="B22:H22" si="2">B15+B10</f>
        <v>1.29</v>
      </c>
      <c r="C22">
        <f t="shared" si="2"/>
        <v>1.29</v>
      </c>
      <c r="D22" s="14">
        <f t="shared" si="2"/>
        <v>1.04</v>
      </c>
      <c r="E22" s="14">
        <f t="shared" si="2"/>
        <v>1.29</v>
      </c>
      <c r="F22" s="14">
        <f t="shared" si="2"/>
        <v>1.29</v>
      </c>
      <c r="G22">
        <f t="shared" si="2"/>
        <v>0.707</v>
      </c>
      <c r="H22">
        <f t="shared" si="2"/>
        <v>1.29</v>
      </c>
    </row>
    <row r="23" spans="4:6">
      <c r="D23" s="14"/>
      <c r="E23" s="14"/>
      <c r="F23" s="14"/>
    </row>
    <row r="24" spans="1:8">
      <c r="A24" t="s">
        <v>1000</v>
      </c>
      <c r="B24">
        <f t="shared" ref="B24:H24" si="3">B21*(1+B7*(B8))*(1+B22)</f>
        <v>9602.1134806828</v>
      </c>
      <c r="C24">
        <f t="shared" si="3"/>
        <v>11222.749087344</v>
      </c>
      <c r="D24" s="14">
        <f t="shared" si="3"/>
        <v>12555.52066368</v>
      </c>
      <c r="E24" s="14">
        <f t="shared" si="3"/>
        <v>12500.626632296</v>
      </c>
      <c r="F24" s="14">
        <f t="shared" si="3"/>
        <v>11517.016489096</v>
      </c>
      <c r="G24">
        <f t="shared" si="3"/>
        <v>11409.0595887274</v>
      </c>
      <c r="H24">
        <f t="shared" si="3"/>
        <v>13931.966086566</v>
      </c>
    </row>
    <row r="32" spans="2:2">
      <c r="B32">
        <f>1083+1565</f>
        <v>2648</v>
      </c>
    </row>
  </sheetData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7"/>
  <dimension ref="A1"/>
  <sheetViews>
    <sheetView workbookViewId="0">
      <selection activeCell="A7" sqref="A7"/>
    </sheetView>
  </sheetViews>
  <sheetFormatPr defaultColWidth="9" defaultRowHeight="16.5"/>
  <cols>
    <col min="1" max="1" width="103.125" style="7" customWidth="1"/>
    <col min="2" max="16384" width="9" style="7"/>
  </cols>
  <sheetData>
    <row r="1" ht="409" customHeight="1" spans="1:1">
      <c r="A1" s="13" t="s">
        <v>1001</v>
      </c>
    </row>
  </sheetData>
  <pageMargins left="0.75" right="0.75" top="1" bottom="1" header="0.5" footer="0.5"/>
  <pageSetup paperSize="9" orientation="portrait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10"/>
  <dimension ref="A1:AD27"/>
  <sheetViews>
    <sheetView topLeftCell="B1" workbookViewId="0">
      <selection activeCell="K63" sqref="K63"/>
    </sheetView>
  </sheetViews>
  <sheetFormatPr defaultColWidth="9" defaultRowHeight="13.5"/>
  <cols>
    <col min="1" max="1" width="10.875" customWidth="1"/>
    <col min="7" max="7" width="12.875" customWidth="1"/>
    <col min="8" max="8" width="12.625"/>
    <col min="11" max="11" width="12.625"/>
    <col min="14" max="14" width="12.625"/>
    <col min="17" max="17" width="12.625"/>
    <col min="20" max="20" width="12.625"/>
    <col min="23" max="23" width="12.625"/>
    <col min="26" max="26" width="12.625"/>
    <col min="28" max="29" width="12.625"/>
  </cols>
  <sheetData>
    <row r="1" spans="1:2">
      <c r="A1" t="s">
        <v>12</v>
      </c>
      <c r="B1">
        <v>187</v>
      </c>
    </row>
    <row r="2" spans="1:2">
      <c r="A2" t="s">
        <v>16</v>
      </c>
      <c r="B2" s="9">
        <v>0.466</v>
      </c>
    </row>
    <row r="3" spans="6:6">
      <c r="F3" t="s">
        <v>54</v>
      </c>
    </row>
    <row r="4" spans="7:27">
      <c r="G4" t="s">
        <v>12</v>
      </c>
      <c r="H4">
        <v>1</v>
      </c>
      <c r="I4">
        <f>H4*$B$1</f>
        <v>187</v>
      </c>
      <c r="K4">
        <v>3</v>
      </c>
      <c r="L4">
        <f>K4*$B$1</f>
        <v>561</v>
      </c>
      <c r="N4">
        <v>2</v>
      </c>
      <c r="O4">
        <f>N4*$B$1</f>
        <v>374</v>
      </c>
      <c r="Q4">
        <v>1</v>
      </c>
      <c r="R4">
        <f>Q4*$B$1</f>
        <v>187</v>
      </c>
      <c r="T4">
        <v>2</v>
      </c>
      <c r="U4">
        <f>T4*$B$1</f>
        <v>374</v>
      </c>
      <c r="W4">
        <v>0</v>
      </c>
      <c r="X4">
        <f>W4*$B$1</f>
        <v>0</v>
      </c>
      <c r="Z4">
        <v>0</v>
      </c>
      <c r="AA4">
        <f>Z4*$B$1</f>
        <v>0</v>
      </c>
    </row>
    <row r="5" spans="7:27">
      <c r="G5" t="s">
        <v>1002</v>
      </c>
      <c r="H5">
        <v>2</v>
      </c>
      <c r="I5">
        <f>H5*$B$2</f>
        <v>0.932</v>
      </c>
      <c r="K5">
        <v>0</v>
      </c>
      <c r="L5">
        <f>K5*$B$2</f>
        <v>0</v>
      </c>
      <c r="N5">
        <v>0</v>
      </c>
      <c r="O5">
        <f>N5*$B$2</f>
        <v>0</v>
      </c>
      <c r="Q5">
        <v>1</v>
      </c>
      <c r="R5">
        <f>Q5*$B$2</f>
        <v>0.466</v>
      </c>
      <c r="T5">
        <v>0</v>
      </c>
      <c r="U5">
        <f>T5*$B$2</f>
        <v>0</v>
      </c>
      <c r="W5">
        <v>2</v>
      </c>
      <c r="X5">
        <f>W5*$B$2</f>
        <v>0.932</v>
      </c>
      <c r="Z5">
        <v>1</v>
      </c>
      <c r="AA5">
        <f>Z5*$B$2</f>
        <v>0.466</v>
      </c>
    </row>
    <row r="6" spans="1:27">
      <c r="A6" t="s">
        <v>1003</v>
      </c>
      <c r="B6" s="9">
        <v>0.814</v>
      </c>
      <c r="G6" t="s">
        <v>1004</v>
      </c>
      <c r="H6">
        <v>0</v>
      </c>
      <c r="I6" s="9">
        <f>IF(H6=0,0,46.6%)</f>
        <v>0</v>
      </c>
      <c r="J6" s="9"/>
      <c r="K6">
        <v>0</v>
      </c>
      <c r="L6" s="9">
        <f>IF(K6=0,0,46.6%)</f>
        <v>0</v>
      </c>
      <c r="N6">
        <v>0</v>
      </c>
      <c r="O6" s="9">
        <f>IF(N6=0,0,46.6%)</f>
        <v>0</v>
      </c>
      <c r="Q6">
        <v>1</v>
      </c>
      <c r="R6" s="9">
        <f>IF(Q6=0,0,46.6%)</f>
        <v>0.466</v>
      </c>
      <c r="T6">
        <v>1</v>
      </c>
      <c r="U6" s="9">
        <f>IF(T6=0,0,46.6%)</f>
        <v>0.466</v>
      </c>
      <c r="W6">
        <v>1</v>
      </c>
      <c r="X6" s="9">
        <f>IF(W6=0,0,46.6%)</f>
        <v>0.466</v>
      </c>
      <c r="Z6">
        <v>1</v>
      </c>
      <c r="AA6" s="9">
        <f>IF(Z6=0,0,46.6%)</f>
        <v>0.466</v>
      </c>
    </row>
    <row r="7" spans="1:27">
      <c r="A7" t="s">
        <v>1005</v>
      </c>
      <c r="B7">
        <f>42.7%-31.3%</f>
        <v>0.114</v>
      </c>
      <c r="G7" t="s">
        <v>8</v>
      </c>
      <c r="H7">
        <f>3-H4-H5-H6</f>
        <v>0</v>
      </c>
      <c r="I7" s="9">
        <f>IF(H7=0,0,31.3%)</f>
        <v>0</v>
      </c>
      <c r="J7" s="9"/>
      <c r="K7">
        <f>3-K4-K5-K6</f>
        <v>0</v>
      </c>
      <c r="L7" s="9">
        <f>IF(K7=0,0,31.3%)</f>
        <v>0</v>
      </c>
      <c r="N7">
        <f>3-N4-N5-N6</f>
        <v>1</v>
      </c>
      <c r="O7" s="9">
        <f>IF(N7=0,0,31.3%)</f>
        <v>0.313</v>
      </c>
      <c r="Q7">
        <f>3-Q4-Q5-Q6</f>
        <v>0</v>
      </c>
      <c r="R7" s="9">
        <f>IF(Q7=0,0,31.3%)</f>
        <v>0</v>
      </c>
      <c r="T7">
        <f>3-T4-T5-T6</f>
        <v>0</v>
      </c>
      <c r="U7" s="9">
        <f>IF(T7=0,0,31.3%)</f>
        <v>0</v>
      </c>
      <c r="W7">
        <f>3-W4-W5-W6</f>
        <v>0</v>
      </c>
      <c r="X7" s="9">
        <f>IF(W7=0,0,31.3%)</f>
        <v>0</v>
      </c>
      <c r="Z7">
        <f>3-Z4-Z5-Z6</f>
        <v>1</v>
      </c>
      <c r="AA7" s="9">
        <f>IF(Z7=0,0,31.3%)</f>
        <v>0.313</v>
      </c>
    </row>
    <row r="8" spans="7:7">
      <c r="G8" t="s">
        <v>11</v>
      </c>
    </row>
    <row r="9" spans="6:6">
      <c r="F9" t="s">
        <v>773</v>
      </c>
    </row>
    <row r="10" spans="7:30">
      <c r="G10" t="s">
        <v>840</v>
      </c>
      <c r="H10">
        <v>9493</v>
      </c>
      <c r="K10">
        <v>9493</v>
      </c>
      <c r="N10">
        <v>9493</v>
      </c>
      <c r="Q10">
        <v>9493</v>
      </c>
      <c r="T10">
        <v>9493</v>
      </c>
      <c r="W10">
        <v>9493</v>
      </c>
      <c r="Z10">
        <v>9493</v>
      </c>
      <c r="AB10">
        <v>7245</v>
      </c>
      <c r="AC10">
        <v>7245</v>
      </c>
      <c r="AD10">
        <v>7245</v>
      </c>
    </row>
    <row r="11" spans="7:30">
      <c r="G11" t="s">
        <v>1006</v>
      </c>
      <c r="H11">
        <f>H10*18%</f>
        <v>1708.74</v>
      </c>
      <c r="K11">
        <f>K10*18%</f>
        <v>1708.74</v>
      </c>
      <c r="N11">
        <f>N10*18%</f>
        <v>1708.74</v>
      </c>
      <c r="Q11">
        <f>Q10*18%</f>
        <v>1708.74</v>
      </c>
      <c r="T11">
        <f>T10*18%</f>
        <v>1708.74</v>
      </c>
      <c r="W11">
        <f>W10*18%</f>
        <v>1708.74</v>
      </c>
      <c r="Z11">
        <f>Z10*18%</f>
        <v>1708.74</v>
      </c>
      <c r="AB11">
        <v>7213</v>
      </c>
      <c r="AC11">
        <v>7213</v>
      </c>
      <c r="AD11">
        <v>7213</v>
      </c>
    </row>
    <row r="12" spans="7:30">
      <c r="G12" t="s">
        <v>1007</v>
      </c>
      <c r="H12">
        <f>174+510</f>
        <v>684</v>
      </c>
      <c r="K12">
        <f>174+510</f>
        <v>684</v>
      </c>
      <c r="N12">
        <f>174+510</f>
        <v>684</v>
      </c>
      <c r="Q12">
        <f>174+510</f>
        <v>684</v>
      </c>
      <c r="T12">
        <f>174+510</f>
        <v>684</v>
      </c>
      <c r="W12">
        <f>174+510</f>
        <v>684</v>
      </c>
      <c r="Z12">
        <f>174+510</f>
        <v>684</v>
      </c>
      <c r="AB12">
        <v>635</v>
      </c>
      <c r="AC12">
        <v>635</v>
      </c>
      <c r="AD12">
        <v>635</v>
      </c>
    </row>
    <row r="13" spans="7:30">
      <c r="G13" t="s">
        <v>1008</v>
      </c>
      <c r="H13">
        <f>H12*(41.3%+I5)+311</f>
        <v>1230.98</v>
      </c>
      <c r="K13">
        <f>K12*(41.3%+L5)+311</f>
        <v>593.492</v>
      </c>
      <c r="N13">
        <f>N12*(41.3%+O5)+311</f>
        <v>593.492</v>
      </c>
      <c r="Q13">
        <f>Q12*(41.3%+R5)+311</f>
        <v>912.236</v>
      </c>
      <c r="T13">
        <f>T12*(41.3%+U5)+311</f>
        <v>593.492</v>
      </c>
      <c r="W13">
        <f>W12*(41.3%+X5)+311</f>
        <v>1230.98</v>
      </c>
      <c r="Z13">
        <f>Z12*(41.3%+AA5)+311</f>
        <v>912.236</v>
      </c>
      <c r="AB13">
        <v>587</v>
      </c>
      <c r="AC13">
        <f>AB13+AC12*46.6%</f>
        <v>882.91</v>
      </c>
      <c r="AD13">
        <f>AC13+AD12*46.6%</f>
        <v>1178.82</v>
      </c>
    </row>
    <row r="14" spans="7:30">
      <c r="G14" t="s">
        <v>12</v>
      </c>
      <c r="H14">
        <f>I4</f>
        <v>187</v>
      </c>
      <c r="K14">
        <f>L4</f>
        <v>561</v>
      </c>
      <c r="N14">
        <f>O4</f>
        <v>374</v>
      </c>
      <c r="Q14">
        <f>R4</f>
        <v>187</v>
      </c>
      <c r="T14">
        <f>U4</f>
        <v>374</v>
      </c>
      <c r="W14">
        <f>X4</f>
        <v>0</v>
      </c>
      <c r="Z14">
        <f>AA4</f>
        <v>0</v>
      </c>
      <c r="AB14">
        <v>575</v>
      </c>
      <c r="AC14">
        <f>AB14-187</f>
        <v>388</v>
      </c>
      <c r="AD14">
        <f>AC14-187</f>
        <v>201</v>
      </c>
    </row>
    <row r="15" spans="7:30">
      <c r="G15" t="s">
        <v>1009</v>
      </c>
      <c r="H15">
        <f>IFERROR(VLOOKUP(H14,元素精通!$A$5:$B$156,2,1),0)</f>
        <v>0.316708860759494</v>
      </c>
      <c r="K15">
        <f>IFERROR(VLOOKUP(K14,元素精通!$A$5:$B$156,2,1),0)</f>
        <v>0.794285714285714</v>
      </c>
      <c r="N15">
        <f>IFERROR(VLOOKUP(N14,元素精通!$A$5:$B$156,2,1),0)</f>
        <v>0.581129943502825</v>
      </c>
      <c r="Q15">
        <f>IFERROR(VLOOKUP(Q14,元素精通!$A$5:$B$156,2,1),0)</f>
        <v>0.316708860759494</v>
      </c>
      <c r="T15">
        <f>IFERROR(VLOOKUP(T14,元素精通!$A$5:$B$156,2,1),0)</f>
        <v>0.581129943502825</v>
      </c>
      <c r="W15">
        <f>IFERROR(VLOOKUP(W14,元素精通!$A$5:$B$156,2,1),0)</f>
        <v>0</v>
      </c>
      <c r="Z15">
        <f>IFERROR(VLOOKUP(Z14,元素精通!$A$5:$B$156,2,1),0)</f>
        <v>0</v>
      </c>
      <c r="AB15">
        <f>IFERROR(VLOOKUP(AB14,元素精通!$A$5:$B$156,2,1),0)</f>
        <v>0.804365482233503</v>
      </c>
      <c r="AC15">
        <f>IFERROR(VLOOKUP(AC14,元素精通!$A$5:$B$156,2,1),0)</f>
        <v>0.593483146067416</v>
      </c>
      <c r="AD15">
        <f>IFERROR(VLOOKUP(AD14,元素精通!$A$5:$B$156,2,1),0)</f>
        <v>0.3475</v>
      </c>
    </row>
    <row r="16" spans="7:30">
      <c r="G16" t="s">
        <v>8</v>
      </c>
      <c r="H16">
        <f>$B$7+I7</f>
        <v>0.114</v>
      </c>
      <c r="K16">
        <f>$B$7+L7</f>
        <v>0.114</v>
      </c>
      <c r="N16">
        <f>$B$7+O7</f>
        <v>0.427</v>
      </c>
      <c r="Q16">
        <f>$B$7+R7</f>
        <v>0.114</v>
      </c>
      <c r="T16">
        <f>$B$7+U7</f>
        <v>0.114</v>
      </c>
      <c r="W16">
        <f>$B$7+X7</f>
        <v>0.114</v>
      </c>
      <c r="Z16">
        <f>$B$7+AA7</f>
        <v>0.427</v>
      </c>
      <c r="AB16" s="9">
        <v>0.202</v>
      </c>
      <c r="AC16" s="9">
        <f>AB16</f>
        <v>0.202</v>
      </c>
      <c r="AD16" s="9">
        <f>AC16</f>
        <v>0.202</v>
      </c>
    </row>
    <row r="17" spans="7:30">
      <c r="G17" t="s">
        <v>11</v>
      </c>
      <c r="H17">
        <f>$B$6</f>
        <v>0.814</v>
      </c>
      <c r="K17">
        <f>$B$6</f>
        <v>0.814</v>
      </c>
      <c r="N17">
        <f>$B$6</f>
        <v>0.814</v>
      </c>
      <c r="Q17">
        <f>$B$6</f>
        <v>0.814</v>
      </c>
      <c r="T17">
        <f>$B$6</f>
        <v>0.814</v>
      </c>
      <c r="W17">
        <f>$B$6</f>
        <v>0.814</v>
      </c>
      <c r="Z17">
        <f>$B$6</f>
        <v>0.814</v>
      </c>
      <c r="AB17" s="9">
        <v>1.024</v>
      </c>
      <c r="AC17" s="9">
        <v>1.024</v>
      </c>
      <c r="AD17" s="9">
        <v>1.024</v>
      </c>
    </row>
    <row r="18" spans="7:30">
      <c r="G18" t="s">
        <v>1004</v>
      </c>
      <c r="H18">
        <f>I6</f>
        <v>0</v>
      </c>
      <c r="K18">
        <f>L6</f>
        <v>0</v>
      </c>
      <c r="N18">
        <f>O6</f>
        <v>0</v>
      </c>
      <c r="Q18">
        <f>R6</f>
        <v>0.466</v>
      </c>
      <c r="T18">
        <f>U6</f>
        <v>0.466</v>
      </c>
      <c r="W18">
        <f>X6</f>
        <v>0.466</v>
      </c>
      <c r="Z18">
        <f>AA6</f>
        <v>0.466</v>
      </c>
      <c r="AB18" s="9">
        <v>0.348</v>
      </c>
      <c r="AC18" s="9">
        <v>0.348</v>
      </c>
      <c r="AD18" s="9">
        <v>0.348</v>
      </c>
    </row>
    <row r="20" spans="6:30">
      <c r="F20" t="s">
        <v>567</v>
      </c>
      <c r="G20" t="s">
        <v>1010</v>
      </c>
      <c r="H20" s="9">
        <v>0.429</v>
      </c>
      <c r="K20" s="9">
        <v>0.429</v>
      </c>
      <c r="N20" s="9">
        <v>0.429</v>
      </c>
      <c r="Q20" s="9">
        <v>0.429</v>
      </c>
      <c r="T20" s="9">
        <v>0.429</v>
      </c>
      <c r="W20" s="9">
        <v>0.429</v>
      </c>
      <c r="Z20" s="9">
        <v>0.429</v>
      </c>
      <c r="AB20" s="9">
        <v>0.429</v>
      </c>
      <c r="AC20" s="9">
        <v>0.429</v>
      </c>
      <c r="AD20" s="9">
        <v>0.429</v>
      </c>
    </row>
    <row r="21" spans="7:30">
      <c r="G21" t="s">
        <v>1011</v>
      </c>
      <c r="H21">
        <f>(H12+H13)*H20</f>
        <v>821.52642</v>
      </c>
      <c r="K21">
        <f>(K12+K13)*K20</f>
        <v>548.044068</v>
      </c>
      <c r="N21">
        <f>(N12+N13)*N20</f>
        <v>548.044068</v>
      </c>
      <c r="Q21">
        <f>(Q12+Q13)*Q20</f>
        <v>684.785244</v>
      </c>
      <c r="T21">
        <f>(T12+T13)*T20</f>
        <v>548.044068</v>
      </c>
      <c r="W21">
        <f t="shared" ref="W21:AD21" si="0">(W12+W13)*W20</f>
        <v>821.52642</v>
      </c>
      <c r="Z21">
        <f t="shared" si="0"/>
        <v>684.785244</v>
      </c>
      <c r="AB21">
        <f t="shared" si="0"/>
        <v>524.238</v>
      </c>
      <c r="AC21">
        <f t="shared" si="0"/>
        <v>651.18339</v>
      </c>
      <c r="AD21">
        <f t="shared" si="0"/>
        <v>778.12878</v>
      </c>
    </row>
    <row r="23" spans="7:30">
      <c r="G23" t="s">
        <v>562</v>
      </c>
      <c r="H23">
        <f>25%*H14</f>
        <v>46.75</v>
      </c>
      <c r="K23">
        <f>25%*K14</f>
        <v>140.25</v>
      </c>
      <c r="N23">
        <f>25%*N14</f>
        <v>93.5</v>
      </c>
      <c r="Q23">
        <f>25%*Q14</f>
        <v>46.75</v>
      </c>
      <c r="T23">
        <f>25%*T14</f>
        <v>93.5</v>
      </c>
      <c r="W23">
        <f t="shared" ref="W23:AD23" si="1">25%*W14</f>
        <v>0</v>
      </c>
      <c r="Z23">
        <f t="shared" si="1"/>
        <v>0</v>
      </c>
      <c r="AB23">
        <f t="shared" si="1"/>
        <v>143.75</v>
      </c>
      <c r="AC23">
        <f t="shared" si="1"/>
        <v>97</v>
      </c>
      <c r="AD23">
        <f t="shared" si="1"/>
        <v>50.25</v>
      </c>
    </row>
    <row r="25" spans="7:30">
      <c r="G25" t="s">
        <v>1012</v>
      </c>
      <c r="H25">
        <f>(H21+H23)*(1+H20*H17)*(1+H18)</f>
        <v>1171.48375552252</v>
      </c>
      <c r="K25">
        <f>(K21+K23)*(1+K20*K17)*(1+K18)</f>
        <v>928.650486310008</v>
      </c>
      <c r="N25">
        <f>(N21+N23)*(1+N20*N17)*(1+N18)</f>
        <v>865.575105810008</v>
      </c>
      <c r="Q25">
        <f>(Q21+Q23)*(1+Q20*Q17)*(1+Q18)</f>
        <v>1446.92989145024</v>
      </c>
      <c r="T25">
        <f>(T21+T23)*(1+T20*T17)*(1+T18)</f>
        <v>1268.93310511747</v>
      </c>
      <c r="W25">
        <f t="shared" ref="W25:AD25" si="2">(W21+W23)*(1+W20*W17)*(1+W18)</f>
        <v>1624.92667778301</v>
      </c>
      <c r="Z25">
        <f t="shared" si="2"/>
        <v>1354.46138363724</v>
      </c>
      <c r="AB25">
        <f t="shared" si="2"/>
        <v>1296.0109512919</v>
      </c>
      <c r="AC25">
        <f t="shared" si="2"/>
        <v>1451.60372194516</v>
      </c>
      <c r="AD25">
        <f t="shared" si="2"/>
        <v>1607.19649259841</v>
      </c>
    </row>
    <row r="26" spans="7:30">
      <c r="G26" t="s">
        <v>1009</v>
      </c>
      <c r="H26">
        <f>H25*(1+H15)</f>
        <v>1542.50304113231</v>
      </c>
      <c r="K26">
        <f>K25*(1+K15)</f>
        <v>1666.26430115053</v>
      </c>
      <c r="N26">
        <f>N25*(1+N15)</f>
        <v>1368.58671814683</v>
      </c>
      <c r="Q26">
        <f>Q25*(1+Q15)</f>
        <v>1905.18540897031</v>
      </c>
      <c r="T26">
        <f>T25*(1+T15)</f>
        <v>2006.34812880325</v>
      </c>
      <c r="W26">
        <f t="shared" ref="W26:AD26" si="3">W25*(1+W15)</f>
        <v>1624.92667778301</v>
      </c>
      <c r="Z26">
        <f t="shared" si="3"/>
        <v>1354.46138363724</v>
      </c>
      <c r="AB26">
        <f t="shared" si="3"/>
        <v>2338.47742510772</v>
      </c>
      <c r="AC26">
        <f t="shared" si="3"/>
        <v>2313.10606568834</v>
      </c>
      <c r="AD26">
        <f t="shared" si="3"/>
        <v>2165.69727377636</v>
      </c>
    </row>
    <row r="27" spans="7:30">
      <c r="G27" t="s">
        <v>1013</v>
      </c>
      <c r="H27" s="12">
        <f>H26*0.5+H25*0.5</f>
        <v>1356.99339832742</v>
      </c>
      <c r="I27" s="12"/>
      <c r="J27" s="12"/>
      <c r="K27" s="12">
        <f>K26*0.5+K25*0.5</f>
        <v>1297.45739373027</v>
      </c>
      <c r="L27" s="12"/>
      <c r="M27" s="12"/>
      <c r="N27" s="12">
        <f>N26*0.5+N25*0.5</f>
        <v>1117.08091197842</v>
      </c>
      <c r="O27" s="12"/>
      <c r="P27" s="12"/>
      <c r="Q27" s="12">
        <f>Q26*0.5+Q25*0.5</f>
        <v>1676.05765021028</v>
      </c>
      <c r="R27" s="12"/>
      <c r="S27" s="12"/>
      <c r="T27" s="12">
        <f>T26*0.5+T25*0.5</f>
        <v>1637.64061696036</v>
      </c>
      <c r="U27" s="12"/>
      <c r="V27" s="12"/>
      <c r="W27" s="12">
        <f t="shared" ref="W27:AD27" si="4">W26*0.5+W25*0.5</f>
        <v>1624.92667778301</v>
      </c>
      <c r="X27" s="12"/>
      <c r="Y27" s="12"/>
      <c r="Z27" s="12">
        <f t="shared" si="4"/>
        <v>1354.46138363724</v>
      </c>
      <c r="AB27" s="12">
        <f t="shared" si="4"/>
        <v>1817.24418819981</v>
      </c>
      <c r="AC27" s="12">
        <f t="shared" si="4"/>
        <v>1882.35489381675</v>
      </c>
      <c r="AD27" s="12">
        <f t="shared" si="4"/>
        <v>1886.44688318738</v>
      </c>
    </row>
  </sheetData>
  <conditionalFormatting sqref="H25:AA2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Z2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:Z2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paperSize="9" orientation="portrait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M25"/>
  <sheetViews>
    <sheetView workbookViewId="0">
      <selection activeCell="B24" sqref="B24"/>
    </sheetView>
  </sheetViews>
  <sheetFormatPr defaultColWidth="9" defaultRowHeight="13.5"/>
  <cols>
    <col min="2" max="2" width="12.625"/>
  </cols>
  <sheetData>
    <row r="1" spans="1:1">
      <c r="A1" t="s">
        <v>1014</v>
      </c>
    </row>
    <row r="2" spans="1:1">
      <c r="A2" t="s">
        <v>1015</v>
      </c>
    </row>
    <row r="5" spans="2:13">
      <c r="B5" t="s">
        <v>360</v>
      </c>
      <c r="C5">
        <v>10</v>
      </c>
      <c r="D5">
        <v>20</v>
      </c>
      <c r="E5">
        <v>30</v>
      </c>
      <c r="F5">
        <v>40</v>
      </c>
      <c r="G5">
        <v>50</v>
      </c>
      <c r="H5">
        <v>60</v>
      </c>
      <c r="I5">
        <v>70</v>
      </c>
      <c r="J5">
        <v>80</v>
      </c>
      <c r="K5">
        <v>90</v>
      </c>
      <c r="L5">
        <v>100</v>
      </c>
      <c r="M5">
        <v>88</v>
      </c>
    </row>
    <row r="6" spans="2:13">
      <c r="B6" t="s">
        <v>1016</v>
      </c>
      <c r="C6">
        <f>C5*5+500</f>
        <v>550</v>
      </c>
      <c r="D6">
        <f>D5*5+500</f>
        <v>600</v>
      </c>
      <c r="E6">
        <f>E5*5+500</f>
        <v>650</v>
      </c>
      <c r="F6">
        <f>F5*5+500</f>
        <v>700</v>
      </c>
      <c r="G6">
        <f t="shared" ref="G6:M6" si="0">G5*5+500</f>
        <v>750</v>
      </c>
      <c r="H6">
        <f t="shared" si="0"/>
        <v>800</v>
      </c>
      <c r="I6">
        <f t="shared" si="0"/>
        <v>850</v>
      </c>
      <c r="J6">
        <f t="shared" si="0"/>
        <v>900</v>
      </c>
      <c r="K6">
        <f t="shared" si="0"/>
        <v>950</v>
      </c>
      <c r="L6">
        <f t="shared" si="0"/>
        <v>1000</v>
      </c>
      <c r="M6">
        <f t="shared" si="0"/>
        <v>940</v>
      </c>
    </row>
    <row r="7" spans="1:12">
      <c r="A7" t="s">
        <v>1017</v>
      </c>
      <c r="B7">
        <v>10</v>
      </c>
      <c r="C7" s="9">
        <f t="shared" ref="C7:C15" si="1">1-C$6/(C$6+5*$B7+500)</f>
        <v>0.5</v>
      </c>
      <c r="D7" s="9">
        <f t="shared" ref="D7:D15" si="2">1-D$6/(D$6+5*$B7+500)</f>
        <v>0.478260869565217</v>
      </c>
      <c r="E7" s="9">
        <f t="shared" ref="E7:E15" si="3">1-E$6/(E$6+5*$B7+500)</f>
        <v>0.458333333333333</v>
      </c>
      <c r="F7" s="9">
        <f t="shared" ref="F7:F15" si="4">1-F$6/(F$6+5*$B7+500)</f>
        <v>0.44</v>
      </c>
      <c r="G7" s="9">
        <f t="shared" ref="G7:G15" si="5">1-G$6/(G$6+5*$B7+500)</f>
        <v>0.423076923076923</v>
      </c>
      <c r="H7" s="9">
        <f t="shared" ref="H7:H15" si="6">1-H$6/(H$6+5*$B7+500)</f>
        <v>0.407407407407407</v>
      </c>
      <c r="I7" s="9">
        <f t="shared" ref="I7:I15" si="7">1-I$6/(I$6+5*$B7+500)</f>
        <v>0.392857142857143</v>
      </c>
      <c r="J7" s="9">
        <f t="shared" ref="J7:J15" si="8">1-J$6/(J$6+5*$B7+500)</f>
        <v>0.379310344827586</v>
      </c>
      <c r="K7" s="9">
        <f t="shared" ref="K7:K15" si="9">1-K$6/(K$6+5*$B7+500)</f>
        <v>0.366666666666667</v>
      </c>
      <c r="L7" s="9">
        <f t="shared" ref="L7:L15" si="10">1-L$6/(L$6+5*$B7+500)</f>
        <v>0.354838709677419</v>
      </c>
    </row>
    <row r="8" spans="2:12">
      <c r="B8">
        <v>20</v>
      </c>
      <c r="C8" s="9">
        <f t="shared" si="1"/>
        <v>0.521739130434783</v>
      </c>
      <c r="D8" s="9">
        <f t="shared" si="2"/>
        <v>0.5</v>
      </c>
      <c r="E8" s="9">
        <f t="shared" si="3"/>
        <v>0.48</v>
      </c>
      <c r="F8" s="9">
        <f t="shared" si="4"/>
        <v>0.461538461538462</v>
      </c>
      <c r="G8" s="9">
        <f t="shared" si="5"/>
        <v>0.444444444444444</v>
      </c>
      <c r="H8" s="9">
        <f t="shared" si="6"/>
        <v>0.428571428571429</v>
      </c>
      <c r="I8" s="9">
        <f t="shared" si="7"/>
        <v>0.413793103448276</v>
      </c>
      <c r="J8" s="9">
        <f t="shared" si="8"/>
        <v>0.4</v>
      </c>
      <c r="K8" s="9">
        <f t="shared" si="9"/>
        <v>0.387096774193548</v>
      </c>
      <c r="L8" s="9">
        <f t="shared" si="10"/>
        <v>0.375</v>
      </c>
    </row>
    <row r="9" spans="2:12">
      <c r="B9">
        <v>30</v>
      </c>
      <c r="C9" s="9">
        <f t="shared" si="1"/>
        <v>0.541666666666667</v>
      </c>
      <c r="D9" s="9">
        <f t="shared" si="2"/>
        <v>0.52</v>
      </c>
      <c r="E9" s="9">
        <f t="shared" si="3"/>
        <v>0.5</v>
      </c>
      <c r="F9" s="9">
        <f t="shared" si="4"/>
        <v>0.481481481481482</v>
      </c>
      <c r="G9" s="9">
        <f t="shared" si="5"/>
        <v>0.464285714285714</v>
      </c>
      <c r="H9" s="9">
        <f t="shared" si="6"/>
        <v>0.448275862068966</v>
      </c>
      <c r="I9" s="9">
        <f t="shared" si="7"/>
        <v>0.433333333333333</v>
      </c>
      <c r="J9" s="9">
        <f t="shared" si="8"/>
        <v>0.419354838709677</v>
      </c>
      <c r="K9" s="9">
        <f t="shared" si="9"/>
        <v>0.40625</v>
      </c>
      <c r="L9" s="9">
        <f t="shared" si="10"/>
        <v>0.393939393939394</v>
      </c>
    </row>
    <row r="10" spans="2:12">
      <c r="B10">
        <v>40</v>
      </c>
      <c r="C10" s="9">
        <f t="shared" si="1"/>
        <v>0.56</v>
      </c>
      <c r="D10" s="9">
        <f t="shared" si="2"/>
        <v>0.538461538461538</v>
      </c>
      <c r="E10" s="9">
        <f t="shared" si="3"/>
        <v>0.518518518518519</v>
      </c>
      <c r="F10" s="9">
        <f t="shared" si="4"/>
        <v>0.5</v>
      </c>
      <c r="G10" s="9">
        <f t="shared" si="5"/>
        <v>0.482758620689655</v>
      </c>
      <c r="H10" s="9">
        <f t="shared" si="6"/>
        <v>0.466666666666667</v>
      </c>
      <c r="I10" s="9">
        <f t="shared" si="7"/>
        <v>0.451612903225806</v>
      </c>
      <c r="J10" s="9">
        <f t="shared" si="8"/>
        <v>0.4375</v>
      </c>
      <c r="K10" s="9">
        <f t="shared" si="9"/>
        <v>0.424242424242424</v>
      </c>
      <c r="L10" s="9">
        <f t="shared" si="10"/>
        <v>0.411764705882353</v>
      </c>
    </row>
    <row r="11" spans="2:12">
      <c r="B11">
        <v>50</v>
      </c>
      <c r="C11" s="9">
        <f t="shared" si="1"/>
        <v>0.576923076923077</v>
      </c>
      <c r="D11" s="9">
        <f t="shared" si="2"/>
        <v>0.555555555555556</v>
      </c>
      <c r="E11" s="9">
        <f t="shared" si="3"/>
        <v>0.535714285714286</v>
      </c>
      <c r="F11" s="9">
        <f t="shared" si="4"/>
        <v>0.517241379310345</v>
      </c>
      <c r="G11" s="9">
        <f t="shared" si="5"/>
        <v>0.5</v>
      </c>
      <c r="H11" s="9">
        <f t="shared" si="6"/>
        <v>0.483870967741935</v>
      </c>
      <c r="I11" s="9">
        <f t="shared" si="7"/>
        <v>0.46875</v>
      </c>
      <c r="J11" s="9">
        <f t="shared" si="8"/>
        <v>0.454545454545455</v>
      </c>
      <c r="K11" s="9">
        <f t="shared" si="9"/>
        <v>0.441176470588235</v>
      </c>
      <c r="L11" s="9">
        <f t="shared" si="10"/>
        <v>0.428571428571429</v>
      </c>
    </row>
    <row r="12" spans="2:12">
      <c r="B12">
        <v>60</v>
      </c>
      <c r="C12" s="9">
        <f t="shared" si="1"/>
        <v>0.592592592592593</v>
      </c>
      <c r="D12" s="9">
        <f t="shared" si="2"/>
        <v>0.571428571428571</v>
      </c>
      <c r="E12" s="9">
        <f t="shared" si="3"/>
        <v>0.551724137931034</v>
      </c>
      <c r="F12" s="9">
        <f t="shared" si="4"/>
        <v>0.533333333333333</v>
      </c>
      <c r="G12" s="9">
        <f t="shared" si="5"/>
        <v>0.516129032258065</v>
      </c>
      <c r="H12" s="9">
        <f t="shared" si="6"/>
        <v>0.5</v>
      </c>
      <c r="I12" s="9">
        <f t="shared" si="7"/>
        <v>0.484848484848485</v>
      </c>
      <c r="J12" s="9">
        <f t="shared" si="8"/>
        <v>0.470588235294118</v>
      </c>
      <c r="K12" s="9">
        <f t="shared" si="9"/>
        <v>0.457142857142857</v>
      </c>
      <c r="L12" s="9">
        <f t="shared" si="10"/>
        <v>0.444444444444444</v>
      </c>
    </row>
    <row r="13" spans="2:13">
      <c r="B13">
        <v>70</v>
      </c>
      <c r="C13" s="9">
        <f t="shared" si="1"/>
        <v>0.607142857142857</v>
      </c>
      <c r="D13" s="9">
        <f t="shared" si="2"/>
        <v>0.586206896551724</v>
      </c>
      <c r="E13" s="9">
        <f t="shared" si="3"/>
        <v>0.566666666666667</v>
      </c>
      <c r="F13" s="9">
        <f t="shared" si="4"/>
        <v>0.548387096774194</v>
      </c>
      <c r="G13" s="9">
        <f t="shared" si="5"/>
        <v>0.53125</v>
      </c>
      <c r="H13" s="9">
        <f t="shared" si="6"/>
        <v>0.515151515151515</v>
      </c>
      <c r="I13" s="9">
        <f t="shared" si="7"/>
        <v>0.5</v>
      </c>
      <c r="J13" s="9">
        <f t="shared" si="8"/>
        <v>0.485714285714286</v>
      </c>
      <c r="K13" s="9">
        <f t="shared" si="9"/>
        <v>0.472222222222222</v>
      </c>
      <c r="L13" s="9">
        <f t="shared" si="10"/>
        <v>0.459459459459459</v>
      </c>
      <c r="M13" s="9">
        <f>1-M$6/(M$6+5*$B13+500)</f>
        <v>0.474860335195531</v>
      </c>
    </row>
    <row r="14" spans="2:12">
      <c r="B14">
        <v>80</v>
      </c>
      <c r="C14" s="9">
        <f t="shared" si="1"/>
        <v>0.620689655172414</v>
      </c>
      <c r="D14" s="9">
        <f t="shared" si="2"/>
        <v>0.6</v>
      </c>
      <c r="E14" s="9">
        <f t="shared" si="3"/>
        <v>0.580645161290323</v>
      </c>
      <c r="F14" s="9">
        <f t="shared" si="4"/>
        <v>0.5625</v>
      </c>
      <c r="G14" s="9">
        <f t="shared" si="5"/>
        <v>0.545454545454545</v>
      </c>
      <c r="H14" s="9">
        <f t="shared" si="6"/>
        <v>0.529411764705882</v>
      </c>
      <c r="I14" s="9">
        <f t="shared" si="7"/>
        <v>0.514285714285714</v>
      </c>
      <c r="J14" s="9">
        <f t="shared" si="8"/>
        <v>0.5</v>
      </c>
      <c r="K14" s="9">
        <f t="shared" si="9"/>
        <v>0.486486486486487</v>
      </c>
      <c r="L14" s="9">
        <f t="shared" si="10"/>
        <v>0.473684210526316</v>
      </c>
    </row>
    <row r="15" spans="2:12">
      <c r="B15">
        <v>90</v>
      </c>
      <c r="C15" s="9">
        <f t="shared" si="1"/>
        <v>0.633333333333333</v>
      </c>
      <c r="D15" s="9">
        <f t="shared" si="2"/>
        <v>0.612903225806452</v>
      </c>
      <c r="E15" s="9">
        <f t="shared" si="3"/>
        <v>0.59375</v>
      </c>
      <c r="F15" s="9">
        <f t="shared" si="4"/>
        <v>0.575757575757576</v>
      </c>
      <c r="G15" s="9">
        <f t="shared" si="5"/>
        <v>0.558823529411765</v>
      </c>
      <c r="H15" s="9">
        <f t="shared" si="6"/>
        <v>0.542857142857143</v>
      </c>
      <c r="I15" s="9">
        <f t="shared" si="7"/>
        <v>0.527777777777778</v>
      </c>
      <c r="J15" s="9">
        <f t="shared" si="8"/>
        <v>0.513513513513513</v>
      </c>
      <c r="K15" s="9">
        <f t="shared" si="9"/>
        <v>0.5</v>
      </c>
      <c r="L15" s="9">
        <f t="shared" si="10"/>
        <v>0.487179487179487</v>
      </c>
    </row>
    <row r="17" spans="2:2">
      <c r="B17">
        <v>70</v>
      </c>
    </row>
    <row r="22" spans="1:2">
      <c r="A22" t="s">
        <v>1018</v>
      </c>
      <c r="B22" s="9">
        <f>M13</f>
        <v>0.474860335195531</v>
      </c>
    </row>
    <row r="23" spans="1:2">
      <c r="A23" t="s">
        <v>16</v>
      </c>
      <c r="B23">
        <v>900</v>
      </c>
    </row>
    <row r="24" spans="1:2">
      <c r="A24" t="s">
        <v>599</v>
      </c>
      <c r="B24" s="11">
        <v>0.204</v>
      </c>
    </row>
    <row r="25" spans="1:2">
      <c r="A25" t="s">
        <v>780</v>
      </c>
      <c r="B25">
        <f>B23*B24*$M$13</f>
        <v>87.1843575418994</v>
      </c>
    </row>
  </sheetData>
  <pageMargins left="0.75" right="0.75" top="1" bottom="1" header="0.5" footer="0.5"/>
  <pageSetup paperSize="9" orientation="portrait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10"/>
  <dimension ref="B4:P47"/>
  <sheetViews>
    <sheetView workbookViewId="0">
      <selection activeCell="R35" sqref="R35"/>
    </sheetView>
  </sheetViews>
  <sheetFormatPr defaultColWidth="9" defaultRowHeight="13.5"/>
  <cols>
    <col min="7" max="7" width="12.875" customWidth="1"/>
    <col min="8" max="11" width="12.625"/>
    <col min="13" max="13" width="10.875" customWidth="1"/>
    <col min="14" max="14" width="12.625"/>
    <col min="16" max="16" width="12.625"/>
  </cols>
  <sheetData>
    <row r="4" spans="7:14">
      <c r="G4" t="s">
        <v>59</v>
      </c>
      <c r="H4">
        <v>931</v>
      </c>
      <c r="I4">
        <v>931</v>
      </c>
      <c r="M4" t="s">
        <v>59</v>
      </c>
      <c r="N4">
        <v>931</v>
      </c>
    </row>
    <row r="5" spans="7:16">
      <c r="G5" t="s">
        <v>1019</v>
      </c>
      <c r="H5">
        <v>1403</v>
      </c>
      <c r="I5">
        <v>1230</v>
      </c>
      <c r="M5" t="s">
        <v>1019</v>
      </c>
      <c r="N5">
        <v>1403</v>
      </c>
      <c r="P5">
        <f>N4+N5</f>
        <v>2334</v>
      </c>
    </row>
    <row r="6" spans="2:14">
      <c r="B6" t="s">
        <v>14</v>
      </c>
      <c r="C6">
        <v>94</v>
      </c>
      <c r="D6">
        <v>87</v>
      </c>
      <c r="G6" t="s">
        <v>8</v>
      </c>
      <c r="H6" s="9">
        <v>0.856</v>
      </c>
      <c r="I6" s="9">
        <v>0.954</v>
      </c>
      <c r="J6" s="9"/>
      <c r="K6" s="9"/>
      <c r="M6" t="s">
        <v>8</v>
      </c>
      <c r="N6" s="9">
        <v>0.942</v>
      </c>
    </row>
    <row r="7" spans="2:14">
      <c r="B7" t="s">
        <v>1020</v>
      </c>
      <c r="C7">
        <v>200</v>
      </c>
      <c r="D7">
        <v>212</v>
      </c>
      <c r="G7" t="s">
        <v>15</v>
      </c>
      <c r="H7" s="9">
        <v>2.071</v>
      </c>
      <c r="I7" s="9">
        <v>2.04</v>
      </c>
      <c r="J7" s="9"/>
      <c r="K7" s="9"/>
      <c r="M7" t="s">
        <v>15</v>
      </c>
      <c r="N7" s="9">
        <v>2.055</v>
      </c>
    </row>
    <row r="8" spans="2:14">
      <c r="B8" t="s">
        <v>61</v>
      </c>
      <c r="C8">
        <f>1*(1+C6*C7)</f>
        <v>18801</v>
      </c>
      <c r="D8">
        <f>1*(1+D6*D7)</f>
        <v>18445</v>
      </c>
      <c r="G8" t="s">
        <v>25</v>
      </c>
      <c r="H8" s="9">
        <v>0.466</v>
      </c>
      <c r="I8" s="9">
        <v>0.466</v>
      </c>
      <c r="J8" s="9"/>
      <c r="K8" s="9"/>
      <c r="M8" t="s">
        <v>25</v>
      </c>
      <c r="N8" s="9">
        <v>0.466</v>
      </c>
    </row>
    <row r="9" spans="6:14">
      <c r="F9" t="s">
        <v>306</v>
      </c>
      <c r="G9" t="s">
        <v>25</v>
      </c>
      <c r="H9" s="9">
        <v>0.2</v>
      </c>
      <c r="I9" s="9">
        <v>0.2</v>
      </c>
      <c r="J9" s="9"/>
      <c r="K9" s="9"/>
      <c r="N9" s="9"/>
    </row>
    <row r="10" spans="7:14">
      <c r="G10" t="s">
        <v>12</v>
      </c>
      <c r="H10" s="10">
        <v>140</v>
      </c>
      <c r="I10" s="10">
        <v>140</v>
      </c>
      <c r="J10" s="9"/>
      <c r="K10" s="9"/>
      <c r="N10" s="9"/>
    </row>
    <row r="12" spans="7:7">
      <c r="G12" t="s">
        <v>1021</v>
      </c>
    </row>
    <row r="13" spans="7:14">
      <c r="G13" t="s">
        <v>1022</v>
      </c>
      <c r="H13" s="11">
        <v>0.5</v>
      </c>
      <c r="I13" s="11">
        <v>0.5</v>
      </c>
      <c r="J13" s="11"/>
      <c r="K13" s="11"/>
      <c r="N13" s="11">
        <v>0.5</v>
      </c>
    </row>
    <row r="15" spans="7:7">
      <c r="G15" t="s">
        <v>610</v>
      </c>
    </row>
    <row r="16" spans="7:14">
      <c r="G16" t="s">
        <v>1022</v>
      </c>
      <c r="H16" s="11">
        <v>0.4</v>
      </c>
      <c r="I16" s="11">
        <v>0.4</v>
      </c>
      <c r="J16" s="11"/>
      <c r="K16" s="11"/>
      <c r="N16" s="11">
        <v>0.4</v>
      </c>
    </row>
    <row r="18" spans="6:14">
      <c r="F18" t="s">
        <v>863</v>
      </c>
      <c r="G18">
        <v>1</v>
      </c>
      <c r="H18" s="9">
        <f>59.9%*2</f>
        <v>1.198</v>
      </c>
      <c r="I18" s="9">
        <f>59.9%*2</f>
        <v>1.198</v>
      </c>
      <c r="J18" s="9"/>
      <c r="K18" s="9"/>
      <c r="N18" s="9">
        <f>59.9%*2</f>
        <v>1.198</v>
      </c>
    </row>
    <row r="19" spans="7:14">
      <c r="G19">
        <v>2</v>
      </c>
      <c r="H19" s="9">
        <v>1.15</v>
      </c>
      <c r="I19" s="9">
        <v>1.15</v>
      </c>
      <c r="J19" s="9"/>
      <c r="K19" s="9"/>
      <c r="N19" s="9">
        <v>1.15</v>
      </c>
    </row>
    <row r="20" spans="7:14">
      <c r="G20">
        <v>3</v>
      </c>
      <c r="H20" s="9">
        <v>1.495</v>
      </c>
      <c r="I20" s="9">
        <v>1.495</v>
      </c>
      <c r="J20" s="9"/>
      <c r="K20" s="9"/>
      <c r="N20" s="9">
        <v>1.495</v>
      </c>
    </row>
    <row r="21" spans="7:14">
      <c r="G21">
        <v>4</v>
      </c>
      <c r="H21" s="9">
        <f>78.1%*2</f>
        <v>1.562</v>
      </c>
      <c r="I21" s="9">
        <f>78.1%*2</f>
        <v>1.562</v>
      </c>
      <c r="J21" s="9"/>
      <c r="K21" s="9"/>
      <c r="N21" s="9">
        <f>78.1%*2</f>
        <v>1.562</v>
      </c>
    </row>
    <row r="22" spans="7:14">
      <c r="G22">
        <v>5</v>
      </c>
      <c r="H22" s="9">
        <v>1.78</v>
      </c>
      <c r="I22" s="9">
        <v>1.78</v>
      </c>
      <c r="J22" s="9"/>
      <c r="K22" s="9"/>
      <c r="N22" s="9">
        <v>1.78</v>
      </c>
    </row>
    <row r="23" spans="7:14">
      <c r="G23" t="s">
        <v>829</v>
      </c>
      <c r="H23" s="9">
        <f>AVERAGEA(H18:H22)</f>
        <v>1.437</v>
      </c>
      <c r="I23" s="9">
        <f>AVERAGEA(I18:I22)</f>
        <v>1.437</v>
      </c>
      <c r="J23" s="9"/>
      <c r="K23" s="9"/>
      <c r="N23" s="9">
        <f>AVERAGEA(N18:N22)</f>
        <v>1.437</v>
      </c>
    </row>
    <row r="25" spans="7:14">
      <c r="G25" t="s">
        <v>1023</v>
      </c>
      <c r="M25" t="s">
        <v>1024</v>
      </c>
      <c r="N25">
        <f>191+674</f>
        <v>865</v>
      </c>
    </row>
    <row r="26" spans="7:14">
      <c r="G26" t="s">
        <v>23</v>
      </c>
      <c r="H26">
        <f>2717</f>
        <v>2717</v>
      </c>
      <c r="I26">
        <f>2717</f>
        <v>2717</v>
      </c>
      <c r="M26" t="s">
        <v>16</v>
      </c>
      <c r="N26" s="11">
        <f>112%+20%</f>
        <v>1.32</v>
      </c>
    </row>
    <row r="27" spans="7:14">
      <c r="G27" t="s">
        <v>23</v>
      </c>
      <c r="H27" s="11">
        <f>64%+7.5%</f>
        <v>0.715</v>
      </c>
      <c r="I27" s="11">
        <f>64%+7.5%</f>
        <v>0.715</v>
      </c>
      <c r="J27" s="11"/>
      <c r="K27" s="11"/>
      <c r="M27" t="s">
        <v>45</v>
      </c>
      <c r="N27">
        <f>N25*N26</f>
        <v>1141.8</v>
      </c>
    </row>
    <row r="28" spans="8:9">
      <c r="H28">
        <f>H26*H27</f>
        <v>1942.655</v>
      </c>
      <c r="I28">
        <f>I26*I27</f>
        <v>1942.655</v>
      </c>
    </row>
    <row r="29" spans="13:14">
      <c r="M29" t="s">
        <v>1025</v>
      </c>
      <c r="N29" s="11">
        <v>0.25</v>
      </c>
    </row>
    <row r="30" spans="7:14">
      <c r="G30" t="s">
        <v>1026</v>
      </c>
      <c r="M30" t="s">
        <v>16</v>
      </c>
      <c r="N30">
        <f>N29*N4</f>
        <v>232.75</v>
      </c>
    </row>
    <row r="31" spans="7:11">
      <c r="G31" t="s">
        <v>1022</v>
      </c>
      <c r="H31" s="11">
        <v>0.15</v>
      </c>
      <c r="I31" s="11">
        <v>0.15</v>
      </c>
      <c r="J31" s="11"/>
      <c r="K31" s="11"/>
    </row>
    <row r="32" spans="13:14">
      <c r="M32" t="s">
        <v>1027</v>
      </c>
      <c r="N32" s="11">
        <v>0.2</v>
      </c>
    </row>
    <row r="33" spans="13:16">
      <c r="M33" t="s">
        <v>16</v>
      </c>
      <c r="N33">
        <f>N32*N4</f>
        <v>186.2</v>
      </c>
      <c r="P33">
        <f>N33+N30+N27</f>
        <v>1560.75</v>
      </c>
    </row>
    <row r="34" spans="7:9">
      <c r="G34" t="s">
        <v>563</v>
      </c>
      <c r="H34">
        <f>(H4+H5)</f>
        <v>2334</v>
      </c>
      <c r="I34">
        <f>(I4+I5)</f>
        <v>2161</v>
      </c>
    </row>
    <row r="35" spans="7:14">
      <c r="G35" t="s">
        <v>1028</v>
      </c>
      <c r="H35">
        <f>H13+H16+H31</f>
        <v>1.05</v>
      </c>
      <c r="I35">
        <f>I13+I16+I31</f>
        <v>1.05</v>
      </c>
      <c r="M35" t="s">
        <v>16</v>
      </c>
      <c r="N35">
        <f>(N4+N5)+N27+N30+N33</f>
        <v>3894.75</v>
      </c>
    </row>
    <row r="36" spans="13:16">
      <c r="M36" t="s">
        <v>1028</v>
      </c>
      <c r="N36">
        <f>N13+N16</f>
        <v>0.9</v>
      </c>
      <c r="P36">
        <f>P33/P5</f>
        <v>0.668701799485861</v>
      </c>
    </row>
    <row r="37" spans="6:11">
      <c r="F37" t="s">
        <v>1029</v>
      </c>
      <c r="G37" t="s">
        <v>1030</v>
      </c>
      <c r="H37" s="11">
        <v>0.15</v>
      </c>
      <c r="I37" s="11">
        <v>0.15</v>
      </c>
      <c r="J37" s="11"/>
      <c r="K37" s="11"/>
    </row>
    <row r="40" spans="7:9">
      <c r="G40" t="s">
        <v>1031</v>
      </c>
      <c r="H40">
        <f>H34*(1+H6*H7)*H23*(1+H8+H9)</f>
        <v>15493.4238961817</v>
      </c>
      <c r="I40">
        <f>I34*(1+I6*I7)*I23*(1+I8+I9)</f>
        <v>15242.0317128139</v>
      </c>
    </row>
    <row r="43" spans="7:16">
      <c r="G43" t="s">
        <v>1032</v>
      </c>
      <c r="H43">
        <f>(H34*H23+H28)*(1+H35)*(1+H37)*(1+H6*H7)*(1+H8+H9)</f>
        <v>57681.9225292283</v>
      </c>
      <c r="I43">
        <f>(I34*I23+I28)*(1+I35)*(1+I37)*(1+I6*I7)*(1+I8+I9)</f>
        <v>58412.178799569</v>
      </c>
      <c r="N43">
        <f>N35*(1+N36)*N23</f>
        <v>10633.835925</v>
      </c>
      <c r="P43">
        <f>H43/N43</f>
        <v>5.42437582600075</v>
      </c>
    </row>
    <row r="47" spans="8:14">
      <c r="H47">
        <f>H34*H23+H28</f>
        <v>5296.613</v>
      </c>
      <c r="N47">
        <f>N35*N23</f>
        <v>5596.75575</v>
      </c>
    </row>
  </sheetData>
  <pageMargins left="0.75" right="0.75" top="1" bottom="1" header="0.5" footer="0.5"/>
  <pageSetup paperSize="9" orientation="portrait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16"/>
  <dimension ref="A1:K113"/>
  <sheetViews>
    <sheetView zoomScale="115" zoomScaleNormal="115" workbookViewId="0">
      <selection activeCell="J24" sqref="J24"/>
    </sheetView>
  </sheetViews>
  <sheetFormatPr defaultColWidth="9" defaultRowHeight="16.5"/>
  <cols>
    <col min="1" max="16384" width="9" style="7"/>
  </cols>
  <sheetData>
    <row r="1" spans="1:9">
      <c r="A1" s="7" t="s">
        <v>1033</v>
      </c>
      <c r="I1" s="7" t="s">
        <v>1034</v>
      </c>
    </row>
    <row r="2" ht="17.25" spans="1:10">
      <c r="A2" s="8" t="s">
        <v>1035</v>
      </c>
      <c r="J2" s="7" t="s">
        <v>1036</v>
      </c>
    </row>
    <row r="3" ht="17.25" spans="2:2">
      <c r="B3" s="8" t="s">
        <v>1037</v>
      </c>
    </row>
    <row r="4" ht="17.25" spans="2:10">
      <c r="B4" s="8" t="s">
        <v>1038</v>
      </c>
      <c r="J4" s="7" t="s">
        <v>1039</v>
      </c>
    </row>
    <row r="5" ht="17.25" spans="2:10">
      <c r="B5" s="8" t="s">
        <v>1037</v>
      </c>
      <c r="J5" s="7" t="s">
        <v>1040</v>
      </c>
    </row>
    <row r="6" ht="17.25" spans="2:10">
      <c r="B6" s="8" t="s">
        <v>1041</v>
      </c>
      <c r="J6" s="7" t="s">
        <v>1042</v>
      </c>
    </row>
    <row r="7" spans="10:10">
      <c r="J7" s="7" t="s">
        <v>1043</v>
      </c>
    </row>
    <row r="8" ht="17.25" spans="2:10">
      <c r="B8" s="8" t="s">
        <v>1044</v>
      </c>
      <c r="J8" s="7" t="s">
        <v>1045</v>
      </c>
    </row>
    <row r="9" ht="17.25" spans="2:2">
      <c r="B9" s="8" t="s">
        <v>1046</v>
      </c>
    </row>
    <row r="10" ht="17.25" spans="2:10">
      <c r="B10" s="8" t="s">
        <v>1047</v>
      </c>
      <c r="J10" s="7" t="s">
        <v>1048</v>
      </c>
    </row>
    <row r="11" ht="17.25" spans="2:10">
      <c r="B11" s="8" t="s">
        <v>1049</v>
      </c>
      <c r="J11" s="7" t="s">
        <v>1050</v>
      </c>
    </row>
    <row r="12" spans="10:10">
      <c r="J12" s="7" t="s">
        <v>1051</v>
      </c>
    </row>
    <row r="13" spans="10:10">
      <c r="J13" s="7" t="s">
        <v>1052</v>
      </c>
    </row>
    <row r="14" ht="17.25" spans="1:1">
      <c r="A14" s="8" t="s">
        <v>1053</v>
      </c>
    </row>
    <row r="15" ht="17.25" spans="2:10">
      <c r="B15" s="8" t="s">
        <v>1054</v>
      </c>
      <c r="J15" s="7" t="s">
        <v>1053</v>
      </c>
    </row>
    <row r="16" ht="17.25" spans="2:2">
      <c r="B16" s="8" t="s">
        <v>1055</v>
      </c>
    </row>
    <row r="17" ht="17.25" spans="2:10">
      <c r="B17" s="8" t="s">
        <v>1056</v>
      </c>
      <c r="J17" s="7" t="s">
        <v>1057</v>
      </c>
    </row>
    <row r="18" ht="17.25" spans="2:10">
      <c r="B18" s="8" t="s">
        <v>1058</v>
      </c>
      <c r="J18" s="7" t="s">
        <v>1059</v>
      </c>
    </row>
    <row r="19" spans="10:10">
      <c r="J19" s="7" t="s">
        <v>1057</v>
      </c>
    </row>
    <row r="20" ht="17.25" spans="2:10">
      <c r="B20" s="8" t="s">
        <v>1060</v>
      </c>
      <c r="J20" s="7" t="s">
        <v>1061</v>
      </c>
    </row>
    <row r="21" ht="17.25" spans="2:2">
      <c r="B21" s="8" t="s">
        <v>1062</v>
      </c>
    </row>
    <row r="22" ht="17.25" spans="2:10">
      <c r="B22" s="8" t="s">
        <v>1063</v>
      </c>
      <c r="J22" s="7" t="s">
        <v>1064</v>
      </c>
    </row>
    <row r="23" ht="17.25" spans="2:10">
      <c r="B23" s="8" t="s">
        <v>1065</v>
      </c>
      <c r="J23" s="7" t="s">
        <v>1066</v>
      </c>
    </row>
    <row r="24" spans="10:11">
      <c r="J24" s="7" t="s">
        <v>1067</v>
      </c>
      <c r="K24" s="7" t="s">
        <v>1068</v>
      </c>
    </row>
    <row r="25" ht="17.25" spans="2:10">
      <c r="B25" s="8" t="s">
        <v>1069</v>
      </c>
      <c r="J25" s="7" t="s">
        <v>1070</v>
      </c>
    </row>
    <row r="26" ht="17.25" spans="2:2">
      <c r="B26" s="8" t="s">
        <v>1071</v>
      </c>
    </row>
    <row r="27" ht="17.25" spans="2:10">
      <c r="B27" s="8" t="s">
        <v>1072</v>
      </c>
      <c r="J27" s="7" t="s">
        <v>1057</v>
      </c>
    </row>
    <row r="28" ht="17.25" spans="2:10">
      <c r="B28" s="8" t="s">
        <v>1073</v>
      </c>
      <c r="J28" s="7" t="s">
        <v>1059</v>
      </c>
    </row>
    <row r="29" ht="17.25" spans="2:10">
      <c r="B29" s="8" t="s">
        <v>1069</v>
      </c>
      <c r="J29" s="7" t="s">
        <v>1057</v>
      </c>
    </row>
    <row r="30" ht="17.25" spans="2:10">
      <c r="B30" s="8" t="s">
        <v>1071</v>
      </c>
      <c r="J30" s="7" t="s">
        <v>1074</v>
      </c>
    </row>
    <row r="31" ht="17.25" spans="2:2">
      <c r="B31" s="8" t="s">
        <v>1075</v>
      </c>
    </row>
    <row r="32" ht="17.25" spans="2:10">
      <c r="B32" s="8" t="s">
        <v>1076</v>
      </c>
      <c r="J32" s="7" t="s">
        <v>1077</v>
      </c>
    </row>
    <row r="33" spans="10:10">
      <c r="J33" s="7" t="s">
        <v>1078</v>
      </c>
    </row>
    <row r="34" ht="17.25" spans="2:10">
      <c r="B34" s="8" t="s">
        <v>1079</v>
      </c>
      <c r="J34" s="7" t="s">
        <v>1080</v>
      </c>
    </row>
    <row r="35" ht="17.25" spans="2:10">
      <c r="B35" s="8" t="s">
        <v>1081</v>
      </c>
      <c r="J35" s="7" t="s">
        <v>1082</v>
      </c>
    </row>
    <row r="36" ht="17.25" spans="2:2">
      <c r="B36" s="8" t="s">
        <v>1083</v>
      </c>
    </row>
    <row r="37" ht="17.25" spans="2:10">
      <c r="B37" s="8" t="s">
        <v>1084</v>
      </c>
      <c r="J37" s="7" t="s">
        <v>1085</v>
      </c>
    </row>
    <row r="39" ht="17.25" spans="2:10">
      <c r="B39" s="8" t="s">
        <v>1086</v>
      </c>
      <c r="J39" s="7" t="s">
        <v>1087</v>
      </c>
    </row>
    <row r="40" ht="17.25" spans="2:10">
      <c r="B40" s="8" t="s">
        <v>1081</v>
      </c>
      <c r="J40" s="7" t="s">
        <v>1042</v>
      </c>
    </row>
    <row r="41" ht="17.25" spans="2:10">
      <c r="B41" s="8" t="s">
        <v>1088</v>
      </c>
      <c r="J41" s="7" t="s">
        <v>1043</v>
      </c>
    </row>
    <row r="42" ht="17.25" spans="2:10">
      <c r="B42" s="8" t="s">
        <v>1089</v>
      </c>
      <c r="J42" s="7" t="s">
        <v>1045</v>
      </c>
    </row>
    <row r="43" ht="17.25" spans="2:2">
      <c r="B43" s="8" t="s">
        <v>1090</v>
      </c>
    </row>
    <row r="44" spans="10:10">
      <c r="J44" s="7" t="s">
        <v>1048</v>
      </c>
    </row>
    <row r="45" ht="17.25" spans="2:10">
      <c r="B45" s="8" t="s">
        <v>1044</v>
      </c>
      <c r="J45" s="7" t="s">
        <v>1050</v>
      </c>
    </row>
    <row r="46" ht="17.25" spans="2:10">
      <c r="B46" s="8" t="s">
        <v>1046</v>
      </c>
      <c r="J46" s="7" t="s">
        <v>1051</v>
      </c>
    </row>
    <row r="47" ht="17.25" spans="2:10">
      <c r="B47" s="8" t="s">
        <v>1047</v>
      </c>
      <c r="J47" s="7" t="s">
        <v>1091</v>
      </c>
    </row>
    <row r="48" ht="17.25" spans="2:2">
      <c r="B48" s="8" t="s">
        <v>1049</v>
      </c>
    </row>
    <row r="49" spans="10:10">
      <c r="J49" s="7" t="s">
        <v>1092</v>
      </c>
    </row>
    <row r="51" spans="10:10">
      <c r="J51" s="7" t="s">
        <v>1093</v>
      </c>
    </row>
    <row r="52" spans="10:10">
      <c r="J52" s="7" t="s">
        <v>1094</v>
      </c>
    </row>
    <row r="53" spans="10:10">
      <c r="J53" s="7" t="s">
        <v>1095</v>
      </c>
    </row>
    <row r="54" spans="10:10">
      <c r="J54" s="7" t="s">
        <v>1096</v>
      </c>
    </row>
    <row r="56" spans="10:10">
      <c r="J56" s="7" t="s">
        <v>1097</v>
      </c>
    </row>
    <row r="57" spans="10:10">
      <c r="J57" s="7" t="s">
        <v>1098</v>
      </c>
    </row>
    <row r="58" spans="10:10">
      <c r="J58" s="7" t="s">
        <v>1099</v>
      </c>
    </row>
    <row r="59" spans="10:10">
      <c r="J59" s="7" t="s">
        <v>1100</v>
      </c>
    </row>
    <row r="61" spans="10:10">
      <c r="J61" s="7" t="s">
        <v>1101</v>
      </c>
    </row>
    <row r="63" spans="10:10">
      <c r="J63" s="7" t="s">
        <v>1102</v>
      </c>
    </row>
    <row r="64" spans="10:10">
      <c r="J64" s="7" t="s">
        <v>1103</v>
      </c>
    </row>
    <row r="65" spans="10:10">
      <c r="J65" s="7" t="s">
        <v>1104</v>
      </c>
    </row>
    <row r="66" spans="10:10">
      <c r="J66" s="7" t="s">
        <v>1105</v>
      </c>
    </row>
    <row r="68" spans="10:10">
      <c r="J68" s="7" t="s">
        <v>1053</v>
      </c>
    </row>
    <row r="70" spans="10:10">
      <c r="J70" s="7" t="s">
        <v>1057</v>
      </c>
    </row>
    <row r="71" spans="10:10">
      <c r="J71" s="7" t="s">
        <v>1106</v>
      </c>
    </row>
    <row r="72" spans="10:10">
      <c r="J72" s="7" t="s">
        <v>1057</v>
      </c>
    </row>
    <row r="73" spans="10:10">
      <c r="J73" s="7" t="s">
        <v>1107</v>
      </c>
    </row>
    <row r="75" spans="10:10">
      <c r="J75" s="7" t="s">
        <v>1108</v>
      </c>
    </row>
    <row r="76" spans="10:10">
      <c r="J76" s="7" t="s">
        <v>1109</v>
      </c>
    </row>
    <row r="77" spans="10:10">
      <c r="J77" s="7" t="s">
        <v>1110</v>
      </c>
    </row>
    <row r="78" spans="10:10">
      <c r="J78" s="7" t="s">
        <v>1082</v>
      </c>
    </row>
    <row r="80" spans="10:10">
      <c r="J80" s="7" t="s">
        <v>1085</v>
      </c>
    </row>
    <row r="82" spans="10:10">
      <c r="J82" s="7" t="s">
        <v>1087</v>
      </c>
    </row>
    <row r="83" spans="10:10">
      <c r="J83" s="7" t="s">
        <v>1042</v>
      </c>
    </row>
    <row r="84" spans="10:10">
      <c r="J84" s="7" t="s">
        <v>1043</v>
      </c>
    </row>
    <row r="85" spans="10:10">
      <c r="J85" s="7" t="s">
        <v>1045</v>
      </c>
    </row>
    <row r="87" spans="10:10">
      <c r="J87" s="7" t="s">
        <v>1048</v>
      </c>
    </row>
    <row r="88" spans="10:10">
      <c r="J88" s="7" t="s">
        <v>1111</v>
      </c>
    </row>
    <row r="89" spans="10:10">
      <c r="J89" s="7" t="s">
        <v>1051</v>
      </c>
    </row>
    <row r="90" spans="10:10">
      <c r="J90" s="7" t="s">
        <v>1112</v>
      </c>
    </row>
    <row r="92" spans="10:10">
      <c r="J92" s="7" t="s">
        <v>1113</v>
      </c>
    </row>
    <row r="94" spans="10:10">
      <c r="J94" s="7" t="s">
        <v>1114</v>
      </c>
    </row>
    <row r="95" spans="10:10">
      <c r="J95" s="7" t="s">
        <v>1115</v>
      </c>
    </row>
    <row r="96" spans="10:10">
      <c r="J96" s="7" t="s">
        <v>1114</v>
      </c>
    </row>
    <row r="97" spans="10:10">
      <c r="J97" s="7" t="s">
        <v>1116</v>
      </c>
    </row>
    <row r="99" spans="10:10">
      <c r="J99" s="7" t="s">
        <v>1117</v>
      </c>
    </row>
    <row r="100" spans="10:10">
      <c r="J100" s="7" t="s">
        <v>1118</v>
      </c>
    </row>
    <row r="101" spans="10:10">
      <c r="J101" s="7" t="s">
        <v>1119</v>
      </c>
    </row>
    <row r="102" spans="10:10">
      <c r="J102" s="7" t="s">
        <v>1120</v>
      </c>
    </row>
    <row r="104" spans="10:10">
      <c r="J104" s="7" t="s">
        <v>1121</v>
      </c>
    </row>
    <row r="105" spans="10:10">
      <c r="J105" s="7" t="s">
        <v>1122</v>
      </c>
    </row>
    <row r="106" spans="10:10">
      <c r="J106" s="7" t="s">
        <v>1123</v>
      </c>
    </row>
    <row r="107" spans="10:10">
      <c r="J107" s="7" t="s">
        <v>1124</v>
      </c>
    </row>
    <row r="109" spans="10:10">
      <c r="J109" s="7" t="s">
        <v>1125</v>
      </c>
    </row>
    <row r="110" spans="10:10">
      <c r="J110" s="7" t="s">
        <v>1126</v>
      </c>
    </row>
    <row r="111" spans="10:10">
      <c r="J111" s="7" t="s">
        <v>1119</v>
      </c>
    </row>
    <row r="112" spans="10:10">
      <c r="J112" s="7" t="s">
        <v>1127</v>
      </c>
    </row>
    <row r="113" spans="10:10">
      <c r="J113" s="7" t="s">
        <v>1068</v>
      </c>
    </row>
  </sheetData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9"/>
  <dimension ref="A1:T65"/>
  <sheetViews>
    <sheetView zoomScale="85" zoomScaleNormal="85" workbookViewId="0">
      <pane xSplit="5" ySplit="2" topLeftCell="F3" activePane="bottomRight" state="frozen"/>
      <selection/>
      <selection pane="topRight"/>
      <selection pane="bottomLeft"/>
      <selection pane="bottomRight" activeCell="G41" sqref="G41"/>
    </sheetView>
  </sheetViews>
  <sheetFormatPr defaultColWidth="9" defaultRowHeight="16.5"/>
  <cols>
    <col min="1" max="1" width="9" style="1"/>
    <col min="2" max="2" width="5.125" style="1" customWidth="1"/>
    <col min="3" max="4" width="10.875" style="1" customWidth="1"/>
    <col min="5" max="5" width="14.5416666666667" style="1" customWidth="1"/>
    <col min="6" max="9" width="9" style="1"/>
    <col min="10" max="10" width="32.625" style="1" customWidth="1"/>
    <col min="11" max="11" width="20.25" style="1" customWidth="1"/>
    <col min="12" max="14" width="10.875" style="1" customWidth="1"/>
    <col min="15" max="15" width="15.1416666666667" style="1" customWidth="1"/>
    <col min="16" max="18" width="9" style="1"/>
    <col min="19" max="19" width="11.5" style="1" customWidth="1"/>
    <col min="20" max="20" width="14.125" style="1"/>
    <col min="21" max="16384" width="9" style="1"/>
  </cols>
  <sheetData>
    <row r="1" spans="1:20">
      <c r="A1" s="1" t="s">
        <v>1128</v>
      </c>
      <c r="B1" s="1" t="s">
        <v>1129</v>
      </c>
      <c r="C1" s="1" t="s">
        <v>512</v>
      </c>
      <c r="D1" s="1" t="s">
        <v>1130</v>
      </c>
      <c r="E1" s="1" t="s">
        <v>1131</v>
      </c>
      <c r="F1" s="1" t="s">
        <v>417</v>
      </c>
      <c r="G1" s="1" t="s">
        <v>894</v>
      </c>
      <c r="H1" s="1" t="s">
        <v>567</v>
      </c>
      <c r="I1" s="1" t="s">
        <v>677</v>
      </c>
      <c r="J1" s="1" t="s">
        <v>1132</v>
      </c>
      <c r="K1" s="1" t="s">
        <v>1133</v>
      </c>
      <c r="L1" s="1" t="s">
        <v>1134</v>
      </c>
      <c r="M1" s="1" t="s">
        <v>1135</v>
      </c>
      <c r="N1" s="1" t="s">
        <v>104</v>
      </c>
      <c r="O1" s="1" t="s">
        <v>1136</v>
      </c>
      <c r="S1" s="1" t="s">
        <v>1137</v>
      </c>
      <c r="T1" s="1" t="s">
        <v>1138</v>
      </c>
    </row>
    <row r="2" hidden="1" spans="1:20">
      <c r="A2" s="1">
        <v>1</v>
      </c>
      <c r="B2" s="1">
        <v>5</v>
      </c>
      <c r="C2" s="1" t="s">
        <v>134</v>
      </c>
      <c r="D2" s="1">
        <v>1</v>
      </c>
      <c r="F2" s="1">
        <v>90</v>
      </c>
      <c r="G2" s="1">
        <v>9</v>
      </c>
      <c r="H2" s="1">
        <v>10</v>
      </c>
      <c r="I2" s="1">
        <v>9</v>
      </c>
      <c r="M2" s="1" t="s">
        <v>1139</v>
      </c>
      <c r="N2" s="6" t="s">
        <v>1140</v>
      </c>
      <c r="O2" s="1">
        <v>1</v>
      </c>
      <c r="S2" s="1">
        <f>SUM(A:A)+SUM(D:D)</f>
        <v>24</v>
      </c>
      <c r="T2" s="1">
        <f>SUM(E:E)</f>
        <v>8</v>
      </c>
    </row>
    <row r="3" hidden="1" spans="1:15">
      <c r="A3" s="1">
        <v>1</v>
      </c>
      <c r="B3" s="1">
        <v>5</v>
      </c>
      <c r="C3" s="1" t="s">
        <v>170</v>
      </c>
      <c r="D3" s="1">
        <v>0</v>
      </c>
      <c r="F3" s="1">
        <v>90</v>
      </c>
      <c r="G3" s="1">
        <v>9</v>
      </c>
      <c r="H3" s="1">
        <v>9</v>
      </c>
      <c r="I3" s="1">
        <v>9</v>
      </c>
      <c r="M3" s="1" t="s">
        <v>1141</v>
      </c>
      <c r="N3" s="1" t="s">
        <v>1142</v>
      </c>
      <c r="O3" s="1">
        <v>1</v>
      </c>
    </row>
    <row r="4" spans="1:15">
      <c r="A4" s="1">
        <v>1</v>
      </c>
      <c r="B4" s="1">
        <v>5</v>
      </c>
      <c r="C4" s="1" t="s">
        <v>201</v>
      </c>
      <c r="D4" s="1">
        <v>0</v>
      </c>
      <c r="F4" s="1">
        <v>90</v>
      </c>
      <c r="G4" s="1">
        <v>9</v>
      </c>
      <c r="H4" s="1">
        <v>9</v>
      </c>
      <c r="I4" s="1">
        <v>9</v>
      </c>
      <c r="M4" s="1" t="s">
        <v>1143</v>
      </c>
      <c r="N4" s="1" t="s">
        <v>1144</v>
      </c>
      <c r="O4" s="1">
        <v>1</v>
      </c>
    </row>
    <row r="5" hidden="1" spans="1:15">
      <c r="A5" s="1">
        <v>1</v>
      </c>
      <c r="B5" s="1">
        <v>5</v>
      </c>
      <c r="C5" s="1" t="s">
        <v>1145</v>
      </c>
      <c r="D5" s="1">
        <v>0</v>
      </c>
      <c r="F5" s="1">
        <v>90</v>
      </c>
      <c r="G5" s="1">
        <v>9</v>
      </c>
      <c r="H5" s="1">
        <v>9</v>
      </c>
      <c r="I5" s="1">
        <v>9</v>
      </c>
      <c r="M5" s="1" t="s">
        <v>1146</v>
      </c>
      <c r="N5" s="1" t="s">
        <v>1140</v>
      </c>
      <c r="O5" s="1">
        <v>1</v>
      </c>
    </row>
    <row r="6" hidden="1" spans="1:15">
      <c r="A6" s="1">
        <v>1</v>
      </c>
      <c r="B6" s="1">
        <v>5</v>
      </c>
      <c r="C6" s="1" t="s">
        <v>808</v>
      </c>
      <c r="D6" s="1">
        <v>0</v>
      </c>
      <c r="E6" s="1">
        <v>1</v>
      </c>
      <c r="F6" s="1">
        <v>90</v>
      </c>
      <c r="G6" s="1">
        <v>9</v>
      </c>
      <c r="H6" s="1">
        <v>10</v>
      </c>
      <c r="I6" s="1">
        <v>10</v>
      </c>
      <c r="M6" s="1" t="s">
        <v>1146</v>
      </c>
      <c r="N6" s="1" t="s">
        <v>1140</v>
      </c>
      <c r="O6" s="1">
        <v>1</v>
      </c>
    </row>
    <row r="7" hidden="1" spans="1:15">
      <c r="A7" s="1">
        <v>1</v>
      </c>
      <c r="B7" s="1">
        <v>5</v>
      </c>
      <c r="C7" s="1" t="s">
        <v>254</v>
      </c>
      <c r="D7" s="1">
        <v>1</v>
      </c>
      <c r="E7" s="1">
        <v>1</v>
      </c>
      <c r="F7" s="1">
        <v>90</v>
      </c>
      <c r="G7" s="1">
        <v>9</v>
      </c>
      <c r="H7" s="1">
        <v>10</v>
      </c>
      <c r="I7" s="1">
        <v>10</v>
      </c>
      <c r="M7" s="1" t="s">
        <v>1147</v>
      </c>
      <c r="N7" s="1" t="s">
        <v>1142</v>
      </c>
      <c r="O7" s="1">
        <v>1</v>
      </c>
    </row>
    <row r="8" spans="1:15">
      <c r="A8" s="1">
        <v>1</v>
      </c>
      <c r="B8" s="1">
        <v>5</v>
      </c>
      <c r="C8" s="1" t="s">
        <v>223</v>
      </c>
      <c r="D8" s="1">
        <v>0</v>
      </c>
      <c r="E8" s="1">
        <v>2</v>
      </c>
      <c r="F8" s="1">
        <v>90</v>
      </c>
      <c r="G8" s="1">
        <v>9</v>
      </c>
      <c r="H8" s="1">
        <v>9</v>
      </c>
      <c r="I8" s="1">
        <v>10</v>
      </c>
      <c r="M8" s="1" t="s">
        <v>1143</v>
      </c>
      <c r="N8" s="1" t="s">
        <v>1144</v>
      </c>
      <c r="O8" s="1">
        <v>1</v>
      </c>
    </row>
    <row r="9" spans="1:15">
      <c r="A9" s="1">
        <v>1</v>
      </c>
      <c r="B9" s="1">
        <v>5</v>
      </c>
      <c r="C9" s="1" t="s">
        <v>839</v>
      </c>
      <c r="D9" s="1">
        <v>0</v>
      </c>
      <c r="F9" s="1">
        <v>90</v>
      </c>
      <c r="G9" s="1">
        <v>9</v>
      </c>
      <c r="H9" s="1">
        <v>9</v>
      </c>
      <c r="I9" s="1">
        <v>9</v>
      </c>
      <c r="M9" s="1" t="s">
        <v>1148</v>
      </c>
      <c r="N9" s="1" t="s">
        <v>1144</v>
      </c>
      <c r="O9" s="1">
        <v>1</v>
      </c>
    </row>
    <row r="10" spans="1:15">
      <c r="A10" s="1">
        <v>1</v>
      </c>
      <c r="B10" s="1">
        <v>5</v>
      </c>
      <c r="C10" s="1" t="s">
        <v>177</v>
      </c>
      <c r="D10" s="1">
        <v>0</v>
      </c>
      <c r="E10" s="1">
        <v>1</v>
      </c>
      <c r="F10" s="1">
        <v>90</v>
      </c>
      <c r="G10" s="1">
        <v>10</v>
      </c>
      <c r="H10" s="1">
        <v>10</v>
      </c>
      <c r="I10" s="1">
        <v>9</v>
      </c>
      <c r="M10" s="1" t="s">
        <v>1148</v>
      </c>
      <c r="N10" s="1" t="s">
        <v>1144</v>
      </c>
      <c r="O10" s="1">
        <v>1</v>
      </c>
    </row>
    <row r="11" hidden="1" spans="1:15">
      <c r="A11" s="1">
        <v>1</v>
      </c>
      <c r="B11" s="1">
        <v>5</v>
      </c>
      <c r="C11" s="1" t="s">
        <v>150</v>
      </c>
      <c r="D11" s="1">
        <v>1</v>
      </c>
      <c r="E11" s="1">
        <v>1</v>
      </c>
      <c r="F11" s="1">
        <v>90</v>
      </c>
      <c r="G11" s="1">
        <v>10</v>
      </c>
      <c r="H11" s="1">
        <v>10</v>
      </c>
      <c r="I11" s="1">
        <v>10</v>
      </c>
      <c r="M11" s="1" t="s">
        <v>1141</v>
      </c>
      <c r="N11" s="1" t="s">
        <v>1142</v>
      </c>
      <c r="O11" s="1">
        <v>1</v>
      </c>
    </row>
    <row r="12" spans="1:15">
      <c r="A12" s="1">
        <v>1</v>
      </c>
      <c r="B12" s="1">
        <v>5</v>
      </c>
      <c r="C12" s="1" t="s">
        <v>146</v>
      </c>
      <c r="D12" s="1">
        <v>0</v>
      </c>
      <c r="F12" s="1">
        <v>90</v>
      </c>
      <c r="G12" s="1">
        <v>9</v>
      </c>
      <c r="H12" s="1">
        <v>9</v>
      </c>
      <c r="I12" s="1">
        <v>9</v>
      </c>
      <c r="M12" s="1" t="s">
        <v>1143</v>
      </c>
      <c r="N12" s="1" t="s">
        <v>1144</v>
      </c>
      <c r="O12" s="1">
        <v>1</v>
      </c>
    </row>
    <row r="13" hidden="1" spans="1:15">
      <c r="A13" s="1">
        <v>1</v>
      </c>
      <c r="B13" s="1">
        <v>5</v>
      </c>
      <c r="C13" s="1" t="s">
        <v>125</v>
      </c>
      <c r="D13" s="1">
        <v>0</v>
      </c>
      <c r="F13" s="1">
        <v>90</v>
      </c>
      <c r="G13" s="1">
        <v>9</v>
      </c>
      <c r="H13" s="1">
        <v>9</v>
      </c>
      <c r="I13" s="1">
        <v>9</v>
      </c>
      <c r="M13" s="1" t="s">
        <v>1149</v>
      </c>
      <c r="N13" s="1" t="s">
        <v>1140</v>
      </c>
      <c r="O13" s="1">
        <v>1</v>
      </c>
    </row>
    <row r="14" hidden="1" spans="1:15">
      <c r="A14" s="1">
        <v>1</v>
      </c>
      <c r="B14" s="1">
        <v>5</v>
      </c>
      <c r="C14" s="1" t="s">
        <v>163</v>
      </c>
      <c r="D14" s="1">
        <v>0</v>
      </c>
      <c r="E14" s="1">
        <v>1</v>
      </c>
      <c r="F14" s="1">
        <v>90</v>
      </c>
      <c r="G14" s="1">
        <v>9</v>
      </c>
      <c r="H14" s="1">
        <v>9</v>
      </c>
      <c r="I14" s="1">
        <v>9</v>
      </c>
      <c r="M14" s="1" t="s">
        <v>1150</v>
      </c>
      <c r="N14" s="1" t="s">
        <v>1142</v>
      </c>
      <c r="O14" s="1">
        <v>1</v>
      </c>
    </row>
    <row r="15" hidden="1" spans="1:15">
      <c r="A15" s="1">
        <v>1</v>
      </c>
      <c r="B15" s="1">
        <v>5</v>
      </c>
      <c r="C15" s="1" t="s">
        <v>141</v>
      </c>
      <c r="D15" s="1">
        <v>0</v>
      </c>
      <c r="F15" s="1">
        <v>90</v>
      </c>
      <c r="G15" s="1">
        <v>9</v>
      </c>
      <c r="H15" s="1">
        <v>9</v>
      </c>
      <c r="I15" s="1">
        <v>9</v>
      </c>
      <c r="M15" s="1" t="s">
        <v>1141</v>
      </c>
      <c r="N15" s="1" t="s">
        <v>1142</v>
      </c>
      <c r="O15" s="1">
        <v>1</v>
      </c>
    </row>
    <row r="16" hidden="1" spans="1:15">
      <c r="A16" s="1">
        <v>1</v>
      </c>
      <c r="B16" s="1">
        <v>5</v>
      </c>
      <c r="C16" s="1" t="s">
        <v>1151</v>
      </c>
      <c r="D16" s="1">
        <v>0</v>
      </c>
      <c r="F16" s="1">
        <v>90</v>
      </c>
      <c r="G16" s="1">
        <v>9</v>
      </c>
      <c r="H16" s="1">
        <v>9</v>
      </c>
      <c r="I16" s="1">
        <v>9</v>
      </c>
      <c r="M16" s="1" t="s">
        <v>1152</v>
      </c>
      <c r="N16" s="1" t="s">
        <v>1142</v>
      </c>
      <c r="O16" s="1">
        <v>1</v>
      </c>
    </row>
    <row r="17" hidden="1" spans="1:15">
      <c r="A17" s="5">
        <v>1</v>
      </c>
      <c r="B17" s="5">
        <v>5</v>
      </c>
      <c r="C17" s="5" t="s">
        <v>1153</v>
      </c>
      <c r="D17" s="5">
        <v>0</v>
      </c>
      <c r="E17" s="5"/>
      <c r="F17" s="5">
        <v>90</v>
      </c>
      <c r="G17" s="5">
        <v>9</v>
      </c>
      <c r="H17" s="5">
        <v>9</v>
      </c>
      <c r="I17" s="5">
        <v>9</v>
      </c>
      <c r="J17" s="5"/>
      <c r="K17" s="5"/>
      <c r="L17" s="5"/>
      <c r="M17" s="5" t="s">
        <v>1147</v>
      </c>
      <c r="N17" s="5" t="s">
        <v>1142</v>
      </c>
      <c r="O17" s="1">
        <v>1</v>
      </c>
    </row>
    <row r="18" hidden="1" spans="1:15">
      <c r="A18" s="1">
        <v>1</v>
      </c>
      <c r="B18" s="1">
        <v>5</v>
      </c>
      <c r="C18" s="1" t="s">
        <v>1154</v>
      </c>
      <c r="D18" s="1">
        <v>0</v>
      </c>
      <c r="F18" s="1">
        <v>90</v>
      </c>
      <c r="G18" s="1">
        <v>9</v>
      </c>
      <c r="H18" s="1">
        <v>9</v>
      </c>
      <c r="I18" s="1">
        <v>9</v>
      </c>
      <c r="M18" s="1" t="s">
        <v>1155</v>
      </c>
      <c r="N18" s="1" t="s">
        <v>1140</v>
      </c>
      <c r="O18" s="1">
        <v>1</v>
      </c>
    </row>
    <row r="19" hidden="1" spans="1:15">
      <c r="A19" s="1">
        <v>1</v>
      </c>
      <c r="B19" s="1">
        <v>5</v>
      </c>
      <c r="C19" s="1" t="s">
        <v>249</v>
      </c>
      <c r="D19" s="1">
        <v>0</v>
      </c>
      <c r="E19" s="1">
        <v>1</v>
      </c>
      <c r="F19" s="1">
        <v>90</v>
      </c>
      <c r="G19" s="1">
        <v>9</v>
      </c>
      <c r="H19" s="1">
        <v>9</v>
      </c>
      <c r="I19" s="1">
        <v>9</v>
      </c>
      <c r="M19" s="1" t="s">
        <v>1155</v>
      </c>
      <c r="N19" s="1" t="s">
        <v>1140</v>
      </c>
      <c r="O19" s="1">
        <v>1</v>
      </c>
    </row>
    <row r="20" hidden="1" spans="1:15">
      <c r="A20" s="1">
        <v>1</v>
      </c>
      <c r="B20" s="1">
        <v>5</v>
      </c>
      <c r="C20" s="1" t="s">
        <v>139</v>
      </c>
      <c r="D20" s="1">
        <v>0</v>
      </c>
      <c r="F20" s="1">
        <v>90</v>
      </c>
      <c r="G20" s="1">
        <v>6</v>
      </c>
      <c r="H20" s="1">
        <v>9</v>
      </c>
      <c r="I20" s="1">
        <v>9</v>
      </c>
      <c r="M20" s="1" t="s">
        <v>1149</v>
      </c>
      <c r="N20" s="1" t="s">
        <v>1140</v>
      </c>
      <c r="O20" s="1">
        <v>1</v>
      </c>
    </row>
    <row r="21" hidden="1" spans="1:15">
      <c r="A21" s="1">
        <v>1</v>
      </c>
      <c r="B21" s="1">
        <v>5</v>
      </c>
      <c r="C21" s="1" t="s">
        <v>197</v>
      </c>
      <c r="D21" s="1">
        <v>0</v>
      </c>
      <c r="F21" s="1">
        <v>90</v>
      </c>
      <c r="G21" s="1">
        <v>9</v>
      </c>
      <c r="H21" s="1">
        <v>9</v>
      </c>
      <c r="I21" s="1">
        <v>9</v>
      </c>
      <c r="M21" s="1" t="s">
        <v>1152</v>
      </c>
      <c r="N21" s="1" t="s">
        <v>1142</v>
      </c>
      <c r="O21" s="1">
        <v>1</v>
      </c>
    </row>
    <row r="22" spans="1:14">
      <c r="A22" s="1">
        <v>1</v>
      </c>
      <c r="B22" s="1">
        <v>5</v>
      </c>
      <c r="C22" s="1" t="s">
        <v>127</v>
      </c>
      <c r="D22" s="1">
        <v>0</v>
      </c>
      <c r="F22" s="1">
        <v>90</v>
      </c>
      <c r="G22" s="1">
        <v>9</v>
      </c>
      <c r="H22" s="1">
        <v>8</v>
      </c>
      <c r="I22" s="1">
        <v>8</v>
      </c>
      <c r="M22" s="1" t="s">
        <v>1156</v>
      </c>
      <c r="N22" s="1" t="s">
        <v>1144</v>
      </c>
    </row>
    <row r="23" hidden="1" spans="1:15">
      <c r="A23" s="1">
        <v>0</v>
      </c>
      <c r="B23" s="1">
        <v>5</v>
      </c>
      <c r="C23" s="1" t="s">
        <v>484</v>
      </c>
      <c r="D23" s="1">
        <v>0</v>
      </c>
      <c r="F23" s="1">
        <v>90</v>
      </c>
      <c r="G23" s="1">
        <v>10</v>
      </c>
      <c r="H23" s="1">
        <v>10</v>
      </c>
      <c r="I23" s="1">
        <v>9</v>
      </c>
      <c r="M23" s="1" t="s">
        <v>1150</v>
      </c>
      <c r="N23" s="1" t="s">
        <v>1142</v>
      </c>
      <c r="O23" s="1">
        <v>1</v>
      </c>
    </row>
    <row r="24" hidden="1" spans="1:14">
      <c r="A24" s="1">
        <v>0</v>
      </c>
      <c r="B24" s="1">
        <v>5</v>
      </c>
      <c r="C24" s="1" t="s">
        <v>518</v>
      </c>
      <c r="D24" s="1">
        <v>0</v>
      </c>
      <c r="F24" s="1">
        <v>90</v>
      </c>
      <c r="G24" s="1">
        <v>7</v>
      </c>
      <c r="H24" s="1">
        <v>8</v>
      </c>
      <c r="I24" s="1">
        <v>10</v>
      </c>
      <c r="M24" s="1" t="s">
        <v>1150</v>
      </c>
      <c r="N24" s="1" t="s">
        <v>1142</v>
      </c>
    </row>
    <row r="25" spans="1:14">
      <c r="A25" s="1">
        <v>0</v>
      </c>
      <c r="B25" s="1">
        <v>5</v>
      </c>
      <c r="C25" s="1" t="s">
        <v>148</v>
      </c>
      <c r="D25" s="1">
        <v>0</v>
      </c>
      <c r="F25" s="1">
        <v>90</v>
      </c>
      <c r="G25" s="1">
        <v>9</v>
      </c>
      <c r="H25" s="1">
        <v>8</v>
      </c>
      <c r="I25" s="1">
        <v>8</v>
      </c>
      <c r="M25" s="1" t="s">
        <v>1143</v>
      </c>
      <c r="N25" s="1" t="s">
        <v>1144</v>
      </c>
    </row>
    <row r="26" spans="1:14">
      <c r="A26" s="1">
        <v>0</v>
      </c>
      <c r="B26" s="1">
        <v>5</v>
      </c>
      <c r="C26" s="1" t="s">
        <v>519</v>
      </c>
      <c r="D26" s="1">
        <v>0</v>
      </c>
      <c r="F26" s="1">
        <v>70</v>
      </c>
      <c r="G26" s="1">
        <v>4</v>
      </c>
      <c r="H26" s="1">
        <v>6</v>
      </c>
      <c r="I26" s="1">
        <v>6</v>
      </c>
      <c r="M26" s="1" t="s">
        <v>1143</v>
      </c>
      <c r="N26" s="1" t="s">
        <v>1144</v>
      </c>
    </row>
    <row r="27" hidden="1" spans="1:14">
      <c r="A27" s="1">
        <v>0</v>
      </c>
      <c r="B27" s="1">
        <v>5</v>
      </c>
      <c r="C27" s="1" t="s">
        <v>517</v>
      </c>
      <c r="D27" s="1">
        <v>0</v>
      </c>
      <c r="F27" s="1">
        <v>50</v>
      </c>
      <c r="G27" s="1">
        <v>1</v>
      </c>
      <c r="H27" s="1">
        <v>1</v>
      </c>
      <c r="I27" s="1">
        <v>1</v>
      </c>
      <c r="M27" s="1" t="s">
        <v>1150</v>
      </c>
      <c r="N27" s="1" t="s">
        <v>1142</v>
      </c>
    </row>
    <row r="28" hidden="1" spans="1:14">
      <c r="A28" s="1">
        <v>0</v>
      </c>
      <c r="B28" s="1">
        <v>5</v>
      </c>
      <c r="C28" s="1" t="s">
        <v>1157</v>
      </c>
      <c r="D28" s="1">
        <v>0</v>
      </c>
      <c r="F28" s="1">
        <v>90</v>
      </c>
      <c r="G28" s="1">
        <v>2</v>
      </c>
      <c r="H28" s="1">
        <v>8</v>
      </c>
      <c r="I28" s="1">
        <v>2</v>
      </c>
      <c r="L28" s="1">
        <v>2</v>
      </c>
      <c r="M28" s="1" t="s">
        <v>1155</v>
      </c>
      <c r="N28" s="1" t="s">
        <v>1140</v>
      </c>
    </row>
    <row r="29" hidden="1" spans="2:15">
      <c r="B29" s="1">
        <v>4</v>
      </c>
      <c r="C29" s="1" t="s">
        <v>1158</v>
      </c>
      <c r="F29" s="1">
        <v>90</v>
      </c>
      <c r="G29" s="1">
        <v>4</v>
      </c>
      <c r="H29" s="1">
        <v>4</v>
      </c>
      <c r="I29" s="1">
        <v>10</v>
      </c>
      <c r="M29" s="1" t="s">
        <v>1141</v>
      </c>
      <c r="N29" s="1" t="s">
        <v>1142</v>
      </c>
      <c r="O29" s="1">
        <v>1</v>
      </c>
    </row>
    <row r="30" hidden="1" spans="2:15">
      <c r="B30" s="1">
        <v>4</v>
      </c>
      <c r="C30" s="1" t="s">
        <v>490</v>
      </c>
      <c r="F30" s="1">
        <v>90</v>
      </c>
      <c r="G30" s="1">
        <v>9</v>
      </c>
      <c r="H30" s="1">
        <v>10</v>
      </c>
      <c r="I30" s="1">
        <v>10</v>
      </c>
      <c r="M30" s="1" t="s">
        <v>1139</v>
      </c>
      <c r="N30" s="6" t="s">
        <v>1140</v>
      </c>
      <c r="O30" s="1">
        <v>1</v>
      </c>
    </row>
    <row r="31" spans="2:15">
      <c r="B31" s="1">
        <v>4</v>
      </c>
      <c r="C31" s="1" t="s">
        <v>1159</v>
      </c>
      <c r="F31" s="1">
        <v>90</v>
      </c>
      <c r="G31" s="1">
        <v>1</v>
      </c>
      <c r="H31" s="1">
        <v>9</v>
      </c>
      <c r="I31" s="1">
        <v>1</v>
      </c>
      <c r="M31" s="1" t="s">
        <v>1148</v>
      </c>
      <c r="N31" s="1" t="s">
        <v>1144</v>
      </c>
      <c r="O31" s="1">
        <v>1</v>
      </c>
    </row>
    <row r="32" hidden="1" spans="2:15">
      <c r="B32" s="1">
        <v>4</v>
      </c>
      <c r="C32" s="1" t="s">
        <v>1160</v>
      </c>
      <c r="F32" s="1">
        <v>90</v>
      </c>
      <c r="G32" s="1">
        <v>10</v>
      </c>
      <c r="H32" s="1">
        <v>10</v>
      </c>
      <c r="I32" s="1">
        <v>9</v>
      </c>
      <c r="M32" s="1" t="s">
        <v>1149</v>
      </c>
      <c r="N32" s="1" t="s">
        <v>1140</v>
      </c>
      <c r="O32" s="1">
        <v>1</v>
      </c>
    </row>
    <row r="33" hidden="1" spans="2:15">
      <c r="B33" s="1">
        <v>4</v>
      </c>
      <c r="C33" s="1" t="s">
        <v>1161</v>
      </c>
      <c r="F33" s="1">
        <v>90</v>
      </c>
      <c r="G33" s="1">
        <v>1</v>
      </c>
      <c r="H33" s="1">
        <v>9</v>
      </c>
      <c r="I33" s="1">
        <v>2</v>
      </c>
      <c r="M33" s="1" t="s">
        <v>1152</v>
      </c>
      <c r="N33" s="1" t="s">
        <v>1142</v>
      </c>
      <c r="O33" s="1">
        <v>1</v>
      </c>
    </row>
    <row r="34" hidden="1" spans="2:15">
      <c r="B34" s="1">
        <v>4</v>
      </c>
      <c r="C34" s="1" t="s">
        <v>1024</v>
      </c>
      <c r="F34" s="1">
        <v>90</v>
      </c>
      <c r="G34" s="1">
        <v>9</v>
      </c>
      <c r="H34" s="1">
        <v>9</v>
      </c>
      <c r="I34" s="1">
        <v>10</v>
      </c>
      <c r="M34" s="1" t="s">
        <v>1150</v>
      </c>
      <c r="N34" s="1" t="s">
        <v>1142</v>
      </c>
      <c r="O34" s="1">
        <v>1</v>
      </c>
    </row>
    <row r="35" spans="2:15">
      <c r="B35" s="1">
        <v>4</v>
      </c>
      <c r="C35" s="1" t="s">
        <v>1162</v>
      </c>
      <c r="F35" s="1">
        <v>90</v>
      </c>
      <c r="G35" s="1">
        <v>4</v>
      </c>
      <c r="H35" s="1">
        <v>4</v>
      </c>
      <c r="I35" s="1">
        <v>9</v>
      </c>
      <c r="M35" s="1" t="s">
        <v>1163</v>
      </c>
      <c r="N35" s="6" t="s">
        <v>1144</v>
      </c>
      <c r="O35" s="1">
        <v>1</v>
      </c>
    </row>
    <row r="36" hidden="1" spans="2:15">
      <c r="B36" s="1">
        <v>4</v>
      </c>
      <c r="C36" s="1" t="s">
        <v>1164</v>
      </c>
      <c r="F36" s="1">
        <v>90</v>
      </c>
      <c r="G36" s="1">
        <v>2</v>
      </c>
      <c r="H36" s="1">
        <v>4</v>
      </c>
      <c r="I36" s="1">
        <v>5</v>
      </c>
      <c r="M36" s="1" t="s">
        <v>1146</v>
      </c>
      <c r="N36" s="1" t="s">
        <v>1140</v>
      </c>
      <c r="O36" s="1">
        <v>1</v>
      </c>
    </row>
    <row r="37" spans="2:15">
      <c r="B37" s="1">
        <v>4</v>
      </c>
      <c r="C37" s="1" t="s">
        <v>1165</v>
      </c>
      <c r="F37" s="1">
        <v>90</v>
      </c>
      <c r="G37" s="1">
        <v>9</v>
      </c>
      <c r="H37" s="1">
        <v>7</v>
      </c>
      <c r="I37" s="1">
        <v>8</v>
      </c>
      <c r="M37" s="1" t="s">
        <v>1143</v>
      </c>
      <c r="N37" s="1" t="s">
        <v>1144</v>
      </c>
      <c r="O37" s="1">
        <v>1</v>
      </c>
    </row>
    <row r="38" hidden="1" spans="2:15">
      <c r="B38" s="1">
        <v>4</v>
      </c>
      <c r="C38" s="1" t="s">
        <v>488</v>
      </c>
      <c r="F38" s="1">
        <v>90</v>
      </c>
      <c r="G38" s="1">
        <v>3</v>
      </c>
      <c r="H38" s="1">
        <v>4</v>
      </c>
      <c r="I38" s="1">
        <v>9</v>
      </c>
      <c r="M38" s="1" t="s">
        <v>1141</v>
      </c>
      <c r="N38" s="1" t="s">
        <v>1142</v>
      </c>
      <c r="O38" s="1">
        <v>1</v>
      </c>
    </row>
    <row r="39" hidden="1" spans="2:14">
      <c r="B39" s="1">
        <v>4</v>
      </c>
      <c r="C39" s="1" t="s">
        <v>1166</v>
      </c>
      <c r="F39" s="1">
        <v>90</v>
      </c>
      <c r="G39" s="1">
        <v>2</v>
      </c>
      <c r="H39" s="1">
        <v>2</v>
      </c>
      <c r="I39" s="1">
        <v>7</v>
      </c>
      <c r="L39" s="1">
        <v>2</v>
      </c>
      <c r="M39" s="1" t="s">
        <v>1149</v>
      </c>
      <c r="N39" s="1" t="s">
        <v>1140</v>
      </c>
    </row>
    <row r="40" hidden="1" spans="2:14">
      <c r="B40" s="1">
        <v>4</v>
      </c>
      <c r="C40" s="1" t="s">
        <v>1167</v>
      </c>
      <c r="F40" s="1">
        <v>80</v>
      </c>
      <c r="G40" s="1">
        <v>2</v>
      </c>
      <c r="H40" s="1">
        <v>6</v>
      </c>
      <c r="I40" s="1">
        <v>5</v>
      </c>
      <c r="M40" s="1" t="s">
        <v>1141</v>
      </c>
      <c r="N40" s="1" t="s">
        <v>1142</v>
      </c>
    </row>
    <row r="41" spans="2:14">
      <c r="B41" s="1">
        <v>4</v>
      </c>
      <c r="C41" s="1" t="s">
        <v>1168</v>
      </c>
      <c r="F41" s="1">
        <v>80</v>
      </c>
      <c r="G41" s="1">
        <v>5</v>
      </c>
      <c r="H41" s="1">
        <v>8</v>
      </c>
      <c r="I41" s="1">
        <v>8</v>
      </c>
      <c r="M41" s="1" t="s">
        <v>1156</v>
      </c>
      <c r="N41" s="1" t="s">
        <v>1144</v>
      </c>
    </row>
    <row r="42" hidden="1" spans="2:14">
      <c r="B42" s="1">
        <v>4</v>
      </c>
      <c r="C42" s="1" t="s">
        <v>1169</v>
      </c>
      <c r="F42" s="1">
        <v>70</v>
      </c>
      <c r="G42" s="1">
        <v>1</v>
      </c>
      <c r="H42" s="1">
        <v>4</v>
      </c>
      <c r="I42" s="1">
        <v>4</v>
      </c>
      <c r="M42" s="1" t="s">
        <v>1149</v>
      </c>
      <c r="N42" s="1" t="s">
        <v>1140</v>
      </c>
    </row>
    <row r="43" hidden="1" spans="2:9">
      <c r="B43" s="1">
        <v>4</v>
      </c>
      <c r="C43" s="1" t="s">
        <v>1170</v>
      </c>
      <c r="F43" s="1">
        <v>70</v>
      </c>
      <c r="G43" s="1">
        <v>1</v>
      </c>
      <c r="H43" s="1">
        <v>1</v>
      </c>
      <c r="I43" s="1">
        <v>1</v>
      </c>
    </row>
    <row r="44" spans="2:14">
      <c r="B44" s="1">
        <v>4</v>
      </c>
      <c r="C44" s="1" t="s">
        <v>1171</v>
      </c>
      <c r="F44" s="1">
        <v>70</v>
      </c>
      <c r="G44" s="1">
        <v>4</v>
      </c>
      <c r="H44" s="1">
        <v>7</v>
      </c>
      <c r="I44" s="1">
        <v>8</v>
      </c>
      <c r="M44" s="1" t="s">
        <v>1156</v>
      </c>
      <c r="N44" s="1" t="s">
        <v>1144</v>
      </c>
    </row>
    <row r="45" spans="2:14">
      <c r="B45" s="1">
        <v>4</v>
      </c>
      <c r="C45" s="1" t="s">
        <v>1172</v>
      </c>
      <c r="F45" s="1">
        <v>70</v>
      </c>
      <c r="G45" s="1">
        <v>2</v>
      </c>
      <c r="H45" s="1">
        <v>6</v>
      </c>
      <c r="I45" s="1">
        <v>6</v>
      </c>
      <c r="M45" s="1" t="s">
        <v>1163</v>
      </c>
      <c r="N45" s="6" t="s">
        <v>1144</v>
      </c>
    </row>
    <row r="46" spans="2:14">
      <c r="B46" s="1">
        <v>4</v>
      </c>
      <c r="C46" s="1" t="s">
        <v>838</v>
      </c>
      <c r="F46" s="1">
        <v>70</v>
      </c>
      <c r="G46" s="1">
        <v>4</v>
      </c>
      <c r="H46" s="1">
        <v>6</v>
      </c>
      <c r="I46" s="1">
        <v>5</v>
      </c>
      <c r="M46" s="1" t="s">
        <v>1156</v>
      </c>
      <c r="N46" s="1" t="s">
        <v>1144</v>
      </c>
    </row>
    <row r="47" hidden="1" spans="2:14">
      <c r="B47" s="1">
        <v>4</v>
      </c>
      <c r="C47" s="1" t="s">
        <v>1173</v>
      </c>
      <c r="F47" s="1">
        <v>70</v>
      </c>
      <c r="G47" s="1">
        <v>1</v>
      </c>
      <c r="H47" s="1">
        <v>1</v>
      </c>
      <c r="I47" s="1">
        <v>1</v>
      </c>
      <c r="M47" s="1" t="s">
        <v>1174</v>
      </c>
      <c r="N47" s="1" t="s">
        <v>1140</v>
      </c>
    </row>
    <row r="48" hidden="1" spans="2:14">
      <c r="B48" s="1">
        <v>4</v>
      </c>
      <c r="C48" s="1" t="s">
        <v>1175</v>
      </c>
      <c r="F48" s="1">
        <v>70</v>
      </c>
      <c r="G48" s="1">
        <v>1</v>
      </c>
      <c r="H48" s="1">
        <v>1</v>
      </c>
      <c r="I48" s="1">
        <v>1</v>
      </c>
      <c r="M48" s="1" t="s">
        <v>1176</v>
      </c>
      <c r="N48" s="1" t="s">
        <v>1142</v>
      </c>
    </row>
    <row r="49" hidden="1" spans="2:14">
      <c r="B49" s="1">
        <v>4</v>
      </c>
      <c r="C49" s="1" t="s">
        <v>1177</v>
      </c>
      <c r="F49" s="1">
        <v>50</v>
      </c>
      <c r="G49" s="1">
        <v>2</v>
      </c>
      <c r="H49" s="1">
        <v>5</v>
      </c>
      <c r="I49" s="1">
        <v>2</v>
      </c>
      <c r="M49" s="1" t="s">
        <v>1147</v>
      </c>
      <c r="N49" s="1" t="s">
        <v>1142</v>
      </c>
    </row>
    <row r="50" spans="2:14">
      <c r="B50" s="1">
        <v>4</v>
      </c>
      <c r="C50" s="1" t="s">
        <v>516</v>
      </c>
      <c r="F50" s="1">
        <v>50</v>
      </c>
      <c r="G50" s="1">
        <v>1</v>
      </c>
      <c r="H50" s="1">
        <v>1</v>
      </c>
      <c r="I50" s="1">
        <v>1</v>
      </c>
      <c r="M50" s="1" t="s">
        <v>1156</v>
      </c>
      <c r="N50" s="1" t="s">
        <v>1144</v>
      </c>
    </row>
    <row r="51" hidden="1" spans="2:14">
      <c r="B51" s="1">
        <v>4</v>
      </c>
      <c r="C51" s="1" t="s">
        <v>1178</v>
      </c>
      <c r="F51" s="1">
        <v>50</v>
      </c>
      <c r="G51" s="1">
        <v>2</v>
      </c>
      <c r="H51" s="1">
        <v>2</v>
      </c>
      <c r="I51" s="1">
        <v>2</v>
      </c>
      <c r="M51" s="1" t="s">
        <v>1146</v>
      </c>
      <c r="N51" s="1" t="s">
        <v>1140</v>
      </c>
    </row>
    <row r="52" hidden="1" spans="2:14">
      <c r="B52" s="1">
        <v>4</v>
      </c>
      <c r="C52" s="1" t="s">
        <v>1179</v>
      </c>
      <c r="F52" s="1">
        <v>50</v>
      </c>
      <c r="G52" s="1">
        <v>2</v>
      </c>
      <c r="H52" s="1">
        <v>2</v>
      </c>
      <c r="I52" s="1">
        <v>1</v>
      </c>
      <c r="M52" s="1" t="s">
        <v>1150</v>
      </c>
      <c r="N52" s="1" t="s">
        <v>1142</v>
      </c>
    </row>
    <row r="53" spans="2:14">
      <c r="B53" s="1">
        <v>4</v>
      </c>
      <c r="C53" s="1" t="s">
        <v>1180</v>
      </c>
      <c r="F53" s="1">
        <v>50</v>
      </c>
      <c r="G53" s="1">
        <v>1</v>
      </c>
      <c r="H53" s="1">
        <v>1</v>
      </c>
      <c r="I53" s="1">
        <v>1</v>
      </c>
      <c r="M53" s="1" t="s">
        <v>1148</v>
      </c>
      <c r="N53" s="1" t="s">
        <v>1144</v>
      </c>
    </row>
    <row r="54" hidden="1" spans="2:14">
      <c r="B54" s="1">
        <v>4</v>
      </c>
      <c r="C54" s="1" t="s">
        <v>1181</v>
      </c>
      <c r="F54" s="1">
        <v>50</v>
      </c>
      <c r="G54" s="1">
        <v>1</v>
      </c>
      <c r="H54" s="1">
        <v>1</v>
      </c>
      <c r="I54" s="1">
        <v>1</v>
      </c>
      <c r="M54" s="1" t="s">
        <v>1141</v>
      </c>
      <c r="N54" s="1" t="s">
        <v>1142</v>
      </c>
    </row>
    <row r="55" hidden="1" spans="2:14">
      <c r="B55" s="1">
        <v>4</v>
      </c>
      <c r="C55" s="1" t="s">
        <v>478</v>
      </c>
      <c r="F55" s="1">
        <v>50</v>
      </c>
      <c r="G55" s="1">
        <v>2</v>
      </c>
      <c r="H55" s="1">
        <v>2</v>
      </c>
      <c r="I55" s="1">
        <v>1</v>
      </c>
      <c r="M55" s="1" t="s">
        <v>1149</v>
      </c>
      <c r="N55" s="1" t="s">
        <v>1140</v>
      </c>
    </row>
    <row r="56" hidden="1" spans="2:14">
      <c r="B56" s="1">
        <v>4</v>
      </c>
      <c r="C56" s="1" t="s">
        <v>1182</v>
      </c>
      <c r="F56" s="1">
        <v>50</v>
      </c>
      <c r="G56" s="1">
        <v>2</v>
      </c>
      <c r="H56" s="1">
        <v>2</v>
      </c>
      <c r="I56" s="1">
        <v>1</v>
      </c>
      <c r="M56" s="1" t="s">
        <v>1147</v>
      </c>
      <c r="N56" s="1" t="s">
        <v>1142</v>
      </c>
    </row>
    <row r="57" hidden="1" spans="2:14">
      <c r="B57" s="1">
        <v>4</v>
      </c>
      <c r="C57" s="1" t="s">
        <v>810</v>
      </c>
      <c r="F57" s="1">
        <v>50</v>
      </c>
      <c r="G57" s="1">
        <v>1</v>
      </c>
      <c r="H57" s="1">
        <v>4</v>
      </c>
      <c r="I57" s="1">
        <v>4</v>
      </c>
      <c r="L57" s="1">
        <v>2</v>
      </c>
      <c r="M57" s="1" t="s">
        <v>1152</v>
      </c>
      <c r="N57" s="1" t="s">
        <v>1142</v>
      </c>
    </row>
    <row r="58" hidden="1" spans="2:14">
      <c r="B58" s="1">
        <v>4</v>
      </c>
      <c r="C58" s="1" t="s">
        <v>1183</v>
      </c>
      <c r="F58" s="1">
        <v>50</v>
      </c>
      <c r="G58" s="1">
        <v>1</v>
      </c>
      <c r="H58" s="1">
        <v>1</v>
      </c>
      <c r="I58" s="1">
        <v>1</v>
      </c>
      <c r="M58" s="1" t="s">
        <v>1139</v>
      </c>
      <c r="N58" s="6" t="s">
        <v>1140</v>
      </c>
    </row>
    <row r="59" hidden="1" spans="2:14">
      <c r="B59" s="1">
        <v>4</v>
      </c>
      <c r="C59" s="1" t="s">
        <v>486</v>
      </c>
      <c r="F59" s="1">
        <v>50</v>
      </c>
      <c r="G59" s="1">
        <v>1</v>
      </c>
      <c r="H59" s="1">
        <v>1</v>
      </c>
      <c r="I59" s="1">
        <v>1</v>
      </c>
      <c r="M59" s="1" t="s">
        <v>1150</v>
      </c>
      <c r="N59" s="1" t="s">
        <v>1142</v>
      </c>
    </row>
    <row r="60" hidden="1" spans="2:14">
      <c r="B60" s="1">
        <v>4</v>
      </c>
      <c r="C60" s="1" t="s">
        <v>482</v>
      </c>
      <c r="F60" s="1">
        <v>50</v>
      </c>
      <c r="G60" s="1">
        <v>1</v>
      </c>
      <c r="H60" s="1">
        <v>1</v>
      </c>
      <c r="I60" s="1">
        <v>1</v>
      </c>
      <c r="M60" s="1" t="s">
        <v>1149</v>
      </c>
      <c r="N60" s="1" t="s">
        <v>1140</v>
      </c>
    </row>
    <row r="61" hidden="1" spans="2:14">
      <c r="B61" s="1">
        <v>4</v>
      </c>
      <c r="C61" s="1" t="s">
        <v>1184</v>
      </c>
      <c r="F61" s="1">
        <v>50</v>
      </c>
      <c r="G61" s="1">
        <v>1</v>
      </c>
      <c r="H61" s="1">
        <v>1</v>
      </c>
      <c r="I61" s="1">
        <v>1</v>
      </c>
      <c r="M61" s="1" t="s">
        <v>1155</v>
      </c>
      <c r="N61" s="1" t="s">
        <v>1140</v>
      </c>
    </row>
    <row r="62" spans="2:14">
      <c r="B62" s="1">
        <v>4</v>
      </c>
      <c r="C62" s="1" t="s">
        <v>1185</v>
      </c>
      <c r="F62" s="1">
        <v>50</v>
      </c>
      <c r="G62" s="1">
        <v>2</v>
      </c>
      <c r="H62" s="1">
        <v>2</v>
      </c>
      <c r="I62" s="1">
        <v>3</v>
      </c>
      <c r="M62" s="1" t="s">
        <v>1148</v>
      </c>
      <c r="N62" s="1" t="s">
        <v>1144</v>
      </c>
    </row>
    <row r="63" hidden="1" spans="2:14">
      <c r="B63" s="1">
        <v>4</v>
      </c>
      <c r="C63" s="1" t="s">
        <v>1186</v>
      </c>
      <c r="F63" s="1">
        <v>50</v>
      </c>
      <c r="G63" s="1">
        <v>3</v>
      </c>
      <c r="H63" s="1">
        <v>3</v>
      </c>
      <c r="I63" s="1">
        <v>2</v>
      </c>
      <c r="M63" s="1" t="s">
        <v>1139</v>
      </c>
      <c r="N63" s="6" t="s">
        <v>1140</v>
      </c>
    </row>
    <row r="64" hidden="1" spans="2:14">
      <c r="B64" s="1">
        <v>4</v>
      </c>
      <c r="C64" s="1" t="s">
        <v>1187</v>
      </c>
      <c r="F64" s="1">
        <v>50</v>
      </c>
      <c r="G64" s="1">
        <v>1</v>
      </c>
      <c r="H64" s="1">
        <v>1</v>
      </c>
      <c r="I64" s="1">
        <v>1</v>
      </c>
      <c r="M64" s="1" t="s">
        <v>1139</v>
      </c>
      <c r="N64" s="6" t="s">
        <v>1140</v>
      </c>
    </row>
    <row r="65" spans="2:14">
      <c r="B65" s="1">
        <v>4</v>
      </c>
      <c r="C65" s="1" t="s">
        <v>480</v>
      </c>
      <c r="F65" s="1">
        <v>50</v>
      </c>
      <c r="G65" s="1">
        <v>1</v>
      </c>
      <c r="H65" s="1">
        <v>1</v>
      </c>
      <c r="I65" s="1">
        <v>1</v>
      </c>
      <c r="M65" s="1" t="s">
        <v>1156</v>
      </c>
      <c r="N65" s="1" t="s">
        <v>1144</v>
      </c>
    </row>
  </sheetData>
  <autoFilter ref="A1:O65">
    <filterColumn colId="13">
      <customFilters>
        <customFilter operator="equal" val="1、4"/>
      </customFilters>
    </filterColumn>
    <extLst/>
  </autoFilter>
  <sortState ref="A2:I57">
    <sortCondition ref="B2:B57" descending="1"/>
    <sortCondition ref="A2:A57" descending="1"/>
    <sortCondition ref="F2:F57" descending="1"/>
  </sortState>
  <conditionalFormatting sqref="C19">
    <cfRule type="duplicateValues" dxfId="0" priority="27"/>
  </conditionalFormatting>
  <conditionalFormatting sqref="F19">
    <cfRule type="cellIs" dxfId="2" priority="28" operator="between">
      <formula>1</formula>
      <formula>89</formula>
    </cfRule>
  </conditionalFormatting>
  <conditionalFormatting sqref="G19:I19">
    <cfRule type="cellIs" dxfId="3" priority="26" operator="between">
      <formula>2</formula>
      <formula>8</formula>
    </cfRule>
  </conditionalFormatting>
  <conditionalFormatting sqref="N19">
    <cfRule type="expression" dxfId="1" priority="24">
      <formula>IF($L19=2,1,0)</formula>
    </cfRule>
    <cfRule type="expression" dxfId="4" priority="25">
      <formula>IF($L19=1,1,0)</formula>
    </cfRule>
  </conditionalFormatting>
  <conditionalFormatting sqref="M31:N31">
    <cfRule type="expression" dxfId="1" priority="22">
      <formula>IF($L31=2,1,0)</formula>
    </cfRule>
    <cfRule type="expression" dxfId="4" priority="23">
      <formula>IF($L31=1,1,0)</formula>
    </cfRule>
  </conditionalFormatting>
  <conditionalFormatting sqref="C47">
    <cfRule type="duplicateValues" dxfId="0" priority="15"/>
  </conditionalFormatting>
  <conditionalFormatting sqref="F47">
    <cfRule type="cellIs" dxfId="2" priority="17" operator="between">
      <formula>1</formula>
      <formula>89</formula>
    </cfRule>
  </conditionalFormatting>
  <conditionalFormatting sqref="G47:I47">
    <cfRule type="cellIs" dxfId="3" priority="13" operator="between">
      <formula>2</formula>
      <formula>8</formula>
    </cfRule>
  </conditionalFormatting>
  <conditionalFormatting sqref="C48">
    <cfRule type="duplicateValues" dxfId="0" priority="14"/>
  </conditionalFormatting>
  <conditionalFormatting sqref="F48">
    <cfRule type="cellIs" dxfId="2" priority="16" operator="between">
      <formula>1</formula>
      <formula>89</formula>
    </cfRule>
  </conditionalFormatting>
  <conditionalFormatting sqref="G48:I48">
    <cfRule type="cellIs" dxfId="3" priority="12" operator="between">
      <formula>2</formula>
      <formula>8</formula>
    </cfRule>
  </conditionalFormatting>
  <conditionalFormatting sqref="C$1:C$1048576">
    <cfRule type="duplicateValues" dxfId="0" priority="1"/>
  </conditionalFormatting>
  <conditionalFormatting sqref="A1:C18 A20:C46 J1:N18 J20:N30 J31:L31 J32:N46 A49:C1048576 J49:N1048576">
    <cfRule type="expression" dxfId="1" priority="34">
      <formula>IF($L1=2,1,0)</formula>
    </cfRule>
    <cfRule type="expression" dxfId="4" priority="35">
      <formula>IF($L1=1,1,0)</formula>
    </cfRule>
  </conditionalFormatting>
  <conditionalFormatting sqref="C1:C18 C20:C46 C49:C1048576">
    <cfRule type="duplicateValues" dxfId="0" priority="32"/>
  </conditionalFormatting>
  <conditionalFormatting sqref="F1:F18 F20:F46 F49:F1048576">
    <cfRule type="cellIs" dxfId="2" priority="33" operator="between">
      <formula>1</formula>
      <formula>89</formula>
    </cfRule>
  </conditionalFormatting>
  <conditionalFormatting sqref="G1:I18 G20:I46 G49:I1048576">
    <cfRule type="cellIs" dxfId="3" priority="31" operator="between">
      <formula>2</formula>
      <formula>8</formula>
    </cfRule>
  </conditionalFormatting>
  <conditionalFormatting sqref="A19:C19 J19:M19">
    <cfRule type="expression" dxfId="1" priority="29">
      <formula>IF($L19=2,1,0)</formula>
    </cfRule>
    <cfRule type="expression" dxfId="4" priority="30">
      <formula>IF($L19=1,1,0)</formula>
    </cfRule>
  </conditionalFormatting>
  <conditionalFormatting sqref="A47:C47 J47:N47">
    <cfRule type="expression" dxfId="1" priority="19">
      <formula>IF($L47=2,1,0)</formula>
    </cfRule>
    <cfRule type="expression" dxfId="4" priority="21">
      <formula>IF($L47=1,1,0)</formula>
    </cfRule>
  </conditionalFormatting>
  <conditionalFormatting sqref="A48:C48 J48:N48">
    <cfRule type="expression" dxfId="1" priority="18">
      <formula>IF($L48=2,1,0)</formula>
    </cfRule>
    <cfRule type="expression" dxfId="4" priority="20">
      <formula>IF($L48=1,1,0)</formula>
    </cfRule>
  </conditionalFormatting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V60"/>
  <sheetViews>
    <sheetView topLeftCell="A31" workbookViewId="0">
      <selection activeCell="K42" sqref="K42"/>
    </sheetView>
  </sheetViews>
  <sheetFormatPr defaultColWidth="9" defaultRowHeight="16.5"/>
  <cols>
    <col min="1" max="3" width="14" style="1" customWidth="1"/>
    <col min="4" max="6" width="9" style="1"/>
    <col min="7" max="7" width="14.75" style="1" customWidth="1"/>
    <col min="8" max="8" width="14.125" style="1"/>
    <col min="9" max="9" width="9" style="1"/>
    <col min="10" max="11" width="11.375" style="1" customWidth="1"/>
    <col min="12" max="12" width="19.125" style="1" customWidth="1"/>
    <col min="13" max="13" width="23.375" style="1" customWidth="1"/>
    <col min="14" max="16384" width="9" style="1"/>
  </cols>
  <sheetData>
    <row r="1" spans="1:17">
      <c r="A1" s="1" t="s">
        <v>1188</v>
      </c>
      <c r="B1" s="1" t="s">
        <v>1189</v>
      </c>
      <c r="C1" s="1" t="s">
        <v>1190</v>
      </c>
      <c r="D1" s="1" t="s">
        <v>118</v>
      </c>
      <c r="I1" s="1" t="s">
        <v>41</v>
      </c>
      <c r="J1" s="1" t="s">
        <v>1191</v>
      </c>
      <c r="K1" s="1" t="s">
        <v>1192</v>
      </c>
      <c r="L1" s="1" t="s">
        <v>1193</v>
      </c>
      <c r="M1" s="1" t="s">
        <v>1194</v>
      </c>
      <c r="Q1" s="1" t="s">
        <v>1195</v>
      </c>
    </row>
    <row r="2" spans="1:22">
      <c r="A2" s="1" t="s">
        <v>1196</v>
      </c>
      <c r="B2" s="1" t="s">
        <v>1197</v>
      </c>
      <c r="C2" s="1" t="s">
        <v>1198</v>
      </c>
      <c r="D2" s="2">
        <v>1</v>
      </c>
      <c r="I2" s="1" t="s">
        <v>1199</v>
      </c>
      <c r="J2" s="1" t="s">
        <v>1200</v>
      </c>
      <c r="K2" s="1" t="s">
        <v>1201</v>
      </c>
      <c r="L2" s="1" t="s">
        <v>1202</v>
      </c>
      <c r="P2" s="1" t="s">
        <v>9</v>
      </c>
      <c r="Q2" s="1" t="s">
        <v>1203</v>
      </c>
      <c r="R2" s="1" t="s">
        <v>1204</v>
      </c>
      <c r="S2" s="1" t="s">
        <v>1205</v>
      </c>
      <c r="T2" s="1" t="s">
        <v>1206</v>
      </c>
      <c r="U2" s="1" t="s">
        <v>1207</v>
      </c>
      <c r="V2" s="1" t="s">
        <v>1208</v>
      </c>
    </row>
    <row r="3" spans="1:22">
      <c r="A3" s="1" t="s">
        <v>1209</v>
      </c>
      <c r="B3" s="1" t="s">
        <v>1210</v>
      </c>
      <c r="C3" s="1" t="s">
        <v>1207</v>
      </c>
      <c r="D3" s="2">
        <v>1</v>
      </c>
      <c r="I3" s="1" t="s">
        <v>1211</v>
      </c>
      <c r="J3" s="1" t="s">
        <v>1212</v>
      </c>
      <c r="K3" s="1" t="s">
        <v>1213</v>
      </c>
      <c r="L3" s="1" t="s">
        <v>1202</v>
      </c>
      <c r="M3" s="1" t="s">
        <v>1214</v>
      </c>
      <c r="P3" s="1" t="s">
        <v>1198</v>
      </c>
      <c r="Q3" s="1" t="s">
        <v>1215</v>
      </c>
      <c r="R3" s="1" t="s">
        <v>1215</v>
      </c>
      <c r="S3" s="1" t="s">
        <v>1215</v>
      </c>
      <c r="T3" s="1" t="s">
        <v>1215</v>
      </c>
      <c r="U3" s="1" t="s">
        <v>1215</v>
      </c>
      <c r="V3" s="1" t="s">
        <v>1215</v>
      </c>
    </row>
    <row r="4" spans="1:22">
      <c r="A4" s="1" t="s">
        <v>1216</v>
      </c>
      <c r="B4" s="1" t="s">
        <v>1217</v>
      </c>
      <c r="C4" s="1" t="s">
        <v>1206</v>
      </c>
      <c r="D4" s="2">
        <v>2</v>
      </c>
      <c r="I4" s="1" t="s">
        <v>1218</v>
      </c>
      <c r="J4" s="1" t="s">
        <v>1200</v>
      </c>
      <c r="K4" s="1" t="s">
        <v>1219</v>
      </c>
      <c r="L4" s="1" t="s">
        <v>1202</v>
      </c>
      <c r="P4" s="1" t="s">
        <v>1203</v>
      </c>
      <c r="Q4" s="1" t="s">
        <v>1220</v>
      </c>
      <c r="R4" s="1" t="s">
        <v>1221</v>
      </c>
      <c r="S4" s="1" t="s">
        <v>1215</v>
      </c>
      <c r="T4" s="1" t="s">
        <v>1215</v>
      </c>
      <c r="U4" s="1" t="s">
        <v>1215</v>
      </c>
      <c r="V4" s="1" t="s">
        <v>1215</v>
      </c>
    </row>
    <row r="5" spans="1:22">
      <c r="A5" s="1" t="s">
        <v>1222</v>
      </c>
      <c r="B5" s="1" t="s">
        <v>1223</v>
      </c>
      <c r="C5" s="1" t="s">
        <v>1208</v>
      </c>
      <c r="D5" s="2">
        <v>3</v>
      </c>
      <c r="I5" s="1" t="s">
        <v>1224</v>
      </c>
      <c r="J5" s="1" t="s">
        <v>1225</v>
      </c>
      <c r="K5" s="1" t="s">
        <v>1226</v>
      </c>
      <c r="L5" s="1" t="s">
        <v>1227</v>
      </c>
      <c r="P5" s="1" t="s">
        <v>1204</v>
      </c>
      <c r="Q5" s="1" t="s">
        <v>1215</v>
      </c>
      <c r="R5" s="1" t="s">
        <v>1220</v>
      </c>
      <c r="S5" s="1" t="s">
        <v>1221</v>
      </c>
      <c r="T5" s="1" t="s">
        <v>1228</v>
      </c>
      <c r="U5" s="1" t="s">
        <v>1215</v>
      </c>
      <c r="V5" s="1" t="s">
        <v>1221</v>
      </c>
    </row>
    <row r="6" spans="1:22">
      <c r="A6" s="1" t="s">
        <v>1229</v>
      </c>
      <c r="B6" s="1" t="s">
        <v>1230</v>
      </c>
      <c r="C6" s="1" t="s">
        <v>1203</v>
      </c>
      <c r="D6" s="1" t="s">
        <v>1231</v>
      </c>
      <c r="I6" s="1" t="s">
        <v>1232</v>
      </c>
      <c r="J6" s="1" t="s">
        <v>1225</v>
      </c>
      <c r="K6" s="1" t="s">
        <v>1226</v>
      </c>
      <c r="L6" s="1" t="s">
        <v>1233</v>
      </c>
      <c r="P6" s="1" t="s">
        <v>1205</v>
      </c>
      <c r="Q6" s="1" t="s">
        <v>1228</v>
      </c>
      <c r="R6" s="1" t="s">
        <v>1215</v>
      </c>
      <c r="S6" s="1" t="s">
        <v>1215</v>
      </c>
      <c r="T6" s="1" t="s">
        <v>1221</v>
      </c>
      <c r="U6" s="1" t="s">
        <v>1215</v>
      </c>
      <c r="V6" s="1" t="s">
        <v>1215</v>
      </c>
    </row>
    <row r="7" spans="1:22">
      <c r="A7" s="1" t="s">
        <v>1234</v>
      </c>
      <c r="B7" s="1" t="s">
        <v>1235</v>
      </c>
      <c r="C7" s="1" t="s">
        <v>1204</v>
      </c>
      <c r="D7" s="1" t="s">
        <v>1231</v>
      </c>
      <c r="P7" s="1" t="s">
        <v>1206</v>
      </c>
      <c r="Q7" s="1" t="s">
        <v>1215</v>
      </c>
      <c r="R7" s="1" t="s">
        <v>1215</v>
      </c>
      <c r="S7" s="1" t="s">
        <v>1215</v>
      </c>
      <c r="T7" s="1" t="s">
        <v>1220</v>
      </c>
      <c r="U7" s="1" t="s">
        <v>1215</v>
      </c>
      <c r="V7" s="1" t="s">
        <v>1215</v>
      </c>
    </row>
    <row r="8" spans="1:22">
      <c r="A8" s="1" t="s">
        <v>1236</v>
      </c>
      <c r="B8" s="1" t="s">
        <v>1237</v>
      </c>
      <c r="C8" s="1" t="s">
        <v>1205</v>
      </c>
      <c r="D8" s="1" t="s">
        <v>1231</v>
      </c>
      <c r="P8" s="1" t="s">
        <v>1207</v>
      </c>
      <c r="Q8" s="1" t="s">
        <v>1215</v>
      </c>
      <c r="R8" s="1" t="s">
        <v>1215</v>
      </c>
      <c r="S8" s="1" t="s">
        <v>1215</v>
      </c>
      <c r="T8" s="1" t="s">
        <v>1215</v>
      </c>
      <c r="U8" s="1" t="s">
        <v>1220</v>
      </c>
      <c r="V8" s="1" t="s">
        <v>1215</v>
      </c>
    </row>
    <row r="9" spans="16:22">
      <c r="P9" s="1" t="s">
        <v>1208</v>
      </c>
      <c r="Q9" s="1" t="s">
        <v>1221</v>
      </c>
      <c r="R9" s="1" t="s">
        <v>1215</v>
      </c>
      <c r="S9" s="1" t="s">
        <v>1215</v>
      </c>
      <c r="T9" s="1" t="s">
        <v>1215</v>
      </c>
      <c r="U9" s="1" t="s">
        <v>1215</v>
      </c>
      <c r="V9" s="1" t="s">
        <v>1215</v>
      </c>
    </row>
    <row r="16" spans="2:5">
      <c r="B16" s="1">
        <f>C16*3</f>
        <v>81</v>
      </c>
      <c r="C16" s="1">
        <f>D16*3</f>
        <v>27</v>
      </c>
      <c r="D16" s="1">
        <f>E16*3</f>
        <v>9</v>
      </c>
      <c r="E16" s="1">
        <v>3</v>
      </c>
    </row>
    <row r="17" spans="2:5">
      <c r="B17" s="1">
        <v>5</v>
      </c>
      <c r="C17" s="1">
        <v>4</v>
      </c>
      <c r="D17" s="1">
        <v>3</v>
      </c>
      <c r="E17" s="1">
        <v>2</v>
      </c>
    </row>
    <row r="18" spans="2:5">
      <c r="B18" s="1">
        <v>6</v>
      </c>
      <c r="C18" s="1">
        <f>B18*3</f>
        <v>18</v>
      </c>
      <c r="D18" s="1">
        <f>C18*3</f>
        <v>54</v>
      </c>
      <c r="E18" s="1">
        <f>D18*3</f>
        <v>162</v>
      </c>
    </row>
    <row r="19" spans="1:6">
      <c r="A19" s="1" t="s">
        <v>1204</v>
      </c>
      <c r="B19" s="1">
        <v>1</v>
      </c>
      <c r="D19" s="1">
        <v>149</v>
      </c>
      <c r="E19" s="1">
        <v>346</v>
      </c>
      <c r="F19" s="1">
        <f t="shared" ref="F19:F24" si="0">SUMPRODUCT(B19:E19,$B$16:$E$16)</f>
        <v>2460</v>
      </c>
    </row>
    <row r="20" spans="1:6">
      <c r="A20" s="1" t="s">
        <v>1203</v>
      </c>
      <c r="C20" s="1">
        <v>3</v>
      </c>
      <c r="D20" s="1">
        <v>156</v>
      </c>
      <c r="E20" s="1">
        <v>238</v>
      </c>
      <c r="F20" s="1">
        <f t="shared" si="0"/>
        <v>2199</v>
      </c>
    </row>
    <row r="21" spans="1:6">
      <c r="A21" s="1" t="s">
        <v>1206</v>
      </c>
      <c r="C21" s="1">
        <v>6</v>
      </c>
      <c r="D21" s="1">
        <v>83</v>
      </c>
      <c r="E21" s="1">
        <v>661</v>
      </c>
      <c r="F21" s="1">
        <f t="shared" si="0"/>
        <v>2892</v>
      </c>
    </row>
    <row r="22" spans="1:6">
      <c r="A22" s="1" t="s">
        <v>1198</v>
      </c>
      <c r="C22" s="1">
        <v>2</v>
      </c>
      <c r="D22" s="1">
        <v>42</v>
      </c>
      <c r="E22" s="1">
        <v>40</v>
      </c>
      <c r="F22" s="1">
        <f t="shared" si="0"/>
        <v>552</v>
      </c>
    </row>
    <row r="23" spans="1:6">
      <c r="A23" s="1" t="s">
        <v>1205</v>
      </c>
      <c r="C23" s="1">
        <v>3</v>
      </c>
      <c r="D23" s="1">
        <v>169</v>
      </c>
      <c r="E23" s="1">
        <v>274</v>
      </c>
      <c r="F23" s="1">
        <f t="shared" si="0"/>
        <v>2424</v>
      </c>
    </row>
    <row r="24" spans="1:6">
      <c r="A24" s="1" t="s">
        <v>1207</v>
      </c>
      <c r="C24" s="1">
        <v>3</v>
      </c>
      <c r="D24" s="1">
        <v>208</v>
      </c>
      <c r="E24" s="1">
        <v>204</v>
      </c>
      <c r="F24" s="1">
        <f t="shared" si="0"/>
        <v>2565</v>
      </c>
    </row>
    <row r="34" spans="8:10">
      <c r="H34" s="1">
        <v>193</v>
      </c>
      <c r="I34" s="1">
        <v>198</v>
      </c>
      <c r="J34" s="1">
        <v>190</v>
      </c>
    </row>
    <row r="35" spans="7:10">
      <c r="G35" s="1" t="s">
        <v>14</v>
      </c>
      <c r="H35" s="3">
        <v>0.563</v>
      </c>
      <c r="I35" s="3">
        <v>0.489</v>
      </c>
      <c r="J35" s="3">
        <v>0.552</v>
      </c>
    </row>
    <row r="36" spans="7:10">
      <c r="G36" s="1" t="s">
        <v>15</v>
      </c>
      <c r="H36" s="3">
        <v>2.022</v>
      </c>
      <c r="I36" s="4">
        <v>2.24</v>
      </c>
      <c r="J36" s="3">
        <v>2.575</v>
      </c>
    </row>
    <row r="37" spans="7:10">
      <c r="G37" s="1" t="s">
        <v>1238</v>
      </c>
      <c r="H37" s="3">
        <v>0.466</v>
      </c>
      <c r="I37" s="4">
        <v>0</v>
      </c>
      <c r="J37" s="3">
        <v>0.466</v>
      </c>
    </row>
    <row r="38" spans="7:10">
      <c r="G38" s="1" t="s">
        <v>21</v>
      </c>
      <c r="H38" s="3">
        <v>1.421</v>
      </c>
      <c r="I38" s="4">
        <v>1.18</v>
      </c>
      <c r="J38" s="3">
        <v>1.356</v>
      </c>
    </row>
    <row r="39" spans="7:10">
      <c r="G39" s="1" t="s">
        <v>13</v>
      </c>
      <c r="H39" s="1">
        <v>37760</v>
      </c>
      <c r="I39" s="1">
        <v>45026</v>
      </c>
      <c r="J39" s="1">
        <v>32139</v>
      </c>
    </row>
    <row r="41" spans="7:10">
      <c r="G41" s="1" t="s">
        <v>1239</v>
      </c>
      <c r="H41" s="4">
        <v>0.3</v>
      </c>
      <c r="I41" s="4">
        <v>0.3</v>
      </c>
      <c r="J41" s="4">
        <v>0.3</v>
      </c>
    </row>
    <row r="42" spans="7:10">
      <c r="G42" s="1" t="s">
        <v>1240</v>
      </c>
      <c r="H42" s="4">
        <v>0.42</v>
      </c>
      <c r="I42" s="4">
        <v>0.42</v>
      </c>
      <c r="J42" s="4">
        <v>0.42</v>
      </c>
    </row>
    <row r="43" spans="7:10">
      <c r="G43" s="1" t="s">
        <v>1241</v>
      </c>
      <c r="H43" s="3">
        <v>0.1753</v>
      </c>
      <c r="I43" s="3">
        <v>0.1753</v>
      </c>
      <c r="J43" s="3">
        <v>0.1753</v>
      </c>
    </row>
    <row r="45" spans="7:10">
      <c r="G45" s="1" t="s">
        <v>1242</v>
      </c>
      <c r="H45" s="4">
        <v>1.6</v>
      </c>
      <c r="I45" s="4">
        <v>1.6</v>
      </c>
      <c r="J45" s="4">
        <v>1.6</v>
      </c>
    </row>
    <row r="47" spans="7:10">
      <c r="G47" s="1" t="s">
        <v>1243</v>
      </c>
      <c r="H47" s="4">
        <v>0.36</v>
      </c>
      <c r="I47" s="4">
        <v>0.36</v>
      </c>
      <c r="J47" s="4">
        <v>0.36</v>
      </c>
    </row>
    <row r="48" spans="7:10">
      <c r="G48" s="1" t="s">
        <v>1244</v>
      </c>
      <c r="H48" s="4">
        <v>0.15</v>
      </c>
      <c r="I48" s="4">
        <v>0.15</v>
      </c>
      <c r="J48" s="4">
        <v>0.15</v>
      </c>
    </row>
    <row r="50" spans="7:10">
      <c r="G50" s="1" t="s">
        <v>1245</v>
      </c>
      <c r="H50" s="4">
        <f t="shared" ref="H50:J50" si="1">3*14%</f>
        <v>0.42</v>
      </c>
      <c r="I50" s="4">
        <f t="shared" si="1"/>
        <v>0.42</v>
      </c>
      <c r="J50" s="4">
        <f t="shared" si="1"/>
        <v>0.42</v>
      </c>
    </row>
    <row r="54" spans="7:10">
      <c r="G54" s="1" t="s">
        <v>791</v>
      </c>
      <c r="H54" s="1">
        <f t="shared" ref="H54:J54" si="2">H47+H35</f>
        <v>0.923</v>
      </c>
      <c r="I54" s="1">
        <f t="shared" si="2"/>
        <v>0.849</v>
      </c>
      <c r="J54" s="1">
        <f t="shared" si="2"/>
        <v>0.912</v>
      </c>
    </row>
    <row r="55" spans="7:10">
      <c r="G55" s="1" t="s">
        <v>1246</v>
      </c>
      <c r="H55" s="1">
        <f t="shared" ref="H55:J55" si="3">H36+H42</f>
        <v>2.442</v>
      </c>
      <c r="I55" s="1">
        <f t="shared" si="3"/>
        <v>2.66</v>
      </c>
      <c r="J55" s="1">
        <f t="shared" si="3"/>
        <v>2.995</v>
      </c>
    </row>
    <row r="56" spans="7:10">
      <c r="G56" s="1" t="s">
        <v>1247</v>
      </c>
      <c r="H56" s="1">
        <f t="shared" ref="H56:J56" si="4">H50+H48</f>
        <v>0.57</v>
      </c>
      <c r="I56" s="1">
        <f t="shared" si="4"/>
        <v>0.57</v>
      </c>
      <c r="J56" s="1">
        <f t="shared" si="4"/>
        <v>0.57</v>
      </c>
    </row>
    <row r="57" spans="7:10">
      <c r="G57" s="1" t="s">
        <v>1248</v>
      </c>
      <c r="H57" s="1">
        <f t="shared" ref="H57:J57" si="5">H37+H41</f>
        <v>0.766</v>
      </c>
      <c r="I57" s="1">
        <f t="shared" si="5"/>
        <v>0.3</v>
      </c>
      <c r="J57" s="1">
        <f t="shared" si="5"/>
        <v>0.766</v>
      </c>
    </row>
    <row r="59" spans="7:10">
      <c r="G59" s="1" t="s">
        <v>852</v>
      </c>
      <c r="H59" s="1">
        <f t="shared" ref="H59:J59" si="6">H39*H43</f>
        <v>6619.328</v>
      </c>
      <c r="I59" s="1">
        <f t="shared" si="6"/>
        <v>7893.0578</v>
      </c>
      <c r="J59" s="1">
        <f t="shared" si="6"/>
        <v>5633.9667</v>
      </c>
    </row>
    <row r="60" spans="7:10">
      <c r="G60" s="1" t="s">
        <v>61</v>
      </c>
      <c r="H60" s="1">
        <f t="shared" ref="H60:J60" si="7">H59*(1+H54*H55)*(1+H56)*(1+H57)*(H45)</f>
        <v>95551.4422796107</v>
      </c>
      <c r="I60" s="1">
        <f t="shared" si="7"/>
        <v>83985.569293021</v>
      </c>
      <c r="J60" s="1">
        <f t="shared" si="7"/>
        <v>93261.2157859919</v>
      </c>
    </row>
  </sheetData>
  <mergeCells count="1">
    <mergeCell ref="Q1:U1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9"/>
  <sheetViews>
    <sheetView workbookViewId="0">
      <selection activeCell="C8" sqref="C8"/>
    </sheetView>
  </sheetViews>
  <sheetFormatPr defaultColWidth="9" defaultRowHeight="13.5" outlineLevelCol="3"/>
  <sheetData>
    <row r="1" spans="1:2">
      <c r="A1" t="s">
        <v>1249</v>
      </c>
      <c r="B1" t="s">
        <v>1250</v>
      </c>
    </row>
    <row r="2" spans="3:4">
      <c r="C2" t="s">
        <v>1251</v>
      </c>
      <c r="D2" t="s">
        <v>1252</v>
      </c>
    </row>
    <row r="3" spans="2:4">
      <c r="B3" t="s">
        <v>1253</v>
      </c>
      <c r="D3" t="s">
        <v>1254</v>
      </c>
    </row>
    <row r="4" spans="3:4">
      <c r="C4" t="s">
        <v>1255</v>
      </c>
      <c r="D4" t="s">
        <v>1252</v>
      </c>
    </row>
    <row r="5" spans="2:2">
      <c r="B5" t="s">
        <v>1256</v>
      </c>
    </row>
    <row r="6" spans="3:4">
      <c r="C6" t="s">
        <v>1257</v>
      </c>
      <c r="D6" t="s">
        <v>1254</v>
      </c>
    </row>
    <row r="7" spans="2:2">
      <c r="B7" t="s">
        <v>1258</v>
      </c>
    </row>
    <row r="8" spans="3:4">
      <c r="C8" t="s">
        <v>1259</v>
      </c>
      <c r="D8" t="s">
        <v>1254</v>
      </c>
    </row>
    <row r="9" spans="2:4">
      <c r="B9" t="s">
        <v>1260</v>
      </c>
      <c r="D9" t="s">
        <v>1254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圣遗物</vt:lpstr>
      <vt:lpstr>更新</vt:lpstr>
      <vt:lpstr>图示</vt:lpstr>
      <vt:lpstr>更新整理</vt:lpstr>
      <vt:lpstr>掉率</vt:lpstr>
      <vt:lpstr>原神成长线</vt:lpstr>
      <vt:lpstr>经验</vt:lpstr>
      <vt:lpstr>升级消耗</vt:lpstr>
      <vt:lpstr>角色</vt:lpstr>
      <vt:lpstr>武器</vt:lpstr>
      <vt:lpstr>元素精通</vt:lpstr>
      <vt:lpstr>八重神子</vt:lpstr>
      <vt:lpstr>阿贝多</vt:lpstr>
      <vt:lpstr>皇女</vt:lpstr>
      <vt:lpstr>草神</vt:lpstr>
      <vt:lpstr>雷神</vt:lpstr>
      <vt:lpstr>原神</vt:lpstr>
      <vt:lpstr>夜兰</vt:lpstr>
      <vt:lpstr>行秋</vt:lpstr>
      <vt:lpstr>万叶</vt:lpstr>
      <vt:lpstr>其他测算</vt:lpstr>
      <vt:lpstr>胡桃</vt:lpstr>
      <vt:lpstr>优菈</vt:lpstr>
      <vt:lpstr>原神元素反应分析</vt:lpstr>
      <vt:lpstr>久岐忍</vt:lpstr>
      <vt:lpstr>伤害计算</vt:lpstr>
      <vt:lpstr>宵宫</vt:lpstr>
      <vt:lpstr>谱子</vt:lpstr>
      <vt:lpstr>汇总</vt:lpstr>
      <vt:lpstr>Sheet1</vt:lpstr>
      <vt:lpstr>成就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Dawn</cp:lastModifiedBy>
  <dcterms:created xsi:type="dcterms:W3CDTF">2022-06-05T00:54:00Z</dcterms:created>
  <dcterms:modified xsi:type="dcterms:W3CDTF">2023-11-02T04:12:55Z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31D1E6CFBB904CEEBE758DC99B0FB718_13</vt:lpwstr>
  </property>
  <property fmtid="{D5CDD505-2E9C-101B-9397-08002B2CF9AE}" pid="3" name="KSOProductBuildVer">
    <vt:lpwstr>2052-12.1.0.15712</vt:lpwstr>
  </property>
  <property fmtid="{D5CDD505-2E9C-101B-9397-08002B2CF9AE}" pid="4" name="KSOReadingLayout">
    <vt:bool>true</vt:bool>
  </property>
</Properties>
</file>