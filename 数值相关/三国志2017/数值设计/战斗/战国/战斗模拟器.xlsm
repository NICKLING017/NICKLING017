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新建文件夹\数值设计\战斗\战国\"/>
    </mc:Choice>
  </mc:AlternateContent>
  <xr:revisionPtr revIDLastSave="0" documentId="13_ncr:1_{B7D362DD-D0A2-420C-91A3-CAC33E20CB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宏1" sheetId="164" r:id="rId1"/>
    <sheet name="结果汇总" sheetId="79" r:id="rId2"/>
    <sheet name="正常战斗1" sheetId="158" r:id="rId3"/>
    <sheet name="正常战斗2" sheetId="159" r:id="rId4"/>
    <sheet name="正常战斗3" sheetId="163" r:id="rId5"/>
    <sheet name="绕后战斗1" sheetId="160" r:id="rId6"/>
    <sheet name="绕后战斗2" sheetId="162" r:id="rId7"/>
  </sheets>
  <externalReferences>
    <externalReference r:id="rId8"/>
    <externalReference r:id="rId9"/>
  </externalReference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结果汇总!#REF!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9" i="79" l="1"/>
  <c r="BC9" i="79"/>
  <c r="AW21" i="79" s="1"/>
  <c r="CR15" i="162" l="1"/>
  <c r="CV15" i="162" s="1"/>
  <c r="CZ15" i="162" s="1"/>
  <c r="CQ15" i="162"/>
  <c r="CP15" i="162"/>
  <c r="CO15" i="162"/>
  <c r="CR15" i="160"/>
  <c r="CV15" i="160" s="1"/>
  <c r="CQ15" i="160"/>
  <c r="CU15" i="160" s="1"/>
  <c r="CP15" i="160"/>
  <c r="CO15" i="160"/>
  <c r="CR15" i="163"/>
  <c r="CV15" i="163" s="1"/>
  <c r="CQ15" i="163"/>
  <c r="CP15" i="163"/>
  <c r="CO15" i="163"/>
  <c r="CR15" i="159"/>
  <c r="CQ15" i="159"/>
  <c r="CP15" i="159"/>
  <c r="CO15" i="159"/>
  <c r="CS15" i="159" s="1"/>
  <c r="CP15" i="158"/>
  <c r="CT15" i="158" s="1"/>
  <c r="CQ15" i="158"/>
  <c r="CU15" i="158" s="1"/>
  <c r="CR15" i="158"/>
  <c r="CO15" i="158"/>
  <c r="CS15" i="158" s="1"/>
  <c r="CT15" i="162" l="1"/>
  <c r="CU15" i="162"/>
  <c r="CS15" i="162"/>
  <c r="CY15" i="160"/>
  <c r="CZ15" i="160"/>
  <c r="CS15" i="160"/>
  <c r="CT15" i="160"/>
  <c r="CZ15" i="163"/>
  <c r="CT15" i="163"/>
  <c r="CU15" i="163"/>
  <c r="CS15" i="163"/>
  <c r="CT15" i="159"/>
  <c r="CU15" i="159"/>
  <c r="CV15" i="159"/>
  <c r="CW15" i="159"/>
  <c r="CY15" i="158"/>
  <c r="CX15" i="158"/>
  <c r="CW15" i="158"/>
  <c r="CV15" i="158"/>
  <c r="CX15" i="162" l="1"/>
  <c r="CY15" i="162"/>
  <c r="CW15" i="162"/>
  <c r="CW15" i="160"/>
  <c r="CX15" i="160"/>
  <c r="CY15" i="163"/>
  <c r="CW15" i="163"/>
  <c r="CX15" i="163"/>
  <c r="CY15" i="159"/>
  <c r="CX15" i="159"/>
  <c r="CZ15" i="159"/>
  <c r="CZ15" i="158"/>
  <c r="BJ16" i="163" l="1"/>
  <c r="BE16" i="163"/>
  <c r="CB16" i="163" s="1"/>
  <c r="AZ16" i="163"/>
  <c r="AU16" i="163"/>
  <c r="CA16" i="163" s="1"/>
  <c r="AP16" i="163"/>
  <c r="AK16" i="163"/>
  <c r="AD16" i="163"/>
  <c r="Y16" i="163"/>
  <c r="T16" i="163"/>
  <c r="O16" i="163"/>
  <c r="BX16" i="163" s="1"/>
  <c r="J16" i="163"/>
  <c r="E16" i="163"/>
  <c r="BU12" i="163"/>
  <c r="CI15" i="163" s="1"/>
  <c r="BT12" i="163"/>
  <c r="CH15" i="163" s="1"/>
  <c r="BS12" i="163"/>
  <c r="CG15" i="163" s="1"/>
  <c r="BR12" i="163"/>
  <c r="CF15" i="163" s="1"/>
  <c r="BQ12" i="163"/>
  <c r="CE15" i="163" s="1"/>
  <c r="BP12" i="163"/>
  <c r="CD15" i="163" s="1"/>
  <c r="P7" i="163"/>
  <c r="L3" i="163"/>
  <c r="K3" i="163"/>
  <c r="J3" i="163"/>
  <c r="H3" i="163"/>
  <c r="G3" i="163"/>
  <c r="F3" i="163"/>
  <c r="BJ16" i="162"/>
  <c r="BE16" i="162"/>
  <c r="AZ16" i="162"/>
  <c r="AU16" i="162"/>
  <c r="CA16" i="162" s="1"/>
  <c r="AP16" i="162"/>
  <c r="AK16" i="162"/>
  <c r="BZ16" i="162" s="1"/>
  <c r="BR16" i="162" s="1"/>
  <c r="CF16" i="162" s="1"/>
  <c r="AD16" i="162"/>
  <c r="J5" i="79" s="1"/>
  <c r="Y16" i="162"/>
  <c r="T16" i="162"/>
  <c r="O16" i="162"/>
  <c r="J16" i="162"/>
  <c r="E16" i="162"/>
  <c r="BY16" i="162" s="1"/>
  <c r="BU12" i="162"/>
  <c r="CI15" i="162" s="1"/>
  <c r="BT12" i="162"/>
  <c r="CH15" i="162" s="1"/>
  <c r="BS12" i="162"/>
  <c r="CG15" i="162" s="1"/>
  <c r="BR12" i="162"/>
  <c r="CF15" i="162" s="1"/>
  <c r="BQ12" i="162"/>
  <c r="CE15" i="162" s="1"/>
  <c r="BP12" i="162"/>
  <c r="CD15" i="162" s="1"/>
  <c r="P7" i="162"/>
  <c r="L3" i="162"/>
  <c r="K3" i="162"/>
  <c r="J3" i="162"/>
  <c r="H3" i="162"/>
  <c r="G3" i="162"/>
  <c r="F3" i="162"/>
  <c r="BJ16" i="160"/>
  <c r="BE16" i="160"/>
  <c r="AZ16" i="160"/>
  <c r="AU16" i="160"/>
  <c r="CA16" i="160" s="1"/>
  <c r="AP16" i="160"/>
  <c r="AK16" i="160"/>
  <c r="AD16" i="160"/>
  <c r="Y16" i="160"/>
  <c r="T16" i="160"/>
  <c r="BX16" i="160" s="1"/>
  <c r="O16" i="160"/>
  <c r="J16" i="160"/>
  <c r="E16" i="160"/>
  <c r="BU12" i="160"/>
  <c r="CI15" i="160" s="1"/>
  <c r="BT12" i="160"/>
  <c r="CH15" i="160" s="1"/>
  <c r="BS12" i="160"/>
  <c r="CG15" i="160" s="1"/>
  <c r="BR12" i="160"/>
  <c r="CF15" i="160" s="1"/>
  <c r="BQ12" i="160"/>
  <c r="CE15" i="160" s="1"/>
  <c r="BP12" i="160"/>
  <c r="CD15" i="160" s="1"/>
  <c r="P7" i="160"/>
  <c r="L3" i="160"/>
  <c r="K3" i="160"/>
  <c r="J3" i="160"/>
  <c r="H3" i="160"/>
  <c r="G3" i="160"/>
  <c r="F3" i="160"/>
  <c r="BJ16" i="159"/>
  <c r="BE16" i="159"/>
  <c r="AZ16" i="159"/>
  <c r="AU16" i="159"/>
  <c r="AP16" i="159"/>
  <c r="AK16" i="159"/>
  <c r="AD16" i="159"/>
  <c r="Y16" i="159"/>
  <c r="T16" i="159"/>
  <c r="O16" i="159"/>
  <c r="J16" i="159"/>
  <c r="E16" i="159"/>
  <c r="BY16" i="159" s="1"/>
  <c r="BU16" i="159" s="1"/>
  <c r="CI16" i="159" s="1"/>
  <c r="BU12" i="159"/>
  <c r="CI15" i="159" s="1"/>
  <c r="BT12" i="159"/>
  <c r="CH15" i="159" s="1"/>
  <c r="BS12" i="159"/>
  <c r="CG15" i="159" s="1"/>
  <c r="BR12" i="159"/>
  <c r="CF15" i="159" s="1"/>
  <c r="BQ12" i="159"/>
  <c r="CE15" i="159" s="1"/>
  <c r="BP12" i="159"/>
  <c r="CD15" i="159" s="1"/>
  <c r="P7" i="159"/>
  <c r="L3" i="159"/>
  <c r="K3" i="159"/>
  <c r="J3" i="159"/>
  <c r="H3" i="159"/>
  <c r="G3" i="159"/>
  <c r="F3" i="159"/>
  <c r="BZ16" i="159" l="1"/>
  <c r="BR16" i="159" s="1"/>
  <c r="CF16" i="159" s="1"/>
  <c r="F5" i="79"/>
  <c r="BP16" i="159"/>
  <c r="CD16" i="159" s="1"/>
  <c r="BW16" i="159"/>
  <c r="BX16" i="159"/>
  <c r="CB16" i="159"/>
  <c r="BZ16" i="163"/>
  <c r="BR16" i="163" s="1"/>
  <c r="CF16" i="163" s="1"/>
  <c r="BW16" i="163"/>
  <c r="BP16" i="163"/>
  <c r="CD16" i="163" s="1"/>
  <c r="BY16" i="163"/>
  <c r="BT16" i="162"/>
  <c r="CH16" i="162" s="1"/>
  <c r="BS16" i="162"/>
  <c r="CG16" i="162" s="1"/>
  <c r="BQ16" i="162"/>
  <c r="CE16" i="162" s="1"/>
  <c r="CB16" i="162"/>
  <c r="BP16" i="162" s="1"/>
  <c r="CD16" i="162" s="1"/>
  <c r="BX16" i="162"/>
  <c r="BW16" i="162"/>
  <c r="BU16" i="162" s="1"/>
  <c r="CI16" i="162" s="1"/>
  <c r="BZ16" i="160"/>
  <c r="CB16" i="160"/>
  <c r="BP16" i="160" s="1"/>
  <c r="CD16" i="160" s="1"/>
  <c r="BY16" i="160"/>
  <c r="BW16" i="160"/>
  <c r="BU16" i="160" s="1"/>
  <c r="CI16" i="160" s="1"/>
  <c r="BQ16" i="159"/>
  <c r="CE16" i="159" s="1"/>
  <c r="CA16" i="159"/>
  <c r="BS16" i="159"/>
  <c r="CG16" i="159" s="1"/>
  <c r="BT16" i="159"/>
  <c r="CH16" i="159" s="1"/>
  <c r="BQ16" i="163" l="1"/>
  <c r="CE16" i="163" s="1"/>
  <c r="CR16" i="162"/>
  <c r="CP16" i="162"/>
  <c r="CO16" i="162"/>
  <c r="CQ16" i="162"/>
  <c r="CK16" i="162"/>
  <c r="CZ16" i="162"/>
  <c r="CM16" i="162"/>
  <c r="CL16" i="162"/>
  <c r="CV16" i="162"/>
  <c r="CN16" i="162"/>
  <c r="CT16" i="162"/>
  <c r="CS16" i="162"/>
  <c r="CU16" i="162"/>
  <c r="CW16" i="162"/>
  <c r="CY16" i="162"/>
  <c r="CX16" i="162"/>
  <c r="CK16" i="159"/>
  <c r="CL16" i="159"/>
  <c r="CS16" i="159"/>
  <c r="CQ16" i="159"/>
  <c r="CR16" i="159"/>
  <c r="CN16" i="159"/>
  <c r="CO16" i="159"/>
  <c r="CM16" i="159"/>
  <c r="CP16" i="159"/>
  <c r="CW16" i="159"/>
  <c r="CT16" i="159"/>
  <c r="CV16" i="159"/>
  <c r="CU16" i="159"/>
  <c r="CX16" i="159"/>
  <c r="CY16" i="159"/>
  <c r="CZ16" i="159"/>
  <c r="BS16" i="163"/>
  <c r="CG16" i="163" s="1"/>
  <c r="CM16" i="163" s="1"/>
  <c r="BU16" i="163"/>
  <c r="CI16" i="163" s="1"/>
  <c r="BT16" i="163"/>
  <c r="CH16" i="163" s="1"/>
  <c r="BR16" i="160"/>
  <c r="CF16" i="160" s="1"/>
  <c r="BQ16" i="160"/>
  <c r="CE16" i="160" s="1"/>
  <c r="BT16" i="160"/>
  <c r="CH16" i="160" s="1"/>
  <c r="BS16" i="160"/>
  <c r="CG16" i="160" s="1"/>
  <c r="CN16" i="160" s="1"/>
  <c r="CP16" i="160" l="1"/>
  <c r="CO16" i="160"/>
  <c r="R5" i="79" s="1"/>
  <c r="CX16" i="160"/>
  <c r="CK16" i="160"/>
  <c r="CL16" i="163"/>
  <c r="CY16" i="163"/>
  <c r="CR16" i="163"/>
  <c r="CX16" i="163"/>
  <c r="CP16" i="163"/>
  <c r="CW16" i="160"/>
  <c r="CQ16" i="160"/>
  <c r="T5" i="79" s="1"/>
  <c r="CQ16" i="163"/>
  <c r="CW16" i="163"/>
  <c r="CV16" i="163"/>
  <c r="CY16" i="160"/>
  <c r="CU16" i="160"/>
  <c r="CU16" i="163"/>
  <c r="CK16" i="163"/>
  <c r="CT16" i="160"/>
  <c r="CM16" i="160"/>
  <c r="CZ16" i="163"/>
  <c r="CO16" i="163"/>
  <c r="CZ16" i="160"/>
  <c r="CV16" i="160"/>
  <c r="CT16" i="163"/>
  <c r="CN16" i="163"/>
  <c r="CS16" i="160"/>
  <c r="CL16" i="160"/>
  <c r="S5" i="79"/>
  <c r="CS16" i="163"/>
  <c r="CR16" i="160"/>
  <c r="U5" i="79" s="1"/>
  <c r="P7" i="158"/>
  <c r="L3" i="158"/>
  <c r="BU13" i="158" s="1"/>
  <c r="K3" i="158"/>
  <c r="BT13" i="158" s="1"/>
  <c r="J3" i="158"/>
  <c r="BS13" i="158" s="1"/>
  <c r="G3" i="158"/>
  <c r="BQ13" i="158" s="1"/>
  <c r="H3" i="158"/>
  <c r="BR13" i="158" s="1"/>
  <c r="F3" i="158"/>
  <c r="BP13" i="158" s="1"/>
  <c r="BJ16" i="158"/>
  <c r="BE16" i="158"/>
  <c r="AZ16" i="158"/>
  <c r="AU16" i="158"/>
  <c r="CA16" i="158" s="1"/>
  <c r="AP16" i="158"/>
  <c r="AK16" i="158"/>
  <c r="BZ16" i="158" s="1"/>
  <c r="AD16" i="158"/>
  <c r="Y16" i="158"/>
  <c r="T16" i="158"/>
  <c r="O16" i="158"/>
  <c r="J16" i="158"/>
  <c r="E16" i="158"/>
  <c r="BU12" i="158"/>
  <c r="CI15" i="158" s="1"/>
  <c r="BT12" i="158"/>
  <c r="CH15" i="158" s="1"/>
  <c r="BS12" i="158"/>
  <c r="CG15" i="158" s="1"/>
  <c r="BR12" i="158"/>
  <c r="CF15" i="158" s="1"/>
  <c r="BQ12" i="158"/>
  <c r="CE15" i="158" s="1"/>
  <c r="BP12" i="158"/>
  <c r="CD15" i="158" s="1"/>
  <c r="CB16" i="158" l="1"/>
  <c r="K5" i="79"/>
  <c r="L5" i="79" s="1"/>
  <c r="BQ16" i="158"/>
  <c r="CE16" i="158" s="1"/>
  <c r="BR16" i="158"/>
  <c r="CF16" i="158" s="1"/>
  <c r="BP16" i="158"/>
  <c r="CD16" i="158" s="1"/>
  <c r="I5" i="79"/>
  <c r="BW16" i="158"/>
  <c r="G5" i="79"/>
  <c r="BY16" i="158"/>
  <c r="E5" i="79"/>
  <c r="BX16" i="158"/>
  <c r="H5" i="79"/>
  <c r="AJ15" i="79"/>
  <c r="AK15" i="79"/>
  <c r="AL15" i="79"/>
  <c r="AM15" i="79"/>
  <c r="AJ16" i="79"/>
  <c r="AK16" i="79"/>
  <c r="AL16" i="79"/>
  <c r="AM16" i="79"/>
  <c r="AJ17" i="79"/>
  <c r="AK17" i="79"/>
  <c r="AL17" i="79"/>
  <c r="AM17" i="79"/>
  <c r="AJ14" i="79"/>
  <c r="AK14" i="79"/>
  <c r="AX9" i="79" s="1"/>
  <c r="AM14" i="79"/>
  <c r="AW9" i="79" s="1"/>
  <c r="AL14" i="79"/>
  <c r="AM10" i="79"/>
  <c r="AM11" i="79"/>
  <c r="AM12" i="79"/>
  <c r="AW10" i="79" s="1"/>
  <c r="AM13" i="79"/>
  <c r="AL11" i="79"/>
  <c r="AL12" i="79"/>
  <c r="AX10" i="79" s="1"/>
  <c r="AL13" i="79"/>
  <c r="AL10" i="79"/>
  <c r="BB10" i="79" l="1"/>
  <c r="AW14" i="79"/>
  <c r="AW17" i="79" s="1"/>
  <c r="AW15" i="79"/>
  <c r="AV20" i="79"/>
  <c r="BC10" i="79"/>
  <c r="AW20" i="79"/>
  <c r="E9" i="158"/>
  <c r="U16" i="158" s="1"/>
  <c r="V16" i="158" s="1"/>
  <c r="BT16" i="158"/>
  <c r="CH16" i="158" s="1"/>
  <c r="BS16" i="158"/>
  <c r="CG16" i="158" s="1"/>
  <c r="BU16" i="158"/>
  <c r="CI16" i="158" s="1"/>
  <c r="J12" i="159"/>
  <c r="D12" i="163"/>
  <c r="D12" i="159"/>
  <c r="J12" i="163"/>
  <c r="D9" i="163"/>
  <c r="J9" i="163"/>
  <c r="D12" i="160"/>
  <c r="J11" i="159"/>
  <c r="J11" i="163"/>
  <c r="D11" i="163"/>
  <c r="D11" i="160"/>
  <c r="J8" i="163"/>
  <c r="D8" i="163"/>
  <c r="D11" i="159"/>
  <c r="E6" i="158"/>
  <c r="K16" i="158" s="1"/>
  <c r="L16" i="158" s="1"/>
  <c r="E6" i="162"/>
  <c r="K16" i="162" s="1"/>
  <c r="L16" i="162" s="1"/>
  <c r="E6" i="159"/>
  <c r="K16" i="159" s="1"/>
  <c r="L16" i="159" s="1"/>
  <c r="E6" i="160"/>
  <c r="K16" i="160" s="1"/>
  <c r="L16" i="160" s="1"/>
  <c r="K6" i="162"/>
  <c r="AQ16" i="162" s="1"/>
  <c r="AR16" i="162" s="1"/>
  <c r="K6" i="163"/>
  <c r="AQ16" i="163" s="1"/>
  <c r="AR16" i="163" s="1"/>
  <c r="K6" i="159"/>
  <c r="AQ16" i="159" s="1"/>
  <c r="AR16" i="159" s="1"/>
  <c r="K6" i="160"/>
  <c r="AQ16" i="160" s="1"/>
  <c r="AR16" i="160" s="1"/>
  <c r="E6" i="163"/>
  <c r="K16" i="163" s="1"/>
  <c r="L16" i="163" s="1"/>
  <c r="D11" i="162"/>
  <c r="J11" i="160"/>
  <c r="J11" i="162"/>
  <c r="D11" i="158"/>
  <c r="J8" i="159"/>
  <c r="J8" i="162"/>
  <c r="D8" i="160"/>
  <c r="D8" i="162"/>
  <c r="D8" i="159"/>
  <c r="J8" i="160"/>
  <c r="E11" i="158"/>
  <c r="Z16" i="158" s="1"/>
  <c r="AA16" i="158" s="1"/>
  <c r="K8" i="162"/>
  <c r="AV16" i="162" s="1"/>
  <c r="AW16" i="162" s="1"/>
  <c r="K8" i="160"/>
  <c r="AV16" i="160" s="1"/>
  <c r="AW16" i="160" s="1"/>
  <c r="E8" i="160"/>
  <c r="P16" i="160" s="1"/>
  <c r="Q16" i="160" s="1"/>
  <c r="K8" i="159"/>
  <c r="AV16" i="159" s="1"/>
  <c r="AW16" i="159" s="1"/>
  <c r="E8" i="159"/>
  <c r="P16" i="159" s="1"/>
  <c r="Q16" i="159" s="1"/>
  <c r="E8" i="162"/>
  <c r="P16" i="162" s="1"/>
  <c r="Q16" i="162" s="1"/>
  <c r="E12" i="158"/>
  <c r="AE16" i="158" s="1"/>
  <c r="AF16" i="158" s="1"/>
  <c r="E9" i="160"/>
  <c r="K9" i="159"/>
  <c r="BA16" i="159" s="1"/>
  <c r="BB16" i="159" s="1"/>
  <c r="K9" i="160"/>
  <c r="BA16" i="160" s="1"/>
  <c r="BB16" i="160" s="1"/>
  <c r="E9" i="162"/>
  <c r="U16" i="162" s="1"/>
  <c r="V16" i="162" s="1"/>
  <c r="E9" i="159"/>
  <c r="K9" i="162"/>
  <c r="BA16" i="162" s="1"/>
  <c r="BB16" i="162" s="1"/>
  <c r="K12" i="158"/>
  <c r="BK16" i="158" s="1"/>
  <c r="BL16" i="158" s="1"/>
  <c r="E12" i="162"/>
  <c r="K12" i="162"/>
  <c r="BK16" i="162" s="1"/>
  <c r="BL16" i="162" s="1"/>
  <c r="K12" i="160"/>
  <c r="BK16" i="160" s="1"/>
  <c r="BL16" i="160" s="1"/>
  <c r="E12" i="160"/>
  <c r="AE16" i="160" s="1"/>
  <c r="AF16" i="160" s="1"/>
  <c r="K12" i="163"/>
  <c r="BK16" i="163" s="1"/>
  <c r="BL16" i="163" s="1"/>
  <c r="E9" i="163"/>
  <c r="U16" i="163" s="1"/>
  <c r="V16" i="163" s="1"/>
  <c r="E12" i="163"/>
  <c r="AE16" i="163" s="1"/>
  <c r="AF16" i="163" s="1"/>
  <c r="E12" i="159"/>
  <c r="AE16" i="159" s="1"/>
  <c r="AF16" i="159" s="1"/>
  <c r="K12" i="159"/>
  <c r="BK16" i="159" s="1"/>
  <c r="BL16" i="159" s="1"/>
  <c r="K9" i="163"/>
  <c r="BA16" i="163" s="1"/>
  <c r="BB16" i="163" s="1"/>
  <c r="E11" i="163"/>
  <c r="Z16" i="163" s="1"/>
  <c r="AA16" i="163" s="1"/>
  <c r="K11" i="163"/>
  <c r="BF16" i="163" s="1"/>
  <c r="BG16" i="163" s="1"/>
  <c r="E8" i="163"/>
  <c r="P16" i="163" s="1"/>
  <c r="Q16" i="163" s="1"/>
  <c r="E11" i="160"/>
  <c r="Z16" i="160" s="1"/>
  <c r="AA16" i="160" s="1"/>
  <c r="K8" i="163"/>
  <c r="AV16" i="163" s="1"/>
  <c r="AW16" i="163" s="1"/>
  <c r="K11" i="159"/>
  <c r="BF16" i="159" s="1"/>
  <c r="BG16" i="159" s="1"/>
  <c r="E11" i="159"/>
  <c r="Z16" i="159" s="1"/>
  <c r="AA16" i="159" s="1"/>
  <c r="D12" i="158"/>
  <c r="D9" i="159"/>
  <c r="D9" i="160"/>
  <c r="J9" i="160"/>
  <c r="J9" i="159"/>
  <c r="J9" i="162"/>
  <c r="N9" i="162" s="1"/>
  <c r="D9" i="162"/>
  <c r="J6" i="158"/>
  <c r="J12" i="162"/>
  <c r="N12" i="162" s="1"/>
  <c r="D12" i="162"/>
  <c r="J12" i="160"/>
  <c r="D5" i="158"/>
  <c r="J5" i="163"/>
  <c r="D5" i="160"/>
  <c r="J5" i="162"/>
  <c r="J5" i="159"/>
  <c r="D5" i="163"/>
  <c r="D5" i="162"/>
  <c r="D5" i="159"/>
  <c r="J5" i="160"/>
  <c r="K11" i="160"/>
  <c r="BF16" i="160" s="1"/>
  <c r="BG16" i="160" s="1"/>
  <c r="K11" i="162"/>
  <c r="BF16" i="162" s="1"/>
  <c r="BG16" i="162" s="1"/>
  <c r="E11" i="162"/>
  <c r="D6" i="158"/>
  <c r="D6" i="162"/>
  <c r="D6" i="160"/>
  <c r="J6" i="162"/>
  <c r="J6" i="160"/>
  <c r="J6" i="159"/>
  <c r="J6" i="163"/>
  <c r="D6" i="159"/>
  <c r="D6" i="163"/>
  <c r="E5" i="158"/>
  <c r="F16" i="158" s="1"/>
  <c r="G16" i="158" s="1"/>
  <c r="E5" i="163"/>
  <c r="F16" i="163" s="1"/>
  <c r="K5" i="163"/>
  <c r="AL16" i="163" s="1"/>
  <c r="E5" i="160"/>
  <c r="F16" i="160" s="1"/>
  <c r="K5" i="162"/>
  <c r="AL16" i="162" s="1"/>
  <c r="K5" i="159"/>
  <c r="AL16" i="159" s="1"/>
  <c r="E5" i="162"/>
  <c r="F16" i="162" s="1"/>
  <c r="E5" i="159"/>
  <c r="F16" i="159" s="1"/>
  <c r="K5" i="160"/>
  <c r="AL16" i="160" s="1"/>
  <c r="K9" i="158"/>
  <c r="BA16" i="158" s="1"/>
  <c r="BB16" i="158" s="1"/>
  <c r="K6" i="158"/>
  <c r="AQ16" i="158" s="1"/>
  <c r="AR16" i="158" s="1"/>
  <c r="J9" i="158"/>
  <c r="D9" i="158"/>
  <c r="J5" i="158"/>
  <c r="J8" i="158"/>
  <c r="J11" i="158"/>
  <c r="D8" i="158"/>
  <c r="J12" i="158"/>
  <c r="K5" i="158"/>
  <c r="AL16" i="158" s="1"/>
  <c r="AM16" i="158" s="1"/>
  <c r="K8" i="158"/>
  <c r="AV16" i="158" s="1"/>
  <c r="AW16" i="158" s="1"/>
  <c r="K11" i="158"/>
  <c r="BF16" i="158" s="1"/>
  <c r="BG16" i="158" s="1"/>
  <c r="E8" i="158"/>
  <c r="P16" i="158" s="1"/>
  <c r="Q16" i="158" s="1"/>
  <c r="AN11" i="79"/>
  <c r="AN12" i="79"/>
  <c r="AN13" i="79"/>
  <c r="AN10" i="79"/>
  <c r="AJ11" i="79"/>
  <c r="AK11" i="79" s="1"/>
  <c r="AJ12" i="79"/>
  <c r="AK12" i="79" s="1"/>
  <c r="AJ13" i="79"/>
  <c r="AK13" i="79" s="1"/>
  <c r="AJ10" i="79"/>
  <c r="AK10" i="79" s="1"/>
  <c r="H9" i="158" l="1"/>
  <c r="CR16" i="158"/>
  <c r="AV21" i="79"/>
  <c r="BB15" i="79"/>
  <c r="BB14" i="79"/>
  <c r="BB17" i="79" s="1"/>
  <c r="H8" i="159"/>
  <c r="CX16" i="158"/>
  <c r="AA5" i="79" s="1"/>
  <c r="CV16" i="158"/>
  <c r="Y5" i="79" s="1"/>
  <c r="CW16" i="158"/>
  <c r="Z5" i="79" s="1"/>
  <c r="CQ16" i="158"/>
  <c r="CS16" i="158"/>
  <c r="V5" i="79" s="1"/>
  <c r="CN16" i="158"/>
  <c r="Q5" i="79" s="1"/>
  <c r="CU16" i="158"/>
  <c r="X5" i="79" s="1"/>
  <c r="CM16" i="158"/>
  <c r="P5" i="79" s="1"/>
  <c r="CY16" i="158"/>
  <c r="AB5" i="79" s="1"/>
  <c r="CP16" i="158"/>
  <c r="CL16" i="158"/>
  <c r="O5" i="79" s="1"/>
  <c r="CT16" i="158"/>
  <c r="W5" i="79" s="1"/>
  <c r="CK16" i="158"/>
  <c r="N5" i="79" s="1"/>
  <c r="CZ16" i="158"/>
  <c r="AC5" i="79" s="1"/>
  <c r="CO16" i="158"/>
  <c r="N5" i="162"/>
  <c r="H9" i="162"/>
  <c r="N6" i="160"/>
  <c r="N6" i="162"/>
  <c r="N12" i="160"/>
  <c r="N6" i="159"/>
  <c r="H6" i="160"/>
  <c r="H11" i="158"/>
  <c r="N6" i="163"/>
  <c r="N9" i="159"/>
  <c r="N9" i="158"/>
  <c r="H5" i="158"/>
  <c r="N9" i="160"/>
  <c r="N8" i="162"/>
  <c r="H6" i="163"/>
  <c r="H6" i="158"/>
  <c r="N5" i="159"/>
  <c r="N8" i="160"/>
  <c r="N11" i="160"/>
  <c r="N11" i="163"/>
  <c r="N11" i="159"/>
  <c r="G8" i="160"/>
  <c r="R16" i="160" s="1"/>
  <c r="S16" i="160" s="1"/>
  <c r="W16" i="160" s="1"/>
  <c r="M8" i="162"/>
  <c r="AX16" i="162" s="1"/>
  <c r="AY16" i="162" s="1"/>
  <c r="BC16" i="162" s="1"/>
  <c r="M8" i="159"/>
  <c r="AX16" i="159" s="1"/>
  <c r="AY16" i="159" s="1"/>
  <c r="BC16" i="159" s="1"/>
  <c r="G8" i="159"/>
  <c r="R16" i="159" s="1"/>
  <c r="S16" i="159" s="1"/>
  <c r="W16" i="159" s="1"/>
  <c r="G8" i="162"/>
  <c r="R16" i="162" s="1"/>
  <c r="S16" i="162" s="1"/>
  <c r="W16" i="162" s="1"/>
  <c r="M8" i="160"/>
  <c r="AX16" i="160" s="1"/>
  <c r="AY16" i="160" s="1"/>
  <c r="BC16" i="160" s="1"/>
  <c r="H12" i="158"/>
  <c r="AM16" i="159"/>
  <c r="H5" i="160"/>
  <c r="H8" i="162"/>
  <c r="H12" i="160"/>
  <c r="H12" i="162"/>
  <c r="AE16" i="162"/>
  <c r="AF16" i="162" s="1"/>
  <c r="M8" i="163"/>
  <c r="AX16" i="163" s="1"/>
  <c r="AY16" i="163" s="1"/>
  <c r="BC16" i="163" s="1"/>
  <c r="M11" i="163"/>
  <c r="BH16" i="163" s="1"/>
  <c r="BI16" i="163" s="1"/>
  <c r="BM16" i="163" s="1"/>
  <c r="G11" i="160"/>
  <c r="AB16" i="160" s="1"/>
  <c r="AC16" i="160" s="1"/>
  <c r="AG16" i="160" s="1"/>
  <c r="G11" i="163"/>
  <c r="AB16" i="163" s="1"/>
  <c r="AC16" i="163" s="1"/>
  <c r="AG16" i="163" s="1"/>
  <c r="M11" i="159"/>
  <c r="BH16" i="159" s="1"/>
  <c r="BI16" i="159" s="1"/>
  <c r="BM16" i="159" s="1"/>
  <c r="G11" i="159"/>
  <c r="AB16" i="159" s="1"/>
  <c r="AC16" i="159" s="1"/>
  <c r="AG16" i="159" s="1"/>
  <c r="G8" i="163"/>
  <c r="R16" i="163" s="1"/>
  <c r="S16" i="163" s="1"/>
  <c r="W16" i="163" s="1"/>
  <c r="N12" i="158"/>
  <c r="AM16" i="162"/>
  <c r="N5" i="163"/>
  <c r="H9" i="159"/>
  <c r="U16" i="159"/>
  <c r="V16" i="159" s="1"/>
  <c r="H8" i="160"/>
  <c r="H11" i="159"/>
  <c r="N9" i="163"/>
  <c r="G16" i="159"/>
  <c r="M5" i="163"/>
  <c r="AN16" i="163" s="1"/>
  <c r="AO16" i="163" s="1"/>
  <c r="AS16" i="163" s="1"/>
  <c r="M5" i="160"/>
  <c r="AN16" i="160" s="1"/>
  <c r="AO16" i="160" s="1"/>
  <c r="AS16" i="160" s="1"/>
  <c r="M5" i="159"/>
  <c r="AN16" i="159" s="1"/>
  <c r="AO16" i="159" s="1"/>
  <c r="AS16" i="159" s="1"/>
  <c r="G5" i="160"/>
  <c r="H16" i="160" s="1"/>
  <c r="I16" i="160" s="1"/>
  <c r="M16" i="160" s="1"/>
  <c r="M5" i="162"/>
  <c r="AN16" i="162" s="1"/>
  <c r="AO16" i="162" s="1"/>
  <c r="AS16" i="162" s="1"/>
  <c r="G5" i="162"/>
  <c r="H16" i="162" s="1"/>
  <c r="I16" i="162" s="1"/>
  <c r="M16" i="162" s="1"/>
  <c r="G5" i="163"/>
  <c r="H16" i="163" s="1"/>
  <c r="I16" i="163" s="1"/>
  <c r="M16" i="163" s="1"/>
  <c r="G5" i="159"/>
  <c r="H16" i="159" s="1"/>
  <c r="I16" i="159" s="1"/>
  <c r="M16" i="159" s="1"/>
  <c r="H11" i="162"/>
  <c r="Z16" i="162"/>
  <c r="AA16" i="162" s="1"/>
  <c r="M11" i="162"/>
  <c r="BH16" i="162" s="1"/>
  <c r="BI16" i="162" s="1"/>
  <c r="BM16" i="162" s="1"/>
  <c r="G11" i="162"/>
  <c r="AB16" i="162" s="1"/>
  <c r="AC16" i="162" s="1"/>
  <c r="AG16" i="162" s="1"/>
  <c r="M11" i="160"/>
  <c r="BH16" i="160" s="1"/>
  <c r="BI16" i="160" s="1"/>
  <c r="BM16" i="160" s="1"/>
  <c r="G16" i="160"/>
  <c r="N5" i="160"/>
  <c r="H8" i="163"/>
  <c r="H9" i="163"/>
  <c r="AM16" i="163"/>
  <c r="H5" i="159"/>
  <c r="N8" i="159"/>
  <c r="N8" i="163"/>
  <c r="N12" i="163"/>
  <c r="H6" i="159"/>
  <c r="G16" i="163"/>
  <c r="H5" i="162"/>
  <c r="H11" i="160"/>
  <c r="H12" i="159"/>
  <c r="G16" i="162"/>
  <c r="AM16" i="160"/>
  <c r="H6" i="162"/>
  <c r="H5" i="163"/>
  <c r="H9" i="160"/>
  <c r="U16" i="160"/>
  <c r="V16" i="160" s="1"/>
  <c r="N11" i="162"/>
  <c r="H11" i="163"/>
  <c r="H12" i="163"/>
  <c r="N12" i="159"/>
  <c r="N11" i="158"/>
  <c r="N8" i="158"/>
  <c r="N5" i="158"/>
  <c r="N6" i="158"/>
  <c r="H8" i="158"/>
  <c r="G5" i="158"/>
  <c r="G11" i="158"/>
  <c r="AB16" i="158" s="1"/>
  <c r="AC16" i="158" s="1"/>
  <c r="AG16" i="158" s="1"/>
  <c r="AD17" i="158" s="1"/>
  <c r="M5" i="158"/>
  <c r="AN16" i="158" s="1"/>
  <c r="AO16" i="158" s="1"/>
  <c r="AS16" i="158" s="1"/>
  <c r="AP17" i="158" s="1"/>
  <c r="M8" i="158"/>
  <c r="AX16" i="158" s="1"/>
  <c r="AY16" i="158" s="1"/>
  <c r="BC16" i="158" s="1"/>
  <c r="AZ17" i="158" s="1"/>
  <c r="M11" i="158"/>
  <c r="BH16" i="158" s="1"/>
  <c r="BI16" i="158" s="1"/>
  <c r="BM16" i="158" s="1"/>
  <c r="BJ17" i="158" s="1"/>
  <c r="G8" i="158"/>
  <c r="R16" i="158" s="1"/>
  <c r="S16" i="158" s="1"/>
  <c r="W16" i="158" s="1"/>
  <c r="T17" i="158" s="1"/>
  <c r="U17" i="158" s="1"/>
  <c r="V17" i="158" s="1"/>
  <c r="O17" i="162" l="1"/>
  <c r="R17" i="162" s="1"/>
  <c r="AK17" i="163"/>
  <c r="AN17" i="163" s="1"/>
  <c r="O17" i="159"/>
  <c r="P17" i="159" s="1"/>
  <c r="Q17" i="159" s="1"/>
  <c r="J17" i="163"/>
  <c r="K17" i="163" s="1"/>
  <c r="L17" i="163" s="1"/>
  <c r="T17" i="159"/>
  <c r="E17" i="162"/>
  <c r="F17" i="162" s="1"/>
  <c r="G17" i="162" s="1"/>
  <c r="AZ17" i="163"/>
  <c r="BA17" i="163" s="1"/>
  <c r="BB17" i="163" s="1"/>
  <c r="AU17" i="162"/>
  <c r="AX17" i="162" s="1"/>
  <c r="BE17" i="163"/>
  <c r="BH17" i="163" s="1"/>
  <c r="J17" i="160"/>
  <c r="K17" i="160" s="1"/>
  <c r="L17" i="160" s="1"/>
  <c r="AP17" i="163"/>
  <c r="AQ17" i="163" s="1"/>
  <c r="AR17" i="163" s="1"/>
  <c r="AP17" i="159"/>
  <c r="AQ17" i="159" s="1"/>
  <c r="AR17" i="159" s="1"/>
  <c r="AK17" i="162"/>
  <c r="AL17" i="162" s="1"/>
  <c r="AM17" i="162" s="1"/>
  <c r="J17" i="159"/>
  <c r="K17" i="159" s="1"/>
  <c r="L17" i="159" s="1"/>
  <c r="AD17" i="159"/>
  <c r="AE17" i="159" s="1"/>
  <c r="AF17" i="159" s="1"/>
  <c r="AD17" i="160"/>
  <c r="AE17" i="160" s="1"/>
  <c r="AF17" i="160" s="1"/>
  <c r="AP17" i="160"/>
  <c r="AQ17" i="160" s="1"/>
  <c r="AR17" i="160" s="1"/>
  <c r="AU17" i="159"/>
  <c r="AX17" i="159" s="1"/>
  <c r="T17" i="160"/>
  <c r="AU17" i="160"/>
  <c r="AV17" i="160" s="1"/>
  <c r="AW17" i="160" s="1"/>
  <c r="BE17" i="159"/>
  <c r="BH17" i="159" s="1"/>
  <c r="O17" i="160"/>
  <c r="R17" i="160" s="1"/>
  <c r="BJ17" i="163"/>
  <c r="AZ17" i="159"/>
  <c r="BA17" i="159" s="1"/>
  <c r="BB17" i="159" s="1"/>
  <c r="T17" i="162"/>
  <c r="U17" i="162" s="1"/>
  <c r="V17" i="162" s="1"/>
  <c r="BJ17" i="162"/>
  <c r="BK17" i="162" s="1"/>
  <c r="BL17" i="162" s="1"/>
  <c r="BJ17" i="159"/>
  <c r="AD17" i="163"/>
  <c r="Y17" i="162"/>
  <c r="E17" i="159"/>
  <c r="Y17" i="163"/>
  <c r="AP17" i="162"/>
  <c r="E17" i="163"/>
  <c r="BJ17" i="160"/>
  <c r="AK17" i="160"/>
  <c r="AK17" i="159"/>
  <c r="AD17" i="162"/>
  <c r="AE17" i="158"/>
  <c r="AF17" i="158" s="1"/>
  <c r="AZ17" i="162"/>
  <c r="AZ17" i="160"/>
  <c r="J17" i="162"/>
  <c r="Y17" i="159"/>
  <c r="BE17" i="160"/>
  <c r="Y17" i="160"/>
  <c r="BE17" i="162"/>
  <c r="O17" i="163"/>
  <c r="E17" i="160"/>
  <c r="AU17" i="163"/>
  <c r="T17" i="163"/>
  <c r="O17" i="158"/>
  <c r="BX17" i="158" s="1"/>
  <c r="AK17" i="158"/>
  <c r="AN17" i="158" s="1"/>
  <c r="AO17" i="158" s="1"/>
  <c r="AS17" i="158" s="1"/>
  <c r="H16" i="158"/>
  <c r="I16" i="158" s="1"/>
  <c r="AU17" i="158"/>
  <c r="CA17" i="158" s="1"/>
  <c r="BE17" i="158"/>
  <c r="CB17" i="158" s="1"/>
  <c r="Y17" i="158"/>
  <c r="AQ17" i="158"/>
  <c r="AR17" i="158" s="1"/>
  <c r="BA17" i="158"/>
  <c r="BB17" i="158" s="1"/>
  <c r="BK17" i="158"/>
  <c r="BL17" i="158" s="1"/>
  <c r="P17" i="162" l="1"/>
  <c r="Q17" i="162" s="1"/>
  <c r="BX17" i="159"/>
  <c r="AN17" i="162"/>
  <c r="BI17" i="163"/>
  <c r="BM17" i="163" s="1"/>
  <c r="BF17" i="159"/>
  <c r="BG17" i="159" s="1"/>
  <c r="CA17" i="162"/>
  <c r="AV17" i="162"/>
  <c r="AW17" i="162" s="1"/>
  <c r="AY17" i="159"/>
  <c r="BC17" i="159" s="1"/>
  <c r="BY17" i="162"/>
  <c r="BT17" i="162" s="1"/>
  <c r="CH17" i="162" s="1"/>
  <c r="U17" i="159"/>
  <c r="V17" i="159" s="1"/>
  <c r="H17" i="162"/>
  <c r="AL17" i="163"/>
  <c r="AM17" i="163" s="1"/>
  <c r="BF17" i="163"/>
  <c r="BG17" i="163" s="1"/>
  <c r="R17" i="159"/>
  <c r="S17" i="159" s="1"/>
  <c r="W17" i="159" s="1"/>
  <c r="P17" i="160"/>
  <c r="Q17" i="160" s="1"/>
  <c r="F6" i="79"/>
  <c r="CB17" i="159"/>
  <c r="BX17" i="160"/>
  <c r="H6" i="79"/>
  <c r="G6" i="79"/>
  <c r="CA17" i="160"/>
  <c r="CB17" i="163"/>
  <c r="CA17" i="159"/>
  <c r="AV17" i="159"/>
  <c r="AW17" i="159" s="1"/>
  <c r="AO17" i="163"/>
  <c r="AS17" i="163" s="1"/>
  <c r="AX17" i="160"/>
  <c r="AY17" i="160" s="1"/>
  <c r="BC17" i="160" s="1"/>
  <c r="S17" i="160"/>
  <c r="W17" i="160" s="1"/>
  <c r="BK17" i="163"/>
  <c r="BL17" i="163" s="1"/>
  <c r="BZ17" i="163"/>
  <c r="BP17" i="163" s="1"/>
  <c r="CD17" i="163" s="1"/>
  <c r="U17" i="160"/>
  <c r="V17" i="160" s="1"/>
  <c r="BK17" i="159"/>
  <c r="BL17" i="159" s="1"/>
  <c r="BI17" i="159"/>
  <c r="BM17" i="159" s="1"/>
  <c r="K6" i="79"/>
  <c r="BX17" i="162"/>
  <c r="I17" i="162"/>
  <c r="M17" i="162" s="1"/>
  <c r="S17" i="162"/>
  <c r="W17" i="162" s="1"/>
  <c r="AQ17" i="162"/>
  <c r="J6" i="79"/>
  <c r="AE17" i="162"/>
  <c r="AF17" i="162" s="1"/>
  <c r="AL17" i="159"/>
  <c r="AN17" i="159"/>
  <c r="AO17" i="159" s="1"/>
  <c r="AS17" i="159" s="1"/>
  <c r="BZ17" i="159"/>
  <c r="AX17" i="163"/>
  <c r="AY17" i="163" s="1"/>
  <c r="BC17" i="163" s="1"/>
  <c r="AV17" i="163"/>
  <c r="AW17" i="163" s="1"/>
  <c r="CA17" i="163"/>
  <c r="BZ17" i="160"/>
  <c r="AN17" i="160"/>
  <c r="AO17" i="160" s="1"/>
  <c r="AS17" i="160" s="1"/>
  <c r="AL17" i="160"/>
  <c r="AE17" i="163"/>
  <c r="AF17" i="163" s="1"/>
  <c r="BH17" i="160"/>
  <c r="BI17" i="160" s="1"/>
  <c r="BM17" i="160" s="1"/>
  <c r="BF17" i="160"/>
  <c r="BG17" i="160" s="1"/>
  <c r="U17" i="163"/>
  <c r="V17" i="163" s="1"/>
  <c r="BW17" i="158"/>
  <c r="F17" i="160"/>
  <c r="H17" i="160"/>
  <c r="I17" i="160" s="1"/>
  <c r="M17" i="160" s="1"/>
  <c r="BY17" i="160"/>
  <c r="BZ17" i="162"/>
  <c r="BX17" i="163"/>
  <c r="R17" i="163"/>
  <c r="S17" i="163" s="1"/>
  <c r="W17" i="163" s="1"/>
  <c r="P17" i="163"/>
  <c r="Q17" i="163" s="1"/>
  <c r="Z17" i="159"/>
  <c r="AA17" i="159" s="1"/>
  <c r="AB17" i="159"/>
  <c r="AC17" i="159" s="1"/>
  <c r="AG17" i="159" s="1"/>
  <c r="BW17" i="159"/>
  <c r="F17" i="159"/>
  <c r="BY17" i="159"/>
  <c r="H17" i="159"/>
  <c r="I17" i="159" s="1"/>
  <c r="M17" i="159" s="1"/>
  <c r="AO17" i="162"/>
  <c r="AS17" i="162" s="1"/>
  <c r="BA17" i="162"/>
  <c r="BB17" i="162" s="1"/>
  <c r="AY17" i="162"/>
  <c r="BC17" i="162" s="1"/>
  <c r="BH17" i="162"/>
  <c r="BI17" i="162" s="1"/>
  <c r="BM17" i="162" s="1"/>
  <c r="BF17" i="162"/>
  <c r="BG17" i="162" s="1"/>
  <c r="CB17" i="162"/>
  <c r="BP17" i="162" s="1"/>
  <c r="CD17" i="162" s="1"/>
  <c r="K17" i="162"/>
  <c r="CB17" i="160"/>
  <c r="BP17" i="160" s="1"/>
  <c r="CD17" i="160" s="1"/>
  <c r="BK17" i="160"/>
  <c r="BL17" i="160" s="1"/>
  <c r="AB17" i="163"/>
  <c r="AC17" i="163" s="1"/>
  <c r="AG17" i="163" s="1"/>
  <c r="BW17" i="163"/>
  <c r="Z17" i="163"/>
  <c r="AA17" i="163" s="1"/>
  <c r="AB17" i="162"/>
  <c r="AC17" i="162" s="1"/>
  <c r="AG17" i="162" s="1"/>
  <c r="BW17" i="162"/>
  <c r="BU17" i="162" s="1"/>
  <c r="CI17" i="162" s="1"/>
  <c r="Z17" i="162"/>
  <c r="AA17" i="162" s="1"/>
  <c r="BW17" i="160"/>
  <c r="BU17" i="160" s="1"/>
  <c r="CI17" i="160" s="1"/>
  <c r="Z17" i="160"/>
  <c r="AA17" i="160" s="1"/>
  <c r="AB17" i="160"/>
  <c r="AC17" i="160" s="1"/>
  <c r="AG17" i="160" s="1"/>
  <c r="BA17" i="160"/>
  <c r="BB17" i="160" s="1"/>
  <c r="BY17" i="163"/>
  <c r="H17" i="163"/>
  <c r="I17" i="163" s="1"/>
  <c r="M17" i="163" s="1"/>
  <c r="F17" i="163"/>
  <c r="R17" i="158"/>
  <c r="S17" i="158" s="1"/>
  <c r="W17" i="158" s="1"/>
  <c r="P17" i="158"/>
  <c r="Q17" i="158" s="1"/>
  <c r="AL17" i="158"/>
  <c r="AM17" i="158" s="1"/>
  <c r="BZ17" i="158"/>
  <c r="M16" i="158"/>
  <c r="J17" i="158" s="1"/>
  <c r="E17" i="158"/>
  <c r="E6" i="79" s="1"/>
  <c r="Z17" i="158"/>
  <c r="AA17" i="158" s="1"/>
  <c r="BF17" i="158"/>
  <c r="BG17" i="158" s="1"/>
  <c r="AV17" i="158"/>
  <c r="AW17" i="158" s="1"/>
  <c r="AX17" i="158"/>
  <c r="AY17" i="158" s="1"/>
  <c r="BC17" i="158" s="1"/>
  <c r="BH17" i="158"/>
  <c r="BI17" i="158" s="1"/>
  <c r="BM17" i="158" s="1"/>
  <c r="AB17" i="158"/>
  <c r="AC17" i="158" s="1"/>
  <c r="AG17" i="158" s="1"/>
  <c r="L6" i="79" l="1"/>
  <c r="BR17" i="163"/>
  <c r="CF17" i="163" s="1"/>
  <c r="BS17" i="162"/>
  <c r="CG17" i="162" s="1"/>
  <c r="BQ17" i="163"/>
  <c r="CE17" i="163" s="1"/>
  <c r="BS17" i="160"/>
  <c r="CG17" i="160" s="1"/>
  <c r="BT17" i="160"/>
  <c r="CH17" i="160" s="1"/>
  <c r="AM17" i="160"/>
  <c r="G17" i="160"/>
  <c r="BR17" i="160"/>
  <c r="CF17" i="160" s="1"/>
  <c r="BQ17" i="160"/>
  <c r="CE17" i="160" s="1"/>
  <c r="BR17" i="159"/>
  <c r="CF17" i="159" s="1"/>
  <c r="BQ17" i="159"/>
  <c r="CE17" i="159" s="1"/>
  <c r="BP17" i="159"/>
  <c r="CD17" i="159" s="1"/>
  <c r="AR17" i="162"/>
  <c r="L17" i="162"/>
  <c r="BU17" i="159"/>
  <c r="CI17" i="159" s="1"/>
  <c r="BS17" i="159"/>
  <c r="CG17" i="159" s="1"/>
  <c r="BT17" i="159"/>
  <c r="CH17" i="159" s="1"/>
  <c r="G17" i="163"/>
  <c r="AK18" i="163" s="1"/>
  <c r="G17" i="159"/>
  <c r="AM17" i="159"/>
  <c r="BU17" i="163"/>
  <c r="CI17" i="163" s="1"/>
  <c r="BT17" i="163"/>
  <c r="CH17" i="163" s="1"/>
  <c r="BS17" i="163"/>
  <c r="CG17" i="163" s="1"/>
  <c r="BR17" i="162"/>
  <c r="CF17" i="162" s="1"/>
  <c r="BQ17" i="162"/>
  <c r="CE17" i="162" s="1"/>
  <c r="K17" i="158"/>
  <c r="L17" i="158" s="1"/>
  <c r="I6" i="79"/>
  <c r="BR17" i="158"/>
  <c r="CF17" i="158" s="1"/>
  <c r="BP17" i="158"/>
  <c r="CD17" i="158" s="1"/>
  <c r="BQ17" i="158"/>
  <c r="CE17" i="158" s="1"/>
  <c r="H17" i="158"/>
  <c r="I17" i="158" s="1"/>
  <c r="BY17" i="158"/>
  <c r="F17" i="158"/>
  <c r="G17" i="158" s="1"/>
  <c r="CN17" i="160" l="1"/>
  <c r="CR17" i="160"/>
  <c r="CR17" i="163"/>
  <c r="CN17" i="162"/>
  <c r="CO17" i="160"/>
  <c r="CX17" i="163"/>
  <c r="CN17" i="163"/>
  <c r="CY17" i="162"/>
  <c r="CO17" i="162"/>
  <c r="CX17" i="160"/>
  <c r="CP17" i="160"/>
  <c r="CY17" i="163"/>
  <c r="CL17" i="163"/>
  <c r="CW17" i="162"/>
  <c r="CP17" i="162"/>
  <c r="CK17" i="159"/>
  <c r="CP17" i="159"/>
  <c r="CN17" i="159"/>
  <c r="CQ17" i="159"/>
  <c r="CS17" i="159"/>
  <c r="CO17" i="159"/>
  <c r="CL17" i="159"/>
  <c r="CR17" i="159"/>
  <c r="CV17" i="159"/>
  <c r="CW17" i="159"/>
  <c r="CT17" i="159"/>
  <c r="CU17" i="159"/>
  <c r="CY17" i="159"/>
  <c r="CX17" i="159"/>
  <c r="CZ17" i="159"/>
  <c r="CW17" i="160"/>
  <c r="CM17" i="160"/>
  <c r="CW17" i="163"/>
  <c r="CM17" i="163"/>
  <c r="CX17" i="162"/>
  <c r="CV17" i="162"/>
  <c r="CY17" i="160"/>
  <c r="CL17" i="160"/>
  <c r="CT17" i="163"/>
  <c r="CK17" i="163"/>
  <c r="CU17" i="162"/>
  <c r="CZ17" i="162"/>
  <c r="CT17" i="160"/>
  <c r="CQ17" i="160"/>
  <c r="CU17" i="163"/>
  <c r="CP17" i="163"/>
  <c r="CS17" i="162"/>
  <c r="CM17" i="162"/>
  <c r="CZ17" i="160"/>
  <c r="CU17" i="160"/>
  <c r="CS17" i="163"/>
  <c r="CQ17" i="163"/>
  <c r="CT17" i="162"/>
  <c r="CR17" i="162"/>
  <c r="U6" i="79" s="1"/>
  <c r="CM17" i="159"/>
  <c r="CS17" i="160"/>
  <c r="CK17" i="160"/>
  <c r="CZ17" i="163"/>
  <c r="CV17" i="163"/>
  <c r="CK17" i="162"/>
  <c r="CQ17" i="162"/>
  <c r="CV17" i="160"/>
  <c r="CO17" i="163"/>
  <c r="CL17" i="162"/>
  <c r="O18" i="162"/>
  <c r="R18" i="162" s="1"/>
  <c r="BJ18" i="163"/>
  <c r="BK18" i="163" s="1"/>
  <c r="BL18" i="163" s="1"/>
  <c r="T18" i="159"/>
  <c r="U18" i="159" s="1"/>
  <c r="V18" i="159" s="1"/>
  <c r="BJ18" i="159"/>
  <c r="AD18" i="162"/>
  <c r="AE18" i="162" s="1"/>
  <c r="AF18" i="162" s="1"/>
  <c r="T18" i="162"/>
  <c r="BE18" i="159"/>
  <c r="BH18" i="159" s="1"/>
  <c r="J18" i="159"/>
  <c r="K18" i="159" s="1"/>
  <c r="L18" i="159" s="1"/>
  <c r="AU18" i="162"/>
  <c r="AU18" i="160"/>
  <c r="AV18" i="160" s="1"/>
  <c r="AW18" i="160" s="1"/>
  <c r="AD18" i="159"/>
  <c r="AE18" i="159" s="1"/>
  <c r="AF18" i="159" s="1"/>
  <c r="O18" i="160"/>
  <c r="P18" i="160" s="1"/>
  <c r="Q18" i="160" s="1"/>
  <c r="AZ18" i="162"/>
  <c r="BA18" i="162" s="1"/>
  <c r="BB18" i="162" s="1"/>
  <c r="AK18" i="159"/>
  <c r="AN18" i="159" s="1"/>
  <c r="AD18" i="160"/>
  <c r="AE18" i="160" s="1"/>
  <c r="AF18" i="160" s="1"/>
  <c r="O18" i="159"/>
  <c r="R18" i="159" s="1"/>
  <c r="AU18" i="159"/>
  <c r="AP18" i="163"/>
  <c r="BZ18" i="163" s="1"/>
  <c r="AK18" i="162"/>
  <c r="AP18" i="159"/>
  <c r="AZ18" i="163"/>
  <c r="Y18" i="160"/>
  <c r="E18" i="160"/>
  <c r="AP18" i="160"/>
  <c r="AL18" i="163"/>
  <c r="AM18" i="163" s="1"/>
  <c r="AN18" i="163"/>
  <c r="BJ18" i="162"/>
  <c r="BE18" i="162"/>
  <c r="Y18" i="162"/>
  <c r="E18" i="162"/>
  <c r="J18" i="162"/>
  <c r="K18" i="162" s="1"/>
  <c r="L18" i="162" s="1"/>
  <c r="BJ18" i="160"/>
  <c r="AZ18" i="160"/>
  <c r="AK18" i="160"/>
  <c r="BE18" i="160"/>
  <c r="AP18" i="162"/>
  <c r="Y18" i="159"/>
  <c r="E18" i="159"/>
  <c r="BE18" i="163"/>
  <c r="T18" i="160"/>
  <c r="AU18" i="163"/>
  <c r="J18" i="163"/>
  <c r="T18" i="163"/>
  <c r="AD18" i="163"/>
  <c r="Y18" i="163"/>
  <c r="E18" i="163"/>
  <c r="O18" i="163"/>
  <c r="AZ18" i="159"/>
  <c r="J18" i="160"/>
  <c r="BS17" i="158"/>
  <c r="CG17" i="158" s="1"/>
  <c r="BT17" i="158"/>
  <c r="CH17" i="158" s="1"/>
  <c r="BU17" i="158"/>
  <c r="CI17" i="158" s="1"/>
  <c r="M17" i="158"/>
  <c r="CX17" i="158" l="1"/>
  <c r="AA6" i="79" s="1"/>
  <c r="P18" i="162"/>
  <c r="Q18" i="162" s="1"/>
  <c r="S6" i="79"/>
  <c r="CM17" i="158"/>
  <c r="P6" i="79" s="1"/>
  <c r="CU17" i="158"/>
  <c r="X6" i="79" s="1"/>
  <c r="CL17" i="158"/>
  <c r="O6" i="79" s="1"/>
  <c r="CT17" i="158"/>
  <c r="W6" i="79" s="1"/>
  <c r="CK17" i="158"/>
  <c r="N6" i="79" s="1"/>
  <c r="CO17" i="158"/>
  <c r="BX18" i="162"/>
  <c r="CR17" i="158"/>
  <c r="CS17" i="158"/>
  <c r="V6" i="79" s="1"/>
  <c r="CV17" i="158"/>
  <c r="Y6" i="79" s="1"/>
  <c r="CW17" i="158"/>
  <c r="Z6" i="79" s="1"/>
  <c r="CN17" i="158"/>
  <c r="Q6" i="79" s="1"/>
  <c r="CZ17" i="158"/>
  <c r="AC6" i="79" s="1"/>
  <c r="CQ17" i="158"/>
  <c r="CY17" i="158"/>
  <c r="AB6" i="79" s="1"/>
  <c r="T6" i="79"/>
  <c r="R6" i="79"/>
  <c r="CP17" i="158"/>
  <c r="BF18" i="159"/>
  <c r="BG18" i="159" s="1"/>
  <c r="CB18" i="159"/>
  <c r="CA18" i="162"/>
  <c r="BX18" i="159"/>
  <c r="BK18" i="159"/>
  <c r="BL18" i="159" s="1"/>
  <c r="AV18" i="162"/>
  <c r="AW18" i="162" s="1"/>
  <c r="S18" i="159"/>
  <c r="W18" i="159" s="1"/>
  <c r="AX18" i="162"/>
  <c r="AY18" i="162" s="1"/>
  <c r="BC18" i="162" s="1"/>
  <c r="BI18" i="159"/>
  <c r="BM18" i="159" s="1"/>
  <c r="AX18" i="160"/>
  <c r="AY18" i="160" s="1"/>
  <c r="BC18" i="160" s="1"/>
  <c r="BX18" i="160"/>
  <c r="F7" i="79"/>
  <c r="R18" i="160"/>
  <c r="S18" i="160" s="1"/>
  <c r="W18" i="160" s="1"/>
  <c r="P18" i="159"/>
  <c r="Q18" i="159" s="1"/>
  <c r="U18" i="162"/>
  <c r="V18" i="162" s="1"/>
  <c r="AO18" i="163"/>
  <c r="AS18" i="163" s="1"/>
  <c r="S18" i="162"/>
  <c r="W18" i="162" s="1"/>
  <c r="BZ18" i="159"/>
  <c r="BR18" i="159" s="1"/>
  <c r="CF18" i="159" s="1"/>
  <c r="AL18" i="159"/>
  <c r="AM18" i="159" s="1"/>
  <c r="K18" i="163"/>
  <c r="L18" i="163" s="1"/>
  <c r="K18" i="160"/>
  <c r="L18" i="160" s="1"/>
  <c r="Z18" i="159"/>
  <c r="AA18" i="159" s="1"/>
  <c r="AB18" i="159"/>
  <c r="AC18" i="159" s="1"/>
  <c r="AG18" i="159" s="1"/>
  <c r="BW18" i="159"/>
  <c r="BA18" i="159"/>
  <c r="BB18" i="159" s="1"/>
  <c r="BY18" i="162"/>
  <c r="H18" i="162"/>
  <c r="I18" i="162" s="1"/>
  <c r="M18" i="162" s="1"/>
  <c r="F18" i="162"/>
  <c r="AN18" i="162"/>
  <c r="AO18" i="162" s="1"/>
  <c r="AS18" i="162" s="1"/>
  <c r="AL18" i="162"/>
  <c r="BZ18" i="162"/>
  <c r="R18" i="163"/>
  <c r="S18" i="163" s="1"/>
  <c r="W18" i="163" s="1"/>
  <c r="BX18" i="163"/>
  <c r="P18" i="163"/>
  <c r="Q18" i="163" s="1"/>
  <c r="Z18" i="162"/>
  <c r="AA18" i="162" s="1"/>
  <c r="AB18" i="162"/>
  <c r="AC18" i="162" s="1"/>
  <c r="AG18" i="162" s="1"/>
  <c r="BW18" i="162"/>
  <c r="BU18" i="162" s="1"/>
  <c r="CI18" i="162" s="1"/>
  <c r="AQ18" i="163"/>
  <c r="AR18" i="163" s="1"/>
  <c r="AQ18" i="162"/>
  <c r="AR18" i="162" s="1"/>
  <c r="CB18" i="162"/>
  <c r="BP18" i="162" s="1"/>
  <c r="CD18" i="162" s="1"/>
  <c r="BF18" i="162"/>
  <c r="BG18" i="162" s="1"/>
  <c r="BH18" i="162"/>
  <c r="BI18" i="162" s="1"/>
  <c r="BM18" i="162" s="1"/>
  <c r="AQ18" i="160"/>
  <c r="AR18" i="160" s="1"/>
  <c r="F18" i="160"/>
  <c r="H18" i="160"/>
  <c r="I18" i="160" s="1"/>
  <c r="M18" i="160" s="1"/>
  <c r="BY18" i="160"/>
  <c r="AX18" i="159"/>
  <c r="AY18" i="159" s="1"/>
  <c r="BC18" i="159" s="1"/>
  <c r="CA18" i="159"/>
  <c r="AV18" i="159"/>
  <c r="AW18" i="159" s="1"/>
  <c r="F18" i="159"/>
  <c r="BY18" i="159"/>
  <c r="H18" i="159"/>
  <c r="I18" i="159" s="1"/>
  <c r="M18" i="159" s="1"/>
  <c r="AV18" i="163"/>
  <c r="AW18" i="163" s="1"/>
  <c r="AX18" i="163"/>
  <c r="AY18" i="163" s="1"/>
  <c r="BC18" i="163" s="1"/>
  <c r="BH18" i="160"/>
  <c r="BI18" i="160" s="1"/>
  <c r="BM18" i="160" s="1"/>
  <c r="BF18" i="160"/>
  <c r="BG18" i="160" s="1"/>
  <c r="CB18" i="160"/>
  <c r="BP18" i="160" s="1"/>
  <c r="CD18" i="160" s="1"/>
  <c r="BK18" i="162"/>
  <c r="BL18" i="162" s="1"/>
  <c r="BR18" i="163"/>
  <c r="CF18" i="163" s="1"/>
  <c r="BQ18" i="163"/>
  <c r="CE18" i="163" s="1"/>
  <c r="BP18" i="163"/>
  <c r="CD18" i="163" s="1"/>
  <c r="AB18" i="160"/>
  <c r="AC18" i="160" s="1"/>
  <c r="AG18" i="160" s="1"/>
  <c r="BW18" i="160"/>
  <c r="BU18" i="160" s="1"/>
  <c r="CI18" i="160" s="1"/>
  <c r="Z18" i="160"/>
  <c r="AA18" i="160" s="1"/>
  <c r="BK18" i="160"/>
  <c r="BL18" i="160" s="1"/>
  <c r="F18" i="163"/>
  <c r="BY18" i="163"/>
  <c r="H18" i="163"/>
  <c r="I18" i="163" s="1"/>
  <c r="M18" i="163" s="1"/>
  <c r="U18" i="160"/>
  <c r="V18" i="160" s="1"/>
  <c r="AN18" i="160"/>
  <c r="AO18" i="160" s="1"/>
  <c r="AS18" i="160" s="1"/>
  <c r="BZ18" i="160"/>
  <c r="AL18" i="160"/>
  <c r="CA18" i="163"/>
  <c r="BA18" i="163"/>
  <c r="BB18" i="163" s="1"/>
  <c r="Z18" i="163"/>
  <c r="AA18" i="163" s="1"/>
  <c r="BW18" i="163"/>
  <c r="AB18" i="163"/>
  <c r="AC18" i="163" s="1"/>
  <c r="AG18" i="163" s="1"/>
  <c r="AE18" i="163"/>
  <c r="AF18" i="163" s="1"/>
  <c r="U18" i="163"/>
  <c r="V18" i="163" s="1"/>
  <c r="CB18" i="163"/>
  <c r="BF18" i="163"/>
  <c r="BG18" i="163" s="1"/>
  <c r="BH18" i="163"/>
  <c r="BI18" i="163" s="1"/>
  <c r="BM18" i="163" s="1"/>
  <c r="BA18" i="160"/>
  <c r="BB18" i="160" s="1"/>
  <c r="AQ18" i="159"/>
  <c r="AO18" i="159"/>
  <c r="AS18" i="159" s="1"/>
  <c r="J7" i="79"/>
  <c r="CA18" i="160"/>
  <c r="AP18" i="158"/>
  <c r="AQ18" i="158" s="1"/>
  <c r="AR18" i="158" s="1"/>
  <c r="AD18" i="158"/>
  <c r="BQ18" i="159" l="1"/>
  <c r="CE18" i="159" s="1"/>
  <c r="BP18" i="159"/>
  <c r="CD18" i="159" s="1"/>
  <c r="AM18" i="160"/>
  <c r="BS18" i="163"/>
  <c r="CG18" i="163" s="1"/>
  <c r="BU18" i="163"/>
  <c r="CI18" i="163" s="1"/>
  <c r="BT18" i="163"/>
  <c r="CH18" i="163" s="1"/>
  <c r="BS18" i="159"/>
  <c r="CG18" i="159" s="1"/>
  <c r="BT18" i="159"/>
  <c r="CH18" i="159" s="1"/>
  <c r="BU18" i="159"/>
  <c r="CI18" i="159" s="1"/>
  <c r="BT18" i="160"/>
  <c r="CH18" i="160" s="1"/>
  <c r="BS18" i="160"/>
  <c r="CG18" i="160" s="1"/>
  <c r="G18" i="159"/>
  <c r="BS18" i="162"/>
  <c r="CG18" i="162" s="1"/>
  <c r="BT18" i="162"/>
  <c r="CH18" i="162" s="1"/>
  <c r="BR18" i="160"/>
  <c r="CF18" i="160" s="1"/>
  <c r="BQ18" i="160"/>
  <c r="CE18" i="160" s="1"/>
  <c r="G18" i="160"/>
  <c r="BQ18" i="162"/>
  <c r="CE18" i="162" s="1"/>
  <c r="BR18" i="162"/>
  <c r="CF18" i="162" s="1"/>
  <c r="G18" i="162"/>
  <c r="AR18" i="159"/>
  <c r="AM18" i="162"/>
  <c r="G18" i="163"/>
  <c r="AU19" i="163" s="1"/>
  <c r="AE18" i="158"/>
  <c r="AF18" i="158" s="1"/>
  <c r="Y18" i="158"/>
  <c r="O18" i="158"/>
  <c r="H7" i="79" s="1"/>
  <c r="T18" i="158"/>
  <c r="U18" i="158" s="1"/>
  <c r="V18" i="158" s="1"/>
  <c r="BJ18" i="158"/>
  <c r="BK18" i="158" s="1"/>
  <c r="BL18" i="158" s="1"/>
  <c r="AU18" i="158"/>
  <c r="AZ18" i="158"/>
  <c r="BA18" i="158" s="1"/>
  <c r="BB18" i="158" s="1"/>
  <c r="AK18" i="158"/>
  <c r="BE18" i="158"/>
  <c r="E18" i="158"/>
  <c r="J18" i="158"/>
  <c r="CN18" i="162" l="1"/>
  <c r="CM18" i="160"/>
  <c r="CL18" i="163"/>
  <c r="CO18" i="162"/>
  <c r="CT18" i="163"/>
  <c r="CR18" i="163"/>
  <c r="CT18" i="162"/>
  <c r="CM18" i="162"/>
  <c r="CQ18" i="160"/>
  <c r="CO18" i="159"/>
  <c r="CK18" i="159"/>
  <c r="CP18" i="159"/>
  <c r="CQ18" i="159"/>
  <c r="CS18" i="159"/>
  <c r="CL18" i="159"/>
  <c r="CM18" i="159"/>
  <c r="CR18" i="159"/>
  <c r="CT18" i="159"/>
  <c r="CW18" i="159"/>
  <c r="CV18" i="159"/>
  <c r="CU18" i="159"/>
  <c r="CZ18" i="159"/>
  <c r="CY18" i="159"/>
  <c r="CX18" i="159"/>
  <c r="CZ18" i="163"/>
  <c r="CN18" i="163"/>
  <c r="CQ18" i="162"/>
  <c r="CW18" i="160"/>
  <c r="CO18" i="160"/>
  <c r="R7" i="79" s="1"/>
  <c r="CN18" i="159"/>
  <c r="CK18" i="163"/>
  <c r="CO18" i="163"/>
  <c r="CR18" i="162"/>
  <c r="CX18" i="160"/>
  <c r="CR18" i="160"/>
  <c r="CY18" i="163"/>
  <c r="CM18" i="163"/>
  <c r="CX18" i="162"/>
  <c r="CZ18" i="162"/>
  <c r="CY18" i="160"/>
  <c r="CP18" i="160"/>
  <c r="CX18" i="163"/>
  <c r="CQ18" i="163"/>
  <c r="CY18" i="162"/>
  <c r="CV18" i="162"/>
  <c r="CT18" i="160"/>
  <c r="CU18" i="160"/>
  <c r="CW18" i="163"/>
  <c r="CV18" i="163"/>
  <c r="CW18" i="162"/>
  <c r="CL18" i="162"/>
  <c r="CZ18" i="160"/>
  <c r="CL18" i="160"/>
  <c r="CU18" i="163"/>
  <c r="CP18" i="163"/>
  <c r="CS18" i="162"/>
  <c r="CP18" i="162"/>
  <c r="CS18" i="160"/>
  <c r="CK18" i="160"/>
  <c r="CS18" i="163"/>
  <c r="CU18" i="162"/>
  <c r="CK18" i="162"/>
  <c r="CN18" i="160"/>
  <c r="CV18" i="160"/>
  <c r="AP19" i="162"/>
  <c r="AQ19" i="162" s="1"/>
  <c r="AR19" i="162" s="1"/>
  <c r="J19" i="163"/>
  <c r="K19" i="163" s="1"/>
  <c r="L19" i="163" s="1"/>
  <c r="E7" i="79"/>
  <c r="G7" i="79"/>
  <c r="J19" i="159"/>
  <c r="BE19" i="159"/>
  <c r="BH19" i="159" s="1"/>
  <c r="AP19" i="159"/>
  <c r="AZ19" i="159"/>
  <c r="BA19" i="159" s="1"/>
  <c r="BB19" i="159" s="1"/>
  <c r="E19" i="159"/>
  <c r="F19" i="159" s="1"/>
  <c r="G19" i="159" s="1"/>
  <c r="BE19" i="162"/>
  <c r="BH19" i="162" s="1"/>
  <c r="AK19" i="159"/>
  <c r="AN19" i="159" s="1"/>
  <c r="J19" i="160"/>
  <c r="K19" i="160" s="1"/>
  <c r="L19" i="160" s="1"/>
  <c r="BE19" i="160"/>
  <c r="BH19" i="160" s="1"/>
  <c r="BJ19" i="163"/>
  <c r="BK19" i="163" s="1"/>
  <c r="BL19" i="163" s="1"/>
  <c r="AP19" i="163"/>
  <c r="O19" i="159"/>
  <c r="R19" i="159" s="1"/>
  <c r="AU19" i="160"/>
  <c r="AV19" i="160" s="1"/>
  <c r="AW19" i="160" s="1"/>
  <c r="AK19" i="163"/>
  <c r="AL19" i="163" s="1"/>
  <c r="AM19" i="163" s="1"/>
  <c r="Y19" i="159"/>
  <c r="AB19" i="159" s="1"/>
  <c r="J19" i="162"/>
  <c r="K19" i="162" s="1"/>
  <c r="L19" i="162" s="1"/>
  <c r="Y19" i="160"/>
  <c r="AB19" i="160" s="1"/>
  <c r="T19" i="160"/>
  <c r="U19" i="160" s="1"/>
  <c r="V19" i="160" s="1"/>
  <c r="BE19" i="163"/>
  <c r="BF19" i="163" s="1"/>
  <c r="BG19" i="163" s="1"/>
  <c r="T19" i="159"/>
  <c r="U19" i="159" s="1"/>
  <c r="V19" i="159" s="1"/>
  <c r="AZ19" i="163"/>
  <c r="BA19" i="163" s="1"/>
  <c r="BB19" i="163" s="1"/>
  <c r="AD19" i="160"/>
  <c r="AE19" i="160" s="1"/>
  <c r="AF19" i="160" s="1"/>
  <c r="AX19" i="163"/>
  <c r="AV19" i="163"/>
  <c r="AW19" i="163" s="1"/>
  <c r="BJ19" i="162"/>
  <c r="AP19" i="160"/>
  <c r="BF19" i="162"/>
  <c r="BG19" i="162" s="1"/>
  <c r="E19" i="163"/>
  <c r="Y19" i="163"/>
  <c r="T19" i="163"/>
  <c r="O19" i="163"/>
  <c r="AD19" i="163"/>
  <c r="K18" i="158"/>
  <c r="L18" i="158" s="1"/>
  <c r="I7" i="79"/>
  <c r="O19" i="160"/>
  <c r="H18" i="158"/>
  <c r="I18" i="158" s="1"/>
  <c r="M18" i="158" s="1"/>
  <c r="K19" i="159"/>
  <c r="L19" i="159" s="1"/>
  <c r="AK19" i="162"/>
  <c r="E19" i="160"/>
  <c r="P18" i="158"/>
  <c r="Q18" i="158" s="1"/>
  <c r="E19" i="162"/>
  <c r="K7" i="79"/>
  <c r="AD19" i="162"/>
  <c r="AZ19" i="162"/>
  <c r="AK19" i="160"/>
  <c r="AZ19" i="160"/>
  <c r="BJ19" i="160"/>
  <c r="BJ19" i="159"/>
  <c r="BW18" i="158"/>
  <c r="O19" i="162"/>
  <c r="Y19" i="162"/>
  <c r="T19" i="162"/>
  <c r="AU19" i="162"/>
  <c r="AU19" i="159"/>
  <c r="AD19" i="159"/>
  <c r="AE19" i="159" s="1"/>
  <c r="AF19" i="159" s="1"/>
  <c r="Z18" i="158"/>
  <c r="AA18" i="158" s="1"/>
  <c r="AB18" i="158"/>
  <c r="AC18" i="158" s="1"/>
  <c r="AG18" i="158" s="1"/>
  <c r="BX18" i="158"/>
  <c r="R18" i="158"/>
  <c r="S18" i="158" s="1"/>
  <c r="W18" i="158" s="1"/>
  <c r="BF18" i="158"/>
  <c r="BG18" i="158" s="1"/>
  <c r="BH18" i="158"/>
  <c r="BI18" i="158" s="1"/>
  <c r="BM18" i="158" s="1"/>
  <c r="CB18" i="158"/>
  <c r="BZ18" i="158"/>
  <c r="AN18" i="158"/>
  <c r="AO18" i="158" s="1"/>
  <c r="AS18" i="158" s="1"/>
  <c r="AL18" i="158"/>
  <c r="AM18" i="158" s="1"/>
  <c r="AX18" i="158"/>
  <c r="AY18" i="158" s="1"/>
  <c r="BC18" i="158" s="1"/>
  <c r="CA18" i="158"/>
  <c r="AV18" i="158"/>
  <c r="AW18" i="158" s="1"/>
  <c r="BY18" i="158"/>
  <c r="F18" i="158"/>
  <c r="G18" i="158" s="1"/>
  <c r="BF19" i="159" l="1"/>
  <c r="BG19" i="159" s="1"/>
  <c r="U7" i="79"/>
  <c r="S7" i="79"/>
  <c r="T7" i="79"/>
  <c r="L7" i="79"/>
  <c r="AC19" i="160"/>
  <c r="AG19" i="160" s="1"/>
  <c r="S19" i="159"/>
  <c r="W19" i="159" s="1"/>
  <c r="BX19" i="159"/>
  <c r="H19" i="159"/>
  <c r="I19" i="159" s="1"/>
  <c r="M19" i="159" s="1"/>
  <c r="AY19" i="163"/>
  <c r="BC19" i="163" s="1"/>
  <c r="BI19" i="160"/>
  <c r="BM19" i="160" s="1"/>
  <c r="BY19" i="159"/>
  <c r="BS19" i="159" s="1"/>
  <c r="CG19" i="159" s="1"/>
  <c r="P19" i="159"/>
  <c r="Q19" i="159" s="1"/>
  <c r="AX19" i="160"/>
  <c r="AY19" i="160" s="1"/>
  <c r="BC19" i="160" s="1"/>
  <c r="BF19" i="160"/>
  <c r="BG19" i="160" s="1"/>
  <c r="CA19" i="163"/>
  <c r="CB19" i="162"/>
  <c r="BP19" i="162" s="1"/>
  <c r="CD19" i="162" s="1"/>
  <c r="Z19" i="159"/>
  <c r="AA19" i="159" s="1"/>
  <c r="AN19" i="163"/>
  <c r="AO19" i="163" s="1"/>
  <c r="AS19" i="163" s="1"/>
  <c r="AL19" i="159"/>
  <c r="AM19" i="159" s="1"/>
  <c r="BZ19" i="163"/>
  <c r="BP19" i="163" s="1"/>
  <c r="CD19" i="163" s="1"/>
  <c r="BZ19" i="159"/>
  <c r="BQ19" i="159" s="1"/>
  <c r="CE19" i="159" s="1"/>
  <c r="BW19" i="160"/>
  <c r="BU19" i="160" s="1"/>
  <c r="CI19" i="160" s="1"/>
  <c r="F8" i="79"/>
  <c r="Z19" i="160"/>
  <c r="AA19" i="160" s="1"/>
  <c r="BH19" i="163"/>
  <c r="BI19" i="163" s="1"/>
  <c r="BM19" i="163" s="1"/>
  <c r="CB19" i="163"/>
  <c r="AO19" i="159"/>
  <c r="AS19" i="159" s="1"/>
  <c r="AQ19" i="159"/>
  <c r="AR19" i="159" s="1"/>
  <c r="CB19" i="160"/>
  <c r="BP19" i="160" s="1"/>
  <c r="CD19" i="160" s="1"/>
  <c r="AQ19" i="163"/>
  <c r="AR19" i="163" s="1"/>
  <c r="BI19" i="162"/>
  <c r="BM19" i="162" s="1"/>
  <c r="H19" i="162"/>
  <c r="I19" i="162" s="1"/>
  <c r="M19" i="162" s="1"/>
  <c r="BY19" i="162"/>
  <c r="F19" i="162"/>
  <c r="H19" i="163"/>
  <c r="I19" i="163" s="1"/>
  <c r="M19" i="163" s="1"/>
  <c r="F19" i="163"/>
  <c r="BY19" i="163"/>
  <c r="BK19" i="159"/>
  <c r="BL19" i="159" s="1"/>
  <c r="BK19" i="160"/>
  <c r="BL19" i="160" s="1"/>
  <c r="BW19" i="163"/>
  <c r="Z19" i="163"/>
  <c r="AA19" i="163" s="1"/>
  <c r="AB19" i="163"/>
  <c r="AC19" i="163" s="1"/>
  <c r="AG19" i="163" s="1"/>
  <c r="BA19" i="160"/>
  <c r="BB19" i="160" s="1"/>
  <c r="BW19" i="159"/>
  <c r="CA19" i="159"/>
  <c r="AV19" i="159"/>
  <c r="AW19" i="159" s="1"/>
  <c r="AX19" i="159"/>
  <c r="AY19" i="159" s="1"/>
  <c r="BC19" i="159" s="1"/>
  <c r="AN19" i="160"/>
  <c r="AO19" i="160" s="1"/>
  <c r="AS19" i="160" s="1"/>
  <c r="BZ19" i="160"/>
  <c r="AL19" i="160"/>
  <c r="BI19" i="159"/>
  <c r="BM19" i="159" s="1"/>
  <c r="AQ19" i="160"/>
  <c r="AR19" i="160" s="1"/>
  <c r="P19" i="162"/>
  <c r="Q19" i="162" s="1"/>
  <c r="BX19" i="162"/>
  <c r="R19" i="162"/>
  <c r="S19" i="162" s="1"/>
  <c r="W19" i="162" s="1"/>
  <c r="AV19" i="162"/>
  <c r="AW19" i="162" s="1"/>
  <c r="AX19" i="162"/>
  <c r="AY19" i="162" s="1"/>
  <c r="BC19" i="162" s="1"/>
  <c r="CA19" i="162"/>
  <c r="BA19" i="162"/>
  <c r="BB19" i="162" s="1"/>
  <c r="AC19" i="159"/>
  <c r="AG19" i="159" s="1"/>
  <c r="AE19" i="163"/>
  <c r="AF19" i="163" s="1"/>
  <c r="BK19" i="162"/>
  <c r="BL19" i="162" s="1"/>
  <c r="AL19" i="162"/>
  <c r="BZ19" i="162"/>
  <c r="AN19" i="162"/>
  <c r="AO19" i="162" s="1"/>
  <c r="AS19" i="162" s="1"/>
  <c r="U19" i="162"/>
  <c r="V19" i="162" s="1"/>
  <c r="AE19" i="162"/>
  <c r="AF19" i="162" s="1"/>
  <c r="J8" i="79"/>
  <c r="CB19" i="159"/>
  <c r="R19" i="163"/>
  <c r="S19" i="163" s="1"/>
  <c r="W19" i="163" s="1"/>
  <c r="P19" i="163"/>
  <c r="Q19" i="163" s="1"/>
  <c r="CA19" i="160"/>
  <c r="BX19" i="160"/>
  <c r="R19" i="160"/>
  <c r="S19" i="160" s="1"/>
  <c r="W19" i="160" s="1"/>
  <c r="P19" i="160"/>
  <c r="Q19" i="160" s="1"/>
  <c r="BW19" i="162"/>
  <c r="BU19" i="162" s="1"/>
  <c r="CI19" i="162" s="1"/>
  <c r="Z19" i="162"/>
  <c r="AA19" i="162" s="1"/>
  <c r="AB19" i="162"/>
  <c r="AC19" i="162" s="1"/>
  <c r="AG19" i="162" s="1"/>
  <c r="BY19" i="160"/>
  <c r="F19" i="160"/>
  <c r="H19" i="160"/>
  <c r="I19" i="160" s="1"/>
  <c r="M19" i="160" s="1"/>
  <c r="BX19" i="163"/>
  <c r="U19" i="163"/>
  <c r="V19" i="163" s="1"/>
  <c r="BS18" i="158"/>
  <c r="CG18" i="158" s="1"/>
  <c r="BT18" i="158"/>
  <c r="CH18" i="158" s="1"/>
  <c r="BU18" i="158"/>
  <c r="CI18" i="158" s="1"/>
  <c r="BR18" i="158"/>
  <c r="CF18" i="158" s="1"/>
  <c r="BP18" i="158"/>
  <c r="CD18" i="158" s="1"/>
  <c r="BQ18" i="158"/>
  <c r="CE18" i="158" s="1"/>
  <c r="AG10" i="79"/>
  <c r="AG13" i="79"/>
  <c r="BR19" i="159" l="1"/>
  <c r="CF19" i="159" s="1"/>
  <c r="BT19" i="159"/>
  <c r="CH19" i="159" s="1"/>
  <c r="CW18" i="158"/>
  <c r="Z7" i="79" s="1"/>
  <c r="CT18" i="158"/>
  <c r="W7" i="79" s="1"/>
  <c r="CV18" i="158"/>
  <c r="Y7" i="79" s="1"/>
  <c r="CU18" i="158"/>
  <c r="X7" i="79" s="1"/>
  <c r="CR18" i="158"/>
  <c r="CX18" i="158"/>
  <c r="AA7" i="79" s="1"/>
  <c r="CY18" i="158"/>
  <c r="AB7" i="79" s="1"/>
  <c r="CS18" i="158"/>
  <c r="V7" i="79" s="1"/>
  <c r="CO18" i="158"/>
  <c r="CP18" i="158"/>
  <c r="CQ18" i="158"/>
  <c r="CL18" i="158"/>
  <c r="O7" i="79" s="1"/>
  <c r="CM18" i="158"/>
  <c r="P7" i="79" s="1"/>
  <c r="CZ18" i="158"/>
  <c r="AC7" i="79" s="1"/>
  <c r="CN18" i="158"/>
  <c r="Q7" i="79" s="1"/>
  <c r="CK18" i="158"/>
  <c r="N7" i="79" s="1"/>
  <c r="BU19" i="159"/>
  <c r="CI19" i="159" s="1"/>
  <c r="BP19" i="159"/>
  <c r="BR19" i="163"/>
  <c r="CF19" i="163" s="1"/>
  <c r="BQ19" i="163"/>
  <c r="CE19" i="163" s="1"/>
  <c r="J19" i="158"/>
  <c r="K19" i="158" s="1"/>
  <c r="L19" i="158" s="1"/>
  <c r="AZ19" i="158"/>
  <c r="BA19" i="158" s="1"/>
  <c r="BB19" i="158" s="1"/>
  <c r="BR19" i="162"/>
  <c r="CF19" i="162" s="1"/>
  <c r="BQ19" i="162"/>
  <c r="CE19" i="162" s="1"/>
  <c r="BT19" i="160"/>
  <c r="CH19" i="160" s="1"/>
  <c r="BS19" i="160"/>
  <c r="CG19" i="160" s="1"/>
  <c r="AM19" i="162"/>
  <c r="G19" i="160"/>
  <c r="AM19" i="160"/>
  <c r="BE20" i="159"/>
  <c r="BR19" i="160"/>
  <c r="CF19" i="160" s="1"/>
  <c r="BQ19" i="160"/>
  <c r="CE19" i="160" s="1"/>
  <c r="BU19" i="163"/>
  <c r="CI19" i="163" s="1"/>
  <c r="BT19" i="163"/>
  <c r="CH19" i="163" s="1"/>
  <c r="BS19" i="163"/>
  <c r="CG19" i="163" s="1"/>
  <c r="G19" i="162"/>
  <c r="G19" i="163"/>
  <c r="BT19" i="162"/>
  <c r="CH19" i="162" s="1"/>
  <c r="BS19" i="162"/>
  <c r="CG19" i="162" s="1"/>
  <c r="BJ19" i="158"/>
  <c r="BK19" i="158" s="1"/>
  <c r="BL19" i="158" s="1"/>
  <c r="AU19" i="158"/>
  <c r="AX19" i="158" s="1"/>
  <c r="BE19" i="158"/>
  <c r="BF19" i="158" s="1"/>
  <c r="BG19" i="158" s="1"/>
  <c r="AP19" i="158"/>
  <c r="AK19" i="158"/>
  <c r="AN19" i="158" s="1"/>
  <c r="T19" i="158"/>
  <c r="U19" i="158" s="1"/>
  <c r="V19" i="158" s="1"/>
  <c r="AD19" i="158"/>
  <c r="O19" i="158"/>
  <c r="H8" i="79" s="1"/>
  <c r="E19" i="158"/>
  <c r="Y19" i="158"/>
  <c r="AG12" i="79"/>
  <c r="AG11" i="79"/>
  <c r="O20" i="159" l="1"/>
  <c r="J20" i="159"/>
  <c r="K20" i="159" s="1"/>
  <c r="L20" i="159" s="1"/>
  <c r="AD20" i="159"/>
  <c r="Y20" i="159"/>
  <c r="E8" i="79"/>
  <c r="E20" i="159"/>
  <c r="F20" i="159" s="1"/>
  <c r="G20" i="159" s="1"/>
  <c r="CV19" i="163"/>
  <c r="AZ20" i="163"/>
  <c r="BA20" i="163" s="1"/>
  <c r="BB20" i="163" s="1"/>
  <c r="CN19" i="160"/>
  <c r="CM19" i="162"/>
  <c r="CX19" i="163"/>
  <c r="CK19" i="163"/>
  <c r="CX19" i="160"/>
  <c r="CM19" i="160"/>
  <c r="CY19" i="162"/>
  <c r="CN19" i="162"/>
  <c r="CW19" i="163"/>
  <c r="CL19" i="163"/>
  <c r="CW19" i="160"/>
  <c r="CQ19" i="160"/>
  <c r="CX19" i="162"/>
  <c r="CL19" i="162"/>
  <c r="T20" i="159"/>
  <c r="U20" i="159" s="1"/>
  <c r="V20" i="159" s="1"/>
  <c r="CY19" i="163"/>
  <c r="CQ19" i="163"/>
  <c r="CT19" i="160"/>
  <c r="CU19" i="160"/>
  <c r="CW19" i="162"/>
  <c r="CZ19" i="162"/>
  <c r="CU19" i="163"/>
  <c r="CR19" i="163"/>
  <c r="CY19" i="160"/>
  <c r="CR19" i="160"/>
  <c r="CU19" i="162"/>
  <c r="CV19" i="162"/>
  <c r="CZ19" i="163"/>
  <c r="CN19" i="163"/>
  <c r="CZ19" i="160"/>
  <c r="CK19" i="160"/>
  <c r="CT19" i="162"/>
  <c r="CP19" i="162"/>
  <c r="CS19" i="163"/>
  <c r="CM19" i="163"/>
  <c r="CS19" i="160"/>
  <c r="CO19" i="160"/>
  <c r="CS19" i="162"/>
  <c r="CR19" i="162"/>
  <c r="CT19" i="163"/>
  <c r="CP19" i="163"/>
  <c r="CV19" i="160"/>
  <c r="CL19" i="160"/>
  <c r="CQ19" i="162"/>
  <c r="CK19" i="162"/>
  <c r="BJ20" i="159"/>
  <c r="CB20" i="159" s="1"/>
  <c r="CD19" i="159"/>
  <c r="CO19" i="163"/>
  <c r="CP19" i="160"/>
  <c r="S8" i="79" s="1"/>
  <c r="CO19" i="162"/>
  <c r="AZ20" i="159"/>
  <c r="BA20" i="159" s="1"/>
  <c r="BB20" i="159" s="1"/>
  <c r="AK20" i="159"/>
  <c r="AN20" i="159" s="1"/>
  <c r="AP20" i="159"/>
  <c r="AQ20" i="159" s="1"/>
  <c r="AR20" i="159" s="1"/>
  <c r="AU20" i="159"/>
  <c r="AV20" i="159" s="1"/>
  <c r="AW20" i="159" s="1"/>
  <c r="H20" i="159"/>
  <c r="AY19" i="158"/>
  <c r="BC19" i="158" s="1"/>
  <c r="G8" i="79"/>
  <c r="AK20" i="163"/>
  <c r="AN20" i="163" s="1"/>
  <c r="AZ20" i="160"/>
  <c r="BA20" i="160" s="1"/>
  <c r="BB20" i="160" s="1"/>
  <c r="BJ20" i="160"/>
  <c r="BK20" i="160" s="1"/>
  <c r="BL20" i="160" s="1"/>
  <c r="J20" i="162"/>
  <c r="K20" i="162" s="1"/>
  <c r="L20" i="162" s="1"/>
  <c r="Y20" i="160"/>
  <c r="AB20" i="160" s="1"/>
  <c r="CA19" i="158"/>
  <c r="AP20" i="160"/>
  <c r="AQ20" i="160" s="1"/>
  <c r="AR20" i="160" s="1"/>
  <c r="AP20" i="162"/>
  <c r="AQ20" i="162" s="1"/>
  <c r="AR20" i="162" s="1"/>
  <c r="AV19" i="158"/>
  <c r="AW19" i="158" s="1"/>
  <c r="T20" i="160"/>
  <c r="U20" i="160" s="1"/>
  <c r="V20" i="160" s="1"/>
  <c r="BZ19" i="158"/>
  <c r="BP19" i="158" s="1"/>
  <c r="CD19" i="158" s="1"/>
  <c r="BH19" i="158"/>
  <c r="BI19" i="158" s="1"/>
  <c r="BM19" i="158" s="1"/>
  <c r="I8" i="79"/>
  <c r="T20" i="162"/>
  <c r="U20" i="162" s="1"/>
  <c r="V20" i="162" s="1"/>
  <c r="AD20" i="160"/>
  <c r="AE20" i="160" s="1"/>
  <c r="AF20" i="160" s="1"/>
  <c r="BE20" i="160"/>
  <c r="BH20" i="160" s="1"/>
  <c r="Y20" i="163"/>
  <c r="AD20" i="163"/>
  <c r="O20" i="163"/>
  <c r="E20" i="163"/>
  <c r="J20" i="163"/>
  <c r="T20" i="163"/>
  <c r="CB19" i="158"/>
  <c r="BE20" i="163"/>
  <c r="J20" i="160"/>
  <c r="Y20" i="162"/>
  <c r="AD20" i="162"/>
  <c r="O20" i="162"/>
  <c r="AK20" i="160"/>
  <c r="Z19" i="158"/>
  <c r="AA19" i="158" s="1"/>
  <c r="AP20" i="163"/>
  <c r="BJ20" i="163"/>
  <c r="AQ19" i="158"/>
  <c r="AR19" i="158" s="1"/>
  <c r="AB20" i="159"/>
  <c r="AC20" i="159" s="1"/>
  <c r="AG20" i="159" s="1"/>
  <c r="BW20" i="159"/>
  <c r="Z20" i="159"/>
  <c r="AA20" i="159" s="1"/>
  <c r="AE20" i="159"/>
  <c r="AF20" i="159" s="1"/>
  <c r="O20" i="160"/>
  <c r="E20" i="160"/>
  <c r="BK20" i="159"/>
  <c r="BL20" i="159" s="1"/>
  <c r="R19" i="158"/>
  <c r="S19" i="158" s="1"/>
  <c r="W19" i="158" s="1"/>
  <c r="AL19" i="158"/>
  <c r="AM19" i="158" s="1"/>
  <c r="AE19" i="158"/>
  <c r="AF19" i="158" s="1"/>
  <c r="K8" i="79"/>
  <c r="BE20" i="162"/>
  <c r="AU20" i="160"/>
  <c r="BY19" i="158"/>
  <c r="BS19" i="158" s="1"/>
  <c r="CG19" i="158" s="1"/>
  <c r="AU20" i="163"/>
  <c r="E20" i="162"/>
  <c r="AO19" i="158"/>
  <c r="AS19" i="158" s="1"/>
  <c r="AU20" i="162"/>
  <c r="BJ20" i="162"/>
  <c r="AZ20" i="162"/>
  <c r="AK20" i="162"/>
  <c r="BH20" i="159"/>
  <c r="BI20" i="159" s="1"/>
  <c r="BM20" i="159" s="1"/>
  <c r="BF20" i="159"/>
  <c r="BG20" i="159" s="1"/>
  <c r="R20" i="159"/>
  <c r="P20" i="159"/>
  <c r="Q20" i="159" s="1"/>
  <c r="BW19" i="158"/>
  <c r="H19" i="158"/>
  <c r="I19" i="158" s="1"/>
  <c r="M19" i="158" s="1"/>
  <c r="P19" i="158"/>
  <c r="Q19" i="158" s="1"/>
  <c r="BX19" i="158"/>
  <c r="AB19" i="158"/>
  <c r="AC19" i="158" s="1"/>
  <c r="AG19" i="158" s="1"/>
  <c r="F19" i="158"/>
  <c r="G19" i="158" s="1"/>
  <c r="AO20" i="159" l="1"/>
  <c r="AS20" i="159" s="1"/>
  <c r="I20" i="159"/>
  <c r="M20" i="159" s="1"/>
  <c r="BZ20" i="159"/>
  <c r="S20" i="159"/>
  <c r="W20" i="159" s="1"/>
  <c r="BX20" i="159"/>
  <c r="BY20" i="159"/>
  <c r="BU20" i="159" s="1"/>
  <c r="CI20" i="159" s="1"/>
  <c r="AL20" i="159"/>
  <c r="U8" i="79"/>
  <c r="CN19" i="159"/>
  <c r="CM19" i="159"/>
  <c r="CK19" i="159"/>
  <c r="CL19" i="159"/>
  <c r="CR19" i="159"/>
  <c r="CS19" i="159"/>
  <c r="CQ19" i="159"/>
  <c r="CP19" i="159"/>
  <c r="CO19" i="159"/>
  <c r="CV19" i="159"/>
  <c r="CT19" i="159"/>
  <c r="CU19" i="159"/>
  <c r="CW19" i="159"/>
  <c r="CZ19" i="159"/>
  <c r="CY19" i="159"/>
  <c r="CX19" i="159"/>
  <c r="R8" i="79"/>
  <c r="T8" i="79"/>
  <c r="L8" i="79"/>
  <c r="BU19" i="158"/>
  <c r="CI19" i="158" s="1"/>
  <c r="AL20" i="163"/>
  <c r="AM20" i="163" s="1"/>
  <c r="AX20" i="159"/>
  <c r="AY20" i="159" s="1"/>
  <c r="BC20" i="159" s="1"/>
  <c r="BT19" i="158"/>
  <c r="AC20" i="160"/>
  <c r="AG20" i="160" s="1"/>
  <c r="BZ20" i="163"/>
  <c r="BP20" i="163" s="1"/>
  <c r="CD20" i="163" s="1"/>
  <c r="BW20" i="160"/>
  <c r="BU20" i="160" s="1"/>
  <c r="CI20" i="160" s="1"/>
  <c r="CA20" i="159"/>
  <c r="Z20" i="160"/>
  <c r="AA20" i="160" s="1"/>
  <c r="BQ19" i="158"/>
  <c r="CE19" i="158" s="1"/>
  <c r="BR19" i="158"/>
  <c r="CF19" i="158" s="1"/>
  <c r="BI20" i="160"/>
  <c r="BM20" i="160" s="1"/>
  <c r="F9" i="79"/>
  <c r="AO20" i="163"/>
  <c r="AS20" i="163" s="1"/>
  <c r="CB20" i="160"/>
  <c r="BP20" i="160" s="1"/>
  <c r="CD20" i="160" s="1"/>
  <c r="BF20" i="160"/>
  <c r="BG20" i="160" s="1"/>
  <c r="BA20" i="162"/>
  <c r="BB20" i="162" s="1"/>
  <c r="CA20" i="163"/>
  <c r="AX20" i="163"/>
  <c r="AY20" i="163" s="1"/>
  <c r="BC20" i="163" s="1"/>
  <c r="AV20" i="163"/>
  <c r="AW20" i="163" s="1"/>
  <c r="AV20" i="160"/>
  <c r="AW20" i="160" s="1"/>
  <c r="CA20" i="160"/>
  <c r="AX20" i="160"/>
  <c r="AY20" i="160" s="1"/>
  <c r="BC20" i="160" s="1"/>
  <c r="H20" i="162"/>
  <c r="I20" i="162" s="1"/>
  <c r="M20" i="162" s="1"/>
  <c r="F20" i="162"/>
  <c r="BY20" i="162"/>
  <c r="BK20" i="162"/>
  <c r="BL20" i="162" s="1"/>
  <c r="CA20" i="162"/>
  <c r="AV20" i="162"/>
  <c r="AW20" i="162" s="1"/>
  <c r="AX20" i="162"/>
  <c r="AY20" i="162" s="1"/>
  <c r="BC20" i="162" s="1"/>
  <c r="BH20" i="162"/>
  <c r="BI20" i="162" s="1"/>
  <c r="BM20" i="162" s="1"/>
  <c r="CB20" i="162"/>
  <c r="BP20" i="162" s="1"/>
  <c r="CD20" i="162" s="1"/>
  <c r="BF20" i="162"/>
  <c r="BG20" i="162" s="1"/>
  <c r="BF20" i="163"/>
  <c r="BG20" i="163" s="1"/>
  <c r="CB20" i="163"/>
  <c r="BH20" i="163"/>
  <c r="BI20" i="163" s="1"/>
  <c r="BM20" i="163" s="1"/>
  <c r="AL20" i="160"/>
  <c r="AN20" i="160"/>
  <c r="AO20" i="160" s="1"/>
  <c r="AS20" i="160" s="1"/>
  <c r="BZ20" i="160"/>
  <c r="U20" i="163"/>
  <c r="V20" i="163" s="1"/>
  <c r="BY20" i="160"/>
  <c r="H20" i="160"/>
  <c r="I20" i="160" s="1"/>
  <c r="M20" i="160" s="1"/>
  <c r="F20" i="160"/>
  <c r="BK20" i="163"/>
  <c r="BL20" i="163" s="1"/>
  <c r="BR20" i="159"/>
  <c r="CF20" i="159" s="1"/>
  <c r="BQ20" i="159"/>
  <c r="CE20" i="159" s="1"/>
  <c r="BP20" i="159"/>
  <c r="CD20" i="159" s="1"/>
  <c r="BX20" i="162"/>
  <c r="P20" i="162"/>
  <c r="Q20" i="162" s="1"/>
  <c r="R20" i="162"/>
  <c r="S20" i="162" s="1"/>
  <c r="W20" i="162" s="1"/>
  <c r="K20" i="163"/>
  <c r="L20" i="163" s="1"/>
  <c r="Z20" i="163"/>
  <c r="AA20" i="163" s="1"/>
  <c r="AB20" i="163"/>
  <c r="AC20" i="163" s="1"/>
  <c r="AG20" i="163" s="1"/>
  <c r="BS20" i="159"/>
  <c r="CG20" i="159" s="1"/>
  <c r="BT20" i="159"/>
  <c r="CH20" i="159" s="1"/>
  <c r="R20" i="160"/>
  <c r="S20" i="160" s="1"/>
  <c r="W20" i="160" s="1"/>
  <c r="P20" i="160"/>
  <c r="Q20" i="160" s="1"/>
  <c r="BX20" i="160"/>
  <c r="AM20" i="159"/>
  <c r="BW20" i="162"/>
  <c r="BU20" i="162" s="1"/>
  <c r="CI20" i="162" s="1"/>
  <c r="J9" i="79"/>
  <c r="AE20" i="162"/>
  <c r="AF20" i="162" s="1"/>
  <c r="F20" i="163"/>
  <c r="BY20" i="163"/>
  <c r="H20" i="163"/>
  <c r="I20" i="163" s="1"/>
  <c r="M20" i="163" s="1"/>
  <c r="Z20" i="162"/>
  <c r="AA20" i="162" s="1"/>
  <c r="AB20" i="162"/>
  <c r="AC20" i="162" s="1"/>
  <c r="AG20" i="162" s="1"/>
  <c r="R20" i="163"/>
  <c r="S20" i="163" s="1"/>
  <c r="W20" i="163" s="1"/>
  <c r="P20" i="163"/>
  <c r="Q20" i="163" s="1"/>
  <c r="BX20" i="163"/>
  <c r="AL20" i="162"/>
  <c r="BZ20" i="162"/>
  <c r="AN20" i="162"/>
  <c r="AO20" i="162" s="1"/>
  <c r="AS20" i="162" s="1"/>
  <c r="AQ20" i="163"/>
  <c r="AR20" i="163" s="1"/>
  <c r="K20" i="160"/>
  <c r="L20" i="160" s="1"/>
  <c r="BW20" i="163"/>
  <c r="AE20" i="163"/>
  <c r="AF20" i="163" s="1"/>
  <c r="BR20" i="163" l="1"/>
  <c r="CF20" i="163" s="1"/>
  <c r="BQ20" i="163"/>
  <c r="CE20" i="163" s="1"/>
  <c r="CK20" i="159"/>
  <c r="CP20" i="159"/>
  <c r="CQ20" i="159"/>
  <c r="CO20" i="159"/>
  <c r="CM20" i="159"/>
  <c r="CS20" i="159"/>
  <c r="CN20" i="159"/>
  <c r="CR20" i="159"/>
  <c r="CW20" i="159"/>
  <c r="CV20" i="159"/>
  <c r="CU20" i="159"/>
  <c r="CT20" i="159"/>
  <c r="CZ20" i="159"/>
  <c r="CX20" i="159"/>
  <c r="CY20" i="159"/>
  <c r="CL20" i="159"/>
  <c r="Y20" i="158"/>
  <c r="CH19" i="158"/>
  <c r="CU19" i="158" s="1"/>
  <c r="X8" i="79" s="1"/>
  <c r="E21" i="159"/>
  <c r="F21" i="159" s="1"/>
  <c r="G21" i="159" s="1"/>
  <c r="O21" i="159"/>
  <c r="R21" i="159" s="1"/>
  <c r="G20" i="163"/>
  <c r="AP21" i="163" s="1"/>
  <c r="J21" i="159"/>
  <c r="AD21" i="159"/>
  <c r="Y21" i="159"/>
  <c r="BT20" i="160"/>
  <c r="CH20" i="160" s="1"/>
  <c r="BS20" i="160"/>
  <c r="CG20" i="160" s="1"/>
  <c r="BE21" i="159"/>
  <c r="AZ21" i="159"/>
  <c r="AU21" i="159"/>
  <c r="AP21" i="159"/>
  <c r="AK21" i="159"/>
  <c r="BJ21" i="159"/>
  <c r="BS20" i="162"/>
  <c r="CG20" i="162" s="1"/>
  <c r="BT20" i="162"/>
  <c r="CH20" i="162" s="1"/>
  <c r="G20" i="162"/>
  <c r="BS20" i="163"/>
  <c r="CG20" i="163" s="1"/>
  <c r="BT20" i="163"/>
  <c r="CH20" i="163" s="1"/>
  <c r="BU20" i="163"/>
  <c r="CI20" i="163" s="1"/>
  <c r="BR20" i="162"/>
  <c r="CF20" i="162" s="1"/>
  <c r="BQ20" i="162"/>
  <c r="CE20" i="162" s="1"/>
  <c r="AM20" i="160"/>
  <c r="AM20" i="162"/>
  <c r="BR20" i="160"/>
  <c r="CF20" i="160" s="1"/>
  <c r="BQ20" i="160"/>
  <c r="CE20" i="160" s="1"/>
  <c r="CR20" i="160" s="1"/>
  <c r="T21" i="159"/>
  <c r="G20" i="160"/>
  <c r="AB20" i="158"/>
  <c r="Z20" i="158"/>
  <c r="AA20" i="158" s="1"/>
  <c r="AD20" i="158"/>
  <c r="J20" i="158"/>
  <c r="T20" i="158"/>
  <c r="U20" i="158" s="1"/>
  <c r="V20" i="158" s="1"/>
  <c r="E20" i="158"/>
  <c r="O20" i="158"/>
  <c r="H9" i="79" s="1"/>
  <c r="AP20" i="158"/>
  <c r="AQ20" i="158" s="1"/>
  <c r="AR20" i="158" s="1"/>
  <c r="CR20" i="163" l="1"/>
  <c r="CN20" i="162"/>
  <c r="CW20" i="163"/>
  <c r="CL20" i="163"/>
  <c r="CY19" i="158"/>
  <c r="AB8" i="79" s="1"/>
  <c r="CZ20" i="160"/>
  <c r="CN20" i="160"/>
  <c r="CT20" i="162"/>
  <c r="CV20" i="162"/>
  <c r="CU20" i="163"/>
  <c r="CP20" i="163"/>
  <c r="CN19" i="158"/>
  <c r="Q8" i="79" s="1"/>
  <c r="CS20" i="160"/>
  <c r="CK20" i="160"/>
  <c r="CS20" i="162"/>
  <c r="CZ20" i="162"/>
  <c r="CS20" i="163"/>
  <c r="CQ20" i="163"/>
  <c r="CY20" i="160"/>
  <c r="CU20" i="160"/>
  <c r="CU20" i="162"/>
  <c r="CK20" i="162"/>
  <c r="CK19" i="158"/>
  <c r="N8" i="79" s="1"/>
  <c r="CT20" i="163"/>
  <c r="CK20" i="163"/>
  <c r="CZ19" i="158"/>
  <c r="AC8" i="79" s="1"/>
  <c r="CL20" i="160"/>
  <c r="CM20" i="160"/>
  <c r="CS19" i="158"/>
  <c r="V8" i="79" s="1"/>
  <c r="CM20" i="162"/>
  <c r="CO19" i="158"/>
  <c r="CR19" i="158"/>
  <c r="CZ20" i="163"/>
  <c r="CO20" i="163"/>
  <c r="CT19" i="158"/>
  <c r="W8" i="79" s="1"/>
  <c r="CV20" i="160"/>
  <c r="CP19" i="158"/>
  <c r="CQ20" i="162"/>
  <c r="CL19" i="158"/>
  <c r="O8" i="79" s="1"/>
  <c r="CM19" i="158"/>
  <c r="P8" i="79" s="1"/>
  <c r="CM20" i="163"/>
  <c r="CV20" i="163"/>
  <c r="CW20" i="160"/>
  <c r="CO20" i="160"/>
  <c r="CX20" i="162"/>
  <c r="CO20" i="162"/>
  <c r="CW19" i="158"/>
  <c r="Z8" i="79" s="1"/>
  <c r="CP20" i="160"/>
  <c r="CY20" i="163"/>
  <c r="CN20" i="163"/>
  <c r="CX19" i="158"/>
  <c r="AA8" i="79" s="1"/>
  <c r="CX20" i="160"/>
  <c r="CQ20" i="160"/>
  <c r="CW20" i="162"/>
  <c r="CP20" i="162"/>
  <c r="CQ19" i="158"/>
  <c r="CR20" i="162"/>
  <c r="U9" i="79" s="1"/>
  <c r="CX20" i="163"/>
  <c r="CV19" i="158"/>
  <c r="Y8" i="79" s="1"/>
  <c r="CT20" i="160"/>
  <c r="CY20" i="162"/>
  <c r="CL20" i="162"/>
  <c r="AK21" i="160"/>
  <c r="AL21" i="160" s="1"/>
  <c r="AM21" i="160" s="1"/>
  <c r="H21" i="159"/>
  <c r="I21" i="159" s="1"/>
  <c r="M21" i="159" s="1"/>
  <c r="BY21" i="159"/>
  <c r="BS21" i="159" s="1"/>
  <c r="CG21" i="159" s="1"/>
  <c r="BJ21" i="163"/>
  <c r="BE21" i="163"/>
  <c r="BF21" i="163" s="1"/>
  <c r="BG21" i="163" s="1"/>
  <c r="P21" i="159"/>
  <c r="Q21" i="159" s="1"/>
  <c r="E21" i="160"/>
  <c r="F21" i="160" s="1"/>
  <c r="G21" i="160" s="1"/>
  <c r="BE21" i="162"/>
  <c r="BF21" i="162" s="1"/>
  <c r="BG21" i="162" s="1"/>
  <c r="AK21" i="163"/>
  <c r="AL21" i="163" s="1"/>
  <c r="AM21" i="163" s="1"/>
  <c r="E21" i="163"/>
  <c r="F21" i="163" s="1"/>
  <c r="G21" i="163" s="1"/>
  <c r="AU21" i="163"/>
  <c r="AV21" i="163" s="1"/>
  <c r="AW21" i="163" s="1"/>
  <c r="AZ21" i="163"/>
  <c r="E21" i="162"/>
  <c r="F21" i="162" s="1"/>
  <c r="G21" i="162" s="1"/>
  <c r="AD21" i="160"/>
  <c r="AE21" i="160" s="1"/>
  <c r="AF21" i="160" s="1"/>
  <c r="Y21" i="160"/>
  <c r="AP21" i="160"/>
  <c r="AQ21" i="160" s="1"/>
  <c r="AR21" i="160" s="1"/>
  <c r="J21" i="160"/>
  <c r="BY21" i="160" s="1"/>
  <c r="BE21" i="160"/>
  <c r="BF21" i="160" s="1"/>
  <c r="BG21" i="160" s="1"/>
  <c r="AP21" i="162"/>
  <c r="AQ21" i="162" s="1"/>
  <c r="AR21" i="162" s="1"/>
  <c r="BJ21" i="162"/>
  <c r="AZ21" i="162"/>
  <c r="BA21" i="162" s="1"/>
  <c r="BB21" i="162" s="1"/>
  <c r="J21" i="162"/>
  <c r="K21" i="162" s="1"/>
  <c r="L21" i="162" s="1"/>
  <c r="T21" i="160"/>
  <c r="U21" i="160" s="1"/>
  <c r="V21" i="160" s="1"/>
  <c r="AD21" i="163"/>
  <c r="AE21" i="163" s="1"/>
  <c r="AF21" i="163" s="1"/>
  <c r="BU21" i="159"/>
  <c r="CI21" i="159" s="1"/>
  <c r="T21" i="162"/>
  <c r="Y21" i="163"/>
  <c r="T21" i="163"/>
  <c r="BA21" i="163"/>
  <c r="BB21" i="163" s="1"/>
  <c r="K20" i="158"/>
  <c r="L20" i="158" s="1"/>
  <c r="I9" i="79"/>
  <c r="BK21" i="159"/>
  <c r="BL21" i="159" s="1"/>
  <c r="BH21" i="163"/>
  <c r="BI21" i="163" s="1"/>
  <c r="BM21" i="163" s="1"/>
  <c r="CB21" i="163"/>
  <c r="AQ21" i="163"/>
  <c r="AR21" i="163" s="1"/>
  <c r="S21" i="159"/>
  <c r="W21" i="159" s="1"/>
  <c r="U21" i="159"/>
  <c r="V21" i="159" s="1"/>
  <c r="AK21" i="162"/>
  <c r="AL21" i="159"/>
  <c r="AN21" i="159"/>
  <c r="AO21" i="159" s="1"/>
  <c r="AS21" i="159" s="1"/>
  <c r="AU21" i="162"/>
  <c r="CB21" i="159"/>
  <c r="BH21" i="159"/>
  <c r="BI21" i="159" s="1"/>
  <c r="BM21" i="159" s="1"/>
  <c r="BF21" i="159"/>
  <c r="BG21" i="159" s="1"/>
  <c r="AE20" i="158"/>
  <c r="AF20" i="158" s="1"/>
  <c r="O21" i="162"/>
  <c r="Y21" i="162"/>
  <c r="BX21" i="159"/>
  <c r="O21" i="163"/>
  <c r="BK21" i="163"/>
  <c r="BL21" i="163" s="1"/>
  <c r="BZ21" i="159"/>
  <c r="AQ21" i="159"/>
  <c r="AR21" i="159" s="1"/>
  <c r="O21" i="160"/>
  <c r="BJ21" i="160"/>
  <c r="Z21" i="160"/>
  <c r="AA21" i="160" s="1"/>
  <c r="AB21" i="160"/>
  <c r="J21" i="163"/>
  <c r="AX21" i="159"/>
  <c r="AY21" i="159" s="1"/>
  <c r="BC21" i="159" s="1"/>
  <c r="AV21" i="159"/>
  <c r="AW21" i="159" s="1"/>
  <c r="CA21" i="159"/>
  <c r="BW21" i="159"/>
  <c r="AB21" i="159"/>
  <c r="AC21" i="159" s="1"/>
  <c r="AG21" i="159" s="1"/>
  <c r="Z21" i="159"/>
  <c r="AA21" i="159" s="1"/>
  <c r="AD21" i="162"/>
  <c r="K21" i="159"/>
  <c r="L21" i="159" s="1"/>
  <c r="P20" i="158"/>
  <c r="Q20" i="158" s="1"/>
  <c r="AZ21" i="160"/>
  <c r="BA21" i="159"/>
  <c r="BB21" i="159" s="1"/>
  <c r="AE21" i="159"/>
  <c r="AF21" i="159" s="1"/>
  <c r="AU21" i="160"/>
  <c r="BW20" i="158"/>
  <c r="F20" i="158"/>
  <c r="G20" i="158" s="1"/>
  <c r="BY20" i="158"/>
  <c r="H20" i="158"/>
  <c r="I20" i="158" s="1"/>
  <c r="M20" i="158" s="1"/>
  <c r="R20" i="158"/>
  <c r="S20" i="158" s="1"/>
  <c r="W20" i="158" s="1"/>
  <c r="BX20" i="158"/>
  <c r="AC20" i="158"/>
  <c r="AG20" i="158" s="1"/>
  <c r="BE20" i="158"/>
  <c r="BJ20" i="158"/>
  <c r="BK20" i="158" s="1"/>
  <c r="BL20" i="158" s="1"/>
  <c r="AU20" i="158"/>
  <c r="AZ20" i="158"/>
  <c r="BA20" i="158" s="1"/>
  <c r="BB20" i="158" s="1"/>
  <c r="AK20" i="158"/>
  <c r="AL20" i="158" s="1"/>
  <c r="H21" i="160" l="1"/>
  <c r="R9" i="79"/>
  <c r="T9" i="79"/>
  <c r="AN21" i="160"/>
  <c r="BT21" i="159"/>
  <c r="CH21" i="159" s="1"/>
  <c r="S9" i="79"/>
  <c r="BZ21" i="160"/>
  <c r="BR21" i="160" s="1"/>
  <c r="CF21" i="160" s="1"/>
  <c r="I21" i="160"/>
  <c r="M21" i="160" s="1"/>
  <c r="BW21" i="163"/>
  <c r="BZ21" i="163"/>
  <c r="BR21" i="163" s="1"/>
  <c r="CF21" i="163" s="1"/>
  <c r="AN21" i="163"/>
  <c r="AO21" i="163" s="1"/>
  <c r="AS21" i="163" s="1"/>
  <c r="K21" i="160"/>
  <c r="L21" i="160" s="1"/>
  <c r="BH21" i="162"/>
  <c r="BI21" i="162" s="1"/>
  <c r="BM21" i="162" s="1"/>
  <c r="AO21" i="160"/>
  <c r="AS21" i="160" s="1"/>
  <c r="H21" i="163"/>
  <c r="I21" i="163" s="1"/>
  <c r="M21" i="163" s="1"/>
  <c r="BY21" i="163"/>
  <c r="BU21" i="163" s="1"/>
  <c r="CI21" i="163" s="1"/>
  <c r="F10" i="79"/>
  <c r="G9" i="79"/>
  <c r="BH21" i="160"/>
  <c r="CB21" i="162"/>
  <c r="BP21" i="162" s="1"/>
  <c r="CD21" i="162" s="1"/>
  <c r="BK21" i="162"/>
  <c r="BL21" i="162" s="1"/>
  <c r="AX21" i="163"/>
  <c r="AY21" i="163" s="1"/>
  <c r="BC21" i="163" s="1"/>
  <c r="CA21" i="163"/>
  <c r="E9" i="79"/>
  <c r="H21" i="162"/>
  <c r="I21" i="162" s="1"/>
  <c r="M21" i="162" s="1"/>
  <c r="AC21" i="160"/>
  <c r="AG21" i="160" s="1"/>
  <c r="BW21" i="160"/>
  <c r="BU21" i="160" s="1"/>
  <c r="CI21" i="160" s="1"/>
  <c r="BY21" i="162"/>
  <c r="BT21" i="162" s="1"/>
  <c r="CH21" i="162" s="1"/>
  <c r="AB21" i="162"/>
  <c r="AC21" i="162" s="1"/>
  <c r="AG21" i="162" s="1"/>
  <c r="Z21" i="162"/>
  <c r="AA21" i="162" s="1"/>
  <c r="BT21" i="160"/>
  <c r="CH21" i="160" s="1"/>
  <c r="BS21" i="160"/>
  <c r="CG21" i="160" s="1"/>
  <c r="BR21" i="159"/>
  <c r="CF21" i="159" s="1"/>
  <c r="BP21" i="159"/>
  <c r="CD21" i="159" s="1"/>
  <c r="BQ21" i="159"/>
  <c r="CE21" i="159" s="1"/>
  <c r="P21" i="162"/>
  <c r="Q21" i="162" s="1"/>
  <c r="R21" i="162"/>
  <c r="S21" i="162" s="1"/>
  <c r="W21" i="162" s="1"/>
  <c r="K9" i="79"/>
  <c r="U21" i="163"/>
  <c r="V21" i="163" s="1"/>
  <c r="BX21" i="162"/>
  <c r="U21" i="162"/>
  <c r="V21" i="162" s="1"/>
  <c r="CA21" i="162"/>
  <c r="AX21" i="162"/>
  <c r="AY21" i="162" s="1"/>
  <c r="BC21" i="162" s="1"/>
  <c r="AV21" i="162"/>
  <c r="AW21" i="162" s="1"/>
  <c r="BA21" i="160"/>
  <c r="BB21" i="160" s="1"/>
  <c r="BK21" i="160"/>
  <c r="BL21" i="160" s="1"/>
  <c r="BX21" i="163"/>
  <c r="P21" i="163"/>
  <c r="Q21" i="163" s="1"/>
  <c r="R21" i="163"/>
  <c r="S21" i="163" s="1"/>
  <c r="W21" i="163" s="1"/>
  <c r="AM21" i="159"/>
  <c r="AB21" i="163"/>
  <c r="AC21" i="163" s="1"/>
  <c r="AG21" i="163" s="1"/>
  <c r="Z21" i="163"/>
  <c r="AA21" i="163" s="1"/>
  <c r="AV20" i="158"/>
  <c r="AW20" i="158" s="1"/>
  <c r="P21" i="160"/>
  <c r="Q21" i="160" s="1"/>
  <c r="R21" i="160"/>
  <c r="S21" i="160" s="1"/>
  <c r="W21" i="160" s="1"/>
  <c r="BX21" i="160"/>
  <c r="AL21" i="162"/>
  <c r="BZ21" i="162"/>
  <c r="AN21" i="162"/>
  <c r="AO21" i="162" s="1"/>
  <c r="AS21" i="162" s="1"/>
  <c r="CB21" i="160"/>
  <c r="BP21" i="160" s="1"/>
  <c r="CD21" i="160" s="1"/>
  <c r="BW21" i="162"/>
  <c r="BU21" i="162" s="1"/>
  <c r="CI21" i="162" s="1"/>
  <c r="J10" i="79"/>
  <c r="AE21" i="162"/>
  <c r="AF21" i="162" s="1"/>
  <c r="BI21" i="160"/>
  <c r="BM21" i="160" s="1"/>
  <c r="CA21" i="160"/>
  <c r="AX21" i="160"/>
  <c r="AY21" i="160" s="1"/>
  <c r="BC21" i="160" s="1"/>
  <c r="AV21" i="160"/>
  <c r="AW21" i="160" s="1"/>
  <c r="K21" i="163"/>
  <c r="L21" i="163" s="1"/>
  <c r="BS20" i="158"/>
  <c r="CG20" i="158" s="1"/>
  <c r="BT20" i="158"/>
  <c r="CH20" i="158" s="1"/>
  <c r="BU20" i="158"/>
  <c r="CI20" i="158" s="1"/>
  <c r="CB20" i="158"/>
  <c r="AX20" i="158"/>
  <c r="AY20" i="158" s="1"/>
  <c r="BC20" i="158" s="1"/>
  <c r="BF20" i="158"/>
  <c r="BG20" i="158" s="1"/>
  <c r="BH20" i="158"/>
  <c r="BI20" i="158" s="1"/>
  <c r="BM20" i="158" s="1"/>
  <c r="CA20" i="158"/>
  <c r="BZ20" i="158"/>
  <c r="AN20" i="158"/>
  <c r="AO20" i="158" s="1"/>
  <c r="AS20" i="158" s="1"/>
  <c r="AM20" i="158"/>
  <c r="AG14" i="79"/>
  <c r="AG16" i="79"/>
  <c r="AG15" i="79"/>
  <c r="AG17" i="79"/>
  <c r="BQ21" i="160" l="1"/>
  <c r="CE21" i="160" s="1"/>
  <c r="BQ21" i="163"/>
  <c r="CE21" i="163" s="1"/>
  <c r="BP21" i="163"/>
  <c r="CD21" i="163" s="1"/>
  <c r="CO21" i="159"/>
  <c r="CP21" i="159"/>
  <c r="CK21" i="159"/>
  <c r="CM21" i="159"/>
  <c r="CS21" i="159"/>
  <c r="CN21" i="159"/>
  <c r="CR21" i="159"/>
  <c r="CL21" i="159"/>
  <c r="CQ21" i="159"/>
  <c r="CT21" i="159"/>
  <c r="CV21" i="159"/>
  <c r="CW21" i="159"/>
  <c r="CU21" i="159"/>
  <c r="CX21" i="159"/>
  <c r="CZ21" i="159"/>
  <c r="CY21" i="159"/>
  <c r="CR21" i="160"/>
  <c r="CU21" i="160"/>
  <c r="CN21" i="160"/>
  <c r="CM21" i="160"/>
  <c r="CO21" i="160"/>
  <c r="CV21" i="160"/>
  <c r="CK21" i="160"/>
  <c r="CQ21" i="160"/>
  <c r="CL21" i="160"/>
  <c r="CP21" i="160"/>
  <c r="CZ21" i="160"/>
  <c r="CS21" i="160"/>
  <c r="CY21" i="160"/>
  <c r="CT21" i="160"/>
  <c r="CX21" i="160"/>
  <c r="CW21" i="160"/>
  <c r="L9" i="79"/>
  <c r="AK22" i="160"/>
  <c r="AL22" i="160" s="1"/>
  <c r="AM22" i="160" s="1"/>
  <c r="BS21" i="163"/>
  <c r="CG21" i="163" s="1"/>
  <c r="BT21" i="163"/>
  <c r="BS21" i="162"/>
  <c r="CG21" i="162" s="1"/>
  <c r="AK22" i="159"/>
  <c r="AL22" i="159" s="1"/>
  <c r="AM22" i="159" s="1"/>
  <c r="E22" i="160"/>
  <c r="F22" i="160" s="1"/>
  <c r="G22" i="160" s="1"/>
  <c r="BJ22" i="160"/>
  <c r="BK22" i="160" s="1"/>
  <c r="BL22" i="160" s="1"/>
  <c r="BJ22" i="159"/>
  <c r="BK22" i="159" s="1"/>
  <c r="BL22" i="159" s="1"/>
  <c r="AM21" i="162"/>
  <c r="Y22" i="159"/>
  <c r="J22" i="159"/>
  <c r="AD22" i="159"/>
  <c r="T22" i="159"/>
  <c r="AU22" i="160"/>
  <c r="T22" i="160"/>
  <c r="AD22" i="160"/>
  <c r="BE22" i="159"/>
  <c r="BJ22" i="163"/>
  <c r="AP22" i="159"/>
  <c r="BZ22" i="159" s="1"/>
  <c r="BE22" i="160"/>
  <c r="Y22" i="160"/>
  <c r="AP22" i="163"/>
  <c r="O22" i="160"/>
  <c r="AZ22" i="160"/>
  <c r="AZ22" i="163"/>
  <c r="AU22" i="159"/>
  <c r="AP22" i="160"/>
  <c r="AZ22" i="159"/>
  <c r="BE22" i="163"/>
  <c r="E22" i="159"/>
  <c r="AK22" i="163"/>
  <c r="J22" i="160"/>
  <c r="BR21" i="162"/>
  <c r="CF21" i="162" s="1"/>
  <c r="BQ21" i="162"/>
  <c r="CE21" i="162" s="1"/>
  <c r="O22" i="159"/>
  <c r="AU22" i="163"/>
  <c r="BP20" i="158"/>
  <c r="CD20" i="158" s="1"/>
  <c r="BQ20" i="158"/>
  <c r="CE20" i="158" s="1"/>
  <c r="BR20" i="158"/>
  <c r="CF20" i="158" s="1"/>
  <c r="J21" i="158"/>
  <c r="T21" i="158"/>
  <c r="U21" i="158" s="1"/>
  <c r="V21" i="158" s="1"/>
  <c r="O21" i="158"/>
  <c r="H10" i="79" s="1"/>
  <c r="Y21" i="158"/>
  <c r="E21" i="158"/>
  <c r="AD21" i="158"/>
  <c r="AN22" i="160" l="1"/>
  <c r="CH21" i="163"/>
  <c r="O22" i="163"/>
  <c r="H22" i="160"/>
  <c r="BZ22" i="160"/>
  <c r="CR21" i="163"/>
  <c r="CR21" i="162"/>
  <c r="U10" i="79" s="1"/>
  <c r="CL21" i="162"/>
  <c r="CN21" i="162"/>
  <c r="CP21" i="163"/>
  <c r="CY21" i="162"/>
  <c r="CP21" i="162"/>
  <c r="CX21" i="163"/>
  <c r="CK21" i="163"/>
  <c r="CW20" i="158"/>
  <c r="Z9" i="79" s="1"/>
  <c r="CX20" i="158"/>
  <c r="AA9" i="79" s="1"/>
  <c r="CT20" i="158"/>
  <c r="W9" i="79" s="1"/>
  <c r="CY20" i="158"/>
  <c r="AB9" i="79" s="1"/>
  <c r="CZ20" i="158"/>
  <c r="AC9" i="79" s="1"/>
  <c r="CV20" i="158"/>
  <c r="Y9" i="79" s="1"/>
  <c r="CS20" i="158"/>
  <c r="V9" i="79" s="1"/>
  <c r="CU20" i="158"/>
  <c r="X9" i="79" s="1"/>
  <c r="CO20" i="158"/>
  <c r="CQ20" i="158"/>
  <c r="CR20" i="158"/>
  <c r="CL20" i="158"/>
  <c r="O9" i="79" s="1"/>
  <c r="CM20" i="158"/>
  <c r="P9" i="79" s="1"/>
  <c r="CN20" i="158"/>
  <c r="Q9" i="79" s="1"/>
  <c r="CP20" i="158"/>
  <c r="CK20" i="158"/>
  <c r="N9" i="79" s="1"/>
  <c r="CW21" i="162"/>
  <c r="CM21" i="162"/>
  <c r="CY21" i="163"/>
  <c r="CM21" i="163"/>
  <c r="CX21" i="162"/>
  <c r="CZ21" i="162"/>
  <c r="CW21" i="163"/>
  <c r="CO21" i="163"/>
  <c r="CS21" i="162"/>
  <c r="CQ21" i="162"/>
  <c r="T10" i="79" s="1"/>
  <c r="CT21" i="163"/>
  <c r="CN21" i="163"/>
  <c r="CT21" i="162"/>
  <c r="CK21" i="162"/>
  <c r="CZ21" i="163"/>
  <c r="CL21" i="163"/>
  <c r="CU21" i="162"/>
  <c r="CO21" i="162"/>
  <c r="R10" i="79" s="1"/>
  <c r="CU21" i="163"/>
  <c r="CV21" i="163"/>
  <c r="CV21" i="162"/>
  <c r="S10" i="79"/>
  <c r="CS21" i="163"/>
  <c r="CQ21" i="163"/>
  <c r="AD22" i="162"/>
  <c r="AE22" i="162" s="1"/>
  <c r="AF22" i="162" s="1"/>
  <c r="J22" i="163"/>
  <c r="K22" i="163" s="1"/>
  <c r="L22" i="163" s="1"/>
  <c r="Y22" i="163"/>
  <c r="AB22" i="163" s="1"/>
  <c r="T22" i="163"/>
  <c r="U22" i="163" s="1"/>
  <c r="V22" i="163" s="1"/>
  <c r="AD22" i="163"/>
  <c r="E22" i="163"/>
  <c r="AN22" i="159"/>
  <c r="AO22" i="159" s="1"/>
  <c r="AS22" i="159" s="1"/>
  <c r="BE21" i="158"/>
  <c r="BF21" i="158" s="1"/>
  <c r="BG21" i="158" s="1"/>
  <c r="O22" i="162"/>
  <c r="R22" i="162" s="1"/>
  <c r="T22" i="162"/>
  <c r="U22" i="162" s="1"/>
  <c r="V22" i="162" s="1"/>
  <c r="Y22" i="162"/>
  <c r="E22" i="162"/>
  <c r="F22" i="162" s="1"/>
  <c r="G22" i="162" s="1"/>
  <c r="BQ22" i="159"/>
  <c r="CE22" i="159" s="1"/>
  <c r="BP22" i="159"/>
  <c r="CD22" i="159" s="1"/>
  <c r="BR22" i="159"/>
  <c r="CF22" i="159" s="1"/>
  <c r="BR22" i="160"/>
  <c r="CF22" i="160" s="1"/>
  <c r="BQ22" i="160"/>
  <c r="CE22" i="160" s="1"/>
  <c r="I22" i="160"/>
  <c r="M22" i="160" s="1"/>
  <c r="K22" i="160"/>
  <c r="L22" i="160" s="1"/>
  <c r="CA22" i="159"/>
  <c r="AX22" i="159"/>
  <c r="AY22" i="159" s="1"/>
  <c r="BC22" i="159" s="1"/>
  <c r="AV22" i="159"/>
  <c r="AW22" i="159" s="1"/>
  <c r="BH22" i="160"/>
  <c r="BI22" i="160" s="1"/>
  <c r="BM22" i="160" s="1"/>
  <c r="BF22" i="160"/>
  <c r="BG22" i="160" s="1"/>
  <c r="U22" i="160"/>
  <c r="V22" i="160" s="1"/>
  <c r="R22" i="163"/>
  <c r="S22" i="163" s="1"/>
  <c r="W22" i="163" s="1"/>
  <c r="P22" i="163"/>
  <c r="Q22" i="163" s="1"/>
  <c r="K21" i="158"/>
  <c r="L21" i="158" s="1"/>
  <c r="BY22" i="160"/>
  <c r="BA22" i="163"/>
  <c r="BB22" i="163" s="1"/>
  <c r="AQ22" i="159"/>
  <c r="AR22" i="159" s="1"/>
  <c r="AV22" i="160"/>
  <c r="AW22" i="160" s="1"/>
  <c r="AX22" i="160"/>
  <c r="AY22" i="160" s="1"/>
  <c r="BC22" i="160" s="1"/>
  <c r="CA22" i="160"/>
  <c r="AE22" i="160"/>
  <c r="AF22" i="160" s="1"/>
  <c r="BA22" i="160"/>
  <c r="BB22" i="160" s="1"/>
  <c r="BK22" i="163"/>
  <c r="BL22" i="163" s="1"/>
  <c r="U22" i="159"/>
  <c r="V22" i="159" s="1"/>
  <c r="BE22" i="162"/>
  <c r="AP22" i="162"/>
  <c r="BJ22" i="162"/>
  <c r="AU22" i="162"/>
  <c r="AK22" i="162"/>
  <c r="AZ22" i="162"/>
  <c r="AE21" i="158"/>
  <c r="AF21" i="158" s="1"/>
  <c r="AE22" i="159"/>
  <c r="AF22" i="159" s="1"/>
  <c r="AX22" i="163"/>
  <c r="AY22" i="163" s="1"/>
  <c r="BC22" i="163" s="1"/>
  <c r="AV22" i="163"/>
  <c r="AW22" i="163" s="1"/>
  <c r="CA22" i="163"/>
  <c r="BA22" i="159"/>
  <c r="BB22" i="159" s="1"/>
  <c r="BX22" i="160"/>
  <c r="R22" i="160"/>
  <c r="S22" i="160" s="1"/>
  <c r="W22" i="160" s="1"/>
  <c r="P22" i="160"/>
  <c r="Q22" i="160" s="1"/>
  <c r="K22" i="159"/>
  <c r="L22" i="159" s="1"/>
  <c r="CB22" i="160"/>
  <c r="BP22" i="160" s="1"/>
  <c r="CD22" i="160" s="1"/>
  <c r="AO22" i="160"/>
  <c r="AS22" i="160" s="1"/>
  <c r="BX22" i="159"/>
  <c r="R22" i="159"/>
  <c r="S22" i="159" s="1"/>
  <c r="W22" i="159" s="1"/>
  <c r="P22" i="159"/>
  <c r="Q22" i="159" s="1"/>
  <c r="AN22" i="163"/>
  <c r="AO22" i="163" s="1"/>
  <c r="AS22" i="163" s="1"/>
  <c r="BZ22" i="163"/>
  <c r="AL22" i="163"/>
  <c r="AQ22" i="160"/>
  <c r="AQ22" i="163"/>
  <c r="AR22" i="163" s="1"/>
  <c r="BH22" i="159"/>
  <c r="BI22" i="159" s="1"/>
  <c r="BM22" i="159" s="1"/>
  <c r="CB22" i="159"/>
  <c r="BF22" i="159"/>
  <c r="BG22" i="159" s="1"/>
  <c r="AB22" i="159"/>
  <c r="AC22" i="159" s="1"/>
  <c r="AG22" i="159" s="1"/>
  <c r="BW22" i="159"/>
  <c r="Z22" i="159"/>
  <c r="AA22" i="159" s="1"/>
  <c r="BF22" i="163"/>
  <c r="BG22" i="163" s="1"/>
  <c r="CB22" i="163"/>
  <c r="BH22" i="163"/>
  <c r="BI22" i="163" s="1"/>
  <c r="BM22" i="163" s="1"/>
  <c r="P21" i="158"/>
  <c r="Q21" i="158" s="1"/>
  <c r="F22" i="159"/>
  <c r="BY22" i="159"/>
  <c r="H22" i="159"/>
  <c r="I22" i="159" s="1"/>
  <c r="M22" i="159" s="1"/>
  <c r="Z22" i="160"/>
  <c r="AA22" i="160" s="1"/>
  <c r="AB22" i="160"/>
  <c r="AC22" i="160" s="1"/>
  <c r="AG22" i="160" s="1"/>
  <c r="BW22" i="160"/>
  <c r="BU22" i="160" s="1"/>
  <c r="CI22" i="160" s="1"/>
  <c r="AE22" i="163"/>
  <c r="AF22" i="163" s="1"/>
  <c r="J22" i="162"/>
  <c r="K22" i="162" s="1"/>
  <c r="L22" i="162" s="1"/>
  <c r="AU21" i="158"/>
  <c r="AX21" i="158" s="1"/>
  <c r="BJ21" i="158"/>
  <c r="BK21" i="158" s="1"/>
  <c r="BL21" i="158" s="1"/>
  <c r="AP21" i="158"/>
  <c r="I10" i="79" s="1"/>
  <c r="AK21" i="158"/>
  <c r="AL21" i="158" s="1"/>
  <c r="AZ21" i="158"/>
  <c r="BA21" i="158" s="1"/>
  <c r="BB21" i="158" s="1"/>
  <c r="BY21" i="158"/>
  <c r="F21" i="158"/>
  <c r="G21" i="158" s="1"/>
  <c r="H21" i="158"/>
  <c r="I21" i="158" s="1"/>
  <c r="M21" i="158" s="1"/>
  <c r="AB21" i="158"/>
  <c r="AC21" i="158" s="1"/>
  <c r="AG21" i="158" s="1"/>
  <c r="Z21" i="158"/>
  <c r="AA21" i="158" s="1"/>
  <c r="BW21" i="158"/>
  <c r="R21" i="158"/>
  <c r="S21" i="158" s="1"/>
  <c r="W21" i="158" s="1"/>
  <c r="BX21" i="158"/>
  <c r="BY22" i="163" l="1"/>
  <c r="BW22" i="163"/>
  <c r="J11" i="79"/>
  <c r="BX22" i="163"/>
  <c r="BH21" i="158"/>
  <c r="BI21" i="158" s="1"/>
  <c r="BM21" i="158" s="1"/>
  <c r="AC22" i="163"/>
  <c r="AG22" i="163" s="1"/>
  <c r="Z22" i="163"/>
  <c r="AA22" i="163" s="1"/>
  <c r="S22" i="162"/>
  <c r="W22" i="162" s="1"/>
  <c r="F22" i="163"/>
  <c r="G22" i="163" s="1"/>
  <c r="H22" i="163"/>
  <c r="I22" i="163" s="1"/>
  <c r="M22" i="163" s="1"/>
  <c r="AQ21" i="158"/>
  <c r="AR21" i="158" s="1"/>
  <c r="BX22" i="162"/>
  <c r="P22" i="162"/>
  <c r="Q22" i="162" s="1"/>
  <c r="F11" i="79"/>
  <c r="Z22" i="162"/>
  <c r="AA22" i="162" s="1"/>
  <c r="G10" i="79"/>
  <c r="BW22" i="162"/>
  <c r="BU22" i="162" s="1"/>
  <c r="CI22" i="162" s="1"/>
  <c r="H22" i="162"/>
  <c r="I22" i="162" s="1"/>
  <c r="M22" i="162" s="1"/>
  <c r="AB22" i="162"/>
  <c r="AC22" i="162" s="1"/>
  <c r="AG22" i="162" s="1"/>
  <c r="E10" i="79"/>
  <c r="AV21" i="158"/>
  <c r="AW21" i="158" s="1"/>
  <c r="K10" i="79"/>
  <c r="CB21" i="158"/>
  <c r="BY22" i="162"/>
  <c r="AK23" i="160"/>
  <c r="G22" i="159"/>
  <c r="BJ23" i="159" s="1"/>
  <c r="BT22" i="163"/>
  <c r="CH22" i="163" s="1"/>
  <c r="BS22" i="163"/>
  <c r="CG22" i="163" s="1"/>
  <c r="BU22" i="163"/>
  <c r="CI22" i="163" s="1"/>
  <c r="AP23" i="160"/>
  <c r="BA22" i="162"/>
  <c r="BB22" i="162" s="1"/>
  <c r="BJ23" i="160"/>
  <c r="BS22" i="159"/>
  <c r="CG22" i="159" s="1"/>
  <c r="BU22" i="159"/>
  <c r="CI22" i="159" s="1"/>
  <c r="BT22" i="159"/>
  <c r="CH22" i="159" s="1"/>
  <c r="AR22" i="160"/>
  <c r="BZ22" i="162"/>
  <c r="AN22" i="162"/>
  <c r="AO22" i="162" s="1"/>
  <c r="AS22" i="162" s="1"/>
  <c r="AL22" i="162"/>
  <c r="AU23" i="160"/>
  <c r="CA22" i="162"/>
  <c r="AX22" i="162"/>
  <c r="AY22" i="162" s="1"/>
  <c r="BC22" i="162" s="1"/>
  <c r="AV22" i="162"/>
  <c r="AW22" i="162" s="1"/>
  <c r="AZ23" i="160"/>
  <c r="BT22" i="160"/>
  <c r="CH22" i="160" s="1"/>
  <c r="BS22" i="160"/>
  <c r="CG22" i="160" s="1"/>
  <c r="BE23" i="160"/>
  <c r="CB22" i="162"/>
  <c r="BP22" i="162" s="1"/>
  <c r="CD22" i="162" s="1"/>
  <c r="BH22" i="162"/>
  <c r="BI22" i="162" s="1"/>
  <c r="BM22" i="162" s="1"/>
  <c r="BF22" i="162"/>
  <c r="BG22" i="162" s="1"/>
  <c r="AM22" i="163"/>
  <c r="BK22" i="162"/>
  <c r="BL22" i="162" s="1"/>
  <c r="BR22" i="163"/>
  <c r="CF22" i="163" s="1"/>
  <c r="BQ22" i="163"/>
  <c r="CE22" i="163" s="1"/>
  <c r="BP22" i="163"/>
  <c r="CD22" i="163" s="1"/>
  <c r="AQ22" i="162"/>
  <c r="AR22" i="162" s="1"/>
  <c r="CA21" i="158"/>
  <c r="AY21" i="158"/>
  <c r="BC21" i="158" s="1"/>
  <c r="AN21" i="158"/>
  <c r="AO21" i="158" s="1"/>
  <c r="AS21" i="158" s="1"/>
  <c r="BZ21" i="158"/>
  <c r="BR21" i="158" s="1"/>
  <c r="CF21" i="158" s="1"/>
  <c r="BU21" i="158"/>
  <c r="CI21" i="158" s="1"/>
  <c r="BS21" i="158"/>
  <c r="CG21" i="158" s="1"/>
  <c r="BT21" i="158"/>
  <c r="CH21" i="158" s="1"/>
  <c r="AM21" i="158"/>
  <c r="CN22" i="159" l="1"/>
  <c r="CO22" i="160"/>
  <c r="CX22" i="160"/>
  <c r="CQ22" i="160"/>
  <c r="CZ22" i="159"/>
  <c r="CM22" i="159"/>
  <c r="CW22" i="160"/>
  <c r="CK22" i="160"/>
  <c r="CX22" i="159"/>
  <c r="CR22" i="159"/>
  <c r="CO22" i="163"/>
  <c r="CN22" i="163"/>
  <c r="CL22" i="163"/>
  <c r="CV22" i="163"/>
  <c r="CM22" i="163"/>
  <c r="CP22" i="163"/>
  <c r="CK22" i="163"/>
  <c r="CR22" i="163"/>
  <c r="CQ22" i="163"/>
  <c r="CU22" i="163"/>
  <c r="CS22" i="163"/>
  <c r="CT22" i="163"/>
  <c r="CZ22" i="163"/>
  <c r="CW22" i="163"/>
  <c r="CY22" i="163"/>
  <c r="CX22" i="163"/>
  <c r="CY22" i="160"/>
  <c r="CR22" i="160"/>
  <c r="CY22" i="159"/>
  <c r="CO22" i="159"/>
  <c r="CT22" i="160"/>
  <c r="CV22" i="160"/>
  <c r="CW22" i="159"/>
  <c r="CK22" i="159"/>
  <c r="CZ22" i="160"/>
  <c r="CL22" i="160"/>
  <c r="CV22" i="159"/>
  <c r="CS22" i="159"/>
  <c r="CS22" i="160"/>
  <c r="CP22" i="160"/>
  <c r="CU22" i="159"/>
  <c r="CL22" i="159"/>
  <c r="CM22" i="160"/>
  <c r="CU22" i="160"/>
  <c r="CT22" i="159"/>
  <c r="CQ22" i="159"/>
  <c r="CN22" i="160"/>
  <c r="CP22" i="159"/>
  <c r="L10" i="79"/>
  <c r="Y23" i="163"/>
  <c r="Z23" i="163" s="1"/>
  <c r="AA23" i="163" s="1"/>
  <c r="E23" i="163"/>
  <c r="H23" i="163" s="1"/>
  <c r="BE23" i="159"/>
  <c r="CB23" i="159" s="1"/>
  <c r="E23" i="160"/>
  <c r="F23" i="160" s="1"/>
  <c r="G23" i="160" s="1"/>
  <c r="AK23" i="159"/>
  <c r="AL23" i="159" s="1"/>
  <c r="AM23" i="159" s="1"/>
  <c r="T23" i="159"/>
  <c r="U23" i="159" s="1"/>
  <c r="V23" i="159" s="1"/>
  <c r="BQ21" i="158"/>
  <c r="CE21" i="158" s="1"/>
  <c r="AZ23" i="159"/>
  <c r="BA23" i="159" s="1"/>
  <c r="BB23" i="159" s="1"/>
  <c r="BK23" i="159"/>
  <c r="BL23" i="159" s="1"/>
  <c r="BF23" i="160"/>
  <c r="BG23" i="160" s="1"/>
  <c r="CB23" i="160"/>
  <c r="BP23" i="160" s="1"/>
  <c r="CD23" i="160" s="1"/>
  <c r="BH23" i="160"/>
  <c r="BI23" i="160" s="1"/>
  <c r="BM23" i="160" s="1"/>
  <c r="AD23" i="159"/>
  <c r="BK23" i="160"/>
  <c r="BL23" i="160" s="1"/>
  <c r="AU23" i="159"/>
  <c r="AP23" i="159"/>
  <c r="Y23" i="159"/>
  <c r="O23" i="159"/>
  <c r="J23" i="160"/>
  <c r="J23" i="159"/>
  <c r="AL23" i="160"/>
  <c r="AM23" i="160" s="1"/>
  <c r="AN23" i="160"/>
  <c r="AO23" i="160" s="1"/>
  <c r="AS23" i="160" s="1"/>
  <c r="BZ23" i="160"/>
  <c r="AQ23" i="160"/>
  <c r="AR23" i="160" s="1"/>
  <c r="T23" i="163"/>
  <c r="AD23" i="163"/>
  <c r="BE23" i="163"/>
  <c r="AU23" i="163"/>
  <c r="AK23" i="163"/>
  <c r="AP23" i="163"/>
  <c r="BJ23" i="163"/>
  <c r="AZ23" i="163"/>
  <c r="Y23" i="160"/>
  <c r="O23" i="160"/>
  <c r="AD23" i="160"/>
  <c r="BT22" i="162"/>
  <c r="CH22" i="162" s="1"/>
  <c r="BS22" i="162"/>
  <c r="CG22" i="162" s="1"/>
  <c r="BQ22" i="162"/>
  <c r="CE22" i="162" s="1"/>
  <c r="BR22" i="162"/>
  <c r="CF22" i="162" s="1"/>
  <c r="BA23" i="160"/>
  <c r="BB23" i="160" s="1"/>
  <c r="E23" i="159"/>
  <c r="AM22" i="162"/>
  <c r="O23" i="163"/>
  <c r="CA23" i="160"/>
  <c r="AX23" i="160"/>
  <c r="AY23" i="160" s="1"/>
  <c r="BC23" i="160" s="1"/>
  <c r="AV23" i="160"/>
  <c r="AW23" i="160" s="1"/>
  <c r="J23" i="163"/>
  <c r="T23" i="160"/>
  <c r="BP21" i="158"/>
  <c r="CD21" i="158" s="1"/>
  <c r="T22" i="158"/>
  <c r="U22" i="158" s="1"/>
  <c r="V22" i="158" s="1"/>
  <c r="J22" i="158"/>
  <c r="O22" i="158"/>
  <c r="H11" i="79" s="1"/>
  <c r="Y22" i="158"/>
  <c r="AD22" i="158"/>
  <c r="E22" i="158"/>
  <c r="AB23" i="163" l="1"/>
  <c r="BF23" i="159"/>
  <c r="BG23" i="159" s="1"/>
  <c r="BH23" i="159"/>
  <c r="BI23" i="159" s="1"/>
  <c r="BM23" i="159" s="1"/>
  <c r="BW23" i="163"/>
  <c r="CL22" i="162"/>
  <c r="CK22" i="162"/>
  <c r="CS22" i="162"/>
  <c r="CN22" i="162"/>
  <c r="CV22" i="162"/>
  <c r="CM22" i="162"/>
  <c r="CZ22" i="162"/>
  <c r="CX21" i="158"/>
  <c r="AA10" i="79" s="1"/>
  <c r="CZ21" i="158"/>
  <c r="AC10" i="79" s="1"/>
  <c r="CW21" i="158"/>
  <c r="Z10" i="79" s="1"/>
  <c r="CS21" i="158"/>
  <c r="V10" i="79" s="1"/>
  <c r="CO21" i="158"/>
  <c r="CY21" i="158"/>
  <c r="AB10" i="79" s="1"/>
  <c r="CV21" i="158"/>
  <c r="Y10" i="79" s="1"/>
  <c r="CP21" i="158"/>
  <c r="CU21" i="158"/>
  <c r="X10" i="79" s="1"/>
  <c r="CQ21" i="158"/>
  <c r="CN21" i="158"/>
  <c r="Q10" i="79" s="1"/>
  <c r="CT21" i="158"/>
  <c r="W10" i="79" s="1"/>
  <c r="CK21" i="158"/>
  <c r="N10" i="79" s="1"/>
  <c r="CL21" i="158"/>
  <c r="O10" i="79" s="1"/>
  <c r="CM21" i="158"/>
  <c r="P10" i="79" s="1"/>
  <c r="CR21" i="158"/>
  <c r="CX22" i="162"/>
  <c r="CP22" i="162"/>
  <c r="S11" i="79" s="1"/>
  <c r="CU22" i="162"/>
  <c r="F23" i="163"/>
  <c r="G23" i="163" s="1"/>
  <c r="CY22" i="162"/>
  <c r="CO22" i="162"/>
  <c r="R11" i="79" s="1"/>
  <c r="BZ23" i="159"/>
  <c r="AN23" i="159"/>
  <c r="AO23" i="159" s="1"/>
  <c r="AS23" i="159" s="1"/>
  <c r="CW22" i="162"/>
  <c r="CR22" i="162"/>
  <c r="U11" i="79" s="1"/>
  <c r="CT22" i="162"/>
  <c r="CQ22" i="162"/>
  <c r="T11" i="79" s="1"/>
  <c r="BJ22" i="158"/>
  <c r="BK22" i="158" s="1"/>
  <c r="BL22" i="158" s="1"/>
  <c r="J23" i="162"/>
  <c r="K23" i="162" s="1"/>
  <c r="L23" i="162" s="1"/>
  <c r="H23" i="160"/>
  <c r="I23" i="160" s="1"/>
  <c r="M23" i="160" s="1"/>
  <c r="BY23" i="160"/>
  <c r="BT23" i="160" s="1"/>
  <c r="CH23" i="160" s="1"/>
  <c r="Y23" i="162"/>
  <c r="AB23" i="162" s="1"/>
  <c r="R22" i="158"/>
  <c r="S22" i="158" s="1"/>
  <c r="W22" i="158" s="1"/>
  <c r="AD23" i="162"/>
  <c r="BJ23" i="162"/>
  <c r="AK23" i="162"/>
  <c r="AU23" i="162"/>
  <c r="BE23" i="162"/>
  <c r="AP23" i="162"/>
  <c r="AZ23" i="162"/>
  <c r="BK23" i="163"/>
  <c r="BL23" i="163" s="1"/>
  <c r="Z22" i="158"/>
  <c r="AA22" i="158" s="1"/>
  <c r="BA23" i="163"/>
  <c r="BB23" i="163" s="1"/>
  <c r="K22" i="158"/>
  <c r="L22" i="158" s="1"/>
  <c r="E23" i="162"/>
  <c r="AQ23" i="163"/>
  <c r="AR23" i="163" s="1"/>
  <c r="AE23" i="159"/>
  <c r="AF23" i="159" s="1"/>
  <c r="T23" i="162"/>
  <c r="AL23" i="163"/>
  <c r="BZ23" i="163"/>
  <c r="AN23" i="163"/>
  <c r="AO23" i="163" s="1"/>
  <c r="AS23" i="163" s="1"/>
  <c r="BQ23" i="160"/>
  <c r="CE23" i="160" s="1"/>
  <c r="BR23" i="160"/>
  <c r="CF23" i="160" s="1"/>
  <c r="K23" i="160"/>
  <c r="O23" i="162"/>
  <c r="AX23" i="163"/>
  <c r="AY23" i="163" s="1"/>
  <c r="BC23" i="163" s="1"/>
  <c r="AV23" i="163"/>
  <c r="AW23" i="163" s="1"/>
  <c r="CA23" i="163"/>
  <c r="R23" i="159"/>
  <c r="S23" i="159" s="1"/>
  <c r="W23" i="159" s="1"/>
  <c r="P23" i="159"/>
  <c r="Q23" i="159" s="1"/>
  <c r="BX23" i="159"/>
  <c r="AC23" i="163"/>
  <c r="AG23" i="163" s="1"/>
  <c r="U23" i="160"/>
  <c r="V23" i="160" s="1"/>
  <c r="BQ23" i="159"/>
  <c r="CE23" i="159" s="1"/>
  <c r="BP23" i="159"/>
  <c r="CD23" i="159" s="1"/>
  <c r="BR23" i="159"/>
  <c r="CF23" i="159" s="1"/>
  <c r="AE23" i="160"/>
  <c r="AF23" i="160" s="1"/>
  <c r="BH23" i="163"/>
  <c r="BI23" i="163" s="1"/>
  <c r="BM23" i="163" s="1"/>
  <c r="BF23" i="163"/>
  <c r="BG23" i="163" s="1"/>
  <c r="CB23" i="163"/>
  <c r="BW23" i="159"/>
  <c r="Z23" i="159"/>
  <c r="AA23" i="159" s="1"/>
  <c r="AB23" i="159"/>
  <c r="AC23" i="159" s="1"/>
  <c r="AG23" i="159" s="1"/>
  <c r="H22" i="158"/>
  <c r="BY23" i="163"/>
  <c r="K23" i="163"/>
  <c r="L23" i="163" s="1"/>
  <c r="I23" i="163"/>
  <c r="M23" i="163" s="1"/>
  <c r="BY23" i="159"/>
  <c r="H23" i="159"/>
  <c r="I23" i="159" s="1"/>
  <c r="M23" i="159" s="1"/>
  <c r="F23" i="159"/>
  <c r="BX23" i="160"/>
  <c r="R23" i="160"/>
  <c r="S23" i="160" s="1"/>
  <c r="W23" i="160" s="1"/>
  <c r="P23" i="160"/>
  <c r="Q23" i="160" s="1"/>
  <c r="AE23" i="163"/>
  <c r="AF23" i="163" s="1"/>
  <c r="AQ23" i="159"/>
  <c r="AR23" i="159" s="1"/>
  <c r="AE22" i="158"/>
  <c r="AF22" i="158" s="1"/>
  <c r="BX23" i="163"/>
  <c r="R23" i="163"/>
  <c r="S23" i="163" s="1"/>
  <c r="W23" i="163" s="1"/>
  <c r="P23" i="163"/>
  <c r="Q23" i="163" s="1"/>
  <c r="Z23" i="160"/>
  <c r="AA23" i="160" s="1"/>
  <c r="AB23" i="160"/>
  <c r="AC23" i="160" s="1"/>
  <c r="AG23" i="160" s="1"/>
  <c r="BW23" i="160"/>
  <c r="BU23" i="160" s="1"/>
  <c r="CI23" i="160" s="1"/>
  <c r="U23" i="163"/>
  <c r="V23" i="163" s="1"/>
  <c r="K23" i="159"/>
  <c r="L23" i="159" s="1"/>
  <c r="AX23" i="159"/>
  <c r="AY23" i="159" s="1"/>
  <c r="BC23" i="159" s="1"/>
  <c r="AV23" i="159"/>
  <c r="AW23" i="159" s="1"/>
  <c r="CA23" i="159"/>
  <c r="I22" i="158"/>
  <c r="M22" i="158" s="1"/>
  <c r="BX22" i="158"/>
  <c r="P22" i="158"/>
  <c r="Q22" i="158" s="1"/>
  <c r="BY22" i="158"/>
  <c r="F22" i="158"/>
  <c r="G22" i="158" s="1"/>
  <c r="AB22" i="158"/>
  <c r="AC22" i="158" s="1"/>
  <c r="AG22" i="158" s="1"/>
  <c r="BW22" i="158"/>
  <c r="AP22" i="158"/>
  <c r="AQ22" i="158" s="1"/>
  <c r="AR22" i="158" s="1"/>
  <c r="AU22" i="158"/>
  <c r="AZ22" i="158"/>
  <c r="BE22" i="158"/>
  <c r="AK22" i="158"/>
  <c r="E11" i="79" s="1"/>
  <c r="BS23" i="160" l="1"/>
  <c r="CG23" i="160" s="1"/>
  <c r="CM23" i="160" s="1"/>
  <c r="K11" i="79"/>
  <c r="G11" i="79"/>
  <c r="Z23" i="162"/>
  <c r="AA23" i="162" s="1"/>
  <c r="F12" i="79"/>
  <c r="AC23" i="162"/>
  <c r="AG23" i="162" s="1"/>
  <c r="BW23" i="162"/>
  <c r="BU23" i="162" s="1"/>
  <c r="CI23" i="162" s="1"/>
  <c r="I11" i="79"/>
  <c r="AD24" i="160"/>
  <c r="AE24" i="160" s="1"/>
  <c r="AF24" i="160" s="1"/>
  <c r="BU23" i="163"/>
  <c r="CI23" i="163" s="1"/>
  <c r="BT23" i="163"/>
  <c r="CH23" i="163" s="1"/>
  <c r="BS23" i="163"/>
  <c r="CG23" i="163" s="1"/>
  <c r="L23" i="160"/>
  <c r="BE24" i="160" s="1"/>
  <c r="BA23" i="162"/>
  <c r="BB23" i="162" s="1"/>
  <c r="AQ23" i="162"/>
  <c r="AR23" i="162" s="1"/>
  <c r="G23" i="159"/>
  <c r="BE24" i="159" s="1"/>
  <c r="BH23" i="162"/>
  <c r="BI23" i="162" s="1"/>
  <c r="BM23" i="162" s="1"/>
  <c r="BF23" i="162"/>
  <c r="BG23" i="162" s="1"/>
  <c r="CB23" i="162"/>
  <c r="BP23" i="162" s="1"/>
  <c r="CD23" i="162" s="1"/>
  <c r="U23" i="162"/>
  <c r="V23" i="162" s="1"/>
  <c r="AV23" i="162"/>
  <c r="AW23" i="162" s="1"/>
  <c r="CA23" i="162"/>
  <c r="AX23" i="162"/>
  <c r="AY23" i="162" s="1"/>
  <c r="BC23" i="162" s="1"/>
  <c r="BT23" i="159"/>
  <c r="CH23" i="159" s="1"/>
  <c r="BS23" i="159"/>
  <c r="CG23" i="159" s="1"/>
  <c r="BU23" i="159"/>
  <c r="CI23" i="159" s="1"/>
  <c r="AL23" i="162"/>
  <c r="BZ23" i="162"/>
  <c r="AN23" i="162"/>
  <c r="AO23" i="162" s="1"/>
  <c r="AS23" i="162" s="1"/>
  <c r="P23" i="162"/>
  <c r="Q23" i="162" s="1"/>
  <c r="BX23" i="162"/>
  <c r="R23" i="162"/>
  <c r="S23" i="162" s="1"/>
  <c r="W23" i="162" s="1"/>
  <c r="BP23" i="163"/>
  <c r="CD23" i="163" s="1"/>
  <c r="BR23" i="163"/>
  <c r="CF23" i="163" s="1"/>
  <c r="BQ23" i="163"/>
  <c r="CE23" i="163" s="1"/>
  <c r="BK23" i="162"/>
  <c r="BL23" i="162" s="1"/>
  <c r="AM23" i="163"/>
  <c r="BY23" i="162"/>
  <c r="F23" i="162"/>
  <c r="G23" i="162" s="1"/>
  <c r="H23" i="162"/>
  <c r="I23" i="162" s="1"/>
  <c r="M23" i="162" s="1"/>
  <c r="AE23" i="162"/>
  <c r="AF23" i="162" s="1"/>
  <c r="J12" i="79"/>
  <c r="BS22" i="158"/>
  <c r="CG22" i="158" s="1"/>
  <c r="BT22" i="158"/>
  <c r="CH22" i="158" s="1"/>
  <c r="BU22" i="158"/>
  <c r="CI22" i="158" s="1"/>
  <c r="BA22" i="158"/>
  <c r="BB22" i="158" s="1"/>
  <c r="AX22" i="158"/>
  <c r="AY22" i="158" s="1"/>
  <c r="BC22" i="158" s="1"/>
  <c r="CA22" i="158"/>
  <c r="AV22" i="158"/>
  <c r="AW22" i="158" s="1"/>
  <c r="CB22" i="158"/>
  <c r="BF22" i="158"/>
  <c r="BG22" i="158" s="1"/>
  <c r="BH22" i="158"/>
  <c r="BI22" i="158" s="1"/>
  <c r="BM22" i="158" s="1"/>
  <c r="AN22" i="158"/>
  <c r="AO22" i="158" s="1"/>
  <c r="AS22" i="158" s="1"/>
  <c r="AL22" i="158"/>
  <c r="BZ22" i="158"/>
  <c r="CP23" i="159" l="1"/>
  <c r="L11" i="79"/>
  <c r="CZ23" i="160"/>
  <c r="CZ23" i="159"/>
  <c r="CS23" i="159"/>
  <c r="CT23" i="160"/>
  <c r="CV23" i="160"/>
  <c r="E24" i="160"/>
  <c r="H24" i="160" s="1"/>
  <c r="O24" i="160"/>
  <c r="T24" i="160"/>
  <c r="U24" i="160" s="1"/>
  <c r="V24" i="160" s="1"/>
  <c r="CK23" i="160"/>
  <c r="CX23" i="160"/>
  <c r="CW23" i="159"/>
  <c r="CR23" i="159"/>
  <c r="CS23" i="160"/>
  <c r="CQ23" i="160"/>
  <c r="CU23" i="159"/>
  <c r="CO23" i="159"/>
  <c r="CP23" i="160"/>
  <c r="CO23" i="160"/>
  <c r="CT23" i="159"/>
  <c r="CK23" i="159"/>
  <c r="CX23" i="159"/>
  <c r="Y24" i="160"/>
  <c r="BW24" i="160" s="1"/>
  <c r="BU24" i="160" s="1"/>
  <c r="CI24" i="160" s="1"/>
  <c r="J24" i="160"/>
  <c r="K24" i="160" s="1"/>
  <c r="L24" i="160" s="1"/>
  <c r="CY23" i="160"/>
  <c r="CU23" i="160"/>
  <c r="CV23" i="159"/>
  <c r="CL23" i="159"/>
  <c r="CM23" i="159"/>
  <c r="CN23" i="163"/>
  <c r="CQ23" i="163"/>
  <c r="CM23" i="163"/>
  <c r="CP23" i="163"/>
  <c r="CO23" i="163"/>
  <c r="CL23" i="163"/>
  <c r="CV23" i="163"/>
  <c r="CK23" i="163"/>
  <c r="CR23" i="163"/>
  <c r="CS23" i="163"/>
  <c r="CZ23" i="163"/>
  <c r="CU23" i="163"/>
  <c r="CT23" i="163"/>
  <c r="CW23" i="163"/>
  <c r="CX23" i="163"/>
  <c r="CY23" i="163"/>
  <c r="CL23" i="160"/>
  <c r="CN23" i="160"/>
  <c r="CN23" i="159"/>
  <c r="CQ23" i="159"/>
  <c r="CW23" i="160"/>
  <c r="CY23" i="159"/>
  <c r="CR23" i="160"/>
  <c r="AZ24" i="159"/>
  <c r="AK24" i="160"/>
  <c r="AN24" i="160" s="1"/>
  <c r="AK24" i="159"/>
  <c r="AN24" i="159" s="1"/>
  <c r="BJ24" i="159"/>
  <c r="BK24" i="159" s="1"/>
  <c r="BL24" i="159" s="1"/>
  <c r="AU24" i="160"/>
  <c r="AX24" i="160" s="1"/>
  <c r="AZ24" i="160"/>
  <c r="BA24" i="160" s="1"/>
  <c r="BB24" i="160" s="1"/>
  <c r="BJ24" i="160"/>
  <c r="BK24" i="160" s="1"/>
  <c r="BL24" i="160" s="1"/>
  <c r="E24" i="163"/>
  <c r="F24" i="163" s="1"/>
  <c r="G24" i="163" s="1"/>
  <c r="AP24" i="160"/>
  <c r="AQ24" i="160" s="1"/>
  <c r="AR24" i="160" s="1"/>
  <c r="AZ24" i="163"/>
  <c r="BA24" i="163" s="1"/>
  <c r="BB24" i="163" s="1"/>
  <c r="AD24" i="159"/>
  <c r="AE24" i="159" s="1"/>
  <c r="AF24" i="159" s="1"/>
  <c r="Y24" i="163"/>
  <c r="Z24" i="163" s="1"/>
  <c r="AA24" i="163" s="1"/>
  <c r="J24" i="163"/>
  <c r="O24" i="163"/>
  <c r="AD24" i="163"/>
  <c r="T24" i="163"/>
  <c r="AU24" i="163"/>
  <c r="E24" i="159"/>
  <c r="J24" i="159"/>
  <c r="T24" i="159"/>
  <c r="BQ23" i="162"/>
  <c r="CE23" i="162" s="1"/>
  <c r="BR23" i="162"/>
  <c r="CF23" i="162" s="1"/>
  <c r="AU24" i="159"/>
  <c r="AP24" i="159"/>
  <c r="BA24" i="159"/>
  <c r="BB24" i="159" s="1"/>
  <c r="BE24" i="163"/>
  <c r="AM23" i="162"/>
  <c r="BF24" i="159"/>
  <c r="BG24" i="159" s="1"/>
  <c r="BH24" i="159"/>
  <c r="AP24" i="163"/>
  <c r="BT23" i="162"/>
  <c r="CH23" i="162" s="1"/>
  <c r="BS23" i="162"/>
  <c r="CG23" i="162" s="1"/>
  <c r="BJ24" i="163"/>
  <c r="P24" i="160"/>
  <c r="Q24" i="160" s="1"/>
  <c r="R24" i="160"/>
  <c r="O24" i="159"/>
  <c r="AK24" i="163"/>
  <c r="Y24" i="159"/>
  <c r="BH24" i="160"/>
  <c r="BI24" i="160" s="1"/>
  <c r="BM24" i="160" s="1"/>
  <c r="BF24" i="160"/>
  <c r="BG24" i="160" s="1"/>
  <c r="CB24" i="160"/>
  <c r="BP24" i="160" s="1"/>
  <c r="CD24" i="160" s="1"/>
  <c r="BP22" i="158"/>
  <c r="CD22" i="158" s="1"/>
  <c r="BQ22" i="158"/>
  <c r="CE22" i="158" s="1"/>
  <c r="BR22" i="158"/>
  <c r="CF22" i="158" s="1"/>
  <c r="AM22" i="158"/>
  <c r="E23" i="158" s="1"/>
  <c r="AB24" i="160" l="1"/>
  <c r="AC24" i="160" s="1"/>
  <c r="AG24" i="160" s="1"/>
  <c r="F24" i="160"/>
  <c r="G24" i="160" s="1"/>
  <c r="Z24" i="160"/>
  <c r="AA24" i="160" s="1"/>
  <c r="AV24" i="160"/>
  <c r="AW24" i="160" s="1"/>
  <c r="CB24" i="159"/>
  <c r="AL24" i="160"/>
  <c r="AM24" i="160" s="1"/>
  <c r="CV23" i="162"/>
  <c r="AL24" i="159"/>
  <c r="AM24" i="159" s="1"/>
  <c r="BI24" i="159"/>
  <c r="BM24" i="159" s="1"/>
  <c r="CO23" i="162"/>
  <c r="R12" i="79" s="1"/>
  <c r="CT23" i="162"/>
  <c r="CZ23" i="162"/>
  <c r="CQ23" i="162"/>
  <c r="T12" i="79" s="1"/>
  <c r="CR23" i="162"/>
  <c r="CM23" i="162"/>
  <c r="S24" i="160"/>
  <c r="W24" i="160" s="1"/>
  <c r="BY24" i="160"/>
  <c r="BS24" i="160" s="1"/>
  <c r="CG24" i="160" s="1"/>
  <c r="CX23" i="162"/>
  <c r="CN23" i="162"/>
  <c r="CW22" i="158"/>
  <c r="Z11" i="79" s="1"/>
  <c r="CT22" i="158"/>
  <c r="W11" i="79" s="1"/>
  <c r="CV22" i="158"/>
  <c r="Y11" i="79" s="1"/>
  <c r="CY22" i="158"/>
  <c r="AB11" i="79" s="1"/>
  <c r="CP22" i="158"/>
  <c r="CZ22" i="158"/>
  <c r="AC11" i="79" s="1"/>
  <c r="CQ22" i="158"/>
  <c r="CS22" i="158"/>
  <c r="V11" i="79" s="1"/>
  <c r="CU22" i="158"/>
  <c r="X11" i="79" s="1"/>
  <c r="CO22" i="158"/>
  <c r="CR22" i="158"/>
  <c r="CL22" i="158"/>
  <c r="O11" i="79" s="1"/>
  <c r="CM22" i="158"/>
  <c r="P11" i="79" s="1"/>
  <c r="CN22" i="158"/>
  <c r="Q11" i="79" s="1"/>
  <c r="CX22" i="158"/>
  <c r="AA11" i="79" s="1"/>
  <c r="CK22" i="158"/>
  <c r="N11" i="79" s="1"/>
  <c r="I24" i="160"/>
  <c r="M24" i="160" s="1"/>
  <c r="U12" i="79"/>
  <c r="CY23" i="162"/>
  <c r="CL23" i="162"/>
  <c r="CA24" i="160"/>
  <c r="BX24" i="160"/>
  <c r="CW23" i="162"/>
  <c r="CK23" i="162"/>
  <c r="CS23" i="162"/>
  <c r="CP23" i="162"/>
  <c r="S12" i="79" s="1"/>
  <c r="AY24" i="160"/>
  <c r="BC24" i="160" s="1"/>
  <c r="CU23" i="162"/>
  <c r="H24" i="163"/>
  <c r="I24" i="163" s="1"/>
  <c r="M24" i="163" s="1"/>
  <c r="BZ24" i="160"/>
  <c r="BR24" i="160" s="1"/>
  <c r="AO24" i="160"/>
  <c r="AS24" i="160" s="1"/>
  <c r="AZ24" i="162"/>
  <c r="BA24" i="162" s="1"/>
  <c r="BB24" i="162" s="1"/>
  <c r="BY24" i="163"/>
  <c r="BT24" i="163" s="1"/>
  <c r="CH24" i="163" s="1"/>
  <c r="AB24" i="163"/>
  <c r="AC24" i="163" s="1"/>
  <c r="AG24" i="163" s="1"/>
  <c r="J24" i="162"/>
  <c r="K24" i="162" s="1"/>
  <c r="L24" i="162" s="1"/>
  <c r="AP24" i="162"/>
  <c r="AQ24" i="162" s="1"/>
  <c r="AR24" i="162" s="1"/>
  <c r="AQ24" i="159"/>
  <c r="U24" i="159"/>
  <c r="V24" i="159" s="1"/>
  <c r="AO24" i="159"/>
  <c r="AS24" i="159" s="1"/>
  <c r="AV24" i="159"/>
  <c r="AW24" i="159" s="1"/>
  <c r="AX24" i="159"/>
  <c r="AY24" i="159" s="1"/>
  <c r="BC24" i="159" s="1"/>
  <c r="CA24" i="159"/>
  <c r="K24" i="159"/>
  <c r="L24" i="159" s="1"/>
  <c r="BZ24" i="159"/>
  <c r="BE24" i="162"/>
  <c r="AU24" i="162"/>
  <c r="AK24" i="162"/>
  <c r="H24" i="159"/>
  <c r="I24" i="159" s="1"/>
  <c r="M24" i="159" s="1"/>
  <c r="F24" i="159"/>
  <c r="BY24" i="159"/>
  <c r="U24" i="163"/>
  <c r="V24" i="163" s="1"/>
  <c r="BF24" i="163"/>
  <c r="BG24" i="163" s="1"/>
  <c r="BH24" i="163"/>
  <c r="BI24" i="163" s="1"/>
  <c r="BM24" i="163" s="1"/>
  <c r="CB24" i="163"/>
  <c r="AQ24" i="163"/>
  <c r="AR24" i="163" s="1"/>
  <c r="BS24" i="163"/>
  <c r="CG24" i="163" s="1"/>
  <c r="BU24" i="163"/>
  <c r="CI24" i="163" s="1"/>
  <c r="AV24" i="163"/>
  <c r="AW24" i="163" s="1"/>
  <c r="AX24" i="163"/>
  <c r="AY24" i="163" s="1"/>
  <c r="BC24" i="163" s="1"/>
  <c r="CA24" i="163"/>
  <c r="AE24" i="163"/>
  <c r="AF24" i="163" s="1"/>
  <c r="AN24" i="163"/>
  <c r="AO24" i="163" s="1"/>
  <c r="AS24" i="163" s="1"/>
  <c r="BZ24" i="163"/>
  <c r="AL24" i="163"/>
  <c r="BK24" i="163"/>
  <c r="BL24" i="163" s="1"/>
  <c r="Y24" i="162"/>
  <c r="E24" i="162"/>
  <c r="O24" i="162"/>
  <c r="T24" i="162"/>
  <c r="AD24" i="162"/>
  <c r="BX24" i="163"/>
  <c r="R24" i="163"/>
  <c r="S24" i="163" s="1"/>
  <c r="W24" i="163" s="1"/>
  <c r="P24" i="163"/>
  <c r="Q24" i="163" s="1"/>
  <c r="BW24" i="163"/>
  <c r="R24" i="159"/>
  <c r="S24" i="159" s="1"/>
  <c r="W24" i="159" s="1"/>
  <c r="P24" i="159"/>
  <c r="Q24" i="159" s="1"/>
  <c r="BX24" i="159"/>
  <c r="AB24" i="159"/>
  <c r="AC24" i="159" s="1"/>
  <c r="AG24" i="159" s="1"/>
  <c r="BW24" i="159"/>
  <c r="Z24" i="159"/>
  <c r="AA24" i="159" s="1"/>
  <c r="BJ24" i="162"/>
  <c r="K24" i="163"/>
  <c r="L24" i="163" s="1"/>
  <c r="AD23" i="158"/>
  <c r="T23" i="158"/>
  <c r="U23" i="158" s="1"/>
  <c r="V23" i="158" s="1"/>
  <c r="O23" i="158"/>
  <c r="H12" i="79" s="1"/>
  <c r="BJ23" i="158"/>
  <c r="BK23" i="158" s="1"/>
  <c r="BL23" i="158" s="1"/>
  <c r="Y23" i="158"/>
  <c r="J23" i="158"/>
  <c r="H23" i="158"/>
  <c r="F23" i="158"/>
  <c r="G23" i="158" s="1"/>
  <c r="AK23" i="158"/>
  <c r="E12" i="79" s="1"/>
  <c r="BE23" i="158"/>
  <c r="AZ23" i="158"/>
  <c r="BT24" i="160" l="1"/>
  <c r="CH24" i="160" s="1"/>
  <c r="BQ24" i="160"/>
  <c r="CE24" i="160" s="1"/>
  <c r="BJ25" i="160"/>
  <c r="BK25" i="160" s="1"/>
  <c r="BL25" i="160" s="1"/>
  <c r="CF24" i="160"/>
  <c r="CX24" i="160" s="1"/>
  <c r="F13" i="79"/>
  <c r="U24" i="162"/>
  <c r="V24" i="162" s="1"/>
  <c r="P24" i="162"/>
  <c r="Q24" i="162" s="1"/>
  <c r="R24" i="162"/>
  <c r="S24" i="162" s="1"/>
  <c r="W24" i="162" s="1"/>
  <c r="BX24" i="162"/>
  <c r="BY24" i="162"/>
  <c r="H24" i="162"/>
  <c r="I24" i="162" s="1"/>
  <c r="M24" i="162" s="1"/>
  <c r="F24" i="162"/>
  <c r="BW24" i="162"/>
  <c r="BU24" i="162" s="1"/>
  <c r="CI24" i="162" s="1"/>
  <c r="AB24" i="162"/>
  <c r="AC24" i="162" s="1"/>
  <c r="AG24" i="162" s="1"/>
  <c r="Z24" i="162"/>
  <c r="AA24" i="162" s="1"/>
  <c r="BS24" i="159"/>
  <c r="CG24" i="159" s="1"/>
  <c r="BU24" i="159"/>
  <c r="CI24" i="159" s="1"/>
  <c r="BT24" i="159"/>
  <c r="CH24" i="159" s="1"/>
  <c r="BQ24" i="159"/>
  <c r="CE24" i="159" s="1"/>
  <c r="BR24" i="159"/>
  <c r="CF24" i="159" s="1"/>
  <c r="BP24" i="159"/>
  <c r="CD24" i="159" s="1"/>
  <c r="BF24" i="162"/>
  <c r="BG24" i="162" s="1"/>
  <c r="BH24" i="162"/>
  <c r="BI24" i="162" s="1"/>
  <c r="BM24" i="162" s="1"/>
  <c r="CB24" i="162"/>
  <c r="BP24" i="162" s="1"/>
  <c r="CD24" i="162" s="1"/>
  <c r="AM24" i="163"/>
  <c r="G24" i="159"/>
  <c r="AR24" i="159"/>
  <c r="BY23" i="158"/>
  <c r="BT23" i="158" s="1"/>
  <c r="CH23" i="158" s="1"/>
  <c r="T25" i="160"/>
  <c r="BP24" i="163"/>
  <c r="CD24" i="163" s="1"/>
  <c r="BR24" i="163"/>
  <c r="CF24" i="163" s="1"/>
  <c r="BQ24" i="163"/>
  <c r="CE24" i="163" s="1"/>
  <c r="AP25" i="160"/>
  <c r="AK25" i="160"/>
  <c r="AU25" i="160"/>
  <c r="BE25" i="160"/>
  <c r="AZ25" i="160"/>
  <c r="Z23" i="158"/>
  <c r="AA23" i="158" s="1"/>
  <c r="BK24" i="162"/>
  <c r="BL24" i="162" s="1"/>
  <c r="AL24" i="162"/>
  <c r="BZ24" i="162"/>
  <c r="AN24" i="162"/>
  <c r="AO24" i="162" s="1"/>
  <c r="AS24" i="162" s="1"/>
  <c r="R23" i="158"/>
  <c r="S23" i="158" s="1"/>
  <c r="W23" i="158" s="1"/>
  <c r="AE23" i="158"/>
  <c r="AF23" i="158" s="1"/>
  <c r="K12" i="79"/>
  <c r="J13" i="79"/>
  <c r="AE24" i="162"/>
  <c r="AF24" i="162" s="1"/>
  <c r="AX24" i="162"/>
  <c r="AY24" i="162" s="1"/>
  <c r="BC24" i="162" s="1"/>
  <c r="CA24" i="162"/>
  <c r="AV24" i="162"/>
  <c r="AW24" i="162" s="1"/>
  <c r="P23" i="158"/>
  <c r="Q23" i="158" s="1"/>
  <c r="BX23" i="158"/>
  <c r="AB23" i="158"/>
  <c r="AC23" i="158" s="1"/>
  <c r="AG23" i="158" s="1"/>
  <c r="I23" i="158"/>
  <c r="M23" i="158" s="1"/>
  <c r="BW23" i="158"/>
  <c r="AU23" i="158"/>
  <c r="AX23" i="158" s="1"/>
  <c r="AY23" i="158" s="1"/>
  <c r="BC23" i="158" s="1"/>
  <c r="K23" i="158"/>
  <c r="L23" i="158" s="1"/>
  <c r="AP23" i="158"/>
  <c r="AQ23" i="158" s="1"/>
  <c r="AR23" i="158" s="1"/>
  <c r="AN23" i="158"/>
  <c r="AL23" i="158"/>
  <c r="BA23" i="158"/>
  <c r="BB23" i="158" s="1"/>
  <c r="BH23" i="158"/>
  <c r="BI23" i="158" s="1"/>
  <c r="BM23" i="158" s="1"/>
  <c r="CB23" i="158"/>
  <c r="BF23" i="158"/>
  <c r="BG23" i="158" s="1"/>
  <c r="CS24" i="160" l="1"/>
  <c r="CP24" i="160"/>
  <c r="CY24" i="160"/>
  <c r="CM24" i="160"/>
  <c r="E25" i="160"/>
  <c r="F25" i="160" s="1"/>
  <c r="G25" i="160" s="1"/>
  <c r="CN24" i="160"/>
  <c r="Y25" i="160"/>
  <c r="CW24" i="160"/>
  <c r="J25" i="160"/>
  <c r="K25" i="160" s="1"/>
  <c r="CT24" i="160"/>
  <c r="CV24" i="160"/>
  <c r="CU24" i="160"/>
  <c r="AD25" i="160"/>
  <c r="CQ24" i="160"/>
  <c r="O25" i="160"/>
  <c r="P25" i="160" s="1"/>
  <c r="Q25" i="160" s="1"/>
  <c r="CZ24" i="160"/>
  <c r="CO24" i="160"/>
  <c r="CL24" i="160"/>
  <c r="CV24" i="163"/>
  <c r="CK24" i="163"/>
  <c r="CM24" i="163"/>
  <c r="CO24" i="163"/>
  <c r="CN24" i="163"/>
  <c r="CP24" i="163"/>
  <c r="CL24" i="163"/>
  <c r="CR24" i="163"/>
  <c r="CQ24" i="163"/>
  <c r="CZ24" i="163"/>
  <c r="CT24" i="163"/>
  <c r="CS24" i="163"/>
  <c r="CU24" i="163"/>
  <c r="CX24" i="163"/>
  <c r="CY24" i="163"/>
  <c r="CW24" i="163"/>
  <c r="CL24" i="159"/>
  <c r="CM24" i="159"/>
  <c r="CR24" i="159"/>
  <c r="CS24" i="159"/>
  <c r="CO24" i="159"/>
  <c r="CP24" i="159"/>
  <c r="CQ24" i="159"/>
  <c r="CK24" i="159"/>
  <c r="CN24" i="159"/>
  <c r="CW24" i="159"/>
  <c r="CV24" i="159"/>
  <c r="CU24" i="159"/>
  <c r="CT24" i="159"/>
  <c r="CX24" i="159"/>
  <c r="CY24" i="159"/>
  <c r="CZ24" i="159"/>
  <c r="CK24" i="160"/>
  <c r="CR24" i="160"/>
  <c r="L12" i="79"/>
  <c r="BS23" i="158"/>
  <c r="CG23" i="158" s="1"/>
  <c r="R25" i="160"/>
  <c r="S25" i="160" s="1"/>
  <c r="W25" i="160" s="1"/>
  <c r="AZ25" i="159"/>
  <c r="BA25" i="159" s="1"/>
  <c r="BB25" i="159" s="1"/>
  <c r="G12" i="79"/>
  <c r="AZ25" i="163"/>
  <c r="BA25" i="163" s="1"/>
  <c r="BB25" i="163" s="1"/>
  <c r="H25" i="160"/>
  <c r="BE25" i="159"/>
  <c r="BH25" i="159" s="1"/>
  <c r="AU25" i="159"/>
  <c r="AV25" i="159" s="1"/>
  <c r="AW25" i="159" s="1"/>
  <c r="AK25" i="159"/>
  <c r="AN25" i="159" s="1"/>
  <c r="BU23" i="158"/>
  <c r="CI23" i="158" s="1"/>
  <c r="BE25" i="163"/>
  <c r="BF25" i="163" s="1"/>
  <c r="BG25" i="163" s="1"/>
  <c r="AP25" i="159"/>
  <c r="AQ25" i="159" s="1"/>
  <c r="AR25" i="159" s="1"/>
  <c r="BJ25" i="163"/>
  <c r="AU25" i="163"/>
  <c r="AP25" i="163"/>
  <c r="AK25" i="163"/>
  <c r="AQ25" i="160"/>
  <c r="AR25" i="160" s="1"/>
  <c r="O25" i="163"/>
  <c r="AD25" i="163"/>
  <c r="J25" i="163"/>
  <c r="T25" i="163"/>
  <c r="BA25" i="160"/>
  <c r="BB25" i="160" s="1"/>
  <c r="U25" i="160"/>
  <c r="V25" i="160" s="1"/>
  <c r="BJ25" i="159"/>
  <c r="Y25" i="159"/>
  <c r="J25" i="159"/>
  <c r="O25" i="159"/>
  <c r="E25" i="159"/>
  <c r="T25" i="159"/>
  <c r="BH25" i="160"/>
  <c r="BI25" i="160" s="1"/>
  <c r="BM25" i="160" s="1"/>
  <c r="BF25" i="160"/>
  <c r="BG25" i="160" s="1"/>
  <c r="CB25" i="160"/>
  <c r="BP25" i="160" s="1"/>
  <c r="CD25" i="160" s="1"/>
  <c r="I12" i="79"/>
  <c r="G24" i="162"/>
  <c r="BQ24" i="162"/>
  <c r="CE24" i="162" s="1"/>
  <c r="BR24" i="162"/>
  <c r="CF24" i="162" s="1"/>
  <c r="CA25" i="160"/>
  <c r="AX25" i="160"/>
  <c r="AY25" i="160" s="1"/>
  <c r="BC25" i="160" s="1"/>
  <c r="AV25" i="160"/>
  <c r="AW25" i="160" s="1"/>
  <c r="Y25" i="163"/>
  <c r="AE25" i="160"/>
  <c r="AF25" i="160" s="1"/>
  <c r="AM24" i="162"/>
  <c r="BZ25" i="160"/>
  <c r="AN25" i="160"/>
  <c r="AO25" i="160" s="1"/>
  <c r="AS25" i="160" s="1"/>
  <c r="AL25" i="160"/>
  <c r="AD25" i="159"/>
  <c r="E25" i="163"/>
  <c r="BS24" i="162"/>
  <c r="CG24" i="162" s="1"/>
  <c r="BT24" i="162"/>
  <c r="CH24" i="162" s="1"/>
  <c r="CA23" i="158"/>
  <c r="AV23" i="158"/>
  <c r="AW23" i="158" s="1"/>
  <c r="BZ23" i="158"/>
  <c r="AO23" i="158"/>
  <c r="AS23" i="158" s="1"/>
  <c r="AM23" i="158"/>
  <c r="BX25" i="160" l="1"/>
  <c r="BY25" i="160"/>
  <c r="Z25" i="160"/>
  <c r="AA25" i="160" s="1"/>
  <c r="AB25" i="160"/>
  <c r="AC25" i="160" s="1"/>
  <c r="AG25" i="160" s="1"/>
  <c r="BW25" i="160"/>
  <c r="BU25" i="160" s="1"/>
  <c r="CI25" i="160" s="1"/>
  <c r="I25" i="160"/>
  <c r="M25" i="160" s="1"/>
  <c r="CN24" i="162"/>
  <c r="CY24" i="162"/>
  <c r="CP24" i="162"/>
  <c r="S13" i="79" s="1"/>
  <c r="CX24" i="162"/>
  <c r="CR24" i="162"/>
  <c r="U13" i="79" s="1"/>
  <c r="CW24" i="162"/>
  <c r="CL24" i="162"/>
  <c r="CU24" i="162"/>
  <c r="CM24" i="162"/>
  <c r="CS24" i="162"/>
  <c r="CQ24" i="162"/>
  <c r="T13" i="79" s="1"/>
  <c r="CT24" i="162"/>
  <c r="CK24" i="162"/>
  <c r="AL25" i="159"/>
  <c r="AM25" i="159" s="1"/>
  <c r="CZ24" i="162"/>
  <c r="CV24" i="162"/>
  <c r="CO24" i="162"/>
  <c r="R13" i="79" s="1"/>
  <c r="AX25" i="159"/>
  <c r="AY25" i="159" s="1"/>
  <c r="BC25" i="159" s="1"/>
  <c r="CA25" i="159"/>
  <c r="BF25" i="159"/>
  <c r="BG25" i="159" s="1"/>
  <c r="CB25" i="159"/>
  <c r="T25" i="162"/>
  <c r="U25" i="162" s="1"/>
  <c r="V25" i="162" s="1"/>
  <c r="CB25" i="163"/>
  <c r="BH25" i="163"/>
  <c r="BI25" i="163" s="1"/>
  <c r="BM25" i="163" s="1"/>
  <c r="BZ25" i="159"/>
  <c r="BR25" i="159" s="1"/>
  <c r="CF25" i="159" s="1"/>
  <c r="Y25" i="162"/>
  <c r="Z25" i="162" s="1"/>
  <c r="AA25" i="162" s="1"/>
  <c r="J25" i="162"/>
  <c r="K25" i="162" s="1"/>
  <c r="L25" i="162" s="1"/>
  <c r="AO25" i="159"/>
  <c r="AS25" i="159" s="1"/>
  <c r="BX25" i="159"/>
  <c r="R25" i="159"/>
  <c r="S25" i="159" s="1"/>
  <c r="W25" i="159" s="1"/>
  <c r="P25" i="159"/>
  <c r="Q25" i="159" s="1"/>
  <c r="K25" i="159"/>
  <c r="L25" i="159" s="1"/>
  <c r="U25" i="163"/>
  <c r="V25" i="163" s="1"/>
  <c r="BZ25" i="163"/>
  <c r="AN25" i="163"/>
  <c r="AO25" i="163" s="1"/>
  <c r="AS25" i="163" s="1"/>
  <c r="AL25" i="163"/>
  <c r="AM25" i="163" s="1"/>
  <c r="AQ25" i="163"/>
  <c r="AR25" i="163" s="1"/>
  <c r="AD25" i="162"/>
  <c r="O25" i="162"/>
  <c r="BW25" i="159"/>
  <c r="Z25" i="159"/>
  <c r="AA25" i="159" s="1"/>
  <c r="AB25" i="159"/>
  <c r="AC25" i="159" s="1"/>
  <c r="AG25" i="159" s="1"/>
  <c r="K25" i="163"/>
  <c r="L25" i="163" s="1"/>
  <c r="AV25" i="163"/>
  <c r="AW25" i="163" s="1"/>
  <c r="AX25" i="163"/>
  <c r="AY25" i="163" s="1"/>
  <c r="BC25" i="163" s="1"/>
  <c r="CA25" i="163"/>
  <c r="E25" i="162"/>
  <c r="AE25" i="163"/>
  <c r="AF25" i="163" s="1"/>
  <c r="L25" i="160"/>
  <c r="BK25" i="163"/>
  <c r="BL25" i="163" s="1"/>
  <c r="BK25" i="159"/>
  <c r="BL25" i="159" s="1"/>
  <c r="BX25" i="163"/>
  <c r="P25" i="163"/>
  <c r="Q25" i="163" s="1"/>
  <c r="R25" i="163"/>
  <c r="S25" i="163" s="1"/>
  <c r="W25" i="163" s="1"/>
  <c r="BE25" i="162"/>
  <c r="BJ25" i="162"/>
  <c r="AK25" i="162"/>
  <c r="AU25" i="162"/>
  <c r="F25" i="163"/>
  <c r="BY25" i="163"/>
  <c r="H25" i="163"/>
  <c r="I25" i="163" s="1"/>
  <c r="M25" i="163" s="1"/>
  <c r="AE25" i="159"/>
  <c r="AF25" i="159" s="1"/>
  <c r="BT25" i="160"/>
  <c r="CH25" i="160" s="1"/>
  <c r="BS25" i="160"/>
  <c r="CG25" i="160" s="1"/>
  <c r="AP25" i="162"/>
  <c r="BY25" i="159"/>
  <c r="F25" i="159"/>
  <c r="H25" i="159"/>
  <c r="I25" i="159" s="1"/>
  <c r="M25" i="159" s="1"/>
  <c r="BR25" i="160"/>
  <c r="CF25" i="160" s="1"/>
  <c r="BQ25" i="160"/>
  <c r="CE25" i="160" s="1"/>
  <c r="AM25" i="160"/>
  <c r="AB25" i="163"/>
  <c r="AC25" i="163" s="1"/>
  <c r="AG25" i="163" s="1"/>
  <c r="BW25" i="163"/>
  <c r="Z25" i="163"/>
  <c r="AA25" i="163" s="1"/>
  <c r="AZ25" i="162"/>
  <c r="U25" i="159"/>
  <c r="V25" i="159" s="1"/>
  <c r="BI25" i="159"/>
  <c r="BM25" i="159" s="1"/>
  <c r="BQ23" i="158"/>
  <c r="CE23" i="158" s="1"/>
  <c r="BP23" i="158"/>
  <c r="CD23" i="158" s="1"/>
  <c r="BR23" i="158"/>
  <c r="CF23" i="158" s="1"/>
  <c r="Y24" i="158"/>
  <c r="CV25" i="160" l="1"/>
  <c r="CX25" i="160"/>
  <c r="CM25" i="160"/>
  <c r="CW25" i="160"/>
  <c r="CR25" i="160"/>
  <c r="CQ25" i="160"/>
  <c r="CY25" i="160"/>
  <c r="CN25" i="160"/>
  <c r="CT25" i="160"/>
  <c r="CL25" i="160"/>
  <c r="CS25" i="160"/>
  <c r="CO25" i="160"/>
  <c r="CZ25" i="160"/>
  <c r="CU25" i="160"/>
  <c r="CX23" i="158"/>
  <c r="AA12" i="79" s="1"/>
  <c r="CZ23" i="158"/>
  <c r="AC12" i="79" s="1"/>
  <c r="CW23" i="158"/>
  <c r="Z12" i="79" s="1"/>
  <c r="CY23" i="158"/>
  <c r="AB12" i="79" s="1"/>
  <c r="CS23" i="158"/>
  <c r="V12" i="79" s="1"/>
  <c r="CO23" i="158"/>
  <c r="CQ23" i="158"/>
  <c r="CU23" i="158"/>
  <c r="X12" i="79" s="1"/>
  <c r="CV23" i="158"/>
  <c r="Y12" i="79" s="1"/>
  <c r="CP23" i="158"/>
  <c r="CR23" i="158"/>
  <c r="CN23" i="158"/>
  <c r="Q12" i="79" s="1"/>
  <c r="CT23" i="158"/>
  <c r="W12" i="79" s="1"/>
  <c r="CL23" i="158"/>
  <c r="O12" i="79" s="1"/>
  <c r="CK23" i="158"/>
  <c r="N12" i="79" s="1"/>
  <c r="CM23" i="158"/>
  <c r="P12" i="79" s="1"/>
  <c r="CP25" i="160"/>
  <c r="CK25" i="160"/>
  <c r="BQ25" i="159"/>
  <c r="CE25" i="159" s="1"/>
  <c r="BP25" i="159"/>
  <c r="CD25" i="159" s="1"/>
  <c r="AB25" i="162"/>
  <c r="AC25" i="162" s="1"/>
  <c r="AG25" i="162" s="1"/>
  <c r="F14" i="79"/>
  <c r="AP24" i="158"/>
  <c r="E26" i="160"/>
  <c r="H26" i="160" s="1"/>
  <c r="BJ26" i="160"/>
  <c r="BK26" i="160" s="1"/>
  <c r="BL26" i="160" s="1"/>
  <c r="Y26" i="160"/>
  <c r="BK25" i="162"/>
  <c r="BL25" i="162" s="1"/>
  <c r="AK26" i="160"/>
  <c r="AP26" i="160"/>
  <c r="AU26" i="160"/>
  <c r="BE26" i="160"/>
  <c r="AZ26" i="160"/>
  <c r="J26" i="160"/>
  <c r="BX25" i="162"/>
  <c r="P25" i="162"/>
  <c r="Q25" i="162" s="1"/>
  <c r="R25" i="162"/>
  <c r="S25" i="162" s="1"/>
  <c r="W25" i="162" s="1"/>
  <c r="CB25" i="162"/>
  <c r="BP25" i="162" s="1"/>
  <c r="CD25" i="162" s="1"/>
  <c r="BF25" i="162"/>
  <c r="BG25" i="162" s="1"/>
  <c r="BH25" i="162"/>
  <c r="BI25" i="162" s="1"/>
  <c r="BM25" i="162" s="1"/>
  <c r="O26" i="160"/>
  <c r="G25" i="159"/>
  <c r="J14" i="79"/>
  <c r="AE25" i="162"/>
  <c r="AF25" i="162" s="1"/>
  <c r="BQ25" i="163"/>
  <c r="CE25" i="163" s="1"/>
  <c r="BR25" i="163"/>
  <c r="CF25" i="163" s="1"/>
  <c r="BP25" i="163"/>
  <c r="CD25" i="163" s="1"/>
  <c r="BA25" i="162"/>
  <c r="BB25" i="162" s="1"/>
  <c r="AD26" i="160"/>
  <c r="BS25" i="159"/>
  <c r="CG25" i="159" s="1"/>
  <c r="BU25" i="159"/>
  <c r="CI25" i="159" s="1"/>
  <c r="BT25" i="159"/>
  <c r="CH25" i="159" s="1"/>
  <c r="BW25" i="162"/>
  <c r="BU25" i="162" s="1"/>
  <c r="CI25" i="162" s="1"/>
  <c r="AN25" i="162"/>
  <c r="AO25" i="162" s="1"/>
  <c r="AS25" i="162" s="1"/>
  <c r="AL25" i="162"/>
  <c r="BZ25" i="162"/>
  <c r="AQ25" i="162"/>
  <c r="AR25" i="162" s="1"/>
  <c r="F25" i="162"/>
  <c r="G25" i="162" s="1"/>
  <c r="BY25" i="162"/>
  <c r="H25" i="162"/>
  <c r="I25" i="162" s="1"/>
  <c r="M25" i="162" s="1"/>
  <c r="AV25" i="162"/>
  <c r="AW25" i="162" s="1"/>
  <c r="CA25" i="162"/>
  <c r="AX25" i="162"/>
  <c r="AY25" i="162" s="1"/>
  <c r="BC25" i="162" s="1"/>
  <c r="BU25" i="163"/>
  <c r="CI25" i="163" s="1"/>
  <c r="BS25" i="163"/>
  <c r="CG25" i="163" s="1"/>
  <c r="BT25" i="163"/>
  <c r="CH25" i="163" s="1"/>
  <c r="G25" i="163"/>
  <c r="T26" i="160"/>
  <c r="AB24" i="158"/>
  <c r="Z24" i="158"/>
  <c r="AA24" i="158" s="1"/>
  <c r="AD24" i="158"/>
  <c r="O24" i="158"/>
  <c r="H13" i="79" s="1"/>
  <c r="E24" i="158"/>
  <c r="J24" i="158"/>
  <c r="T24" i="158"/>
  <c r="U24" i="158" s="1"/>
  <c r="V24" i="158" s="1"/>
  <c r="BE24" i="158"/>
  <c r="BJ24" i="158"/>
  <c r="AK24" i="158"/>
  <c r="AZ24" i="158"/>
  <c r="AQ24" i="158"/>
  <c r="AR24" i="158" s="1"/>
  <c r="AU24" i="158"/>
  <c r="BJ26" i="159" l="1"/>
  <c r="G13" i="79"/>
  <c r="AK26" i="159"/>
  <c r="BY26" i="160"/>
  <c r="CR25" i="163"/>
  <c r="CL25" i="163"/>
  <c r="CV25" i="163"/>
  <c r="CO25" i="163"/>
  <c r="CP25" i="163"/>
  <c r="CQ25" i="163"/>
  <c r="CK25" i="163"/>
  <c r="CN25" i="163"/>
  <c r="CM25" i="163"/>
  <c r="CZ25" i="163"/>
  <c r="CU25" i="163"/>
  <c r="CS25" i="163"/>
  <c r="CT25" i="163"/>
  <c r="CW25" i="163"/>
  <c r="CY25" i="163"/>
  <c r="CX25" i="163"/>
  <c r="CO25" i="159"/>
  <c r="CM25" i="159"/>
  <c r="CQ25" i="159"/>
  <c r="CK25" i="159"/>
  <c r="CN25" i="159"/>
  <c r="CR25" i="159"/>
  <c r="CS25" i="159"/>
  <c r="CL25" i="159"/>
  <c r="CP25" i="159"/>
  <c r="CV25" i="159"/>
  <c r="CW25" i="159"/>
  <c r="CU25" i="159"/>
  <c r="CT25" i="159"/>
  <c r="CX25" i="159"/>
  <c r="CZ25" i="159"/>
  <c r="CY25" i="159"/>
  <c r="E13" i="79"/>
  <c r="BE26" i="163"/>
  <c r="BF26" i="163" s="1"/>
  <c r="BG26" i="163" s="1"/>
  <c r="F26" i="160"/>
  <c r="G26" i="160" s="1"/>
  <c r="I26" i="160"/>
  <c r="M26" i="160" s="1"/>
  <c r="AP26" i="159"/>
  <c r="AQ26" i="159" s="1"/>
  <c r="AR26" i="159" s="1"/>
  <c r="AZ26" i="163"/>
  <c r="BA26" i="163" s="1"/>
  <c r="BB26" i="163" s="1"/>
  <c r="J26" i="163"/>
  <c r="K26" i="163" s="1"/>
  <c r="L26" i="163" s="1"/>
  <c r="AZ26" i="159"/>
  <c r="BA26" i="159" s="1"/>
  <c r="BB26" i="159" s="1"/>
  <c r="E26" i="163"/>
  <c r="F26" i="163" s="1"/>
  <c r="G26" i="163" s="1"/>
  <c r="AU26" i="159"/>
  <c r="AX26" i="159" s="1"/>
  <c r="BE26" i="159"/>
  <c r="CB26" i="159" s="1"/>
  <c r="BS26" i="160"/>
  <c r="CG26" i="160" s="1"/>
  <c r="BT26" i="160"/>
  <c r="CH26" i="160" s="1"/>
  <c r="AK26" i="163"/>
  <c r="Y26" i="159"/>
  <c r="T26" i="159"/>
  <c r="O26" i="159"/>
  <c r="E26" i="159"/>
  <c r="AD26" i="159"/>
  <c r="J26" i="159"/>
  <c r="AX26" i="160"/>
  <c r="AY26" i="160" s="1"/>
  <c r="BC26" i="160" s="1"/>
  <c r="AV26" i="160"/>
  <c r="AW26" i="160" s="1"/>
  <c r="P24" i="158"/>
  <c r="Q24" i="158" s="1"/>
  <c r="BR25" i="162"/>
  <c r="BQ25" i="162"/>
  <c r="CE25" i="162" s="1"/>
  <c r="AE26" i="160"/>
  <c r="AF26" i="160" s="1"/>
  <c r="BZ26" i="159"/>
  <c r="AL26" i="159"/>
  <c r="AM26" i="159" s="1"/>
  <c r="AN26" i="159"/>
  <c r="AO26" i="159" s="1"/>
  <c r="AS26" i="159" s="1"/>
  <c r="AQ26" i="160"/>
  <c r="AR26" i="160" s="1"/>
  <c r="AN26" i="160"/>
  <c r="AO26" i="160" s="1"/>
  <c r="AS26" i="160" s="1"/>
  <c r="AL26" i="160"/>
  <c r="BZ26" i="160"/>
  <c r="BF26" i="160"/>
  <c r="BG26" i="160" s="1"/>
  <c r="BH26" i="160"/>
  <c r="BI26" i="160" s="1"/>
  <c r="BM26" i="160" s="1"/>
  <c r="CB26" i="160"/>
  <c r="BP26" i="160" s="1"/>
  <c r="CD26" i="160" s="1"/>
  <c r="AP26" i="163"/>
  <c r="AD26" i="163"/>
  <c r="BK26" i="159"/>
  <c r="BL26" i="159" s="1"/>
  <c r="CA26" i="160"/>
  <c r="BA26" i="160"/>
  <c r="BB26" i="160" s="1"/>
  <c r="U26" i="160"/>
  <c r="V26" i="160" s="1"/>
  <c r="K24" i="158"/>
  <c r="L24" i="158" s="1"/>
  <c r="I13" i="79"/>
  <c r="AU26" i="163"/>
  <c r="BT25" i="162"/>
  <c r="CH25" i="162" s="1"/>
  <c r="BS25" i="162"/>
  <c r="CG25" i="162" s="1"/>
  <c r="T26" i="163"/>
  <c r="O26" i="163"/>
  <c r="BX26" i="160"/>
  <c r="R26" i="160"/>
  <c r="S26" i="160" s="1"/>
  <c r="W26" i="160" s="1"/>
  <c r="P26" i="160"/>
  <c r="Q26" i="160" s="1"/>
  <c r="AE24" i="158"/>
  <c r="AF24" i="158" s="1"/>
  <c r="K13" i="79"/>
  <c r="BW24" i="158"/>
  <c r="AM25" i="162"/>
  <c r="BJ26" i="163"/>
  <c r="Y26" i="163"/>
  <c r="K26" i="160"/>
  <c r="L26" i="160" s="1"/>
  <c r="Z26" i="160"/>
  <c r="AA26" i="160" s="1"/>
  <c r="BW26" i="160"/>
  <c r="BU26" i="160" s="1"/>
  <c r="CI26" i="160" s="1"/>
  <c r="AB26" i="160"/>
  <c r="AC26" i="160" s="1"/>
  <c r="AG26" i="160" s="1"/>
  <c r="AC24" i="158"/>
  <c r="AG24" i="158" s="1"/>
  <c r="F24" i="158"/>
  <c r="G24" i="158" s="1"/>
  <c r="H24" i="158"/>
  <c r="I24" i="158" s="1"/>
  <c r="M24" i="158" s="1"/>
  <c r="R24" i="158"/>
  <c r="S24" i="158" s="1"/>
  <c r="W24" i="158" s="1"/>
  <c r="BY24" i="158"/>
  <c r="BX24" i="158"/>
  <c r="BA24" i="158"/>
  <c r="BB24" i="158" s="1"/>
  <c r="AL24" i="158"/>
  <c r="AN24" i="158"/>
  <c r="AO24" i="158" s="1"/>
  <c r="AS24" i="158" s="1"/>
  <c r="BZ24" i="158"/>
  <c r="BK24" i="158"/>
  <c r="BL24" i="158" s="1"/>
  <c r="CA24" i="158"/>
  <c r="AV24" i="158"/>
  <c r="AW24" i="158" s="1"/>
  <c r="AX24" i="158"/>
  <c r="AY24" i="158" s="1"/>
  <c r="BC24" i="158" s="1"/>
  <c r="CB24" i="158"/>
  <c r="BF24" i="158"/>
  <c r="BG24" i="158" s="1"/>
  <c r="BH24" i="158"/>
  <c r="BI24" i="158" s="1"/>
  <c r="BM24" i="158" s="1"/>
  <c r="AV26" i="159" l="1"/>
  <c r="AW26" i="159" s="1"/>
  <c r="BH26" i="163"/>
  <c r="BI26" i="163" s="1"/>
  <c r="BM26" i="163" s="1"/>
  <c r="BJ26" i="162"/>
  <c r="BK26" i="162" s="1"/>
  <c r="BL26" i="162" s="1"/>
  <c r="CF25" i="162"/>
  <c r="CK25" i="162" s="1"/>
  <c r="L13" i="79"/>
  <c r="J26" i="162"/>
  <c r="K26" i="162" s="1"/>
  <c r="L26" i="162" s="1"/>
  <c r="BY26" i="163"/>
  <c r="BT26" i="163" s="1"/>
  <c r="CH26" i="163" s="1"/>
  <c r="Y26" i="162"/>
  <c r="Z26" i="162" s="1"/>
  <c r="AA26" i="162" s="1"/>
  <c r="AY26" i="159"/>
  <c r="BC26" i="159" s="1"/>
  <c r="CA26" i="159"/>
  <c r="T26" i="162"/>
  <c r="U26" i="162" s="1"/>
  <c r="V26" i="162" s="1"/>
  <c r="BE26" i="162"/>
  <c r="CB26" i="162" s="1"/>
  <c r="BP26" i="162" s="1"/>
  <c r="CD26" i="162" s="1"/>
  <c r="BF26" i="159"/>
  <c r="BG26" i="159" s="1"/>
  <c r="BH26" i="159"/>
  <c r="BI26" i="159" s="1"/>
  <c r="BM26" i="159" s="1"/>
  <c r="H26" i="163"/>
  <c r="I26" i="163" s="1"/>
  <c r="M26" i="163" s="1"/>
  <c r="AM26" i="160"/>
  <c r="AD27" i="160" s="1"/>
  <c r="K26" i="159"/>
  <c r="L26" i="159" s="1"/>
  <c r="E26" i="162"/>
  <c r="AD26" i="162"/>
  <c r="BP26" i="159"/>
  <c r="CD26" i="159" s="1"/>
  <c r="BR26" i="159"/>
  <c r="CF26" i="159" s="1"/>
  <c r="BQ26" i="159"/>
  <c r="CE26" i="159" s="1"/>
  <c r="AE26" i="159"/>
  <c r="AF26" i="159" s="1"/>
  <c r="CA26" i="163"/>
  <c r="AX26" i="163"/>
  <c r="AY26" i="163" s="1"/>
  <c r="BC26" i="163" s="1"/>
  <c r="AV26" i="163"/>
  <c r="AW26" i="163" s="1"/>
  <c r="BQ26" i="160"/>
  <c r="CE26" i="160" s="1"/>
  <c r="BR26" i="160"/>
  <c r="CF26" i="160" s="1"/>
  <c r="P26" i="163"/>
  <c r="Q26" i="163" s="1"/>
  <c r="BX26" i="163"/>
  <c r="R26" i="163"/>
  <c r="S26" i="163" s="1"/>
  <c r="W26" i="163" s="1"/>
  <c r="H26" i="159"/>
  <c r="I26" i="159" s="1"/>
  <c r="M26" i="159" s="1"/>
  <c r="F26" i="159"/>
  <c r="BY26" i="159"/>
  <c r="Z26" i="163"/>
  <c r="AA26" i="163" s="1"/>
  <c r="AB26" i="163"/>
  <c r="AC26" i="163" s="1"/>
  <c r="AG26" i="163" s="1"/>
  <c r="BW26" i="163"/>
  <c r="U26" i="163"/>
  <c r="V26" i="163" s="1"/>
  <c r="P26" i="159"/>
  <c r="Q26" i="159" s="1"/>
  <c r="R26" i="159"/>
  <c r="S26" i="159" s="1"/>
  <c r="W26" i="159" s="1"/>
  <c r="BX26" i="159"/>
  <c r="BK26" i="163"/>
  <c r="BL26" i="163" s="1"/>
  <c r="AE26" i="163"/>
  <c r="AF26" i="163" s="1"/>
  <c r="U26" i="159"/>
  <c r="V26" i="159" s="1"/>
  <c r="BZ26" i="163"/>
  <c r="AN26" i="163"/>
  <c r="AO26" i="163" s="1"/>
  <c r="AS26" i="163" s="1"/>
  <c r="AL26" i="163"/>
  <c r="AQ26" i="163"/>
  <c r="AR26" i="163" s="1"/>
  <c r="CB26" i="163"/>
  <c r="AZ26" i="162"/>
  <c r="AU26" i="162"/>
  <c r="AP26" i="162"/>
  <c r="AK26" i="162"/>
  <c r="BW26" i="159"/>
  <c r="Z26" i="159"/>
  <c r="AA26" i="159" s="1"/>
  <c r="AB26" i="159"/>
  <c r="AC26" i="159" s="1"/>
  <c r="AG26" i="159" s="1"/>
  <c r="O26" i="162"/>
  <c r="BT24" i="158"/>
  <c r="CH24" i="158" s="1"/>
  <c r="BU24" i="158"/>
  <c r="CI24" i="158" s="1"/>
  <c r="BS24" i="158"/>
  <c r="CG24" i="158" s="1"/>
  <c r="BP24" i="158"/>
  <c r="CD24" i="158" s="1"/>
  <c r="BQ24" i="158"/>
  <c r="CE24" i="158" s="1"/>
  <c r="BR24" i="158"/>
  <c r="CF24" i="158" s="1"/>
  <c r="AM24" i="158"/>
  <c r="CS25" i="162" l="1"/>
  <c r="CP25" i="162"/>
  <c r="S14" i="79" s="1"/>
  <c r="CY25" i="162"/>
  <c r="CO25" i="162"/>
  <c r="R14" i="79" s="1"/>
  <c r="CN25" i="162"/>
  <c r="CL25" i="162"/>
  <c r="CN26" i="160"/>
  <c r="CV25" i="162"/>
  <c r="CM25" i="162"/>
  <c r="CU25" i="162"/>
  <c r="CW25" i="162"/>
  <c r="CQ25" i="162"/>
  <c r="T14" i="79" s="1"/>
  <c r="CR25" i="162"/>
  <c r="U14" i="79" s="1"/>
  <c r="CZ25" i="162"/>
  <c r="CT26" i="160"/>
  <c r="CT25" i="162"/>
  <c r="CX25" i="162"/>
  <c r="CO26" i="160"/>
  <c r="CR26" i="160"/>
  <c r="CV26" i="160"/>
  <c r="CM26" i="160"/>
  <c r="CU26" i="160"/>
  <c r="BW26" i="162"/>
  <c r="BU26" i="162" s="1"/>
  <c r="CI26" i="162" s="1"/>
  <c r="CX26" i="160"/>
  <c r="CK26" i="160"/>
  <c r="CW26" i="160"/>
  <c r="CQ26" i="160"/>
  <c r="BU26" i="163"/>
  <c r="CI26" i="163" s="1"/>
  <c r="CY26" i="160"/>
  <c r="CL26" i="160"/>
  <c r="BS26" i="163"/>
  <c r="CG26" i="163" s="1"/>
  <c r="CZ26" i="160"/>
  <c r="CP26" i="160"/>
  <c r="CW24" i="158"/>
  <c r="Z13" i="79" s="1"/>
  <c r="CT24" i="158"/>
  <c r="W13" i="79" s="1"/>
  <c r="CX24" i="158"/>
  <c r="AA13" i="79" s="1"/>
  <c r="CV24" i="158"/>
  <c r="Y13" i="79" s="1"/>
  <c r="CY24" i="158"/>
  <c r="AB13" i="79" s="1"/>
  <c r="CZ24" i="158"/>
  <c r="AC13" i="79" s="1"/>
  <c r="CU24" i="158"/>
  <c r="X13" i="79" s="1"/>
  <c r="CR24" i="158"/>
  <c r="CO24" i="158"/>
  <c r="CP24" i="158"/>
  <c r="CL24" i="158"/>
  <c r="O13" i="79" s="1"/>
  <c r="CQ24" i="158"/>
  <c r="CM24" i="158"/>
  <c r="P13" i="79" s="1"/>
  <c r="CN24" i="158"/>
  <c r="Q13" i="79" s="1"/>
  <c r="CS24" i="158"/>
  <c r="V13" i="79" s="1"/>
  <c r="CK24" i="158"/>
  <c r="N13" i="79" s="1"/>
  <c r="CS26" i="160"/>
  <c r="BF26" i="162"/>
  <c r="BG26" i="162" s="1"/>
  <c r="BH26" i="162"/>
  <c r="BI26" i="162" s="1"/>
  <c r="BM26" i="162" s="1"/>
  <c r="AB26" i="162"/>
  <c r="F15" i="79"/>
  <c r="E27" i="160"/>
  <c r="H27" i="160" s="1"/>
  <c r="AC26" i="162"/>
  <c r="AG26" i="162" s="1"/>
  <c r="AN26" i="162"/>
  <c r="AO26" i="162" s="1"/>
  <c r="AS26" i="162" s="1"/>
  <c r="AL26" i="162"/>
  <c r="BZ26" i="162"/>
  <c r="BE27" i="160"/>
  <c r="AK27" i="160"/>
  <c r="BJ27" i="160"/>
  <c r="AQ26" i="162"/>
  <c r="AR26" i="162" s="1"/>
  <c r="AM26" i="163"/>
  <c r="J27" i="163" s="1"/>
  <c r="AP27" i="160"/>
  <c r="AU27" i="160"/>
  <c r="AE27" i="160"/>
  <c r="AF27" i="160" s="1"/>
  <c r="AX26" i="162"/>
  <c r="AY26" i="162" s="1"/>
  <c r="BC26" i="162" s="1"/>
  <c r="AV26" i="162"/>
  <c r="AW26" i="162" s="1"/>
  <c r="CA26" i="162"/>
  <c r="BA26" i="162"/>
  <c r="BB26" i="162" s="1"/>
  <c r="BR26" i="163"/>
  <c r="CF26" i="163" s="1"/>
  <c r="BQ26" i="163"/>
  <c r="CE26" i="163" s="1"/>
  <c r="BP26" i="163"/>
  <c r="CD26" i="163" s="1"/>
  <c r="BU26" i="159"/>
  <c r="CI26" i="159" s="1"/>
  <c r="BT26" i="159"/>
  <c r="CH26" i="159" s="1"/>
  <c r="BS26" i="159"/>
  <c r="CG26" i="159" s="1"/>
  <c r="AZ27" i="160"/>
  <c r="G26" i="159"/>
  <c r="AZ27" i="159" s="1"/>
  <c r="BY26" i="162"/>
  <c r="F26" i="162"/>
  <c r="H26" i="162"/>
  <c r="I26" i="162" s="1"/>
  <c r="M26" i="162" s="1"/>
  <c r="R26" i="162"/>
  <c r="S26" i="162" s="1"/>
  <c r="W26" i="162" s="1"/>
  <c r="BX26" i="162"/>
  <c r="P26" i="162"/>
  <c r="Q26" i="162" s="1"/>
  <c r="J15" i="79"/>
  <c r="AE26" i="162"/>
  <c r="AF26" i="162" s="1"/>
  <c r="Y27" i="160"/>
  <c r="T27" i="160"/>
  <c r="O27" i="160"/>
  <c r="J27" i="160"/>
  <c r="Y25" i="158"/>
  <c r="T25" i="158"/>
  <c r="U25" i="158" s="1"/>
  <c r="V25" i="158" s="1"/>
  <c r="E25" i="158"/>
  <c r="J25" i="158"/>
  <c r="O25" i="158"/>
  <c r="H14" i="79" s="1"/>
  <c r="AD25" i="158"/>
  <c r="AK25" i="158"/>
  <c r="T27" i="163" l="1"/>
  <c r="BY27" i="160"/>
  <c r="BS27" i="160" s="1"/>
  <c r="CG27" i="160" s="1"/>
  <c r="CR26" i="159"/>
  <c r="CY26" i="159"/>
  <c r="CK26" i="159"/>
  <c r="CW26" i="159"/>
  <c r="CS26" i="159"/>
  <c r="CV26" i="159"/>
  <c r="CO26" i="159"/>
  <c r="CN26" i="159"/>
  <c r="CU26" i="159"/>
  <c r="CP26" i="159"/>
  <c r="CT26" i="159"/>
  <c r="CM26" i="159"/>
  <c r="CL26" i="159"/>
  <c r="CO26" i="163"/>
  <c r="CN26" i="163"/>
  <c r="CV26" i="163"/>
  <c r="CQ26" i="163"/>
  <c r="CP26" i="163"/>
  <c r="CL26" i="163"/>
  <c r="CM26" i="163"/>
  <c r="CR26" i="163"/>
  <c r="CK26" i="163"/>
  <c r="CZ26" i="163"/>
  <c r="CS26" i="163"/>
  <c r="CT26" i="163"/>
  <c r="CU26" i="163"/>
  <c r="CX26" i="163"/>
  <c r="CW26" i="163"/>
  <c r="CY26" i="163"/>
  <c r="CZ26" i="159"/>
  <c r="CQ26" i="159"/>
  <c r="CX26" i="159"/>
  <c r="F27" i="160"/>
  <c r="G27" i="160" s="1"/>
  <c r="E14" i="79"/>
  <c r="BE27" i="159"/>
  <c r="BH27" i="159" s="1"/>
  <c r="BT27" i="160"/>
  <c r="CH27" i="160" s="1"/>
  <c r="BA27" i="159"/>
  <c r="BB27" i="159" s="1"/>
  <c r="BE27" i="163"/>
  <c r="AP27" i="163"/>
  <c r="BJ27" i="163"/>
  <c r="AU27" i="163"/>
  <c r="AZ27" i="163"/>
  <c r="AK27" i="163"/>
  <c r="BZ27" i="160"/>
  <c r="AN27" i="160"/>
  <c r="AO27" i="160" s="1"/>
  <c r="AS27" i="160" s="1"/>
  <c r="AL27" i="160"/>
  <c r="U27" i="163"/>
  <c r="V27" i="163" s="1"/>
  <c r="AV27" i="160"/>
  <c r="AW27" i="160" s="1"/>
  <c r="CA27" i="160"/>
  <c r="AX27" i="160"/>
  <c r="AY27" i="160" s="1"/>
  <c r="BC27" i="160" s="1"/>
  <c r="BF27" i="160"/>
  <c r="BG27" i="160" s="1"/>
  <c r="CB27" i="160"/>
  <c r="BP27" i="160" s="1"/>
  <c r="CD27" i="160" s="1"/>
  <c r="BH27" i="160"/>
  <c r="BI27" i="160" s="1"/>
  <c r="BM27" i="160" s="1"/>
  <c r="BA27" i="160"/>
  <c r="BB27" i="160" s="1"/>
  <c r="AQ27" i="160"/>
  <c r="AR27" i="160" s="1"/>
  <c r="AE25" i="158"/>
  <c r="AF25" i="158" s="1"/>
  <c r="U27" i="160"/>
  <c r="V27" i="160" s="1"/>
  <c r="AU27" i="159"/>
  <c r="Y27" i="159"/>
  <c r="AD27" i="159"/>
  <c r="T27" i="159"/>
  <c r="E27" i="159"/>
  <c r="J27" i="159"/>
  <c r="O27" i="159"/>
  <c r="K27" i="163"/>
  <c r="L27" i="163" s="1"/>
  <c r="BR26" i="162"/>
  <c r="CF26" i="162" s="1"/>
  <c r="BQ26" i="162"/>
  <c r="CE26" i="162" s="1"/>
  <c r="Z25" i="158"/>
  <c r="AA25" i="158" s="1"/>
  <c r="Z27" i="160"/>
  <c r="AA27" i="160" s="1"/>
  <c r="BW27" i="160"/>
  <c r="BU27" i="160" s="1"/>
  <c r="CI27" i="160" s="1"/>
  <c r="AB27" i="160"/>
  <c r="AC27" i="160" s="1"/>
  <c r="AG27" i="160" s="1"/>
  <c r="BJ27" i="159"/>
  <c r="E27" i="163"/>
  <c r="O27" i="163"/>
  <c r="Y27" i="163"/>
  <c r="AD27" i="163"/>
  <c r="AM26" i="162"/>
  <c r="K27" i="160"/>
  <c r="L27" i="160" s="1"/>
  <c r="I27" i="160"/>
  <c r="M27" i="160" s="1"/>
  <c r="BX25" i="158"/>
  <c r="K25" i="158"/>
  <c r="L25" i="158" s="1"/>
  <c r="G26" i="162"/>
  <c r="AK27" i="159"/>
  <c r="BK27" i="160"/>
  <c r="BL27" i="160" s="1"/>
  <c r="P27" i="160"/>
  <c r="Q27" i="160" s="1"/>
  <c r="R27" i="160"/>
  <c r="S27" i="160" s="1"/>
  <c r="W27" i="160" s="1"/>
  <c r="BX27" i="160"/>
  <c r="BT26" i="162"/>
  <c r="CH26" i="162" s="1"/>
  <c r="BS26" i="162"/>
  <c r="CG26" i="162" s="1"/>
  <c r="AP27" i="159"/>
  <c r="AB25" i="158"/>
  <c r="AC25" i="158" s="1"/>
  <c r="AG25" i="158" s="1"/>
  <c r="BW25" i="158"/>
  <c r="H25" i="158"/>
  <c r="I25" i="158" s="1"/>
  <c r="M25" i="158" s="1"/>
  <c r="BY25" i="158"/>
  <c r="R25" i="158"/>
  <c r="S25" i="158" s="1"/>
  <c r="W25" i="158" s="1"/>
  <c r="P25" i="158"/>
  <c r="Q25" i="158" s="1"/>
  <c r="F25" i="158"/>
  <c r="G25" i="158" s="1"/>
  <c r="AL25" i="158"/>
  <c r="AN25" i="158"/>
  <c r="AU25" i="158"/>
  <c r="AP25" i="158"/>
  <c r="I14" i="79" s="1"/>
  <c r="BE25" i="158"/>
  <c r="AZ25" i="158"/>
  <c r="BJ25" i="158"/>
  <c r="CR26" i="162" l="1"/>
  <c r="U15" i="79" s="1"/>
  <c r="K14" i="79"/>
  <c r="CB27" i="159"/>
  <c r="BF27" i="159"/>
  <c r="BG27" i="159" s="1"/>
  <c r="CZ26" i="162"/>
  <c r="CX26" i="162"/>
  <c r="CL26" i="162"/>
  <c r="CM26" i="162"/>
  <c r="CV26" i="162"/>
  <c r="CT26" i="162"/>
  <c r="CP26" i="162"/>
  <c r="S15" i="79" s="1"/>
  <c r="CN26" i="162"/>
  <c r="CU26" i="162"/>
  <c r="CO26" i="162"/>
  <c r="R15" i="79" s="1"/>
  <c r="CS26" i="162"/>
  <c r="CQ26" i="162"/>
  <c r="T15" i="79" s="1"/>
  <c r="CY26" i="162"/>
  <c r="CK26" i="162"/>
  <c r="CW26" i="162"/>
  <c r="G14" i="79"/>
  <c r="L14" i="79"/>
  <c r="T27" i="162"/>
  <c r="U27" i="162" s="1"/>
  <c r="V27" i="162" s="1"/>
  <c r="BI27" i="159"/>
  <c r="BM27" i="159" s="1"/>
  <c r="AB27" i="163"/>
  <c r="AC27" i="163" s="1"/>
  <c r="AG27" i="163" s="1"/>
  <c r="BW27" i="163"/>
  <c r="Z27" i="163"/>
  <c r="AA27" i="163" s="1"/>
  <c r="K27" i="159"/>
  <c r="L27" i="159" s="1"/>
  <c r="AQ27" i="163"/>
  <c r="AR27" i="163" s="1"/>
  <c r="AU27" i="162"/>
  <c r="AZ27" i="162"/>
  <c r="BX27" i="163"/>
  <c r="R27" i="163"/>
  <c r="S27" i="163" s="1"/>
  <c r="W27" i="163" s="1"/>
  <c r="P27" i="163"/>
  <c r="Q27" i="163" s="1"/>
  <c r="H27" i="159"/>
  <c r="I27" i="159" s="1"/>
  <c r="M27" i="159" s="1"/>
  <c r="F27" i="159"/>
  <c r="BY27" i="159"/>
  <c r="AM27" i="160"/>
  <c r="T28" i="160" s="1"/>
  <c r="BH27" i="163"/>
  <c r="BI27" i="163" s="1"/>
  <c r="BM27" i="163" s="1"/>
  <c r="BF27" i="163"/>
  <c r="BG27" i="163" s="1"/>
  <c r="CB27" i="163"/>
  <c r="F27" i="163"/>
  <c r="G27" i="163" s="1"/>
  <c r="H27" i="163"/>
  <c r="I27" i="163" s="1"/>
  <c r="M27" i="163" s="1"/>
  <c r="BY27" i="163"/>
  <c r="U27" i="159"/>
  <c r="V27" i="159" s="1"/>
  <c r="BX27" i="159"/>
  <c r="R27" i="159"/>
  <c r="S27" i="159" s="1"/>
  <c r="W27" i="159" s="1"/>
  <c r="P27" i="159"/>
  <c r="Q27" i="159" s="1"/>
  <c r="AP27" i="162"/>
  <c r="Y27" i="162"/>
  <c r="BK27" i="159"/>
  <c r="BL27" i="159" s="1"/>
  <c r="AE27" i="159"/>
  <c r="AF27" i="159" s="1"/>
  <c r="BQ27" i="160"/>
  <c r="CE27" i="160" s="1"/>
  <c r="BR27" i="160"/>
  <c r="CF27" i="160" s="1"/>
  <c r="CU27" i="160" s="1"/>
  <c r="BK27" i="163"/>
  <c r="BL27" i="163" s="1"/>
  <c r="AL27" i="159"/>
  <c r="AM27" i="159" s="1"/>
  <c r="AN27" i="159"/>
  <c r="AO27" i="159" s="1"/>
  <c r="AS27" i="159" s="1"/>
  <c r="BZ27" i="159"/>
  <c r="J27" i="162"/>
  <c r="K27" i="162" s="1"/>
  <c r="L27" i="162" s="1"/>
  <c r="BW27" i="159"/>
  <c r="AB27" i="159"/>
  <c r="AC27" i="159" s="1"/>
  <c r="AG27" i="159" s="1"/>
  <c r="Z27" i="159"/>
  <c r="AA27" i="159" s="1"/>
  <c r="BZ27" i="163"/>
  <c r="AN27" i="163"/>
  <c r="AO27" i="163" s="1"/>
  <c r="AS27" i="163" s="1"/>
  <c r="AL27" i="163"/>
  <c r="AK27" i="162"/>
  <c r="AQ27" i="159"/>
  <c r="AR27" i="159" s="1"/>
  <c r="BJ27" i="162"/>
  <c r="AX27" i="159"/>
  <c r="AY27" i="159" s="1"/>
  <c r="BC27" i="159" s="1"/>
  <c r="AV27" i="159"/>
  <c r="AW27" i="159" s="1"/>
  <c r="CA27" i="159"/>
  <c r="BA27" i="163"/>
  <c r="BB27" i="163" s="1"/>
  <c r="AE27" i="163"/>
  <c r="AF27" i="163" s="1"/>
  <c r="BE27" i="162"/>
  <c r="AD27" i="162"/>
  <c r="E27" i="162"/>
  <c r="O27" i="162"/>
  <c r="AX27" i="163"/>
  <c r="AY27" i="163" s="1"/>
  <c r="BC27" i="163" s="1"/>
  <c r="AV27" i="163"/>
  <c r="AW27" i="163" s="1"/>
  <c r="CA27" i="163"/>
  <c r="BS25" i="158"/>
  <c r="CG25" i="158" s="1"/>
  <c r="BT25" i="158"/>
  <c r="CH25" i="158" s="1"/>
  <c r="BU25" i="158"/>
  <c r="CI25" i="158" s="1"/>
  <c r="BH25" i="158"/>
  <c r="BI25" i="158" s="1"/>
  <c r="BM25" i="158" s="1"/>
  <c r="CB25" i="158"/>
  <c r="BF25" i="158"/>
  <c r="BG25" i="158" s="1"/>
  <c r="AQ25" i="158"/>
  <c r="AR25" i="158" s="1"/>
  <c r="AX25" i="158"/>
  <c r="AY25" i="158" s="1"/>
  <c r="BC25" i="158" s="1"/>
  <c r="AV25" i="158"/>
  <c r="AW25" i="158" s="1"/>
  <c r="CA25" i="158"/>
  <c r="BZ25" i="158"/>
  <c r="BK25" i="158"/>
  <c r="BL25" i="158" s="1"/>
  <c r="AO25" i="158"/>
  <c r="AS25" i="158" s="1"/>
  <c r="BA25" i="158"/>
  <c r="BB25" i="158" s="1"/>
  <c r="AM25" i="158"/>
  <c r="CX27" i="160" l="1"/>
  <c r="CL27" i="160"/>
  <c r="CW27" i="160"/>
  <c r="CN27" i="160"/>
  <c r="CY27" i="160"/>
  <c r="CQ27" i="160"/>
  <c r="CT27" i="160"/>
  <c r="CK27" i="160"/>
  <c r="CZ27" i="160"/>
  <c r="CP27" i="160"/>
  <c r="CS27" i="160"/>
  <c r="CV27" i="160"/>
  <c r="CR27" i="160"/>
  <c r="CM27" i="160"/>
  <c r="CO27" i="160"/>
  <c r="AU28" i="160"/>
  <c r="AX28" i="160" s="1"/>
  <c r="AY28" i="160" s="1"/>
  <c r="BC28" i="160" s="1"/>
  <c r="F16" i="79"/>
  <c r="AZ28" i="160"/>
  <c r="BA28" i="160" s="1"/>
  <c r="BB28" i="160" s="1"/>
  <c r="BP27" i="159"/>
  <c r="CD27" i="159" s="1"/>
  <c r="BQ27" i="159"/>
  <c r="CE27" i="159" s="1"/>
  <c r="BR27" i="159"/>
  <c r="R27" i="162"/>
  <c r="S27" i="162" s="1"/>
  <c r="W27" i="162" s="1"/>
  <c r="BX27" i="162"/>
  <c r="P27" i="162"/>
  <c r="Q27" i="162" s="1"/>
  <c r="BP27" i="163"/>
  <c r="CD27" i="163" s="1"/>
  <c r="BR27" i="163"/>
  <c r="CF27" i="163" s="1"/>
  <c r="BQ27" i="163"/>
  <c r="CE27" i="163" s="1"/>
  <c r="BA27" i="162"/>
  <c r="BB27" i="162" s="1"/>
  <c r="U28" i="160"/>
  <c r="V28" i="160" s="1"/>
  <c r="H27" i="162"/>
  <c r="I27" i="162" s="1"/>
  <c r="M27" i="162" s="1"/>
  <c r="BY27" i="162"/>
  <c r="F27" i="162"/>
  <c r="G27" i="162" s="1"/>
  <c r="BT27" i="159"/>
  <c r="CH27" i="159" s="1"/>
  <c r="BS27" i="159"/>
  <c r="CG27" i="159" s="1"/>
  <c r="BU27" i="159"/>
  <c r="CI27" i="159" s="1"/>
  <c r="AV27" i="162"/>
  <c r="AW27" i="162" s="1"/>
  <c r="AX27" i="162"/>
  <c r="AY27" i="162" s="1"/>
  <c r="BC27" i="162" s="1"/>
  <c r="CA27" i="162"/>
  <c r="J16" i="79"/>
  <c r="AE27" i="162"/>
  <c r="AF27" i="162" s="1"/>
  <c r="G27" i="159"/>
  <c r="BF27" i="162"/>
  <c r="BG27" i="162" s="1"/>
  <c r="CB27" i="162"/>
  <c r="BP27" i="162" s="1"/>
  <c r="CD27" i="162" s="1"/>
  <c r="BH27" i="162"/>
  <c r="BI27" i="162" s="1"/>
  <c r="BM27" i="162" s="1"/>
  <c r="AB27" i="162"/>
  <c r="AC27" i="162" s="1"/>
  <c r="AG27" i="162" s="1"/>
  <c r="BW27" i="162"/>
  <c r="BU27" i="162" s="1"/>
  <c r="CI27" i="162" s="1"/>
  <c r="Z27" i="162"/>
  <c r="AA27" i="162" s="1"/>
  <c r="BK27" i="162"/>
  <c r="BL27" i="162" s="1"/>
  <c r="O28" i="160"/>
  <c r="Y28" i="160"/>
  <c r="J28" i="160"/>
  <c r="BZ27" i="162"/>
  <c r="AN27" i="162"/>
  <c r="AO27" i="162" s="1"/>
  <c r="AS27" i="162" s="1"/>
  <c r="AL27" i="162"/>
  <c r="BE28" i="160"/>
  <c r="BJ28" i="160"/>
  <c r="AQ27" i="162"/>
  <c r="AR27" i="162" s="1"/>
  <c r="AD28" i="160"/>
  <c r="AK28" i="160"/>
  <c r="AM27" i="163"/>
  <c r="AP28" i="160"/>
  <c r="BS27" i="163"/>
  <c r="CG27" i="163" s="1"/>
  <c r="BU27" i="163"/>
  <c r="CI27" i="163" s="1"/>
  <c r="BT27" i="163"/>
  <c r="CH27" i="163" s="1"/>
  <c r="E28" i="160"/>
  <c r="BQ25" i="158"/>
  <c r="CE25" i="158" s="1"/>
  <c r="BR25" i="158"/>
  <c r="CF25" i="158" s="1"/>
  <c r="BP25" i="158"/>
  <c r="CD25" i="158" s="1"/>
  <c r="Y26" i="158"/>
  <c r="O28" i="159" l="1"/>
  <c r="AZ28" i="159"/>
  <c r="BA28" i="159" s="1"/>
  <c r="BB28" i="159" s="1"/>
  <c r="CF27" i="159"/>
  <c r="CS27" i="159" s="1"/>
  <c r="AV28" i="160"/>
  <c r="AW28" i="160" s="1"/>
  <c r="CV27" i="163"/>
  <c r="CL27" i="163"/>
  <c r="CN27" i="163"/>
  <c r="CO27" i="163"/>
  <c r="CR27" i="163"/>
  <c r="CP27" i="163"/>
  <c r="CM27" i="163"/>
  <c r="CK27" i="163"/>
  <c r="CQ27" i="163"/>
  <c r="CS27" i="163"/>
  <c r="CZ27" i="163"/>
  <c r="CT27" i="163"/>
  <c r="CU27" i="163"/>
  <c r="CX27" i="163"/>
  <c r="CW27" i="163"/>
  <c r="CY27" i="163"/>
  <c r="CA28" i="160"/>
  <c r="CZ25" i="158"/>
  <c r="AC14" i="79" s="1"/>
  <c r="CS25" i="158"/>
  <c r="V14" i="79" s="1"/>
  <c r="CO25" i="158"/>
  <c r="CT25" i="158"/>
  <c r="W14" i="79" s="1"/>
  <c r="CR25" i="158"/>
  <c r="CW25" i="158"/>
  <c r="Z14" i="79" s="1"/>
  <c r="CY25" i="158"/>
  <c r="AB14" i="79" s="1"/>
  <c r="CU25" i="158"/>
  <c r="X14" i="79" s="1"/>
  <c r="CP25" i="158"/>
  <c r="CN25" i="158"/>
  <c r="Q14" i="79" s="1"/>
  <c r="CQ25" i="158"/>
  <c r="CK25" i="158"/>
  <c r="N14" i="79" s="1"/>
  <c r="CX25" i="158"/>
  <c r="AA14" i="79" s="1"/>
  <c r="CV25" i="158"/>
  <c r="Y14" i="79" s="1"/>
  <c r="CL25" i="158"/>
  <c r="O14" i="79" s="1"/>
  <c r="CM25" i="158"/>
  <c r="P14" i="79" s="1"/>
  <c r="J28" i="159"/>
  <c r="K28" i="159" s="1"/>
  <c r="L28" i="159" s="1"/>
  <c r="AK28" i="163"/>
  <c r="AL28" i="163" s="1"/>
  <c r="AM28" i="163" s="1"/>
  <c r="BJ28" i="163"/>
  <c r="BK28" i="163" s="1"/>
  <c r="BL28" i="163" s="1"/>
  <c r="BE28" i="159"/>
  <c r="BH28" i="159" s="1"/>
  <c r="AK28" i="159"/>
  <c r="AL28" i="159" s="1"/>
  <c r="AM28" i="159" s="1"/>
  <c r="AP28" i="163"/>
  <c r="T28" i="159"/>
  <c r="U28" i="159" s="1"/>
  <c r="V28" i="159" s="1"/>
  <c r="E28" i="159"/>
  <c r="F28" i="159" s="1"/>
  <c r="G28" i="159" s="1"/>
  <c r="T28" i="163"/>
  <c r="U28" i="163" s="1"/>
  <c r="V28" i="163" s="1"/>
  <c r="Y28" i="163"/>
  <c r="Z28" i="163" s="1"/>
  <c r="AA28" i="163" s="1"/>
  <c r="AL28" i="160"/>
  <c r="AN28" i="160"/>
  <c r="AO28" i="160" s="1"/>
  <c r="AS28" i="160" s="1"/>
  <c r="BZ28" i="160"/>
  <c r="BT27" i="162"/>
  <c r="CH27" i="162" s="1"/>
  <c r="BS27" i="162"/>
  <c r="CG27" i="162" s="1"/>
  <c r="AE28" i="160"/>
  <c r="AF28" i="160" s="1"/>
  <c r="P28" i="159"/>
  <c r="Q28" i="159" s="1"/>
  <c r="R28" i="159"/>
  <c r="AU28" i="163"/>
  <c r="AZ28" i="163"/>
  <c r="BE28" i="163"/>
  <c r="AB26" i="158"/>
  <c r="AM27" i="162"/>
  <c r="AQ28" i="160"/>
  <c r="AR28" i="160" s="1"/>
  <c r="BQ27" i="162"/>
  <c r="CE27" i="162" s="1"/>
  <c r="BR27" i="162"/>
  <c r="CF27" i="162" s="1"/>
  <c r="Y28" i="159"/>
  <c r="AD28" i="159"/>
  <c r="O28" i="163"/>
  <c r="J28" i="163"/>
  <c r="K28" i="160"/>
  <c r="L28" i="160" s="1"/>
  <c r="BF28" i="159"/>
  <c r="BG28" i="159" s="1"/>
  <c r="AB28" i="160"/>
  <c r="AC28" i="160" s="1"/>
  <c r="AG28" i="160" s="1"/>
  <c r="Z28" i="160"/>
  <c r="AA28" i="160" s="1"/>
  <c r="BW28" i="160"/>
  <c r="BU28" i="160" s="1"/>
  <c r="CI28" i="160" s="1"/>
  <c r="CB28" i="160"/>
  <c r="BP28" i="160" s="1"/>
  <c r="CD28" i="160" s="1"/>
  <c r="BF28" i="160"/>
  <c r="BG28" i="160" s="1"/>
  <c r="BH28" i="160"/>
  <c r="BI28" i="160" s="1"/>
  <c r="BM28" i="160" s="1"/>
  <c r="F28" i="160"/>
  <c r="BY28" i="160"/>
  <c r="H28" i="160"/>
  <c r="I28" i="160" s="1"/>
  <c r="M28" i="160" s="1"/>
  <c r="AD28" i="163"/>
  <c r="E28" i="163"/>
  <c r="BK28" i="160"/>
  <c r="BL28" i="160" s="1"/>
  <c r="P28" i="160"/>
  <c r="Q28" i="160" s="1"/>
  <c r="R28" i="160"/>
  <c r="S28" i="160" s="1"/>
  <c r="W28" i="160" s="1"/>
  <c r="BX28" i="160"/>
  <c r="AU28" i="159"/>
  <c r="BJ28" i="159"/>
  <c r="AP28" i="159"/>
  <c r="BZ28" i="159" s="1"/>
  <c r="O26" i="158"/>
  <c r="H15" i="79" s="1"/>
  <c r="AD26" i="158"/>
  <c r="J26" i="158"/>
  <c r="E26" i="158"/>
  <c r="T26" i="158"/>
  <c r="U26" i="158" s="1"/>
  <c r="V26" i="158" s="1"/>
  <c r="BE26" i="158"/>
  <c r="BH26" i="158" s="1"/>
  <c r="AK26" i="158"/>
  <c r="AP26" i="158"/>
  <c r="AQ26" i="158" s="1"/>
  <c r="AR26" i="158" s="1"/>
  <c r="BJ26" i="158"/>
  <c r="AZ26" i="158"/>
  <c r="BA26" i="158" s="1"/>
  <c r="BB26" i="158" s="1"/>
  <c r="AU26" i="158"/>
  <c r="AX26" i="158" s="1"/>
  <c r="Z26" i="158"/>
  <c r="AA26" i="158" s="1"/>
  <c r="CZ27" i="159" l="1"/>
  <c r="CQ27" i="159"/>
  <c r="CO27" i="159"/>
  <c r="CX27" i="159"/>
  <c r="CT27" i="159"/>
  <c r="CN27" i="159"/>
  <c r="AN28" i="163"/>
  <c r="AO28" i="163" s="1"/>
  <c r="AS28" i="163" s="1"/>
  <c r="CP27" i="159"/>
  <c r="CR27" i="162"/>
  <c r="U16" i="79" s="1"/>
  <c r="CU27" i="159"/>
  <c r="CK27" i="159"/>
  <c r="CV27" i="159"/>
  <c r="CM27" i="159"/>
  <c r="CR27" i="159"/>
  <c r="CW27" i="162"/>
  <c r="CL27" i="162"/>
  <c r="CY27" i="162"/>
  <c r="CZ27" i="162"/>
  <c r="CU27" i="162"/>
  <c r="CN27" i="162"/>
  <c r="CT27" i="162"/>
  <c r="CQ27" i="162"/>
  <c r="T16" i="79" s="1"/>
  <c r="CS27" i="162"/>
  <c r="CP27" i="162"/>
  <c r="S16" i="79" s="1"/>
  <c r="BZ28" i="163"/>
  <c r="BR28" i="163" s="1"/>
  <c r="CF28" i="163" s="1"/>
  <c r="CO27" i="162"/>
  <c r="R16" i="79" s="1"/>
  <c r="CM27" i="162"/>
  <c r="CY27" i="159"/>
  <c r="CL27" i="159"/>
  <c r="CV27" i="162"/>
  <c r="CK27" i="162"/>
  <c r="CW27" i="159"/>
  <c r="CX27" i="162"/>
  <c r="AN28" i="159"/>
  <c r="AO28" i="159" s="1"/>
  <c r="AS28" i="159" s="1"/>
  <c r="S28" i="159"/>
  <c r="W28" i="159" s="1"/>
  <c r="O28" i="162"/>
  <c r="R28" i="162" s="1"/>
  <c r="AC26" i="158"/>
  <c r="AG26" i="158" s="1"/>
  <c r="AQ28" i="163"/>
  <c r="AR28" i="163" s="1"/>
  <c r="E15" i="79"/>
  <c r="G15" i="79"/>
  <c r="H28" i="159"/>
  <c r="I28" i="159" s="1"/>
  <c r="M28" i="159" s="1"/>
  <c r="BY28" i="159"/>
  <c r="BU28" i="159" s="1"/>
  <c r="CI28" i="159" s="1"/>
  <c r="J28" i="162"/>
  <c r="K28" i="162" s="1"/>
  <c r="L28" i="162" s="1"/>
  <c r="E28" i="162"/>
  <c r="H28" i="162" s="1"/>
  <c r="BX28" i="159"/>
  <c r="AU28" i="162"/>
  <c r="AV28" i="162" s="1"/>
  <c r="AW28" i="162" s="1"/>
  <c r="BW26" i="158"/>
  <c r="AB28" i="163"/>
  <c r="AC28" i="163" s="1"/>
  <c r="AG28" i="163" s="1"/>
  <c r="T28" i="162"/>
  <c r="BP28" i="159"/>
  <c r="CD28" i="159" s="1"/>
  <c r="BR28" i="159"/>
  <c r="CF28" i="159" s="1"/>
  <c r="BQ28" i="159"/>
  <c r="CE28" i="159" s="1"/>
  <c r="AZ28" i="162"/>
  <c r="BT28" i="160"/>
  <c r="CH28" i="160" s="1"/>
  <c r="BS28" i="160"/>
  <c r="CG28" i="160" s="1"/>
  <c r="AP28" i="162"/>
  <c r="BQ28" i="160"/>
  <c r="CE28" i="160" s="1"/>
  <c r="BR28" i="160"/>
  <c r="CF28" i="160" s="1"/>
  <c r="G28" i="160"/>
  <c r="K28" i="163"/>
  <c r="L28" i="163" s="1"/>
  <c r="R28" i="163"/>
  <c r="S28" i="163" s="1"/>
  <c r="W28" i="163" s="1"/>
  <c r="P28" i="163"/>
  <c r="Q28" i="163" s="1"/>
  <c r="BX28" i="163"/>
  <c r="AM28" i="160"/>
  <c r="AQ28" i="159"/>
  <c r="AE28" i="159"/>
  <c r="AF28" i="159" s="1"/>
  <c r="BF28" i="163"/>
  <c r="BG28" i="163" s="1"/>
  <c r="CB28" i="163"/>
  <c r="BH28" i="163"/>
  <c r="BI28" i="163" s="1"/>
  <c r="BM28" i="163" s="1"/>
  <c r="R26" i="158"/>
  <c r="S26" i="158" s="1"/>
  <c r="W26" i="158" s="1"/>
  <c r="H26" i="158"/>
  <c r="I26" i="158" s="1"/>
  <c r="M26" i="158" s="1"/>
  <c r="BY28" i="163"/>
  <c r="F28" i="163"/>
  <c r="H28" i="163"/>
  <c r="I28" i="163" s="1"/>
  <c r="M28" i="163" s="1"/>
  <c r="AB28" i="159"/>
  <c r="AC28" i="159" s="1"/>
  <c r="AG28" i="159" s="1"/>
  <c r="BW28" i="159"/>
  <c r="Z28" i="159"/>
  <c r="AA28" i="159" s="1"/>
  <c r="BA28" i="163"/>
  <c r="BB28" i="163" s="1"/>
  <c r="Y28" i="162"/>
  <c r="F26" i="158"/>
  <c r="G26" i="158" s="1"/>
  <c r="BK28" i="159"/>
  <c r="BL28" i="159" s="1"/>
  <c r="BI28" i="159"/>
  <c r="BM28" i="159" s="1"/>
  <c r="K26" i="158"/>
  <c r="L26" i="158" s="1"/>
  <c r="I15" i="79"/>
  <c r="AX28" i="159"/>
  <c r="AY28" i="159" s="1"/>
  <c r="BC28" i="159" s="1"/>
  <c r="AV28" i="159"/>
  <c r="AW28" i="159" s="1"/>
  <c r="CA28" i="159"/>
  <c r="AE28" i="163"/>
  <c r="AF28" i="163" s="1"/>
  <c r="AD28" i="162"/>
  <c r="CA28" i="163"/>
  <c r="AV28" i="163"/>
  <c r="AW28" i="163" s="1"/>
  <c r="AX28" i="163"/>
  <c r="AY28" i="163" s="1"/>
  <c r="BC28" i="163" s="1"/>
  <c r="AE26" i="158"/>
  <c r="AF26" i="158" s="1"/>
  <c r="K15" i="79"/>
  <c r="CB28" i="159"/>
  <c r="BE28" i="162"/>
  <c r="BJ28" i="162"/>
  <c r="AK28" i="162"/>
  <c r="BW28" i="163"/>
  <c r="BY26" i="158"/>
  <c r="BF26" i="158"/>
  <c r="BG26" i="158" s="1"/>
  <c r="CB26" i="158"/>
  <c r="BI26" i="158"/>
  <c r="BM26" i="158" s="1"/>
  <c r="P26" i="158"/>
  <c r="Q26" i="158" s="1"/>
  <c r="BX26" i="158"/>
  <c r="BK26" i="158"/>
  <c r="BL26" i="158" s="1"/>
  <c r="BZ26" i="158"/>
  <c r="AL26" i="158"/>
  <c r="AM26" i="158" s="1"/>
  <c r="AN26" i="158"/>
  <c r="AO26" i="158" s="1"/>
  <c r="AS26" i="158" s="1"/>
  <c r="AY26" i="158"/>
  <c r="BC26" i="158" s="1"/>
  <c r="AV26" i="158"/>
  <c r="AW26" i="158" s="1"/>
  <c r="CA26" i="158"/>
  <c r="BQ28" i="163" l="1"/>
  <c r="CE28" i="163" s="1"/>
  <c r="BP28" i="163"/>
  <c r="CD28" i="163" s="1"/>
  <c r="I28" i="162"/>
  <c r="M28" i="162" s="1"/>
  <c r="P28" i="162"/>
  <c r="Q28" i="162" s="1"/>
  <c r="CR28" i="160"/>
  <c r="BX28" i="162"/>
  <c r="CS28" i="160"/>
  <c r="CM28" i="160"/>
  <c r="CT28" i="160"/>
  <c r="CL28" i="160"/>
  <c r="CY28" i="160"/>
  <c r="CK28" i="160"/>
  <c r="CZ28" i="160"/>
  <c r="CV28" i="160"/>
  <c r="CQ28" i="160"/>
  <c r="CU28" i="160"/>
  <c r="CO28" i="160"/>
  <c r="CN28" i="160"/>
  <c r="CW28" i="160"/>
  <c r="CP28" i="160"/>
  <c r="CX28" i="160"/>
  <c r="L15" i="79"/>
  <c r="AP29" i="160"/>
  <c r="AQ29" i="160" s="1"/>
  <c r="AR29" i="160" s="1"/>
  <c r="BS28" i="159"/>
  <c r="CG28" i="159" s="1"/>
  <c r="U28" i="162"/>
  <c r="V28" i="162" s="1"/>
  <c r="AX28" i="162"/>
  <c r="AY28" i="162" s="1"/>
  <c r="BC28" i="162" s="1"/>
  <c r="BJ29" i="159"/>
  <c r="BK29" i="159" s="1"/>
  <c r="BL29" i="159" s="1"/>
  <c r="BT28" i="159"/>
  <c r="CH28" i="159" s="1"/>
  <c r="AZ29" i="160"/>
  <c r="BA29" i="160" s="1"/>
  <c r="BB29" i="160" s="1"/>
  <c r="CA28" i="162"/>
  <c r="F28" i="162"/>
  <c r="G28" i="162" s="1"/>
  <c r="BY28" i="162"/>
  <c r="BT28" i="162" s="1"/>
  <c r="CH28" i="162" s="1"/>
  <c r="F17" i="79"/>
  <c r="T29" i="160"/>
  <c r="U29" i="160" s="1"/>
  <c r="V29" i="160" s="1"/>
  <c r="S28" i="162"/>
  <c r="W28" i="162" s="1"/>
  <c r="AU29" i="159"/>
  <c r="AX29" i="159" s="1"/>
  <c r="E29" i="160"/>
  <c r="O29" i="160"/>
  <c r="J29" i="160"/>
  <c r="Y29" i="160"/>
  <c r="AU29" i="160"/>
  <c r="AK29" i="160"/>
  <c r="BE29" i="160"/>
  <c r="BJ29" i="160"/>
  <c r="BZ28" i="162"/>
  <c r="AL28" i="162"/>
  <c r="AN28" i="162"/>
  <c r="AO28" i="162" s="1"/>
  <c r="AS28" i="162" s="1"/>
  <c r="CB28" i="162"/>
  <c r="BP28" i="162" s="1"/>
  <c r="CD28" i="162" s="1"/>
  <c r="BH28" i="162"/>
  <c r="BI28" i="162" s="1"/>
  <c r="BM28" i="162" s="1"/>
  <c r="BF28" i="162"/>
  <c r="BG28" i="162" s="1"/>
  <c r="AQ28" i="162"/>
  <c r="AR28" i="162" s="1"/>
  <c r="BS28" i="163"/>
  <c r="CG28" i="163" s="1"/>
  <c r="BU28" i="163"/>
  <c r="CI28" i="163" s="1"/>
  <c r="BT28" i="163"/>
  <c r="CH28" i="163" s="1"/>
  <c r="Z28" i="162"/>
  <c r="AA28" i="162" s="1"/>
  <c r="AB28" i="162"/>
  <c r="AC28" i="162" s="1"/>
  <c r="AG28" i="162" s="1"/>
  <c r="BW28" i="162"/>
  <c r="BU28" i="162" s="1"/>
  <c r="CI28" i="162" s="1"/>
  <c r="AD29" i="160"/>
  <c r="AP29" i="159"/>
  <c r="AZ29" i="159"/>
  <c r="BE29" i="159"/>
  <c r="AK29" i="159"/>
  <c r="BK28" i="162"/>
  <c r="BL28" i="162" s="1"/>
  <c r="J17" i="79"/>
  <c r="AE28" i="162"/>
  <c r="AF28" i="162" s="1"/>
  <c r="G28" i="163"/>
  <c r="AP29" i="163" s="1"/>
  <c r="AR28" i="159"/>
  <c r="BA28" i="162"/>
  <c r="BB28" i="162" s="1"/>
  <c r="BS26" i="158"/>
  <c r="CG26" i="158" s="1"/>
  <c r="BT26" i="158"/>
  <c r="CH26" i="158" s="1"/>
  <c r="BU26" i="158"/>
  <c r="CI26" i="158" s="1"/>
  <c r="BR26" i="158"/>
  <c r="CF26" i="158" s="1"/>
  <c r="BQ26" i="158"/>
  <c r="CE26" i="158" s="1"/>
  <c r="BP26" i="158"/>
  <c r="CD26" i="158" s="1"/>
  <c r="CN28" i="159" l="1"/>
  <c r="CO28" i="163"/>
  <c r="CR28" i="159"/>
  <c r="CZ28" i="163"/>
  <c r="CR28" i="163"/>
  <c r="CV28" i="159"/>
  <c r="CL28" i="159"/>
  <c r="CP28" i="159"/>
  <c r="CT28" i="163"/>
  <c r="CN28" i="163"/>
  <c r="CY28" i="159"/>
  <c r="CS28" i="159"/>
  <c r="CS28" i="163"/>
  <c r="CQ28" i="163"/>
  <c r="CW26" i="158"/>
  <c r="Z15" i="79" s="1"/>
  <c r="CX26" i="158"/>
  <c r="AA15" i="79" s="1"/>
  <c r="CT26" i="158"/>
  <c r="W15" i="79" s="1"/>
  <c r="CY26" i="158"/>
  <c r="AB15" i="79" s="1"/>
  <c r="CZ26" i="158"/>
  <c r="AC15" i="79" s="1"/>
  <c r="CV26" i="158"/>
  <c r="Y15" i="79" s="1"/>
  <c r="CU26" i="158"/>
  <c r="X15" i="79" s="1"/>
  <c r="CS26" i="158"/>
  <c r="V15" i="79" s="1"/>
  <c r="CO26" i="158"/>
  <c r="CP26" i="158"/>
  <c r="CQ26" i="158"/>
  <c r="CL26" i="158"/>
  <c r="O15" i="79" s="1"/>
  <c r="CM26" i="158"/>
  <c r="P15" i="79" s="1"/>
  <c r="CN26" i="158"/>
  <c r="Q15" i="79" s="1"/>
  <c r="CR26" i="158"/>
  <c r="CK26" i="158"/>
  <c r="N15" i="79" s="1"/>
  <c r="CZ28" i="159"/>
  <c r="CO28" i="159"/>
  <c r="CU28" i="163"/>
  <c r="CL28" i="163"/>
  <c r="CX28" i="159"/>
  <c r="CK28" i="159"/>
  <c r="CP28" i="163"/>
  <c r="CV28" i="163"/>
  <c r="CW28" i="159"/>
  <c r="CM28" i="159"/>
  <c r="CW28" i="163"/>
  <c r="CK28" i="163"/>
  <c r="J29" i="159"/>
  <c r="K29" i="159" s="1"/>
  <c r="L29" i="159" s="1"/>
  <c r="CT28" i="159"/>
  <c r="CQ28" i="159"/>
  <c r="CY28" i="163"/>
  <c r="CM28" i="163"/>
  <c r="CU28" i="159"/>
  <c r="CX28" i="163"/>
  <c r="CA29" i="159"/>
  <c r="BS28" i="162"/>
  <c r="CG28" i="162" s="1"/>
  <c r="AV29" i="159"/>
  <c r="AW29" i="159" s="1"/>
  <c r="O27" i="158"/>
  <c r="H16" i="79" s="1"/>
  <c r="BE29" i="163"/>
  <c r="BF29" i="163" s="1"/>
  <c r="BG29" i="163" s="1"/>
  <c r="BJ29" i="163"/>
  <c r="BK29" i="163" s="1"/>
  <c r="BL29" i="163" s="1"/>
  <c r="AK29" i="163"/>
  <c r="AN29" i="163" s="1"/>
  <c r="AO29" i="163" s="1"/>
  <c r="AS29" i="163" s="1"/>
  <c r="AQ29" i="159"/>
  <c r="AR29" i="159" s="1"/>
  <c r="AM28" i="162"/>
  <c r="K29" i="160"/>
  <c r="L29" i="160" s="1"/>
  <c r="AE29" i="160"/>
  <c r="AF29" i="160" s="1"/>
  <c r="BQ28" i="162"/>
  <c r="CE28" i="162" s="1"/>
  <c r="BR28" i="162"/>
  <c r="CF28" i="162" s="1"/>
  <c r="P29" i="160"/>
  <c r="Q29" i="160" s="1"/>
  <c r="BX29" i="160"/>
  <c r="R29" i="160"/>
  <c r="S29" i="160" s="1"/>
  <c r="W29" i="160" s="1"/>
  <c r="BW29" i="160"/>
  <c r="BU29" i="160" s="1"/>
  <c r="CI29" i="160" s="1"/>
  <c r="AB29" i="160"/>
  <c r="AC29" i="160" s="1"/>
  <c r="AG29" i="160" s="1"/>
  <c r="Z29" i="160"/>
  <c r="AA29" i="160" s="1"/>
  <c r="BY29" i="160"/>
  <c r="H29" i="160"/>
  <c r="I29" i="160" s="1"/>
  <c r="M29" i="160" s="1"/>
  <c r="F29" i="160"/>
  <c r="AY29" i="159"/>
  <c r="BC29" i="159" s="1"/>
  <c r="BA29" i="159"/>
  <c r="BB29" i="159" s="1"/>
  <c r="Y29" i="163"/>
  <c r="T29" i="163"/>
  <c r="J29" i="163"/>
  <c r="O29" i="163"/>
  <c r="E29" i="163"/>
  <c r="AD29" i="163"/>
  <c r="BK29" i="160"/>
  <c r="BL29" i="160" s="1"/>
  <c r="BF29" i="160"/>
  <c r="BG29" i="160" s="1"/>
  <c r="CB29" i="160"/>
  <c r="BP29" i="160" s="1"/>
  <c r="CD29" i="160" s="1"/>
  <c r="BH29" i="160"/>
  <c r="BI29" i="160" s="1"/>
  <c r="BM29" i="160" s="1"/>
  <c r="BZ29" i="159"/>
  <c r="AL29" i="159"/>
  <c r="AM29" i="159" s="1"/>
  <c r="AN29" i="159"/>
  <c r="AO29" i="159" s="1"/>
  <c r="AS29" i="159" s="1"/>
  <c r="BZ29" i="160"/>
  <c r="AN29" i="160"/>
  <c r="AO29" i="160" s="1"/>
  <c r="AS29" i="160" s="1"/>
  <c r="AL29" i="160"/>
  <c r="AD29" i="159"/>
  <c r="E29" i="159"/>
  <c r="O29" i="159"/>
  <c r="T29" i="159"/>
  <c r="Y29" i="159"/>
  <c r="AQ29" i="163"/>
  <c r="AR29" i="163" s="1"/>
  <c r="AZ29" i="163"/>
  <c r="AU29" i="163"/>
  <c r="BF29" i="159"/>
  <c r="BG29" i="159" s="1"/>
  <c r="BH29" i="159"/>
  <c r="BI29" i="159" s="1"/>
  <c r="BM29" i="159" s="1"/>
  <c r="CB29" i="159"/>
  <c r="AX29" i="160"/>
  <c r="AY29" i="160" s="1"/>
  <c r="BC29" i="160" s="1"/>
  <c r="AV29" i="160"/>
  <c r="AW29" i="160" s="1"/>
  <c r="CA29" i="160"/>
  <c r="J27" i="158"/>
  <c r="Y27" i="158"/>
  <c r="AD27" i="158"/>
  <c r="T27" i="158"/>
  <c r="E27" i="158"/>
  <c r="AK27" i="158"/>
  <c r="BX27" i="158" l="1"/>
  <c r="CM28" i="162"/>
  <c r="CP28" i="162"/>
  <c r="S17" i="79" s="1"/>
  <c r="CO28" i="162"/>
  <c r="R17" i="79" s="1"/>
  <c r="CL28" i="162"/>
  <c r="CK28" i="162"/>
  <c r="CW28" i="162"/>
  <c r="CV28" i="162"/>
  <c r="CX28" i="162"/>
  <c r="CZ28" i="162"/>
  <c r="CY28" i="162"/>
  <c r="CN28" i="162"/>
  <c r="CS28" i="162"/>
  <c r="CR28" i="162"/>
  <c r="U17" i="79" s="1"/>
  <c r="CU28" i="162"/>
  <c r="CQ28" i="162"/>
  <c r="T17" i="79" s="1"/>
  <c r="CT28" i="162"/>
  <c r="R27" i="158"/>
  <c r="S27" i="158" s="1"/>
  <c r="W27" i="158" s="1"/>
  <c r="P27" i="158"/>
  <c r="Q27" i="158" s="1"/>
  <c r="O29" i="162"/>
  <c r="R29" i="162" s="1"/>
  <c r="BZ29" i="163"/>
  <c r="BP29" i="163" s="1"/>
  <c r="CD29" i="163" s="1"/>
  <c r="CB29" i="163"/>
  <c r="AL29" i="163"/>
  <c r="AM29" i="163" s="1"/>
  <c r="BH29" i="163"/>
  <c r="BI29" i="163" s="1"/>
  <c r="BM29" i="163" s="1"/>
  <c r="T29" i="162"/>
  <c r="U29" i="162" s="1"/>
  <c r="V29" i="162" s="1"/>
  <c r="E16" i="79"/>
  <c r="E29" i="162"/>
  <c r="H29" i="162" s="1"/>
  <c r="R29" i="163"/>
  <c r="S29" i="163" s="1"/>
  <c r="W29" i="163" s="1"/>
  <c r="P29" i="163"/>
  <c r="Q29" i="163" s="1"/>
  <c r="BX29" i="163"/>
  <c r="BT29" i="160"/>
  <c r="CH29" i="160" s="1"/>
  <c r="BS29" i="160"/>
  <c r="CG29" i="160" s="1"/>
  <c r="F29" i="163"/>
  <c r="H29" i="163"/>
  <c r="I29" i="163" s="1"/>
  <c r="M29" i="163" s="1"/>
  <c r="BY29" i="163"/>
  <c r="K29" i="163"/>
  <c r="L29" i="163" s="1"/>
  <c r="AK29" i="162"/>
  <c r="AZ29" i="162"/>
  <c r="AP29" i="162"/>
  <c r="BJ29" i="162"/>
  <c r="AU29" i="162"/>
  <c r="BE29" i="162"/>
  <c r="Z29" i="159"/>
  <c r="AA29" i="159" s="1"/>
  <c r="BW29" i="159"/>
  <c r="AB29" i="159"/>
  <c r="AC29" i="159" s="1"/>
  <c r="AG29" i="159" s="1"/>
  <c r="BQ29" i="160"/>
  <c r="CE29" i="160" s="1"/>
  <c r="BR29" i="160"/>
  <c r="CF29" i="160" s="1"/>
  <c r="U29" i="163"/>
  <c r="V29" i="163" s="1"/>
  <c r="U29" i="159"/>
  <c r="V29" i="159" s="1"/>
  <c r="AB29" i="163"/>
  <c r="AC29" i="163" s="1"/>
  <c r="AG29" i="163" s="1"/>
  <c r="Z29" i="163"/>
  <c r="AA29" i="163" s="1"/>
  <c r="BW29" i="163"/>
  <c r="J29" i="162"/>
  <c r="AD29" i="162"/>
  <c r="Y29" i="162"/>
  <c r="F27" i="158"/>
  <c r="G27" i="158" s="1"/>
  <c r="AE27" i="158"/>
  <c r="AF27" i="158" s="1"/>
  <c r="P29" i="159"/>
  <c r="Q29" i="159" s="1"/>
  <c r="BX29" i="159"/>
  <c r="R29" i="159"/>
  <c r="S29" i="159" s="1"/>
  <c r="W29" i="159" s="1"/>
  <c r="BR29" i="163"/>
  <c r="CF29" i="163" s="1"/>
  <c r="BQ29" i="163"/>
  <c r="CE29" i="163" s="1"/>
  <c r="AB27" i="158"/>
  <c r="AC27" i="158" s="1"/>
  <c r="AG27" i="158" s="1"/>
  <c r="BY29" i="159"/>
  <c r="H29" i="159"/>
  <c r="I29" i="159" s="1"/>
  <c r="M29" i="159" s="1"/>
  <c r="F29" i="159"/>
  <c r="BA29" i="163"/>
  <c r="BB29" i="163" s="1"/>
  <c r="AM29" i="160"/>
  <c r="K27" i="158"/>
  <c r="L27" i="158" s="1"/>
  <c r="AV29" i="163"/>
  <c r="AW29" i="163" s="1"/>
  <c r="CA29" i="163"/>
  <c r="AX29" i="163"/>
  <c r="AY29" i="163" s="1"/>
  <c r="BC29" i="163" s="1"/>
  <c r="AE29" i="159"/>
  <c r="AF29" i="159" s="1"/>
  <c r="BR29" i="159"/>
  <c r="CF29" i="159" s="1"/>
  <c r="BQ29" i="159"/>
  <c r="CE29" i="159" s="1"/>
  <c r="BP29" i="159"/>
  <c r="CD29" i="159" s="1"/>
  <c r="AE29" i="163"/>
  <c r="AF29" i="163" s="1"/>
  <c r="G29" i="160"/>
  <c r="U27" i="158"/>
  <c r="V27" i="158" s="1"/>
  <c r="H27" i="158"/>
  <c r="I27" i="158" s="1"/>
  <c r="M27" i="158" s="1"/>
  <c r="Z27" i="158"/>
  <c r="AA27" i="158" s="1"/>
  <c r="BW27" i="158"/>
  <c r="BY27" i="158"/>
  <c r="AU27" i="158"/>
  <c r="AX27" i="158" s="1"/>
  <c r="AZ27" i="158"/>
  <c r="BA27" i="158" s="1"/>
  <c r="BB27" i="158" s="1"/>
  <c r="AL27" i="158"/>
  <c r="AM27" i="158" s="1"/>
  <c r="AN27" i="158"/>
  <c r="BE27" i="158"/>
  <c r="BJ27" i="158"/>
  <c r="BK27" i="158" s="1"/>
  <c r="BL27" i="158" s="1"/>
  <c r="AP27" i="158"/>
  <c r="BZ27" i="158" s="1"/>
  <c r="O30" i="160" l="1"/>
  <c r="R30" i="160" s="1"/>
  <c r="P29" i="162"/>
  <c r="Q29" i="162" s="1"/>
  <c r="F18" i="79"/>
  <c r="CP29" i="160"/>
  <c r="CS29" i="160"/>
  <c r="CM29" i="160"/>
  <c r="CL29" i="160"/>
  <c r="CU29" i="160"/>
  <c r="CN29" i="160"/>
  <c r="CW29" i="160"/>
  <c r="CK29" i="160"/>
  <c r="CX29" i="160"/>
  <c r="CV29" i="160"/>
  <c r="CY29" i="160"/>
  <c r="CR29" i="160"/>
  <c r="CZ29" i="160"/>
  <c r="CQ29" i="160"/>
  <c r="S29" i="162"/>
  <c r="W29" i="162" s="1"/>
  <c r="CT29" i="160"/>
  <c r="CO29" i="160"/>
  <c r="BX29" i="162"/>
  <c r="F29" i="162"/>
  <c r="G29" i="162" s="1"/>
  <c r="T30" i="160"/>
  <c r="G16" i="79"/>
  <c r="AZ30" i="160"/>
  <c r="BA30" i="160" s="1"/>
  <c r="BB30" i="160" s="1"/>
  <c r="BU29" i="159"/>
  <c r="CI29" i="159" s="1"/>
  <c r="BT29" i="159"/>
  <c r="CH29" i="159" s="1"/>
  <c r="BS29" i="159"/>
  <c r="CG29" i="159" s="1"/>
  <c r="J18" i="79"/>
  <c r="AE29" i="162"/>
  <c r="AF29" i="162" s="1"/>
  <c r="CB29" i="162"/>
  <c r="BP29" i="162" s="1"/>
  <c r="CD29" i="162" s="1"/>
  <c r="BH29" i="162"/>
  <c r="BI29" i="162" s="1"/>
  <c r="BM29" i="162" s="1"/>
  <c r="BF29" i="162"/>
  <c r="BG29" i="162" s="1"/>
  <c r="Z29" i="162"/>
  <c r="AA29" i="162" s="1"/>
  <c r="AB29" i="162"/>
  <c r="AC29" i="162" s="1"/>
  <c r="AG29" i="162" s="1"/>
  <c r="BW29" i="162"/>
  <c r="BU29" i="162" s="1"/>
  <c r="CI29" i="162" s="1"/>
  <c r="K29" i="162"/>
  <c r="L29" i="162" s="1"/>
  <c r="AX29" i="162"/>
  <c r="AY29" i="162" s="1"/>
  <c r="BC29" i="162" s="1"/>
  <c r="CA29" i="162"/>
  <c r="AV29" i="162"/>
  <c r="AW29" i="162" s="1"/>
  <c r="BT29" i="163"/>
  <c r="CH29" i="163" s="1"/>
  <c r="BS29" i="163"/>
  <c r="CG29" i="163" s="1"/>
  <c r="BU29" i="163"/>
  <c r="CI29" i="163" s="1"/>
  <c r="AD30" i="160"/>
  <c r="BK29" i="162"/>
  <c r="BL29" i="162" s="1"/>
  <c r="E30" i="160"/>
  <c r="K16" i="79"/>
  <c r="I29" i="162"/>
  <c r="M29" i="162" s="1"/>
  <c r="AQ29" i="162"/>
  <c r="AR29" i="162" s="1"/>
  <c r="G29" i="163"/>
  <c r="AK30" i="163" s="1"/>
  <c r="U30" i="160"/>
  <c r="V30" i="160" s="1"/>
  <c r="AU30" i="160"/>
  <c r="BJ30" i="160"/>
  <c r="BE30" i="160"/>
  <c r="AK30" i="160"/>
  <c r="BY29" i="162"/>
  <c r="BA29" i="162"/>
  <c r="BB29" i="162" s="1"/>
  <c r="AL29" i="162"/>
  <c r="BZ29" i="162"/>
  <c r="AN29" i="162"/>
  <c r="AO29" i="162" s="1"/>
  <c r="AS29" i="162" s="1"/>
  <c r="J30" i="160"/>
  <c r="I16" i="79"/>
  <c r="AP30" i="160"/>
  <c r="G29" i="159"/>
  <c r="BE30" i="159" s="1"/>
  <c r="Y30" i="160"/>
  <c r="BS27" i="158"/>
  <c r="CG27" i="158" s="1"/>
  <c r="BT27" i="158"/>
  <c r="CH27" i="158" s="1"/>
  <c r="BU27" i="158"/>
  <c r="CI27" i="158" s="1"/>
  <c r="BP27" i="158"/>
  <c r="CD27" i="158" s="1"/>
  <c r="BQ27" i="158"/>
  <c r="CE27" i="158" s="1"/>
  <c r="BR27" i="158"/>
  <c r="CF27" i="158" s="1"/>
  <c r="AY27" i="158"/>
  <c r="BC27" i="158" s="1"/>
  <c r="AV27" i="158"/>
  <c r="AW27" i="158" s="1"/>
  <c r="CA27" i="158"/>
  <c r="CB27" i="158"/>
  <c r="BF27" i="158"/>
  <c r="BG27" i="158" s="1"/>
  <c r="BH27" i="158"/>
  <c r="BI27" i="158" s="1"/>
  <c r="BM27" i="158" s="1"/>
  <c r="AQ27" i="158"/>
  <c r="AR27" i="158" s="1"/>
  <c r="AO27" i="158"/>
  <c r="AS27" i="158" s="1"/>
  <c r="CZ29" i="163" l="1"/>
  <c r="CU29" i="159"/>
  <c r="P30" i="160"/>
  <c r="Q30" i="160" s="1"/>
  <c r="BX30" i="160"/>
  <c r="CN29" i="163"/>
  <c r="S30" i="160"/>
  <c r="W30" i="160" s="1"/>
  <c r="CQ29" i="159"/>
  <c r="CM29" i="163"/>
  <c r="CQ29" i="163"/>
  <c r="CT29" i="159"/>
  <c r="CK29" i="159"/>
  <c r="CR29" i="163"/>
  <c r="CM29" i="159"/>
  <c r="CX29" i="163"/>
  <c r="CV29" i="163"/>
  <c r="CR29" i="159"/>
  <c r="CO29" i="159"/>
  <c r="CZ27" i="158"/>
  <c r="AC16" i="79" s="1"/>
  <c r="CW27" i="158"/>
  <c r="Z16" i="79" s="1"/>
  <c r="CS27" i="158"/>
  <c r="V16" i="79" s="1"/>
  <c r="CX27" i="158"/>
  <c r="AA16" i="79" s="1"/>
  <c r="CR27" i="158"/>
  <c r="CT27" i="158"/>
  <c r="W16" i="79" s="1"/>
  <c r="CP27" i="158"/>
  <c r="CQ27" i="158"/>
  <c r="CY27" i="158"/>
  <c r="AB16" i="79" s="1"/>
  <c r="CU27" i="158"/>
  <c r="X16" i="79" s="1"/>
  <c r="CV27" i="158"/>
  <c r="Y16" i="79" s="1"/>
  <c r="CN27" i="158"/>
  <c r="Q16" i="79" s="1"/>
  <c r="CL27" i="158"/>
  <c r="O16" i="79" s="1"/>
  <c r="CK27" i="158"/>
  <c r="N16" i="79" s="1"/>
  <c r="CO27" i="158"/>
  <c r="CM27" i="158"/>
  <c r="P16" i="79" s="1"/>
  <c r="CY29" i="163"/>
  <c r="CP29" i="163"/>
  <c r="CX29" i="159"/>
  <c r="CN29" i="159"/>
  <c r="CW29" i="163"/>
  <c r="CO29" i="163"/>
  <c r="CY29" i="159"/>
  <c r="CL29" i="159"/>
  <c r="CT29" i="163"/>
  <c r="CK29" i="163"/>
  <c r="CZ29" i="159"/>
  <c r="CS29" i="159"/>
  <c r="CU29" i="163"/>
  <c r="CL29" i="163"/>
  <c r="CV29" i="159"/>
  <c r="CP29" i="159"/>
  <c r="CS29" i="163"/>
  <c r="CW29" i="159"/>
  <c r="L16" i="79"/>
  <c r="AU30" i="159"/>
  <c r="AX30" i="159" s="1"/>
  <c r="BJ30" i="159"/>
  <c r="CB30" i="159" s="1"/>
  <c r="AP30" i="159"/>
  <c r="AN30" i="163"/>
  <c r="AL30" i="163"/>
  <c r="AM30" i="163" s="1"/>
  <c r="AM29" i="162"/>
  <c r="AV30" i="160"/>
  <c r="AW30" i="160" s="1"/>
  <c r="AX30" i="160"/>
  <c r="AY30" i="160" s="1"/>
  <c r="BC30" i="160" s="1"/>
  <c r="CA30" i="160"/>
  <c r="J30" i="159"/>
  <c r="O30" i="159"/>
  <c r="E30" i="159"/>
  <c r="AD30" i="159"/>
  <c r="T30" i="159"/>
  <c r="Y30" i="159"/>
  <c r="AE30" i="160"/>
  <c r="AF30" i="160" s="1"/>
  <c r="BF30" i="159"/>
  <c r="BG30" i="159" s="1"/>
  <c r="BH30" i="159"/>
  <c r="BI30" i="159" s="1"/>
  <c r="BM30" i="159" s="1"/>
  <c r="AQ30" i="160"/>
  <c r="AR30" i="160" s="1"/>
  <c r="AP30" i="163"/>
  <c r="BK30" i="160"/>
  <c r="BL30" i="160" s="1"/>
  <c r="K30" i="160"/>
  <c r="L30" i="160" s="1"/>
  <c r="BT29" i="162"/>
  <c r="CH29" i="162" s="1"/>
  <c r="BS29" i="162"/>
  <c r="CG29" i="162" s="1"/>
  <c r="BY30" i="160"/>
  <c r="H30" i="160"/>
  <c r="I30" i="160" s="1"/>
  <c r="M30" i="160" s="1"/>
  <c r="F30" i="160"/>
  <c r="AU30" i="163"/>
  <c r="AZ30" i="163"/>
  <c r="Z30" i="160"/>
  <c r="AA30" i="160" s="1"/>
  <c r="AB30" i="160"/>
  <c r="AC30" i="160" s="1"/>
  <c r="AG30" i="160" s="1"/>
  <c r="BW30" i="160"/>
  <c r="BU30" i="160" s="1"/>
  <c r="CI30" i="160" s="1"/>
  <c r="AZ30" i="159"/>
  <c r="AK30" i="159"/>
  <c r="AL30" i="160"/>
  <c r="AN30" i="160"/>
  <c r="AO30" i="160" s="1"/>
  <c r="AS30" i="160" s="1"/>
  <c r="BZ30" i="160"/>
  <c r="BJ30" i="163"/>
  <c r="T30" i="163"/>
  <c r="AD30" i="163"/>
  <c r="E30" i="163"/>
  <c r="J30" i="163"/>
  <c r="Y30" i="163"/>
  <c r="O30" i="163"/>
  <c r="BR29" i="162"/>
  <c r="CF29" i="162" s="1"/>
  <c r="BQ29" i="162"/>
  <c r="CE29" i="162" s="1"/>
  <c r="AQ30" i="159"/>
  <c r="AR30" i="159" s="1"/>
  <c r="AS30" i="159"/>
  <c r="BF30" i="160"/>
  <c r="BG30" i="160" s="1"/>
  <c r="BH30" i="160"/>
  <c r="BI30" i="160" s="1"/>
  <c r="BM30" i="160" s="1"/>
  <c r="CB30" i="160"/>
  <c r="BP30" i="160" s="1"/>
  <c r="CD30" i="160" s="1"/>
  <c r="BE30" i="163"/>
  <c r="O28" i="158"/>
  <c r="H17" i="79" s="1"/>
  <c r="AP28" i="158"/>
  <c r="J28" i="158"/>
  <c r="BK30" i="159" l="1"/>
  <c r="BL30" i="159" s="1"/>
  <c r="CA30" i="159"/>
  <c r="CK29" i="162"/>
  <c r="AV30" i="159"/>
  <c r="AW30" i="159" s="1"/>
  <c r="CQ29" i="162"/>
  <c r="T18" i="79" s="1"/>
  <c r="CV29" i="162"/>
  <c r="CW29" i="162"/>
  <c r="CO29" i="162"/>
  <c r="R18" i="79" s="1"/>
  <c r="CX29" i="162"/>
  <c r="CM29" i="162"/>
  <c r="CY29" i="162"/>
  <c r="CL29" i="162"/>
  <c r="CU29" i="162"/>
  <c r="CR29" i="162"/>
  <c r="U18" i="79" s="1"/>
  <c r="CS29" i="162"/>
  <c r="CZ29" i="162"/>
  <c r="AO30" i="159"/>
  <c r="CT29" i="162"/>
  <c r="CP29" i="162"/>
  <c r="S18" i="79" s="1"/>
  <c r="CN29" i="162"/>
  <c r="BE30" i="162"/>
  <c r="BF30" i="162" s="1"/>
  <c r="BG30" i="162" s="1"/>
  <c r="AD30" i="162"/>
  <c r="BQ30" i="160"/>
  <c r="CE30" i="160" s="1"/>
  <c r="BR30" i="160"/>
  <c r="CF30" i="160" s="1"/>
  <c r="BS30" i="160"/>
  <c r="CG30" i="160" s="1"/>
  <c r="BT30" i="160"/>
  <c r="I30" i="163"/>
  <c r="M30" i="163"/>
  <c r="K30" i="163"/>
  <c r="L30" i="163" s="1"/>
  <c r="BA30" i="163"/>
  <c r="BB30" i="163" s="1"/>
  <c r="BZ30" i="163"/>
  <c r="AS30" i="163"/>
  <c r="AO30" i="163"/>
  <c r="AQ30" i="163"/>
  <c r="AR30" i="163" s="1"/>
  <c r="K28" i="158"/>
  <c r="L28" i="158" s="1"/>
  <c r="H30" i="163"/>
  <c r="F30" i="163"/>
  <c r="BY30" i="163"/>
  <c r="AM30" i="160"/>
  <c r="CA30" i="163"/>
  <c r="AX30" i="163"/>
  <c r="AY30" i="163" s="1"/>
  <c r="BC30" i="163" s="1"/>
  <c r="AV30" i="163"/>
  <c r="AW30" i="163" s="1"/>
  <c r="AN30" i="159"/>
  <c r="AL30" i="159"/>
  <c r="AM30" i="159" s="1"/>
  <c r="BZ30" i="159"/>
  <c r="Z30" i="159"/>
  <c r="AA30" i="159" s="1"/>
  <c r="AB30" i="159"/>
  <c r="AC30" i="159" s="1"/>
  <c r="AG30" i="159" s="1"/>
  <c r="BW30" i="159"/>
  <c r="BA30" i="159"/>
  <c r="BB30" i="159" s="1"/>
  <c r="AY30" i="159"/>
  <c r="BC30" i="159" s="1"/>
  <c r="U30" i="159"/>
  <c r="V30" i="159" s="1"/>
  <c r="M30" i="159"/>
  <c r="I30" i="159"/>
  <c r="K30" i="159"/>
  <c r="L30" i="159" s="1"/>
  <c r="AE30" i="163"/>
  <c r="AF30" i="163" s="1"/>
  <c r="U30" i="163"/>
  <c r="V30" i="163" s="1"/>
  <c r="AK30" i="162"/>
  <c r="AU30" i="162"/>
  <c r="AZ30" i="162"/>
  <c r="AP30" i="162"/>
  <c r="BJ30" i="162"/>
  <c r="AE30" i="159"/>
  <c r="AF30" i="159" s="1"/>
  <c r="E30" i="162"/>
  <c r="AB30" i="163"/>
  <c r="AC30" i="163" s="1"/>
  <c r="AG30" i="163" s="1"/>
  <c r="BW30" i="163"/>
  <c r="Z30" i="163"/>
  <c r="AA30" i="163" s="1"/>
  <c r="CB30" i="163"/>
  <c r="BF30" i="163"/>
  <c r="BG30" i="163" s="1"/>
  <c r="BH30" i="163"/>
  <c r="Y30" i="162"/>
  <c r="F19" i="79" s="1"/>
  <c r="BI30" i="163"/>
  <c r="BM30" i="163" s="1"/>
  <c r="BK30" i="163"/>
  <c r="BL30" i="163" s="1"/>
  <c r="G30" i="160"/>
  <c r="H30" i="159"/>
  <c r="BY30" i="159"/>
  <c r="F30" i="159"/>
  <c r="O30" i="162"/>
  <c r="AE30" i="162"/>
  <c r="AF30" i="162" s="1"/>
  <c r="BX30" i="163"/>
  <c r="P30" i="163"/>
  <c r="Q30" i="163" s="1"/>
  <c r="R30" i="163"/>
  <c r="S30" i="163" s="1"/>
  <c r="W30" i="163" s="1"/>
  <c r="J30" i="162"/>
  <c r="P30" i="159"/>
  <c r="Q30" i="159" s="1"/>
  <c r="R30" i="159"/>
  <c r="S30" i="159" s="1"/>
  <c r="W30" i="159" s="1"/>
  <c r="BX30" i="159"/>
  <c r="T30" i="162"/>
  <c r="R28" i="158"/>
  <c r="P28" i="158"/>
  <c r="Q28" i="158" s="1"/>
  <c r="Y28" i="158"/>
  <c r="T28" i="158"/>
  <c r="U28" i="158" s="1"/>
  <c r="V28" i="158" s="1"/>
  <c r="E28" i="158"/>
  <c r="AD28" i="158"/>
  <c r="AU28" i="158"/>
  <c r="AV28" i="158" s="1"/>
  <c r="AW28" i="158" s="1"/>
  <c r="AQ28" i="158"/>
  <c r="AR28" i="158" s="1"/>
  <c r="AZ28" i="158"/>
  <c r="BJ28" i="158"/>
  <c r="BE28" i="158"/>
  <c r="AK28" i="158"/>
  <c r="AU31" i="160" l="1"/>
  <c r="AV31" i="160" s="1"/>
  <c r="AW31" i="160" s="1"/>
  <c r="J31" i="160"/>
  <c r="CH30" i="160"/>
  <c r="CK30" i="160" s="1"/>
  <c r="G17" i="79"/>
  <c r="E17" i="79"/>
  <c r="T31" i="160"/>
  <c r="U31" i="160" s="1"/>
  <c r="V31" i="160" s="1"/>
  <c r="AD31" i="160"/>
  <c r="AE31" i="160" s="1"/>
  <c r="AF31" i="160" s="1"/>
  <c r="BH30" i="162"/>
  <c r="BI30" i="162" s="1"/>
  <c r="BM30" i="162" s="1"/>
  <c r="AZ31" i="160"/>
  <c r="I17" i="79"/>
  <c r="K31" i="160"/>
  <c r="L31" i="160" s="1"/>
  <c r="AQ30" i="162"/>
  <c r="AR30" i="162" s="1"/>
  <c r="Z30" i="162"/>
  <c r="AA30" i="162" s="1"/>
  <c r="BW30" i="162"/>
  <c r="BU30" i="162" s="1"/>
  <c r="CI30" i="162" s="1"/>
  <c r="AB30" i="162"/>
  <c r="AC30" i="162" s="1"/>
  <c r="AG30" i="162" s="1"/>
  <c r="BY30" i="162"/>
  <c r="H30" i="162"/>
  <c r="I30" i="162" s="1"/>
  <c r="M30" i="162" s="1"/>
  <c r="F30" i="162"/>
  <c r="BA30" i="162"/>
  <c r="BB30" i="162" s="1"/>
  <c r="BQ30" i="159"/>
  <c r="CE30" i="159" s="1"/>
  <c r="BR30" i="159"/>
  <c r="CF30" i="159" s="1"/>
  <c r="BP30" i="159"/>
  <c r="CD30" i="159" s="1"/>
  <c r="O31" i="160"/>
  <c r="BS30" i="159"/>
  <c r="CG30" i="159" s="1"/>
  <c r="BT30" i="159"/>
  <c r="CH30" i="159" s="1"/>
  <c r="BU30" i="159"/>
  <c r="CI30" i="159" s="1"/>
  <c r="AX30" i="162"/>
  <c r="AY30" i="162" s="1"/>
  <c r="BC30" i="162" s="1"/>
  <c r="AV30" i="162"/>
  <c r="AW30" i="162" s="1"/>
  <c r="CA30" i="162"/>
  <c r="R30" i="162"/>
  <c r="S30" i="162" s="1"/>
  <c r="W30" i="162" s="1"/>
  <c r="P30" i="162"/>
  <c r="Q30" i="162" s="1"/>
  <c r="BX30" i="162"/>
  <c r="AE28" i="158"/>
  <c r="AF28" i="158" s="1"/>
  <c r="K17" i="79"/>
  <c r="AN30" i="162"/>
  <c r="AO30" i="162" s="1"/>
  <c r="AS30" i="162" s="1"/>
  <c r="AL30" i="162"/>
  <c r="BZ30" i="162"/>
  <c r="BK30" i="162"/>
  <c r="BL30" i="162" s="1"/>
  <c r="G30" i="159"/>
  <c r="BT30" i="163"/>
  <c r="CH30" i="163" s="1"/>
  <c r="BU30" i="163"/>
  <c r="CI30" i="163" s="1"/>
  <c r="BS30" i="163"/>
  <c r="CG30" i="163" s="1"/>
  <c r="CB30" i="162"/>
  <c r="BP30" i="162" s="1"/>
  <c r="CD30" i="162" s="1"/>
  <c r="K30" i="162"/>
  <c r="L30" i="162" s="1"/>
  <c r="AK31" i="160"/>
  <c r="BE31" i="160"/>
  <c r="AP31" i="160"/>
  <c r="E31" i="160"/>
  <c r="G30" i="163"/>
  <c r="BJ31" i="160"/>
  <c r="U30" i="162"/>
  <c r="V30" i="162" s="1"/>
  <c r="Z28" i="158"/>
  <c r="AA28" i="158" s="1"/>
  <c r="J19" i="79"/>
  <c r="Y31" i="160"/>
  <c r="BQ30" i="163"/>
  <c r="CE30" i="163" s="1"/>
  <c r="BP30" i="163"/>
  <c r="CD30" i="163" s="1"/>
  <c r="BR30" i="163"/>
  <c r="CF30" i="163" s="1"/>
  <c r="AB28" i="158"/>
  <c r="AC28" i="158" s="1"/>
  <c r="AG28" i="158" s="1"/>
  <c r="H28" i="158"/>
  <c r="I28" i="158" s="1"/>
  <c r="M28" i="158" s="1"/>
  <c r="F28" i="158"/>
  <c r="G28" i="158" s="1"/>
  <c r="BW28" i="158"/>
  <c r="S28" i="158"/>
  <c r="W28" i="158" s="1"/>
  <c r="BY28" i="158"/>
  <c r="BX28" i="158"/>
  <c r="AX28" i="158"/>
  <c r="AY28" i="158" s="1"/>
  <c r="BC28" i="158" s="1"/>
  <c r="BK28" i="158"/>
  <c r="BL28" i="158" s="1"/>
  <c r="BA28" i="158"/>
  <c r="BB28" i="158" s="1"/>
  <c r="BH28" i="158"/>
  <c r="BI28" i="158" s="1"/>
  <c r="BM28" i="158" s="1"/>
  <c r="CB28" i="158"/>
  <c r="BF28" i="158"/>
  <c r="BG28" i="158" s="1"/>
  <c r="CA28" i="158"/>
  <c r="AN28" i="158"/>
  <c r="AO28" i="158" s="1"/>
  <c r="AS28" i="158" s="1"/>
  <c r="AL28" i="158"/>
  <c r="BZ28" i="158"/>
  <c r="CX30" i="160" l="1"/>
  <c r="AX31" i="160"/>
  <c r="CA31" i="160"/>
  <c r="CM30" i="160"/>
  <c r="BA31" i="160"/>
  <c r="BB31" i="160" s="1"/>
  <c r="CW30" i="160"/>
  <c r="CO30" i="160"/>
  <c r="CQ30" i="160"/>
  <c r="CY30" i="160"/>
  <c r="CR30" i="160"/>
  <c r="CP30" i="160"/>
  <c r="CV30" i="160"/>
  <c r="CO30" i="159"/>
  <c r="CP30" i="159"/>
  <c r="CS30" i="159"/>
  <c r="CK30" i="159"/>
  <c r="CR30" i="159"/>
  <c r="CM30" i="159"/>
  <c r="CQ30" i="159"/>
  <c r="CL30" i="159"/>
  <c r="CW30" i="159"/>
  <c r="CV30" i="159"/>
  <c r="CU30" i="159"/>
  <c r="CT30" i="159"/>
  <c r="CX30" i="159"/>
  <c r="CZ30" i="159"/>
  <c r="CY30" i="159"/>
  <c r="CN30" i="159"/>
  <c r="CZ30" i="160"/>
  <c r="CN30" i="160"/>
  <c r="CL30" i="160"/>
  <c r="CT30" i="160"/>
  <c r="CU30" i="160"/>
  <c r="CS30" i="160"/>
  <c r="CM30" i="163"/>
  <c r="CO30" i="163"/>
  <c r="CV30" i="163"/>
  <c r="CQ30" i="163"/>
  <c r="CR30" i="163"/>
  <c r="CK30" i="163"/>
  <c r="CL30" i="163"/>
  <c r="CN30" i="163"/>
  <c r="CP30" i="163"/>
  <c r="CS30" i="163"/>
  <c r="CT30" i="163"/>
  <c r="CU30" i="163"/>
  <c r="CZ30" i="163"/>
  <c r="CX30" i="163"/>
  <c r="CY30" i="163"/>
  <c r="CW30" i="163"/>
  <c r="L17" i="79"/>
  <c r="Y31" i="159"/>
  <c r="Z31" i="159" s="1"/>
  <c r="AA31" i="159" s="1"/>
  <c r="AK31" i="163"/>
  <c r="AL31" i="163" s="1"/>
  <c r="AM31" i="163" s="1"/>
  <c r="AY31" i="160"/>
  <c r="BC31" i="160" s="1"/>
  <c r="AZ31" i="159"/>
  <c r="BA31" i="159" s="1"/>
  <c r="BB31" i="159" s="1"/>
  <c r="AU31" i="159"/>
  <c r="AX31" i="159" s="1"/>
  <c r="BJ31" i="159"/>
  <c r="BK31" i="159" s="1"/>
  <c r="BL31" i="159" s="1"/>
  <c r="T31" i="159"/>
  <c r="U31" i="159" s="1"/>
  <c r="V31" i="159" s="1"/>
  <c r="BF31" i="160"/>
  <c r="BG31" i="160" s="1"/>
  <c r="CB31" i="160"/>
  <c r="BP31" i="160" s="1"/>
  <c r="CD31" i="160" s="1"/>
  <c r="BH31" i="160"/>
  <c r="BI31" i="160" s="1"/>
  <c r="BM31" i="160" s="1"/>
  <c r="AN31" i="160"/>
  <c r="AO31" i="160" s="1"/>
  <c r="AS31" i="160" s="1"/>
  <c r="AL31" i="160"/>
  <c r="BZ31" i="160"/>
  <c r="AP31" i="159"/>
  <c r="BK31" i="160"/>
  <c r="BL31" i="160" s="1"/>
  <c r="BR30" i="162"/>
  <c r="CF30" i="162" s="1"/>
  <c r="BQ30" i="162"/>
  <c r="CE30" i="162" s="1"/>
  <c r="O31" i="159"/>
  <c r="AD31" i="159"/>
  <c r="J31" i="159"/>
  <c r="E31" i="159"/>
  <c r="G30" i="162"/>
  <c r="BW31" i="160"/>
  <c r="BU31" i="160" s="1"/>
  <c r="CI31" i="160" s="1"/>
  <c r="Z31" i="160"/>
  <c r="AA31" i="160" s="1"/>
  <c r="AB31" i="160"/>
  <c r="AC31" i="160" s="1"/>
  <c r="AG31" i="160" s="1"/>
  <c r="AM30" i="162"/>
  <c r="BX31" i="160"/>
  <c r="R31" i="160"/>
  <c r="S31" i="160" s="1"/>
  <c r="W31" i="160" s="1"/>
  <c r="P31" i="160"/>
  <c r="Q31" i="160" s="1"/>
  <c r="BJ31" i="163"/>
  <c r="AU31" i="163"/>
  <c r="AZ31" i="163"/>
  <c r="AP31" i="163"/>
  <c r="BE31" i="163"/>
  <c r="BE31" i="159"/>
  <c r="BS30" i="162"/>
  <c r="CG30" i="162" s="1"/>
  <c r="BT30" i="162"/>
  <c r="CH30" i="162" s="1"/>
  <c r="Y31" i="163"/>
  <c r="AD31" i="163"/>
  <c r="T31" i="163"/>
  <c r="E31" i="163"/>
  <c r="J31" i="163"/>
  <c r="O31" i="163"/>
  <c r="F31" i="160"/>
  <c r="BY31" i="160"/>
  <c r="H31" i="160"/>
  <c r="I31" i="160" s="1"/>
  <c r="M31" i="160" s="1"/>
  <c r="AQ31" i="160"/>
  <c r="AR31" i="160" s="1"/>
  <c r="AK31" i="159"/>
  <c r="BS28" i="158"/>
  <c r="CG28" i="158" s="1"/>
  <c r="BT28" i="158"/>
  <c r="CH28" i="158" s="1"/>
  <c r="BU28" i="158"/>
  <c r="CI28" i="158" s="1"/>
  <c r="BR28" i="158"/>
  <c r="CF28" i="158" s="1"/>
  <c r="BP28" i="158"/>
  <c r="CD28" i="158" s="1"/>
  <c r="BQ28" i="158"/>
  <c r="CE28" i="158" s="1"/>
  <c r="AM28" i="158"/>
  <c r="CZ30" i="162" l="1"/>
  <c r="CX30" i="162"/>
  <c r="CB31" i="159"/>
  <c r="AN31" i="163"/>
  <c r="CN30" i="162"/>
  <c r="AB31" i="159"/>
  <c r="CT30" i="162"/>
  <c r="CM30" i="162"/>
  <c r="CS30" i="162"/>
  <c r="CK30" i="162"/>
  <c r="CU30" i="162"/>
  <c r="CV30" i="162"/>
  <c r="AY31" i="159"/>
  <c r="BC31" i="159" s="1"/>
  <c r="CQ30" i="162"/>
  <c r="T19" i="79" s="1"/>
  <c r="CR30" i="162"/>
  <c r="U19" i="79" s="1"/>
  <c r="CO30" i="162"/>
  <c r="R19" i="79" s="1"/>
  <c r="CL30" i="162"/>
  <c r="CW28" i="158"/>
  <c r="Z17" i="79" s="1"/>
  <c r="CZ28" i="158"/>
  <c r="AC17" i="79" s="1"/>
  <c r="CV28" i="158"/>
  <c r="Y17" i="79" s="1"/>
  <c r="CS28" i="158"/>
  <c r="V17" i="79" s="1"/>
  <c r="CP28" i="158"/>
  <c r="CX28" i="158"/>
  <c r="AA17" i="79" s="1"/>
  <c r="CQ28" i="158"/>
  <c r="CY28" i="158"/>
  <c r="AB17" i="79" s="1"/>
  <c r="CR28" i="158"/>
  <c r="CU28" i="158"/>
  <c r="X17" i="79" s="1"/>
  <c r="CL28" i="158"/>
  <c r="O17" i="79" s="1"/>
  <c r="CM28" i="158"/>
  <c r="P17" i="79" s="1"/>
  <c r="CN28" i="158"/>
  <c r="Q17" i="79" s="1"/>
  <c r="CT28" i="158"/>
  <c r="W17" i="79" s="1"/>
  <c r="CK28" i="158"/>
  <c r="N17" i="79" s="1"/>
  <c r="CO28" i="158"/>
  <c r="CY30" i="162"/>
  <c r="CP30" i="162"/>
  <c r="S19" i="79" s="1"/>
  <c r="CW30" i="162"/>
  <c r="AV31" i="159"/>
  <c r="AW31" i="159" s="1"/>
  <c r="AP31" i="162"/>
  <c r="AQ31" i="162" s="1"/>
  <c r="AR31" i="162" s="1"/>
  <c r="CA31" i="159"/>
  <c r="O31" i="162"/>
  <c r="R31" i="162" s="1"/>
  <c r="AU31" i="162"/>
  <c r="AV31" i="162" s="1"/>
  <c r="AW31" i="162" s="1"/>
  <c r="BJ31" i="162"/>
  <c r="BK31" i="162" s="1"/>
  <c r="BL31" i="162" s="1"/>
  <c r="AD31" i="162"/>
  <c r="AZ31" i="162"/>
  <c r="BA31" i="162" s="1"/>
  <c r="BB31" i="162" s="1"/>
  <c r="BE31" i="162"/>
  <c r="BF31" i="162" s="1"/>
  <c r="BG31" i="162" s="1"/>
  <c r="U31" i="163"/>
  <c r="V31" i="163" s="1"/>
  <c r="BF31" i="159"/>
  <c r="BG31" i="159" s="1"/>
  <c r="BH31" i="159"/>
  <c r="BI31" i="159" s="1"/>
  <c r="BM31" i="159" s="1"/>
  <c r="BW31" i="159"/>
  <c r="AC31" i="159"/>
  <c r="AG31" i="159" s="1"/>
  <c r="AE31" i="159"/>
  <c r="AF31" i="159" s="1"/>
  <c r="F31" i="163"/>
  <c r="BY31" i="163"/>
  <c r="H31" i="163"/>
  <c r="BX31" i="159"/>
  <c r="R31" i="159"/>
  <c r="S31" i="159" s="1"/>
  <c r="W31" i="159" s="1"/>
  <c r="P31" i="159"/>
  <c r="Q31" i="159" s="1"/>
  <c r="AQ31" i="159"/>
  <c r="AR31" i="159" s="1"/>
  <c r="AS31" i="159"/>
  <c r="AO31" i="159"/>
  <c r="AL31" i="159"/>
  <c r="AM31" i="159" s="1"/>
  <c r="AN31" i="159"/>
  <c r="BZ31" i="159"/>
  <c r="BS31" i="160"/>
  <c r="CG31" i="160" s="1"/>
  <c r="BT31" i="160"/>
  <c r="CH31" i="160" s="1"/>
  <c r="AB31" i="163"/>
  <c r="AC31" i="163" s="1"/>
  <c r="AG31" i="163" s="1"/>
  <c r="BW31" i="163"/>
  <c r="Z31" i="163"/>
  <c r="AA31" i="163" s="1"/>
  <c r="AQ31" i="163"/>
  <c r="AR31" i="163" s="1"/>
  <c r="AS31" i="163"/>
  <c r="AO31" i="163"/>
  <c r="K31" i="159"/>
  <c r="L31" i="159" s="1"/>
  <c r="I31" i="159"/>
  <c r="M31" i="159"/>
  <c r="G31" i="160"/>
  <c r="BA31" i="163"/>
  <c r="BB31" i="163" s="1"/>
  <c r="BQ31" i="160"/>
  <c r="CE31" i="160" s="1"/>
  <c r="BR31" i="160"/>
  <c r="CF31" i="160" s="1"/>
  <c r="BZ31" i="163"/>
  <c r="AE31" i="163"/>
  <c r="AF31" i="163" s="1"/>
  <c r="AV31" i="163"/>
  <c r="AW31" i="163" s="1"/>
  <c r="CA31" i="163"/>
  <c r="AX31" i="163"/>
  <c r="AY31" i="163" s="1"/>
  <c r="BC31" i="163" s="1"/>
  <c r="Y31" i="162"/>
  <c r="T31" i="162"/>
  <c r="J31" i="162"/>
  <c r="AM31" i="160"/>
  <c r="BH31" i="163"/>
  <c r="BI31" i="163" s="1"/>
  <c r="BM31" i="163" s="1"/>
  <c r="CB31" i="163"/>
  <c r="BF31" i="163"/>
  <c r="BG31" i="163" s="1"/>
  <c r="P31" i="163"/>
  <c r="Q31" i="163" s="1"/>
  <c r="BX31" i="163"/>
  <c r="R31" i="163"/>
  <c r="S31" i="163" s="1"/>
  <c r="W31" i="163" s="1"/>
  <c r="BK31" i="163"/>
  <c r="BL31" i="163" s="1"/>
  <c r="AK31" i="162"/>
  <c r="J29" i="158"/>
  <c r="K29" i="158" s="1"/>
  <c r="L29" i="158" s="1"/>
  <c r="M31" i="163"/>
  <c r="I31" i="163"/>
  <c r="K31" i="163"/>
  <c r="L31" i="163" s="1"/>
  <c r="F31" i="159"/>
  <c r="H31" i="159"/>
  <c r="BY31" i="159"/>
  <c r="E31" i="162"/>
  <c r="T29" i="158"/>
  <c r="U29" i="158" s="1"/>
  <c r="V29" i="158" s="1"/>
  <c r="Y29" i="158"/>
  <c r="O29" i="158"/>
  <c r="H18" i="79" s="1"/>
  <c r="E29" i="158"/>
  <c r="AP29" i="158"/>
  <c r="AU29" i="158"/>
  <c r="AK29" i="158"/>
  <c r="BE29" i="158"/>
  <c r="BJ29" i="158"/>
  <c r="AZ29" i="158"/>
  <c r="AD29" i="158"/>
  <c r="F20" i="79" l="1"/>
  <c r="BX31" i="162"/>
  <c r="CL31" i="160"/>
  <c r="J20" i="79"/>
  <c r="CT31" i="160"/>
  <c r="CV31" i="160"/>
  <c r="CS31" i="160"/>
  <c r="CQ31" i="160"/>
  <c r="CU31" i="160"/>
  <c r="CM31" i="160"/>
  <c r="CP31" i="160"/>
  <c r="CO31" i="160"/>
  <c r="CX31" i="160"/>
  <c r="CN31" i="160"/>
  <c r="CW31" i="160"/>
  <c r="CR31" i="160"/>
  <c r="CY31" i="160"/>
  <c r="CK31" i="160"/>
  <c r="CZ31" i="160"/>
  <c r="CA31" i="162"/>
  <c r="BH31" i="162"/>
  <c r="BI31" i="162" s="1"/>
  <c r="BM31" i="162" s="1"/>
  <c r="J32" i="160"/>
  <c r="K32" i="160" s="1"/>
  <c r="L32" i="160" s="1"/>
  <c r="E18" i="79"/>
  <c r="AX31" i="162"/>
  <c r="AY31" i="162" s="1"/>
  <c r="BC31" i="162" s="1"/>
  <c r="P31" i="162"/>
  <c r="Q31" i="162" s="1"/>
  <c r="AE31" i="162"/>
  <c r="AF31" i="162" s="1"/>
  <c r="G18" i="79"/>
  <c r="BE32" i="160"/>
  <c r="BF32" i="160" s="1"/>
  <c r="BG32" i="160" s="1"/>
  <c r="CB31" i="162"/>
  <c r="BP31" i="162" s="1"/>
  <c r="CD31" i="162" s="1"/>
  <c r="AK32" i="160"/>
  <c r="AN32" i="160" s="1"/>
  <c r="T32" i="160"/>
  <c r="U32" i="160" s="1"/>
  <c r="V32" i="160" s="1"/>
  <c r="AP32" i="160"/>
  <c r="AQ32" i="160" s="1"/>
  <c r="AR32" i="160" s="1"/>
  <c r="AU32" i="160"/>
  <c r="AX32" i="160" s="1"/>
  <c r="K18" i="79"/>
  <c r="E32" i="160"/>
  <c r="Y32" i="160"/>
  <c r="O32" i="160"/>
  <c r="G31" i="159"/>
  <c r="K31" i="162"/>
  <c r="L31" i="162" s="1"/>
  <c r="S31" i="162"/>
  <c r="W31" i="162" s="1"/>
  <c r="BU31" i="159"/>
  <c r="CI31" i="159" s="1"/>
  <c r="BT31" i="159"/>
  <c r="CH31" i="159" s="1"/>
  <c r="BS31" i="159"/>
  <c r="CG31" i="159" s="1"/>
  <c r="BP31" i="163"/>
  <c r="CD31" i="163" s="1"/>
  <c r="BR31" i="163"/>
  <c r="CF31" i="163" s="1"/>
  <c r="BQ31" i="163"/>
  <c r="CE31" i="163" s="1"/>
  <c r="I18" i="79"/>
  <c r="U31" i="162"/>
  <c r="V31" i="162" s="1"/>
  <c r="BR31" i="159"/>
  <c r="CF31" i="159" s="1"/>
  <c r="BQ31" i="159"/>
  <c r="CE31" i="159" s="1"/>
  <c r="BP31" i="159"/>
  <c r="CD31" i="159" s="1"/>
  <c r="BS31" i="163"/>
  <c r="CG31" i="163" s="1"/>
  <c r="BU31" i="163"/>
  <c r="CI31" i="163" s="1"/>
  <c r="BT31" i="163"/>
  <c r="CH31" i="163" s="1"/>
  <c r="AN31" i="162"/>
  <c r="AO31" i="162" s="1"/>
  <c r="AS31" i="162" s="1"/>
  <c r="BZ31" i="162"/>
  <c r="AL31" i="162"/>
  <c r="Z31" i="162"/>
  <c r="AA31" i="162" s="1"/>
  <c r="AB31" i="162"/>
  <c r="AC31" i="162" s="1"/>
  <c r="AG31" i="162" s="1"/>
  <c r="BW31" i="162"/>
  <c r="BU31" i="162" s="1"/>
  <c r="CI31" i="162" s="1"/>
  <c r="G31" i="163"/>
  <c r="AB29" i="158"/>
  <c r="AC29" i="158" s="1"/>
  <c r="AG29" i="158" s="1"/>
  <c r="BY31" i="162"/>
  <c r="H31" i="162"/>
  <c r="I31" i="162" s="1"/>
  <c r="M31" i="162" s="1"/>
  <c r="F31" i="162"/>
  <c r="AD32" i="160"/>
  <c r="AZ32" i="160"/>
  <c r="BJ32" i="160"/>
  <c r="BX29" i="158"/>
  <c r="Z29" i="158"/>
  <c r="AA29" i="158" s="1"/>
  <c r="R29" i="158"/>
  <c r="S29" i="158" s="1"/>
  <c r="W29" i="158" s="1"/>
  <c r="P29" i="158"/>
  <c r="Q29" i="158" s="1"/>
  <c r="AV29" i="158"/>
  <c r="AW29" i="158" s="1"/>
  <c r="AX29" i="158"/>
  <c r="AY29" i="158" s="1"/>
  <c r="BC29" i="158" s="1"/>
  <c r="CA29" i="158"/>
  <c r="AQ29" i="158"/>
  <c r="AR29" i="158" s="1"/>
  <c r="AE29" i="158"/>
  <c r="AF29" i="158" s="1"/>
  <c r="BA29" i="158"/>
  <c r="BB29" i="158" s="1"/>
  <c r="BY29" i="158"/>
  <c r="F29" i="158"/>
  <c r="G29" i="158" s="1"/>
  <c r="H29" i="158"/>
  <c r="I29" i="158" s="1"/>
  <c r="M29" i="158" s="1"/>
  <c r="AN29" i="158"/>
  <c r="AO29" i="158" s="1"/>
  <c r="AS29" i="158" s="1"/>
  <c r="BZ29" i="158"/>
  <c r="AL29" i="158"/>
  <c r="BK29" i="158"/>
  <c r="BL29" i="158" s="1"/>
  <c r="BH29" i="158"/>
  <c r="BI29" i="158" s="1"/>
  <c r="BM29" i="158" s="1"/>
  <c r="BF29" i="158"/>
  <c r="BG29" i="158" s="1"/>
  <c r="CB29" i="158"/>
  <c r="BW29" i="158"/>
  <c r="CB32" i="160" l="1"/>
  <c r="BP32" i="160" s="1"/>
  <c r="CD32" i="160" s="1"/>
  <c r="BH32" i="160"/>
  <c r="BI32" i="160" s="1"/>
  <c r="BM32" i="160" s="1"/>
  <c r="CV31" i="163"/>
  <c r="CN31" i="163"/>
  <c r="CQ31" i="163"/>
  <c r="CK31" i="163"/>
  <c r="CO31" i="163"/>
  <c r="CM31" i="163"/>
  <c r="CL31" i="163"/>
  <c r="CR31" i="163"/>
  <c r="CP31" i="163"/>
  <c r="CU31" i="163"/>
  <c r="CT31" i="163"/>
  <c r="CZ31" i="163"/>
  <c r="CS31" i="163"/>
  <c r="CW31" i="163"/>
  <c r="CY31" i="163"/>
  <c r="CX31" i="163"/>
  <c r="CR31" i="159"/>
  <c r="CM31" i="159"/>
  <c r="CN31" i="159"/>
  <c r="CP31" i="159"/>
  <c r="CL31" i="159"/>
  <c r="CQ31" i="159"/>
  <c r="CK31" i="159"/>
  <c r="CO31" i="159"/>
  <c r="CS31" i="159"/>
  <c r="CV31" i="159"/>
  <c r="CU31" i="159"/>
  <c r="CW31" i="159"/>
  <c r="CT31" i="159"/>
  <c r="CZ31" i="159"/>
  <c r="CY31" i="159"/>
  <c r="CX31" i="159"/>
  <c r="L18" i="79"/>
  <c r="AD32" i="159"/>
  <c r="AE32" i="159" s="1"/>
  <c r="AF32" i="159" s="1"/>
  <c r="AL32" i="160"/>
  <c r="AM32" i="160" s="1"/>
  <c r="AP32" i="159"/>
  <c r="AS32" i="159" s="1"/>
  <c r="AO32" i="160"/>
  <c r="AS32" i="160" s="1"/>
  <c r="BZ32" i="160"/>
  <c r="BR32" i="160" s="1"/>
  <c r="CF32" i="160" s="1"/>
  <c r="CA32" i="160"/>
  <c r="AV32" i="160"/>
  <c r="AW32" i="160" s="1"/>
  <c r="AK32" i="163"/>
  <c r="AN32" i="163" s="1"/>
  <c r="J32" i="163"/>
  <c r="Y32" i="163"/>
  <c r="AD32" i="163"/>
  <c r="AY32" i="160"/>
  <c r="BC32" i="160" s="1"/>
  <c r="BT31" i="162"/>
  <c r="CH31" i="162" s="1"/>
  <c r="BS31" i="162"/>
  <c r="CG31" i="162" s="1"/>
  <c r="AU32" i="159"/>
  <c r="Y32" i="159"/>
  <c r="E32" i="159"/>
  <c r="J32" i="159"/>
  <c r="O32" i="159"/>
  <c r="AZ32" i="159"/>
  <c r="G31" i="162"/>
  <c r="AM31" i="162"/>
  <c r="BJ32" i="159"/>
  <c r="BK32" i="159" s="1"/>
  <c r="BL32" i="159" s="1"/>
  <c r="T32" i="159"/>
  <c r="U32" i="159" s="1"/>
  <c r="V32" i="159" s="1"/>
  <c r="H32" i="160"/>
  <c r="I32" i="160" s="1"/>
  <c r="M32" i="160" s="1"/>
  <c r="F32" i="160"/>
  <c r="BY32" i="160"/>
  <c r="BK32" i="160"/>
  <c r="BL32" i="160" s="1"/>
  <c r="T32" i="163"/>
  <c r="BQ31" i="162"/>
  <c r="CE31" i="162" s="1"/>
  <c r="BR31" i="162"/>
  <c r="CF31" i="162" s="1"/>
  <c r="E32" i="163"/>
  <c r="BA32" i="160"/>
  <c r="BB32" i="160" s="1"/>
  <c r="BE32" i="163"/>
  <c r="BJ32" i="163"/>
  <c r="AU32" i="163"/>
  <c r="AZ32" i="163"/>
  <c r="AP32" i="163"/>
  <c r="BE32" i="159"/>
  <c r="R32" i="160"/>
  <c r="S32" i="160" s="1"/>
  <c r="W32" i="160" s="1"/>
  <c r="BX32" i="160"/>
  <c r="P32" i="160"/>
  <c r="Q32" i="160" s="1"/>
  <c r="AE32" i="160"/>
  <c r="AF32" i="160" s="1"/>
  <c r="O32" i="163"/>
  <c r="AK32" i="159"/>
  <c r="BW32" i="160"/>
  <c r="BU32" i="160" s="1"/>
  <c r="CI32" i="160" s="1"/>
  <c r="AB32" i="160"/>
  <c r="AC32" i="160" s="1"/>
  <c r="AG32" i="160" s="1"/>
  <c r="Z32" i="160"/>
  <c r="AA32" i="160" s="1"/>
  <c r="BU29" i="158"/>
  <c r="CI29" i="158" s="1"/>
  <c r="BS29" i="158"/>
  <c r="CG29" i="158" s="1"/>
  <c r="BT29" i="158"/>
  <c r="CH29" i="158" s="1"/>
  <c r="BQ29" i="158"/>
  <c r="CE29" i="158" s="1"/>
  <c r="BR29" i="158"/>
  <c r="CF29" i="158" s="1"/>
  <c r="BP29" i="158"/>
  <c r="CD29" i="158" s="1"/>
  <c r="AM29" i="158"/>
  <c r="O32" i="162" l="1"/>
  <c r="R32" i="162" s="1"/>
  <c r="CK31" i="162"/>
  <c r="CY31" i="162"/>
  <c r="CM31" i="162"/>
  <c r="CU31" i="162"/>
  <c r="CQ31" i="162"/>
  <c r="T20" i="79" s="1"/>
  <c r="CT31" i="162"/>
  <c r="CL31" i="162"/>
  <c r="CZ29" i="158"/>
  <c r="AC18" i="79" s="1"/>
  <c r="CW29" i="158"/>
  <c r="Z18" i="79" s="1"/>
  <c r="CX29" i="158"/>
  <c r="AA18" i="79" s="1"/>
  <c r="CY29" i="158"/>
  <c r="AB18" i="79" s="1"/>
  <c r="CS29" i="158"/>
  <c r="V18" i="79" s="1"/>
  <c r="CR29" i="158"/>
  <c r="CU29" i="158"/>
  <c r="X18" i="79" s="1"/>
  <c r="CV29" i="158"/>
  <c r="Y18" i="79" s="1"/>
  <c r="CT29" i="158"/>
  <c r="W18" i="79" s="1"/>
  <c r="CQ29" i="158"/>
  <c r="CO29" i="158"/>
  <c r="CN29" i="158"/>
  <c r="Q18" i="79" s="1"/>
  <c r="CP29" i="158"/>
  <c r="CK29" i="158"/>
  <c r="N18" i="79" s="1"/>
  <c r="CL29" i="158"/>
  <c r="O18" i="79" s="1"/>
  <c r="CM29" i="158"/>
  <c r="P18" i="79" s="1"/>
  <c r="CS31" i="162"/>
  <c r="CV31" i="162"/>
  <c r="CZ31" i="162"/>
  <c r="CP31" i="162"/>
  <c r="S20" i="79" s="1"/>
  <c r="CN31" i="162"/>
  <c r="CR31" i="162"/>
  <c r="U20" i="79" s="1"/>
  <c r="CX31" i="162"/>
  <c r="CO31" i="162"/>
  <c r="R20" i="79" s="1"/>
  <c r="CW31" i="162"/>
  <c r="AQ32" i="159"/>
  <c r="AR32" i="159" s="1"/>
  <c r="BQ32" i="160"/>
  <c r="CE32" i="160" s="1"/>
  <c r="AP32" i="162"/>
  <c r="AQ32" i="162" s="1"/>
  <c r="AR32" i="162" s="1"/>
  <c r="AL32" i="163"/>
  <c r="AM32" i="163" s="1"/>
  <c r="AU32" i="162"/>
  <c r="P32" i="162"/>
  <c r="Q32" i="162" s="1"/>
  <c r="U32" i="163"/>
  <c r="V32" i="163" s="1"/>
  <c r="AZ32" i="162"/>
  <c r="BH32" i="159"/>
  <c r="BI32" i="159" s="1"/>
  <c r="BM32" i="159" s="1"/>
  <c r="BF32" i="159"/>
  <c r="BG32" i="159" s="1"/>
  <c r="CB32" i="159"/>
  <c r="AD32" i="162"/>
  <c r="AK32" i="162"/>
  <c r="AV32" i="159"/>
  <c r="AW32" i="159" s="1"/>
  <c r="AX32" i="159"/>
  <c r="AY32" i="159" s="1"/>
  <c r="BC32" i="159" s="1"/>
  <c r="CA32" i="159"/>
  <c r="AO32" i="163"/>
  <c r="AS32" i="163"/>
  <c r="AQ32" i="163"/>
  <c r="AR32" i="163" s="1"/>
  <c r="BA32" i="159"/>
  <c r="BB32" i="159" s="1"/>
  <c r="R32" i="163"/>
  <c r="S32" i="163" s="1"/>
  <c r="W32" i="163" s="1"/>
  <c r="P32" i="163"/>
  <c r="Q32" i="163" s="1"/>
  <c r="BX32" i="163"/>
  <c r="BA32" i="163"/>
  <c r="BB32" i="163" s="1"/>
  <c r="Y32" i="162"/>
  <c r="E32" i="162"/>
  <c r="T32" i="162"/>
  <c r="J32" i="162"/>
  <c r="P32" i="159"/>
  <c r="Q32" i="159" s="1"/>
  <c r="R32" i="159"/>
  <c r="S32" i="159" s="1"/>
  <c r="W32" i="159" s="1"/>
  <c r="BX32" i="159"/>
  <c r="BW32" i="163"/>
  <c r="AE32" i="163"/>
  <c r="AF32" i="163" s="1"/>
  <c r="AO32" i="159"/>
  <c r="BZ32" i="159"/>
  <c r="AL32" i="159"/>
  <c r="AN32" i="159"/>
  <c r="CA32" i="163"/>
  <c r="AX32" i="163"/>
  <c r="AY32" i="163" s="1"/>
  <c r="BC32" i="163" s="1"/>
  <c r="AV32" i="163"/>
  <c r="AW32" i="163" s="1"/>
  <c r="BT32" i="160"/>
  <c r="CH32" i="160" s="1"/>
  <c r="BS32" i="160"/>
  <c r="CG32" i="160" s="1"/>
  <c r="BJ32" i="162"/>
  <c r="K32" i="159"/>
  <c r="L32" i="159" s="1"/>
  <c r="I32" i="159"/>
  <c r="M32" i="159"/>
  <c r="AB32" i="163"/>
  <c r="AC32" i="163" s="1"/>
  <c r="AG32" i="163" s="1"/>
  <c r="Z32" i="163"/>
  <c r="AA32" i="163" s="1"/>
  <c r="CB32" i="163"/>
  <c r="BK32" i="163"/>
  <c r="BL32" i="163" s="1"/>
  <c r="BY32" i="163"/>
  <c r="F32" i="163"/>
  <c r="H32" i="163"/>
  <c r="G32" i="160"/>
  <c r="BE32" i="162"/>
  <c r="BY32" i="159"/>
  <c r="F32" i="159"/>
  <c r="H32" i="159"/>
  <c r="K32" i="163"/>
  <c r="L32" i="163" s="1"/>
  <c r="M32" i="163"/>
  <c r="I32" i="163"/>
  <c r="BZ32" i="163"/>
  <c r="BF32" i="163"/>
  <c r="BG32" i="163" s="1"/>
  <c r="BH32" i="163"/>
  <c r="BI32" i="163" s="1"/>
  <c r="BM32" i="163" s="1"/>
  <c r="AB32" i="159"/>
  <c r="AC32" i="159" s="1"/>
  <c r="AG32" i="159" s="1"/>
  <c r="Z32" i="159"/>
  <c r="AA32" i="159" s="1"/>
  <c r="BW32" i="159"/>
  <c r="Y30" i="158"/>
  <c r="AP33" i="160" l="1"/>
  <c r="AQ33" i="160" s="1"/>
  <c r="AR33" i="160" s="1"/>
  <c r="CR32" i="160"/>
  <c r="CW32" i="160"/>
  <c r="CN32" i="160"/>
  <c r="CX32" i="160"/>
  <c r="CV32" i="160"/>
  <c r="CK32" i="160"/>
  <c r="CU32" i="160"/>
  <c r="CP32" i="160"/>
  <c r="CO32" i="160"/>
  <c r="CS32" i="160"/>
  <c r="CM32" i="160"/>
  <c r="CT32" i="160"/>
  <c r="CL32" i="160"/>
  <c r="CY32" i="160"/>
  <c r="CQ32" i="160"/>
  <c r="CZ32" i="160"/>
  <c r="F21" i="79"/>
  <c r="AX32" i="162"/>
  <c r="AV32" i="162"/>
  <c r="AW32" i="162" s="1"/>
  <c r="AK33" i="160"/>
  <c r="AN33" i="160" s="1"/>
  <c r="AO33" i="160" s="1"/>
  <c r="AS33" i="160" s="1"/>
  <c r="CA32" i="162"/>
  <c r="F32" i="162"/>
  <c r="H32" i="162"/>
  <c r="I32" i="162" s="1"/>
  <c r="M32" i="162" s="1"/>
  <c r="BY32" i="162"/>
  <c r="BW32" i="162"/>
  <c r="BU32" i="162" s="1"/>
  <c r="CI32" i="162" s="1"/>
  <c r="Z32" i="162"/>
  <c r="AA32" i="162" s="1"/>
  <c r="AB32" i="162"/>
  <c r="AC32" i="162" s="1"/>
  <c r="AG32" i="162" s="1"/>
  <c r="O33" i="160"/>
  <c r="J33" i="160"/>
  <c r="E33" i="160"/>
  <c r="T33" i="160"/>
  <c r="Y33" i="160"/>
  <c r="AD33" i="160"/>
  <c r="AM32" i="159"/>
  <c r="AY32" i="162"/>
  <c r="BC32" i="162" s="1"/>
  <c r="BA32" i="162"/>
  <c r="BB32" i="162" s="1"/>
  <c r="BX32" i="162"/>
  <c r="U32" i="162"/>
  <c r="V32" i="162" s="1"/>
  <c r="S32" i="162"/>
  <c r="W32" i="162" s="1"/>
  <c r="AU33" i="160"/>
  <c r="AZ33" i="160"/>
  <c r="BA33" i="160" s="1"/>
  <c r="BB33" i="160" s="1"/>
  <c r="BJ33" i="160"/>
  <c r="G32" i="159"/>
  <c r="BQ32" i="159"/>
  <c r="CE32" i="159" s="1"/>
  <c r="BP32" i="159"/>
  <c r="CD32" i="159" s="1"/>
  <c r="BR32" i="159"/>
  <c r="CF32" i="159" s="1"/>
  <c r="BR32" i="163"/>
  <c r="CF32" i="163" s="1"/>
  <c r="BP32" i="163"/>
  <c r="CD32" i="163" s="1"/>
  <c r="BQ32" i="163"/>
  <c r="CE32" i="163" s="1"/>
  <c r="BS32" i="159"/>
  <c r="CG32" i="159" s="1"/>
  <c r="BT32" i="159"/>
  <c r="CH32" i="159" s="1"/>
  <c r="BU32" i="159"/>
  <c r="CI32" i="159" s="1"/>
  <c r="G32" i="163"/>
  <c r="AL32" i="162"/>
  <c r="AN32" i="162"/>
  <c r="AO32" i="162" s="1"/>
  <c r="AS32" i="162" s="1"/>
  <c r="BZ32" i="162"/>
  <c r="BK32" i="162"/>
  <c r="BL32" i="162" s="1"/>
  <c r="BU32" i="163"/>
  <c r="CI32" i="163" s="1"/>
  <c r="BT32" i="163"/>
  <c r="CH32" i="163" s="1"/>
  <c r="BS32" i="163"/>
  <c r="CG32" i="163" s="1"/>
  <c r="J21" i="79"/>
  <c r="AE32" i="162"/>
  <c r="AF32" i="162" s="1"/>
  <c r="BF32" i="162"/>
  <c r="BG32" i="162" s="1"/>
  <c r="CB32" i="162"/>
  <c r="BP32" i="162" s="1"/>
  <c r="CD32" i="162" s="1"/>
  <c r="BH32" i="162"/>
  <c r="BI32" i="162" s="1"/>
  <c r="BM32" i="162" s="1"/>
  <c r="BE33" i="160"/>
  <c r="K32" i="162"/>
  <c r="L32" i="162" s="1"/>
  <c r="J30" i="158"/>
  <c r="T30" i="158"/>
  <c r="U30" i="158" s="1"/>
  <c r="V30" i="158" s="1"/>
  <c r="O30" i="158"/>
  <c r="H19" i="79" s="1"/>
  <c r="AD30" i="158"/>
  <c r="E30" i="158"/>
  <c r="AB30" i="158"/>
  <c r="Z30" i="158"/>
  <c r="AA30" i="158" s="1"/>
  <c r="AP30" i="158"/>
  <c r="BJ30" i="158"/>
  <c r="AZ30" i="158"/>
  <c r="AL33" i="160" l="1"/>
  <c r="AM33" i="160" s="1"/>
  <c r="BZ33" i="160"/>
  <c r="BR33" i="160" s="1"/>
  <c r="CF33" i="160" s="1"/>
  <c r="CQ32" i="163"/>
  <c r="CL32" i="163"/>
  <c r="CN32" i="163"/>
  <c r="CK32" i="163"/>
  <c r="CV32" i="163"/>
  <c r="CP32" i="163"/>
  <c r="CR32" i="163"/>
  <c r="CO32" i="163"/>
  <c r="CM32" i="163"/>
  <c r="CT32" i="163"/>
  <c r="CZ32" i="163"/>
  <c r="CU32" i="163"/>
  <c r="CS32" i="163"/>
  <c r="CW32" i="163"/>
  <c r="CX32" i="163"/>
  <c r="CY32" i="163"/>
  <c r="CN32" i="159"/>
  <c r="CP32" i="159"/>
  <c r="CQ32" i="159"/>
  <c r="CO32" i="159"/>
  <c r="CK32" i="159"/>
  <c r="CR32" i="159"/>
  <c r="CM32" i="159"/>
  <c r="CS32" i="159"/>
  <c r="CU32" i="159"/>
  <c r="CT32" i="159"/>
  <c r="CW32" i="159"/>
  <c r="CV32" i="159"/>
  <c r="CX32" i="159"/>
  <c r="CY32" i="159"/>
  <c r="CZ32" i="159"/>
  <c r="CL32" i="159"/>
  <c r="BE33" i="159"/>
  <c r="BH33" i="159" s="1"/>
  <c r="BJ33" i="163"/>
  <c r="BK33" i="163" s="1"/>
  <c r="BL33" i="163" s="1"/>
  <c r="AK33" i="163"/>
  <c r="AN33" i="163" s="1"/>
  <c r="T33" i="159"/>
  <c r="U33" i="159" s="1"/>
  <c r="V33" i="159" s="1"/>
  <c r="BE33" i="163"/>
  <c r="BH33" i="163" s="1"/>
  <c r="BJ33" i="159"/>
  <c r="AD33" i="159"/>
  <c r="AE33" i="159" s="1"/>
  <c r="AF33" i="159" s="1"/>
  <c r="O33" i="163"/>
  <c r="AD33" i="163"/>
  <c r="J33" i="163"/>
  <c r="Y33" i="163"/>
  <c r="E33" i="163"/>
  <c r="T33" i="163"/>
  <c r="AX33" i="160"/>
  <c r="AY33" i="160" s="1"/>
  <c r="BC33" i="160" s="1"/>
  <c r="CA33" i="160"/>
  <c r="AV33" i="160"/>
  <c r="AW33" i="160" s="1"/>
  <c r="AE30" i="158"/>
  <c r="AF30" i="158" s="1"/>
  <c r="K19" i="79"/>
  <c r="BF33" i="160"/>
  <c r="BG33" i="160" s="1"/>
  <c r="CB33" i="160"/>
  <c r="BP33" i="160" s="1"/>
  <c r="CD33" i="160" s="1"/>
  <c r="BH33" i="160"/>
  <c r="BI33" i="160" s="1"/>
  <c r="BM33" i="160" s="1"/>
  <c r="J33" i="159"/>
  <c r="Y33" i="159"/>
  <c r="E33" i="159"/>
  <c r="O33" i="159"/>
  <c r="G32" i="162"/>
  <c r="P33" i="160"/>
  <c r="Q33" i="160" s="1"/>
  <c r="BX33" i="160"/>
  <c r="R33" i="160"/>
  <c r="S33" i="160" s="1"/>
  <c r="W33" i="160" s="1"/>
  <c r="BX30" i="158"/>
  <c r="BR32" i="162"/>
  <c r="CF32" i="162" s="1"/>
  <c r="BQ32" i="162"/>
  <c r="CE32" i="162" s="1"/>
  <c r="AE33" i="160"/>
  <c r="AF33" i="160" s="1"/>
  <c r="AB33" i="160"/>
  <c r="AC33" i="160" s="1"/>
  <c r="AG33" i="160" s="1"/>
  <c r="BW33" i="160"/>
  <c r="BU33" i="160" s="1"/>
  <c r="CI33" i="160" s="1"/>
  <c r="Z33" i="160"/>
  <c r="AA33" i="160" s="1"/>
  <c r="BT32" i="162"/>
  <c r="CH32" i="162" s="1"/>
  <c r="BS32" i="162"/>
  <c r="CG32" i="162" s="1"/>
  <c r="K30" i="158"/>
  <c r="L30" i="158" s="1"/>
  <c r="I19" i="79"/>
  <c r="AM32" i="162"/>
  <c r="AP33" i="159"/>
  <c r="U33" i="160"/>
  <c r="V33" i="160" s="1"/>
  <c r="BQ33" i="160"/>
  <c r="CE33" i="160" s="1"/>
  <c r="AP33" i="163"/>
  <c r="AK33" i="159"/>
  <c r="H33" i="160"/>
  <c r="I33" i="160" s="1"/>
  <c r="M33" i="160" s="1"/>
  <c r="F33" i="160"/>
  <c r="BY33" i="160"/>
  <c r="AU33" i="159"/>
  <c r="AZ33" i="159"/>
  <c r="H30" i="158"/>
  <c r="AU33" i="163"/>
  <c r="BK33" i="160"/>
  <c r="BL33" i="160" s="1"/>
  <c r="K33" i="160"/>
  <c r="L33" i="160" s="1"/>
  <c r="AZ33" i="163"/>
  <c r="R30" i="158"/>
  <c r="S30" i="158" s="1"/>
  <c r="W30" i="158" s="1"/>
  <c r="BW30" i="158"/>
  <c r="P30" i="158"/>
  <c r="Q30" i="158" s="1"/>
  <c r="I30" i="158"/>
  <c r="M30" i="158" s="1"/>
  <c r="AC30" i="158"/>
  <c r="AG30" i="158" s="1"/>
  <c r="F30" i="158"/>
  <c r="G30" i="158" s="1"/>
  <c r="BY30" i="158"/>
  <c r="AU30" i="158"/>
  <c r="BE30" i="158"/>
  <c r="BH30" i="158" s="1"/>
  <c r="BI30" i="158" s="1"/>
  <c r="BM30" i="158" s="1"/>
  <c r="AK30" i="158"/>
  <c r="AL30" i="158" s="1"/>
  <c r="BA30" i="158"/>
  <c r="BB30" i="158" s="1"/>
  <c r="AQ30" i="158"/>
  <c r="AR30" i="158" s="1"/>
  <c r="BK30" i="158"/>
  <c r="BL30" i="158" s="1"/>
  <c r="BF33" i="159" l="1"/>
  <c r="BG33" i="159" s="1"/>
  <c r="BI33" i="163"/>
  <c r="BM33" i="163" s="1"/>
  <c r="BI33" i="159"/>
  <c r="BM33" i="159" s="1"/>
  <c r="BF33" i="163"/>
  <c r="BG33" i="163" s="1"/>
  <c r="CL32" i="162"/>
  <c r="AL33" i="163"/>
  <c r="AM33" i="163" s="1"/>
  <c r="CB33" i="159"/>
  <c r="BZ33" i="163"/>
  <c r="BR33" i="163" s="1"/>
  <c r="CF33" i="163" s="1"/>
  <c r="AZ33" i="162"/>
  <c r="CW32" i="162"/>
  <c r="CR32" i="162"/>
  <c r="U21" i="79" s="1"/>
  <c r="CY32" i="162"/>
  <c r="CZ32" i="162"/>
  <c r="CX32" i="162"/>
  <c r="CV32" i="162"/>
  <c r="CS32" i="162"/>
  <c r="CP32" i="162"/>
  <c r="S21" i="79" s="1"/>
  <c r="CT32" i="162"/>
  <c r="CN32" i="162"/>
  <c r="CU32" i="162"/>
  <c r="CQ32" i="162"/>
  <c r="T21" i="79" s="1"/>
  <c r="CM32" i="162"/>
  <c r="CO32" i="162"/>
  <c r="R21" i="79" s="1"/>
  <c r="CK32" i="162"/>
  <c r="L19" i="79"/>
  <c r="AP33" i="162"/>
  <c r="AQ33" i="162" s="1"/>
  <c r="AR33" i="162" s="1"/>
  <c r="G19" i="79"/>
  <c r="BK33" i="159"/>
  <c r="BL33" i="159" s="1"/>
  <c r="CB33" i="163"/>
  <c r="E19" i="79"/>
  <c r="O33" i="162"/>
  <c r="E33" i="162"/>
  <c r="F33" i="162" s="1"/>
  <c r="G33" i="162" s="1"/>
  <c r="AU33" i="162"/>
  <c r="AX33" i="162" s="1"/>
  <c r="AY33" i="162" s="1"/>
  <c r="BC33" i="162" s="1"/>
  <c r="AO33" i="163"/>
  <c r="AB33" i="159"/>
  <c r="AC33" i="159" s="1"/>
  <c r="AG33" i="159" s="1"/>
  <c r="Z33" i="159"/>
  <c r="AA33" i="159" s="1"/>
  <c r="BT33" i="160"/>
  <c r="CH33" i="160" s="1"/>
  <c r="BS33" i="160"/>
  <c r="CG33" i="160" s="1"/>
  <c r="AD33" i="162"/>
  <c r="J33" i="162"/>
  <c r="K33" i="162" s="1"/>
  <c r="L33" i="162" s="1"/>
  <c r="T33" i="162"/>
  <c r="K33" i="159"/>
  <c r="L33" i="159" s="1"/>
  <c r="I33" i="159"/>
  <c r="M33" i="159"/>
  <c r="I33" i="163"/>
  <c r="BY33" i="163"/>
  <c r="F33" i="163"/>
  <c r="H33" i="163"/>
  <c r="G33" i="160"/>
  <c r="AK34" i="160" s="1"/>
  <c r="AB33" i="163"/>
  <c r="AC33" i="163" s="1"/>
  <c r="AG33" i="163" s="1"/>
  <c r="BW33" i="163"/>
  <c r="Z33" i="163"/>
  <c r="AA33" i="163" s="1"/>
  <c r="BW33" i="159"/>
  <c r="AX33" i="159"/>
  <c r="AY33" i="159" s="1"/>
  <c r="BC33" i="159" s="1"/>
  <c r="AV33" i="159"/>
  <c r="AW33" i="159" s="1"/>
  <c r="CA33" i="159"/>
  <c r="AV33" i="163"/>
  <c r="AW33" i="163" s="1"/>
  <c r="AX33" i="163"/>
  <c r="AY33" i="163" s="1"/>
  <c r="BC33" i="163" s="1"/>
  <c r="CA33" i="163"/>
  <c r="K33" i="163"/>
  <c r="L33" i="163" s="1"/>
  <c r="M33" i="163"/>
  <c r="AQ33" i="159"/>
  <c r="AR33" i="159" s="1"/>
  <c r="AS33" i="159"/>
  <c r="BA33" i="162"/>
  <c r="BB33" i="162" s="1"/>
  <c r="U33" i="163"/>
  <c r="V33" i="163" s="1"/>
  <c r="AE33" i="163"/>
  <c r="AF33" i="163" s="1"/>
  <c r="F33" i="159"/>
  <c r="BY33" i="159"/>
  <c r="H33" i="159"/>
  <c r="AX30" i="158"/>
  <c r="AY30" i="158" s="1"/>
  <c r="BC30" i="158" s="1"/>
  <c r="BA33" i="163"/>
  <c r="BB33" i="163" s="1"/>
  <c r="AO33" i="159"/>
  <c r="BZ33" i="159"/>
  <c r="AN33" i="159"/>
  <c r="AL33" i="159"/>
  <c r="BJ33" i="162"/>
  <c r="BE33" i="162"/>
  <c r="AK33" i="162"/>
  <c r="BX33" i="163"/>
  <c r="P33" i="163"/>
  <c r="Q33" i="163" s="1"/>
  <c r="R33" i="163"/>
  <c r="S33" i="163" s="1"/>
  <c r="W33" i="163" s="1"/>
  <c r="BA33" i="159"/>
  <c r="BB33" i="159" s="1"/>
  <c r="AS33" i="163"/>
  <c r="AQ33" i="163"/>
  <c r="AR33" i="163" s="1"/>
  <c r="P33" i="159"/>
  <c r="Q33" i="159" s="1"/>
  <c r="BX33" i="159"/>
  <c r="R33" i="159"/>
  <c r="S33" i="159" s="1"/>
  <c r="W33" i="159" s="1"/>
  <c r="Y33" i="162"/>
  <c r="BS30" i="158"/>
  <c r="CG30" i="158" s="1"/>
  <c r="BT30" i="158"/>
  <c r="CH30" i="158" s="1"/>
  <c r="BU30" i="158"/>
  <c r="CI30" i="158" s="1"/>
  <c r="CB30" i="158"/>
  <c r="BF30" i="158"/>
  <c r="BG30" i="158" s="1"/>
  <c r="CA30" i="158"/>
  <c r="AV30" i="158"/>
  <c r="AW30" i="158" s="1"/>
  <c r="AN30" i="158"/>
  <c r="AO30" i="158" s="1"/>
  <c r="AS30" i="158" s="1"/>
  <c r="BZ30" i="158"/>
  <c r="AM30" i="158"/>
  <c r="BP33" i="163" l="1"/>
  <c r="CD33" i="163" s="1"/>
  <c r="BQ33" i="163"/>
  <c r="CE33" i="163" s="1"/>
  <c r="CP33" i="160"/>
  <c r="CS33" i="160"/>
  <c r="CK33" i="160"/>
  <c r="CY33" i="160"/>
  <c r="CM33" i="160"/>
  <c r="CZ33" i="160"/>
  <c r="CV33" i="160"/>
  <c r="CT33" i="160"/>
  <c r="CL33" i="160"/>
  <c r="CQ33" i="160"/>
  <c r="CU33" i="160"/>
  <c r="CO33" i="160"/>
  <c r="CN33" i="160"/>
  <c r="CX33" i="160"/>
  <c r="CR33" i="160"/>
  <c r="CW33" i="160"/>
  <c r="F22" i="79"/>
  <c r="AP34" i="160"/>
  <c r="BZ34" i="160" s="1"/>
  <c r="BX33" i="162"/>
  <c r="R33" i="162"/>
  <c r="H33" i="162"/>
  <c r="I33" i="162" s="1"/>
  <c r="M33" i="162" s="1"/>
  <c r="P33" i="162"/>
  <c r="Q33" i="162" s="1"/>
  <c r="BE34" i="160"/>
  <c r="BF34" i="160" s="1"/>
  <c r="BG34" i="160" s="1"/>
  <c r="AV33" i="162"/>
  <c r="AW33" i="162" s="1"/>
  <c r="CA33" i="162"/>
  <c r="AL33" i="162"/>
  <c r="BZ33" i="162"/>
  <c r="AN33" i="162"/>
  <c r="AO33" i="162" s="1"/>
  <c r="AS33" i="162" s="1"/>
  <c r="BH33" i="162"/>
  <c r="BI33" i="162" s="1"/>
  <c r="BM33" i="162" s="1"/>
  <c r="CB33" i="162"/>
  <c r="BP33" i="162" s="1"/>
  <c r="CD33" i="162" s="1"/>
  <c r="BF33" i="162"/>
  <c r="BG33" i="162" s="1"/>
  <c r="BU33" i="163"/>
  <c r="CI33" i="163" s="1"/>
  <c r="BT33" i="163"/>
  <c r="CH33" i="163" s="1"/>
  <c r="BS33" i="163"/>
  <c r="CG33" i="163" s="1"/>
  <c r="J22" i="79"/>
  <c r="AE33" i="162"/>
  <c r="AF33" i="162" s="1"/>
  <c r="S33" i="162"/>
  <c r="W33" i="162" s="1"/>
  <c r="Y34" i="160"/>
  <c r="T34" i="160"/>
  <c r="O34" i="160"/>
  <c r="AD34" i="160"/>
  <c r="J34" i="160"/>
  <c r="E34" i="160"/>
  <c r="U33" i="162"/>
  <c r="V33" i="162" s="1"/>
  <c r="BY33" i="162"/>
  <c r="AN34" i="160"/>
  <c r="AL34" i="160"/>
  <c r="AM34" i="160" s="1"/>
  <c r="BT33" i="159"/>
  <c r="CH33" i="159" s="1"/>
  <c r="BS33" i="159"/>
  <c r="CG33" i="159" s="1"/>
  <c r="BU33" i="159"/>
  <c r="CI33" i="159" s="1"/>
  <c r="G33" i="159"/>
  <c r="BK33" i="162"/>
  <c r="BL33" i="162" s="1"/>
  <c r="AM33" i="159"/>
  <c r="AZ34" i="160"/>
  <c r="BJ34" i="160"/>
  <c r="G33" i="163"/>
  <c r="AZ34" i="163" s="1"/>
  <c r="Z33" i="162"/>
  <c r="AA33" i="162" s="1"/>
  <c r="BW33" i="162"/>
  <c r="BU33" i="162" s="1"/>
  <c r="CI33" i="162" s="1"/>
  <c r="AB33" i="162"/>
  <c r="AC33" i="162" s="1"/>
  <c r="AG33" i="162" s="1"/>
  <c r="BR33" i="159"/>
  <c r="CF33" i="159" s="1"/>
  <c r="BP33" i="159"/>
  <c r="CD33" i="159" s="1"/>
  <c r="BQ33" i="159"/>
  <c r="CE33" i="159" s="1"/>
  <c r="AU34" i="160"/>
  <c r="BP30" i="158"/>
  <c r="CD30" i="158" s="1"/>
  <c r="BQ30" i="158"/>
  <c r="CE30" i="158" s="1"/>
  <c r="BR30" i="158"/>
  <c r="CF30" i="158" s="1"/>
  <c r="AD31" i="158"/>
  <c r="AQ34" i="160" l="1"/>
  <c r="AR34" i="160" s="1"/>
  <c r="AO34" i="160"/>
  <c r="AS34" i="160" s="1"/>
  <c r="CO33" i="163"/>
  <c r="CZ33" i="163"/>
  <c r="CR33" i="163"/>
  <c r="CT33" i="163"/>
  <c r="CL33" i="163"/>
  <c r="CU33" i="163"/>
  <c r="CP33" i="163"/>
  <c r="CS33" i="163"/>
  <c r="CM33" i="163"/>
  <c r="CN33" i="163"/>
  <c r="CQ33" i="163"/>
  <c r="CW30" i="158"/>
  <c r="Z19" i="79" s="1"/>
  <c r="CV30" i="158"/>
  <c r="Y19" i="79" s="1"/>
  <c r="CU30" i="158"/>
  <c r="X19" i="79" s="1"/>
  <c r="CX30" i="158"/>
  <c r="AA19" i="79" s="1"/>
  <c r="CY30" i="158"/>
  <c r="AB19" i="79" s="1"/>
  <c r="CS30" i="158"/>
  <c r="V19" i="79" s="1"/>
  <c r="CQ30" i="158"/>
  <c r="CR30" i="158"/>
  <c r="CT30" i="158"/>
  <c r="W19" i="79" s="1"/>
  <c r="CO30" i="158"/>
  <c r="CL30" i="158"/>
  <c r="O19" i="79" s="1"/>
  <c r="CP30" i="158"/>
  <c r="CM30" i="158"/>
  <c r="P19" i="79" s="1"/>
  <c r="CN30" i="158"/>
  <c r="Q19" i="79" s="1"/>
  <c r="CZ30" i="158"/>
  <c r="AC19" i="79" s="1"/>
  <c r="CK30" i="158"/>
  <c r="N19" i="79" s="1"/>
  <c r="CW33" i="163"/>
  <c r="CV33" i="163"/>
  <c r="CM33" i="159"/>
  <c r="CP33" i="159"/>
  <c r="CN33" i="159"/>
  <c r="CR33" i="159"/>
  <c r="CQ33" i="159"/>
  <c r="CK33" i="159"/>
  <c r="CO33" i="159"/>
  <c r="CS33" i="159"/>
  <c r="CL33" i="159"/>
  <c r="CW33" i="159"/>
  <c r="CV33" i="159"/>
  <c r="CU33" i="159"/>
  <c r="CT33" i="159"/>
  <c r="CZ33" i="159"/>
  <c r="CX33" i="159"/>
  <c r="CY33" i="159"/>
  <c r="CX33" i="163"/>
  <c r="CK33" i="163"/>
  <c r="CY33" i="163"/>
  <c r="BE34" i="163"/>
  <c r="BF34" i="163" s="1"/>
  <c r="BG34" i="163" s="1"/>
  <c r="Y34" i="159"/>
  <c r="AB34" i="159" s="1"/>
  <c r="BH34" i="160"/>
  <c r="BI34" i="160" s="1"/>
  <c r="BM34" i="160" s="1"/>
  <c r="CB34" i="160"/>
  <c r="BP34" i="160" s="1"/>
  <c r="CD34" i="160" s="1"/>
  <c r="Y34" i="163"/>
  <c r="AB34" i="163" s="1"/>
  <c r="AU34" i="163"/>
  <c r="CA34" i="163" s="1"/>
  <c r="BJ34" i="163"/>
  <c r="AK34" i="163"/>
  <c r="AN34" i="163" s="1"/>
  <c r="E34" i="163"/>
  <c r="H34" i="163" s="1"/>
  <c r="T34" i="163"/>
  <c r="U34" i="163" s="1"/>
  <c r="V34" i="163" s="1"/>
  <c r="E34" i="159"/>
  <c r="F34" i="159" s="1"/>
  <c r="G34" i="159" s="1"/>
  <c r="J34" i="159"/>
  <c r="M34" i="159" s="1"/>
  <c r="AD34" i="159"/>
  <c r="AZ34" i="159"/>
  <c r="BA34" i="159" s="1"/>
  <c r="BB34" i="159" s="1"/>
  <c r="O34" i="159"/>
  <c r="R34" i="159" s="1"/>
  <c r="T34" i="159"/>
  <c r="AV34" i="160"/>
  <c r="AW34" i="160" s="1"/>
  <c r="CA34" i="160"/>
  <c r="AX34" i="160"/>
  <c r="AY34" i="160" s="1"/>
  <c r="BC34" i="160" s="1"/>
  <c r="F34" i="160"/>
  <c r="BY34" i="160"/>
  <c r="H34" i="160"/>
  <c r="I34" i="160" s="1"/>
  <c r="M34" i="160" s="1"/>
  <c r="O34" i="163"/>
  <c r="AD34" i="163"/>
  <c r="BW34" i="163" s="1"/>
  <c r="BA34" i="163"/>
  <c r="BB34" i="163" s="1"/>
  <c r="K34" i="160"/>
  <c r="L34" i="160" s="1"/>
  <c r="BR33" i="162"/>
  <c r="CF33" i="162" s="1"/>
  <c r="BQ33" i="162"/>
  <c r="CE33" i="162" s="1"/>
  <c r="Z34" i="163"/>
  <c r="AA34" i="163" s="1"/>
  <c r="AE34" i="160"/>
  <c r="AF34" i="160" s="1"/>
  <c r="AM33" i="162"/>
  <c r="AU34" i="159"/>
  <c r="P34" i="160"/>
  <c r="Q34" i="160" s="1"/>
  <c r="BX34" i="160"/>
  <c r="R34" i="160"/>
  <c r="S34" i="160" s="1"/>
  <c r="W34" i="160" s="1"/>
  <c r="AP34" i="159"/>
  <c r="AP34" i="163"/>
  <c r="H34" i="159"/>
  <c r="BK34" i="160"/>
  <c r="BL34" i="160" s="1"/>
  <c r="BA34" i="160"/>
  <c r="BB34" i="160" s="1"/>
  <c r="BJ34" i="159"/>
  <c r="BQ34" i="160"/>
  <c r="CE34" i="160" s="1"/>
  <c r="BR34" i="160"/>
  <c r="CF34" i="160" s="1"/>
  <c r="U34" i="160"/>
  <c r="V34" i="160" s="1"/>
  <c r="AE31" i="158"/>
  <c r="AF31" i="158" s="1"/>
  <c r="BE34" i="159"/>
  <c r="BT33" i="162"/>
  <c r="CH33" i="162" s="1"/>
  <c r="BS33" i="162"/>
  <c r="CG33" i="162" s="1"/>
  <c r="J34" i="163"/>
  <c r="AB34" i="160"/>
  <c r="AC34" i="160" s="1"/>
  <c r="AG34" i="160" s="1"/>
  <c r="BW34" i="160"/>
  <c r="BU34" i="160" s="1"/>
  <c r="CI34" i="160" s="1"/>
  <c r="Z34" i="160"/>
  <c r="AA34" i="160" s="1"/>
  <c r="AK34" i="159"/>
  <c r="AP31" i="158"/>
  <c r="AQ31" i="158" s="1"/>
  <c r="AR31" i="158" s="1"/>
  <c r="J31" i="158"/>
  <c r="O31" i="158"/>
  <c r="H20" i="79" s="1"/>
  <c r="Y31" i="158"/>
  <c r="T31" i="158"/>
  <c r="U31" i="158" s="1"/>
  <c r="V31" i="158" s="1"/>
  <c r="E31" i="158"/>
  <c r="AZ31" i="158"/>
  <c r="BA31" i="158" s="1"/>
  <c r="BB31" i="158" s="1"/>
  <c r="BE31" i="158"/>
  <c r="BH31" i="158" s="1"/>
  <c r="AU31" i="158"/>
  <c r="BJ31" i="158"/>
  <c r="AK31" i="158"/>
  <c r="AX34" i="163" l="1"/>
  <c r="AY34" i="163" s="1"/>
  <c r="BC34" i="163" s="1"/>
  <c r="Z34" i="159"/>
  <c r="AA34" i="159" s="1"/>
  <c r="BW34" i="159"/>
  <c r="BY34" i="163"/>
  <c r="BT34" i="163" s="1"/>
  <c r="CH34" i="163" s="1"/>
  <c r="CM33" i="162"/>
  <c r="BH34" i="163"/>
  <c r="F34" i="163"/>
  <c r="G34" i="163" s="1"/>
  <c r="CW33" i="162"/>
  <c r="CR33" i="162"/>
  <c r="U22" i="79" s="1"/>
  <c r="CY33" i="162"/>
  <c r="CK33" i="162"/>
  <c r="CX33" i="162"/>
  <c r="CQ33" i="162"/>
  <c r="T22" i="79" s="1"/>
  <c r="CT33" i="162"/>
  <c r="CL33" i="162"/>
  <c r="CS33" i="162"/>
  <c r="CN33" i="162"/>
  <c r="CU33" i="162"/>
  <c r="CZ33" i="162"/>
  <c r="S34" i="159"/>
  <c r="W34" i="159" s="1"/>
  <c r="CB34" i="163"/>
  <c r="CV33" i="162"/>
  <c r="CO33" i="162"/>
  <c r="R22" i="79" s="1"/>
  <c r="CP33" i="162"/>
  <c r="S22" i="79" s="1"/>
  <c r="AD34" i="162"/>
  <c r="AE34" i="162" s="1"/>
  <c r="AF34" i="162" s="1"/>
  <c r="G20" i="79"/>
  <c r="AV34" i="163"/>
  <c r="AW34" i="163" s="1"/>
  <c r="BK34" i="163"/>
  <c r="BL34" i="163" s="1"/>
  <c r="AL34" i="163"/>
  <c r="AM34" i="163" s="1"/>
  <c r="BI34" i="163"/>
  <c r="BM34" i="163" s="1"/>
  <c r="BZ34" i="163"/>
  <c r="BR34" i="163" s="1"/>
  <c r="CF34" i="163" s="1"/>
  <c r="E20" i="79"/>
  <c r="P34" i="159"/>
  <c r="Q34" i="159" s="1"/>
  <c r="BX34" i="159"/>
  <c r="AE34" i="159"/>
  <c r="AF34" i="159" s="1"/>
  <c r="BY34" i="159"/>
  <c r="BU34" i="159" s="1"/>
  <c r="CI34" i="159" s="1"/>
  <c r="I34" i="159"/>
  <c r="AC34" i="159"/>
  <c r="AG34" i="159" s="1"/>
  <c r="K34" i="159"/>
  <c r="L34" i="159" s="1"/>
  <c r="AB31" i="158"/>
  <c r="AC31" i="158" s="1"/>
  <c r="AG31" i="158" s="1"/>
  <c r="P31" i="158"/>
  <c r="Q31" i="158" s="1"/>
  <c r="AS34" i="159"/>
  <c r="AQ34" i="159"/>
  <c r="AR34" i="159" s="1"/>
  <c r="AO34" i="159"/>
  <c r="AC34" i="163"/>
  <c r="AG34" i="163" s="1"/>
  <c r="AZ34" i="162"/>
  <c r="AP34" i="162"/>
  <c r="BE34" i="162"/>
  <c r="BJ34" i="162"/>
  <c r="AU34" i="162"/>
  <c r="AK34" i="162"/>
  <c r="CA34" i="159"/>
  <c r="AV34" i="159"/>
  <c r="AW34" i="159" s="1"/>
  <c r="AX34" i="159"/>
  <c r="AY34" i="159" s="1"/>
  <c r="BC34" i="159" s="1"/>
  <c r="AE34" i="163"/>
  <c r="AF34" i="163" s="1"/>
  <c r="BK34" i="159"/>
  <c r="BL34" i="159" s="1"/>
  <c r="O34" i="162"/>
  <c r="R34" i="163"/>
  <c r="S34" i="163" s="1"/>
  <c r="W34" i="163" s="1"/>
  <c r="BX34" i="163"/>
  <c r="P34" i="163"/>
  <c r="Q34" i="163" s="1"/>
  <c r="AS34" i="163"/>
  <c r="AO34" i="163"/>
  <c r="AQ34" i="163"/>
  <c r="BZ34" i="159"/>
  <c r="AL34" i="159"/>
  <c r="AN34" i="159"/>
  <c r="E34" i="162"/>
  <c r="I34" i="163"/>
  <c r="M34" i="163"/>
  <c r="K34" i="163"/>
  <c r="CB34" i="159"/>
  <c r="BH34" i="159"/>
  <c r="BI34" i="159" s="1"/>
  <c r="BM34" i="159" s="1"/>
  <c r="BF34" i="159"/>
  <c r="BG34" i="159" s="1"/>
  <c r="J34" i="162"/>
  <c r="T34" i="162"/>
  <c r="Y34" i="162"/>
  <c r="H31" i="158"/>
  <c r="K20" i="79"/>
  <c r="G34" i="160"/>
  <c r="BJ35" i="160" s="1"/>
  <c r="K31" i="158"/>
  <c r="L31" i="158" s="1"/>
  <c r="I20" i="79"/>
  <c r="BS34" i="160"/>
  <c r="CG34" i="160" s="1"/>
  <c r="BT34" i="160"/>
  <c r="CH34" i="160" s="1"/>
  <c r="U34" i="159"/>
  <c r="V34" i="159" s="1"/>
  <c r="Z31" i="158"/>
  <c r="AA31" i="158" s="1"/>
  <c r="BW31" i="158"/>
  <c r="R31" i="158"/>
  <c r="S31" i="158" s="1"/>
  <c r="W31" i="158" s="1"/>
  <c r="I31" i="158"/>
  <c r="M31" i="158" s="1"/>
  <c r="BY31" i="158"/>
  <c r="BX31" i="158"/>
  <c r="F31" i="158"/>
  <c r="G31" i="158" s="1"/>
  <c r="CA31" i="158"/>
  <c r="BF31" i="158"/>
  <c r="BG31" i="158" s="1"/>
  <c r="AX31" i="158"/>
  <c r="AY31" i="158" s="1"/>
  <c r="BC31" i="158" s="1"/>
  <c r="BI31" i="158"/>
  <c r="BM31" i="158" s="1"/>
  <c r="CB31" i="158"/>
  <c r="AV31" i="158"/>
  <c r="AW31" i="158" s="1"/>
  <c r="BZ31" i="158"/>
  <c r="AN31" i="158"/>
  <c r="AO31" i="158" s="1"/>
  <c r="AS31" i="158" s="1"/>
  <c r="AL31" i="158"/>
  <c r="BK31" i="158"/>
  <c r="BL31" i="158" s="1"/>
  <c r="BT34" i="159" l="1"/>
  <c r="CH34" i="159" s="1"/>
  <c r="BS34" i="159"/>
  <c r="CG34" i="159" s="1"/>
  <c r="BS34" i="163"/>
  <c r="CG34" i="163" s="1"/>
  <c r="F23" i="79"/>
  <c r="BU34" i="163"/>
  <c r="CI34" i="163" s="1"/>
  <c r="CK34" i="160"/>
  <c r="CT34" i="160"/>
  <c r="CO34" i="160"/>
  <c r="CS34" i="160"/>
  <c r="CM34" i="160"/>
  <c r="CZ34" i="160"/>
  <c r="CL34" i="160"/>
  <c r="CY34" i="160"/>
  <c r="CP34" i="160"/>
  <c r="CQ34" i="160"/>
  <c r="CV34" i="160"/>
  <c r="CR34" i="160"/>
  <c r="CN34" i="160"/>
  <c r="CW34" i="160"/>
  <c r="CU34" i="160"/>
  <c r="BE35" i="160"/>
  <c r="CB35" i="160" s="1"/>
  <c r="BP35" i="160" s="1"/>
  <c r="CD35" i="160" s="1"/>
  <c r="CX34" i="160"/>
  <c r="L20" i="79"/>
  <c r="BQ34" i="163"/>
  <c r="CE34" i="163" s="1"/>
  <c r="BP34" i="163"/>
  <c r="CD34" i="163" s="1"/>
  <c r="AP35" i="160"/>
  <c r="AQ35" i="160" s="1"/>
  <c r="AR35" i="160" s="1"/>
  <c r="BK35" i="160"/>
  <c r="BL35" i="160" s="1"/>
  <c r="AR34" i="163"/>
  <c r="AK35" i="160"/>
  <c r="AZ35" i="160"/>
  <c r="BY34" i="162"/>
  <c r="F34" i="162"/>
  <c r="G34" i="162" s="1"/>
  <c r="H34" i="162"/>
  <c r="I34" i="162" s="1"/>
  <c r="M34" i="162" s="1"/>
  <c r="BZ34" i="162"/>
  <c r="AN34" i="162"/>
  <c r="AO34" i="162" s="1"/>
  <c r="AS34" i="162" s="1"/>
  <c r="AL34" i="162"/>
  <c r="AM34" i="162" s="1"/>
  <c r="P34" i="162"/>
  <c r="Q34" i="162" s="1"/>
  <c r="R34" i="162"/>
  <c r="S34" i="162" s="1"/>
  <c r="W34" i="162" s="1"/>
  <c r="BW34" i="162"/>
  <c r="BU34" i="162" s="1"/>
  <c r="CI34" i="162" s="1"/>
  <c r="AB34" i="162"/>
  <c r="AC34" i="162" s="1"/>
  <c r="AG34" i="162" s="1"/>
  <c r="Z34" i="162"/>
  <c r="AA34" i="162" s="1"/>
  <c r="L34" i="163"/>
  <c r="AU35" i="160"/>
  <c r="CA34" i="162"/>
  <c r="AX34" i="162"/>
  <c r="AY34" i="162" s="1"/>
  <c r="BC34" i="162" s="1"/>
  <c r="AV34" i="162"/>
  <c r="AW34" i="162" s="1"/>
  <c r="BA34" i="162"/>
  <c r="BB34" i="162" s="1"/>
  <c r="AD35" i="160"/>
  <c r="T35" i="160"/>
  <c r="Y35" i="160"/>
  <c r="E35" i="160"/>
  <c r="J35" i="160"/>
  <c r="O35" i="160"/>
  <c r="BX34" i="162"/>
  <c r="U34" i="162"/>
  <c r="V34" i="162" s="1"/>
  <c r="BK34" i="162"/>
  <c r="BL34" i="162" s="1"/>
  <c r="K34" i="162"/>
  <c r="L34" i="162" s="1"/>
  <c r="AM34" i="159"/>
  <c r="T35" i="159" s="1"/>
  <c r="CB34" i="162"/>
  <c r="BP34" i="162" s="1"/>
  <c r="CD34" i="162" s="1"/>
  <c r="BF34" i="162"/>
  <c r="BG34" i="162" s="1"/>
  <c r="BH34" i="162"/>
  <c r="BI34" i="162" s="1"/>
  <c r="BM34" i="162" s="1"/>
  <c r="J23" i="79"/>
  <c r="BR34" i="159"/>
  <c r="CF34" i="159" s="1"/>
  <c r="BP34" i="159"/>
  <c r="CD34" i="159" s="1"/>
  <c r="BQ34" i="159"/>
  <c r="CE34" i="159" s="1"/>
  <c r="AQ34" i="162"/>
  <c r="AR34" i="162" s="1"/>
  <c r="BS31" i="158"/>
  <c r="CG31" i="158" s="1"/>
  <c r="BT31" i="158"/>
  <c r="CH31" i="158" s="1"/>
  <c r="BU31" i="158"/>
  <c r="CI31" i="158" s="1"/>
  <c r="BP31" i="158"/>
  <c r="CD31" i="158" s="1"/>
  <c r="BR31" i="158"/>
  <c r="CF31" i="158" s="1"/>
  <c r="BQ31" i="158"/>
  <c r="CE31" i="158" s="1"/>
  <c r="AM31" i="158"/>
  <c r="T35" i="163" l="1"/>
  <c r="BH35" i="160"/>
  <c r="BI35" i="160" s="1"/>
  <c r="BM35" i="160" s="1"/>
  <c r="BF35" i="160"/>
  <c r="BG35" i="160" s="1"/>
  <c r="CO34" i="163"/>
  <c r="CM34" i="163"/>
  <c r="CL34" i="163"/>
  <c r="CP34" i="163"/>
  <c r="CQ34" i="163"/>
  <c r="CN34" i="163"/>
  <c r="CK34" i="163"/>
  <c r="CR34" i="163"/>
  <c r="CV34" i="163"/>
  <c r="CS34" i="163"/>
  <c r="CZ34" i="163"/>
  <c r="CU34" i="163"/>
  <c r="CT34" i="163"/>
  <c r="CX34" i="163"/>
  <c r="CW34" i="163"/>
  <c r="CY34" i="163"/>
  <c r="AP35" i="163"/>
  <c r="AQ35" i="163" s="1"/>
  <c r="AR35" i="163" s="1"/>
  <c r="CK34" i="159"/>
  <c r="CQ34" i="159"/>
  <c r="CS34" i="159"/>
  <c r="CO34" i="159"/>
  <c r="CL34" i="159"/>
  <c r="CR34" i="159"/>
  <c r="CP34" i="159"/>
  <c r="CM34" i="159"/>
  <c r="CN34" i="159"/>
  <c r="CV34" i="159"/>
  <c r="CU34" i="159"/>
  <c r="CT34" i="159"/>
  <c r="CW34" i="159"/>
  <c r="CY34" i="159"/>
  <c r="CZ34" i="159"/>
  <c r="CX34" i="159"/>
  <c r="CZ31" i="158"/>
  <c r="AC20" i="79" s="1"/>
  <c r="CX31" i="158"/>
  <c r="AA20" i="79" s="1"/>
  <c r="CY31" i="158"/>
  <c r="AB20" i="79" s="1"/>
  <c r="CS31" i="158"/>
  <c r="V20" i="79" s="1"/>
  <c r="CR31" i="158"/>
  <c r="CW31" i="158"/>
  <c r="Z20" i="79" s="1"/>
  <c r="CT31" i="158"/>
  <c r="W20" i="79" s="1"/>
  <c r="CU31" i="158"/>
  <c r="X20" i="79" s="1"/>
  <c r="CV31" i="158"/>
  <c r="Y20" i="79" s="1"/>
  <c r="CO31" i="158"/>
  <c r="CN31" i="158"/>
  <c r="Q20" i="79" s="1"/>
  <c r="CP31" i="158"/>
  <c r="CL31" i="158"/>
  <c r="O20" i="79" s="1"/>
  <c r="CQ31" i="158"/>
  <c r="CK31" i="158"/>
  <c r="N20" i="79" s="1"/>
  <c r="CM31" i="158"/>
  <c r="P20" i="79" s="1"/>
  <c r="AD35" i="163"/>
  <c r="AE35" i="163" s="1"/>
  <c r="AF35" i="163" s="1"/>
  <c r="AU35" i="163"/>
  <c r="Y35" i="163"/>
  <c r="AB35" i="163" s="1"/>
  <c r="AD35" i="159"/>
  <c r="AE35" i="159" s="1"/>
  <c r="AF35" i="159" s="1"/>
  <c r="E35" i="159"/>
  <c r="J35" i="159"/>
  <c r="K35" i="159" s="1"/>
  <c r="L35" i="159" s="1"/>
  <c r="Y35" i="159"/>
  <c r="AB35" i="159" s="1"/>
  <c r="O35" i="159"/>
  <c r="BE35" i="163"/>
  <c r="BH35" i="163" s="1"/>
  <c r="BY35" i="160"/>
  <c r="H35" i="160"/>
  <c r="I35" i="160" s="1"/>
  <c r="M35" i="160" s="1"/>
  <c r="F35" i="160"/>
  <c r="BS34" i="162"/>
  <c r="CG34" i="162" s="1"/>
  <c r="BT34" i="162"/>
  <c r="AB35" i="160"/>
  <c r="AC35" i="160" s="1"/>
  <c r="AG35" i="160" s="1"/>
  <c r="BW35" i="160"/>
  <c r="BU35" i="160" s="1"/>
  <c r="CI35" i="160" s="1"/>
  <c r="Z35" i="160"/>
  <c r="AA35" i="160" s="1"/>
  <c r="BA35" i="160"/>
  <c r="BB35" i="160" s="1"/>
  <c r="U35" i="160"/>
  <c r="V35" i="160" s="1"/>
  <c r="AV35" i="160"/>
  <c r="AW35" i="160" s="1"/>
  <c r="CA35" i="160"/>
  <c r="AX35" i="160"/>
  <c r="AY35" i="160" s="1"/>
  <c r="BC35" i="160" s="1"/>
  <c r="AL35" i="160"/>
  <c r="AM35" i="160" s="1"/>
  <c r="BZ35" i="160"/>
  <c r="AN35" i="160"/>
  <c r="AO35" i="160" s="1"/>
  <c r="AS35" i="160" s="1"/>
  <c r="K35" i="160"/>
  <c r="L35" i="160" s="1"/>
  <c r="U35" i="159"/>
  <c r="V35" i="159" s="1"/>
  <c r="AK35" i="163"/>
  <c r="AO35" i="163" s="1"/>
  <c r="BQ34" i="162"/>
  <c r="CE34" i="162" s="1"/>
  <c r="BR34" i="162"/>
  <c r="CF34" i="162" s="1"/>
  <c r="U35" i="163"/>
  <c r="V35" i="163" s="1"/>
  <c r="AE35" i="160"/>
  <c r="AF35" i="160" s="1"/>
  <c r="BJ35" i="163"/>
  <c r="E35" i="163"/>
  <c r="J35" i="163"/>
  <c r="AX35" i="163"/>
  <c r="AV35" i="163"/>
  <c r="AW35" i="163" s="1"/>
  <c r="AU35" i="159"/>
  <c r="BE35" i="159"/>
  <c r="AK35" i="159"/>
  <c r="BJ35" i="159"/>
  <c r="AP35" i="159"/>
  <c r="AZ35" i="159"/>
  <c r="BX35" i="160"/>
  <c r="R35" i="160"/>
  <c r="S35" i="160" s="1"/>
  <c r="W35" i="160" s="1"/>
  <c r="P35" i="160"/>
  <c r="Q35" i="160" s="1"/>
  <c r="AZ35" i="163"/>
  <c r="O35" i="163"/>
  <c r="E32" i="158"/>
  <c r="T32" i="158"/>
  <c r="U32" i="158" s="1"/>
  <c r="V32" i="158" s="1"/>
  <c r="BE32" i="158"/>
  <c r="AC35" i="159" l="1"/>
  <c r="AG35" i="159" s="1"/>
  <c r="AS35" i="163"/>
  <c r="AC35" i="163"/>
  <c r="AG35" i="163" s="1"/>
  <c r="Z35" i="163"/>
  <c r="AA35" i="163" s="1"/>
  <c r="J35" i="162"/>
  <c r="K35" i="162" s="1"/>
  <c r="L35" i="162" s="1"/>
  <c r="CH34" i="162"/>
  <c r="CV34" i="162" s="1"/>
  <c r="BW35" i="163"/>
  <c r="O35" i="162"/>
  <c r="P35" i="162" s="1"/>
  <c r="Q35" i="162" s="1"/>
  <c r="AU35" i="162"/>
  <c r="AV35" i="162" s="1"/>
  <c r="AW35" i="162" s="1"/>
  <c r="E35" i="162"/>
  <c r="BX35" i="159"/>
  <c r="Z35" i="159"/>
  <c r="AA35" i="159" s="1"/>
  <c r="BE35" i="162"/>
  <c r="BF35" i="162" s="1"/>
  <c r="BG35" i="162" s="1"/>
  <c r="BY35" i="159"/>
  <c r="BS35" i="159" s="1"/>
  <c r="CG35" i="159" s="1"/>
  <c r="BW35" i="159"/>
  <c r="M35" i="159"/>
  <c r="F35" i="159"/>
  <c r="G35" i="159" s="1"/>
  <c r="R35" i="159"/>
  <c r="S35" i="159" s="1"/>
  <c r="W35" i="159" s="1"/>
  <c r="AD35" i="162"/>
  <c r="AE35" i="162" s="1"/>
  <c r="AF35" i="162" s="1"/>
  <c r="H35" i="159"/>
  <c r="P35" i="159"/>
  <c r="Q35" i="159" s="1"/>
  <c r="BJ35" i="162"/>
  <c r="J24" i="79" s="1"/>
  <c r="I35" i="159"/>
  <c r="BF35" i="163"/>
  <c r="BG35" i="163" s="1"/>
  <c r="BA35" i="163"/>
  <c r="BB35" i="163" s="1"/>
  <c r="AY35" i="163"/>
  <c r="BC35" i="163" s="1"/>
  <c r="BK35" i="159"/>
  <c r="BL35" i="159" s="1"/>
  <c r="BK35" i="163"/>
  <c r="BL35" i="163" s="1"/>
  <c r="G35" i="160"/>
  <c r="AO35" i="159"/>
  <c r="AQ35" i="159"/>
  <c r="AR35" i="159" s="1"/>
  <c r="AS35" i="159"/>
  <c r="CB35" i="163"/>
  <c r="BF35" i="159"/>
  <c r="BG35" i="159" s="1"/>
  <c r="BH35" i="159"/>
  <c r="BI35" i="159" s="1"/>
  <c r="BM35" i="159" s="1"/>
  <c r="CB35" i="159"/>
  <c r="CA35" i="163"/>
  <c r="BI35" i="163"/>
  <c r="BM35" i="163" s="1"/>
  <c r="BR35" i="160"/>
  <c r="CF35" i="160" s="1"/>
  <c r="BQ35" i="160"/>
  <c r="CE35" i="160" s="1"/>
  <c r="T35" i="162"/>
  <c r="BS35" i="160"/>
  <c r="CG35" i="160" s="1"/>
  <c r="BT35" i="160"/>
  <c r="CH35" i="160" s="1"/>
  <c r="AX35" i="162"/>
  <c r="CA35" i="159"/>
  <c r="AX35" i="159"/>
  <c r="AY35" i="159" s="1"/>
  <c r="BC35" i="159" s="1"/>
  <c r="AV35" i="159"/>
  <c r="AW35" i="159" s="1"/>
  <c r="AP35" i="162"/>
  <c r="H35" i="162"/>
  <c r="I35" i="162" s="1"/>
  <c r="M35" i="162" s="1"/>
  <c r="BY35" i="162"/>
  <c r="F35" i="162"/>
  <c r="G35" i="162" s="1"/>
  <c r="AN35" i="159"/>
  <c r="BZ35" i="159"/>
  <c r="AL35" i="159"/>
  <c r="F32" i="158"/>
  <c r="G32" i="158" s="1"/>
  <c r="K35" i="163"/>
  <c r="L35" i="163" s="1"/>
  <c r="I35" i="163"/>
  <c r="M35" i="163"/>
  <c r="AN35" i="163"/>
  <c r="AL35" i="163"/>
  <c r="BZ35" i="163"/>
  <c r="AK35" i="162"/>
  <c r="R35" i="163"/>
  <c r="S35" i="163" s="1"/>
  <c r="W35" i="163" s="1"/>
  <c r="P35" i="163"/>
  <c r="Q35" i="163" s="1"/>
  <c r="BX35" i="163"/>
  <c r="BA35" i="159"/>
  <c r="BB35" i="159" s="1"/>
  <c r="F35" i="163"/>
  <c r="H35" i="163"/>
  <c r="BY35" i="163"/>
  <c r="AZ35" i="162"/>
  <c r="Y35" i="162"/>
  <c r="J32" i="158"/>
  <c r="AD32" i="158"/>
  <c r="Y32" i="158"/>
  <c r="O32" i="158"/>
  <c r="H21" i="79" s="1"/>
  <c r="AU32" i="158"/>
  <c r="AX32" i="158" s="1"/>
  <c r="AP32" i="158"/>
  <c r="AQ32" i="158" s="1"/>
  <c r="AR32" i="158" s="1"/>
  <c r="H32" i="158"/>
  <c r="BJ32" i="158"/>
  <c r="BK32" i="158" s="1"/>
  <c r="BL32" i="158" s="1"/>
  <c r="AK32" i="158"/>
  <c r="AL32" i="158" s="1"/>
  <c r="BH32" i="158"/>
  <c r="BF32" i="158"/>
  <c r="BG32" i="158" s="1"/>
  <c r="AZ32" i="158"/>
  <c r="BA32" i="158" s="1"/>
  <c r="BB32" i="158" s="1"/>
  <c r="R35" i="162" l="1"/>
  <c r="CU34" i="162"/>
  <c r="CN34" i="162"/>
  <c r="F24" i="79"/>
  <c r="CK35" i="160"/>
  <c r="CV35" i="160"/>
  <c r="CN35" i="160"/>
  <c r="CR35" i="160"/>
  <c r="CQ35" i="160"/>
  <c r="CZ35" i="160"/>
  <c r="CU35" i="160"/>
  <c r="CY35" i="160"/>
  <c r="CL35" i="160"/>
  <c r="CT35" i="160"/>
  <c r="CP35" i="160"/>
  <c r="CS35" i="160"/>
  <c r="CM35" i="160"/>
  <c r="CW35" i="160"/>
  <c r="CO35" i="160"/>
  <c r="CX35" i="160"/>
  <c r="CT34" i="162"/>
  <c r="CR34" i="162"/>
  <c r="U23" i="79" s="1"/>
  <c r="CW34" i="162"/>
  <c r="CP34" i="162"/>
  <c r="S23" i="79" s="1"/>
  <c r="CO34" i="162"/>
  <c r="R23" i="79" s="1"/>
  <c r="CS34" i="162"/>
  <c r="CY34" i="162"/>
  <c r="CL34" i="162"/>
  <c r="CK34" i="162"/>
  <c r="CQ34" i="162"/>
  <c r="T23" i="79" s="1"/>
  <c r="CM34" i="162"/>
  <c r="CX34" i="162"/>
  <c r="CZ34" i="162"/>
  <c r="BT35" i="159"/>
  <c r="CH35" i="159" s="1"/>
  <c r="BU35" i="159"/>
  <c r="CI35" i="159" s="1"/>
  <c r="G21" i="79"/>
  <c r="BH35" i="162"/>
  <c r="BI35" i="162" s="1"/>
  <c r="BM35" i="162" s="1"/>
  <c r="E21" i="79"/>
  <c r="CB35" i="162"/>
  <c r="BP35" i="162" s="1"/>
  <c r="CD35" i="162" s="1"/>
  <c r="BK35" i="162"/>
  <c r="BL35" i="162" s="1"/>
  <c r="AU36" i="160"/>
  <c r="AK36" i="160"/>
  <c r="AL36" i="160" s="1"/>
  <c r="AM36" i="160" s="1"/>
  <c r="AZ36" i="160"/>
  <c r="BA36" i="160" s="1"/>
  <c r="BB36" i="160" s="1"/>
  <c r="BE36" i="160"/>
  <c r="BH36" i="160" s="1"/>
  <c r="AP36" i="160"/>
  <c r="AQ36" i="160" s="1"/>
  <c r="AR36" i="160" s="1"/>
  <c r="BJ36" i="160"/>
  <c r="BK36" i="160" s="1"/>
  <c r="BL36" i="160" s="1"/>
  <c r="G35" i="163"/>
  <c r="BS35" i="162"/>
  <c r="CG35" i="162" s="1"/>
  <c r="BT35" i="162"/>
  <c r="CH35" i="162" s="1"/>
  <c r="K32" i="158"/>
  <c r="L32" i="158" s="1"/>
  <c r="I21" i="79"/>
  <c r="BP35" i="163"/>
  <c r="CD35" i="163" s="1"/>
  <c r="BR35" i="163"/>
  <c r="CF35" i="163" s="1"/>
  <c r="BQ35" i="163"/>
  <c r="CE35" i="163" s="1"/>
  <c r="BW35" i="162"/>
  <c r="BU35" i="162" s="1"/>
  <c r="CI35" i="162" s="1"/>
  <c r="AB35" i="162"/>
  <c r="AC35" i="162" s="1"/>
  <c r="AG35" i="162" s="1"/>
  <c r="Z35" i="162"/>
  <c r="AA35" i="162" s="1"/>
  <c r="AM35" i="163"/>
  <c r="O36" i="160"/>
  <c r="J36" i="160"/>
  <c r="AD36" i="160"/>
  <c r="E36" i="160"/>
  <c r="Y36" i="160"/>
  <c r="T36" i="160"/>
  <c r="BA35" i="162"/>
  <c r="BB35" i="162" s="1"/>
  <c r="AM35" i="159"/>
  <c r="J36" i="159" s="1"/>
  <c r="AQ35" i="162"/>
  <c r="AR35" i="162" s="1"/>
  <c r="BX35" i="162"/>
  <c r="S35" i="162"/>
  <c r="W35" i="162" s="1"/>
  <c r="U35" i="162"/>
  <c r="V35" i="162" s="1"/>
  <c r="AN35" i="162"/>
  <c r="AO35" i="162" s="1"/>
  <c r="AS35" i="162" s="1"/>
  <c r="BZ35" i="162"/>
  <c r="AL35" i="162"/>
  <c r="AB32" i="158"/>
  <c r="AC32" i="158" s="1"/>
  <c r="AG32" i="158" s="1"/>
  <c r="BP35" i="159"/>
  <c r="CD35" i="159" s="1"/>
  <c r="BR35" i="159"/>
  <c r="CF35" i="159" s="1"/>
  <c r="BQ35" i="159"/>
  <c r="CE35" i="159" s="1"/>
  <c r="AY35" i="162"/>
  <c r="BC35" i="162" s="1"/>
  <c r="P32" i="158"/>
  <c r="Q32" i="158" s="1"/>
  <c r="AE32" i="158"/>
  <c r="AF32" i="158" s="1"/>
  <c r="K21" i="79"/>
  <c r="BS35" i="163"/>
  <c r="CG35" i="163" s="1"/>
  <c r="BU35" i="163"/>
  <c r="CI35" i="163" s="1"/>
  <c r="BT35" i="163"/>
  <c r="CH35" i="163" s="1"/>
  <c r="CA35" i="162"/>
  <c r="I32" i="158"/>
  <c r="M32" i="158" s="1"/>
  <c r="BY32" i="158"/>
  <c r="Z32" i="158"/>
  <c r="AA32" i="158" s="1"/>
  <c r="AV32" i="158"/>
  <c r="AW32" i="158" s="1"/>
  <c r="BW32" i="158"/>
  <c r="R32" i="158"/>
  <c r="S32" i="158" s="1"/>
  <c r="W32" i="158" s="1"/>
  <c r="BI32" i="158"/>
  <c r="BM32" i="158" s="1"/>
  <c r="BZ32" i="158"/>
  <c r="CB32" i="158"/>
  <c r="AN32" i="158"/>
  <c r="AO32" i="158" s="1"/>
  <c r="AS32" i="158" s="1"/>
  <c r="BX32" i="158"/>
  <c r="AY32" i="158"/>
  <c r="BC32" i="158" s="1"/>
  <c r="CA32" i="158"/>
  <c r="AM32" i="158"/>
  <c r="CN35" i="163" l="1"/>
  <c r="CV35" i="163"/>
  <c r="CM35" i="163"/>
  <c r="CP35" i="163"/>
  <c r="CR35" i="163"/>
  <c r="CK35" i="163"/>
  <c r="CL35" i="163"/>
  <c r="CO35" i="163"/>
  <c r="CQ35" i="163"/>
  <c r="CZ35" i="163"/>
  <c r="CU35" i="163"/>
  <c r="CS35" i="163"/>
  <c r="CT35" i="163"/>
  <c r="CX35" i="163"/>
  <c r="CY35" i="163"/>
  <c r="CW35" i="163"/>
  <c r="CM35" i="159"/>
  <c r="CL35" i="159"/>
  <c r="CS35" i="159"/>
  <c r="CR35" i="159"/>
  <c r="CQ35" i="159"/>
  <c r="CK35" i="159"/>
  <c r="CO35" i="159"/>
  <c r="CP35" i="159"/>
  <c r="CN35" i="159"/>
  <c r="CU35" i="159"/>
  <c r="CT35" i="159"/>
  <c r="CV35" i="159"/>
  <c r="CW35" i="159"/>
  <c r="CX35" i="159"/>
  <c r="CZ35" i="159"/>
  <c r="CY35" i="159"/>
  <c r="L21" i="79"/>
  <c r="CA36" i="160"/>
  <c r="AN36" i="160"/>
  <c r="AO36" i="160" s="1"/>
  <c r="AS36" i="160" s="1"/>
  <c r="AV36" i="160"/>
  <c r="AW36" i="160" s="1"/>
  <c r="AX36" i="160"/>
  <c r="AY36" i="160" s="1"/>
  <c r="BC36" i="160" s="1"/>
  <c r="BI36" i="160"/>
  <c r="BM36" i="160" s="1"/>
  <c r="BF36" i="160"/>
  <c r="BG36" i="160" s="1"/>
  <c r="BZ36" i="160"/>
  <c r="BR36" i="160" s="1"/>
  <c r="CF36" i="160" s="1"/>
  <c r="CB36" i="160"/>
  <c r="BP36" i="160" s="1"/>
  <c r="CD36" i="160" s="1"/>
  <c r="AU36" i="163"/>
  <c r="AX36" i="163" s="1"/>
  <c r="Y36" i="163"/>
  <c r="AB36" i="163" s="1"/>
  <c r="M36" i="159"/>
  <c r="K36" i="159"/>
  <c r="L36" i="159" s="1"/>
  <c r="K36" i="160"/>
  <c r="L36" i="160" s="1"/>
  <c r="BR35" i="162"/>
  <c r="CF35" i="162" s="1"/>
  <c r="BQ35" i="162"/>
  <c r="CE35" i="162" s="1"/>
  <c r="R36" i="160"/>
  <c r="S36" i="160" s="1"/>
  <c r="W36" i="160" s="1"/>
  <c r="P36" i="160"/>
  <c r="Q36" i="160" s="1"/>
  <c r="BX36" i="160"/>
  <c r="T36" i="159"/>
  <c r="T36" i="163"/>
  <c r="BJ36" i="159"/>
  <c r="AP36" i="159"/>
  <c r="BE36" i="159"/>
  <c r="AK36" i="159"/>
  <c r="AZ36" i="159"/>
  <c r="AU36" i="159"/>
  <c r="E36" i="159"/>
  <c r="BJ36" i="163"/>
  <c r="AD36" i="163"/>
  <c r="U36" i="160"/>
  <c r="V36" i="160" s="1"/>
  <c r="BE36" i="163"/>
  <c r="Y36" i="159"/>
  <c r="BW36" i="160"/>
  <c r="BU36" i="160" s="1"/>
  <c r="CI36" i="160" s="1"/>
  <c r="AB36" i="160"/>
  <c r="AC36" i="160" s="1"/>
  <c r="AG36" i="160" s="1"/>
  <c r="Z36" i="160"/>
  <c r="AA36" i="160" s="1"/>
  <c r="J36" i="163"/>
  <c r="E36" i="163"/>
  <c r="O36" i="163"/>
  <c r="AK36" i="163"/>
  <c r="AP36" i="163"/>
  <c r="O36" i="159"/>
  <c r="AD36" i="159"/>
  <c r="BY36" i="160"/>
  <c r="F36" i="160"/>
  <c r="H36" i="160"/>
  <c r="I36" i="160" s="1"/>
  <c r="M36" i="160" s="1"/>
  <c r="AM35" i="162"/>
  <c r="E36" i="162" s="1"/>
  <c r="AE36" i="160"/>
  <c r="AF36" i="160" s="1"/>
  <c r="AZ36" i="163"/>
  <c r="CA36" i="163" s="1"/>
  <c r="BT32" i="158"/>
  <c r="CH32" i="158" s="1"/>
  <c r="BU32" i="158"/>
  <c r="CI32" i="158" s="1"/>
  <c r="BS32" i="158"/>
  <c r="BP32" i="158"/>
  <c r="CD32" i="158" s="1"/>
  <c r="BQ32" i="158"/>
  <c r="CE32" i="158" s="1"/>
  <c r="BR32" i="158"/>
  <c r="CF32" i="158" s="1"/>
  <c r="BQ36" i="160" l="1"/>
  <c r="CE36" i="160" s="1"/>
  <c r="CL35" i="162"/>
  <c r="CM35" i="162"/>
  <c r="CP35" i="162"/>
  <c r="S24" i="79" s="1"/>
  <c r="CY35" i="162"/>
  <c r="CR35" i="162"/>
  <c r="U24" i="79" s="1"/>
  <c r="CX35" i="162"/>
  <c r="CK35" i="162"/>
  <c r="CW35" i="162"/>
  <c r="CQ35" i="162"/>
  <c r="T24" i="79" s="1"/>
  <c r="CU35" i="162"/>
  <c r="CN35" i="162"/>
  <c r="CS35" i="162"/>
  <c r="CV35" i="162"/>
  <c r="CT35" i="162"/>
  <c r="CZ35" i="162"/>
  <c r="CO35" i="162"/>
  <c r="R24" i="79" s="1"/>
  <c r="J33" i="158"/>
  <c r="K33" i="158" s="1"/>
  <c r="L33" i="158" s="1"/>
  <c r="CG32" i="158"/>
  <c r="CY32" i="158" s="1"/>
  <c r="AB21" i="79" s="1"/>
  <c r="AD36" i="162"/>
  <c r="AV36" i="163"/>
  <c r="AW36" i="163" s="1"/>
  <c r="BW36" i="163"/>
  <c r="Z36" i="163"/>
  <c r="AA36" i="163" s="1"/>
  <c r="H36" i="162"/>
  <c r="F36" i="162"/>
  <c r="G36" i="162" s="1"/>
  <c r="P36" i="159"/>
  <c r="Q36" i="159" s="1"/>
  <c r="BX36" i="159"/>
  <c r="R36" i="159"/>
  <c r="S36" i="159" s="1"/>
  <c r="W36" i="159" s="1"/>
  <c r="F36" i="159"/>
  <c r="G36" i="159" s="1"/>
  <c r="H36" i="159"/>
  <c r="I36" i="159" s="1"/>
  <c r="BY36" i="159"/>
  <c r="O36" i="162"/>
  <c r="AU36" i="162"/>
  <c r="AK36" i="162"/>
  <c r="BE36" i="162"/>
  <c r="BJ36" i="162"/>
  <c r="AP36" i="162"/>
  <c r="AZ36" i="162"/>
  <c r="AC36" i="163"/>
  <c r="AG36" i="163" s="1"/>
  <c r="AE36" i="159"/>
  <c r="AF36" i="159" s="1"/>
  <c r="AS36" i="163"/>
  <c r="AQ36" i="163"/>
  <c r="AR36" i="163" s="1"/>
  <c r="T36" i="162"/>
  <c r="U36" i="163"/>
  <c r="V36" i="163" s="1"/>
  <c r="AB36" i="159"/>
  <c r="AC36" i="159" s="1"/>
  <c r="AG36" i="159" s="1"/>
  <c r="BW36" i="159"/>
  <c r="Z36" i="159"/>
  <c r="AA36" i="159" s="1"/>
  <c r="AV36" i="159"/>
  <c r="AW36" i="159" s="1"/>
  <c r="CA36" i="159"/>
  <c r="AX36" i="159"/>
  <c r="AY36" i="159" s="1"/>
  <c r="BC36" i="159" s="1"/>
  <c r="U36" i="159"/>
  <c r="V36" i="159" s="1"/>
  <c r="Y36" i="162"/>
  <c r="P36" i="163"/>
  <c r="Q36" i="163" s="1"/>
  <c r="BX36" i="163"/>
  <c r="R36" i="163"/>
  <c r="S36" i="163" s="1"/>
  <c r="W36" i="163" s="1"/>
  <c r="CB36" i="163"/>
  <c r="BH36" i="163"/>
  <c r="BI36" i="163" s="1"/>
  <c r="BM36" i="163" s="1"/>
  <c r="BF36" i="163"/>
  <c r="BG36" i="163" s="1"/>
  <c r="BA36" i="159"/>
  <c r="BB36" i="159" s="1"/>
  <c r="AN36" i="163"/>
  <c r="AO36" i="163" s="1"/>
  <c r="BZ36" i="163"/>
  <c r="AL36" i="163"/>
  <c r="AM36" i="163" s="1"/>
  <c r="H36" i="163"/>
  <c r="I36" i="163" s="1"/>
  <c r="F36" i="163"/>
  <c r="BY36" i="163"/>
  <c r="AL36" i="159"/>
  <c r="BZ36" i="159"/>
  <c r="AN36" i="159"/>
  <c r="AO36" i="159" s="1"/>
  <c r="CB36" i="159"/>
  <c r="BK36" i="159"/>
  <c r="BL36" i="159" s="1"/>
  <c r="J36" i="162"/>
  <c r="M36" i="163"/>
  <c r="K36" i="163"/>
  <c r="L36" i="163" s="1"/>
  <c r="BH36" i="159"/>
  <c r="BI36" i="159" s="1"/>
  <c r="BM36" i="159" s="1"/>
  <c r="BF36" i="159"/>
  <c r="BG36" i="159" s="1"/>
  <c r="BK36" i="163"/>
  <c r="BL36" i="163" s="1"/>
  <c r="BA36" i="163"/>
  <c r="BB36" i="163" s="1"/>
  <c r="O33" i="158"/>
  <c r="G36" i="160"/>
  <c r="AP37" i="160" s="1"/>
  <c r="BT36" i="160"/>
  <c r="CH36" i="160" s="1"/>
  <c r="BS36" i="160"/>
  <c r="CG36" i="160" s="1"/>
  <c r="AE36" i="163"/>
  <c r="AF36" i="163" s="1"/>
  <c r="AS36" i="159"/>
  <c r="AQ36" i="159"/>
  <c r="AR36" i="159" s="1"/>
  <c r="AY36" i="163"/>
  <c r="BC36" i="163" s="1"/>
  <c r="BJ33" i="158"/>
  <c r="BK33" i="158" s="1"/>
  <c r="BL33" i="158" s="1"/>
  <c r="AD33" i="158"/>
  <c r="Y33" i="158"/>
  <c r="T33" i="158"/>
  <c r="U33" i="158" s="1"/>
  <c r="V33" i="158" s="1"/>
  <c r="E33" i="158"/>
  <c r="AU33" i="158"/>
  <c r="AV33" i="158" s="1"/>
  <c r="AW33" i="158" s="1"/>
  <c r="BE33" i="158"/>
  <c r="AP33" i="158"/>
  <c r="AQ33" i="158" s="1"/>
  <c r="AR33" i="158" s="1"/>
  <c r="AK33" i="158"/>
  <c r="AN33" i="158" s="1"/>
  <c r="AZ33" i="158"/>
  <c r="BA33" i="158" s="1"/>
  <c r="BB33" i="158" s="1"/>
  <c r="CL36" i="160" l="1"/>
  <c r="J25" i="79"/>
  <c r="CL32" i="158"/>
  <c r="O21" i="79" s="1"/>
  <c r="CV32" i="158"/>
  <c r="Y21" i="79" s="1"/>
  <c r="CT36" i="160"/>
  <c r="CQ36" i="160"/>
  <c r="CU32" i="158"/>
  <c r="X21" i="79" s="1"/>
  <c r="CX32" i="158"/>
  <c r="AA21" i="79" s="1"/>
  <c r="CN36" i="160"/>
  <c r="CV36" i="160"/>
  <c r="CR32" i="158"/>
  <c r="CW32" i="158"/>
  <c r="Z21" i="79" s="1"/>
  <c r="CR36" i="160"/>
  <c r="CP36" i="160"/>
  <c r="CK32" i="158"/>
  <c r="N21" i="79" s="1"/>
  <c r="CO32" i="158"/>
  <c r="CX36" i="160"/>
  <c r="CU36" i="160"/>
  <c r="CQ32" i="158"/>
  <c r="CT32" i="158"/>
  <c r="W21" i="79" s="1"/>
  <c r="CW36" i="160"/>
  <c r="CK36" i="160"/>
  <c r="CP32" i="158"/>
  <c r="CS32" i="158"/>
  <c r="V21" i="79" s="1"/>
  <c r="CS36" i="160"/>
  <c r="CO36" i="160"/>
  <c r="AE36" i="162"/>
  <c r="AF36" i="162" s="1"/>
  <c r="CN32" i="158"/>
  <c r="Q21" i="79" s="1"/>
  <c r="CZ32" i="158"/>
  <c r="AC21" i="79" s="1"/>
  <c r="CY36" i="160"/>
  <c r="CM36" i="160"/>
  <c r="CM32" i="158"/>
  <c r="P21" i="79" s="1"/>
  <c r="CZ36" i="160"/>
  <c r="G22" i="79"/>
  <c r="F25" i="79"/>
  <c r="BJ37" i="160"/>
  <c r="BK37" i="160" s="1"/>
  <c r="BL37" i="160" s="1"/>
  <c r="P33" i="158"/>
  <c r="Q33" i="158" s="1"/>
  <c r="H22" i="79"/>
  <c r="E22" i="79"/>
  <c r="AU37" i="160"/>
  <c r="AV37" i="160" s="1"/>
  <c r="AW37" i="160" s="1"/>
  <c r="AZ37" i="160"/>
  <c r="BA37" i="160" s="1"/>
  <c r="BB37" i="160" s="1"/>
  <c r="AK37" i="160"/>
  <c r="AL37" i="160" s="1"/>
  <c r="AM37" i="160" s="1"/>
  <c r="BE37" i="160"/>
  <c r="BH37" i="160" s="1"/>
  <c r="AQ37" i="160"/>
  <c r="AR37" i="160" s="1"/>
  <c r="K36" i="162"/>
  <c r="L36" i="162" s="1"/>
  <c r="AM36" i="159"/>
  <c r="BZ36" i="162"/>
  <c r="AL36" i="162"/>
  <c r="AN36" i="162"/>
  <c r="AO36" i="162" s="1"/>
  <c r="AS36" i="162" s="1"/>
  <c r="I22" i="79"/>
  <c r="AV36" i="162"/>
  <c r="AW36" i="162" s="1"/>
  <c r="AX36" i="162"/>
  <c r="AY36" i="162" s="1"/>
  <c r="BC36" i="162" s="1"/>
  <c r="CA36" i="162"/>
  <c r="BF36" i="162"/>
  <c r="BG36" i="162" s="1"/>
  <c r="CB36" i="162"/>
  <c r="BP36" i="162" s="1"/>
  <c r="CD36" i="162" s="1"/>
  <c r="BH36" i="162"/>
  <c r="BI36" i="162" s="1"/>
  <c r="BM36" i="162" s="1"/>
  <c r="BT36" i="163"/>
  <c r="CH36" i="163" s="1"/>
  <c r="BS36" i="163"/>
  <c r="CG36" i="163" s="1"/>
  <c r="BU36" i="163"/>
  <c r="CI36" i="163" s="1"/>
  <c r="P36" i="162"/>
  <c r="Q36" i="162" s="1"/>
  <c r="R36" i="162"/>
  <c r="S36" i="162" s="1"/>
  <c r="W36" i="162" s="1"/>
  <c r="BQ36" i="159"/>
  <c r="CE36" i="159" s="1"/>
  <c r="BP36" i="159"/>
  <c r="CD36" i="159" s="1"/>
  <c r="BR36" i="159"/>
  <c r="CF36" i="159" s="1"/>
  <c r="AE33" i="158"/>
  <c r="AF33" i="158" s="1"/>
  <c r="K22" i="79"/>
  <c r="Y37" i="160"/>
  <c r="AD37" i="160"/>
  <c r="E37" i="160"/>
  <c r="T37" i="160"/>
  <c r="O37" i="160"/>
  <c r="J37" i="160"/>
  <c r="G36" i="163"/>
  <c r="BQ36" i="163"/>
  <c r="CE36" i="163" s="1"/>
  <c r="BR36" i="163"/>
  <c r="CF36" i="163" s="1"/>
  <c r="BP36" i="163"/>
  <c r="CD36" i="163" s="1"/>
  <c r="Z33" i="158"/>
  <c r="AA33" i="158" s="1"/>
  <c r="R33" i="158"/>
  <c r="S33" i="158" s="1"/>
  <c r="W33" i="158" s="1"/>
  <c r="BA36" i="162"/>
  <c r="BB36" i="162" s="1"/>
  <c r="BU36" i="159"/>
  <c r="CI36" i="159" s="1"/>
  <c r="BT36" i="159"/>
  <c r="CH36" i="159" s="1"/>
  <c r="BS36" i="159"/>
  <c r="CG36" i="159" s="1"/>
  <c r="CB33" i="158"/>
  <c r="BX36" i="162"/>
  <c r="U36" i="162"/>
  <c r="V36" i="162" s="1"/>
  <c r="AQ36" i="162"/>
  <c r="AR36" i="162" s="1"/>
  <c r="BY36" i="162"/>
  <c r="H33" i="158"/>
  <c r="AB36" i="162"/>
  <c r="AC36" i="162" s="1"/>
  <c r="AG36" i="162" s="1"/>
  <c r="Z36" i="162"/>
  <c r="AA36" i="162" s="1"/>
  <c r="BW36" i="162"/>
  <c r="BU36" i="162" s="1"/>
  <c r="CI36" i="162" s="1"/>
  <c r="BK36" i="162"/>
  <c r="BL36" i="162" s="1"/>
  <c r="I36" i="162"/>
  <c r="M36" i="162" s="1"/>
  <c r="BX33" i="158"/>
  <c r="AB33" i="158"/>
  <c r="AC33" i="158" s="1"/>
  <c r="AG33" i="158" s="1"/>
  <c r="I33" i="158"/>
  <c r="M33" i="158" s="1"/>
  <c r="F33" i="158"/>
  <c r="G33" i="158" s="1"/>
  <c r="BY33" i="158"/>
  <c r="BW33" i="158"/>
  <c r="AL33" i="158"/>
  <c r="AM33" i="158" s="1"/>
  <c r="AO33" i="158"/>
  <c r="AS33" i="158" s="1"/>
  <c r="AX33" i="158"/>
  <c r="AY33" i="158" s="1"/>
  <c r="BC33" i="158" s="1"/>
  <c r="BF33" i="158"/>
  <c r="BG33" i="158" s="1"/>
  <c r="BH33" i="158"/>
  <c r="BI33" i="158" s="1"/>
  <c r="BM33" i="158" s="1"/>
  <c r="CA33" i="158"/>
  <c r="BZ33" i="158"/>
  <c r="BI37" i="160" l="1"/>
  <c r="BM37" i="160" s="1"/>
  <c r="CK36" i="159"/>
  <c r="CS36" i="159"/>
  <c r="CR36" i="159"/>
  <c r="CP36" i="159"/>
  <c r="CO36" i="159"/>
  <c r="CN36" i="159"/>
  <c r="CQ36" i="159"/>
  <c r="CL36" i="159"/>
  <c r="CM36" i="159"/>
  <c r="CT36" i="159"/>
  <c r="CU36" i="159"/>
  <c r="CW36" i="159"/>
  <c r="CV36" i="159"/>
  <c r="CZ36" i="159"/>
  <c r="CX36" i="159"/>
  <c r="CY36" i="159"/>
  <c r="AN37" i="160"/>
  <c r="AO37" i="160" s="1"/>
  <c r="AS37" i="160" s="1"/>
  <c r="CM36" i="163"/>
  <c r="CV36" i="163"/>
  <c r="CN36" i="163"/>
  <c r="CP36" i="163"/>
  <c r="CK36" i="163"/>
  <c r="CO36" i="163"/>
  <c r="CR36" i="163"/>
  <c r="CL36" i="163"/>
  <c r="CQ36" i="163"/>
  <c r="CS36" i="163"/>
  <c r="CU36" i="163"/>
  <c r="CT36" i="163"/>
  <c r="CZ36" i="163"/>
  <c r="CY36" i="163"/>
  <c r="CX36" i="163"/>
  <c r="CW36" i="163"/>
  <c r="L22" i="79"/>
  <c r="CA37" i="160"/>
  <c r="BJ37" i="159"/>
  <c r="AX37" i="160"/>
  <c r="AY37" i="160" s="1"/>
  <c r="BC37" i="160" s="1"/>
  <c r="CB37" i="160"/>
  <c r="BP37" i="160" s="1"/>
  <c r="CD37" i="160" s="1"/>
  <c r="BZ37" i="160"/>
  <c r="BQ37" i="160" s="1"/>
  <c r="CE37" i="160" s="1"/>
  <c r="J37" i="163"/>
  <c r="M37" i="163" s="1"/>
  <c r="BE37" i="163"/>
  <c r="BF37" i="163" s="1"/>
  <c r="BG37" i="163" s="1"/>
  <c r="Y37" i="159"/>
  <c r="Z37" i="159" s="1"/>
  <c r="AA37" i="159" s="1"/>
  <c r="AP37" i="163"/>
  <c r="AQ37" i="163" s="1"/>
  <c r="AR37" i="163" s="1"/>
  <c r="E37" i="159"/>
  <c r="H37" i="159" s="1"/>
  <c r="BF37" i="160"/>
  <c r="BG37" i="160" s="1"/>
  <c r="T37" i="163"/>
  <c r="U37" i="163" s="1"/>
  <c r="V37" i="163" s="1"/>
  <c r="AU37" i="163"/>
  <c r="AX37" i="163" s="1"/>
  <c r="E37" i="163"/>
  <c r="H37" i="163" s="1"/>
  <c r="I37" i="163" s="1"/>
  <c r="AB37" i="160"/>
  <c r="AC37" i="160" s="1"/>
  <c r="AG37" i="160" s="1"/>
  <c r="Z37" i="160"/>
  <c r="AA37" i="160" s="1"/>
  <c r="BW37" i="160"/>
  <c r="BU37" i="160" s="1"/>
  <c r="CI37" i="160" s="1"/>
  <c r="BK37" i="159"/>
  <c r="BL37" i="159" s="1"/>
  <c r="BT36" i="162"/>
  <c r="CH36" i="162" s="1"/>
  <c r="BS36" i="162"/>
  <c r="CG36" i="162" s="1"/>
  <c r="AZ37" i="163"/>
  <c r="BJ37" i="163"/>
  <c r="AD37" i="163"/>
  <c r="Y37" i="163"/>
  <c r="K37" i="160"/>
  <c r="L37" i="160" s="1"/>
  <c r="AP37" i="159"/>
  <c r="AK37" i="159"/>
  <c r="AZ37" i="159"/>
  <c r="AU37" i="159"/>
  <c r="BE37" i="159"/>
  <c r="AM36" i="162"/>
  <c r="P37" i="160"/>
  <c r="Q37" i="160" s="1"/>
  <c r="BX37" i="160"/>
  <c r="R37" i="160"/>
  <c r="S37" i="160" s="1"/>
  <c r="W37" i="160" s="1"/>
  <c r="BR36" i="162"/>
  <c r="CF36" i="162" s="1"/>
  <c r="BQ36" i="162"/>
  <c r="CE36" i="162" s="1"/>
  <c r="U37" i="160"/>
  <c r="V37" i="160" s="1"/>
  <c r="O37" i="163"/>
  <c r="AD37" i="159"/>
  <c r="J37" i="159"/>
  <c r="BY37" i="159" s="1"/>
  <c r="H37" i="160"/>
  <c r="I37" i="160" s="1"/>
  <c r="M37" i="160" s="1"/>
  <c r="F37" i="160"/>
  <c r="BY37" i="160"/>
  <c r="O37" i="159"/>
  <c r="T37" i="159"/>
  <c r="AK37" i="163"/>
  <c r="AE37" i="160"/>
  <c r="AF37" i="160" s="1"/>
  <c r="BS33" i="158"/>
  <c r="CG33" i="158" s="1"/>
  <c r="BT33" i="158"/>
  <c r="CH33" i="158" s="1"/>
  <c r="BU33" i="158"/>
  <c r="CI33" i="158" s="1"/>
  <c r="BQ33" i="158"/>
  <c r="CE33" i="158" s="1"/>
  <c r="BP33" i="158"/>
  <c r="CD33" i="158" s="1"/>
  <c r="BR33" i="158"/>
  <c r="CF33" i="158" s="1"/>
  <c r="BR37" i="160" l="1"/>
  <c r="CF37" i="160" s="1"/>
  <c r="K37" i="163"/>
  <c r="L37" i="163" s="1"/>
  <c r="CM36" i="162"/>
  <c r="CP36" i="162"/>
  <c r="S25" i="79" s="1"/>
  <c r="CY36" i="162"/>
  <c r="CR36" i="162"/>
  <c r="U25" i="79" s="1"/>
  <c r="CX36" i="162"/>
  <c r="CV36" i="162"/>
  <c r="CZ33" i="158"/>
  <c r="AC22" i="79" s="1"/>
  <c r="CS33" i="158"/>
  <c r="V22" i="79" s="1"/>
  <c r="CU33" i="158"/>
  <c r="X22" i="79" s="1"/>
  <c r="CR33" i="158"/>
  <c r="CX33" i="158"/>
  <c r="AA22" i="79" s="1"/>
  <c r="CV33" i="158"/>
  <c r="Y22" i="79" s="1"/>
  <c r="CY33" i="158"/>
  <c r="AB22" i="79" s="1"/>
  <c r="CO33" i="158"/>
  <c r="CP33" i="158"/>
  <c r="CW33" i="158"/>
  <c r="Z22" i="79" s="1"/>
  <c r="CQ33" i="158"/>
  <c r="CN33" i="158"/>
  <c r="Q22" i="79" s="1"/>
  <c r="CT33" i="158"/>
  <c r="W22" i="79" s="1"/>
  <c r="CK33" i="158"/>
  <c r="N22" i="79" s="1"/>
  <c r="CL33" i="158"/>
  <c r="O22" i="79" s="1"/>
  <c r="CM33" i="158"/>
  <c r="P22" i="79" s="1"/>
  <c r="CW36" i="162"/>
  <c r="CO36" i="162"/>
  <c r="R25" i="79" s="1"/>
  <c r="CK36" i="162"/>
  <c r="CS36" i="162"/>
  <c r="CZ36" i="162"/>
  <c r="CT36" i="162"/>
  <c r="CN36" i="162"/>
  <c r="CU36" i="162"/>
  <c r="CQ36" i="162"/>
  <c r="T25" i="79" s="1"/>
  <c r="CL36" i="162"/>
  <c r="AB37" i="159"/>
  <c r="AC37" i="159" s="1"/>
  <c r="AG37" i="159" s="1"/>
  <c r="BW37" i="159"/>
  <c r="CB37" i="163"/>
  <c r="BH37" i="163"/>
  <c r="BI37" i="163" s="1"/>
  <c r="BM37" i="163" s="1"/>
  <c r="AS37" i="163"/>
  <c r="F37" i="159"/>
  <c r="G37" i="159" s="1"/>
  <c r="BJ37" i="162"/>
  <c r="BK37" i="162" s="1"/>
  <c r="BL37" i="162" s="1"/>
  <c r="F37" i="163"/>
  <c r="G37" i="163" s="1"/>
  <c r="AV37" i="163"/>
  <c r="AW37" i="163" s="1"/>
  <c r="AP37" i="162"/>
  <c r="AQ37" i="162" s="1"/>
  <c r="AR37" i="162" s="1"/>
  <c r="BY37" i="163"/>
  <c r="AK34" i="158"/>
  <c r="AN34" i="158" s="1"/>
  <c r="BE37" i="162"/>
  <c r="BF37" i="162" s="1"/>
  <c r="BG37" i="162" s="1"/>
  <c r="AZ37" i="162"/>
  <c r="BA37" i="162" s="1"/>
  <c r="BB37" i="162" s="1"/>
  <c r="BS37" i="160"/>
  <c r="CG37" i="160" s="1"/>
  <c r="BT37" i="160"/>
  <c r="CH37" i="160" s="1"/>
  <c r="BF37" i="159"/>
  <c r="BG37" i="159" s="1"/>
  <c r="BH37" i="159"/>
  <c r="BI37" i="159" s="1"/>
  <c r="BM37" i="159" s="1"/>
  <c r="CB37" i="159"/>
  <c r="AE37" i="163"/>
  <c r="AF37" i="163" s="1"/>
  <c r="I37" i="159"/>
  <c r="E37" i="162"/>
  <c r="Y37" i="162"/>
  <c r="T37" i="162"/>
  <c r="O37" i="162"/>
  <c r="BX37" i="163"/>
  <c r="P37" i="163"/>
  <c r="Q37" i="163" s="1"/>
  <c r="R37" i="163"/>
  <c r="S37" i="163" s="1"/>
  <c r="W37" i="163" s="1"/>
  <c r="AV37" i="159"/>
  <c r="AW37" i="159" s="1"/>
  <c r="AX37" i="159"/>
  <c r="AY37" i="159" s="1"/>
  <c r="BC37" i="159" s="1"/>
  <c r="CA37" i="159"/>
  <c r="G37" i="160"/>
  <c r="BJ38" i="160" s="1"/>
  <c r="BA37" i="159"/>
  <c r="BB37" i="159" s="1"/>
  <c r="BZ37" i="159"/>
  <c r="AN37" i="159"/>
  <c r="AO37" i="159" s="1"/>
  <c r="AL37" i="159"/>
  <c r="BK37" i="163"/>
  <c r="BL37" i="163" s="1"/>
  <c r="AK37" i="162"/>
  <c r="AN37" i="163"/>
  <c r="AO37" i="163" s="1"/>
  <c r="AL37" i="163"/>
  <c r="BZ37" i="163"/>
  <c r="AS37" i="159"/>
  <c r="AQ37" i="159"/>
  <c r="AR37" i="159" s="1"/>
  <c r="BA37" i="163"/>
  <c r="BB37" i="163" s="1"/>
  <c r="AU37" i="162"/>
  <c r="CA37" i="163"/>
  <c r="AB37" i="163"/>
  <c r="AC37" i="163" s="1"/>
  <c r="AG37" i="163" s="1"/>
  <c r="BW37" i="163"/>
  <c r="Z37" i="163"/>
  <c r="AA37" i="163" s="1"/>
  <c r="BX37" i="159"/>
  <c r="BU37" i="159" s="1"/>
  <c r="CI37" i="159" s="1"/>
  <c r="P37" i="159"/>
  <c r="Q37" i="159" s="1"/>
  <c r="R37" i="159"/>
  <c r="S37" i="159" s="1"/>
  <c r="W37" i="159" s="1"/>
  <c r="AE37" i="159"/>
  <c r="AF37" i="159" s="1"/>
  <c r="J37" i="162"/>
  <c r="U37" i="159"/>
  <c r="V37" i="159" s="1"/>
  <c r="M37" i="159"/>
  <c r="K37" i="159"/>
  <c r="AD37" i="162"/>
  <c r="AY37" i="163"/>
  <c r="BC37" i="163" s="1"/>
  <c r="AU34" i="158"/>
  <c r="AX34" i="158" s="1"/>
  <c r="BJ34" i="158"/>
  <c r="BK34" i="158" s="1"/>
  <c r="BL34" i="158" s="1"/>
  <c r="AZ34" i="158"/>
  <c r="BA34" i="158" s="1"/>
  <c r="BB34" i="158" s="1"/>
  <c r="BE34" i="158"/>
  <c r="BH34" i="158" s="1"/>
  <c r="AP34" i="158"/>
  <c r="AQ34" i="158" s="1"/>
  <c r="AR34" i="158" s="1"/>
  <c r="Y34" i="158"/>
  <c r="T34" i="158"/>
  <c r="U34" i="158" s="1"/>
  <c r="V34" i="158" s="1"/>
  <c r="O34" i="158"/>
  <c r="H23" i="79" s="1"/>
  <c r="J34" i="158"/>
  <c r="E34" i="158"/>
  <c r="E23" i="79" s="1"/>
  <c r="AD34" i="158"/>
  <c r="AL34" i="158"/>
  <c r="AM34" i="158" s="1"/>
  <c r="F26" i="79" l="1"/>
  <c r="CQ37" i="160"/>
  <c r="BT37" i="163"/>
  <c r="CH37" i="163" s="1"/>
  <c r="CS37" i="160"/>
  <c r="CK37" i="160"/>
  <c r="CY37" i="160"/>
  <c r="CR37" i="160"/>
  <c r="CZ37" i="160"/>
  <c r="CM37" i="160"/>
  <c r="CT37" i="160"/>
  <c r="CL37" i="160"/>
  <c r="CO37" i="160"/>
  <c r="CV37" i="160"/>
  <c r="CU37" i="160"/>
  <c r="CN37" i="160"/>
  <c r="CW37" i="160"/>
  <c r="CP37" i="160"/>
  <c r="CX37" i="160"/>
  <c r="BU37" i="163"/>
  <c r="CI37" i="163" s="1"/>
  <c r="AZ38" i="160"/>
  <c r="BA38" i="160" s="1"/>
  <c r="BB38" i="160" s="1"/>
  <c r="G23" i="79"/>
  <c r="K23" i="79"/>
  <c r="CB37" i="162"/>
  <c r="BP37" i="162" s="1"/>
  <c r="CD37" i="162" s="1"/>
  <c r="AV34" i="158"/>
  <c r="AW34" i="158" s="1"/>
  <c r="AP38" i="160"/>
  <c r="AS38" i="160" s="1"/>
  <c r="CA34" i="158"/>
  <c r="AK38" i="160"/>
  <c r="AL38" i="160" s="1"/>
  <c r="AM38" i="160" s="1"/>
  <c r="BH37" i="162"/>
  <c r="BI37" i="162" s="1"/>
  <c r="BM37" i="162" s="1"/>
  <c r="AU38" i="160"/>
  <c r="AV38" i="160" s="1"/>
  <c r="AW38" i="160" s="1"/>
  <c r="BE38" i="160"/>
  <c r="BH38" i="160" s="1"/>
  <c r="BI38" i="160" s="1"/>
  <c r="BM38" i="160" s="1"/>
  <c r="AE37" i="162"/>
  <c r="AF37" i="162" s="1"/>
  <c r="J26" i="79"/>
  <c r="BS37" i="163"/>
  <c r="CG37" i="163" s="1"/>
  <c r="CA37" i="162"/>
  <c r="AX37" i="162"/>
  <c r="AY37" i="162" s="1"/>
  <c r="BC37" i="162" s="1"/>
  <c r="AV37" i="162"/>
  <c r="AW37" i="162" s="1"/>
  <c r="AM37" i="163"/>
  <c r="P37" i="162"/>
  <c r="Q37" i="162" s="1"/>
  <c r="R37" i="162"/>
  <c r="S37" i="162" s="1"/>
  <c r="W37" i="162" s="1"/>
  <c r="BX37" i="162"/>
  <c r="BP37" i="163"/>
  <c r="CD37" i="163" s="1"/>
  <c r="BR37" i="163"/>
  <c r="CF37" i="163" s="1"/>
  <c r="BQ37" i="163"/>
  <c r="CE37" i="163" s="1"/>
  <c r="AM37" i="159"/>
  <c r="BR37" i="159"/>
  <c r="CF37" i="159" s="1"/>
  <c r="U37" i="162"/>
  <c r="V37" i="162" s="1"/>
  <c r="O38" i="160"/>
  <c r="E38" i="160"/>
  <c r="J38" i="160"/>
  <c r="T38" i="160"/>
  <c r="Y38" i="160"/>
  <c r="AD38" i="160"/>
  <c r="L37" i="159"/>
  <c r="Z37" i="162"/>
  <c r="AA37" i="162" s="1"/>
  <c r="AB37" i="162"/>
  <c r="AC37" i="162" s="1"/>
  <c r="AG37" i="162" s="1"/>
  <c r="BW37" i="162"/>
  <c r="BU37" i="162" s="1"/>
  <c r="CI37" i="162" s="1"/>
  <c r="BQ37" i="159"/>
  <c r="CE37" i="159" s="1"/>
  <c r="BP37" i="159"/>
  <c r="CD37" i="159" s="1"/>
  <c r="H37" i="162"/>
  <c r="I37" i="162" s="1"/>
  <c r="M37" i="162" s="1"/>
  <c r="F37" i="162"/>
  <c r="BY37" i="162"/>
  <c r="BT37" i="159"/>
  <c r="CH37" i="159" s="1"/>
  <c r="AN37" i="162"/>
  <c r="AO37" i="162" s="1"/>
  <c r="AS37" i="162" s="1"/>
  <c r="AL37" i="162"/>
  <c r="AM37" i="162" s="1"/>
  <c r="BZ37" i="162"/>
  <c r="BS37" i="159"/>
  <c r="CG37" i="159" s="1"/>
  <c r="K34" i="158"/>
  <c r="L34" i="158" s="1"/>
  <c r="I23" i="79"/>
  <c r="K37" i="162"/>
  <c r="L37" i="162" s="1"/>
  <c r="BK38" i="160"/>
  <c r="BL38" i="160" s="1"/>
  <c r="CB34" i="158"/>
  <c r="BZ34" i="158"/>
  <c r="BP34" i="158" s="1"/>
  <c r="CD34" i="158" s="1"/>
  <c r="AY34" i="158"/>
  <c r="BC34" i="158" s="1"/>
  <c r="BF34" i="158"/>
  <c r="BG34" i="158" s="1"/>
  <c r="BI34" i="158"/>
  <c r="BM34" i="158" s="1"/>
  <c r="AO34" i="158"/>
  <c r="AS34" i="158" s="1"/>
  <c r="F34" i="158"/>
  <c r="G34" i="158" s="1"/>
  <c r="BY34" i="158"/>
  <c r="H34" i="158"/>
  <c r="I34" i="158" s="1"/>
  <c r="M34" i="158" s="1"/>
  <c r="AE34" i="158"/>
  <c r="AF34" i="158" s="1"/>
  <c r="R34" i="158"/>
  <c r="S34" i="158" s="1"/>
  <c r="W34" i="158" s="1"/>
  <c r="P34" i="158"/>
  <c r="Q34" i="158" s="1"/>
  <c r="BX34" i="158"/>
  <c r="AB34" i="158"/>
  <c r="AC34" i="158" s="1"/>
  <c r="AG34" i="158" s="1"/>
  <c r="Z34" i="158"/>
  <c r="AA34" i="158" s="1"/>
  <c r="BW34" i="158"/>
  <c r="CB38" i="160" l="1"/>
  <c r="BP38" i="160" s="1"/>
  <c r="CD38" i="160" s="1"/>
  <c r="CO37" i="159"/>
  <c r="CK37" i="159"/>
  <c r="CR37" i="159"/>
  <c r="CN37" i="159"/>
  <c r="CS37" i="159"/>
  <c r="CQ37" i="159"/>
  <c r="CP37" i="159"/>
  <c r="CV37" i="159"/>
  <c r="CT37" i="159"/>
  <c r="CW37" i="159"/>
  <c r="CU37" i="159"/>
  <c r="CX37" i="159"/>
  <c r="CZ37" i="159"/>
  <c r="CY37" i="159"/>
  <c r="CP37" i="163"/>
  <c r="CK37" i="163"/>
  <c r="CN37" i="163"/>
  <c r="CM37" i="163"/>
  <c r="CR37" i="163"/>
  <c r="CV37" i="163"/>
  <c r="CO37" i="163"/>
  <c r="CL37" i="163"/>
  <c r="CQ37" i="163"/>
  <c r="CS37" i="163"/>
  <c r="CU37" i="163"/>
  <c r="CZ37" i="163"/>
  <c r="CT37" i="163"/>
  <c r="CY37" i="163"/>
  <c r="CX37" i="163"/>
  <c r="CW37" i="163"/>
  <c r="CM37" i="159"/>
  <c r="CL37" i="159"/>
  <c r="L23" i="79"/>
  <c r="AQ38" i="160"/>
  <c r="AR38" i="160" s="1"/>
  <c r="BR34" i="158"/>
  <c r="CF34" i="158" s="1"/>
  <c r="AN38" i="160"/>
  <c r="AO38" i="160" s="1"/>
  <c r="BZ38" i="160"/>
  <c r="BQ38" i="160" s="1"/>
  <c r="CE38" i="160" s="1"/>
  <c r="BF38" i="160"/>
  <c r="BG38" i="160" s="1"/>
  <c r="E38" i="163"/>
  <c r="H38" i="163" s="1"/>
  <c r="BQ34" i="158"/>
  <c r="Y38" i="159"/>
  <c r="AB38" i="159" s="1"/>
  <c r="O38" i="159"/>
  <c r="AD38" i="163"/>
  <c r="AE38" i="163" s="1"/>
  <c r="AF38" i="163" s="1"/>
  <c r="O38" i="163"/>
  <c r="P38" i="163" s="1"/>
  <c r="Q38" i="163" s="1"/>
  <c r="AZ38" i="159"/>
  <c r="BA38" i="159" s="1"/>
  <c r="BB38" i="159" s="1"/>
  <c r="AX38" i="160"/>
  <c r="AY38" i="160" s="1"/>
  <c r="BC38" i="160" s="1"/>
  <c r="CA38" i="160"/>
  <c r="T38" i="159"/>
  <c r="BJ38" i="159"/>
  <c r="BK38" i="159" s="1"/>
  <c r="BL38" i="159" s="1"/>
  <c r="BE38" i="159"/>
  <c r="BF38" i="159" s="1"/>
  <c r="BG38" i="159" s="1"/>
  <c r="J38" i="163"/>
  <c r="M38" i="163" s="1"/>
  <c r="G37" i="162"/>
  <c r="AD38" i="159"/>
  <c r="J38" i="159"/>
  <c r="AU38" i="159"/>
  <c r="AE38" i="160"/>
  <c r="AF38" i="160" s="1"/>
  <c r="AK38" i="159"/>
  <c r="AB38" i="160"/>
  <c r="AC38" i="160" s="1"/>
  <c r="AG38" i="160" s="1"/>
  <c r="BW38" i="160"/>
  <c r="BU38" i="160" s="1"/>
  <c r="CI38" i="160" s="1"/>
  <c r="Z38" i="160"/>
  <c r="AA38" i="160" s="1"/>
  <c r="AP38" i="163"/>
  <c r="BJ38" i="163"/>
  <c r="AK38" i="163"/>
  <c r="AU38" i="163"/>
  <c r="BE38" i="163"/>
  <c r="AZ38" i="163"/>
  <c r="BT37" i="162"/>
  <c r="CH37" i="162" s="1"/>
  <c r="BS37" i="162"/>
  <c r="CG37" i="162" s="1"/>
  <c r="BR38" i="160"/>
  <c r="CF38" i="160" s="1"/>
  <c r="U38" i="160"/>
  <c r="V38" i="160" s="1"/>
  <c r="T38" i="163"/>
  <c r="BX38" i="163" s="1"/>
  <c r="K38" i="160"/>
  <c r="L38" i="160" s="1"/>
  <c r="BR37" i="162"/>
  <c r="CF37" i="162" s="1"/>
  <c r="BQ37" i="162"/>
  <c r="CE37" i="162" s="1"/>
  <c r="BY38" i="160"/>
  <c r="F38" i="160"/>
  <c r="H38" i="160"/>
  <c r="I38" i="160" s="1"/>
  <c r="M38" i="160" s="1"/>
  <c r="Y38" i="163"/>
  <c r="AP38" i="159"/>
  <c r="BX38" i="160"/>
  <c r="R38" i="160"/>
  <c r="S38" i="160" s="1"/>
  <c r="W38" i="160" s="1"/>
  <c r="P38" i="160"/>
  <c r="Q38" i="160" s="1"/>
  <c r="E38" i="159"/>
  <c r="BS34" i="158"/>
  <c r="CG34" i="158" s="1"/>
  <c r="BT34" i="158"/>
  <c r="CH34" i="158" s="1"/>
  <c r="BU34" i="158"/>
  <c r="CI34" i="158" s="1"/>
  <c r="R38" i="163" l="1"/>
  <c r="S38" i="163" s="1"/>
  <c r="W38" i="163" s="1"/>
  <c r="BY38" i="163"/>
  <c r="CL37" i="162"/>
  <c r="CY37" i="162"/>
  <c r="CN37" i="162"/>
  <c r="CW37" i="162"/>
  <c r="CM37" i="162"/>
  <c r="CU37" i="162"/>
  <c r="CV37" i="162"/>
  <c r="CT37" i="162"/>
  <c r="CR37" i="162"/>
  <c r="U26" i="79" s="1"/>
  <c r="CS37" i="162"/>
  <c r="CZ37" i="162"/>
  <c r="CQ37" i="162"/>
  <c r="T26" i="79" s="1"/>
  <c r="CP37" i="162"/>
  <c r="S26" i="79" s="1"/>
  <c r="CO37" i="162"/>
  <c r="R26" i="79" s="1"/>
  <c r="CK37" i="162"/>
  <c r="AC38" i="159"/>
  <c r="AG38" i="159" s="1"/>
  <c r="CX37" i="162"/>
  <c r="AK35" i="158"/>
  <c r="CE34" i="158"/>
  <c r="F38" i="163"/>
  <c r="G38" i="163" s="1"/>
  <c r="AZ35" i="158"/>
  <c r="BA35" i="158" s="1"/>
  <c r="BB35" i="158" s="1"/>
  <c r="BE35" i="158"/>
  <c r="BF35" i="158" s="1"/>
  <c r="BG35" i="158" s="1"/>
  <c r="BJ35" i="158"/>
  <c r="BK35" i="158" s="1"/>
  <c r="BL35" i="158" s="1"/>
  <c r="AP35" i="158"/>
  <c r="AQ35" i="158" s="1"/>
  <c r="AR35" i="158" s="1"/>
  <c r="AU35" i="158"/>
  <c r="AX35" i="158" s="1"/>
  <c r="BW38" i="159"/>
  <c r="Z38" i="159"/>
  <c r="AA38" i="159" s="1"/>
  <c r="I38" i="163"/>
  <c r="P38" i="159"/>
  <c r="Q38" i="159" s="1"/>
  <c r="BX38" i="159"/>
  <c r="Y38" i="162"/>
  <c r="R38" i="159"/>
  <c r="S38" i="159" s="1"/>
  <c r="W38" i="159" s="1"/>
  <c r="K38" i="163"/>
  <c r="L38" i="163" s="1"/>
  <c r="AZ38" i="162"/>
  <c r="U38" i="159"/>
  <c r="V38" i="159" s="1"/>
  <c r="O38" i="162"/>
  <c r="R38" i="162" s="1"/>
  <c r="CB38" i="159"/>
  <c r="AU38" i="162"/>
  <c r="AV38" i="162" s="1"/>
  <c r="AW38" i="162" s="1"/>
  <c r="AK38" i="162"/>
  <c r="AN38" i="162" s="1"/>
  <c r="AP38" i="162"/>
  <c r="AQ38" i="162" s="1"/>
  <c r="AR38" i="162" s="1"/>
  <c r="BH38" i="159"/>
  <c r="BI38" i="159" s="1"/>
  <c r="BM38" i="159" s="1"/>
  <c r="BE38" i="162"/>
  <c r="BH38" i="162" s="1"/>
  <c r="Z38" i="163"/>
  <c r="AA38" i="163" s="1"/>
  <c r="AB38" i="163"/>
  <c r="AC38" i="163" s="1"/>
  <c r="AG38" i="163" s="1"/>
  <c r="BW38" i="163"/>
  <c r="BH38" i="163"/>
  <c r="BI38" i="163" s="1"/>
  <c r="BM38" i="163" s="1"/>
  <c r="BF38" i="163"/>
  <c r="BG38" i="163" s="1"/>
  <c r="CB38" i="163"/>
  <c r="J38" i="162"/>
  <c r="T38" i="162"/>
  <c r="AX38" i="163"/>
  <c r="AY38" i="163" s="1"/>
  <c r="BC38" i="163" s="1"/>
  <c r="AV38" i="163"/>
  <c r="AW38" i="163" s="1"/>
  <c r="CA38" i="163"/>
  <c r="BJ38" i="162"/>
  <c r="BA38" i="163"/>
  <c r="BB38" i="163" s="1"/>
  <c r="AS38" i="159"/>
  <c r="AQ38" i="159"/>
  <c r="AR38" i="159" s="1"/>
  <c r="AL38" i="163"/>
  <c r="BZ38" i="163"/>
  <c r="AN38" i="163"/>
  <c r="AO38" i="163" s="1"/>
  <c r="E38" i="162"/>
  <c r="G38" i="160"/>
  <c r="AP39" i="160" s="1"/>
  <c r="AD38" i="162"/>
  <c r="BK38" i="163"/>
  <c r="BL38" i="163" s="1"/>
  <c r="BS38" i="160"/>
  <c r="CG38" i="160" s="1"/>
  <c r="BT38" i="160"/>
  <c r="CH38" i="160" s="1"/>
  <c r="U38" i="163"/>
  <c r="V38" i="163" s="1"/>
  <c r="AS38" i="163"/>
  <c r="AQ38" i="163"/>
  <c r="AR38" i="163" s="1"/>
  <c r="AX38" i="159"/>
  <c r="AY38" i="159" s="1"/>
  <c r="BC38" i="159" s="1"/>
  <c r="AV38" i="159"/>
  <c r="AW38" i="159" s="1"/>
  <c r="CA38" i="159"/>
  <c r="H38" i="159"/>
  <c r="I38" i="159" s="1"/>
  <c r="F38" i="159"/>
  <c r="BY38" i="159"/>
  <c r="AN38" i="159"/>
  <c r="AO38" i="159" s="1"/>
  <c r="AL38" i="159"/>
  <c r="BZ38" i="159"/>
  <c r="K38" i="159"/>
  <c r="L38" i="159" s="1"/>
  <c r="M38" i="159"/>
  <c r="BS38" i="163"/>
  <c r="CG38" i="163" s="1"/>
  <c r="BU38" i="163"/>
  <c r="CI38" i="163" s="1"/>
  <c r="BT38" i="163"/>
  <c r="CH38" i="163" s="1"/>
  <c r="AE38" i="159"/>
  <c r="AF38" i="159" s="1"/>
  <c r="BZ35" i="158"/>
  <c r="AN35" i="158"/>
  <c r="AO35" i="158" s="1"/>
  <c r="AS35" i="158" s="1"/>
  <c r="AL35" i="158"/>
  <c r="AM35" i="158" s="1"/>
  <c r="Y35" i="158"/>
  <c r="T35" i="158"/>
  <c r="U35" i="158" s="1"/>
  <c r="V35" i="158" s="1"/>
  <c r="O35" i="158"/>
  <c r="H24" i="79" s="1"/>
  <c r="E35" i="158"/>
  <c r="E24" i="79" s="1"/>
  <c r="AD35" i="158"/>
  <c r="J35" i="158"/>
  <c r="AX38" i="162" l="1"/>
  <c r="AV35" i="158"/>
  <c r="AW35" i="158" s="1"/>
  <c r="CA35" i="158"/>
  <c r="CV38" i="160"/>
  <c r="CB38" i="162"/>
  <c r="BP38" i="162" s="1"/>
  <c r="CD38" i="162" s="1"/>
  <c r="CX38" i="160"/>
  <c r="CM38" i="160"/>
  <c r="CU38" i="160"/>
  <c r="CN38" i="160"/>
  <c r="CK38" i="160"/>
  <c r="CT38" i="160"/>
  <c r="CZ38" i="160"/>
  <c r="CL38" i="160"/>
  <c r="CO38" i="160"/>
  <c r="CP38" i="160"/>
  <c r="CR38" i="160"/>
  <c r="CX34" i="158"/>
  <c r="AA23" i="79" s="1"/>
  <c r="CQ34" i="158"/>
  <c r="CY34" i="158"/>
  <c r="AB23" i="79" s="1"/>
  <c r="CL34" i="158"/>
  <c r="O23" i="79" s="1"/>
  <c r="CZ34" i="158"/>
  <c r="AC23" i="79" s="1"/>
  <c r="CR34" i="158"/>
  <c r="CV34" i="158"/>
  <c r="Y23" i="79" s="1"/>
  <c r="CM34" i="158"/>
  <c r="P23" i="79" s="1"/>
  <c r="CU34" i="158"/>
  <c r="X23" i="79" s="1"/>
  <c r="CT34" i="158"/>
  <c r="W23" i="79" s="1"/>
  <c r="CP34" i="158"/>
  <c r="CN34" i="158"/>
  <c r="Q23" i="79" s="1"/>
  <c r="CS34" i="158"/>
  <c r="V23" i="79" s="1"/>
  <c r="CK34" i="158"/>
  <c r="N23" i="79" s="1"/>
  <c r="CW34" i="158"/>
  <c r="Z23" i="79" s="1"/>
  <c r="CO34" i="158"/>
  <c r="CW38" i="160"/>
  <c r="CQ38" i="160"/>
  <c r="CS38" i="160"/>
  <c r="CY38" i="160"/>
  <c r="G24" i="79"/>
  <c r="AY35" i="158"/>
  <c r="BC35" i="158" s="1"/>
  <c r="CB35" i="158"/>
  <c r="BH35" i="158"/>
  <c r="BI35" i="158" s="1"/>
  <c r="BM35" i="158" s="1"/>
  <c r="BX38" i="162"/>
  <c r="P38" i="162"/>
  <c r="Q38" i="162" s="1"/>
  <c r="F27" i="79"/>
  <c r="AB38" i="162"/>
  <c r="AC38" i="162" s="1"/>
  <c r="AG38" i="162" s="1"/>
  <c r="Z38" i="162"/>
  <c r="AA38" i="162" s="1"/>
  <c r="AL38" i="162"/>
  <c r="AM38" i="162" s="1"/>
  <c r="CA38" i="162"/>
  <c r="BA38" i="162"/>
  <c r="BB38" i="162" s="1"/>
  <c r="AY38" i="162"/>
  <c r="BC38" i="162" s="1"/>
  <c r="AU39" i="160"/>
  <c r="BE39" i="160"/>
  <c r="BJ39" i="160"/>
  <c r="BK39" i="160" s="1"/>
  <c r="BL39" i="160" s="1"/>
  <c r="AS38" i="162"/>
  <c r="BZ38" i="162"/>
  <c r="BR38" i="162" s="1"/>
  <c r="CF38" i="162" s="1"/>
  <c r="AO38" i="162"/>
  <c r="S38" i="162"/>
  <c r="W38" i="162" s="1"/>
  <c r="AZ39" i="160"/>
  <c r="BA39" i="160" s="1"/>
  <c r="BB39" i="160" s="1"/>
  <c r="BF38" i="162"/>
  <c r="BG38" i="162" s="1"/>
  <c r="AE35" i="158"/>
  <c r="AF35" i="158" s="1"/>
  <c r="K24" i="79"/>
  <c r="BR38" i="159"/>
  <c r="CF38" i="159" s="1"/>
  <c r="BQ38" i="159"/>
  <c r="CE38" i="159" s="1"/>
  <c r="BP38" i="159"/>
  <c r="CD38" i="159" s="1"/>
  <c r="AM38" i="163"/>
  <c r="T39" i="163" s="1"/>
  <c r="BQ38" i="163"/>
  <c r="CE38" i="163" s="1"/>
  <c r="BR38" i="163"/>
  <c r="CF38" i="163" s="1"/>
  <c r="BP38" i="163"/>
  <c r="CD38" i="163" s="1"/>
  <c r="AM38" i="159"/>
  <c r="U38" i="162"/>
  <c r="V38" i="162" s="1"/>
  <c r="BI38" i="162"/>
  <c r="BM38" i="162" s="1"/>
  <c r="I38" i="162"/>
  <c r="M38" i="162"/>
  <c r="K38" i="162"/>
  <c r="L38" i="162" s="1"/>
  <c r="AS39" i="160"/>
  <c r="AQ39" i="160"/>
  <c r="AR39" i="160" s="1"/>
  <c r="BP35" i="158"/>
  <c r="CD35" i="158" s="1"/>
  <c r="BU38" i="159"/>
  <c r="CI38" i="159" s="1"/>
  <c r="BT38" i="159"/>
  <c r="CH38" i="159" s="1"/>
  <c r="BS38" i="159"/>
  <c r="CG38" i="159" s="1"/>
  <c r="BY38" i="162"/>
  <c r="F38" i="162"/>
  <c r="H38" i="162"/>
  <c r="BK38" i="162"/>
  <c r="BL38" i="162" s="1"/>
  <c r="G38" i="159"/>
  <c r="BW38" i="162"/>
  <c r="BU38" i="162" s="1"/>
  <c r="CI38" i="162" s="1"/>
  <c r="J27" i="79"/>
  <c r="AE38" i="162"/>
  <c r="AF38" i="162" s="1"/>
  <c r="I24" i="79"/>
  <c r="AD39" i="160"/>
  <c r="O39" i="160"/>
  <c r="Y39" i="160"/>
  <c r="T39" i="160"/>
  <c r="E39" i="160"/>
  <c r="J39" i="160"/>
  <c r="AK39" i="160"/>
  <c r="BR35" i="158"/>
  <c r="CF35" i="158" s="1"/>
  <c r="BQ35" i="158"/>
  <c r="CE35" i="158" s="1"/>
  <c r="H35" i="158"/>
  <c r="I35" i="158" s="1"/>
  <c r="M35" i="158" s="1"/>
  <c r="F35" i="158"/>
  <c r="G35" i="158" s="1"/>
  <c r="BY35" i="158"/>
  <c r="P35" i="158"/>
  <c r="Q35" i="158" s="1"/>
  <c r="BX35" i="158"/>
  <c r="R35" i="158"/>
  <c r="S35" i="158" s="1"/>
  <c r="W35" i="158" s="1"/>
  <c r="Z35" i="158"/>
  <c r="AA35" i="158" s="1"/>
  <c r="BW35" i="158"/>
  <c r="AB35" i="158"/>
  <c r="AC35" i="158" s="1"/>
  <c r="AG35" i="158" s="1"/>
  <c r="K35" i="158"/>
  <c r="L35" i="158" s="1"/>
  <c r="CA39" i="160" l="1"/>
  <c r="CO38" i="163"/>
  <c r="CL38" i="163"/>
  <c r="CV38" i="163"/>
  <c r="CR38" i="163"/>
  <c r="CM38" i="163"/>
  <c r="CN38" i="163"/>
  <c r="CQ38" i="163"/>
  <c r="CP38" i="163"/>
  <c r="CK38" i="163"/>
  <c r="CS38" i="163"/>
  <c r="CU38" i="163"/>
  <c r="CT38" i="163"/>
  <c r="CZ38" i="163"/>
  <c r="CY38" i="163"/>
  <c r="CX38" i="163"/>
  <c r="CW38" i="163"/>
  <c r="CL38" i="159"/>
  <c r="CS38" i="159"/>
  <c r="CR38" i="159"/>
  <c r="CO38" i="159"/>
  <c r="CM38" i="159"/>
  <c r="CN38" i="159"/>
  <c r="CP38" i="159"/>
  <c r="CQ38" i="159"/>
  <c r="CU38" i="159"/>
  <c r="CT38" i="159"/>
  <c r="CV38" i="159"/>
  <c r="CW38" i="159"/>
  <c r="CY38" i="159"/>
  <c r="CX38" i="159"/>
  <c r="CZ38" i="159"/>
  <c r="CK38" i="159"/>
  <c r="L24" i="79"/>
  <c r="CB39" i="160"/>
  <c r="BP39" i="160" s="1"/>
  <c r="CD39" i="160" s="1"/>
  <c r="BH39" i="160"/>
  <c r="BI39" i="160" s="1"/>
  <c r="BM39" i="160" s="1"/>
  <c r="AV39" i="160"/>
  <c r="AW39" i="160" s="1"/>
  <c r="BF39" i="160"/>
  <c r="BG39" i="160" s="1"/>
  <c r="AX39" i="160"/>
  <c r="AY39" i="160" s="1"/>
  <c r="BC39" i="160" s="1"/>
  <c r="BQ38" i="162"/>
  <c r="CE38" i="162" s="1"/>
  <c r="Y39" i="163"/>
  <c r="AB39" i="163" s="1"/>
  <c r="O39" i="163"/>
  <c r="BX39" i="163" s="1"/>
  <c r="AD39" i="163"/>
  <c r="AE39" i="163" s="1"/>
  <c r="AF39" i="163" s="1"/>
  <c r="E39" i="159"/>
  <c r="F39" i="159" s="1"/>
  <c r="G39" i="159" s="1"/>
  <c r="T39" i="159"/>
  <c r="U39" i="159" s="1"/>
  <c r="V39" i="159" s="1"/>
  <c r="AK39" i="159"/>
  <c r="AU39" i="159"/>
  <c r="K39" i="160"/>
  <c r="L39" i="160" s="1"/>
  <c r="J39" i="159"/>
  <c r="AD39" i="159"/>
  <c r="Y39" i="159"/>
  <c r="AL39" i="160"/>
  <c r="AM39" i="160" s="1"/>
  <c r="BZ39" i="160"/>
  <c r="AN39" i="160"/>
  <c r="AO39" i="160" s="1"/>
  <c r="BW39" i="160"/>
  <c r="BU39" i="160" s="1"/>
  <c r="CI39" i="160" s="1"/>
  <c r="Z39" i="160"/>
  <c r="AA39" i="160" s="1"/>
  <c r="AB39" i="160"/>
  <c r="AC39" i="160" s="1"/>
  <c r="AG39" i="160" s="1"/>
  <c r="O39" i="159"/>
  <c r="J39" i="163"/>
  <c r="BE39" i="163"/>
  <c r="AU39" i="163"/>
  <c r="AK39" i="163"/>
  <c r="AP39" i="163"/>
  <c r="BJ39" i="163"/>
  <c r="AZ39" i="163"/>
  <c r="BX39" i="160"/>
  <c r="P39" i="160"/>
  <c r="Q39" i="160" s="1"/>
  <c r="R39" i="160"/>
  <c r="S39" i="160" s="1"/>
  <c r="W39" i="160" s="1"/>
  <c r="AZ39" i="159"/>
  <c r="G38" i="162"/>
  <c r="E39" i="163"/>
  <c r="H39" i="160"/>
  <c r="I39" i="160" s="1"/>
  <c r="M39" i="160" s="1"/>
  <c r="F39" i="160"/>
  <c r="BY39" i="160"/>
  <c r="BE39" i="159"/>
  <c r="U39" i="163"/>
  <c r="V39" i="163" s="1"/>
  <c r="AP39" i="159"/>
  <c r="U39" i="160"/>
  <c r="V39" i="160" s="1"/>
  <c r="AE39" i="160"/>
  <c r="AF39" i="160" s="1"/>
  <c r="BS38" i="162"/>
  <c r="CG38" i="162" s="1"/>
  <c r="BT38" i="162"/>
  <c r="CH38" i="162" s="1"/>
  <c r="BJ39" i="159"/>
  <c r="BS35" i="158"/>
  <c r="CG35" i="158" s="1"/>
  <c r="BT35" i="158"/>
  <c r="CH35" i="158" s="1"/>
  <c r="BU35" i="158"/>
  <c r="CI35" i="158" s="1"/>
  <c r="AK36" i="158"/>
  <c r="AL36" i="158" s="1"/>
  <c r="AM36" i="158" s="1"/>
  <c r="BE36" i="158"/>
  <c r="BH36" i="158" s="1"/>
  <c r="CK38" i="162" l="1"/>
  <c r="CR35" i="158"/>
  <c r="CP35" i="158"/>
  <c r="CV35" i="158"/>
  <c r="Y24" i="79" s="1"/>
  <c r="CW35" i="158"/>
  <c r="Z24" i="79" s="1"/>
  <c r="CO35" i="158"/>
  <c r="CZ35" i="158"/>
  <c r="AC24" i="79" s="1"/>
  <c r="CM35" i="158"/>
  <c r="P24" i="79" s="1"/>
  <c r="CU35" i="158"/>
  <c r="X24" i="79" s="1"/>
  <c r="CK35" i="158"/>
  <c r="N24" i="79" s="1"/>
  <c r="CT35" i="158"/>
  <c r="W24" i="79" s="1"/>
  <c r="CS35" i="158"/>
  <c r="V24" i="79" s="1"/>
  <c r="CM38" i="162"/>
  <c r="CN38" i="162"/>
  <c r="CV38" i="162"/>
  <c r="CU38" i="162"/>
  <c r="CP38" i="162"/>
  <c r="S27" i="79" s="1"/>
  <c r="CT38" i="162"/>
  <c r="CR38" i="162"/>
  <c r="U27" i="79" s="1"/>
  <c r="CS38" i="162"/>
  <c r="CZ38" i="162"/>
  <c r="CX38" i="162"/>
  <c r="CQ38" i="162"/>
  <c r="T27" i="79" s="1"/>
  <c r="CW38" i="162"/>
  <c r="CO38" i="162"/>
  <c r="R27" i="79" s="1"/>
  <c r="CY38" i="162"/>
  <c r="CL38" i="162"/>
  <c r="CL35" i="158"/>
  <c r="O24" i="79" s="1"/>
  <c r="CY35" i="158"/>
  <c r="AB24" i="79" s="1"/>
  <c r="CN35" i="158"/>
  <c r="Q24" i="79" s="1"/>
  <c r="CX35" i="158"/>
  <c r="AA24" i="79" s="1"/>
  <c r="CQ35" i="158"/>
  <c r="BJ39" i="162"/>
  <c r="R39" i="163"/>
  <c r="S39" i="163" s="1"/>
  <c r="W39" i="163" s="1"/>
  <c r="AC39" i="163"/>
  <c r="AG39" i="163" s="1"/>
  <c r="BW39" i="163"/>
  <c r="Z39" i="163"/>
  <c r="AA39" i="163" s="1"/>
  <c r="BE39" i="162"/>
  <c r="BF39" i="162" s="1"/>
  <c r="BG39" i="162" s="1"/>
  <c r="P39" i="163"/>
  <c r="Q39" i="163" s="1"/>
  <c r="H39" i="159"/>
  <c r="I39" i="159" s="1"/>
  <c r="AP39" i="162"/>
  <c r="AQ39" i="162" s="1"/>
  <c r="AR39" i="162" s="1"/>
  <c r="AZ39" i="162"/>
  <c r="BA39" i="162" s="1"/>
  <c r="BB39" i="162" s="1"/>
  <c r="AU39" i="162"/>
  <c r="AX39" i="162" s="1"/>
  <c r="AK39" i="162"/>
  <c r="AN39" i="162" s="1"/>
  <c r="BH39" i="159"/>
  <c r="BI39" i="159" s="1"/>
  <c r="BM39" i="159" s="1"/>
  <c r="CB39" i="159"/>
  <c r="BF39" i="159"/>
  <c r="BG39" i="159" s="1"/>
  <c r="BA39" i="163"/>
  <c r="BB39" i="163" s="1"/>
  <c r="AN39" i="159"/>
  <c r="AO39" i="159" s="1"/>
  <c r="AL39" i="159"/>
  <c r="BZ39" i="159"/>
  <c r="O39" i="162"/>
  <c r="Y39" i="162"/>
  <c r="T39" i="162"/>
  <c r="U39" i="162" s="1"/>
  <c r="V39" i="162" s="1"/>
  <c r="E39" i="162"/>
  <c r="J39" i="162"/>
  <c r="AD39" i="162"/>
  <c r="BK39" i="163"/>
  <c r="BL39" i="163" s="1"/>
  <c r="BS39" i="160"/>
  <c r="CG39" i="160" s="1"/>
  <c r="BT39" i="160"/>
  <c r="CH39" i="160" s="1"/>
  <c r="G39" i="160"/>
  <c r="BK39" i="162"/>
  <c r="BL39" i="162" s="1"/>
  <c r="AQ39" i="163"/>
  <c r="AR39" i="163" s="1"/>
  <c r="AS39" i="163"/>
  <c r="BR39" i="160"/>
  <c r="CF39" i="160" s="1"/>
  <c r="BQ39" i="160"/>
  <c r="CE39" i="160" s="1"/>
  <c r="BA39" i="159"/>
  <c r="BB39" i="159" s="1"/>
  <c r="BZ39" i="163"/>
  <c r="AN39" i="163"/>
  <c r="AO39" i="163" s="1"/>
  <c r="AL39" i="163"/>
  <c r="AE39" i="159"/>
  <c r="AF39" i="159" s="1"/>
  <c r="AV39" i="159"/>
  <c r="AW39" i="159" s="1"/>
  <c r="AX39" i="159"/>
  <c r="AY39" i="159" s="1"/>
  <c r="BC39" i="159" s="1"/>
  <c r="CA39" i="159"/>
  <c r="AS39" i="159"/>
  <c r="AQ39" i="159"/>
  <c r="AR39" i="159" s="1"/>
  <c r="BY39" i="163"/>
  <c r="F39" i="163"/>
  <c r="G39" i="163" s="1"/>
  <c r="H39" i="163"/>
  <c r="I39" i="163" s="1"/>
  <c r="AV39" i="163"/>
  <c r="AW39" i="163" s="1"/>
  <c r="CA39" i="163"/>
  <c r="AX39" i="163"/>
  <c r="AY39" i="163" s="1"/>
  <c r="BC39" i="163" s="1"/>
  <c r="K39" i="159"/>
  <c r="L39" i="159" s="1"/>
  <c r="M39" i="159"/>
  <c r="BY39" i="159"/>
  <c r="P39" i="159"/>
  <c r="Q39" i="159" s="1"/>
  <c r="BX39" i="159"/>
  <c r="R39" i="159"/>
  <c r="S39" i="159" s="1"/>
  <c r="W39" i="159" s="1"/>
  <c r="BK39" i="159"/>
  <c r="BL39" i="159" s="1"/>
  <c r="CB39" i="163"/>
  <c r="BF39" i="163"/>
  <c r="BG39" i="163" s="1"/>
  <c r="BH39" i="163"/>
  <c r="BI39" i="163" s="1"/>
  <c r="BM39" i="163" s="1"/>
  <c r="AL39" i="162"/>
  <c r="AM39" i="162" s="1"/>
  <c r="K39" i="163"/>
  <c r="L39" i="163" s="1"/>
  <c r="M39" i="163"/>
  <c r="Z39" i="159"/>
  <c r="AA39" i="159" s="1"/>
  <c r="BW39" i="159"/>
  <c r="AB39" i="159"/>
  <c r="AC39" i="159" s="1"/>
  <c r="AG39" i="159" s="1"/>
  <c r="AP36" i="158"/>
  <c r="AQ36" i="158" s="1"/>
  <c r="AR36" i="158" s="1"/>
  <c r="AU36" i="158"/>
  <c r="AV36" i="158" s="1"/>
  <c r="AW36" i="158" s="1"/>
  <c r="AN36" i="158"/>
  <c r="AZ36" i="158"/>
  <c r="BA36" i="158" s="1"/>
  <c r="BB36" i="158" s="1"/>
  <c r="BJ36" i="158"/>
  <c r="BK36" i="158" s="1"/>
  <c r="BL36" i="158" s="1"/>
  <c r="Y36" i="158"/>
  <c r="BF36" i="158"/>
  <c r="BG36" i="158" s="1"/>
  <c r="CM39" i="160" l="1"/>
  <c r="CS39" i="160"/>
  <c r="CN39" i="160"/>
  <c r="CY39" i="160"/>
  <c r="CK39" i="160"/>
  <c r="CZ39" i="160"/>
  <c r="CL39" i="160"/>
  <c r="CR39" i="160"/>
  <c r="CV39" i="160"/>
  <c r="CU39" i="160"/>
  <c r="CO39" i="160"/>
  <c r="CW39" i="160"/>
  <c r="CQ39" i="160"/>
  <c r="CX39" i="160"/>
  <c r="CP39" i="160"/>
  <c r="CT39" i="160"/>
  <c r="AV39" i="162"/>
  <c r="AW39" i="162" s="1"/>
  <c r="BH39" i="162"/>
  <c r="BI39" i="162" s="1"/>
  <c r="BM39" i="162" s="1"/>
  <c r="AO39" i="162"/>
  <c r="BZ39" i="162"/>
  <c r="BR39" i="162" s="1"/>
  <c r="CF39" i="162" s="1"/>
  <c r="AS39" i="162"/>
  <c r="AY39" i="162"/>
  <c r="BC39" i="162" s="1"/>
  <c r="F28" i="79"/>
  <c r="CA39" i="162"/>
  <c r="G25" i="79"/>
  <c r="CB39" i="162"/>
  <c r="BP39" i="162" s="1"/>
  <c r="CD39" i="162" s="1"/>
  <c r="BE40" i="160"/>
  <c r="BF40" i="160" s="1"/>
  <c r="BG40" i="160" s="1"/>
  <c r="J40" i="160"/>
  <c r="AK40" i="160"/>
  <c r="AN40" i="160" s="1"/>
  <c r="Y40" i="160"/>
  <c r="AB40" i="160" s="1"/>
  <c r="BZ36" i="158"/>
  <c r="AU40" i="160"/>
  <c r="AB39" i="162"/>
  <c r="AC39" i="162" s="1"/>
  <c r="AG39" i="162" s="1"/>
  <c r="BW39" i="162"/>
  <c r="BU39" i="162" s="1"/>
  <c r="CI39" i="162" s="1"/>
  <c r="Z39" i="162"/>
  <c r="AA39" i="162" s="1"/>
  <c r="BU39" i="159"/>
  <c r="CI39" i="159" s="1"/>
  <c r="BT39" i="159"/>
  <c r="CH39" i="159" s="1"/>
  <c r="BS39" i="159"/>
  <c r="CG39" i="159" s="1"/>
  <c r="R39" i="162"/>
  <c r="S39" i="162" s="1"/>
  <c r="W39" i="162" s="1"/>
  <c r="BX39" i="162"/>
  <c r="P39" i="162"/>
  <c r="Q39" i="162" s="1"/>
  <c r="Z36" i="158"/>
  <c r="AA36" i="158" s="1"/>
  <c r="AM39" i="163"/>
  <c r="O40" i="160"/>
  <c r="T40" i="160"/>
  <c r="E40" i="160"/>
  <c r="AD40" i="160"/>
  <c r="BP39" i="159"/>
  <c r="CD39" i="159" s="1"/>
  <c r="BQ39" i="159"/>
  <c r="CE39" i="159" s="1"/>
  <c r="BR39" i="159"/>
  <c r="CF39" i="159" s="1"/>
  <c r="BP39" i="163"/>
  <c r="CD39" i="163" s="1"/>
  <c r="BR39" i="163"/>
  <c r="CF39" i="163" s="1"/>
  <c r="BQ39" i="163"/>
  <c r="AZ40" i="160"/>
  <c r="J28" i="79"/>
  <c r="AE39" i="162"/>
  <c r="AF39" i="162" s="1"/>
  <c r="AM39" i="159"/>
  <c r="BS39" i="163"/>
  <c r="CG39" i="163" s="1"/>
  <c r="BU39" i="163"/>
  <c r="CI39" i="163" s="1"/>
  <c r="BT39" i="163"/>
  <c r="CH39" i="163" s="1"/>
  <c r="BJ40" i="160"/>
  <c r="BY39" i="162"/>
  <c r="M39" i="162"/>
  <c r="K39" i="162"/>
  <c r="L39" i="162" s="1"/>
  <c r="I39" i="162"/>
  <c r="BQ39" i="162"/>
  <c r="CE39" i="162" s="1"/>
  <c r="AP40" i="160"/>
  <c r="H39" i="162"/>
  <c r="F39" i="162"/>
  <c r="AO36" i="158"/>
  <c r="AS36" i="158" s="1"/>
  <c r="AX36" i="158"/>
  <c r="AY36" i="158" s="1"/>
  <c r="BC36" i="158" s="1"/>
  <c r="CB36" i="158"/>
  <c r="CA36" i="158"/>
  <c r="AD36" i="158"/>
  <c r="E36" i="158"/>
  <c r="E25" i="79" s="1"/>
  <c r="J36" i="158"/>
  <c r="T36" i="158"/>
  <c r="BI36" i="158"/>
  <c r="BM36" i="158" s="1"/>
  <c r="AB36" i="158"/>
  <c r="O36" i="158"/>
  <c r="H25" i="79" s="1"/>
  <c r="CS39" i="159" l="1"/>
  <c r="CR39" i="159"/>
  <c r="CO39" i="159"/>
  <c r="CL39" i="159"/>
  <c r="CQ39" i="159"/>
  <c r="CM39" i="159"/>
  <c r="CP39" i="159"/>
  <c r="CN39" i="159"/>
  <c r="CK39" i="159"/>
  <c r="CT39" i="159"/>
  <c r="CU39" i="159"/>
  <c r="CV39" i="159"/>
  <c r="CW39" i="159"/>
  <c r="CZ39" i="159"/>
  <c r="CY39" i="159"/>
  <c r="CX39" i="159"/>
  <c r="AZ40" i="163"/>
  <c r="CE39" i="163"/>
  <c r="CM39" i="163" s="1"/>
  <c r="BP36" i="158"/>
  <c r="CD36" i="158" s="1"/>
  <c r="BH40" i="160"/>
  <c r="BI40" i="160" s="1"/>
  <c r="BM40" i="160" s="1"/>
  <c r="Z40" i="160"/>
  <c r="AA40" i="160" s="1"/>
  <c r="I40" i="160"/>
  <c r="M40" i="160" s="1"/>
  <c r="K40" i="160"/>
  <c r="L40" i="160" s="1"/>
  <c r="T40" i="159"/>
  <c r="U40" i="159" s="1"/>
  <c r="V40" i="159" s="1"/>
  <c r="AL40" i="160"/>
  <c r="AM40" i="160" s="1"/>
  <c r="E40" i="159"/>
  <c r="F40" i="159" s="1"/>
  <c r="G40" i="159" s="1"/>
  <c r="BZ40" i="160"/>
  <c r="BR40" i="160" s="1"/>
  <c r="CF40" i="160" s="1"/>
  <c r="T40" i="163"/>
  <c r="U40" i="163" s="1"/>
  <c r="V40" i="163" s="1"/>
  <c r="AC40" i="160"/>
  <c r="AG40" i="160" s="1"/>
  <c r="AK40" i="163"/>
  <c r="AL40" i="163" s="1"/>
  <c r="AM40" i="163" s="1"/>
  <c r="AP40" i="159"/>
  <c r="AS40" i="159" s="1"/>
  <c r="AU40" i="163"/>
  <c r="AX40" i="163" s="1"/>
  <c r="AY40" i="163" s="1"/>
  <c r="BC40" i="163" s="1"/>
  <c r="BJ40" i="163"/>
  <c r="BK40" i="163" s="1"/>
  <c r="BL40" i="163" s="1"/>
  <c r="BK40" i="160"/>
  <c r="BL40" i="160" s="1"/>
  <c r="BA40" i="163"/>
  <c r="BB40" i="163" s="1"/>
  <c r="AZ40" i="159"/>
  <c r="CB40" i="160"/>
  <c r="BP40" i="160" s="1"/>
  <c r="CD40" i="160" s="1"/>
  <c r="J40" i="163"/>
  <c r="E40" i="163"/>
  <c r="K36" i="158"/>
  <c r="L36" i="158" s="1"/>
  <c r="I25" i="79"/>
  <c r="AE40" i="160"/>
  <c r="AF40" i="160" s="1"/>
  <c r="AU40" i="159"/>
  <c r="BA40" i="160"/>
  <c r="BB40" i="160" s="1"/>
  <c r="H40" i="160"/>
  <c r="BY40" i="160"/>
  <c r="F40" i="160"/>
  <c r="BE40" i="159"/>
  <c r="BJ40" i="159"/>
  <c r="AX40" i="160"/>
  <c r="AY40" i="160" s="1"/>
  <c r="BC40" i="160" s="1"/>
  <c r="CA40" i="160"/>
  <c r="AV40" i="160"/>
  <c r="AW40" i="160" s="1"/>
  <c r="G39" i="162"/>
  <c r="AZ40" i="162" s="1"/>
  <c r="U40" i="160"/>
  <c r="V40" i="160" s="1"/>
  <c r="AK40" i="159"/>
  <c r="BE40" i="163"/>
  <c r="R40" i="160"/>
  <c r="S40" i="160" s="1"/>
  <c r="W40" i="160" s="1"/>
  <c r="P40" i="160"/>
  <c r="Q40" i="160" s="1"/>
  <c r="BX40" i="160"/>
  <c r="Y40" i="163"/>
  <c r="AS40" i="160"/>
  <c r="AQ40" i="160"/>
  <c r="AP40" i="163"/>
  <c r="Y40" i="159"/>
  <c r="O40" i="159"/>
  <c r="AD40" i="159"/>
  <c r="J40" i="159"/>
  <c r="O40" i="163"/>
  <c r="AO40" i="160"/>
  <c r="AE36" i="158"/>
  <c r="AF36" i="158" s="1"/>
  <c r="K25" i="79"/>
  <c r="BT39" i="162"/>
  <c r="CH39" i="162" s="1"/>
  <c r="BS39" i="162"/>
  <c r="CG39" i="162" s="1"/>
  <c r="BW40" i="160"/>
  <c r="BU40" i="160" s="1"/>
  <c r="CI40" i="160" s="1"/>
  <c r="AD40" i="163"/>
  <c r="BR36" i="158"/>
  <c r="CF36" i="158" s="1"/>
  <c r="BQ36" i="158"/>
  <c r="CE36" i="158" s="1"/>
  <c r="F36" i="158"/>
  <c r="BY36" i="158"/>
  <c r="H36" i="158"/>
  <c r="I36" i="158" s="1"/>
  <c r="M36" i="158" s="1"/>
  <c r="AC36" i="158"/>
  <c r="AG36" i="158" s="1"/>
  <c r="R36" i="158"/>
  <c r="S36" i="158" s="1"/>
  <c r="W36" i="158" s="1"/>
  <c r="P36" i="158"/>
  <c r="Q36" i="158" s="1"/>
  <c r="BX36" i="158"/>
  <c r="BW36" i="158"/>
  <c r="U36" i="158"/>
  <c r="V36" i="158" s="1"/>
  <c r="CO39" i="163" l="1"/>
  <c r="CO39" i="162"/>
  <c r="R28" i="79" s="1"/>
  <c r="CY39" i="163"/>
  <c r="BZ40" i="159"/>
  <c r="CS39" i="163"/>
  <c r="CK39" i="163"/>
  <c r="CQ39" i="162"/>
  <c r="T28" i="79" s="1"/>
  <c r="BQ40" i="160"/>
  <c r="CE40" i="160" s="1"/>
  <c r="CZ39" i="162"/>
  <c r="CM39" i="162"/>
  <c r="CT39" i="163"/>
  <c r="CV39" i="163"/>
  <c r="CX39" i="162"/>
  <c r="CV39" i="162"/>
  <c r="CP39" i="163"/>
  <c r="CN39" i="163"/>
  <c r="CW39" i="162"/>
  <c r="CN39" i="162"/>
  <c r="CW39" i="163"/>
  <c r="CQ39" i="163"/>
  <c r="CY39" i="162"/>
  <c r="CR39" i="162"/>
  <c r="U28" i="79" s="1"/>
  <c r="CL39" i="162"/>
  <c r="CU39" i="162"/>
  <c r="CP39" i="162"/>
  <c r="S28" i="79" s="1"/>
  <c r="CX39" i="163"/>
  <c r="CR39" i="163"/>
  <c r="CT39" i="162"/>
  <c r="CK39" i="162"/>
  <c r="CU39" i="163"/>
  <c r="CL39" i="163"/>
  <c r="CS39" i="162"/>
  <c r="CZ39" i="163"/>
  <c r="L25" i="79"/>
  <c r="H40" i="159"/>
  <c r="AU40" i="162"/>
  <c r="AX40" i="162" s="1"/>
  <c r="AY40" i="162" s="1"/>
  <c r="BC40" i="162" s="1"/>
  <c r="BZ40" i="163"/>
  <c r="AN40" i="163"/>
  <c r="AV40" i="163"/>
  <c r="AW40" i="163" s="1"/>
  <c r="CA40" i="163"/>
  <c r="AQ40" i="159"/>
  <c r="AR40" i="159" s="1"/>
  <c r="BE40" i="162"/>
  <c r="BF40" i="162" s="1"/>
  <c r="BG40" i="162" s="1"/>
  <c r="AP40" i="162"/>
  <c r="AS40" i="162" s="1"/>
  <c r="BJ40" i="162"/>
  <c r="AK40" i="162"/>
  <c r="AO40" i="163"/>
  <c r="BA40" i="162"/>
  <c r="BB40" i="162" s="1"/>
  <c r="G40" i="160"/>
  <c r="R40" i="163"/>
  <c r="S40" i="163" s="1"/>
  <c r="W40" i="163" s="1"/>
  <c r="P40" i="163"/>
  <c r="Q40" i="163" s="1"/>
  <c r="BX40" i="163"/>
  <c r="BS40" i="160"/>
  <c r="CG40" i="160" s="1"/>
  <c r="BT40" i="160"/>
  <c r="CH40" i="160" s="1"/>
  <c r="M40" i="163"/>
  <c r="K40" i="163"/>
  <c r="L40" i="163" s="1"/>
  <c r="AE40" i="163"/>
  <c r="AF40" i="163" s="1"/>
  <c r="M40" i="159"/>
  <c r="K40" i="159"/>
  <c r="L40" i="159" s="1"/>
  <c r="AE40" i="159"/>
  <c r="AF40" i="159" s="1"/>
  <c r="I40" i="159"/>
  <c r="BA40" i="159"/>
  <c r="BB40" i="159" s="1"/>
  <c r="O40" i="162"/>
  <c r="AD40" i="162"/>
  <c r="Y40" i="162"/>
  <c r="T40" i="162"/>
  <c r="E40" i="162"/>
  <c r="J40" i="162"/>
  <c r="BX40" i="159"/>
  <c r="P40" i="159"/>
  <c r="Q40" i="159" s="1"/>
  <c r="R40" i="159"/>
  <c r="S40" i="159" s="1"/>
  <c r="W40" i="159" s="1"/>
  <c r="AR40" i="160"/>
  <c r="BY40" i="159"/>
  <c r="BY40" i="163"/>
  <c r="H40" i="163"/>
  <c r="I40" i="163" s="1"/>
  <c r="F40" i="163"/>
  <c r="AB40" i="159"/>
  <c r="AC40" i="159" s="1"/>
  <c r="AG40" i="159" s="1"/>
  <c r="BW40" i="159"/>
  <c r="Z40" i="159"/>
  <c r="AA40" i="159" s="1"/>
  <c r="BH40" i="163"/>
  <c r="BI40" i="163" s="1"/>
  <c r="BM40" i="163" s="1"/>
  <c r="BF40" i="163"/>
  <c r="BG40" i="163" s="1"/>
  <c r="CB40" i="163"/>
  <c r="BK40" i="159"/>
  <c r="BL40" i="159" s="1"/>
  <c r="AS40" i="163"/>
  <c r="AQ40" i="163"/>
  <c r="AR40" i="163" s="1"/>
  <c r="AL40" i="159"/>
  <c r="AN40" i="159"/>
  <c r="AO40" i="159" s="1"/>
  <c r="BH40" i="159"/>
  <c r="BI40" i="159" s="1"/>
  <c r="BM40" i="159" s="1"/>
  <c r="BF40" i="159"/>
  <c r="BG40" i="159" s="1"/>
  <c r="CB40" i="159"/>
  <c r="BW40" i="163"/>
  <c r="Z40" i="163"/>
  <c r="AA40" i="163" s="1"/>
  <c r="AB40" i="163"/>
  <c r="AC40" i="163" s="1"/>
  <c r="AG40" i="163" s="1"/>
  <c r="AV40" i="159"/>
  <c r="AW40" i="159" s="1"/>
  <c r="AX40" i="159"/>
  <c r="AY40" i="159" s="1"/>
  <c r="BC40" i="159" s="1"/>
  <c r="CA40" i="159"/>
  <c r="BR40" i="159" s="1"/>
  <c r="CF40" i="159" s="1"/>
  <c r="BS36" i="158"/>
  <c r="CG36" i="158" s="1"/>
  <c r="BT36" i="158"/>
  <c r="CH36" i="158" s="1"/>
  <c r="BU36" i="158"/>
  <c r="CI36" i="158" s="1"/>
  <c r="G36" i="158"/>
  <c r="CV36" i="158" l="1"/>
  <c r="Y25" i="79" s="1"/>
  <c r="AP41" i="160"/>
  <c r="AQ41" i="160" s="1"/>
  <c r="AR41" i="160" s="1"/>
  <c r="CM40" i="160"/>
  <c r="CX40" i="160"/>
  <c r="CK40" i="160"/>
  <c r="CM36" i="158"/>
  <c r="P25" i="79" s="1"/>
  <c r="CZ36" i="158"/>
  <c r="AC25" i="79" s="1"/>
  <c r="BP40" i="163"/>
  <c r="CD40" i="163" s="1"/>
  <c r="CT40" i="160"/>
  <c r="CO40" i="160"/>
  <c r="CL36" i="158"/>
  <c r="O25" i="79" s="1"/>
  <c r="CW36" i="158"/>
  <c r="Z25" i="79" s="1"/>
  <c r="CZ40" i="160"/>
  <c r="CR40" i="160"/>
  <c r="CK36" i="158"/>
  <c r="N25" i="79" s="1"/>
  <c r="CX36" i="158"/>
  <c r="AA25" i="79" s="1"/>
  <c r="CS40" i="160"/>
  <c r="CL40" i="160"/>
  <c r="CR36" i="158"/>
  <c r="CT36" i="158"/>
  <c r="W25" i="79" s="1"/>
  <c r="CY40" i="160"/>
  <c r="CV40" i="160"/>
  <c r="CP36" i="158"/>
  <c r="CQ36" i="158"/>
  <c r="CQ40" i="160"/>
  <c r="CN40" i="160"/>
  <c r="CU36" i="158"/>
  <c r="X25" i="79" s="1"/>
  <c r="CY36" i="158"/>
  <c r="AB25" i="79" s="1"/>
  <c r="CP40" i="160"/>
  <c r="CU40" i="160"/>
  <c r="CN36" i="158"/>
  <c r="Q25" i="79" s="1"/>
  <c r="CS36" i="158"/>
  <c r="V25" i="79" s="1"/>
  <c r="CW40" i="160"/>
  <c r="CO36" i="158"/>
  <c r="CA40" i="162"/>
  <c r="AV40" i="162"/>
  <c r="AW40" i="162" s="1"/>
  <c r="BH40" i="162"/>
  <c r="BI40" i="162" s="1"/>
  <c r="BM40" i="162" s="1"/>
  <c r="BR40" i="163"/>
  <c r="CF40" i="163" s="1"/>
  <c r="AQ40" i="162"/>
  <c r="AR40" i="162" s="1"/>
  <c r="F29" i="79"/>
  <c r="AU41" i="160"/>
  <c r="AV41" i="160" s="1"/>
  <c r="AW41" i="160" s="1"/>
  <c r="BJ41" i="160"/>
  <c r="BK41" i="160" s="1"/>
  <c r="BL41" i="160" s="1"/>
  <c r="CB40" i="162"/>
  <c r="BP40" i="162" s="1"/>
  <c r="CD40" i="162" s="1"/>
  <c r="BQ40" i="163"/>
  <c r="CE40" i="163" s="1"/>
  <c r="Y41" i="160"/>
  <c r="Z41" i="160" s="1"/>
  <c r="AA41" i="160" s="1"/>
  <c r="AZ41" i="160"/>
  <c r="BA41" i="160" s="1"/>
  <c r="BB41" i="160" s="1"/>
  <c r="AK41" i="160"/>
  <c r="AN41" i="160" s="1"/>
  <c r="AO40" i="162"/>
  <c r="BZ40" i="162"/>
  <c r="BR40" i="162" s="1"/>
  <c r="CF40" i="162" s="1"/>
  <c r="BK40" i="162"/>
  <c r="BL40" i="162" s="1"/>
  <c r="J37" i="158"/>
  <c r="K37" i="158" s="1"/>
  <c r="L37" i="158" s="1"/>
  <c r="AN40" i="162"/>
  <c r="AL40" i="162"/>
  <c r="AM40" i="162" s="1"/>
  <c r="E41" i="160"/>
  <c r="F41" i="160" s="1"/>
  <c r="G41" i="160" s="1"/>
  <c r="T41" i="160"/>
  <c r="U41" i="160" s="1"/>
  <c r="V41" i="160" s="1"/>
  <c r="T37" i="158"/>
  <c r="U37" i="158" s="1"/>
  <c r="V37" i="158" s="1"/>
  <c r="O41" i="160"/>
  <c r="P41" i="160" s="1"/>
  <c r="Q41" i="160" s="1"/>
  <c r="AD41" i="160"/>
  <c r="AE41" i="160" s="1"/>
  <c r="AF41" i="160" s="1"/>
  <c r="U40" i="162"/>
  <c r="V40" i="162" s="1"/>
  <c r="BE41" i="160"/>
  <c r="G40" i="163"/>
  <c r="Z40" i="162"/>
  <c r="AA40" i="162" s="1"/>
  <c r="AB40" i="162"/>
  <c r="AC40" i="162" s="1"/>
  <c r="AG40" i="162" s="1"/>
  <c r="BW40" i="162"/>
  <c r="BU40" i="162" s="1"/>
  <c r="CI40" i="162" s="1"/>
  <c r="AM40" i="159"/>
  <c r="AE40" i="162"/>
  <c r="AF40" i="162" s="1"/>
  <c r="J29" i="79"/>
  <c r="BX40" i="162"/>
  <c r="R40" i="162"/>
  <c r="S40" i="162" s="1"/>
  <c r="W40" i="162" s="1"/>
  <c r="P40" i="162"/>
  <c r="Q40" i="162" s="1"/>
  <c r="H40" i="162"/>
  <c r="BY40" i="162"/>
  <c r="F40" i="162"/>
  <c r="BT40" i="163"/>
  <c r="CH40" i="163" s="1"/>
  <c r="BQ40" i="159"/>
  <c r="CE40" i="159" s="1"/>
  <c r="BU40" i="163"/>
  <c r="CI40" i="163" s="1"/>
  <c r="BS40" i="163"/>
  <c r="CG40" i="163" s="1"/>
  <c r="BT40" i="159"/>
  <c r="CH40" i="159" s="1"/>
  <c r="BU40" i="159"/>
  <c r="CI40" i="159" s="1"/>
  <c r="BS40" i="159"/>
  <c r="CG40" i="159" s="1"/>
  <c r="BP40" i="159"/>
  <c r="CD40" i="159" s="1"/>
  <c r="J41" i="160"/>
  <c r="K40" i="162"/>
  <c r="L40" i="162" s="1"/>
  <c r="M40" i="162"/>
  <c r="I40" i="162"/>
  <c r="AU37" i="158"/>
  <c r="AV37" i="158" s="1"/>
  <c r="AW37" i="158" s="1"/>
  <c r="AD37" i="158"/>
  <c r="O37" i="158"/>
  <c r="H26" i="79" s="1"/>
  <c r="E37" i="158"/>
  <c r="AP37" i="158"/>
  <c r="AQ37" i="158" s="1"/>
  <c r="AR37" i="158" s="1"/>
  <c r="BE37" i="158"/>
  <c r="AZ37" i="158"/>
  <c r="BJ37" i="158"/>
  <c r="BK37" i="158" s="1"/>
  <c r="BL37" i="158" s="1"/>
  <c r="AK37" i="158"/>
  <c r="Y37" i="158"/>
  <c r="AO41" i="160" l="1"/>
  <c r="AS41" i="160"/>
  <c r="CK40" i="159"/>
  <c r="CM40" i="163"/>
  <c r="CP40" i="163"/>
  <c r="CN40" i="163"/>
  <c r="CK40" i="163"/>
  <c r="CR40" i="163"/>
  <c r="CV40" i="163"/>
  <c r="CQ40" i="163"/>
  <c r="CL40" i="163"/>
  <c r="CO40" i="163"/>
  <c r="CT40" i="163"/>
  <c r="CU40" i="163"/>
  <c r="CZ40" i="163"/>
  <c r="CS40" i="163"/>
  <c r="CY40" i="163"/>
  <c r="CW40" i="163"/>
  <c r="CX40" i="163"/>
  <c r="CP40" i="159"/>
  <c r="CL40" i="159"/>
  <c r="CM40" i="159"/>
  <c r="CN40" i="159"/>
  <c r="CQ40" i="159"/>
  <c r="CS40" i="159"/>
  <c r="CO40" i="159"/>
  <c r="CR40" i="159"/>
  <c r="CW40" i="159"/>
  <c r="CV40" i="159"/>
  <c r="CU40" i="159"/>
  <c r="CT40" i="159"/>
  <c r="CY40" i="159"/>
  <c r="CZ40" i="159"/>
  <c r="CX40" i="159"/>
  <c r="AX37" i="158"/>
  <c r="AX41" i="160"/>
  <c r="AY41" i="160" s="1"/>
  <c r="BC41" i="160" s="1"/>
  <c r="BQ40" i="162"/>
  <c r="CE40" i="162" s="1"/>
  <c r="AL41" i="160"/>
  <c r="AM41" i="160" s="1"/>
  <c r="BE41" i="163"/>
  <c r="BF41" i="163" s="1"/>
  <c r="BG41" i="163" s="1"/>
  <c r="AP41" i="163"/>
  <c r="AQ41" i="163" s="1"/>
  <c r="AR41" i="163" s="1"/>
  <c r="BZ41" i="160"/>
  <c r="BQ41" i="160" s="1"/>
  <c r="CE41" i="160" s="1"/>
  <c r="R41" i="160"/>
  <c r="S41" i="160" s="1"/>
  <c r="W41" i="160" s="1"/>
  <c r="E26" i="79"/>
  <c r="BW41" i="160"/>
  <c r="BU41" i="160" s="1"/>
  <c r="CI41" i="160" s="1"/>
  <c r="AB41" i="160"/>
  <c r="AC41" i="160" s="1"/>
  <c r="AG41" i="160" s="1"/>
  <c r="CA41" i="160"/>
  <c r="G26" i="79"/>
  <c r="H41" i="160"/>
  <c r="BY41" i="160"/>
  <c r="BT41" i="160" s="1"/>
  <c r="CH41" i="160" s="1"/>
  <c r="O41" i="163"/>
  <c r="P41" i="163" s="1"/>
  <c r="Q41" i="163" s="1"/>
  <c r="BX41" i="160"/>
  <c r="AZ41" i="159"/>
  <c r="BA41" i="159" s="1"/>
  <c r="BB41" i="159" s="1"/>
  <c r="P37" i="158"/>
  <c r="Q37" i="158" s="1"/>
  <c r="T41" i="159"/>
  <c r="U41" i="159" s="1"/>
  <c r="V41" i="159" s="1"/>
  <c r="E41" i="163"/>
  <c r="H41" i="163" s="1"/>
  <c r="E41" i="159"/>
  <c r="F41" i="159" s="1"/>
  <c r="G41" i="159" s="1"/>
  <c r="R37" i="158"/>
  <c r="S37" i="158" s="1"/>
  <c r="W37" i="158" s="1"/>
  <c r="G40" i="162"/>
  <c r="BH41" i="160"/>
  <c r="BI41" i="160" s="1"/>
  <c r="BM41" i="160" s="1"/>
  <c r="BF41" i="160"/>
  <c r="BG41" i="160" s="1"/>
  <c r="CB41" i="160"/>
  <c r="BP41" i="160" s="1"/>
  <c r="CD41" i="160" s="1"/>
  <c r="H37" i="158"/>
  <c r="I37" i="158" s="1"/>
  <c r="M37" i="158" s="1"/>
  <c r="BS40" i="162"/>
  <c r="CG40" i="162" s="1"/>
  <c r="BT40" i="162"/>
  <c r="CH40" i="162" s="1"/>
  <c r="J41" i="163"/>
  <c r="J41" i="159"/>
  <c r="BE41" i="159"/>
  <c r="M41" i="160"/>
  <c r="K41" i="160"/>
  <c r="I41" i="160"/>
  <c r="BW37" i="158"/>
  <c r="AE37" i="158"/>
  <c r="AF37" i="158" s="1"/>
  <c r="K26" i="79"/>
  <c r="BJ41" i="163"/>
  <c r="AK41" i="159"/>
  <c r="BJ41" i="159"/>
  <c r="Y41" i="159"/>
  <c r="AZ41" i="163"/>
  <c r="I26" i="79"/>
  <c r="T41" i="163"/>
  <c r="AD41" i="163"/>
  <c r="Y41" i="163"/>
  <c r="AP41" i="159"/>
  <c r="AU41" i="163"/>
  <c r="O41" i="159"/>
  <c r="BY37" i="158"/>
  <c r="BX37" i="158"/>
  <c r="AD41" i="159"/>
  <c r="AK41" i="163"/>
  <c r="AU41" i="159"/>
  <c r="F37" i="158"/>
  <c r="G37" i="158" s="1"/>
  <c r="BA37" i="158"/>
  <c r="BB37" i="158" s="1"/>
  <c r="AY37" i="158"/>
  <c r="BC37" i="158" s="1"/>
  <c r="BF37" i="158"/>
  <c r="BG37" i="158" s="1"/>
  <c r="CB37" i="158"/>
  <c r="BH37" i="158"/>
  <c r="BI37" i="158" s="1"/>
  <c r="BM37" i="158" s="1"/>
  <c r="AB37" i="158"/>
  <c r="AC37" i="158" s="1"/>
  <c r="AG37" i="158" s="1"/>
  <c r="BZ37" i="158"/>
  <c r="AN37" i="158"/>
  <c r="AO37" i="158" s="1"/>
  <c r="AS37" i="158" s="1"/>
  <c r="AL37" i="158"/>
  <c r="AM37" i="158" s="1"/>
  <c r="Z37" i="158"/>
  <c r="AA37" i="158" s="1"/>
  <c r="CA37" i="158"/>
  <c r="AS41" i="163" l="1"/>
  <c r="R41" i="163"/>
  <c r="BH41" i="163"/>
  <c r="BX41" i="163"/>
  <c r="CB41" i="163"/>
  <c r="BR41" i="160"/>
  <c r="CF41" i="160" s="1"/>
  <c r="CK40" i="162"/>
  <c r="AK41" i="162"/>
  <c r="AN41" i="162" s="1"/>
  <c r="CU40" i="162"/>
  <c r="CL40" i="162"/>
  <c r="CT40" i="162"/>
  <c r="CN40" i="162"/>
  <c r="CS40" i="162"/>
  <c r="CO40" i="162"/>
  <c r="R29" i="79" s="1"/>
  <c r="CZ40" i="162"/>
  <c r="CR40" i="162"/>
  <c r="U29" i="79" s="1"/>
  <c r="CP40" i="162"/>
  <c r="S29" i="79" s="1"/>
  <c r="CM40" i="162"/>
  <c r="CW40" i="162"/>
  <c r="CQ40" i="162"/>
  <c r="T29" i="79" s="1"/>
  <c r="CY40" i="162"/>
  <c r="CV40" i="162"/>
  <c r="CX40" i="162"/>
  <c r="L26" i="79"/>
  <c r="BS41" i="160"/>
  <c r="CG41" i="160" s="1"/>
  <c r="CQ41" i="160" s="1"/>
  <c r="BY41" i="163"/>
  <c r="BU41" i="163" s="1"/>
  <c r="CI41" i="163" s="1"/>
  <c r="F41" i="163"/>
  <c r="G41" i="163" s="1"/>
  <c r="BI41" i="163"/>
  <c r="BM41" i="163" s="1"/>
  <c r="H41" i="159"/>
  <c r="I41" i="159" s="1"/>
  <c r="BS37" i="158"/>
  <c r="CG37" i="158" s="1"/>
  <c r="AZ41" i="162"/>
  <c r="BA41" i="162" s="1"/>
  <c r="BB41" i="162" s="1"/>
  <c r="BT41" i="163"/>
  <c r="CH41" i="163" s="1"/>
  <c r="BT37" i="158"/>
  <c r="CH37" i="158" s="1"/>
  <c r="BA41" i="163"/>
  <c r="BB41" i="163" s="1"/>
  <c r="BE41" i="162"/>
  <c r="P41" i="159"/>
  <c r="Q41" i="159" s="1"/>
  <c r="R41" i="159"/>
  <c r="S41" i="159" s="1"/>
  <c r="W41" i="159" s="1"/>
  <c r="BX41" i="159"/>
  <c r="BK41" i="163"/>
  <c r="BL41" i="163" s="1"/>
  <c r="CB41" i="159"/>
  <c r="BF41" i="159"/>
  <c r="BG41" i="159" s="1"/>
  <c r="BH41" i="159"/>
  <c r="BI41" i="159" s="1"/>
  <c r="BM41" i="159" s="1"/>
  <c r="AV41" i="163"/>
  <c r="AW41" i="163" s="1"/>
  <c r="CA41" i="163"/>
  <c r="AX41" i="163"/>
  <c r="AY41" i="163" s="1"/>
  <c r="BC41" i="163" s="1"/>
  <c r="AB41" i="159"/>
  <c r="AC41" i="159" s="1"/>
  <c r="AG41" i="159" s="1"/>
  <c r="BW41" i="159"/>
  <c r="Z41" i="159"/>
  <c r="AA41" i="159" s="1"/>
  <c r="K41" i="159"/>
  <c r="M41" i="159"/>
  <c r="I41" i="163"/>
  <c r="AX41" i="159"/>
  <c r="AY41" i="159" s="1"/>
  <c r="BC41" i="159" s="1"/>
  <c r="CA41" i="159"/>
  <c r="AV41" i="159"/>
  <c r="AW41" i="159" s="1"/>
  <c r="BZ41" i="159"/>
  <c r="AQ41" i="159"/>
  <c r="AR41" i="159" s="1"/>
  <c r="AS41" i="159"/>
  <c r="BK41" i="159"/>
  <c r="BL41" i="159" s="1"/>
  <c r="K41" i="163"/>
  <c r="M41" i="163"/>
  <c r="AU41" i="162"/>
  <c r="S41" i="163"/>
  <c r="W41" i="163" s="1"/>
  <c r="L41" i="160"/>
  <c r="AP42" i="160" s="1"/>
  <c r="BU37" i="158"/>
  <c r="CI37" i="158" s="1"/>
  <c r="Z41" i="163"/>
  <c r="AA41" i="163" s="1"/>
  <c r="AB41" i="163"/>
  <c r="AC41" i="163" s="1"/>
  <c r="AG41" i="163" s="1"/>
  <c r="BW41" i="163"/>
  <c r="AL41" i="159"/>
  <c r="AN41" i="159"/>
  <c r="AO41" i="159" s="1"/>
  <c r="BJ41" i="162"/>
  <c r="AN41" i="163"/>
  <c r="AO41" i="163" s="1"/>
  <c r="AL41" i="163"/>
  <c r="BZ41" i="163"/>
  <c r="AE41" i="163"/>
  <c r="AF41" i="163" s="1"/>
  <c r="Y41" i="162"/>
  <c r="J41" i="162"/>
  <c r="E41" i="162"/>
  <c r="O41" i="162"/>
  <c r="T41" i="162"/>
  <c r="AD41" i="162"/>
  <c r="AP41" i="162"/>
  <c r="BY41" i="159"/>
  <c r="AE41" i="159"/>
  <c r="AF41" i="159" s="1"/>
  <c r="U41" i="163"/>
  <c r="V41" i="163" s="1"/>
  <c r="BQ37" i="158"/>
  <c r="CE37" i="158" s="1"/>
  <c r="BP37" i="158"/>
  <c r="CD37" i="158" s="1"/>
  <c r="BR37" i="158"/>
  <c r="CF37" i="158" s="1"/>
  <c r="AL41" i="162" l="1"/>
  <c r="AM41" i="162" s="1"/>
  <c r="BJ42" i="160"/>
  <c r="J42" i="160"/>
  <c r="K42" i="160" s="1"/>
  <c r="L42" i="160" s="1"/>
  <c r="O42" i="160"/>
  <c r="E42" i="160"/>
  <c r="AD42" i="160"/>
  <c r="Y42" i="160"/>
  <c r="AB42" i="160" s="1"/>
  <c r="AC42" i="160" s="1"/>
  <c r="AG42" i="160" s="1"/>
  <c r="T42" i="160"/>
  <c r="CY41" i="160"/>
  <c r="CR41" i="160"/>
  <c r="CZ41" i="160"/>
  <c r="CL41" i="160"/>
  <c r="CO41" i="160"/>
  <c r="CK41" i="160"/>
  <c r="CM41" i="160"/>
  <c r="CU41" i="160"/>
  <c r="CZ37" i="158"/>
  <c r="AC26" i="79" s="1"/>
  <c r="CW37" i="158"/>
  <c r="Z26" i="79" s="1"/>
  <c r="CX37" i="158"/>
  <c r="AA26" i="79" s="1"/>
  <c r="CY37" i="158"/>
  <c r="AB26" i="79" s="1"/>
  <c r="CS37" i="158"/>
  <c r="V26" i="79" s="1"/>
  <c r="CR37" i="158"/>
  <c r="CU37" i="158"/>
  <c r="X26" i="79" s="1"/>
  <c r="CV37" i="158"/>
  <c r="Y26" i="79" s="1"/>
  <c r="CP37" i="158"/>
  <c r="CQ37" i="158"/>
  <c r="CN37" i="158"/>
  <c r="Q26" i="79" s="1"/>
  <c r="CT37" i="158"/>
  <c r="W26" i="79" s="1"/>
  <c r="CK37" i="158"/>
  <c r="N26" i="79" s="1"/>
  <c r="CL37" i="158"/>
  <c r="O26" i="79" s="1"/>
  <c r="CO37" i="158"/>
  <c r="CM37" i="158"/>
  <c r="P26" i="79" s="1"/>
  <c r="CW41" i="160"/>
  <c r="CP41" i="160"/>
  <c r="CX41" i="160"/>
  <c r="CV41" i="160"/>
  <c r="CT41" i="160"/>
  <c r="CN41" i="160"/>
  <c r="CS41" i="160"/>
  <c r="BS41" i="163"/>
  <c r="CG41" i="163" s="1"/>
  <c r="T38" i="158"/>
  <c r="U38" i="158" s="1"/>
  <c r="V38" i="158" s="1"/>
  <c r="F30" i="79"/>
  <c r="E38" i="158"/>
  <c r="F38" i="158" s="1"/>
  <c r="G38" i="158" s="1"/>
  <c r="J38" i="158"/>
  <c r="K38" i="158" s="1"/>
  <c r="L38" i="158" s="1"/>
  <c r="M42" i="160"/>
  <c r="AU42" i="160"/>
  <c r="AX42" i="160" s="1"/>
  <c r="AQ42" i="160"/>
  <c r="AR42" i="160" s="1"/>
  <c r="AS42" i="160"/>
  <c r="AS41" i="162"/>
  <c r="AQ41" i="162"/>
  <c r="AR41" i="162" s="1"/>
  <c r="AO41" i="162"/>
  <c r="AE41" i="162"/>
  <c r="AF41" i="162" s="1"/>
  <c r="J30" i="79"/>
  <c r="L41" i="163"/>
  <c r="BP41" i="159"/>
  <c r="CD41" i="159" s="1"/>
  <c r="BR41" i="159"/>
  <c r="CF41" i="159" s="1"/>
  <c r="L41" i="159"/>
  <c r="BZ41" i="162"/>
  <c r="BK42" i="160"/>
  <c r="BL42" i="160" s="1"/>
  <c r="U42" i="160"/>
  <c r="V42" i="160" s="1"/>
  <c r="U41" i="162"/>
  <c r="V41" i="162" s="1"/>
  <c r="BR41" i="163"/>
  <c r="CF41" i="163" s="1"/>
  <c r="BQ41" i="163"/>
  <c r="CE41" i="163" s="1"/>
  <c r="BP41" i="163"/>
  <c r="CD41" i="163" s="1"/>
  <c r="AZ42" i="160"/>
  <c r="BX41" i="162"/>
  <c r="R41" i="162"/>
  <c r="S41" i="162" s="1"/>
  <c r="W41" i="162" s="1"/>
  <c r="P41" i="162"/>
  <c r="Q41" i="162" s="1"/>
  <c r="AM41" i="163"/>
  <c r="T42" i="163" s="1"/>
  <c r="AM41" i="159"/>
  <c r="H41" i="162"/>
  <c r="F41" i="162"/>
  <c r="BY41" i="162"/>
  <c r="BQ41" i="159"/>
  <c r="CE41" i="159" s="1"/>
  <c r="BY42" i="160"/>
  <c r="H42" i="160"/>
  <c r="I42" i="160" s="1"/>
  <c r="F42" i="160"/>
  <c r="G42" i="160" s="1"/>
  <c r="K41" i="162"/>
  <c r="L41" i="162" s="1"/>
  <c r="M41" i="162"/>
  <c r="I41" i="162"/>
  <c r="BE42" i="160"/>
  <c r="Z41" i="162"/>
  <c r="AA41" i="162" s="1"/>
  <c r="AB41" i="162"/>
  <c r="AC41" i="162" s="1"/>
  <c r="AG41" i="162" s="1"/>
  <c r="BW41" i="162"/>
  <c r="BU41" i="162" s="1"/>
  <c r="CI41" i="162" s="1"/>
  <c r="BK41" i="162"/>
  <c r="BL41" i="162" s="1"/>
  <c r="CA41" i="162"/>
  <c r="AX41" i="162"/>
  <c r="AY41" i="162" s="1"/>
  <c r="BC41" i="162" s="1"/>
  <c r="AV41" i="162"/>
  <c r="AW41" i="162" s="1"/>
  <c r="AK42" i="160"/>
  <c r="AE42" i="160"/>
  <c r="AF42" i="160" s="1"/>
  <c r="BX42" i="160"/>
  <c r="P42" i="160"/>
  <c r="Q42" i="160" s="1"/>
  <c r="R42" i="160"/>
  <c r="S42" i="160" s="1"/>
  <c r="W42" i="160" s="1"/>
  <c r="BS41" i="159"/>
  <c r="CG41" i="159" s="1"/>
  <c r="BU41" i="159"/>
  <c r="CI41" i="159" s="1"/>
  <c r="BT41" i="159"/>
  <c r="CH41" i="159" s="1"/>
  <c r="CB41" i="162"/>
  <c r="BP41" i="162" s="1"/>
  <c r="CD41" i="162" s="1"/>
  <c r="BH41" i="162"/>
  <c r="BI41" i="162" s="1"/>
  <c r="BM41" i="162" s="1"/>
  <c r="BF41" i="162"/>
  <c r="BG41" i="162" s="1"/>
  <c r="BJ38" i="158"/>
  <c r="BK38" i="158" s="1"/>
  <c r="BL38" i="158" s="1"/>
  <c r="AK38" i="158"/>
  <c r="AL38" i="158" s="1"/>
  <c r="AM38" i="158" s="1"/>
  <c r="AU38" i="158"/>
  <c r="AZ38" i="158"/>
  <c r="BA38" i="158" s="1"/>
  <c r="BB38" i="158" s="1"/>
  <c r="AP38" i="158"/>
  <c r="AQ38" i="158" s="1"/>
  <c r="AR38" i="158" s="1"/>
  <c r="BE38" i="158"/>
  <c r="AD38" i="158"/>
  <c r="O38" i="158"/>
  <c r="H27" i="79" s="1"/>
  <c r="Y38" i="158"/>
  <c r="Z42" i="160" l="1"/>
  <c r="AA42" i="160" s="1"/>
  <c r="BW42" i="160"/>
  <c r="BU42" i="160" s="1"/>
  <c r="CI42" i="160" s="1"/>
  <c r="CQ41" i="163"/>
  <c r="CP41" i="163"/>
  <c r="CR41" i="163"/>
  <c r="CL41" i="163"/>
  <c r="CV41" i="163"/>
  <c r="CM41" i="163"/>
  <c r="CK41" i="163"/>
  <c r="CO41" i="163"/>
  <c r="CN41" i="163"/>
  <c r="CS41" i="163"/>
  <c r="CT41" i="163"/>
  <c r="CU41" i="163"/>
  <c r="CZ41" i="163"/>
  <c r="CW41" i="163"/>
  <c r="CY41" i="163"/>
  <c r="CX41" i="163"/>
  <c r="CK41" i="159"/>
  <c r="CN41" i="159"/>
  <c r="CS41" i="159"/>
  <c r="CR41" i="159"/>
  <c r="CM41" i="159"/>
  <c r="CL41" i="159"/>
  <c r="CP41" i="159"/>
  <c r="CQ41" i="159"/>
  <c r="CO41" i="159"/>
  <c r="CW41" i="159"/>
  <c r="CT41" i="159"/>
  <c r="CU41" i="159"/>
  <c r="CV41" i="159"/>
  <c r="CZ41" i="159"/>
  <c r="CY41" i="159"/>
  <c r="CX41" i="159"/>
  <c r="H38" i="158"/>
  <c r="I38" i="158" s="1"/>
  <c r="M38" i="158" s="1"/>
  <c r="AZ42" i="159"/>
  <c r="BA42" i="159" s="1"/>
  <c r="BB42" i="159" s="1"/>
  <c r="BY38" i="158"/>
  <c r="J42" i="163"/>
  <c r="M42" i="163" s="1"/>
  <c r="Y42" i="163"/>
  <c r="Z42" i="163" s="1"/>
  <c r="AA42" i="163" s="1"/>
  <c r="CA42" i="160"/>
  <c r="G27" i="79"/>
  <c r="AV42" i="160"/>
  <c r="AW42" i="160" s="1"/>
  <c r="O42" i="163"/>
  <c r="BX42" i="163" s="1"/>
  <c r="E27" i="79"/>
  <c r="AD42" i="163"/>
  <c r="AE42" i="163" s="1"/>
  <c r="AF42" i="163" s="1"/>
  <c r="AP42" i="159"/>
  <c r="AS42" i="159" s="1"/>
  <c r="E42" i="163"/>
  <c r="H42" i="163" s="1"/>
  <c r="AY42" i="160"/>
  <c r="BC42" i="160" s="1"/>
  <c r="T42" i="159"/>
  <c r="U42" i="159" s="1"/>
  <c r="V42" i="159" s="1"/>
  <c r="AP42" i="163"/>
  <c r="AQ42" i="163" s="1"/>
  <c r="AR42" i="163" s="1"/>
  <c r="J42" i="159"/>
  <c r="M42" i="159" s="1"/>
  <c r="I27" i="79"/>
  <c r="O42" i="159"/>
  <c r="BR41" i="162"/>
  <c r="CF41" i="162" s="1"/>
  <c r="BQ41" i="162"/>
  <c r="CE41" i="162" s="1"/>
  <c r="BT42" i="160"/>
  <c r="CH42" i="160" s="1"/>
  <c r="BS42" i="160"/>
  <c r="CG42" i="160" s="1"/>
  <c r="BJ42" i="159"/>
  <c r="AK42" i="159"/>
  <c r="AD42" i="159"/>
  <c r="BE42" i="159"/>
  <c r="BZ42" i="160"/>
  <c r="AL42" i="160"/>
  <c r="AN42" i="160"/>
  <c r="AO42" i="160" s="1"/>
  <c r="AU42" i="159"/>
  <c r="K27" i="79"/>
  <c r="E42" i="159"/>
  <c r="BJ42" i="163"/>
  <c r="BT41" i="162"/>
  <c r="CH41" i="162" s="1"/>
  <c r="BS41" i="162"/>
  <c r="CG41" i="162" s="1"/>
  <c r="BA42" i="160"/>
  <c r="BB42" i="160" s="1"/>
  <c r="AZ42" i="163"/>
  <c r="AK42" i="163"/>
  <c r="AU42" i="163"/>
  <c r="BF42" i="160"/>
  <c r="BG42" i="160" s="1"/>
  <c r="CB42" i="160"/>
  <c r="BP42" i="160" s="1"/>
  <c r="CD42" i="160" s="1"/>
  <c r="BH42" i="160"/>
  <c r="BI42" i="160" s="1"/>
  <c r="BM42" i="160" s="1"/>
  <c r="G41" i="162"/>
  <c r="U42" i="163"/>
  <c r="V42" i="163" s="1"/>
  <c r="BE42" i="163"/>
  <c r="Y42" i="159"/>
  <c r="AN38" i="158"/>
  <c r="AO38" i="158" s="1"/>
  <c r="AS38" i="158" s="1"/>
  <c r="BZ38" i="158"/>
  <c r="BH38" i="158"/>
  <c r="BI38" i="158" s="1"/>
  <c r="BM38" i="158" s="1"/>
  <c r="BF38" i="158"/>
  <c r="BG38" i="158" s="1"/>
  <c r="CB38" i="158"/>
  <c r="AV38" i="158"/>
  <c r="AW38" i="158" s="1"/>
  <c r="AX38" i="158"/>
  <c r="AY38" i="158" s="1"/>
  <c r="BC38" i="158" s="1"/>
  <c r="CA38" i="158"/>
  <c r="BX38" i="158"/>
  <c r="BS38" i="158" s="1"/>
  <c r="CG38" i="158" s="1"/>
  <c r="P38" i="158"/>
  <c r="Q38" i="158" s="1"/>
  <c r="R38" i="158"/>
  <c r="S38" i="158" s="1"/>
  <c r="W38" i="158" s="1"/>
  <c r="BW38" i="158"/>
  <c r="AB38" i="158"/>
  <c r="AC38" i="158" s="1"/>
  <c r="AG38" i="158" s="1"/>
  <c r="Z38" i="158"/>
  <c r="AA38" i="158" s="1"/>
  <c r="AE38" i="158"/>
  <c r="AF38" i="158" s="1"/>
  <c r="F42" i="163" l="1"/>
  <c r="G42" i="163" s="1"/>
  <c r="I42" i="163"/>
  <c r="CM41" i="162"/>
  <c r="CL41" i="162"/>
  <c r="BW42" i="163"/>
  <c r="CX41" i="162"/>
  <c r="CP41" i="162"/>
  <c r="S30" i="79" s="1"/>
  <c r="CW41" i="162"/>
  <c r="CQ41" i="162"/>
  <c r="T30" i="79" s="1"/>
  <c r="CY41" i="162"/>
  <c r="CK41" i="162"/>
  <c r="CT41" i="162"/>
  <c r="CN41" i="162"/>
  <c r="CU41" i="162"/>
  <c r="CV41" i="162"/>
  <c r="CS41" i="162"/>
  <c r="CR41" i="162"/>
  <c r="U30" i="79" s="1"/>
  <c r="K42" i="163"/>
  <c r="L42" i="163" s="1"/>
  <c r="CO41" i="162"/>
  <c r="R30" i="79" s="1"/>
  <c r="CZ41" i="162"/>
  <c r="AB42" i="163"/>
  <c r="AC42" i="163" s="1"/>
  <c r="AG42" i="163" s="1"/>
  <c r="L27" i="79"/>
  <c r="AQ42" i="159"/>
  <c r="AR42" i="159" s="1"/>
  <c r="AS42" i="163"/>
  <c r="P42" i="163"/>
  <c r="Q42" i="163" s="1"/>
  <c r="R42" i="163"/>
  <c r="S42" i="163" s="1"/>
  <c r="W42" i="163" s="1"/>
  <c r="BY42" i="163"/>
  <c r="BU42" i="163" s="1"/>
  <c r="CI42" i="163" s="1"/>
  <c r="AK42" i="162"/>
  <c r="AL42" i="162" s="1"/>
  <c r="AM42" i="162" s="1"/>
  <c r="AZ42" i="162"/>
  <c r="BA42" i="162" s="1"/>
  <c r="BB42" i="162" s="1"/>
  <c r="K42" i="159"/>
  <c r="L42" i="159" s="1"/>
  <c r="H42" i="159"/>
  <c r="I42" i="159" s="1"/>
  <c r="F42" i="159"/>
  <c r="BY42" i="159"/>
  <c r="AM42" i="160"/>
  <c r="O43" i="160" s="1"/>
  <c r="CA42" i="163"/>
  <c r="AX42" i="163"/>
  <c r="AY42" i="163" s="1"/>
  <c r="BC42" i="163" s="1"/>
  <c r="AV42" i="163"/>
  <c r="AW42" i="163" s="1"/>
  <c r="AV42" i="159"/>
  <c r="AW42" i="159" s="1"/>
  <c r="CA42" i="159"/>
  <c r="AX42" i="159"/>
  <c r="AY42" i="159" s="1"/>
  <c r="BC42" i="159" s="1"/>
  <c r="BR42" i="160"/>
  <c r="CF42" i="160" s="1"/>
  <c r="BQ42" i="160"/>
  <c r="CE42" i="160" s="1"/>
  <c r="AL42" i="159"/>
  <c r="BZ42" i="159"/>
  <c r="AN42" i="159"/>
  <c r="AO42" i="159" s="1"/>
  <c r="BZ42" i="163"/>
  <c r="AN42" i="163"/>
  <c r="AO42" i="163" s="1"/>
  <c r="AL42" i="163"/>
  <c r="BK42" i="159"/>
  <c r="BL42" i="159" s="1"/>
  <c r="BA42" i="163"/>
  <c r="BB42" i="163" s="1"/>
  <c r="Y42" i="162"/>
  <c r="E42" i="162"/>
  <c r="O42" i="162"/>
  <c r="T42" i="162"/>
  <c r="J42" i="162"/>
  <c r="CB42" i="159"/>
  <c r="BH42" i="159"/>
  <c r="BI42" i="159" s="1"/>
  <c r="BM42" i="159" s="1"/>
  <c r="BF42" i="159"/>
  <c r="BG42" i="159" s="1"/>
  <c r="R42" i="159"/>
  <c r="S42" i="159" s="1"/>
  <c r="W42" i="159" s="1"/>
  <c r="P42" i="159"/>
  <c r="Q42" i="159" s="1"/>
  <c r="BX42" i="159"/>
  <c r="BE42" i="162"/>
  <c r="BJ42" i="162"/>
  <c r="AP42" i="162"/>
  <c r="AU42" i="162"/>
  <c r="BW42" i="159"/>
  <c r="AE42" i="159"/>
  <c r="AF42" i="159" s="1"/>
  <c r="CB42" i="163"/>
  <c r="BH42" i="163"/>
  <c r="BI42" i="163" s="1"/>
  <c r="BM42" i="163" s="1"/>
  <c r="BF42" i="163"/>
  <c r="BG42" i="163" s="1"/>
  <c r="AB42" i="159"/>
  <c r="AC42" i="159" s="1"/>
  <c r="AG42" i="159" s="1"/>
  <c r="Z42" i="159"/>
  <c r="AA42" i="159" s="1"/>
  <c r="BK42" i="163"/>
  <c r="BL42" i="163" s="1"/>
  <c r="AD42" i="162"/>
  <c r="BU38" i="158"/>
  <c r="CI38" i="158" s="1"/>
  <c r="BT38" i="158"/>
  <c r="CH38" i="158" s="1"/>
  <c r="BR38" i="158"/>
  <c r="CF38" i="158" s="1"/>
  <c r="BP38" i="158"/>
  <c r="CD38" i="158" s="1"/>
  <c r="BQ38" i="158"/>
  <c r="CE38" i="158" s="1"/>
  <c r="CN42" i="160" l="1"/>
  <c r="F31" i="79"/>
  <c r="CT42" i="160"/>
  <c r="CK42" i="160"/>
  <c r="CL42" i="160"/>
  <c r="CM42" i="160"/>
  <c r="CR42" i="160"/>
  <c r="CU42" i="160"/>
  <c r="CW42" i="160"/>
  <c r="CO42" i="160"/>
  <c r="CX42" i="160"/>
  <c r="CP42" i="160"/>
  <c r="CW38" i="158"/>
  <c r="Z27" i="79" s="1"/>
  <c r="CV38" i="158"/>
  <c r="Y27" i="79" s="1"/>
  <c r="CX38" i="158"/>
  <c r="AA27" i="79" s="1"/>
  <c r="CU38" i="158"/>
  <c r="X27" i="79" s="1"/>
  <c r="CS38" i="158"/>
  <c r="V27" i="79" s="1"/>
  <c r="CR38" i="158"/>
  <c r="CT38" i="158"/>
  <c r="W27" i="79" s="1"/>
  <c r="CY38" i="158"/>
  <c r="AB27" i="79" s="1"/>
  <c r="CZ38" i="158"/>
  <c r="AC27" i="79" s="1"/>
  <c r="CO38" i="158"/>
  <c r="CP38" i="158"/>
  <c r="CQ38" i="158"/>
  <c r="CL38" i="158"/>
  <c r="O27" i="79" s="1"/>
  <c r="CM38" i="158"/>
  <c r="P27" i="79" s="1"/>
  <c r="CN38" i="158"/>
  <c r="Q27" i="79" s="1"/>
  <c r="CK38" i="158"/>
  <c r="N27" i="79" s="1"/>
  <c r="CY42" i="160"/>
  <c r="CQ42" i="160"/>
  <c r="BS42" i="163"/>
  <c r="CG42" i="163" s="1"/>
  <c r="CZ42" i="160"/>
  <c r="CV42" i="160"/>
  <c r="CS42" i="160"/>
  <c r="BZ42" i="162"/>
  <c r="BR42" i="162" s="1"/>
  <c r="CF42" i="162" s="1"/>
  <c r="BT42" i="163"/>
  <c r="CH42" i="163" s="1"/>
  <c r="AN42" i="162"/>
  <c r="T39" i="158"/>
  <c r="U39" i="158" s="1"/>
  <c r="V39" i="158" s="1"/>
  <c r="E43" i="160"/>
  <c r="H43" i="160" s="1"/>
  <c r="P43" i="160"/>
  <c r="Q43" i="160" s="1"/>
  <c r="R43" i="160"/>
  <c r="BX42" i="162"/>
  <c r="U42" i="162"/>
  <c r="V42" i="162" s="1"/>
  <c r="J43" i="160"/>
  <c r="P42" i="162"/>
  <c r="Q42" i="162" s="1"/>
  <c r="R42" i="162"/>
  <c r="S42" i="162" s="1"/>
  <c r="W42" i="162" s="1"/>
  <c r="AK43" i="160"/>
  <c r="AZ43" i="160"/>
  <c r="BE43" i="160"/>
  <c r="BJ43" i="160"/>
  <c r="AU43" i="160"/>
  <c r="AP43" i="160"/>
  <c r="AS42" i="162"/>
  <c r="AQ42" i="162"/>
  <c r="AR42" i="162" s="1"/>
  <c r="AO42" i="162"/>
  <c r="H42" i="162"/>
  <c r="F42" i="162"/>
  <c r="BY42" i="162"/>
  <c r="I42" i="162"/>
  <c r="K42" i="162"/>
  <c r="L42" i="162" s="1"/>
  <c r="M42" i="162"/>
  <c r="J31" i="79"/>
  <c r="AE42" i="162"/>
  <c r="AF42" i="162" s="1"/>
  <c r="AB42" i="162"/>
  <c r="AC42" i="162" s="1"/>
  <c r="AG42" i="162" s="1"/>
  <c r="Z42" i="162"/>
  <c r="AA42" i="162" s="1"/>
  <c r="BW42" i="162"/>
  <c r="BU42" i="162" s="1"/>
  <c r="CI42" i="162" s="1"/>
  <c r="AD43" i="160"/>
  <c r="BU42" i="159"/>
  <c r="CI42" i="159" s="1"/>
  <c r="BT42" i="159"/>
  <c r="CH42" i="159" s="1"/>
  <c r="BS42" i="159"/>
  <c r="CG42" i="159" s="1"/>
  <c r="BR42" i="163"/>
  <c r="CF42" i="163" s="1"/>
  <c r="BQ42" i="163"/>
  <c r="CE42" i="163" s="1"/>
  <c r="BP42" i="163"/>
  <c r="CD42" i="163" s="1"/>
  <c r="J39" i="158"/>
  <c r="BH42" i="162"/>
  <c r="BI42" i="162" s="1"/>
  <c r="BM42" i="162" s="1"/>
  <c r="BF42" i="162"/>
  <c r="BG42" i="162" s="1"/>
  <c r="CB42" i="162"/>
  <c r="BP42" i="162" s="1"/>
  <c r="CD42" i="162" s="1"/>
  <c r="BP42" i="159"/>
  <c r="CD42" i="159" s="1"/>
  <c r="BQ42" i="159"/>
  <c r="CE42" i="159" s="1"/>
  <c r="BR42" i="159"/>
  <c r="CF42" i="159" s="1"/>
  <c r="T43" i="160"/>
  <c r="G42" i="159"/>
  <c r="AV42" i="162"/>
  <c r="AW42" i="162" s="1"/>
  <c r="AX42" i="162"/>
  <c r="AY42" i="162" s="1"/>
  <c r="BC42" i="162" s="1"/>
  <c r="CA42" i="162"/>
  <c r="AM42" i="163"/>
  <c r="AM42" i="159"/>
  <c r="Y43" i="160"/>
  <c r="BK42" i="162"/>
  <c r="BL42" i="162" s="1"/>
  <c r="AU39" i="158"/>
  <c r="AV39" i="158" s="1"/>
  <c r="AW39" i="158" s="1"/>
  <c r="O39" i="158"/>
  <c r="H28" i="79" s="1"/>
  <c r="BE39" i="158"/>
  <c r="BH39" i="158" s="1"/>
  <c r="Y39" i="158"/>
  <c r="AZ39" i="158"/>
  <c r="BA39" i="158" s="1"/>
  <c r="BB39" i="158" s="1"/>
  <c r="BJ39" i="158"/>
  <c r="BK39" i="158" s="1"/>
  <c r="BL39" i="158" s="1"/>
  <c r="E39" i="158"/>
  <c r="AK39" i="158"/>
  <c r="AN39" i="158" s="1"/>
  <c r="AD39" i="158"/>
  <c r="AP39" i="158"/>
  <c r="AQ39" i="158" s="1"/>
  <c r="AR39" i="158" s="1"/>
  <c r="Y43" i="163" l="1"/>
  <c r="BY43" i="160"/>
  <c r="F43" i="160"/>
  <c r="G43" i="160" s="1"/>
  <c r="BQ42" i="162"/>
  <c r="CE42" i="162" s="1"/>
  <c r="CR42" i="163"/>
  <c r="CV42" i="163"/>
  <c r="CL42" i="163"/>
  <c r="CO42" i="163"/>
  <c r="CK42" i="163"/>
  <c r="CQ42" i="163"/>
  <c r="CM42" i="163"/>
  <c r="CP42" i="163"/>
  <c r="CT42" i="163"/>
  <c r="CU42" i="163"/>
  <c r="CS42" i="163"/>
  <c r="CZ42" i="163"/>
  <c r="CX42" i="163"/>
  <c r="CY42" i="163"/>
  <c r="CW42" i="163"/>
  <c r="CN42" i="163"/>
  <c r="CS42" i="159"/>
  <c r="CN42" i="159"/>
  <c r="CO42" i="159"/>
  <c r="CR42" i="159"/>
  <c r="CP42" i="159"/>
  <c r="CK42" i="159"/>
  <c r="CQ42" i="159"/>
  <c r="CL42" i="159"/>
  <c r="CM42" i="159"/>
  <c r="CV42" i="159"/>
  <c r="CU42" i="159"/>
  <c r="CW42" i="159"/>
  <c r="CT42" i="159"/>
  <c r="CX42" i="159"/>
  <c r="CZ42" i="159"/>
  <c r="CY42" i="159"/>
  <c r="E43" i="159"/>
  <c r="O43" i="163"/>
  <c r="P43" i="163" s="1"/>
  <c r="Q43" i="163" s="1"/>
  <c r="AB39" i="158"/>
  <c r="AC39" i="158" s="1"/>
  <c r="AG39" i="158" s="1"/>
  <c r="G28" i="79"/>
  <c r="J43" i="163"/>
  <c r="K43" i="163" s="1"/>
  <c r="L43" i="163" s="1"/>
  <c r="T43" i="163"/>
  <c r="J43" i="159"/>
  <c r="M43" i="159" s="1"/>
  <c r="E28" i="79"/>
  <c r="AZ43" i="159"/>
  <c r="BA43" i="159" s="1"/>
  <c r="BB43" i="159" s="1"/>
  <c r="AD43" i="163"/>
  <c r="BW43" i="163" s="1"/>
  <c r="E43" i="163"/>
  <c r="F43" i="163" s="1"/>
  <c r="G43" i="163" s="1"/>
  <c r="I43" i="160"/>
  <c r="R39" i="158"/>
  <c r="S39" i="158" s="1"/>
  <c r="W39" i="158" s="1"/>
  <c r="P39" i="158"/>
  <c r="Q39" i="158" s="1"/>
  <c r="AX39" i="158"/>
  <c r="AY39" i="158" s="1"/>
  <c r="BC39" i="158" s="1"/>
  <c r="AP43" i="159"/>
  <c r="AQ43" i="159" s="1"/>
  <c r="AR43" i="159" s="1"/>
  <c r="Z39" i="158"/>
  <c r="AA39" i="158" s="1"/>
  <c r="T43" i="159"/>
  <c r="U43" i="159" s="1"/>
  <c r="V43" i="159" s="1"/>
  <c r="AB43" i="163"/>
  <c r="Z43" i="163"/>
  <c r="AA43" i="163" s="1"/>
  <c r="M43" i="163"/>
  <c r="BJ43" i="163"/>
  <c r="BE43" i="163"/>
  <c r="AK43" i="163"/>
  <c r="AZ43" i="163"/>
  <c r="AU43" i="163"/>
  <c r="AP43" i="163"/>
  <c r="BT43" i="160"/>
  <c r="CH43" i="160" s="1"/>
  <c r="BS43" i="160"/>
  <c r="CG43" i="160" s="1"/>
  <c r="AQ43" i="160"/>
  <c r="AR43" i="160" s="1"/>
  <c r="AS43" i="160"/>
  <c r="AO43" i="160"/>
  <c r="BS42" i="162"/>
  <c r="CG42" i="162" s="1"/>
  <c r="BT42" i="162"/>
  <c r="CH42" i="162" s="1"/>
  <c r="AV43" i="160"/>
  <c r="AW43" i="160" s="1"/>
  <c r="CA43" i="160"/>
  <c r="AX43" i="160"/>
  <c r="AY43" i="160" s="1"/>
  <c r="BC43" i="160" s="1"/>
  <c r="K43" i="160"/>
  <c r="L43" i="160" s="1"/>
  <c r="M43" i="160"/>
  <c r="AB43" i="160"/>
  <c r="AC43" i="160" s="1"/>
  <c r="AG43" i="160" s="1"/>
  <c r="BW43" i="160"/>
  <c r="BU43" i="160" s="1"/>
  <c r="CI43" i="160" s="1"/>
  <c r="Z43" i="160"/>
  <c r="AA43" i="160" s="1"/>
  <c r="G42" i="162"/>
  <c r="AK43" i="162" s="1"/>
  <c r="BK43" i="160"/>
  <c r="BL43" i="160" s="1"/>
  <c r="BE43" i="159"/>
  <c r="AK43" i="159"/>
  <c r="BJ43" i="159"/>
  <c r="AU43" i="159"/>
  <c r="AE43" i="160"/>
  <c r="AF43" i="160" s="1"/>
  <c r="BF43" i="160"/>
  <c r="BG43" i="160" s="1"/>
  <c r="BH43" i="160"/>
  <c r="BI43" i="160" s="1"/>
  <c r="BM43" i="160" s="1"/>
  <c r="CB43" i="160"/>
  <c r="BP43" i="160" s="1"/>
  <c r="CD43" i="160" s="1"/>
  <c r="S43" i="160"/>
  <c r="W43" i="160" s="1"/>
  <c r="F43" i="159"/>
  <c r="G43" i="159" s="1"/>
  <c r="H43" i="159"/>
  <c r="BX39" i="158"/>
  <c r="U43" i="160"/>
  <c r="V43" i="160" s="1"/>
  <c r="K39" i="158"/>
  <c r="L39" i="158" s="1"/>
  <c r="I28" i="79"/>
  <c r="BA43" i="160"/>
  <c r="BB43" i="160" s="1"/>
  <c r="BX43" i="160"/>
  <c r="BF39" i="158"/>
  <c r="BG39" i="158" s="1"/>
  <c r="AE39" i="158"/>
  <c r="AF39" i="158" s="1"/>
  <c r="K28" i="79"/>
  <c r="CA39" i="158"/>
  <c r="BY39" i="158"/>
  <c r="Y43" i="159"/>
  <c r="O43" i="159"/>
  <c r="AD43" i="159"/>
  <c r="AN43" i="160"/>
  <c r="AL43" i="160"/>
  <c r="BZ43" i="160"/>
  <c r="BI39" i="158"/>
  <c r="BM39" i="158" s="1"/>
  <c r="AL39" i="158"/>
  <c r="AM39" i="158" s="1"/>
  <c r="CB39" i="158"/>
  <c r="BW39" i="158"/>
  <c r="H39" i="158"/>
  <c r="I39" i="158" s="1"/>
  <c r="M39" i="158" s="1"/>
  <c r="BZ39" i="158"/>
  <c r="F39" i="158"/>
  <c r="G39" i="158" s="1"/>
  <c r="AO39" i="158"/>
  <c r="AS39" i="158" s="1"/>
  <c r="CR42" i="162" l="1"/>
  <c r="U31" i="79" s="1"/>
  <c r="R43" i="163"/>
  <c r="AE43" i="163"/>
  <c r="AF43" i="163" s="1"/>
  <c r="H43" i="163"/>
  <c r="I43" i="163" s="1"/>
  <c r="BX43" i="163"/>
  <c r="CS42" i="162"/>
  <c r="CN42" i="162"/>
  <c r="CT42" i="162"/>
  <c r="CQ42" i="162"/>
  <c r="T31" i="79" s="1"/>
  <c r="CV42" i="162"/>
  <c r="CZ42" i="162"/>
  <c r="CO42" i="162"/>
  <c r="R31" i="79" s="1"/>
  <c r="CK42" i="162"/>
  <c r="CX42" i="162"/>
  <c r="CM42" i="162"/>
  <c r="CW42" i="162"/>
  <c r="CL42" i="162"/>
  <c r="CY42" i="162"/>
  <c r="CP42" i="162"/>
  <c r="S31" i="79" s="1"/>
  <c r="CU42" i="162"/>
  <c r="L28" i="79"/>
  <c r="BY43" i="159"/>
  <c r="AP43" i="162"/>
  <c r="AO43" i="162" s="1"/>
  <c r="U43" i="163"/>
  <c r="V43" i="163" s="1"/>
  <c r="S43" i="163"/>
  <c r="W43" i="163" s="1"/>
  <c r="BY43" i="163"/>
  <c r="BT43" i="163" s="1"/>
  <c r="CH43" i="163" s="1"/>
  <c r="K43" i="159"/>
  <c r="L43" i="159" s="1"/>
  <c r="I43" i="159"/>
  <c r="BS39" i="158"/>
  <c r="CG39" i="158" s="1"/>
  <c r="BP39" i="158"/>
  <c r="CD39" i="158" s="1"/>
  <c r="AC43" i="163"/>
  <c r="AG43" i="163" s="1"/>
  <c r="BT39" i="158"/>
  <c r="CH39" i="158" s="1"/>
  <c r="J43" i="162"/>
  <c r="M43" i="162" s="1"/>
  <c r="AS43" i="159"/>
  <c r="O43" i="162"/>
  <c r="P43" i="162" s="1"/>
  <c r="Q43" i="162" s="1"/>
  <c r="T43" i="162"/>
  <c r="Y43" i="162"/>
  <c r="AB43" i="162" s="1"/>
  <c r="AZ43" i="162"/>
  <c r="BA43" i="162" s="1"/>
  <c r="BB43" i="162" s="1"/>
  <c r="BZ43" i="162"/>
  <c r="AN43" i="162"/>
  <c r="AL43" i="162"/>
  <c r="AM43" i="162" s="1"/>
  <c r="BK43" i="159"/>
  <c r="BL43" i="159" s="1"/>
  <c r="AL43" i="159"/>
  <c r="BZ43" i="159"/>
  <c r="AN43" i="159"/>
  <c r="AO43" i="159" s="1"/>
  <c r="AQ43" i="163"/>
  <c r="AR43" i="163" s="1"/>
  <c r="AS43" i="163"/>
  <c r="AB43" i="159"/>
  <c r="AC43" i="159" s="1"/>
  <c r="AG43" i="159" s="1"/>
  <c r="Z43" i="159"/>
  <c r="AA43" i="159" s="1"/>
  <c r="BW43" i="159"/>
  <c r="BH43" i="159"/>
  <c r="BI43" i="159" s="1"/>
  <c r="BM43" i="159" s="1"/>
  <c r="BF43" i="159"/>
  <c r="BG43" i="159" s="1"/>
  <c r="CB43" i="159"/>
  <c r="AD43" i="162"/>
  <c r="AV43" i="163"/>
  <c r="AW43" i="163" s="1"/>
  <c r="CA43" i="163"/>
  <c r="AX43" i="163"/>
  <c r="AY43" i="163" s="1"/>
  <c r="BC43" i="163" s="1"/>
  <c r="E43" i="162"/>
  <c r="BA43" i="163"/>
  <c r="BB43" i="163" s="1"/>
  <c r="AS43" i="162"/>
  <c r="AQ43" i="162"/>
  <c r="AR43" i="162" s="1"/>
  <c r="AU43" i="162"/>
  <c r="BJ43" i="162"/>
  <c r="BE43" i="162"/>
  <c r="BZ43" i="163"/>
  <c r="AN43" i="163"/>
  <c r="AO43" i="163" s="1"/>
  <c r="AL43" i="163"/>
  <c r="CA43" i="159"/>
  <c r="AX43" i="159"/>
  <c r="AY43" i="159" s="1"/>
  <c r="BC43" i="159" s="1"/>
  <c r="AV43" i="159"/>
  <c r="AW43" i="159" s="1"/>
  <c r="BQ43" i="160"/>
  <c r="CE43" i="160" s="1"/>
  <c r="BR43" i="160"/>
  <c r="CF43" i="160" s="1"/>
  <c r="AM43" i="160"/>
  <c r="J44" i="160" s="1"/>
  <c r="AE43" i="159"/>
  <c r="AF43" i="159" s="1"/>
  <c r="BH43" i="163"/>
  <c r="BI43" i="163" s="1"/>
  <c r="BM43" i="163" s="1"/>
  <c r="CB43" i="163"/>
  <c r="BF43" i="163"/>
  <c r="BG43" i="163" s="1"/>
  <c r="BU39" i="158"/>
  <c r="CI39" i="158" s="1"/>
  <c r="BX43" i="159"/>
  <c r="BT43" i="159" s="1"/>
  <c r="CH43" i="159" s="1"/>
  <c r="P43" i="159"/>
  <c r="Q43" i="159" s="1"/>
  <c r="R43" i="159"/>
  <c r="S43" i="159" s="1"/>
  <c r="W43" i="159" s="1"/>
  <c r="BK43" i="163"/>
  <c r="BL43" i="163" s="1"/>
  <c r="BR39" i="158"/>
  <c r="CF39" i="158" s="1"/>
  <c r="BQ39" i="158"/>
  <c r="CE39" i="158" s="1"/>
  <c r="CU43" i="160" l="1"/>
  <c r="BU43" i="163"/>
  <c r="CI43" i="163" s="1"/>
  <c r="BS43" i="163"/>
  <c r="CG43" i="163" s="1"/>
  <c r="CM43" i="160"/>
  <c r="CV43" i="160"/>
  <c r="CQ43" i="160"/>
  <c r="CR43" i="160"/>
  <c r="CX43" i="160"/>
  <c r="CP43" i="160"/>
  <c r="CW43" i="160"/>
  <c r="CN43" i="160"/>
  <c r="CY43" i="160"/>
  <c r="CK43" i="160"/>
  <c r="CZ43" i="160"/>
  <c r="CL43" i="160"/>
  <c r="CT43" i="160"/>
  <c r="CO43" i="160"/>
  <c r="CZ39" i="158"/>
  <c r="AC28" i="79" s="1"/>
  <c r="CX39" i="158"/>
  <c r="AA28" i="79" s="1"/>
  <c r="CY39" i="158"/>
  <c r="AB28" i="79" s="1"/>
  <c r="CS39" i="158"/>
  <c r="V28" i="79" s="1"/>
  <c r="CR39" i="158"/>
  <c r="CU39" i="158"/>
  <c r="X28" i="79" s="1"/>
  <c r="CQ39" i="158"/>
  <c r="CV39" i="158"/>
  <c r="Y28" i="79" s="1"/>
  <c r="CW39" i="158"/>
  <c r="Z28" i="79" s="1"/>
  <c r="CN39" i="158"/>
  <c r="Q28" i="79" s="1"/>
  <c r="CO39" i="158"/>
  <c r="CP39" i="158"/>
  <c r="CL39" i="158"/>
  <c r="O28" i="79" s="1"/>
  <c r="CK39" i="158"/>
  <c r="N28" i="79" s="1"/>
  <c r="CT39" i="158"/>
  <c r="W28" i="79" s="1"/>
  <c r="CM39" i="158"/>
  <c r="P28" i="79" s="1"/>
  <c r="CS43" i="160"/>
  <c r="K43" i="162"/>
  <c r="L43" i="162" s="1"/>
  <c r="U43" i="162"/>
  <c r="V43" i="162" s="1"/>
  <c r="AC43" i="162"/>
  <c r="AG43" i="162" s="1"/>
  <c r="BX43" i="162"/>
  <c r="R43" i="162"/>
  <c r="S43" i="162" s="1"/>
  <c r="W43" i="162" s="1"/>
  <c r="BW43" i="162"/>
  <c r="BU43" i="162" s="1"/>
  <c r="CI43" i="162" s="1"/>
  <c r="F32" i="79"/>
  <c r="Z43" i="162"/>
  <c r="AA43" i="162" s="1"/>
  <c r="E44" i="160"/>
  <c r="BY44" i="160" s="1"/>
  <c r="O44" i="160"/>
  <c r="P44" i="160" s="1"/>
  <c r="Q44" i="160" s="1"/>
  <c r="Y44" i="160"/>
  <c r="Z44" i="160" s="1"/>
  <c r="AA44" i="160" s="1"/>
  <c r="AD44" i="160"/>
  <c r="AE44" i="160" s="1"/>
  <c r="AF44" i="160" s="1"/>
  <c r="T44" i="160"/>
  <c r="U44" i="160" s="1"/>
  <c r="V44" i="160" s="1"/>
  <c r="K44" i="160"/>
  <c r="L44" i="160" s="1"/>
  <c r="M44" i="160"/>
  <c r="AM43" i="163"/>
  <c r="AK44" i="160"/>
  <c r="BE44" i="160"/>
  <c r="AU44" i="160"/>
  <c r="AZ44" i="160"/>
  <c r="BJ44" i="160"/>
  <c r="AP44" i="160"/>
  <c r="BQ43" i="163"/>
  <c r="CE43" i="163" s="1"/>
  <c r="BP43" i="163"/>
  <c r="CD43" i="163" s="1"/>
  <c r="BR43" i="163"/>
  <c r="CF43" i="163" s="1"/>
  <c r="H43" i="162"/>
  <c r="F43" i="162"/>
  <c r="BY43" i="162"/>
  <c r="BF43" i="162"/>
  <c r="BG43" i="162" s="1"/>
  <c r="CB43" i="162"/>
  <c r="BP43" i="162" s="1"/>
  <c r="CD43" i="162" s="1"/>
  <c r="BH43" i="162"/>
  <c r="BI43" i="162" s="1"/>
  <c r="BM43" i="162" s="1"/>
  <c r="BS43" i="159"/>
  <c r="CG43" i="159" s="1"/>
  <c r="BK43" i="162"/>
  <c r="BL43" i="162" s="1"/>
  <c r="BQ43" i="162"/>
  <c r="CE43" i="162" s="1"/>
  <c r="BR43" i="162"/>
  <c r="CF43" i="162" s="1"/>
  <c r="AM43" i="159"/>
  <c r="BU43" i="159"/>
  <c r="CI43" i="159" s="1"/>
  <c r="AX43" i="162"/>
  <c r="AY43" i="162" s="1"/>
  <c r="BC43" i="162" s="1"/>
  <c r="AV43" i="162"/>
  <c r="AW43" i="162" s="1"/>
  <c r="CA43" i="162"/>
  <c r="J32" i="79"/>
  <c r="AE43" i="162"/>
  <c r="AF43" i="162" s="1"/>
  <c r="I43" i="162"/>
  <c r="BP43" i="159"/>
  <c r="CD43" i="159" s="1"/>
  <c r="BQ43" i="159"/>
  <c r="CE43" i="159" s="1"/>
  <c r="BR43" i="159"/>
  <c r="CF43" i="159" s="1"/>
  <c r="AZ40" i="158"/>
  <c r="BA40" i="158" s="1"/>
  <c r="BB40" i="158" s="1"/>
  <c r="AK40" i="158"/>
  <c r="AL40" i="158" s="1"/>
  <c r="AM40" i="158" s="1"/>
  <c r="AP40" i="158"/>
  <c r="AQ40" i="158" s="1"/>
  <c r="AR40" i="158" s="1"/>
  <c r="BJ40" i="158"/>
  <c r="BK40" i="158" s="1"/>
  <c r="BL40" i="158" s="1"/>
  <c r="BE40" i="158"/>
  <c r="BH40" i="158" s="1"/>
  <c r="AU40" i="158"/>
  <c r="AV40" i="158" s="1"/>
  <c r="AW40" i="158" s="1"/>
  <c r="E40" i="158"/>
  <c r="AB44" i="160" l="1"/>
  <c r="AC44" i="160"/>
  <c r="AG44" i="160" s="1"/>
  <c r="Y44" i="163"/>
  <c r="F44" i="160"/>
  <c r="G44" i="160" s="1"/>
  <c r="CL43" i="159"/>
  <c r="CR43" i="159"/>
  <c r="CN43" i="159"/>
  <c r="CO43" i="159"/>
  <c r="CP43" i="159"/>
  <c r="CM43" i="159"/>
  <c r="CQ43" i="159"/>
  <c r="CS43" i="159"/>
  <c r="CK43" i="159"/>
  <c r="CU43" i="159"/>
  <c r="CV43" i="159"/>
  <c r="CW43" i="159"/>
  <c r="CT43" i="159"/>
  <c r="CX43" i="159"/>
  <c r="CY43" i="159"/>
  <c r="CZ43" i="159"/>
  <c r="CL43" i="163"/>
  <c r="CN43" i="163"/>
  <c r="CM43" i="163"/>
  <c r="CR43" i="163"/>
  <c r="CV43" i="163"/>
  <c r="CK43" i="163"/>
  <c r="CP43" i="163"/>
  <c r="CO43" i="163"/>
  <c r="CQ43" i="163"/>
  <c r="CU43" i="163"/>
  <c r="CT43" i="163"/>
  <c r="CZ43" i="163"/>
  <c r="CS43" i="163"/>
  <c r="CY43" i="163"/>
  <c r="CW43" i="163"/>
  <c r="CX43" i="163"/>
  <c r="H44" i="160"/>
  <c r="I44" i="160" s="1"/>
  <c r="E29" i="79"/>
  <c r="BW44" i="160"/>
  <c r="BU44" i="160" s="1"/>
  <c r="CI44" i="160" s="1"/>
  <c r="R44" i="160"/>
  <c r="S44" i="160" s="1"/>
  <c r="W44" i="160" s="1"/>
  <c r="BX44" i="160"/>
  <c r="AD44" i="159"/>
  <c r="AE44" i="159" s="1"/>
  <c r="AF44" i="159" s="1"/>
  <c r="J44" i="163"/>
  <c r="M44" i="163" s="1"/>
  <c r="AN40" i="158"/>
  <c r="AO40" i="158" s="1"/>
  <c r="AS40" i="158" s="1"/>
  <c r="J44" i="159"/>
  <c r="K44" i="159" s="1"/>
  <c r="L44" i="159" s="1"/>
  <c r="BH44" i="160"/>
  <c r="BI44" i="160" s="1"/>
  <c r="BM44" i="160" s="1"/>
  <c r="BF44" i="160"/>
  <c r="BG44" i="160" s="1"/>
  <c r="CB44" i="160"/>
  <c r="BP44" i="160" s="1"/>
  <c r="CD44" i="160" s="1"/>
  <c r="AL44" i="160"/>
  <c r="AN44" i="160"/>
  <c r="AO44" i="160" s="1"/>
  <c r="BZ44" i="160"/>
  <c r="O44" i="159"/>
  <c r="Y44" i="159"/>
  <c r="BS43" i="162"/>
  <c r="CG43" i="162" s="1"/>
  <c r="BT43" i="162"/>
  <c r="CH43" i="162" s="1"/>
  <c r="O44" i="163"/>
  <c r="BT44" i="160"/>
  <c r="CH44" i="160" s="1"/>
  <c r="BS44" i="160"/>
  <c r="CG44" i="160" s="1"/>
  <c r="G43" i="162"/>
  <c r="AK44" i="162" s="1"/>
  <c r="AS44" i="160"/>
  <c r="AQ44" i="160"/>
  <c r="AR44" i="160" s="1"/>
  <c r="E44" i="163"/>
  <c r="CA44" i="160"/>
  <c r="AX44" i="160"/>
  <c r="AY44" i="160" s="1"/>
  <c r="BC44" i="160" s="1"/>
  <c r="AV44" i="160"/>
  <c r="AW44" i="160" s="1"/>
  <c r="AZ44" i="159"/>
  <c r="AU44" i="159"/>
  <c r="AK44" i="159"/>
  <c r="BE44" i="159"/>
  <c r="AP44" i="159"/>
  <c r="BJ44" i="159"/>
  <c r="E44" i="159"/>
  <c r="BK44" i="160"/>
  <c r="BL44" i="160" s="1"/>
  <c r="T44" i="163"/>
  <c r="Z44" i="163"/>
  <c r="AA44" i="163" s="1"/>
  <c r="AB44" i="163"/>
  <c r="T44" i="159"/>
  <c r="AP44" i="163"/>
  <c r="BE44" i="163"/>
  <c r="AU44" i="163"/>
  <c r="BJ44" i="163"/>
  <c r="AZ44" i="163"/>
  <c r="AK44" i="163"/>
  <c r="BA44" i="160"/>
  <c r="BB44" i="160" s="1"/>
  <c r="AD44" i="163"/>
  <c r="CB40" i="158"/>
  <c r="BZ40" i="158"/>
  <c r="CA40" i="158"/>
  <c r="AX40" i="158"/>
  <c r="AY40" i="158" s="1"/>
  <c r="BC40" i="158" s="1"/>
  <c r="BI40" i="158"/>
  <c r="BM40" i="158" s="1"/>
  <c r="BF40" i="158"/>
  <c r="BG40" i="158" s="1"/>
  <c r="F40" i="158"/>
  <c r="G40" i="158" s="1"/>
  <c r="H40" i="158"/>
  <c r="J40" i="158"/>
  <c r="Y40" i="158"/>
  <c r="G29" i="79" s="1"/>
  <c r="AD40" i="158"/>
  <c r="T40" i="158"/>
  <c r="U40" i="158" s="1"/>
  <c r="V40" i="158" s="1"/>
  <c r="O40" i="158"/>
  <c r="H29" i="79" s="1"/>
  <c r="CK43" i="162" l="1"/>
  <c r="AP44" i="162"/>
  <c r="BZ44" i="162" s="1"/>
  <c r="CW43" i="162"/>
  <c r="CV43" i="162"/>
  <c r="CX43" i="162"/>
  <c r="CN43" i="162"/>
  <c r="CY43" i="162"/>
  <c r="CM43" i="162"/>
  <c r="CU43" i="162"/>
  <c r="CZ43" i="162"/>
  <c r="CS43" i="162"/>
  <c r="CL43" i="162"/>
  <c r="CT43" i="162"/>
  <c r="CR43" i="162"/>
  <c r="U32" i="79" s="1"/>
  <c r="CO43" i="162"/>
  <c r="R32" i="79" s="1"/>
  <c r="CP43" i="162"/>
  <c r="S32" i="79" s="1"/>
  <c r="CQ43" i="162"/>
  <c r="T32" i="79" s="1"/>
  <c r="K44" i="163"/>
  <c r="L44" i="163" s="1"/>
  <c r="M44" i="159"/>
  <c r="BP40" i="158"/>
  <c r="CD40" i="158" s="1"/>
  <c r="AZ44" i="162"/>
  <c r="BA44" i="162" s="1"/>
  <c r="BB44" i="162" s="1"/>
  <c r="AL44" i="162"/>
  <c r="AM44" i="162" s="1"/>
  <c r="AN44" i="162"/>
  <c r="U44" i="163"/>
  <c r="V44" i="163" s="1"/>
  <c r="BF44" i="163"/>
  <c r="BG44" i="163" s="1"/>
  <c r="CB44" i="163"/>
  <c r="BH44" i="163"/>
  <c r="BI44" i="163" s="1"/>
  <c r="BM44" i="163" s="1"/>
  <c r="AV44" i="159"/>
  <c r="AW44" i="159" s="1"/>
  <c r="CA44" i="159"/>
  <c r="AX44" i="159"/>
  <c r="AY44" i="159" s="1"/>
  <c r="BC44" i="159" s="1"/>
  <c r="AM44" i="160"/>
  <c r="O45" i="160" s="1"/>
  <c r="BQ40" i="158"/>
  <c r="CE40" i="158" s="1"/>
  <c r="AE44" i="163"/>
  <c r="AF44" i="163" s="1"/>
  <c r="AC44" i="163"/>
  <c r="AG44" i="163" s="1"/>
  <c r="AS44" i="163"/>
  <c r="AQ44" i="163"/>
  <c r="AR44" i="163" s="1"/>
  <c r="BA44" i="159"/>
  <c r="BB44" i="159" s="1"/>
  <c r="BZ44" i="159"/>
  <c r="AN44" i="159"/>
  <c r="AO44" i="159" s="1"/>
  <c r="AL44" i="159"/>
  <c r="U44" i="159"/>
  <c r="V44" i="159" s="1"/>
  <c r="F44" i="159"/>
  <c r="G44" i="159" s="1"/>
  <c r="BY44" i="159"/>
  <c r="H44" i="159"/>
  <c r="I44" i="159" s="1"/>
  <c r="P44" i="163"/>
  <c r="Q44" i="163" s="1"/>
  <c r="R44" i="163"/>
  <c r="S44" i="163" s="1"/>
  <c r="W44" i="163" s="1"/>
  <c r="BX44" i="163"/>
  <c r="R44" i="159"/>
  <c r="S44" i="159" s="1"/>
  <c r="W44" i="159" s="1"/>
  <c r="BX44" i="159"/>
  <c r="P44" i="159"/>
  <c r="Q44" i="159" s="1"/>
  <c r="AE40" i="158"/>
  <c r="AF40" i="158" s="1"/>
  <c r="K29" i="79"/>
  <c r="AN44" i="163"/>
  <c r="AO44" i="163" s="1"/>
  <c r="BZ44" i="163"/>
  <c r="AL44" i="163"/>
  <c r="BW44" i="163"/>
  <c r="BK44" i="159"/>
  <c r="BL44" i="159" s="1"/>
  <c r="BA44" i="163"/>
  <c r="BB44" i="163" s="1"/>
  <c r="AQ44" i="159"/>
  <c r="AR44" i="159" s="1"/>
  <c r="AS44" i="159"/>
  <c r="BJ44" i="162"/>
  <c r="AU44" i="162"/>
  <c r="BE44" i="162"/>
  <c r="O44" i="162"/>
  <c r="AD44" i="162"/>
  <c r="J44" i="162"/>
  <c r="Y44" i="162"/>
  <c r="T44" i="162"/>
  <c r="E44" i="162"/>
  <c r="BR44" i="160"/>
  <c r="CF44" i="160" s="1"/>
  <c r="BQ44" i="160"/>
  <c r="CE44" i="160" s="1"/>
  <c r="AV44" i="163"/>
  <c r="AW44" i="163" s="1"/>
  <c r="AX44" i="163"/>
  <c r="AY44" i="163" s="1"/>
  <c r="BC44" i="163" s="1"/>
  <c r="CA44" i="163"/>
  <c r="K40" i="158"/>
  <c r="L40" i="158" s="1"/>
  <c r="I29" i="79"/>
  <c r="BK44" i="163"/>
  <c r="BL44" i="163" s="1"/>
  <c r="CB44" i="159"/>
  <c r="BH44" i="159"/>
  <c r="BI44" i="159" s="1"/>
  <c r="BM44" i="159" s="1"/>
  <c r="BF44" i="159"/>
  <c r="BG44" i="159" s="1"/>
  <c r="H44" i="163"/>
  <c r="I44" i="163" s="1"/>
  <c r="BY44" i="163"/>
  <c r="F44" i="163"/>
  <c r="G44" i="163" s="1"/>
  <c r="AB44" i="159"/>
  <c r="AC44" i="159" s="1"/>
  <c r="AG44" i="159" s="1"/>
  <c r="BW44" i="159"/>
  <c r="Z44" i="159"/>
  <c r="AA44" i="159" s="1"/>
  <c r="BR40" i="158"/>
  <c r="CF40" i="158" s="1"/>
  <c r="P40" i="158"/>
  <c r="Q40" i="158" s="1"/>
  <c r="R40" i="158"/>
  <c r="S40" i="158" s="1"/>
  <c r="W40" i="158" s="1"/>
  <c r="BX40" i="158"/>
  <c r="Z40" i="158"/>
  <c r="AA40" i="158" s="1"/>
  <c r="AB40" i="158"/>
  <c r="AC40" i="158" s="1"/>
  <c r="AG40" i="158" s="1"/>
  <c r="BW40" i="158"/>
  <c r="I40" i="158"/>
  <c r="M40" i="158" s="1"/>
  <c r="BY40" i="158"/>
  <c r="F33" i="79" l="1"/>
  <c r="AO44" i="162"/>
  <c r="AS44" i="162"/>
  <c r="AQ44" i="162"/>
  <c r="AR44" i="162" s="1"/>
  <c r="CU44" i="160"/>
  <c r="CW44" i="160"/>
  <c r="CP44" i="160"/>
  <c r="CY44" i="160"/>
  <c r="CK44" i="160"/>
  <c r="CS44" i="160"/>
  <c r="CR44" i="160"/>
  <c r="CT44" i="160"/>
  <c r="CO44" i="160"/>
  <c r="CZ44" i="160"/>
  <c r="CM44" i="160"/>
  <c r="CN44" i="160"/>
  <c r="CQ44" i="160"/>
  <c r="CL44" i="160"/>
  <c r="CV44" i="160"/>
  <c r="CX44" i="160"/>
  <c r="L29" i="79"/>
  <c r="Y45" i="160"/>
  <c r="AB45" i="160" s="1"/>
  <c r="AD45" i="160"/>
  <c r="P45" i="160"/>
  <c r="Q45" i="160" s="1"/>
  <c r="R45" i="160"/>
  <c r="U44" i="162"/>
  <c r="V44" i="162" s="1"/>
  <c r="BK44" i="162"/>
  <c r="BL44" i="162" s="1"/>
  <c r="AB44" i="162"/>
  <c r="AC44" i="162" s="1"/>
  <c r="AG44" i="162" s="1"/>
  <c r="BW44" i="162"/>
  <c r="BU44" i="162" s="1"/>
  <c r="CI44" i="162" s="1"/>
  <c r="Z44" i="162"/>
  <c r="AA44" i="162" s="1"/>
  <c r="AM44" i="163"/>
  <c r="K44" i="162"/>
  <c r="L44" i="162" s="1"/>
  <c r="I44" i="162"/>
  <c r="M44" i="162"/>
  <c r="BR44" i="163"/>
  <c r="CF44" i="163" s="1"/>
  <c r="BP44" i="163"/>
  <c r="CD44" i="163" s="1"/>
  <c r="BQ44" i="163"/>
  <c r="CE44" i="163" s="1"/>
  <c r="J33" i="79"/>
  <c r="AE44" i="162"/>
  <c r="AF44" i="162" s="1"/>
  <c r="E45" i="160"/>
  <c r="BU44" i="163"/>
  <c r="CI44" i="163" s="1"/>
  <c r="BS44" i="163"/>
  <c r="CG44" i="163" s="1"/>
  <c r="BT44" i="163"/>
  <c r="CH44" i="163" s="1"/>
  <c r="P44" i="162"/>
  <c r="Q44" i="162" s="1"/>
  <c r="R44" i="162"/>
  <c r="S44" i="162" s="1"/>
  <c r="W44" i="162" s="1"/>
  <c r="BX44" i="162"/>
  <c r="AM44" i="159"/>
  <c r="T45" i="160"/>
  <c r="H44" i="162"/>
  <c r="F44" i="162"/>
  <c r="BY44" i="162"/>
  <c r="CB44" i="162"/>
  <c r="BP44" i="162" s="1"/>
  <c r="CD44" i="162" s="1"/>
  <c r="BH44" i="162"/>
  <c r="BI44" i="162" s="1"/>
  <c r="BM44" i="162" s="1"/>
  <c r="BF44" i="162"/>
  <c r="BG44" i="162" s="1"/>
  <c r="BS44" i="159"/>
  <c r="CG44" i="159" s="1"/>
  <c r="BU44" i="159"/>
  <c r="CI44" i="159" s="1"/>
  <c r="BT44" i="159"/>
  <c r="CH44" i="159" s="1"/>
  <c r="J45" i="160"/>
  <c r="AK45" i="160"/>
  <c r="AU45" i="160"/>
  <c r="AZ45" i="160"/>
  <c r="BE45" i="160"/>
  <c r="BJ45" i="160"/>
  <c r="AP45" i="160"/>
  <c r="AV44" i="162"/>
  <c r="AW44" i="162" s="1"/>
  <c r="AX44" i="162"/>
  <c r="AY44" i="162" s="1"/>
  <c r="BC44" i="162" s="1"/>
  <c r="CA44" i="162"/>
  <c r="BP44" i="159"/>
  <c r="CD44" i="159" s="1"/>
  <c r="BQ44" i="159"/>
  <c r="CE44" i="159" s="1"/>
  <c r="BR44" i="159"/>
  <c r="CF44" i="159" s="1"/>
  <c r="BR44" i="162"/>
  <c r="CF44" i="162" s="1"/>
  <c r="BQ44" i="162"/>
  <c r="CE44" i="162" s="1"/>
  <c r="BS40" i="158"/>
  <c r="CG40" i="158" s="1"/>
  <c r="BT40" i="158"/>
  <c r="CH40" i="158" s="1"/>
  <c r="BU40" i="158"/>
  <c r="CI40" i="158" s="1"/>
  <c r="BE41" i="158"/>
  <c r="BH41" i="158" s="1"/>
  <c r="CW40" i="158" l="1"/>
  <c r="Z29" i="79" s="1"/>
  <c r="BW45" i="160"/>
  <c r="BU45" i="160" s="1"/>
  <c r="CI45" i="160" s="1"/>
  <c r="CK40" i="158"/>
  <c r="N29" i="79" s="1"/>
  <c r="CO40" i="158"/>
  <c r="CR40" i="158"/>
  <c r="CT40" i="158"/>
  <c r="W29" i="79" s="1"/>
  <c r="CN40" i="158"/>
  <c r="Q29" i="79" s="1"/>
  <c r="CS40" i="158"/>
  <c r="V29" i="79" s="1"/>
  <c r="CK44" i="159"/>
  <c r="CQ40" i="158"/>
  <c r="CZ40" i="158"/>
  <c r="AC29" i="79" s="1"/>
  <c r="CM40" i="158"/>
  <c r="P29" i="79" s="1"/>
  <c r="CY40" i="158"/>
  <c r="AB29" i="79" s="1"/>
  <c r="CL40" i="158"/>
  <c r="O29" i="79" s="1"/>
  <c r="CV40" i="158"/>
  <c r="Y29" i="79" s="1"/>
  <c r="CP40" i="158"/>
  <c r="CX40" i="158"/>
  <c r="AA29" i="79" s="1"/>
  <c r="CS44" i="159"/>
  <c r="CP44" i="159"/>
  <c r="CQ44" i="159"/>
  <c r="CN44" i="159"/>
  <c r="CO44" i="159"/>
  <c r="CR44" i="159"/>
  <c r="CM44" i="159"/>
  <c r="CL44" i="159"/>
  <c r="CW44" i="159"/>
  <c r="CV44" i="159"/>
  <c r="CU44" i="159"/>
  <c r="CT44" i="159"/>
  <c r="CY44" i="159"/>
  <c r="CZ44" i="159"/>
  <c r="CX44" i="159"/>
  <c r="CK44" i="163"/>
  <c r="CN44" i="163"/>
  <c r="CR44" i="163"/>
  <c r="CM44" i="163"/>
  <c r="CL44" i="163"/>
  <c r="CP44" i="163"/>
  <c r="CQ44" i="163"/>
  <c r="CO44" i="163"/>
  <c r="CV44" i="163"/>
  <c r="CU44" i="163"/>
  <c r="CZ44" i="163"/>
  <c r="CT44" i="163"/>
  <c r="CS44" i="163"/>
  <c r="CY44" i="163"/>
  <c r="CW44" i="163"/>
  <c r="CX44" i="163"/>
  <c r="CU40" i="158"/>
  <c r="X29" i="79" s="1"/>
  <c r="AC45" i="160"/>
  <c r="AG45" i="160" s="1"/>
  <c r="AE45" i="160"/>
  <c r="AF45" i="160" s="1"/>
  <c r="Z45" i="160"/>
  <c r="AA45" i="160" s="1"/>
  <c r="J45" i="163"/>
  <c r="K45" i="163" s="1"/>
  <c r="L45" i="163" s="1"/>
  <c r="AP45" i="163"/>
  <c r="AQ45" i="163" s="1"/>
  <c r="AR45" i="163" s="1"/>
  <c r="J45" i="159"/>
  <c r="K45" i="159" s="1"/>
  <c r="L45" i="159" s="1"/>
  <c r="E45" i="163"/>
  <c r="F45" i="163" s="1"/>
  <c r="G45" i="163" s="1"/>
  <c r="AD45" i="159"/>
  <c r="AQ45" i="160"/>
  <c r="AR45" i="160" s="1"/>
  <c r="AS45" i="160"/>
  <c r="T45" i="163"/>
  <c r="BK45" i="160"/>
  <c r="BL45" i="160" s="1"/>
  <c r="H45" i="160"/>
  <c r="I45" i="160" s="1"/>
  <c r="BY45" i="160"/>
  <c r="F45" i="160"/>
  <c r="G45" i="160" s="1"/>
  <c r="U45" i="160"/>
  <c r="V45" i="160" s="1"/>
  <c r="BJ45" i="159"/>
  <c r="AK45" i="159"/>
  <c r="AU45" i="159"/>
  <c r="BE45" i="159"/>
  <c r="AZ45" i="159"/>
  <c r="AP45" i="159"/>
  <c r="K45" i="160"/>
  <c r="L45" i="160" s="1"/>
  <c r="M45" i="160"/>
  <c r="BE45" i="163"/>
  <c r="BJ45" i="163"/>
  <c r="AU45" i="163"/>
  <c r="AK45" i="163"/>
  <c r="BA45" i="160"/>
  <c r="BB45" i="160" s="1"/>
  <c r="BT44" i="162"/>
  <c r="CH44" i="162" s="1"/>
  <c r="BS44" i="162"/>
  <c r="CG44" i="162" s="1"/>
  <c r="O45" i="163"/>
  <c r="Y45" i="163"/>
  <c r="S45" i="160"/>
  <c r="W45" i="160" s="1"/>
  <c r="E45" i="159"/>
  <c r="Y45" i="159"/>
  <c r="T45" i="159"/>
  <c r="AX45" i="160"/>
  <c r="AY45" i="160" s="1"/>
  <c r="BC45" i="160" s="1"/>
  <c r="AV45" i="160"/>
  <c r="AW45" i="160" s="1"/>
  <c r="CA45" i="160"/>
  <c r="G44" i="162"/>
  <c r="BE45" i="162" s="1"/>
  <c r="AZ45" i="163"/>
  <c r="BX45" i="160"/>
  <c r="BH45" i="160"/>
  <c r="BI45" i="160" s="1"/>
  <c r="BM45" i="160" s="1"/>
  <c r="BF45" i="160"/>
  <c r="BG45" i="160" s="1"/>
  <c r="CB45" i="160"/>
  <c r="BP45" i="160" s="1"/>
  <c r="CD45" i="160" s="1"/>
  <c r="O45" i="159"/>
  <c r="AN45" i="160"/>
  <c r="AO45" i="160" s="1"/>
  <c r="BZ45" i="160"/>
  <c r="AL45" i="160"/>
  <c r="AD45" i="163"/>
  <c r="AZ41" i="158"/>
  <c r="BA41" i="158" s="1"/>
  <c r="BB41" i="158" s="1"/>
  <c r="AU41" i="158"/>
  <c r="AP41" i="158"/>
  <c r="AQ41" i="158" s="1"/>
  <c r="AR41" i="158" s="1"/>
  <c r="AK41" i="158"/>
  <c r="AN41" i="158" s="1"/>
  <c r="BJ41" i="158"/>
  <c r="BK41" i="158" s="1"/>
  <c r="BL41" i="158" s="1"/>
  <c r="BF41" i="158"/>
  <c r="BG41" i="158" s="1"/>
  <c r="M45" i="163" l="1"/>
  <c r="CO44" i="162"/>
  <c r="R33" i="79" s="1"/>
  <c r="CY44" i="162"/>
  <c r="CV44" i="162"/>
  <c r="CS44" i="162"/>
  <c r="CM44" i="162"/>
  <c r="CU44" i="162"/>
  <c r="CR44" i="162"/>
  <c r="U33" i="79" s="1"/>
  <c r="CT44" i="162"/>
  <c r="CK44" i="162"/>
  <c r="CL44" i="162"/>
  <c r="CZ44" i="162"/>
  <c r="CP44" i="162"/>
  <c r="S33" i="79" s="1"/>
  <c r="CN44" i="162"/>
  <c r="CW44" i="162"/>
  <c r="CQ44" i="162"/>
  <c r="T33" i="79" s="1"/>
  <c r="CX44" i="162"/>
  <c r="AS45" i="163"/>
  <c r="CA41" i="158"/>
  <c r="BY45" i="163"/>
  <c r="H45" i="163"/>
  <c r="I45" i="163" s="1"/>
  <c r="AU45" i="162"/>
  <c r="AV45" i="162" s="1"/>
  <c r="AW45" i="162" s="1"/>
  <c r="AZ45" i="162"/>
  <c r="BA45" i="162" s="1"/>
  <c r="BB45" i="162" s="1"/>
  <c r="AK45" i="162"/>
  <c r="AN45" i="162" s="1"/>
  <c r="M45" i="159"/>
  <c r="AP45" i="162"/>
  <c r="P45" i="163"/>
  <c r="Q45" i="163" s="1"/>
  <c r="R45" i="163"/>
  <c r="S45" i="163" s="1"/>
  <c r="W45" i="163" s="1"/>
  <c r="BX45" i="163"/>
  <c r="AM45" i="160"/>
  <c r="T45" i="162"/>
  <c r="AD45" i="162"/>
  <c r="Y45" i="162"/>
  <c r="F34" i="79" s="1"/>
  <c r="O45" i="162"/>
  <c r="E45" i="162"/>
  <c r="J45" i="162"/>
  <c r="BZ45" i="159"/>
  <c r="AL45" i="159"/>
  <c r="AN45" i="159"/>
  <c r="AO45" i="159" s="1"/>
  <c r="BF45" i="163"/>
  <c r="BG45" i="163" s="1"/>
  <c r="BH45" i="163"/>
  <c r="BI45" i="163" s="1"/>
  <c r="BM45" i="163" s="1"/>
  <c r="BR45" i="160"/>
  <c r="CF45" i="160" s="1"/>
  <c r="BQ45" i="160"/>
  <c r="CE45" i="160" s="1"/>
  <c r="BA45" i="163"/>
  <c r="BB45" i="163" s="1"/>
  <c r="BK45" i="159"/>
  <c r="BL45" i="159" s="1"/>
  <c r="U45" i="159"/>
  <c r="V45" i="159" s="1"/>
  <c r="Z45" i="159"/>
  <c r="AA45" i="159" s="1"/>
  <c r="AB45" i="159"/>
  <c r="AC45" i="159" s="1"/>
  <c r="AG45" i="159" s="1"/>
  <c r="BW45" i="159"/>
  <c r="U45" i="163"/>
  <c r="V45" i="163" s="1"/>
  <c r="AX45" i="159"/>
  <c r="AY45" i="159" s="1"/>
  <c r="BC45" i="159" s="1"/>
  <c r="CA45" i="159"/>
  <c r="AV45" i="159"/>
  <c r="AW45" i="159" s="1"/>
  <c r="BY45" i="159"/>
  <c r="H45" i="159"/>
  <c r="I45" i="159" s="1"/>
  <c r="F45" i="159"/>
  <c r="G45" i="159" s="1"/>
  <c r="BZ45" i="163"/>
  <c r="AN45" i="163"/>
  <c r="AO45" i="163" s="1"/>
  <c r="AL45" i="163"/>
  <c r="AS45" i="159"/>
  <c r="AQ45" i="159"/>
  <c r="AR45" i="159" s="1"/>
  <c r="BF45" i="162"/>
  <c r="BG45" i="162" s="1"/>
  <c r="BH45" i="162"/>
  <c r="AV45" i="163"/>
  <c r="AW45" i="163" s="1"/>
  <c r="CA45" i="163"/>
  <c r="AX45" i="163"/>
  <c r="AY45" i="163" s="1"/>
  <c r="BC45" i="163" s="1"/>
  <c r="BA45" i="159"/>
  <c r="BB45" i="159" s="1"/>
  <c r="AE45" i="159"/>
  <c r="AF45" i="159" s="1"/>
  <c r="R45" i="159"/>
  <c r="S45" i="159" s="1"/>
  <c r="W45" i="159" s="1"/>
  <c r="P45" i="159"/>
  <c r="Q45" i="159" s="1"/>
  <c r="BX45" i="159"/>
  <c r="AE45" i="163"/>
  <c r="AF45" i="163" s="1"/>
  <c r="AB45" i="163"/>
  <c r="AC45" i="163" s="1"/>
  <c r="AG45" i="163" s="1"/>
  <c r="BW45" i="163"/>
  <c r="Z45" i="163"/>
  <c r="AA45" i="163" s="1"/>
  <c r="CB45" i="163"/>
  <c r="BK45" i="163"/>
  <c r="BL45" i="163" s="1"/>
  <c r="BF45" i="159"/>
  <c r="BG45" i="159" s="1"/>
  <c r="CB45" i="159"/>
  <c r="BH45" i="159"/>
  <c r="BI45" i="159" s="1"/>
  <c r="BM45" i="159" s="1"/>
  <c r="BT45" i="160"/>
  <c r="CH45" i="160" s="1"/>
  <c r="BS45" i="160"/>
  <c r="CG45" i="160" s="1"/>
  <c r="BJ45" i="162"/>
  <c r="AX41" i="158"/>
  <c r="AY41" i="158" s="1"/>
  <c r="BC41" i="158" s="1"/>
  <c r="AV41" i="158"/>
  <c r="AW41" i="158" s="1"/>
  <c r="BI41" i="158"/>
  <c r="BM41" i="158" s="1"/>
  <c r="AO41" i="158"/>
  <c r="AS41" i="158" s="1"/>
  <c r="CB41" i="158"/>
  <c r="AL41" i="158"/>
  <c r="AM41" i="158" s="1"/>
  <c r="BZ41" i="158"/>
  <c r="Y41" i="158"/>
  <c r="G30" i="79" s="1"/>
  <c r="AD41" i="158"/>
  <c r="O41" i="158"/>
  <c r="H30" i="79" s="1"/>
  <c r="T41" i="158"/>
  <c r="U41" i="158" s="1"/>
  <c r="V41" i="158" s="1"/>
  <c r="J41" i="158"/>
  <c r="E41" i="158"/>
  <c r="E30" i="79" s="1"/>
  <c r="BT45" i="163" l="1"/>
  <c r="CH45" i="163" s="1"/>
  <c r="CO45" i="160"/>
  <c r="CS45" i="160"/>
  <c r="CP45" i="160"/>
  <c r="CT45" i="160"/>
  <c r="CQ45" i="160"/>
  <c r="CY45" i="160"/>
  <c r="CV45" i="160"/>
  <c r="CZ45" i="160"/>
  <c r="CR45" i="160"/>
  <c r="CM45" i="160"/>
  <c r="CL45" i="160"/>
  <c r="CN45" i="160"/>
  <c r="CU45" i="160"/>
  <c r="CX45" i="160"/>
  <c r="CK45" i="160"/>
  <c r="CW45" i="160"/>
  <c r="BU45" i="163"/>
  <c r="CI45" i="163" s="1"/>
  <c r="BS45" i="163"/>
  <c r="CG45" i="163" s="1"/>
  <c r="AX45" i="162"/>
  <c r="AY45" i="162" s="1"/>
  <c r="BC45" i="162" s="1"/>
  <c r="AZ46" i="160"/>
  <c r="BA46" i="160" s="1"/>
  <c r="BB46" i="160" s="1"/>
  <c r="BI45" i="162"/>
  <c r="BM45" i="162" s="1"/>
  <c r="AL45" i="162"/>
  <c r="AM45" i="162" s="1"/>
  <c r="BZ45" i="162"/>
  <c r="BQ45" i="162" s="1"/>
  <c r="CE45" i="162" s="1"/>
  <c r="AO45" i="162"/>
  <c r="AS45" i="162"/>
  <c r="AQ45" i="162"/>
  <c r="AR45" i="162" s="1"/>
  <c r="CA45" i="162"/>
  <c r="BJ46" i="160"/>
  <c r="BK46" i="160" s="1"/>
  <c r="BL46" i="160" s="1"/>
  <c r="J46" i="160"/>
  <c r="M46" i="160" s="1"/>
  <c r="Y46" i="160"/>
  <c r="AB46" i="160" s="1"/>
  <c r="AD46" i="160"/>
  <c r="BQ45" i="163"/>
  <c r="CE45" i="163" s="1"/>
  <c r="BP45" i="163"/>
  <c r="CD45" i="163" s="1"/>
  <c r="BR45" i="163"/>
  <c r="CF45" i="163" s="1"/>
  <c r="K45" i="162"/>
  <c r="L45" i="162" s="1"/>
  <c r="I45" i="162"/>
  <c r="M45" i="162"/>
  <c r="O46" i="160"/>
  <c r="E46" i="160"/>
  <c r="F45" i="162"/>
  <c r="H45" i="162"/>
  <c r="BY45" i="162"/>
  <c r="T46" i="160"/>
  <c r="AM45" i="159"/>
  <c r="BX45" i="162"/>
  <c r="P45" i="162"/>
  <c r="Q45" i="162" s="1"/>
  <c r="R45" i="162"/>
  <c r="S45" i="162" s="1"/>
  <c r="W45" i="162" s="1"/>
  <c r="AU46" i="160"/>
  <c r="BE46" i="160"/>
  <c r="AK46" i="160"/>
  <c r="BQ45" i="159"/>
  <c r="CE45" i="159" s="1"/>
  <c r="BP45" i="159"/>
  <c r="CD45" i="159" s="1"/>
  <c r="BR45" i="159"/>
  <c r="CF45" i="159" s="1"/>
  <c r="Z45" i="162"/>
  <c r="AA45" i="162" s="1"/>
  <c r="AB45" i="162"/>
  <c r="AC45" i="162" s="1"/>
  <c r="AG45" i="162" s="1"/>
  <c r="BW45" i="162"/>
  <c r="BU45" i="162" s="1"/>
  <c r="CI45" i="162" s="1"/>
  <c r="K41" i="158"/>
  <c r="L41" i="158" s="1"/>
  <c r="I30" i="79"/>
  <c r="BU45" i="159"/>
  <c r="CI45" i="159" s="1"/>
  <c r="BT45" i="159"/>
  <c r="CH45" i="159" s="1"/>
  <c r="BS45" i="159"/>
  <c r="CG45" i="159" s="1"/>
  <c r="J34" i="79"/>
  <c r="AE45" i="162"/>
  <c r="AF45" i="162" s="1"/>
  <c r="AE41" i="158"/>
  <c r="AF41" i="158" s="1"/>
  <c r="K30" i="79"/>
  <c r="U45" i="162"/>
  <c r="V45" i="162" s="1"/>
  <c r="BK45" i="162"/>
  <c r="BL45" i="162" s="1"/>
  <c r="CB45" i="162"/>
  <c r="BP45" i="162" s="1"/>
  <c r="CD45" i="162" s="1"/>
  <c r="AM45" i="163"/>
  <c r="AP46" i="160"/>
  <c r="BR41" i="158"/>
  <c r="CF41" i="158" s="1"/>
  <c r="BQ41" i="158"/>
  <c r="CE41" i="158" s="1"/>
  <c r="BP41" i="158"/>
  <c r="CD41" i="158" s="1"/>
  <c r="P41" i="158"/>
  <c r="Q41" i="158" s="1"/>
  <c r="R41" i="158"/>
  <c r="S41" i="158" s="1"/>
  <c r="W41" i="158" s="1"/>
  <c r="BX41" i="158"/>
  <c r="BY41" i="158"/>
  <c r="F41" i="158"/>
  <c r="G41" i="158" s="1"/>
  <c r="H41" i="158"/>
  <c r="I41" i="158" s="1"/>
  <c r="M41" i="158" s="1"/>
  <c r="Z41" i="158"/>
  <c r="AA41" i="158" s="1"/>
  <c r="AB41" i="158"/>
  <c r="AC41" i="158" s="1"/>
  <c r="AG41" i="158" s="1"/>
  <c r="BW41" i="158"/>
  <c r="J46" i="163" l="1"/>
  <c r="K46" i="163" s="1"/>
  <c r="L46" i="163" s="1"/>
  <c r="CN45" i="163"/>
  <c r="CV45" i="163"/>
  <c r="CK45" i="163"/>
  <c r="CM45" i="163"/>
  <c r="CL45" i="163"/>
  <c r="CP45" i="163"/>
  <c r="CO45" i="163"/>
  <c r="CR45" i="163"/>
  <c r="CQ45" i="163"/>
  <c r="CU45" i="163"/>
  <c r="CZ45" i="163"/>
  <c r="CT45" i="163"/>
  <c r="CS45" i="163"/>
  <c r="CX45" i="163"/>
  <c r="CY45" i="163"/>
  <c r="CW45" i="163"/>
  <c r="CN45" i="159"/>
  <c r="CS45" i="159"/>
  <c r="CM45" i="159"/>
  <c r="CL45" i="159"/>
  <c r="CP45" i="159"/>
  <c r="CR45" i="159"/>
  <c r="CO45" i="159"/>
  <c r="CQ45" i="159"/>
  <c r="CK45" i="159"/>
  <c r="CW45" i="159"/>
  <c r="CT45" i="159"/>
  <c r="CU45" i="159"/>
  <c r="CV45" i="159"/>
  <c r="CZ45" i="159"/>
  <c r="CX45" i="159"/>
  <c r="CY45" i="159"/>
  <c r="L30" i="79"/>
  <c r="BR45" i="162"/>
  <c r="CF45" i="162" s="1"/>
  <c r="K46" i="160"/>
  <c r="L46" i="160" s="1"/>
  <c r="BJ46" i="159"/>
  <c r="BK46" i="159" s="1"/>
  <c r="BL46" i="159" s="1"/>
  <c r="J46" i="159"/>
  <c r="M46" i="159" s="1"/>
  <c r="O46" i="163"/>
  <c r="R46" i="163" s="1"/>
  <c r="Z46" i="160"/>
  <c r="AA46" i="160" s="1"/>
  <c r="M46" i="163"/>
  <c r="T46" i="163"/>
  <c r="AD46" i="163"/>
  <c r="Y46" i="163"/>
  <c r="F46" i="160"/>
  <c r="H46" i="160"/>
  <c r="I46" i="160" s="1"/>
  <c r="BY46" i="160"/>
  <c r="R46" i="160"/>
  <c r="S46" i="160" s="1"/>
  <c r="W46" i="160" s="1"/>
  <c r="P46" i="160"/>
  <c r="Q46" i="160" s="1"/>
  <c r="BX46" i="160"/>
  <c r="BF46" i="160"/>
  <c r="BG46" i="160" s="1"/>
  <c r="CB46" i="160"/>
  <c r="BP46" i="160" s="1"/>
  <c r="CD46" i="160" s="1"/>
  <c r="BH46" i="160"/>
  <c r="BI46" i="160" s="1"/>
  <c r="BM46" i="160" s="1"/>
  <c r="AD46" i="159"/>
  <c r="O46" i="159"/>
  <c r="E46" i="159"/>
  <c r="Y46" i="159"/>
  <c r="AC46" i="160"/>
  <c r="AG46" i="160" s="1"/>
  <c r="AE46" i="160"/>
  <c r="AF46" i="160" s="1"/>
  <c r="AL46" i="160"/>
  <c r="BZ46" i="160"/>
  <c r="AN46" i="160"/>
  <c r="AO46" i="160" s="1"/>
  <c r="CA46" i="160"/>
  <c r="AV46" i="160"/>
  <c r="AW46" i="160" s="1"/>
  <c r="AX46" i="160"/>
  <c r="AY46" i="160" s="1"/>
  <c r="BC46" i="160" s="1"/>
  <c r="U46" i="160"/>
  <c r="V46" i="160" s="1"/>
  <c r="G45" i="162"/>
  <c r="AZ46" i="162" s="1"/>
  <c r="AQ46" i="160"/>
  <c r="AR46" i="160" s="1"/>
  <c r="AS46" i="160"/>
  <c r="T46" i="159"/>
  <c r="BT45" i="162"/>
  <c r="CH45" i="162" s="1"/>
  <c r="BS45" i="162"/>
  <c r="CG45" i="162" s="1"/>
  <c r="BW46" i="160"/>
  <c r="BU46" i="160" s="1"/>
  <c r="CI46" i="160" s="1"/>
  <c r="AP46" i="163"/>
  <c r="AK46" i="163"/>
  <c r="BJ46" i="163"/>
  <c r="BE46" i="163"/>
  <c r="AU46" i="163"/>
  <c r="AZ46" i="163"/>
  <c r="E46" i="163"/>
  <c r="AP46" i="159"/>
  <c r="AU46" i="159"/>
  <c r="BE46" i="159"/>
  <c r="AZ46" i="159"/>
  <c r="AK46" i="159"/>
  <c r="BS41" i="158"/>
  <c r="CG41" i="158" s="1"/>
  <c r="BT41" i="158"/>
  <c r="CH41" i="158" s="1"/>
  <c r="BU41" i="158"/>
  <c r="CI41" i="158" s="1"/>
  <c r="BE42" i="158"/>
  <c r="BF42" i="158" s="1"/>
  <c r="BG42" i="158" s="1"/>
  <c r="CT41" i="158" l="1"/>
  <c r="W30" i="79" s="1"/>
  <c r="CP45" i="162"/>
  <c r="S34" i="79" s="1"/>
  <c r="CY45" i="162"/>
  <c r="CQ45" i="162"/>
  <c r="T34" i="79" s="1"/>
  <c r="CQ41" i="158"/>
  <c r="CO41" i="158"/>
  <c r="CT45" i="162"/>
  <c r="CL45" i="162"/>
  <c r="CL41" i="158"/>
  <c r="O30" i="79" s="1"/>
  <c r="CY41" i="158"/>
  <c r="AB30" i="79" s="1"/>
  <c r="CS45" i="162"/>
  <c r="CV45" i="162"/>
  <c r="CK41" i="158"/>
  <c r="N30" i="79" s="1"/>
  <c r="CW41" i="158"/>
  <c r="Z30" i="79" s="1"/>
  <c r="CU45" i="162"/>
  <c r="CR45" i="162"/>
  <c r="U34" i="79" s="1"/>
  <c r="CP41" i="158"/>
  <c r="CR41" i="158"/>
  <c r="CO45" i="162"/>
  <c r="R34" i="79" s="1"/>
  <c r="CK45" i="162"/>
  <c r="CX41" i="158"/>
  <c r="AA30" i="79" s="1"/>
  <c r="CU41" i="158"/>
  <c r="X30" i="79" s="1"/>
  <c r="CN45" i="162"/>
  <c r="CM45" i="162"/>
  <c r="CV41" i="158"/>
  <c r="Y30" i="79" s="1"/>
  <c r="CS41" i="158"/>
  <c r="V30" i="79" s="1"/>
  <c r="CW45" i="162"/>
  <c r="CZ45" i="162"/>
  <c r="CN41" i="158"/>
  <c r="Q30" i="79" s="1"/>
  <c r="CZ41" i="158"/>
  <c r="AC30" i="79" s="1"/>
  <c r="CX45" i="162"/>
  <c r="CM41" i="158"/>
  <c r="P30" i="79" s="1"/>
  <c r="K46" i="159"/>
  <c r="L46" i="159" s="1"/>
  <c r="AU46" i="162"/>
  <c r="CA46" i="162" s="1"/>
  <c r="BE46" i="162"/>
  <c r="BF46" i="162" s="1"/>
  <c r="BG46" i="162" s="1"/>
  <c r="BJ46" i="162"/>
  <c r="P46" i="163"/>
  <c r="Q46" i="163" s="1"/>
  <c r="AP46" i="162"/>
  <c r="AQ46" i="162" s="1"/>
  <c r="AR46" i="162" s="1"/>
  <c r="F46" i="163"/>
  <c r="G46" i="163" s="1"/>
  <c r="BY46" i="163"/>
  <c r="H46" i="163"/>
  <c r="I46" i="163" s="1"/>
  <c r="BW46" i="159"/>
  <c r="AB46" i="159"/>
  <c r="AC46" i="159" s="1"/>
  <c r="AG46" i="159" s="1"/>
  <c r="Z46" i="159"/>
  <c r="AA46" i="159" s="1"/>
  <c r="AE46" i="163"/>
  <c r="AF46" i="163" s="1"/>
  <c r="BA46" i="163"/>
  <c r="BB46" i="163" s="1"/>
  <c r="F46" i="159"/>
  <c r="BY46" i="159"/>
  <c r="H46" i="159"/>
  <c r="I46" i="159" s="1"/>
  <c r="U46" i="163"/>
  <c r="V46" i="163" s="1"/>
  <c r="BZ46" i="159"/>
  <c r="AN46" i="159"/>
  <c r="AO46" i="159" s="1"/>
  <c r="AL46" i="159"/>
  <c r="BA46" i="162"/>
  <c r="BB46" i="162" s="1"/>
  <c r="R46" i="159"/>
  <c r="S46" i="159" s="1"/>
  <c r="W46" i="159" s="1"/>
  <c r="P46" i="159"/>
  <c r="Q46" i="159" s="1"/>
  <c r="BX46" i="159"/>
  <c r="S46" i="163"/>
  <c r="W46" i="163" s="1"/>
  <c r="O46" i="162"/>
  <c r="AD46" i="162"/>
  <c r="E46" i="162"/>
  <c r="T46" i="162"/>
  <c r="J46" i="162"/>
  <c r="Y46" i="162"/>
  <c r="U46" i="159"/>
  <c r="V46" i="159" s="1"/>
  <c r="BH46" i="163"/>
  <c r="BI46" i="163" s="1"/>
  <c r="BM46" i="163" s="1"/>
  <c r="BF46" i="163"/>
  <c r="BG46" i="163" s="1"/>
  <c r="CB46" i="163"/>
  <c r="BQ46" i="160"/>
  <c r="CE46" i="160" s="1"/>
  <c r="BR46" i="160"/>
  <c r="CF46" i="160" s="1"/>
  <c r="AE46" i="159"/>
  <c r="AF46" i="159" s="1"/>
  <c r="BX46" i="163"/>
  <c r="BA46" i="159"/>
  <c r="BB46" i="159" s="1"/>
  <c r="BH46" i="159"/>
  <c r="BI46" i="159" s="1"/>
  <c r="BM46" i="159" s="1"/>
  <c r="BF46" i="159"/>
  <c r="BG46" i="159" s="1"/>
  <c r="CB46" i="159"/>
  <c r="BK46" i="163"/>
  <c r="BL46" i="163" s="1"/>
  <c r="AM46" i="160"/>
  <c r="BS46" i="160"/>
  <c r="CG46" i="160" s="1"/>
  <c r="BT46" i="160"/>
  <c r="CH46" i="160" s="1"/>
  <c r="Z46" i="163"/>
  <c r="AA46" i="163" s="1"/>
  <c r="AB46" i="163"/>
  <c r="AC46" i="163" s="1"/>
  <c r="AG46" i="163" s="1"/>
  <c r="BW46" i="163"/>
  <c r="CA46" i="163"/>
  <c r="AX46" i="163"/>
  <c r="AY46" i="163" s="1"/>
  <c r="BC46" i="163" s="1"/>
  <c r="AV46" i="163"/>
  <c r="AW46" i="163" s="1"/>
  <c r="CA46" i="159"/>
  <c r="AX46" i="159"/>
  <c r="AY46" i="159" s="1"/>
  <c r="BC46" i="159" s="1"/>
  <c r="AV46" i="159"/>
  <c r="AW46" i="159" s="1"/>
  <c r="BZ46" i="163"/>
  <c r="AN46" i="163"/>
  <c r="AO46" i="163" s="1"/>
  <c r="AL46" i="163"/>
  <c r="AX46" i="162"/>
  <c r="AY46" i="162" s="1"/>
  <c r="BC46" i="162" s="1"/>
  <c r="AV46" i="162"/>
  <c r="AW46" i="162" s="1"/>
  <c r="BK46" i="162"/>
  <c r="BL46" i="162" s="1"/>
  <c r="AS46" i="159"/>
  <c r="AQ46" i="159"/>
  <c r="AR46" i="159" s="1"/>
  <c r="AQ46" i="163"/>
  <c r="AR46" i="163" s="1"/>
  <c r="AS46" i="163"/>
  <c r="AK46" i="162"/>
  <c r="G46" i="160"/>
  <c r="BJ42" i="158"/>
  <c r="BK42" i="158" s="1"/>
  <c r="BL42" i="158" s="1"/>
  <c r="AU42" i="158"/>
  <c r="AV42" i="158" s="1"/>
  <c r="AW42" i="158" s="1"/>
  <c r="AK42" i="158"/>
  <c r="AZ42" i="158"/>
  <c r="AP42" i="158"/>
  <c r="BH42" i="158"/>
  <c r="E42" i="158"/>
  <c r="CK46" i="160" l="1"/>
  <c r="F35" i="79"/>
  <c r="AS46" i="162"/>
  <c r="CZ46" i="160"/>
  <c r="CL46" i="160"/>
  <c r="CT46" i="160"/>
  <c r="CQ46" i="160"/>
  <c r="CV46" i="160"/>
  <c r="CO46" i="160"/>
  <c r="CU46" i="160"/>
  <c r="CM46" i="160"/>
  <c r="CX46" i="160"/>
  <c r="CR46" i="160"/>
  <c r="CW46" i="160"/>
  <c r="CP46" i="160"/>
  <c r="CS46" i="160"/>
  <c r="CN46" i="160"/>
  <c r="CY46" i="160"/>
  <c r="BH46" i="162"/>
  <c r="BI46" i="162" s="1"/>
  <c r="BM46" i="162" s="1"/>
  <c r="CB46" i="162"/>
  <c r="BP46" i="162" s="1"/>
  <c r="CD46" i="162" s="1"/>
  <c r="AZ47" i="160"/>
  <c r="BA47" i="160" s="1"/>
  <c r="BB47" i="160" s="1"/>
  <c r="E31" i="79"/>
  <c r="Y47" i="160"/>
  <c r="AB47" i="160" s="1"/>
  <c r="BJ47" i="160"/>
  <c r="BK47" i="160" s="1"/>
  <c r="BL47" i="160" s="1"/>
  <c r="AD47" i="160"/>
  <c r="E47" i="160"/>
  <c r="T47" i="160"/>
  <c r="J35" i="79"/>
  <c r="AE46" i="162"/>
  <c r="AF46" i="162" s="1"/>
  <c r="P46" i="162"/>
  <c r="Q46" i="162" s="1"/>
  <c r="BX46" i="162"/>
  <c r="R46" i="162"/>
  <c r="S46" i="162" s="1"/>
  <c r="W46" i="162" s="1"/>
  <c r="BI42" i="158"/>
  <c r="BM42" i="158" s="1"/>
  <c r="BU46" i="159"/>
  <c r="CI46" i="159" s="1"/>
  <c r="BT46" i="159"/>
  <c r="CH46" i="159" s="1"/>
  <c r="BS46" i="159"/>
  <c r="CG46" i="159" s="1"/>
  <c r="H46" i="162"/>
  <c r="F46" i="162"/>
  <c r="BY46" i="162"/>
  <c r="CB42" i="158"/>
  <c r="AX42" i="158"/>
  <c r="AY42" i="158" s="1"/>
  <c r="BC42" i="158" s="1"/>
  <c r="AU47" i="160"/>
  <c r="BE47" i="160"/>
  <c r="AP47" i="160"/>
  <c r="AK47" i="160"/>
  <c r="AM46" i="159"/>
  <c r="G46" i="159"/>
  <c r="AL46" i="162"/>
  <c r="AM46" i="162" s="1"/>
  <c r="BZ46" i="162"/>
  <c r="AN46" i="162"/>
  <c r="AM46" i="163"/>
  <c r="Z46" i="162"/>
  <c r="AA46" i="162" s="1"/>
  <c r="BW46" i="162"/>
  <c r="BU46" i="162" s="1"/>
  <c r="CI46" i="162" s="1"/>
  <c r="AB46" i="162"/>
  <c r="AC46" i="162" s="1"/>
  <c r="AG46" i="162" s="1"/>
  <c r="CA42" i="158"/>
  <c r="O47" i="160"/>
  <c r="I46" i="162"/>
  <c r="M46" i="162"/>
  <c r="K46" i="162"/>
  <c r="L46" i="162" s="1"/>
  <c r="BR46" i="159"/>
  <c r="CF46" i="159" s="1"/>
  <c r="BP46" i="159"/>
  <c r="CD46" i="159" s="1"/>
  <c r="BQ46" i="159"/>
  <c r="CE46" i="159" s="1"/>
  <c r="AO46" i="162"/>
  <c r="BS46" i="163"/>
  <c r="CG46" i="163" s="1"/>
  <c r="BU46" i="163"/>
  <c r="CI46" i="163" s="1"/>
  <c r="BT46" i="163"/>
  <c r="CH46" i="163" s="1"/>
  <c r="BR46" i="163"/>
  <c r="CF46" i="163" s="1"/>
  <c r="BQ46" i="163"/>
  <c r="CE46" i="163" s="1"/>
  <c r="BP46" i="163"/>
  <c r="CD46" i="163" s="1"/>
  <c r="J47" i="160"/>
  <c r="U46" i="162"/>
  <c r="V46" i="162" s="1"/>
  <c r="BZ42" i="158"/>
  <c r="AQ42" i="158"/>
  <c r="AR42" i="158" s="1"/>
  <c r="BA42" i="158"/>
  <c r="BB42" i="158" s="1"/>
  <c r="AN42" i="158"/>
  <c r="AO42" i="158" s="1"/>
  <c r="AS42" i="158" s="1"/>
  <c r="AL42" i="158"/>
  <c r="AM42" i="158" s="1"/>
  <c r="F42" i="158"/>
  <c r="G42" i="158" s="1"/>
  <c r="H42" i="158"/>
  <c r="T42" i="158"/>
  <c r="Y42" i="158"/>
  <c r="G31" i="79" s="1"/>
  <c r="AD42" i="158"/>
  <c r="K31" i="79" s="1"/>
  <c r="J42" i="158"/>
  <c r="O42" i="158"/>
  <c r="H31" i="79" s="1"/>
  <c r="CN46" i="163" l="1"/>
  <c r="CR46" i="163"/>
  <c r="CV46" i="163"/>
  <c r="CQ46" i="163"/>
  <c r="CK46" i="163"/>
  <c r="CP46" i="163"/>
  <c r="CL46" i="163"/>
  <c r="CO46" i="163"/>
  <c r="CM46" i="163"/>
  <c r="CU46" i="163"/>
  <c r="CS46" i="163"/>
  <c r="CZ46" i="163"/>
  <c r="CT46" i="163"/>
  <c r="CX46" i="163"/>
  <c r="CW46" i="163"/>
  <c r="CY46" i="163"/>
  <c r="CS46" i="159"/>
  <c r="CO46" i="159"/>
  <c r="CR46" i="159"/>
  <c r="CP46" i="159"/>
  <c r="CN46" i="159"/>
  <c r="CL46" i="159"/>
  <c r="CQ46" i="159"/>
  <c r="CK46" i="159"/>
  <c r="CM46" i="159"/>
  <c r="CU46" i="159"/>
  <c r="CW46" i="159"/>
  <c r="CT46" i="159"/>
  <c r="CV46" i="159"/>
  <c r="CY46" i="159"/>
  <c r="CZ46" i="159"/>
  <c r="CX46" i="159"/>
  <c r="L31" i="79"/>
  <c r="BJ47" i="159"/>
  <c r="BK47" i="159" s="1"/>
  <c r="BL47" i="159" s="1"/>
  <c r="Z47" i="160"/>
  <c r="AA47" i="160" s="1"/>
  <c r="J47" i="163"/>
  <c r="K47" i="163" s="1"/>
  <c r="L47" i="163" s="1"/>
  <c r="BE47" i="163"/>
  <c r="AP47" i="163"/>
  <c r="AU47" i="163"/>
  <c r="AK47" i="163"/>
  <c r="BJ47" i="163"/>
  <c r="AZ47" i="163"/>
  <c r="O47" i="159"/>
  <c r="T47" i="159"/>
  <c r="AD47" i="159"/>
  <c r="E47" i="159"/>
  <c r="AN47" i="160"/>
  <c r="BZ47" i="160"/>
  <c r="AL47" i="160"/>
  <c r="G46" i="162"/>
  <c r="AD47" i="163"/>
  <c r="T47" i="163"/>
  <c r="U47" i="163" s="1"/>
  <c r="V47" i="163" s="1"/>
  <c r="BR46" i="162"/>
  <c r="CF46" i="162" s="1"/>
  <c r="BQ46" i="162"/>
  <c r="CE46" i="162" s="1"/>
  <c r="AS47" i="160"/>
  <c r="AQ47" i="160"/>
  <c r="AR47" i="160" s="1"/>
  <c r="AO47" i="160"/>
  <c r="BS46" i="162"/>
  <c r="CG46" i="162" s="1"/>
  <c r="BT46" i="162"/>
  <c r="BF47" i="160"/>
  <c r="BG47" i="160" s="1"/>
  <c r="CB47" i="160"/>
  <c r="BP47" i="160" s="1"/>
  <c r="CD47" i="160" s="1"/>
  <c r="BH47" i="160"/>
  <c r="BI47" i="160" s="1"/>
  <c r="BM47" i="160" s="1"/>
  <c r="R47" i="160"/>
  <c r="S47" i="160" s="1"/>
  <c r="W47" i="160" s="1"/>
  <c r="BX47" i="160"/>
  <c r="P47" i="160"/>
  <c r="Q47" i="160" s="1"/>
  <c r="Y47" i="159"/>
  <c r="AX47" i="160"/>
  <c r="AY47" i="160" s="1"/>
  <c r="BC47" i="160" s="1"/>
  <c r="AV47" i="160"/>
  <c r="AW47" i="160" s="1"/>
  <c r="CA47" i="160"/>
  <c r="U47" i="160"/>
  <c r="V47" i="160" s="1"/>
  <c r="O47" i="163"/>
  <c r="BY47" i="160"/>
  <c r="H47" i="160"/>
  <c r="I47" i="160" s="1"/>
  <c r="F47" i="160"/>
  <c r="AZ47" i="159"/>
  <c r="AU47" i="159"/>
  <c r="BE47" i="159"/>
  <c r="AK47" i="159"/>
  <c r="AP47" i="159"/>
  <c r="BW47" i="160"/>
  <c r="BU47" i="160" s="1"/>
  <c r="CI47" i="160" s="1"/>
  <c r="AE47" i="160"/>
  <c r="AF47" i="160" s="1"/>
  <c r="AC47" i="160"/>
  <c r="AG47" i="160" s="1"/>
  <c r="M47" i="160"/>
  <c r="K47" i="160"/>
  <c r="L47" i="160" s="1"/>
  <c r="BY42" i="158"/>
  <c r="I31" i="79"/>
  <c r="Y47" i="163"/>
  <c r="J47" i="159"/>
  <c r="E47" i="163"/>
  <c r="BP42" i="158"/>
  <c r="CD42" i="158" s="1"/>
  <c r="BQ42" i="158"/>
  <c r="CE42" i="158" s="1"/>
  <c r="BR42" i="158"/>
  <c r="CF42" i="158" s="1"/>
  <c r="U42" i="158"/>
  <c r="V42" i="158" s="1"/>
  <c r="BW42" i="158"/>
  <c r="AB42" i="158"/>
  <c r="AC42" i="158" s="1"/>
  <c r="AG42" i="158" s="1"/>
  <c r="Z42" i="158"/>
  <c r="AA42" i="158" s="1"/>
  <c r="AE42" i="158"/>
  <c r="AF42" i="158" s="1"/>
  <c r="I42" i="158"/>
  <c r="M42" i="158" s="1"/>
  <c r="K42" i="158"/>
  <c r="L42" i="158" s="1"/>
  <c r="P42" i="158"/>
  <c r="Q42" i="158" s="1"/>
  <c r="BX42" i="158"/>
  <c r="BT42" i="158" s="1"/>
  <c r="CH42" i="158" s="1"/>
  <c r="R42" i="158"/>
  <c r="S42" i="158" s="1"/>
  <c r="W42" i="158" s="1"/>
  <c r="E47" i="162" l="1"/>
  <c r="F47" i="162" s="1"/>
  <c r="G47" i="162" s="1"/>
  <c r="CH46" i="162"/>
  <c r="CR46" i="162" s="1"/>
  <c r="U35" i="79" s="1"/>
  <c r="BE47" i="162"/>
  <c r="BF47" i="162" s="1"/>
  <c r="BG47" i="162" s="1"/>
  <c r="M47" i="163"/>
  <c r="AZ47" i="162"/>
  <c r="BA47" i="162" s="1"/>
  <c r="BB47" i="162" s="1"/>
  <c r="BJ47" i="162"/>
  <c r="AU47" i="162"/>
  <c r="AV47" i="162" s="1"/>
  <c r="AW47" i="162" s="1"/>
  <c r="G47" i="160"/>
  <c r="H47" i="159"/>
  <c r="I47" i="159" s="1"/>
  <c r="BY47" i="159"/>
  <c r="F47" i="159"/>
  <c r="AS47" i="163"/>
  <c r="AQ47" i="163"/>
  <c r="AR47" i="163" s="1"/>
  <c r="AE47" i="159"/>
  <c r="AF47" i="159" s="1"/>
  <c r="CB47" i="163"/>
  <c r="BF47" i="163"/>
  <c r="BG47" i="163" s="1"/>
  <c r="BH47" i="163"/>
  <c r="BI47" i="163" s="1"/>
  <c r="BM47" i="163" s="1"/>
  <c r="AQ47" i="159"/>
  <c r="AR47" i="159" s="1"/>
  <c r="AS47" i="159"/>
  <c r="BS47" i="160"/>
  <c r="CG47" i="160" s="1"/>
  <c r="BT47" i="160"/>
  <c r="CH47" i="160" s="1"/>
  <c r="BW47" i="159"/>
  <c r="Z47" i="159"/>
  <c r="AA47" i="159" s="1"/>
  <c r="AB47" i="159"/>
  <c r="AC47" i="159" s="1"/>
  <c r="AG47" i="159" s="1"/>
  <c r="U47" i="159"/>
  <c r="V47" i="159" s="1"/>
  <c r="AB47" i="163"/>
  <c r="AC47" i="163" s="1"/>
  <c r="AG47" i="163" s="1"/>
  <c r="BW47" i="163"/>
  <c r="Z47" i="163"/>
  <c r="AA47" i="163" s="1"/>
  <c r="BZ47" i="159"/>
  <c r="AN47" i="159"/>
  <c r="AO47" i="159" s="1"/>
  <c r="AL47" i="159"/>
  <c r="AM47" i="159" s="1"/>
  <c r="P47" i="163"/>
  <c r="Q47" i="163" s="1"/>
  <c r="BX47" i="163"/>
  <c r="R47" i="163"/>
  <c r="S47" i="163" s="1"/>
  <c r="W47" i="163" s="1"/>
  <c r="AP47" i="162"/>
  <c r="AK47" i="162"/>
  <c r="P47" i="159"/>
  <c r="Q47" i="159" s="1"/>
  <c r="R47" i="159"/>
  <c r="S47" i="159" s="1"/>
  <c r="W47" i="159" s="1"/>
  <c r="BX47" i="159"/>
  <c r="AV47" i="163"/>
  <c r="AW47" i="163" s="1"/>
  <c r="AX47" i="163"/>
  <c r="AY47" i="163" s="1"/>
  <c r="BC47" i="163" s="1"/>
  <c r="CA47" i="163"/>
  <c r="H47" i="163"/>
  <c r="I47" i="163" s="1"/>
  <c r="F47" i="163"/>
  <c r="G47" i="163" s="1"/>
  <c r="BY47" i="163"/>
  <c r="BH47" i="159"/>
  <c r="BI47" i="159" s="1"/>
  <c r="BM47" i="159" s="1"/>
  <c r="CB47" i="159"/>
  <c r="BF47" i="159"/>
  <c r="BG47" i="159" s="1"/>
  <c r="T47" i="162"/>
  <c r="Y47" i="162"/>
  <c r="J47" i="162"/>
  <c r="BY47" i="162" s="1"/>
  <c r="BA47" i="163"/>
  <c r="BB47" i="163" s="1"/>
  <c r="CA47" i="159"/>
  <c r="AX47" i="159"/>
  <c r="AY47" i="159" s="1"/>
  <c r="BC47" i="159" s="1"/>
  <c r="AV47" i="159"/>
  <c r="AW47" i="159" s="1"/>
  <c r="O47" i="162"/>
  <c r="AD47" i="162"/>
  <c r="AM47" i="160"/>
  <c r="BK47" i="163"/>
  <c r="BL47" i="163" s="1"/>
  <c r="K47" i="159"/>
  <c r="L47" i="159" s="1"/>
  <c r="M47" i="159"/>
  <c r="BA47" i="159"/>
  <c r="BB47" i="159" s="1"/>
  <c r="AE47" i="163"/>
  <c r="AF47" i="163" s="1"/>
  <c r="BQ47" i="160"/>
  <c r="CE47" i="160" s="1"/>
  <c r="BR47" i="160"/>
  <c r="CF47" i="160" s="1"/>
  <c r="AN47" i="163"/>
  <c r="AO47" i="163" s="1"/>
  <c r="AL47" i="163"/>
  <c r="BZ47" i="163"/>
  <c r="BS42" i="158"/>
  <c r="CG42" i="158" s="1"/>
  <c r="BU42" i="158"/>
  <c r="CI42" i="158" s="1"/>
  <c r="AP43" i="158"/>
  <c r="AQ43" i="158" s="1"/>
  <c r="AR43" i="158" s="1"/>
  <c r="AZ43" i="158"/>
  <c r="BA43" i="158" s="1"/>
  <c r="BB43" i="158" s="1"/>
  <c r="BE43" i="158"/>
  <c r="BJ43" i="158"/>
  <c r="BK43" i="158" s="1"/>
  <c r="BL43" i="158" s="1"/>
  <c r="AK43" i="158"/>
  <c r="AL43" i="158" s="1"/>
  <c r="AM43" i="158" s="1"/>
  <c r="AU43" i="158"/>
  <c r="AV43" i="158" s="1"/>
  <c r="AW43" i="158" s="1"/>
  <c r="CN46" i="162" l="1"/>
  <c r="CZ42" i="158"/>
  <c r="AC31" i="79" s="1"/>
  <c r="CT46" i="162"/>
  <c r="H47" i="162"/>
  <c r="CM46" i="162"/>
  <c r="F36" i="79"/>
  <c r="CQ47" i="160"/>
  <c r="CS46" i="162"/>
  <c r="CB47" i="162"/>
  <c r="BP47" i="162" s="1"/>
  <c r="CD47" i="162" s="1"/>
  <c r="CL46" i="162"/>
  <c r="CO46" i="162"/>
  <c r="R35" i="79" s="1"/>
  <c r="CY46" i="162"/>
  <c r="CQ42" i="158"/>
  <c r="CY42" i="158"/>
  <c r="AB31" i="79" s="1"/>
  <c r="CX46" i="162"/>
  <c r="CT47" i="160"/>
  <c r="CO47" i="160"/>
  <c r="CP42" i="158"/>
  <c r="CX42" i="158"/>
  <c r="AA31" i="79" s="1"/>
  <c r="CN47" i="160"/>
  <c r="CU47" i="160"/>
  <c r="CO42" i="158"/>
  <c r="CW42" i="158"/>
  <c r="Z31" i="79" s="1"/>
  <c r="CL47" i="160"/>
  <c r="CV47" i="160"/>
  <c r="CK42" i="158"/>
  <c r="N31" i="79" s="1"/>
  <c r="CT42" i="158"/>
  <c r="W31" i="79" s="1"/>
  <c r="CX47" i="160"/>
  <c r="CP47" i="160"/>
  <c r="CP46" i="162"/>
  <c r="S35" i="79" s="1"/>
  <c r="CN42" i="158"/>
  <c r="Q31" i="79" s="1"/>
  <c r="CS42" i="158"/>
  <c r="V31" i="79" s="1"/>
  <c r="CU46" i="162"/>
  <c r="CW47" i="160"/>
  <c r="CM47" i="160"/>
  <c r="CW46" i="162"/>
  <c r="CM42" i="158"/>
  <c r="P31" i="79" s="1"/>
  <c r="CU42" i="158"/>
  <c r="X31" i="79" s="1"/>
  <c r="CS47" i="160"/>
  <c r="CK47" i="160"/>
  <c r="CK46" i="162"/>
  <c r="CL42" i="158"/>
  <c r="O31" i="79" s="1"/>
  <c r="CV42" i="158"/>
  <c r="Y31" i="79" s="1"/>
  <c r="CY47" i="160"/>
  <c r="CR47" i="160"/>
  <c r="CZ46" i="162"/>
  <c r="CQ46" i="162"/>
  <c r="T35" i="79" s="1"/>
  <c r="CR42" i="158"/>
  <c r="CV46" i="162"/>
  <c r="CZ47" i="160"/>
  <c r="BH47" i="162"/>
  <c r="BI47" i="162" s="1"/>
  <c r="BM47" i="162" s="1"/>
  <c r="CA47" i="162"/>
  <c r="BK47" i="162"/>
  <c r="BL47" i="162" s="1"/>
  <c r="AU48" i="160"/>
  <c r="AX48" i="160" s="1"/>
  <c r="AK48" i="160"/>
  <c r="AL48" i="160" s="1"/>
  <c r="AM48" i="160" s="1"/>
  <c r="AX47" i="162"/>
  <c r="AY47" i="162" s="1"/>
  <c r="BC47" i="162" s="1"/>
  <c r="AP48" i="160"/>
  <c r="AQ48" i="160" s="1"/>
  <c r="AR48" i="160" s="1"/>
  <c r="J36" i="79"/>
  <c r="AE47" i="162"/>
  <c r="AF47" i="162" s="1"/>
  <c r="BT47" i="162"/>
  <c r="CH47" i="162" s="1"/>
  <c r="BS47" i="162"/>
  <c r="CG47" i="162" s="1"/>
  <c r="BJ48" i="160"/>
  <c r="R47" i="162"/>
  <c r="S47" i="162" s="1"/>
  <c r="W47" i="162" s="1"/>
  <c r="BX47" i="162"/>
  <c r="P47" i="162"/>
  <c r="Q47" i="162" s="1"/>
  <c r="AN47" i="162"/>
  <c r="BZ47" i="162"/>
  <c r="AL47" i="162"/>
  <c r="AZ48" i="160"/>
  <c r="AD48" i="160"/>
  <c r="T48" i="160"/>
  <c r="O48" i="160"/>
  <c r="J48" i="160"/>
  <c r="E48" i="160"/>
  <c r="AS47" i="162"/>
  <c r="AQ47" i="162"/>
  <c r="AR47" i="162" s="1"/>
  <c r="AO47" i="162"/>
  <c r="BP47" i="159"/>
  <c r="CD47" i="159" s="1"/>
  <c r="BQ47" i="159"/>
  <c r="CE47" i="159" s="1"/>
  <c r="BR47" i="159"/>
  <c r="CF47" i="159" s="1"/>
  <c r="BE48" i="160"/>
  <c r="AM47" i="163"/>
  <c r="G47" i="159"/>
  <c r="BP47" i="163"/>
  <c r="CD47" i="163" s="1"/>
  <c r="BR47" i="163"/>
  <c r="CF47" i="163" s="1"/>
  <c r="BQ47" i="163"/>
  <c r="CE47" i="163" s="1"/>
  <c r="BS47" i="159"/>
  <c r="CG47" i="159" s="1"/>
  <c r="BU47" i="159"/>
  <c r="CI47" i="159" s="1"/>
  <c r="BT47" i="159"/>
  <c r="CH47" i="159" s="1"/>
  <c r="U47" i="162"/>
  <c r="V47" i="162" s="1"/>
  <c r="M47" i="162"/>
  <c r="K47" i="162"/>
  <c r="L47" i="162" s="1"/>
  <c r="I47" i="162"/>
  <c r="BT47" i="163"/>
  <c r="CH47" i="163" s="1"/>
  <c r="BS47" i="163"/>
  <c r="CG47" i="163" s="1"/>
  <c r="BU47" i="163"/>
  <c r="CI47" i="163" s="1"/>
  <c r="Y48" i="160"/>
  <c r="AB47" i="162"/>
  <c r="AC47" i="162" s="1"/>
  <c r="AG47" i="162" s="1"/>
  <c r="Z47" i="162"/>
  <c r="AA47" i="162" s="1"/>
  <c r="BW47" i="162"/>
  <c r="BU47" i="162" s="1"/>
  <c r="CI47" i="162" s="1"/>
  <c r="CB43" i="158"/>
  <c r="Y43" i="158"/>
  <c r="G32" i="79" s="1"/>
  <c r="T43" i="158"/>
  <c r="E43" i="158"/>
  <c r="E32" i="79" s="1"/>
  <c r="BZ43" i="158"/>
  <c r="AN43" i="158"/>
  <c r="AO43" i="158" s="1"/>
  <c r="AS43" i="158" s="1"/>
  <c r="AX43" i="158"/>
  <c r="AY43" i="158" s="1"/>
  <c r="BC43" i="158" s="1"/>
  <c r="BH43" i="158"/>
  <c r="BI43" i="158" s="1"/>
  <c r="BM43" i="158" s="1"/>
  <c r="BF43" i="158"/>
  <c r="BG43" i="158" s="1"/>
  <c r="CA43" i="158"/>
  <c r="CO47" i="159" l="1"/>
  <c r="CK47" i="159"/>
  <c r="CP47" i="159"/>
  <c r="CS47" i="159"/>
  <c r="CM47" i="159"/>
  <c r="CQ47" i="159"/>
  <c r="CL47" i="159"/>
  <c r="CR47" i="159"/>
  <c r="CN47" i="159"/>
  <c r="CU47" i="159"/>
  <c r="CW47" i="159"/>
  <c r="CV47" i="159"/>
  <c r="CT47" i="159"/>
  <c r="CX47" i="159"/>
  <c r="CY47" i="159"/>
  <c r="CZ47" i="159"/>
  <c r="CM47" i="163"/>
  <c r="CL47" i="163"/>
  <c r="CP47" i="163"/>
  <c r="CV47" i="163"/>
  <c r="CQ47" i="163"/>
  <c r="CN47" i="163"/>
  <c r="CO47" i="163"/>
  <c r="CK47" i="163"/>
  <c r="CR47" i="163"/>
  <c r="CZ47" i="163"/>
  <c r="CU47" i="163"/>
  <c r="CT47" i="163"/>
  <c r="CS47" i="163"/>
  <c r="CY47" i="163"/>
  <c r="CX47" i="163"/>
  <c r="CW47" i="163"/>
  <c r="AN48" i="160"/>
  <c r="AO48" i="160"/>
  <c r="AS48" i="160"/>
  <c r="BZ48" i="160"/>
  <c r="BQ48" i="160" s="1"/>
  <c r="CE48" i="160" s="1"/>
  <c r="CA48" i="160"/>
  <c r="AD48" i="159"/>
  <c r="AE48" i="159" s="1"/>
  <c r="AF48" i="159" s="1"/>
  <c r="AV48" i="160"/>
  <c r="AW48" i="160" s="1"/>
  <c r="E48" i="163"/>
  <c r="F48" i="163" s="1"/>
  <c r="G48" i="163" s="1"/>
  <c r="O48" i="159"/>
  <c r="O48" i="163"/>
  <c r="R48" i="163" s="1"/>
  <c r="Y48" i="159"/>
  <c r="AB48" i="159" s="1"/>
  <c r="BJ48" i="159"/>
  <c r="BK48" i="159" s="1"/>
  <c r="BL48" i="159" s="1"/>
  <c r="AE48" i="160"/>
  <c r="AF48" i="160" s="1"/>
  <c r="AB48" i="160"/>
  <c r="AC48" i="160" s="1"/>
  <c r="AG48" i="160" s="1"/>
  <c r="BW48" i="160"/>
  <c r="BU48" i="160" s="1"/>
  <c r="CI48" i="160" s="1"/>
  <c r="Z48" i="160"/>
  <c r="AA48" i="160" s="1"/>
  <c r="AZ48" i="159"/>
  <c r="AP48" i="159"/>
  <c r="AK48" i="159"/>
  <c r="AU48" i="159"/>
  <c r="BE48" i="159"/>
  <c r="J48" i="163"/>
  <c r="BA48" i="160"/>
  <c r="BB48" i="160" s="1"/>
  <c r="AY48" i="160"/>
  <c r="BC48" i="160" s="1"/>
  <c r="T48" i="163"/>
  <c r="AD48" i="163"/>
  <c r="Y48" i="163"/>
  <c r="CB48" i="160"/>
  <c r="BP48" i="160" s="1"/>
  <c r="CD48" i="160" s="1"/>
  <c r="BH48" i="160"/>
  <c r="BI48" i="160" s="1"/>
  <c r="BM48" i="160" s="1"/>
  <c r="BF48" i="160"/>
  <c r="BG48" i="160" s="1"/>
  <c r="BK48" i="160"/>
  <c r="BL48" i="160" s="1"/>
  <c r="U48" i="160"/>
  <c r="V48" i="160" s="1"/>
  <c r="E48" i="159"/>
  <c r="F48" i="160"/>
  <c r="H48" i="160"/>
  <c r="I48" i="160" s="1"/>
  <c r="BY48" i="160"/>
  <c r="AM47" i="162"/>
  <c r="E48" i="162" s="1"/>
  <c r="T48" i="159"/>
  <c r="J48" i="159"/>
  <c r="BJ48" i="163"/>
  <c r="AK48" i="163"/>
  <c r="AP48" i="163"/>
  <c r="BE48" i="163"/>
  <c r="AZ48" i="163"/>
  <c r="AU48" i="163"/>
  <c r="M48" i="160"/>
  <c r="K48" i="160"/>
  <c r="L48" i="160" s="1"/>
  <c r="BR47" i="162"/>
  <c r="CF47" i="162" s="1"/>
  <c r="BQ47" i="162"/>
  <c r="CE47" i="162" s="1"/>
  <c r="BX48" i="160"/>
  <c r="P48" i="160"/>
  <c r="Q48" i="160" s="1"/>
  <c r="R48" i="160"/>
  <c r="S48" i="160" s="1"/>
  <c r="W48" i="160" s="1"/>
  <c r="BP43" i="158"/>
  <c r="CD43" i="158" s="1"/>
  <c r="BQ43" i="158"/>
  <c r="CE43" i="158" s="1"/>
  <c r="BR43" i="158"/>
  <c r="CF43" i="158" s="1"/>
  <c r="Z43" i="158"/>
  <c r="AA43" i="158" s="1"/>
  <c r="AB43" i="158"/>
  <c r="H43" i="158"/>
  <c r="F43" i="158"/>
  <c r="G43" i="158" s="1"/>
  <c r="U43" i="158"/>
  <c r="V43" i="158" s="1"/>
  <c r="J43" i="158"/>
  <c r="I32" i="79" s="1"/>
  <c r="AD43" i="158"/>
  <c r="O43" i="158"/>
  <c r="H32" i="79" s="1"/>
  <c r="BR48" i="160" l="1"/>
  <c r="CF48" i="160" s="1"/>
  <c r="CV47" i="162"/>
  <c r="CW47" i="162"/>
  <c r="CN47" i="162"/>
  <c r="CQ47" i="162"/>
  <c r="T36" i="79" s="1"/>
  <c r="CR47" i="162"/>
  <c r="U36" i="79" s="1"/>
  <c r="CM47" i="162"/>
  <c r="CZ47" i="162"/>
  <c r="CT47" i="162"/>
  <c r="CO47" i="162"/>
  <c r="R36" i="79" s="1"/>
  <c r="CU47" i="162"/>
  <c r="CL47" i="162"/>
  <c r="CS47" i="162"/>
  <c r="CK47" i="162"/>
  <c r="CY47" i="162"/>
  <c r="CP47" i="162"/>
  <c r="S36" i="79" s="1"/>
  <c r="CX47" i="162"/>
  <c r="BY48" i="163"/>
  <c r="H48" i="163"/>
  <c r="I48" i="163" s="1"/>
  <c r="AC48" i="159"/>
  <c r="AG48" i="159" s="1"/>
  <c r="P48" i="159"/>
  <c r="Q48" i="159" s="1"/>
  <c r="R48" i="159"/>
  <c r="S48" i="159" s="1"/>
  <c r="W48" i="159" s="1"/>
  <c r="P48" i="163"/>
  <c r="Q48" i="163" s="1"/>
  <c r="Z48" i="159"/>
  <c r="AA48" i="159" s="1"/>
  <c r="BW48" i="159"/>
  <c r="BJ48" i="162"/>
  <c r="BK48" i="162" s="1"/>
  <c r="BL48" i="162" s="1"/>
  <c r="BW43" i="158"/>
  <c r="K32" i="79"/>
  <c r="BK48" i="163"/>
  <c r="BL48" i="163" s="1"/>
  <c r="BS48" i="160"/>
  <c r="CG48" i="160" s="1"/>
  <c r="BT48" i="160"/>
  <c r="CH48" i="160" s="1"/>
  <c r="AK48" i="162"/>
  <c r="AE48" i="163"/>
  <c r="AF48" i="163" s="1"/>
  <c r="BA48" i="159"/>
  <c r="BB48" i="159" s="1"/>
  <c r="AP48" i="162"/>
  <c r="K48" i="159"/>
  <c r="L48" i="159" s="1"/>
  <c r="M48" i="159"/>
  <c r="U48" i="163"/>
  <c r="V48" i="163" s="1"/>
  <c r="S48" i="163"/>
  <c r="W48" i="163" s="1"/>
  <c r="U48" i="159"/>
  <c r="V48" i="159" s="1"/>
  <c r="G48" i="160"/>
  <c r="AP49" i="160" s="1"/>
  <c r="AZ48" i="162"/>
  <c r="BX48" i="159"/>
  <c r="BX48" i="163"/>
  <c r="BE48" i="162"/>
  <c r="BY48" i="159"/>
  <c r="F48" i="159"/>
  <c r="H48" i="159"/>
  <c r="I48" i="159" s="1"/>
  <c r="M48" i="163"/>
  <c r="K48" i="163"/>
  <c r="L48" i="163" s="1"/>
  <c r="AX48" i="163"/>
  <c r="AY48" i="163" s="1"/>
  <c r="BC48" i="163" s="1"/>
  <c r="AV48" i="163"/>
  <c r="AW48" i="163" s="1"/>
  <c r="CA48" i="163"/>
  <c r="BA48" i="163"/>
  <c r="BB48" i="163" s="1"/>
  <c r="AU48" i="162"/>
  <c r="BH48" i="159"/>
  <c r="BI48" i="159" s="1"/>
  <c r="BM48" i="159" s="1"/>
  <c r="CB48" i="159"/>
  <c r="BF48" i="159"/>
  <c r="BG48" i="159" s="1"/>
  <c r="BZ48" i="163"/>
  <c r="AL48" i="163"/>
  <c r="AN48" i="163"/>
  <c r="AO48" i="163" s="1"/>
  <c r="H48" i="162"/>
  <c r="F48" i="162"/>
  <c r="G48" i="162" s="1"/>
  <c r="BW48" i="163"/>
  <c r="Z48" i="163"/>
  <c r="AA48" i="163" s="1"/>
  <c r="AB48" i="163"/>
  <c r="AC48" i="163" s="1"/>
  <c r="AG48" i="163" s="1"/>
  <c r="AV48" i="159"/>
  <c r="AW48" i="159" s="1"/>
  <c r="CA48" i="159"/>
  <c r="AX48" i="159"/>
  <c r="AY48" i="159" s="1"/>
  <c r="BC48" i="159" s="1"/>
  <c r="AQ48" i="159"/>
  <c r="AR48" i="159" s="1"/>
  <c r="AS48" i="159"/>
  <c r="BH48" i="163"/>
  <c r="BI48" i="163" s="1"/>
  <c r="BM48" i="163" s="1"/>
  <c r="BF48" i="163"/>
  <c r="BG48" i="163" s="1"/>
  <c r="CB48" i="163"/>
  <c r="AS48" i="163"/>
  <c r="AQ48" i="163"/>
  <c r="AR48" i="163" s="1"/>
  <c r="J48" i="162"/>
  <c r="Y48" i="162"/>
  <c r="F37" i="79" s="1"/>
  <c r="AD48" i="162"/>
  <c r="T48" i="162"/>
  <c r="O48" i="162"/>
  <c r="BZ48" i="159"/>
  <c r="AN48" i="159"/>
  <c r="AO48" i="159" s="1"/>
  <c r="AL48" i="159"/>
  <c r="AE43" i="158"/>
  <c r="AF43" i="158" s="1"/>
  <c r="AC43" i="158"/>
  <c r="AG43" i="158" s="1"/>
  <c r="R43" i="158"/>
  <c r="S43" i="158" s="1"/>
  <c r="W43" i="158" s="1"/>
  <c r="P43" i="158"/>
  <c r="Q43" i="158" s="1"/>
  <c r="BX43" i="158"/>
  <c r="BY43" i="158"/>
  <c r="I43" i="158"/>
  <c r="M43" i="158" s="1"/>
  <c r="K43" i="158"/>
  <c r="BU48" i="163" l="1"/>
  <c r="CI48" i="163" s="1"/>
  <c r="CM48" i="160"/>
  <c r="CX48" i="160"/>
  <c r="CV48" i="160"/>
  <c r="CW48" i="160"/>
  <c r="CL48" i="160"/>
  <c r="CS48" i="160"/>
  <c r="CK48" i="160"/>
  <c r="CY48" i="160"/>
  <c r="CN48" i="160"/>
  <c r="CT48" i="160"/>
  <c r="CR48" i="160"/>
  <c r="CZ48" i="160"/>
  <c r="CO48" i="160"/>
  <c r="CP48" i="160"/>
  <c r="CQ48" i="160"/>
  <c r="CU48" i="160"/>
  <c r="L32" i="79"/>
  <c r="BJ49" i="160"/>
  <c r="BK49" i="160" s="1"/>
  <c r="BL49" i="160" s="1"/>
  <c r="AU49" i="160"/>
  <c r="AV49" i="160" s="1"/>
  <c r="AW49" i="160" s="1"/>
  <c r="AK49" i="160"/>
  <c r="AN49" i="160" s="1"/>
  <c r="AO49" i="160" s="1"/>
  <c r="BA48" i="162"/>
  <c r="BB48" i="162" s="1"/>
  <c r="AM48" i="163"/>
  <c r="AM48" i="159"/>
  <c r="BR48" i="159"/>
  <c r="CF48" i="159" s="1"/>
  <c r="BQ48" i="159"/>
  <c r="CE48" i="159" s="1"/>
  <c r="BP48" i="159"/>
  <c r="CD48" i="159" s="1"/>
  <c r="BQ48" i="163"/>
  <c r="CE48" i="163" s="1"/>
  <c r="BR48" i="163"/>
  <c r="CF48" i="163" s="1"/>
  <c r="BP48" i="163"/>
  <c r="CD48" i="163" s="1"/>
  <c r="BT48" i="163"/>
  <c r="CH48" i="163" s="1"/>
  <c r="G48" i="159"/>
  <c r="AQ49" i="160"/>
  <c r="AR49" i="160" s="1"/>
  <c r="AS49" i="160"/>
  <c r="BS48" i="163"/>
  <c r="CG48" i="163" s="1"/>
  <c r="I48" i="162"/>
  <c r="K48" i="162"/>
  <c r="L48" i="162" s="1"/>
  <c r="M48" i="162"/>
  <c r="R48" i="162"/>
  <c r="S48" i="162" s="1"/>
  <c r="W48" i="162" s="1"/>
  <c r="BX48" i="162"/>
  <c r="P48" i="162"/>
  <c r="Q48" i="162" s="1"/>
  <c r="BS48" i="159"/>
  <c r="CG48" i="159" s="1"/>
  <c r="BU48" i="159"/>
  <c r="CI48" i="159" s="1"/>
  <c r="BT48" i="159"/>
  <c r="CH48" i="159" s="1"/>
  <c r="AZ49" i="160"/>
  <c r="BE49" i="160"/>
  <c r="AD49" i="160"/>
  <c r="E49" i="160"/>
  <c r="T49" i="160"/>
  <c r="O49" i="160"/>
  <c r="Y49" i="160"/>
  <c r="J49" i="160"/>
  <c r="U48" i="162"/>
  <c r="V48" i="162" s="1"/>
  <c r="CB48" i="162"/>
  <c r="BP48" i="162" s="1"/>
  <c r="CD48" i="162" s="1"/>
  <c r="BF48" i="162"/>
  <c r="BG48" i="162" s="1"/>
  <c r="BH48" i="162"/>
  <c r="BI48" i="162" s="1"/>
  <c r="BM48" i="162" s="1"/>
  <c r="J37" i="79"/>
  <c r="AE48" i="162"/>
  <c r="AF48" i="162" s="1"/>
  <c r="BY48" i="162"/>
  <c r="AQ48" i="162"/>
  <c r="AR48" i="162" s="1"/>
  <c r="AS48" i="162"/>
  <c r="AO48" i="162"/>
  <c r="BZ48" i="162"/>
  <c r="AN48" i="162"/>
  <c r="AL48" i="162"/>
  <c r="AB48" i="162"/>
  <c r="AC48" i="162" s="1"/>
  <c r="AG48" i="162" s="1"/>
  <c r="BW48" i="162"/>
  <c r="BU48" i="162" s="1"/>
  <c r="CI48" i="162" s="1"/>
  <c r="Z48" i="162"/>
  <c r="AA48" i="162" s="1"/>
  <c r="CA48" i="162"/>
  <c r="AX48" i="162"/>
  <c r="AY48" i="162" s="1"/>
  <c r="BC48" i="162" s="1"/>
  <c r="AV48" i="162"/>
  <c r="AW48" i="162" s="1"/>
  <c r="BS43" i="158"/>
  <c r="CG43" i="158" s="1"/>
  <c r="BT43" i="158"/>
  <c r="CH43" i="158" s="1"/>
  <c r="BU43" i="158"/>
  <c r="CI43" i="158" s="1"/>
  <c r="L43" i="158"/>
  <c r="CK48" i="159" l="1"/>
  <c r="AZ49" i="159"/>
  <c r="CA49" i="160"/>
  <c r="CL48" i="163"/>
  <c r="CK48" i="163"/>
  <c r="CN48" i="163"/>
  <c r="CQ48" i="163"/>
  <c r="CV48" i="163"/>
  <c r="CR48" i="163"/>
  <c r="CM48" i="163"/>
  <c r="CO48" i="163"/>
  <c r="CP48" i="163"/>
  <c r="CU48" i="163"/>
  <c r="CT48" i="163"/>
  <c r="CS48" i="163"/>
  <c r="CZ48" i="163"/>
  <c r="CY48" i="163"/>
  <c r="CX48" i="163"/>
  <c r="CW48" i="163"/>
  <c r="AX49" i="160"/>
  <c r="CQ48" i="159"/>
  <c r="CO48" i="159"/>
  <c r="CR48" i="159"/>
  <c r="CN48" i="159"/>
  <c r="CP48" i="159"/>
  <c r="CL48" i="159"/>
  <c r="CS48" i="159"/>
  <c r="CM48" i="159"/>
  <c r="CU48" i="159"/>
  <c r="CT48" i="159"/>
  <c r="CW48" i="159"/>
  <c r="CV48" i="159"/>
  <c r="CZ48" i="159"/>
  <c r="CX48" i="159"/>
  <c r="CY48" i="159"/>
  <c r="CZ43" i="158"/>
  <c r="AC32" i="79" s="1"/>
  <c r="CN43" i="158"/>
  <c r="Q32" i="79" s="1"/>
  <c r="CW43" i="158"/>
  <c r="Z32" i="79" s="1"/>
  <c r="CO43" i="158"/>
  <c r="CS43" i="158"/>
  <c r="V32" i="79" s="1"/>
  <c r="CU43" i="158"/>
  <c r="X32" i="79" s="1"/>
  <c r="CX43" i="158"/>
  <c r="AA32" i="79" s="1"/>
  <c r="CQ43" i="158"/>
  <c r="CR43" i="158"/>
  <c r="CY43" i="158"/>
  <c r="AB32" i="79" s="1"/>
  <c r="CT43" i="158"/>
  <c r="W32" i="79" s="1"/>
  <c r="CL43" i="158"/>
  <c r="O32" i="79" s="1"/>
  <c r="CP43" i="158"/>
  <c r="CK43" i="158"/>
  <c r="N32" i="79" s="1"/>
  <c r="CV43" i="158"/>
  <c r="Y32" i="79" s="1"/>
  <c r="CM43" i="158"/>
  <c r="P32" i="79" s="1"/>
  <c r="BZ49" i="160"/>
  <c r="BQ49" i="160" s="1"/>
  <c r="CE49" i="160" s="1"/>
  <c r="BJ49" i="159"/>
  <c r="BK49" i="159" s="1"/>
  <c r="BL49" i="159" s="1"/>
  <c r="AD49" i="163"/>
  <c r="AE49" i="163" s="1"/>
  <c r="AF49" i="163" s="1"/>
  <c r="AL49" i="160"/>
  <c r="AM49" i="160" s="1"/>
  <c r="E49" i="159"/>
  <c r="F49" i="159" s="1"/>
  <c r="G49" i="159" s="1"/>
  <c r="J49" i="159"/>
  <c r="M49" i="159" s="1"/>
  <c r="AY49" i="160"/>
  <c r="BC49" i="160" s="1"/>
  <c r="Y49" i="163"/>
  <c r="AB49" i="163" s="1"/>
  <c r="T49" i="159"/>
  <c r="U49" i="159" s="1"/>
  <c r="V49" i="159" s="1"/>
  <c r="BA49" i="159"/>
  <c r="BB49" i="159" s="1"/>
  <c r="R49" i="160"/>
  <c r="S49" i="160" s="1"/>
  <c r="W49" i="160" s="1"/>
  <c r="BX49" i="160"/>
  <c r="P49" i="160"/>
  <c r="Q49" i="160" s="1"/>
  <c r="AK49" i="159"/>
  <c r="BE49" i="159"/>
  <c r="AU49" i="159"/>
  <c r="AP49" i="159"/>
  <c r="O49" i="159"/>
  <c r="O49" i="163"/>
  <c r="U49" i="160"/>
  <c r="V49" i="160" s="1"/>
  <c r="BR49" i="160"/>
  <c r="CF49" i="160" s="1"/>
  <c r="Y49" i="159"/>
  <c r="E49" i="163"/>
  <c r="BT48" i="162"/>
  <c r="CH48" i="162" s="1"/>
  <c r="BS48" i="162"/>
  <c r="CG48" i="162" s="1"/>
  <c r="H49" i="160"/>
  <c r="I49" i="160" s="1"/>
  <c r="F49" i="160"/>
  <c r="BY49" i="160"/>
  <c r="AD49" i="159"/>
  <c r="T49" i="163"/>
  <c r="AM48" i="162"/>
  <c r="AE49" i="160"/>
  <c r="AF49" i="160" s="1"/>
  <c r="AK49" i="163"/>
  <c r="BE49" i="163"/>
  <c r="AU49" i="163"/>
  <c r="AZ49" i="163"/>
  <c r="BJ49" i="163"/>
  <c r="AP49" i="163"/>
  <c r="J49" i="163"/>
  <c r="BW49" i="160"/>
  <c r="BU49" i="160" s="1"/>
  <c r="CI49" i="160" s="1"/>
  <c r="Z49" i="160"/>
  <c r="AA49" i="160" s="1"/>
  <c r="AB49" i="160"/>
  <c r="AC49" i="160" s="1"/>
  <c r="AG49" i="160" s="1"/>
  <c r="BR48" i="162"/>
  <c r="CF48" i="162" s="1"/>
  <c r="BQ48" i="162"/>
  <c r="CE48" i="162" s="1"/>
  <c r="CR48" i="162" s="1"/>
  <c r="U37" i="79" s="1"/>
  <c r="BF49" i="160"/>
  <c r="BG49" i="160" s="1"/>
  <c r="BH49" i="160"/>
  <c r="BI49" i="160" s="1"/>
  <c r="BM49" i="160" s="1"/>
  <c r="CB49" i="160"/>
  <c r="BP49" i="160" s="1"/>
  <c r="CD49" i="160" s="1"/>
  <c r="K49" i="160"/>
  <c r="L49" i="160" s="1"/>
  <c r="M49" i="160"/>
  <c r="BA49" i="160"/>
  <c r="BB49" i="160" s="1"/>
  <c r="BE44" i="158"/>
  <c r="BF44" i="158" s="1"/>
  <c r="BG44" i="158" s="1"/>
  <c r="BJ44" i="158"/>
  <c r="AP44" i="158"/>
  <c r="AQ44" i="158" s="1"/>
  <c r="AR44" i="158" s="1"/>
  <c r="AK44" i="158"/>
  <c r="AU44" i="158"/>
  <c r="AZ44" i="158"/>
  <c r="BA44" i="158" s="1"/>
  <c r="BB44" i="158" s="1"/>
  <c r="AC49" i="163" l="1"/>
  <c r="AG49" i="163" s="1"/>
  <c r="CU48" i="162"/>
  <c r="CZ48" i="162"/>
  <c r="CT48" i="162"/>
  <c r="CV48" i="162"/>
  <c r="CQ48" i="162"/>
  <c r="T37" i="79" s="1"/>
  <c r="CP48" i="162"/>
  <c r="S37" i="79" s="1"/>
  <c r="CM48" i="162"/>
  <c r="CN48" i="162"/>
  <c r="CW48" i="162"/>
  <c r="CL48" i="162"/>
  <c r="CY48" i="162"/>
  <c r="CO48" i="162"/>
  <c r="R37" i="79" s="1"/>
  <c r="CX48" i="162"/>
  <c r="CK48" i="162"/>
  <c r="CS48" i="162"/>
  <c r="T49" i="162"/>
  <c r="U49" i="162" s="1"/>
  <c r="V49" i="162" s="1"/>
  <c r="Z49" i="163"/>
  <c r="AA49" i="163" s="1"/>
  <c r="BW49" i="163"/>
  <c r="AD49" i="162"/>
  <c r="AE49" i="162" s="1"/>
  <c r="AF49" i="162" s="1"/>
  <c r="Y49" i="162"/>
  <c r="Z49" i="162" s="1"/>
  <c r="AA49" i="162" s="1"/>
  <c r="BY49" i="159"/>
  <c r="K49" i="159"/>
  <c r="L49" i="159" s="1"/>
  <c r="H49" i="159"/>
  <c r="I49" i="159" s="1"/>
  <c r="AZ49" i="162"/>
  <c r="BA49" i="162" s="1"/>
  <c r="BB49" i="162" s="1"/>
  <c r="J49" i="162"/>
  <c r="M49" i="162" s="1"/>
  <c r="E49" i="162"/>
  <c r="F49" i="162" s="1"/>
  <c r="G49" i="162" s="1"/>
  <c r="M49" i="163"/>
  <c r="K49" i="163"/>
  <c r="L49" i="163" s="1"/>
  <c r="BE49" i="162"/>
  <c r="BW49" i="159"/>
  <c r="Z49" i="159"/>
  <c r="AA49" i="159" s="1"/>
  <c r="AB49" i="159"/>
  <c r="AC49" i="159" s="1"/>
  <c r="AG49" i="159" s="1"/>
  <c r="CA49" i="159"/>
  <c r="AV49" i="159"/>
  <c r="AW49" i="159" s="1"/>
  <c r="AX49" i="159"/>
  <c r="AY49" i="159" s="1"/>
  <c r="BC49" i="159" s="1"/>
  <c r="AE49" i="159"/>
  <c r="AF49" i="159" s="1"/>
  <c r="CA49" i="163"/>
  <c r="AX49" i="163"/>
  <c r="AY49" i="163" s="1"/>
  <c r="BC49" i="163" s="1"/>
  <c r="AV49" i="163"/>
  <c r="AW49" i="163" s="1"/>
  <c r="BF49" i="159"/>
  <c r="BG49" i="159" s="1"/>
  <c r="CB49" i="159"/>
  <c r="BH49" i="159"/>
  <c r="BI49" i="159" s="1"/>
  <c r="BM49" i="159" s="1"/>
  <c r="AQ49" i="159"/>
  <c r="AR49" i="159" s="1"/>
  <c r="AS49" i="159"/>
  <c r="CB49" i="163"/>
  <c r="BH49" i="163"/>
  <c r="BI49" i="163" s="1"/>
  <c r="BM49" i="163" s="1"/>
  <c r="BF49" i="163"/>
  <c r="BG49" i="163" s="1"/>
  <c r="BT49" i="160"/>
  <c r="CH49" i="160" s="1"/>
  <c r="BS49" i="160"/>
  <c r="CG49" i="160" s="1"/>
  <c r="AL49" i="159"/>
  <c r="AN49" i="159"/>
  <c r="AO49" i="159" s="1"/>
  <c r="BZ49" i="159"/>
  <c r="AN49" i="163"/>
  <c r="AO49" i="163" s="1"/>
  <c r="AL49" i="163"/>
  <c r="BZ49" i="163"/>
  <c r="G49" i="160"/>
  <c r="AK50" i="160" s="1"/>
  <c r="O49" i="162"/>
  <c r="BK49" i="163"/>
  <c r="BL49" i="163" s="1"/>
  <c r="BA49" i="163"/>
  <c r="BB49" i="163" s="1"/>
  <c r="R49" i="163"/>
  <c r="S49" i="163" s="1"/>
  <c r="W49" i="163" s="1"/>
  <c r="P49" i="163"/>
  <c r="Q49" i="163" s="1"/>
  <c r="BX49" i="163"/>
  <c r="F49" i="163"/>
  <c r="G49" i="163" s="1"/>
  <c r="H49" i="163"/>
  <c r="I49" i="163" s="1"/>
  <c r="BY49" i="163"/>
  <c r="BJ49" i="162"/>
  <c r="AP49" i="162"/>
  <c r="AK49" i="162"/>
  <c r="AU49" i="162"/>
  <c r="AS49" i="163"/>
  <c r="AQ49" i="163"/>
  <c r="AR49" i="163" s="1"/>
  <c r="U49" i="163"/>
  <c r="V49" i="163" s="1"/>
  <c r="R49" i="159"/>
  <c r="S49" i="159" s="1"/>
  <c r="W49" i="159" s="1"/>
  <c r="P49" i="159"/>
  <c r="Q49" i="159" s="1"/>
  <c r="BX49" i="159"/>
  <c r="BH44" i="158"/>
  <c r="BI44" i="158" s="1"/>
  <c r="BM44" i="158" s="1"/>
  <c r="CB44" i="158"/>
  <c r="BK44" i="158"/>
  <c r="BL44" i="158" s="1"/>
  <c r="AD44" i="158"/>
  <c r="K33" i="79" s="1"/>
  <c r="J44" i="158"/>
  <c r="O44" i="158"/>
  <c r="H33" i="79" s="1"/>
  <c r="AN44" i="158"/>
  <c r="AO44" i="158" s="1"/>
  <c r="AS44" i="158" s="1"/>
  <c r="AL44" i="158"/>
  <c r="AM44" i="158" s="1"/>
  <c r="BZ44" i="158"/>
  <c r="E44" i="158"/>
  <c r="E33" i="79" s="1"/>
  <c r="Y44" i="158"/>
  <c r="G33" i="79" s="1"/>
  <c r="AV44" i="158"/>
  <c r="AW44" i="158" s="1"/>
  <c r="AX44" i="158"/>
  <c r="AY44" i="158" s="1"/>
  <c r="BC44" i="158" s="1"/>
  <c r="CA44" i="158"/>
  <c r="T44" i="158"/>
  <c r="H49" i="162" l="1"/>
  <c r="I49" i="162" s="1"/>
  <c r="AU50" i="160"/>
  <c r="CN49" i="160"/>
  <c r="K49" i="162"/>
  <c r="L49" i="162" s="1"/>
  <c r="BY49" i="162"/>
  <c r="CS49" i="160"/>
  <c r="CP49" i="160"/>
  <c r="CZ49" i="160"/>
  <c r="CK49" i="160"/>
  <c r="CM49" i="160"/>
  <c r="CU49" i="160"/>
  <c r="CQ49" i="160"/>
  <c r="CV49" i="160"/>
  <c r="CW49" i="160"/>
  <c r="CR49" i="160"/>
  <c r="CX49" i="160"/>
  <c r="CL49" i="160"/>
  <c r="CY49" i="160"/>
  <c r="CO49" i="160"/>
  <c r="CT49" i="160"/>
  <c r="L33" i="79"/>
  <c r="F38" i="79"/>
  <c r="J38" i="79"/>
  <c r="BW49" i="162"/>
  <c r="BU49" i="162" s="1"/>
  <c r="CI49" i="162" s="1"/>
  <c r="AB49" i="162"/>
  <c r="AC49" i="162" s="1"/>
  <c r="AG49" i="162" s="1"/>
  <c r="BS49" i="159"/>
  <c r="CG49" i="159" s="1"/>
  <c r="I33" i="79"/>
  <c r="AL50" i="160"/>
  <c r="AM50" i="160" s="1"/>
  <c r="AN50" i="160"/>
  <c r="CA49" i="162"/>
  <c r="AV49" i="162"/>
  <c r="AW49" i="162" s="1"/>
  <c r="AX49" i="162"/>
  <c r="AY49" i="162" s="1"/>
  <c r="BC49" i="162" s="1"/>
  <c r="AX50" i="160"/>
  <c r="AV50" i="160"/>
  <c r="AW50" i="160" s="1"/>
  <c r="J50" i="160"/>
  <c r="AD50" i="160"/>
  <c r="Y50" i="160"/>
  <c r="O50" i="160"/>
  <c r="T50" i="160"/>
  <c r="E50" i="160"/>
  <c r="AN49" i="162"/>
  <c r="AO49" i="162" s="1"/>
  <c r="AL49" i="162"/>
  <c r="BZ49" i="162"/>
  <c r="R49" i="162"/>
  <c r="S49" i="162" s="1"/>
  <c r="W49" i="162" s="1"/>
  <c r="BX49" i="162"/>
  <c r="BS49" i="162" s="1"/>
  <c r="CG49" i="162" s="1"/>
  <c r="P49" i="162"/>
  <c r="Q49" i="162" s="1"/>
  <c r="BE50" i="160"/>
  <c r="AZ50" i="160"/>
  <c r="AS49" i="162"/>
  <c r="AQ49" i="162"/>
  <c r="AR49" i="162" s="1"/>
  <c r="BU49" i="159"/>
  <c r="CI49" i="159" s="1"/>
  <c r="BK49" i="162"/>
  <c r="BL49" i="162" s="1"/>
  <c r="BR49" i="163"/>
  <c r="CF49" i="163" s="1"/>
  <c r="BQ49" i="163"/>
  <c r="CE49" i="163" s="1"/>
  <c r="BP49" i="163"/>
  <c r="CD49" i="163" s="1"/>
  <c r="BT49" i="159"/>
  <c r="CH49" i="159" s="1"/>
  <c r="AM49" i="163"/>
  <c r="BR49" i="159"/>
  <c r="CF49" i="159" s="1"/>
  <c r="BP49" i="159"/>
  <c r="CD49" i="159" s="1"/>
  <c r="BQ49" i="159"/>
  <c r="CE49" i="159" s="1"/>
  <c r="BU49" i="163"/>
  <c r="CI49" i="163" s="1"/>
  <c r="BT49" i="163"/>
  <c r="CH49" i="163" s="1"/>
  <c r="BS49" i="163"/>
  <c r="CG49" i="163" s="1"/>
  <c r="BJ50" i="160"/>
  <c r="BF49" i="162"/>
  <c r="BG49" i="162" s="1"/>
  <c r="BH49" i="162"/>
  <c r="BI49" i="162" s="1"/>
  <c r="BM49" i="162" s="1"/>
  <c r="CB49" i="162"/>
  <c r="BP49" i="162" s="1"/>
  <c r="CD49" i="162" s="1"/>
  <c r="AP50" i="160"/>
  <c r="BZ50" i="160" s="1"/>
  <c r="AM49" i="159"/>
  <c r="BP44" i="158"/>
  <c r="CD44" i="158" s="1"/>
  <c r="BQ44" i="158"/>
  <c r="CE44" i="158" s="1"/>
  <c r="BR44" i="158"/>
  <c r="CF44" i="158" s="1"/>
  <c r="R44" i="158"/>
  <c r="S44" i="158" s="1"/>
  <c r="W44" i="158" s="1"/>
  <c r="BX44" i="158"/>
  <c r="P44" i="158"/>
  <c r="Q44" i="158" s="1"/>
  <c r="K44" i="158"/>
  <c r="L44" i="158" s="1"/>
  <c r="U44" i="158"/>
  <c r="V44" i="158" s="1"/>
  <c r="AB44" i="158"/>
  <c r="AC44" i="158" s="1"/>
  <c r="AG44" i="158" s="1"/>
  <c r="Z44" i="158"/>
  <c r="AA44" i="158" s="1"/>
  <c r="BW44" i="158"/>
  <c r="AE44" i="158"/>
  <c r="AF44" i="158" s="1"/>
  <c r="H44" i="158"/>
  <c r="I44" i="158" s="1"/>
  <c r="M44" i="158" s="1"/>
  <c r="BY44" i="158"/>
  <c r="F44" i="158"/>
  <c r="CR49" i="159" l="1"/>
  <c r="CS49" i="159"/>
  <c r="CM49" i="159"/>
  <c r="CL49" i="159"/>
  <c r="CP49" i="159"/>
  <c r="CO49" i="159"/>
  <c r="CQ49" i="159"/>
  <c r="CK49" i="159"/>
  <c r="CN49" i="159"/>
  <c r="CV49" i="159"/>
  <c r="CU49" i="159"/>
  <c r="CT49" i="159"/>
  <c r="CW49" i="159"/>
  <c r="CZ49" i="159"/>
  <c r="CY49" i="159"/>
  <c r="CX49" i="159"/>
  <c r="CP49" i="163"/>
  <c r="CL49" i="163"/>
  <c r="CM49" i="163"/>
  <c r="CR49" i="163"/>
  <c r="CN49" i="163"/>
  <c r="CQ49" i="163"/>
  <c r="CK49" i="163"/>
  <c r="CO49" i="163"/>
  <c r="CV49" i="163"/>
  <c r="CT49" i="163"/>
  <c r="CS49" i="163"/>
  <c r="CZ49" i="163"/>
  <c r="CU49" i="163"/>
  <c r="CW49" i="163"/>
  <c r="CX49" i="163"/>
  <c r="CY49" i="163"/>
  <c r="BT49" i="162"/>
  <c r="CH49" i="162" s="1"/>
  <c r="E50" i="159"/>
  <c r="H50" i="159" s="1"/>
  <c r="AD50" i="163"/>
  <c r="AE50" i="163" s="1"/>
  <c r="AF50" i="163" s="1"/>
  <c r="AU50" i="163"/>
  <c r="AX50" i="163" s="1"/>
  <c r="BJ50" i="163"/>
  <c r="BK50" i="163" s="1"/>
  <c r="BL50" i="163" s="1"/>
  <c r="BE50" i="163"/>
  <c r="BF50" i="163" s="1"/>
  <c r="BG50" i="163" s="1"/>
  <c r="AK50" i="163"/>
  <c r="AN50" i="163" s="1"/>
  <c r="T50" i="159"/>
  <c r="U50" i="159" s="1"/>
  <c r="V50" i="159" s="1"/>
  <c r="AP50" i="163"/>
  <c r="AQ50" i="163" s="1"/>
  <c r="AR50" i="163" s="1"/>
  <c r="AZ50" i="163"/>
  <c r="AB50" i="160"/>
  <c r="AC50" i="160" s="1"/>
  <c r="AG50" i="160" s="1"/>
  <c r="Z50" i="160"/>
  <c r="AA50" i="160" s="1"/>
  <c r="BW50" i="160"/>
  <c r="BU50" i="160" s="1"/>
  <c r="CI50" i="160" s="1"/>
  <c r="E50" i="163"/>
  <c r="T50" i="163"/>
  <c r="O50" i="163"/>
  <c r="AE50" i="160"/>
  <c r="AF50" i="160" s="1"/>
  <c r="BQ49" i="162"/>
  <c r="CE49" i="162" s="1"/>
  <c r="BR49" i="162"/>
  <c r="CF49" i="162" s="1"/>
  <c r="M50" i="160"/>
  <c r="K50" i="160"/>
  <c r="L50" i="160" s="1"/>
  <c r="BA50" i="160"/>
  <c r="BB50" i="160" s="1"/>
  <c r="AM49" i="162"/>
  <c r="BK50" i="160"/>
  <c r="BL50" i="160" s="1"/>
  <c r="BH50" i="160"/>
  <c r="BI50" i="160" s="1"/>
  <c r="BM50" i="160" s="1"/>
  <c r="BF50" i="160"/>
  <c r="BG50" i="160" s="1"/>
  <c r="CB50" i="160"/>
  <c r="BP50" i="160" s="1"/>
  <c r="CD50" i="160" s="1"/>
  <c r="AO50" i="160"/>
  <c r="J50" i="159"/>
  <c r="O50" i="159"/>
  <c r="AD50" i="159"/>
  <c r="F50" i="160"/>
  <c r="H50" i="160"/>
  <c r="I50" i="160" s="1"/>
  <c r="BY50" i="160"/>
  <c r="CA50" i="160"/>
  <c r="BR50" i="160" s="1"/>
  <c r="CF50" i="160" s="1"/>
  <c r="AQ50" i="160"/>
  <c r="AR50" i="160" s="1"/>
  <c r="AS50" i="160"/>
  <c r="AZ50" i="159"/>
  <c r="BJ50" i="159"/>
  <c r="AU50" i="159"/>
  <c r="BE50" i="159"/>
  <c r="AK50" i="159"/>
  <c r="AP50" i="159"/>
  <c r="U50" i="160"/>
  <c r="V50" i="160" s="1"/>
  <c r="AY50" i="160"/>
  <c r="BC50" i="160" s="1"/>
  <c r="Y50" i="159"/>
  <c r="Y50" i="163"/>
  <c r="R50" i="160"/>
  <c r="S50" i="160" s="1"/>
  <c r="W50" i="160" s="1"/>
  <c r="BX50" i="160"/>
  <c r="P50" i="160"/>
  <c r="Q50" i="160" s="1"/>
  <c r="J50" i="163"/>
  <c r="BS44" i="158"/>
  <c r="CG44" i="158" s="1"/>
  <c r="BT44" i="158"/>
  <c r="CH44" i="158" s="1"/>
  <c r="BU44" i="158"/>
  <c r="CI44" i="158" s="1"/>
  <c r="G44" i="158"/>
  <c r="O50" i="162" l="1"/>
  <c r="AV50" i="163"/>
  <c r="AW50" i="163" s="1"/>
  <c r="CQ49" i="162"/>
  <c r="T38" i="79" s="1"/>
  <c r="CP44" i="158"/>
  <c r="BH50" i="163"/>
  <c r="CY49" i="162"/>
  <c r="CP49" i="162"/>
  <c r="S38" i="79" s="1"/>
  <c r="CM44" i="158"/>
  <c r="P33" i="79" s="1"/>
  <c r="CY44" i="158"/>
  <c r="AB33" i="79" s="1"/>
  <c r="CS49" i="162"/>
  <c r="CL49" i="162"/>
  <c r="CO44" i="158"/>
  <c r="CX44" i="158"/>
  <c r="AA33" i="79" s="1"/>
  <c r="CU49" i="162"/>
  <c r="CN49" i="162"/>
  <c r="CL44" i="158"/>
  <c r="O33" i="79" s="1"/>
  <c r="CS44" i="158"/>
  <c r="V33" i="79" s="1"/>
  <c r="CT49" i="162"/>
  <c r="CO49" i="162"/>
  <c r="R38" i="79" s="1"/>
  <c r="CR44" i="158"/>
  <c r="CV44" i="158"/>
  <c r="Y33" i="79" s="1"/>
  <c r="CK49" i="162"/>
  <c r="CR49" i="162"/>
  <c r="U38" i="79" s="1"/>
  <c r="CU44" i="158"/>
  <c r="X33" i="79" s="1"/>
  <c r="CZ44" i="158"/>
  <c r="AC33" i="79" s="1"/>
  <c r="CZ49" i="162"/>
  <c r="CM49" i="162"/>
  <c r="CQ44" i="158"/>
  <c r="CW44" i="158"/>
  <c r="Z33" i="79" s="1"/>
  <c r="CW49" i="162"/>
  <c r="CV49" i="162"/>
  <c r="CK44" i="158"/>
  <c r="N33" i="79" s="1"/>
  <c r="CT44" i="158"/>
  <c r="W33" i="79" s="1"/>
  <c r="CX49" i="162"/>
  <c r="CN44" i="158"/>
  <c r="Q33" i="79" s="1"/>
  <c r="CA50" i="163"/>
  <c r="F50" i="159"/>
  <c r="G50" i="159" s="1"/>
  <c r="BY50" i="159"/>
  <c r="CB50" i="163"/>
  <c r="AY50" i="163"/>
  <c r="BC50" i="163" s="1"/>
  <c r="BI50" i="163"/>
  <c r="BM50" i="163" s="1"/>
  <c r="AS50" i="163"/>
  <c r="BA50" i="163"/>
  <c r="BB50" i="163" s="1"/>
  <c r="BZ50" i="163"/>
  <c r="BP50" i="163" s="1"/>
  <c r="CD50" i="163" s="1"/>
  <c r="AL50" i="163"/>
  <c r="AM50" i="163" s="1"/>
  <c r="AO50" i="163"/>
  <c r="I50" i="159"/>
  <c r="BQ50" i="160"/>
  <c r="CE50" i="160" s="1"/>
  <c r="BA50" i="159"/>
  <c r="BB50" i="159" s="1"/>
  <c r="BT50" i="160"/>
  <c r="CH50" i="160" s="1"/>
  <c r="BS50" i="160"/>
  <c r="CG50" i="160" s="1"/>
  <c r="P50" i="163"/>
  <c r="Q50" i="163" s="1"/>
  <c r="BX50" i="163"/>
  <c r="R50" i="163"/>
  <c r="S50" i="163" s="1"/>
  <c r="W50" i="163" s="1"/>
  <c r="Z50" i="159"/>
  <c r="AA50" i="159" s="1"/>
  <c r="AB50" i="159"/>
  <c r="AC50" i="159" s="1"/>
  <c r="AG50" i="159" s="1"/>
  <c r="BW50" i="159"/>
  <c r="M50" i="163"/>
  <c r="K50" i="163"/>
  <c r="L50" i="163" s="1"/>
  <c r="U50" i="163"/>
  <c r="V50" i="163" s="1"/>
  <c r="P50" i="162"/>
  <c r="Q50" i="162" s="1"/>
  <c r="R50" i="162"/>
  <c r="G50" i="160"/>
  <c r="E50" i="162"/>
  <c r="H50" i="163"/>
  <c r="I50" i="163" s="1"/>
  <c r="BY50" i="163"/>
  <c r="F50" i="163"/>
  <c r="BQ50" i="163"/>
  <c r="CE50" i="163" s="1"/>
  <c r="AQ50" i="159"/>
  <c r="AR50" i="159" s="1"/>
  <c r="AS50" i="159"/>
  <c r="AE50" i="159"/>
  <c r="AF50" i="159" s="1"/>
  <c r="J50" i="162"/>
  <c r="BK50" i="159"/>
  <c r="BL50" i="159" s="1"/>
  <c r="AN50" i="159"/>
  <c r="AO50" i="159" s="1"/>
  <c r="BZ50" i="159"/>
  <c r="AL50" i="159"/>
  <c r="P50" i="159"/>
  <c r="Q50" i="159" s="1"/>
  <c r="BX50" i="159"/>
  <c r="BU50" i="159" s="1"/>
  <c r="CI50" i="159" s="1"/>
  <c r="R50" i="159"/>
  <c r="S50" i="159" s="1"/>
  <c r="W50" i="159" s="1"/>
  <c r="T50" i="162"/>
  <c r="CB50" i="159"/>
  <c r="BH50" i="159"/>
  <c r="BI50" i="159" s="1"/>
  <c r="BM50" i="159" s="1"/>
  <c r="BF50" i="159"/>
  <c r="BG50" i="159" s="1"/>
  <c r="K50" i="159"/>
  <c r="L50" i="159" s="1"/>
  <c r="M50" i="159"/>
  <c r="Y50" i="162"/>
  <c r="Z50" i="163"/>
  <c r="AA50" i="163" s="1"/>
  <c r="BW50" i="163"/>
  <c r="AB50" i="163"/>
  <c r="AC50" i="163" s="1"/>
  <c r="AG50" i="163" s="1"/>
  <c r="AV50" i="159"/>
  <c r="AW50" i="159" s="1"/>
  <c r="AX50" i="159"/>
  <c r="AY50" i="159" s="1"/>
  <c r="BC50" i="159" s="1"/>
  <c r="CA50" i="159"/>
  <c r="AD50" i="162"/>
  <c r="BJ50" i="162"/>
  <c r="AP50" i="162"/>
  <c r="BE50" i="162"/>
  <c r="AU50" i="162"/>
  <c r="AK50" i="162"/>
  <c r="AZ50" i="162"/>
  <c r="BA50" i="162" s="1"/>
  <c r="BB50" i="162" s="1"/>
  <c r="BE45" i="158"/>
  <c r="BH45" i="158" s="1"/>
  <c r="BJ45" i="158"/>
  <c r="AZ45" i="158"/>
  <c r="BA45" i="158" s="1"/>
  <c r="BB45" i="158" s="1"/>
  <c r="AK45" i="158"/>
  <c r="AL45" i="158" s="1"/>
  <c r="AM45" i="158" s="1"/>
  <c r="AU45" i="158"/>
  <c r="AX45" i="158" s="1"/>
  <c r="AP45" i="158"/>
  <c r="CP50" i="160" l="1"/>
  <c r="CY50" i="160"/>
  <c r="CV50" i="160"/>
  <c r="CZ50" i="160"/>
  <c r="CL50" i="160"/>
  <c r="CN50" i="160"/>
  <c r="CQ50" i="160"/>
  <c r="CU50" i="160"/>
  <c r="CO50" i="160"/>
  <c r="CW50" i="160"/>
  <c r="CK50" i="160"/>
  <c r="CX50" i="160"/>
  <c r="CM50" i="160"/>
  <c r="CT50" i="160"/>
  <c r="CR50" i="160"/>
  <c r="CS50" i="160"/>
  <c r="F39" i="79"/>
  <c r="BR50" i="163"/>
  <c r="CF50" i="163" s="1"/>
  <c r="BJ51" i="160"/>
  <c r="BK51" i="160" s="1"/>
  <c r="BL51" i="160" s="1"/>
  <c r="Y51" i="160"/>
  <c r="AB51" i="160" s="1"/>
  <c r="BF45" i="158"/>
  <c r="BG45" i="158" s="1"/>
  <c r="AD51" i="160"/>
  <c r="BW51" i="160" s="1"/>
  <c r="BU51" i="160" s="1"/>
  <c r="CI51" i="160" s="1"/>
  <c r="J51" i="160"/>
  <c r="M51" i="160" s="1"/>
  <c r="BI45" i="158"/>
  <c r="BM45" i="158" s="1"/>
  <c r="AM50" i="159"/>
  <c r="U50" i="162"/>
  <c r="V50" i="162" s="1"/>
  <c r="BR50" i="159"/>
  <c r="CF50" i="159" s="1"/>
  <c r="BQ50" i="159"/>
  <c r="CE50" i="159" s="1"/>
  <c r="BP50" i="159"/>
  <c r="CD50" i="159" s="1"/>
  <c r="G50" i="163"/>
  <c r="BT50" i="159"/>
  <c r="CH50" i="159" s="1"/>
  <c r="Z50" i="162"/>
  <c r="AA50" i="162" s="1"/>
  <c r="BW50" i="162"/>
  <c r="BU50" i="162" s="1"/>
  <c r="CI50" i="162" s="1"/>
  <c r="AB50" i="162"/>
  <c r="AC50" i="162" s="1"/>
  <c r="AG50" i="162" s="1"/>
  <c r="BE51" i="160"/>
  <c r="AP51" i="160"/>
  <c r="AL50" i="162"/>
  <c r="AN50" i="162"/>
  <c r="AO50" i="162" s="1"/>
  <c r="BZ50" i="162"/>
  <c r="BU50" i="163"/>
  <c r="CI50" i="163" s="1"/>
  <c r="BS50" i="163"/>
  <c r="CG50" i="163" s="1"/>
  <c r="BT50" i="163"/>
  <c r="CH50" i="163" s="1"/>
  <c r="S50" i="162"/>
  <c r="W50" i="162" s="1"/>
  <c r="BS50" i="159"/>
  <c r="CG50" i="159" s="1"/>
  <c r="AX50" i="162"/>
  <c r="AY50" i="162" s="1"/>
  <c r="BC50" i="162" s="1"/>
  <c r="CA50" i="162"/>
  <c r="AV50" i="162"/>
  <c r="AW50" i="162" s="1"/>
  <c r="E51" i="160"/>
  <c r="O51" i="160"/>
  <c r="T51" i="160"/>
  <c r="BH50" i="162"/>
  <c r="BI50" i="162" s="1"/>
  <c r="BM50" i="162" s="1"/>
  <c r="CB50" i="162"/>
  <c r="BP50" i="162" s="1"/>
  <c r="CD50" i="162" s="1"/>
  <c r="BF50" i="162"/>
  <c r="BG50" i="162" s="1"/>
  <c r="BX50" i="162"/>
  <c r="AQ50" i="162"/>
  <c r="AR50" i="162" s="1"/>
  <c r="AS50" i="162"/>
  <c r="F50" i="162"/>
  <c r="G50" i="162" s="1"/>
  <c r="BY50" i="162"/>
  <c r="H50" i="162"/>
  <c r="I50" i="162" s="1"/>
  <c r="BK50" i="162"/>
  <c r="BL50" i="162" s="1"/>
  <c r="Z51" i="160"/>
  <c r="AA51" i="160" s="1"/>
  <c r="AK51" i="160"/>
  <c r="J39" i="79"/>
  <c r="AE50" i="162"/>
  <c r="AF50" i="162" s="1"/>
  <c r="K50" i="162"/>
  <c r="L50" i="162" s="1"/>
  <c r="M50" i="162"/>
  <c r="AU51" i="160"/>
  <c r="AZ51" i="160"/>
  <c r="CB45" i="158"/>
  <c r="AY45" i="158"/>
  <c r="BC45" i="158" s="1"/>
  <c r="BK45" i="158"/>
  <c r="BL45" i="158" s="1"/>
  <c r="AN45" i="158"/>
  <c r="AO45" i="158" s="1"/>
  <c r="AS45" i="158" s="1"/>
  <c r="BZ45" i="158"/>
  <c r="AQ45" i="158"/>
  <c r="AR45" i="158" s="1"/>
  <c r="CA45" i="158"/>
  <c r="AV45" i="158"/>
  <c r="AW45" i="158" s="1"/>
  <c r="Y45" i="158"/>
  <c r="G34" i="79" s="1"/>
  <c r="AD45" i="158"/>
  <c r="K34" i="79" s="1"/>
  <c r="J45" i="158"/>
  <c r="CP50" i="163" l="1"/>
  <c r="CZ50" i="163"/>
  <c r="CU50" i="163"/>
  <c r="CK50" i="163"/>
  <c r="CO50" i="163"/>
  <c r="CS50" i="163"/>
  <c r="CV50" i="163"/>
  <c r="CS50" i="159"/>
  <c r="CN50" i="159"/>
  <c r="CO50" i="159"/>
  <c r="CR50" i="159"/>
  <c r="CP50" i="159"/>
  <c r="CM50" i="159"/>
  <c r="CQ50" i="159"/>
  <c r="CL50" i="159"/>
  <c r="CK50" i="159"/>
  <c r="CT50" i="159"/>
  <c r="CV50" i="159"/>
  <c r="CU50" i="159"/>
  <c r="CW50" i="159"/>
  <c r="CX50" i="159"/>
  <c r="CZ50" i="159"/>
  <c r="CY50" i="159"/>
  <c r="CT50" i="163"/>
  <c r="CQ50" i="163"/>
  <c r="CM50" i="163"/>
  <c r="CN50" i="163"/>
  <c r="CX50" i="163"/>
  <c r="CL50" i="163"/>
  <c r="CY50" i="163"/>
  <c r="CR50" i="163"/>
  <c r="CW50" i="163"/>
  <c r="L34" i="79"/>
  <c r="AE51" i="160"/>
  <c r="AF51" i="160" s="1"/>
  <c r="AC51" i="160"/>
  <c r="AG51" i="160" s="1"/>
  <c r="K51" i="160"/>
  <c r="L51" i="160" s="1"/>
  <c r="BJ51" i="163"/>
  <c r="E51" i="159"/>
  <c r="F51" i="159" s="1"/>
  <c r="G51" i="159" s="1"/>
  <c r="O51" i="159"/>
  <c r="P51" i="159" s="1"/>
  <c r="Q51" i="159" s="1"/>
  <c r="AP51" i="163"/>
  <c r="AQ51" i="163" s="1"/>
  <c r="AR51" i="163" s="1"/>
  <c r="AU51" i="159"/>
  <c r="AV51" i="159" s="1"/>
  <c r="AW51" i="159" s="1"/>
  <c r="AK51" i="163"/>
  <c r="AN51" i="163" s="1"/>
  <c r="BE51" i="163"/>
  <c r="BF51" i="163" s="1"/>
  <c r="BG51" i="163" s="1"/>
  <c r="AZ51" i="163"/>
  <c r="BA51" i="163" s="1"/>
  <c r="BB51" i="163" s="1"/>
  <c r="AU51" i="163"/>
  <c r="H51" i="159"/>
  <c r="AS51" i="160"/>
  <c r="AQ51" i="160"/>
  <c r="AR51" i="160" s="1"/>
  <c r="U51" i="160"/>
  <c r="V51" i="160" s="1"/>
  <c r="AP51" i="159"/>
  <c r="BH51" i="160"/>
  <c r="BI51" i="160" s="1"/>
  <c r="BM51" i="160" s="1"/>
  <c r="CB51" i="160"/>
  <c r="BP51" i="160" s="1"/>
  <c r="CD51" i="160" s="1"/>
  <c r="BF51" i="160"/>
  <c r="BG51" i="160" s="1"/>
  <c r="P51" i="160"/>
  <c r="Q51" i="160" s="1"/>
  <c r="R51" i="160"/>
  <c r="S51" i="160" s="1"/>
  <c r="W51" i="160" s="1"/>
  <c r="BX51" i="160"/>
  <c r="F51" i="160"/>
  <c r="BY51" i="160"/>
  <c r="H51" i="160"/>
  <c r="I51" i="160" s="1"/>
  <c r="J51" i="159"/>
  <c r="T51" i="159"/>
  <c r="BJ51" i="159"/>
  <c r="Y51" i="159"/>
  <c r="BK51" i="163"/>
  <c r="BL51" i="163" s="1"/>
  <c r="BA51" i="160"/>
  <c r="BB51" i="160" s="1"/>
  <c r="BE51" i="159"/>
  <c r="BQ50" i="162"/>
  <c r="CE50" i="162" s="1"/>
  <c r="BR50" i="162"/>
  <c r="CF50" i="162" s="1"/>
  <c r="AD51" i="159"/>
  <c r="AK51" i="159"/>
  <c r="AV51" i="160"/>
  <c r="AW51" i="160" s="1"/>
  <c r="CA51" i="160"/>
  <c r="AX51" i="160"/>
  <c r="AY51" i="160" s="1"/>
  <c r="BC51" i="160" s="1"/>
  <c r="BT50" i="162"/>
  <c r="CH50" i="162" s="1"/>
  <c r="BS50" i="162"/>
  <c r="CG50" i="162" s="1"/>
  <c r="AN51" i="160"/>
  <c r="AO51" i="160" s="1"/>
  <c r="BZ51" i="160"/>
  <c r="AL51" i="160"/>
  <c r="AZ51" i="159"/>
  <c r="AD51" i="163"/>
  <c r="J51" i="163"/>
  <c r="T51" i="163"/>
  <c r="U51" i="163" s="1"/>
  <c r="V51" i="163" s="1"/>
  <c r="O51" i="163"/>
  <c r="Y51" i="163"/>
  <c r="E51" i="163"/>
  <c r="AM50" i="162"/>
  <c r="BR45" i="158"/>
  <c r="CF45" i="158" s="1"/>
  <c r="BQ45" i="158"/>
  <c r="CE45" i="158" s="1"/>
  <c r="BP45" i="158"/>
  <c r="CD45" i="158" s="1"/>
  <c r="K45" i="158"/>
  <c r="L45" i="158" s="1"/>
  <c r="AE45" i="158"/>
  <c r="AF45" i="158" s="1"/>
  <c r="AB45" i="158"/>
  <c r="AC45" i="158" s="1"/>
  <c r="AG45" i="158" s="1"/>
  <c r="Z45" i="158"/>
  <c r="AA45" i="158" s="1"/>
  <c r="BW45" i="158"/>
  <c r="T45" i="158"/>
  <c r="I34" i="79" s="1"/>
  <c r="O45" i="158"/>
  <c r="H34" i="79" s="1"/>
  <c r="E45" i="158"/>
  <c r="E34" i="79" s="1"/>
  <c r="BH51" i="163" l="1"/>
  <c r="BI51" i="163" s="1"/>
  <c r="BM51" i="163" s="1"/>
  <c r="CP50" i="162"/>
  <c r="S39" i="79" s="1"/>
  <c r="CU50" i="162"/>
  <c r="CV50" i="162"/>
  <c r="CZ50" i="162"/>
  <c r="CK50" i="162"/>
  <c r="CO50" i="162"/>
  <c r="R39" i="79" s="1"/>
  <c r="CQ50" i="162"/>
  <c r="T39" i="79" s="1"/>
  <c r="CX50" i="162"/>
  <c r="CL50" i="162"/>
  <c r="CY50" i="162"/>
  <c r="CM50" i="162"/>
  <c r="CW50" i="162"/>
  <c r="CN50" i="162"/>
  <c r="CT50" i="162"/>
  <c r="CR50" i="162"/>
  <c r="U39" i="79" s="1"/>
  <c r="CS50" i="162"/>
  <c r="CA51" i="159"/>
  <c r="AX51" i="159"/>
  <c r="AY51" i="159" s="1"/>
  <c r="BC51" i="159" s="1"/>
  <c r="AS51" i="163"/>
  <c r="R51" i="159"/>
  <c r="AO51" i="163"/>
  <c r="CA51" i="163"/>
  <c r="AX51" i="163"/>
  <c r="AY51" i="163" s="1"/>
  <c r="BC51" i="163" s="1"/>
  <c r="O51" i="162"/>
  <c r="P51" i="162" s="1"/>
  <c r="Q51" i="162" s="1"/>
  <c r="AL51" i="163"/>
  <c r="AM51" i="163" s="1"/>
  <c r="CB51" i="163"/>
  <c r="BZ51" i="163"/>
  <c r="I51" i="159"/>
  <c r="AK51" i="162"/>
  <c r="AL51" i="162" s="1"/>
  <c r="AM51" i="162" s="1"/>
  <c r="AV51" i="163"/>
  <c r="AW51" i="163" s="1"/>
  <c r="BY51" i="163"/>
  <c r="F51" i="163"/>
  <c r="H51" i="163"/>
  <c r="I51" i="163" s="1"/>
  <c r="AP51" i="162"/>
  <c r="P51" i="163"/>
  <c r="Q51" i="163" s="1"/>
  <c r="R51" i="163"/>
  <c r="S51" i="163" s="1"/>
  <c r="W51" i="163" s="1"/>
  <c r="BX51" i="163"/>
  <c r="AB51" i="159"/>
  <c r="AC51" i="159" s="1"/>
  <c r="AG51" i="159" s="1"/>
  <c r="Z51" i="159"/>
  <c r="AA51" i="159" s="1"/>
  <c r="BW51" i="159"/>
  <c r="AM51" i="160"/>
  <c r="AU51" i="162"/>
  <c r="BK51" i="159"/>
  <c r="BL51" i="159" s="1"/>
  <c r="M51" i="159"/>
  <c r="K51" i="159"/>
  <c r="K51" i="163"/>
  <c r="L51" i="163" s="1"/>
  <c r="M51" i="163"/>
  <c r="BE51" i="162"/>
  <c r="BR51" i="160"/>
  <c r="CF51" i="160" s="1"/>
  <c r="BQ51" i="160"/>
  <c r="CE51" i="160" s="1"/>
  <c r="AE51" i="163"/>
  <c r="AF51" i="163" s="1"/>
  <c r="CB51" i="159"/>
  <c r="BH51" i="159"/>
  <c r="BI51" i="159" s="1"/>
  <c r="BM51" i="159" s="1"/>
  <c r="BF51" i="159"/>
  <c r="BG51" i="159" s="1"/>
  <c r="AE51" i="159"/>
  <c r="AF51" i="159" s="1"/>
  <c r="BA51" i="159"/>
  <c r="BB51" i="159" s="1"/>
  <c r="AZ51" i="162"/>
  <c r="BA51" i="162" s="1"/>
  <c r="BB51" i="162" s="1"/>
  <c r="BJ51" i="162"/>
  <c r="U51" i="159"/>
  <c r="V51" i="159" s="1"/>
  <c r="BS51" i="160"/>
  <c r="CG51" i="160" s="1"/>
  <c r="BT51" i="160"/>
  <c r="CH51" i="160" s="1"/>
  <c r="BX51" i="159"/>
  <c r="AQ51" i="159"/>
  <c r="AR51" i="159" s="1"/>
  <c r="AS51" i="159"/>
  <c r="BY51" i="159"/>
  <c r="AB51" i="163"/>
  <c r="AC51" i="163" s="1"/>
  <c r="AG51" i="163" s="1"/>
  <c r="Z51" i="163"/>
  <c r="AA51" i="163" s="1"/>
  <c r="BW51" i="163"/>
  <c r="J51" i="162"/>
  <c r="AD51" i="162"/>
  <c r="Y51" i="162"/>
  <c r="T51" i="162"/>
  <c r="E51" i="162"/>
  <c r="BZ51" i="159"/>
  <c r="AL51" i="159"/>
  <c r="AN51" i="159"/>
  <c r="AO51" i="159" s="1"/>
  <c r="G51" i="160"/>
  <c r="S51" i="159"/>
  <c r="W51" i="159" s="1"/>
  <c r="H45" i="158"/>
  <c r="I45" i="158" s="1"/>
  <c r="M45" i="158" s="1"/>
  <c r="F45" i="158"/>
  <c r="BY45" i="158"/>
  <c r="R45" i="158"/>
  <c r="S45" i="158" s="1"/>
  <c r="W45" i="158" s="1"/>
  <c r="P45" i="158"/>
  <c r="Q45" i="158" s="1"/>
  <c r="BX45" i="158"/>
  <c r="U45" i="158"/>
  <c r="V45" i="158" s="1"/>
  <c r="CU51" i="160" l="1"/>
  <c r="CW51" i="160"/>
  <c r="CK51" i="160"/>
  <c r="CX51" i="160"/>
  <c r="CQ51" i="160"/>
  <c r="CY51" i="160"/>
  <c r="CL51" i="160"/>
  <c r="CT51" i="160"/>
  <c r="CP51" i="160"/>
  <c r="CZ51" i="160"/>
  <c r="CO51" i="160"/>
  <c r="CS51" i="160"/>
  <c r="CR51" i="160"/>
  <c r="BP51" i="163"/>
  <c r="CD51" i="163" s="1"/>
  <c r="CM51" i="160"/>
  <c r="CV51" i="160"/>
  <c r="CN51" i="160"/>
  <c r="BR51" i="163"/>
  <c r="CF51" i="163" s="1"/>
  <c r="BX51" i="162"/>
  <c r="BQ51" i="163"/>
  <c r="CE51" i="163" s="1"/>
  <c r="F40" i="79"/>
  <c r="R51" i="162"/>
  <c r="S51" i="162" s="1"/>
  <c r="W51" i="162" s="1"/>
  <c r="J52" i="160"/>
  <c r="M52" i="160" s="1"/>
  <c r="AN51" i="162"/>
  <c r="AO51" i="162" s="1"/>
  <c r="BJ52" i="160"/>
  <c r="BK52" i="160" s="1"/>
  <c r="BL52" i="160" s="1"/>
  <c r="AS51" i="162"/>
  <c r="AQ51" i="162"/>
  <c r="AR51" i="162" s="1"/>
  <c r="E52" i="160"/>
  <c r="T52" i="160"/>
  <c r="AV51" i="162"/>
  <c r="AW51" i="162" s="1"/>
  <c r="CA51" i="162"/>
  <c r="AX51" i="162"/>
  <c r="AY51" i="162" s="1"/>
  <c r="BC51" i="162" s="1"/>
  <c r="G51" i="163"/>
  <c r="U51" i="162"/>
  <c r="V51" i="162" s="1"/>
  <c r="BS51" i="159"/>
  <c r="CG51" i="159" s="1"/>
  <c r="BT51" i="159"/>
  <c r="CH51" i="159" s="1"/>
  <c r="BU51" i="159"/>
  <c r="CI51" i="159" s="1"/>
  <c r="BK51" i="162"/>
  <c r="BL51" i="162" s="1"/>
  <c r="AD52" i="160"/>
  <c r="BS51" i="163"/>
  <c r="CG51" i="163" s="1"/>
  <c r="BU51" i="163"/>
  <c r="CI51" i="163" s="1"/>
  <c r="BT51" i="163"/>
  <c r="CH51" i="163" s="1"/>
  <c r="BZ51" i="162"/>
  <c r="BR51" i="159"/>
  <c r="CF51" i="159" s="1"/>
  <c r="BQ51" i="159"/>
  <c r="CE51" i="159" s="1"/>
  <c r="BP51" i="159"/>
  <c r="CD51" i="159" s="1"/>
  <c r="BW51" i="162"/>
  <c r="BU51" i="162" s="1"/>
  <c r="CI51" i="162" s="1"/>
  <c r="Z51" i="162"/>
  <c r="AA51" i="162" s="1"/>
  <c r="AB51" i="162"/>
  <c r="AC51" i="162" s="1"/>
  <c r="AG51" i="162" s="1"/>
  <c r="Y52" i="160"/>
  <c r="O52" i="160"/>
  <c r="AM51" i="159"/>
  <c r="Y52" i="159" s="1"/>
  <c r="BH51" i="162"/>
  <c r="BI51" i="162" s="1"/>
  <c r="BM51" i="162" s="1"/>
  <c r="BF51" i="162"/>
  <c r="BG51" i="162" s="1"/>
  <c r="CB51" i="162"/>
  <c r="BP51" i="162" s="1"/>
  <c r="CD51" i="162" s="1"/>
  <c r="H51" i="162"/>
  <c r="I51" i="162" s="1"/>
  <c r="BY51" i="162"/>
  <c r="F51" i="162"/>
  <c r="J40" i="79"/>
  <c r="AE51" i="162"/>
  <c r="AF51" i="162" s="1"/>
  <c r="AZ52" i="160"/>
  <c r="AK52" i="160"/>
  <c r="AP52" i="160"/>
  <c r="AU52" i="160"/>
  <c r="K51" i="162"/>
  <c r="L51" i="162" s="1"/>
  <c r="M51" i="162"/>
  <c r="L51" i="159"/>
  <c r="BE52" i="160"/>
  <c r="BS45" i="158"/>
  <c r="CG45" i="158" s="1"/>
  <c r="BT45" i="158"/>
  <c r="CH45" i="158" s="1"/>
  <c r="BU45" i="158"/>
  <c r="CI45" i="158" s="1"/>
  <c r="G45" i="158"/>
  <c r="AK46" i="158" s="1"/>
  <c r="AP52" i="163" l="1"/>
  <c r="CM51" i="159"/>
  <c r="CK51" i="159"/>
  <c r="CR51" i="159"/>
  <c r="CL51" i="159"/>
  <c r="CN51" i="159"/>
  <c r="CP51" i="159"/>
  <c r="CQ51" i="159"/>
  <c r="CS51" i="159"/>
  <c r="CO51" i="159"/>
  <c r="CW51" i="159"/>
  <c r="CV51" i="159"/>
  <c r="CT51" i="159"/>
  <c r="CU51" i="159"/>
  <c r="CY51" i="159"/>
  <c r="CZ51" i="159"/>
  <c r="CX51" i="159"/>
  <c r="CP51" i="163"/>
  <c r="CV51" i="163"/>
  <c r="CM51" i="163"/>
  <c r="CK51" i="163"/>
  <c r="CO51" i="163"/>
  <c r="CN51" i="163"/>
  <c r="CQ51" i="163"/>
  <c r="CR51" i="163"/>
  <c r="CL51" i="163"/>
  <c r="CS51" i="163"/>
  <c r="CU51" i="163"/>
  <c r="CZ51" i="163"/>
  <c r="CT51" i="163"/>
  <c r="CW51" i="163"/>
  <c r="CY51" i="163"/>
  <c r="CX51" i="163"/>
  <c r="CS45" i="158"/>
  <c r="V34" i="79" s="1"/>
  <c r="CK45" i="158"/>
  <c r="N34" i="79" s="1"/>
  <c r="CU45" i="158"/>
  <c r="X34" i="79" s="1"/>
  <c r="CR45" i="158"/>
  <c r="CV45" i="158"/>
  <c r="Y34" i="79" s="1"/>
  <c r="CL45" i="158"/>
  <c r="O34" i="79" s="1"/>
  <c r="CQ45" i="158"/>
  <c r="CM45" i="158"/>
  <c r="P34" i="79" s="1"/>
  <c r="CZ45" i="158"/>
  <c r="AC34" i="79" s="1"/>
  <c r="CN45" i="158"/>
  <c r="Q34" i="79" s="1"/>
  <c r="CW45" i="158"/>
  <c r="Z34" i="79" s="1"/>
  <c r="CT45" i="158"/>
  <c r="W34" i="79" s="1"/>
  <c r="CX45" i="158"/>
  <c r="AA34" i="79" s="1"/>
  <c r="CO45" i="158"/>
  <c r="CY45" i="158"/>
  <c r="AB34" i="79" s="1"/>
  <c r="CP45" i="158"/>
  <c r="AU52" i="163"/>
  <c r="AX52" i="163" s="1"/>
  <c r="K52" i="160"/>
  <c r="L52" i="160" s="1"/>
  <c r="AK52" i="163"/>
  <c r="AN52" i="163" s="1"/>
  <c r="AO52" i="163" s="1"/>
  <c r="BJ52" i="163"/>
  <c r="BK52" i="163" s="1"/>
  <c r="BL52" i="163" s="1"/>
  <c r="AZ52" i="163"/>
  <c r="BA52" i="163" s="1"/>
  <c r="BB52" i="163" s="1"/>
  <c r="BE52" i="163"/>
  <c r="BA52" i="160"/>
  <c r="BB52" i="160" s="1"/>
  <c r="J52" i="159"/>
  <c r="R52" i="160"/>
  <c r="S52" i="160" s="1"/>
  <c r="W52" i="160" s="1"/>
  <c r="BX52" i="160"/>
  <c r="P52" i="160"/>
  <c r="Q52" i="160" s="1"/>
  <c r="AS52" i="163"/>
  <c r="AQ52" i="163"/>
  <c r="AR52" i="163" s="1"/>
  <c r="BW52" i="160"/>
  <c r="BU52" i="160" s="1"/>
  <c r="CI52" i="160" s="1"/>
  <c r="Z52" i="160"/>
  <c r="AA52" i="160" s="1"/>
  <c r="AB52" i="160"/>
  <c r="AC52" i="160" s="1"/>
  <c r="AG52" i="160" s="1"/>
  <c r="AP52" i="159"/>
  <c r="U52" i="160"/>
  <c r="V52" i="160" s="1"/>
  <c r="AE52" i="160"/>
  <c r="AF52" i="160" s="1"/>
  <c r="BR51" i="162"/>
  <c r="CF51" i="162" s="1"/>
  <c r="BQ51" i="162"/>
  <c r="CE51" i="162" s="1"/>
  <c r="BY52" i="160"/>
  <c r="F52" i="160"/>
  <c r="H52" i="160"/>
  <c r="I52" i="160" s="1"/>
  <c r="AB52" i="159"/>
  <c r="Z52" i="159"/>
  <c r="AA52" i="159" s="1"/>
  <c r="CA52" i="160"/>
  <c r="AX52" i="160"/>
  <c r="AY52" i="160" s="1"/>
  <c r="BC52" i="160" s="1"/>
  <c r="AV52" i="160"/>
  <c r="AW52" i="160" s="1"/>
  <c r="AD52" i="159"/>
  <c r="BW52" i="159" s="1"/>
  <c r="BH52" i="160"/>
  <c r="BI52" i="160" s="1"/>
  <c r="BM52" i="160" s="1"/>
  <c r="BF52" i="160"/>
  <c r="BG52" i="160" s="1"/>
  <c r="AS52" i="160"/>
  <c r="AQ52" i="160"/>
  <c r="AR52" i="160" s="1"/>
  <c r="O52" i="159"/>
  <c r="CB52" i="160"/>
  <c r="BP52" i="160" s="1"/>
  <c r="CD52" i="160" s="1"/>
  <c r="AK52" i="159"/>
  <c r="AZ52" i="159"/>
  <c r="BJ52" i="159"/>
  <c r="BE52" i="159"/>
  <c r="BS51" i="162"/>
  <c r="CG51" i="162" s="1"/>
  <c r="BT51" i="162"/>
  <c r="CH51" i="162" s="1"/>
  <c r="AU52" i="159"/>
  <c r="AL52" i="160"/>
  <c r="AM52" i="160" s="1"/>
  <c r="BZ52" i="160"/>
  <c r="AN52" i="160"/>
  <c r="AO52" i="160" s="1"/>
  <c r="G51" i="162"/>
  <c r="E52" i="159"/>
  <c r="T52" i="163"/>
  <c r="E52" i="163"/>
  <c r="O52" i="163"/>
  <c r="AD52" i="163"/>
  <c r="J52" i="163"/>
  <c r="Y52" i="163"/>
  <c r="T52" i="159"/>
  <c r="AU46" i="158"/>
  <c r="AX46" i="158" s="1"/>
  <c r="AZ46" i="158"/>
  <c r="BA46" i="158" s="1"/>
  <c r="BB46" i="158" s="1"/>
  <c r="BE46" i="158"/>
  <c r="BH46" i="158" s="1"/>
  <c r="BJ46" i="158"/>
  <c r="BK46" i="158" s="1"/>
  <c r="BL46" i="158" s="1"/>
  <c r="AL46" i="158"/>
  <c r="AM46" i="158" s="1"/>
  <c r="AN46" i="158"/>
  <c r="AP46" i="158"/>
  <c r="BZ52" i="163" l="1"/>
  <c r="AV52" i="163"/>
  <c r="AW52" i="163" s="1"/>
  <c r="AK52" i="162"/>
  <c r="AY52" i="163"/>
  <c r="BC52" i="163" s="1"/>
  <c r="AL52" i="163"/>
  <c r="AM52" i="163" s="1"/>
  <c r="CB52" i="163"/>
  <c r="AU52" i="162"/>
  <c r="AV52" i="162" s="1"/>
  <c r="AW52" i="162" s="1"/>
  <c r="CQ51" i="162"/>
  <c r="T40" i="79" s="1"/>
  <c r="CX51" i="162"/>
  <c r="CZ51" i="162"/>
  <c r="CY51" i="162"/>
  <c r="CR51" i="162"/>
  <c r="U40" i="79" s="1"/>
  <c r="CW51" i="162"/>
  <c r="CL51" i="162"/>
  <c r="CT51" i="162"/>
  <c r="CP51" i="162"/>
  <c r="S40" i="79" s="1"/>
  <c r="CS51" i="162"/>
  <c r="CO51" i="162"/>
  <c r="R40" i="79" s="1"/>
  <c r="CU51" i="162"/>
  <c r="CM51" i="162"/>
  <c r="CV51" i="162"/>
  <c r="CK51" i="162"/>
  <c r="CN51" i="162"/>
  <c r="BF52" i="163"/>
  <c r="BG52" i="163" s="1"/>
  <c r="CA52" i="163"/>
  <c r="BQ52" i="163" s="1"/>
  <c r="CE52" i="163" s="1"/>
  <c r="BH52" i="163"/>
  <c r="BI52" i="163" s="1"/>
  <c r="BM52" i="163" s="1"/>
  <c r="AY46" i="158"/>
  <c r="BC46" i="158" s="1"/>
  <c r="CA46" i="158"/>
  <c r="M52" i="163"/>
  <c r="K52" i="163"/>
  <c r="L52" i="163" s="1"/>
  <c r="BX52" i="159"/>
  <c r="P52" i="159"/>
  <c r="Q52" i="159" s="1"/>
  <c r="R52" i="159"/>
  <c r="S52" i="159" s="1"/>
  <c r="W52" i="159" s="1"/>
  <c r="AB52" i="163"/>
  <c r="AC52" i="163" s="1"/>
  <c r="AG52" i="163" s="1"/>
  <c r="Z52" i="163"/>
  <c r="AA52" i="163" s="1"/>
  <c r="BW52" i="163"/>
  <c r="AE52" i="163"/>
  <c r="AF52" i="163" s="1"/>
  <c r="K52" i="159"/>
  <c r="L52" i="159" s="1"/>
  <c r="M52" i="159"/>
  <c r="AN52" i="162"/>
  <c r="AL52" i="162"/>
  <c r="AM52" i="162" s="1"/>
  <c r="AZ52" i="162"/>
  <c r="BE52" i="162"/>
  <c r="BJ52" i="162"/>
  <c r="BX52" i="163"/>
  <c r="P52" i="163"/>
  <c r="Q52" i="163" s="1"/>
  <c r="R52" i="163"/>
  <c r="S52" i="163" s="1"/>
  <c r="W52" i="163" s="1"/>
  <c r="BQ52" i="160"/>
  <c r="CE52" i="160" s="1"/>
  <c r="BR52" i="160"/>
  <c r="CF52" i="160" s="1"/>
  <c r="T52" i="162"/>
  <c r="E52" i="162"/>
  <c r="O52" i="162"/>
  <c r="AD52" i="162"/>
  <c r="Y52" i="162"/>
  <c r="J52" i="162"/>
  <c r="AL52" i="159"/>
  <c r="BZ52" i="159"/>
  <c r="AN52" i="159"/>
  <c r="AO52" i="159" s="1"/>
  <c r="BY52" i="163"/>
  <c r="H52" i="163"/>
  <c r="I52" i="163" s="1"/>
  <c r="F52" i="163"/>
  <c r="BF52" i="159"/>
  <c r="BG52" i="159" s="1"/>
  <c r="BH52" i="159"/>
  <c r="BI52" i="159" s="1"/>
  <c r="BM52" i="159" s="1"/>
  <c r="CB52" i="159"/>
  <c r="AC52" i="159"/>
  <c r="AG52" i="159" s="1"/>
  <c r="AE52" i="159"/>
  <c r="AF52" i="159" s="1"/>
  <c r="BT52" i="160"/>
  <c r="CH52" i="160" s="1"/>
  <c r="BS52" i="160"/>
  <c r="U52" i="163"/>
  <c r="V52" i="163" s="1"/>
  <c r="AV52" i="159"/>
  <c r="AW52" i="159" s="1"/>
  <c r="CA52" i="159"/>
  <c r="AX52" i="159"/>
  <c r="AY52" i="159" s="1"/>
  <c r="BC52" i="159" s="1"/>
  <c r="BK52" i="159"/>
  <c r="BL52" i="159" s="1"/>
  <c r="AP52" i="162"/>
  <c r="G52" i="160"/>
  <c r="AV46" i="158"/>
  <c r="AW46" i="158" s="1"/>
  <c r="U52" i="159"/>
  <c r="V52" i="159" s="1"/>
  <c r="BY52" i="159"/>
  <c r="F52" i="159"/>
  <c r="G52" i="159" s="1"/>
  <c r="H52" i="159"/>
  <c r="I52" i="159" s="1"/>
  <c r="BA52" i="159"/>
  <c r="BB52" i="159" s="1"/>
  <c r="AQ52" i="159"/>
  <c r="AR52" i="159" s="1"/>
  <c r="AS52" i="159"/>
  <c r="BI46" i="158"/>
  <c r="BM46" i="158" s="1"/>
  <c r="BF46" i="158"/>
  <c r="BG46" i="158" s="1"/>
  <c r="CB46" i="158"/>
  <c r="AQ46" i="158"/>
  <c r="AR46" i="158" s="1"/>
  <c r="T46" i="158"/>
  <c r="E46" i="158"/>
  <c r="E35" i="79" s="1"/>
  <c r="O46" i="158"/>
  <c r="H35" i="79" s="1"/>
  <c r="AO46" i="158"/>
  <c r="AS46" i="158" s="1"/>
  <c r="AD46" i="158"/>
  <c r="K35" i="79" s="1"/>
  <c r="J46" i="158"/>
  <c r="Y46" i="158"/>
  <c r="G35" i="79" s="1"/>
  <c r="BZ46" i="158"/>
  <c r="BR52" i="163" l="1"/>
  <c r="CF52" i="163" s="1"/>
  <c r="BP52" i="163"/>
  <c r="CD52" i="163" s="1"/>
  <c r="AX52" i="162"/>
  <c r="T53" i="160"/>
  <c r="U53" i="160" s="1"/>
  <c r="V53" i="160" s="1"/>
  <c r="CG52" i="160"/>
  <c r="CM52" i="160" s="1"/>
  <c r="L35" i="79"/>
  <c r="F41" i="79"/>
  <c r="BE53" i="160"/>
  <c r="BH53" i="160" s="1"/>
  <c r="I35" i="79"/>
  <c r="BJ53" i="160"/>
  <c r="BK53" i="160" s="1"/>
  <c r="BL53" i="160" s="1"/>
  <c r="E53" i="160"/>
  <c r="H53" i="160" s="1"/>
  <c r="AU53" i="160"/>
  <c r="AX53" i="160" s="1"/>
  <c r="O53" i="160"/>
  <c r="R53" i="160" s="1"/>
  <c r="S53" i="160" s="1"/>
  <c r="W53" i="160" s="1"/>
  <c r="U52" i="162"/>
  <c r="V52" i="162" s="1"/>
  <c r="J53" i="160"/>
  <c r="AM52" i="159"/>
  <c r="BA52" i="162"/>
  <c r="BB52" i="162" s="1"/>
  <c r="AP53" i="160"/>
  <c r="AS52" i="162"/>
  <c r="AQ52" i="162"/>
  <c r="AR52" i="162" s="1"/>
  <c r="BR52" i="159"/>
  <c r="CF52" i="159" s="1"/>
  <c r="AZ53" i="160"/>
  <c r="G52" i="163"/>
  <c r="BE53" i="163" s="1"/>
  <c r="M52" i="162"/>
  <c r="K52" i="162"/>
  <c r="L52" i="162" s="1"/>
  <c r="BH52" i="162"/>
  <c r="BI52" i="162" s="1"/>
  <c r="BM52" i="162" s="1"/>
  <c r="BF52" i="162"/>
  <c r="BG52" i="162" s="1"/>
  <c r="CB52" i="162"/>
  <c r="BP52" i="162" s="1"/>
  <c r="CD52" i="162" s="1"/>
  <c r="AB52" i="162"/>
  <c r="AC52" i="162" s="1"/>
  <c r="AG52" i="162" s="1"/>
  <c r="Z52" i="162"/>
  <c r="AA52" i="162" s="1"/>
  <c r="BW52" i="162"/>
  <c r="BU52" i="162" s="1"/>
  <c r="CI52" i="162" s="1"/>
  <c r="BZ52" i="162"/>
  <c r="CA52" i="162"/>
  <c r="BT52" i="159"/>
  <c r="CH52" i="159" s="1"/>
  <c r="BS52" i="159"/>
  <c r="CG52" i="159" s="1"/>
  <c r="BU52" i="159"/>
  <c r="CI52" i="159" s="1"/>
  <c r="BT52" i="163"/>
  <c r="CH52" i="163" s="1"/>
  <c r="BS52" i="163"/>
  <c r="CG52" i="163" s="1"/>
  <c r="BU52" i="163"/>
  <c r="CI52" i="163" s="1"/>
  <c r="J41" i="79"/>
  <c r="AE52" i="162"/>
  <c r="AF52" i="162" s="1"/>
  <c r="AO52" i="162"/>
  <c r="AY52" i="162"/>
  <c r="BC52" i="162" s="1"/>
  <c r="BQ52" i="159"/>
  <c r="CE52" i="159" s="1"/>
  <c r="BP52" i="159"/>
  <c r="CD52" i="159" s="1"/>
  <c r="AD53" i="160"/>
  <c r="Y53" i="160"/>
  <c r="P52" i="162"/>
  <c r="Q52" i="162" s="1"/>
  <c r="R52" i="162"/>
  <c r="S52" i="162" s="1"/>
  <c r="W52" i="162" s="1"/>
  <c r="BX52" i="162"/>
  <c r="F52" i="162"/>
  <c r="BY52" i="162"/>
  <c r="H52" i="162"/>
  <c r="I52" i="162" s="1"/>
  <c r="BK52" i="162"/>
  <c r="BL52" i="162" s="1"/>
  <c r="AK53" i="160"/>
  <c r="BP46" i="158"/>
  <c r="CD46" i="158" s="1"/>
  <c r="BQ46" i="158"/>
  <c r="CE46" i="158" s="1"/>
  <c r="BR46" i="158"/>
  <c r="CF46" i="158" s="1"/>
  <c r="AE46" i="158"/>
  <c r="AF46" i="158" s="1"/>
  <c r="P46" i="158"/>
  <c r="Q46" i="158" s="1"/>
  <c r="R46" i="158"/>
  <c r="S46" i="158" s="1"/>
  <c r="W46" i="158" s="1"/>
  <c r="BY46" i="158"/>
  <c r="F46" i="158"/>
  <c r="H46" i="158"/>
  <c r="I46" i="158" s="1"/>
  <c r="M46" i="158" s="1"/>
  <c r="BX46" i="158"/>
  <c r="U46" i="158"/>
  <c r="V46" i="158" s="1"/>
  <c r="K46" i="158"/>
  <c r="L46" i="158" s="1"/>
  <c r="AB46" i="158"/>
  <c r="AC46" i="158" s="1"/>
  <c r="AG46" i="158" s="1"/>
  <c r="Z46" i="158"/>
  <c r="AA46" i="158" s="1"/>
  <c r="BW46" i="158"/>
  <c r="CV52" i="163" l="1"/>
  <c r="BF53" i="160"/>
  <c r="BG53" i="160" s="1"/>
  <c r="CR52" i="160"/>
  <c r="CS52" i="160"/>
  <c r="CP52" i="160"/>
  <c r="CX52" i="160"/>
  <c r="CO52" i="163"/>
  <c r="CN52" i="163"/>
  <c r="CY52" i="163"/>
  <c r="CK52" i="163"/>
  <c r="CL52" i="160"/>
  <c r="CL52" i="159"/>
  <c r="CR52" i="159"/>
  <c r="CO52" i="159"/>
  <c r="CK52" i="159"/>
  <c r="CP52" i="159"/>
  <c r="CS52" i="159"/>
  <c r="CN52" i="159"/>
  <c r="CQ52" i="159"/>
  <c r="CM52" i="159"/>
  <c r="CW52" i="159"/>
  <c r="CU52" i="159"/>
  <c r="CT52" i="159"/>
  <c r="CV52" i="159"/>
  <c r="CZ52" i="159"/>
  <c r="CX52" i="159"/>
  <c r="CY52" i="159"/>
  <c r="CW52" i="163"/>
  <c r="CR52" i="163"/>
  <c r="CW52" i="160"/>
  <c r="CX52" i="163"/>
  <c r="CL52" i="163"/>
  <c r="CU52" i="160"/>
  <c r="CZ52" i="160"/>
  <c r="CU52" i="163"/>
  <c r="CP52" i="163"/>
  <c r="CN52" i="160"/>
  <c r="CV52" i="160"/>
  <c r="CT52" i="163"/>
  <c r="CQ52" i="163"/>
  <c r="CO52" i="160"/>
  <c r="CT52" i="160"/>
  <c r="CY52" i="160"/>
  <c r="CS52" i="163"/>
  <c r="CM52" i="163"/>
  <c r="CQ52" i="160"/>
  <c r="CK52" i="160"/>
  <c r="CZ52" i="163"/>
  <c r="AV53" i="160"/>
  <c r="AW53" i="160" s="1"/>
  <c r="BI53" i="160"/>
  <c r="BM53" i="160" s="1"/>
  <c r="CB53" i="160"/>
  <c r="BP53" i="160" s="1"/>
  <c r="CD53" i="160" s="1"/>
  <c r="AZ53" i="159"/>
  <c r="BA53" i="159" s="1"/>
  <c r="BB53" i="159" s="1"/>
  <c r="AZ53" i="163"/>
  <c r="BA53" i="163" s="1"/>
  <c r="BB53" i="163" s="1"/>
  <c r="AP53" i="159"/>
  <c r="AS53" i="159" s="1"/>
  <c r="Y53" i="159"/>
  <c r="Z53" i="159" s="1"/>
  <c r="AA53" i="159" s="1"/>
  <c r="P53" i="160"/>
  <c r="Q53" i="160" s="1"/>
  <c r="F53" i="160"/>
  <c r="G53" i="160" s="1"/>
  <c r="O53" i="159"/>
  <c r="P53" i="159" s="1"/>
  <c r="Q53" i="159" s="1"/>
  <c r="BX53" i="160"/>
  <c r="AK53" i="159"/>
  <c r="AL53" i="159" s="1"/>
  <c r="AM53" i="159" s="1"/>
  <c r="BH53" i="163"/>
  <c r="BF53" i="163"/>
  <c r="BG53" i="163" s="1"/>
  <c r="AE53" i="160"/>
  <c r="AF53" i="160" s="1"/>
  <c r="BE53" i="159"/>
  <c r="AS53" i="160"/>
  <c r="AQ53" i="160"/>
  <c r="AR53" i="160" s="1"/>
  <c r="AL53" i="160"/>
  <c r="AN53" i="160"/>
  <c r="AO53" i="160" s="1"/>
  <c r="BZ53" i="160"/>
  <c r="J53" i="159"/>
  <c r="BQ52" i="162"/>
  <c r="CE52" i="162" s="1"/>
  <c r="BR52" i="162"/>
  <c r="CF52" i="162" s="1"/>
  <c r="AB53" i="160"/>
  <c r="AC53" i="160" s="1"/>
  <c r="AG53" i="160" s="1"/>
  <c r="Z53" i="160"/>
  <c r="AA53" i="160" s="1"/>
  <c r="BW53" i="160"/>
  <c r="BU53" i="160" s="1"/>
  <c r="CI53" i="160" s="1"/>
  <c r="J53" i="163"/>
  <c r="Y53" i="163"/>
  <c r="T53" i="163"/>
  <c r="O53" i="163"/>
  <c r="AD53" i="163"/>
  <c r="E53" i="163"/>
  <c r="AU53" i="163"/>
  <c r="BA53" i="160"/>
  <c r="BB53" i="160" s="1"/>
  <c r="AY53" i="160"/>
  <c r="BC53" i="160" s="1"/>
  <c r="AK53" i="163"/>
  <c r="AU53" i="159"/>
  <c r="G52" i="162"/>
  <c r="BJ53" i="159"/>
  <c r="AP53" i="163"/>
  <c r="T53" i="159"/>
  <c r="U53" i="159" s="1"/>
  <c r="V53" i="159" s="1"/>
  <c r="AD53" i="159"/>
  <c r="E53" i="159"/>
  <c r="CA53" i="160"/>
  <c r="BJ53" i="163"/>
  <c r="CB53" i="163" s="1"/>
  <c r="K53" i="160"/>
  <c r="L53" i="160" s="1"/>
  <c r="M53" i="160"/>
  <c r="BY53" i="160"/>
  <c r="BS52" i="162"/>
  <c r="CG52" i="162" s="1"/>
  <c r="BT52" i="162"/>
  <c r="CH52" i="162" s="1"/>
  <c r="I53" i="160"/>
  <c r="BT46" i="158"/>
  <c r="CH46" i="158" s="1"/>
  <c r="BU46" i="158"/>
  <c r="CI46" i="158" s="1"/>
  <c r="BS46" i="158"/>
  <c r="CG46" i="158" s="1"/>
  <c r="G46" i="158"/>
  <c r="CT46" i="158" l="1"/>
  <c r="W35" i="79" s="1"/>
  <c r="CZ52" i="162"/>
  <c r="CS46" i="158"/>
  <c r="V35" i="79" s="1"/>
  <c r="CY46" i="158"/>
  <c r="AB35" i="79" s="1"/>
  <c r="CP52" i="162"/>
  <c r="S41" i="79" s="1"/>
  <c r="CL52" i="162"/>
  <c r="CZ46" i="158"/>
  <c r="AC35" i="79" s="1"/>
  <c r="CX46" i="158"/>
  <c r="AA35" i="79" s="1"/>
  <c r="CM52" i="162"/>
  <c r="CQ52" i="162"/>
  <c r="T41" i="79" s="1"/>
  <c r="CM46" i="158"/>
  <c r="P35" i="79" s="1"/>
  <c r="CU46" i="158"/>
  <c r="X35" i="79" s="1"/>
  <c r="CY52" i="162"/>
  <c r="CV52" i="162"/>
  <c r="CL46" i="158"/>
  <c r="O35" i="79" s="1"/>
  <c r="CV46" i="158"/>
  <c r="Y35" i="79" s="1"/>
  <c r="CW52" i="162"/>
  <c r="CK52" i="162"/>
  <c r="CR46" i="158"/>
  <c r="CW46" i="158"/>
  <c r="Z35" i="79" s="1"/>
  <c r="CX52" i="162"/>
  <c r="CR52" i="162"/>
  <c r="U41" i="79" s="1"/>
  <c r="CK46" i="158"/>
  <c r="N35" i="79" s="1"/>
  <c r="CQ46" i="158"/>
  <c r="CU52" i="162"/>
  <c r="CN52" i="162"/>
  <c r="CO46" i="158"/>
  <c r="CP46" i="158"/>
  <c r="CT52" i="162"/>
  <c r="CO52" i="162"/>
  <c r="R41" i="79" s="1"/>
  <c r="CN46" i="158"/>
  <c r="Q35" i="79" s="1"/>
  <c r="CS52" i="162"/>
  <c r="AB53" i="159"/>
  <c r="AQ53" i="159"/>
  <c r="AR53" i="159" s="1"/>
  <c r="BE53" i="162"/>
  <c r="BH53" i="162" s="1"/>
  <c r="R53" i="159"/>
  <c r="S53" i="159" s="1"/>
  <c r="W53" i="159" s="1"/>
  <c r="BZ53" i="159"/>
  <c r="AK53" i="162"/>
  <c r="AL53" i="162" s="1"/>
  <c r="AM53" i="162" s="1"/>
  <c r="AU53" i="162"/>
  <c r="AV53" i="162" s="1"/>
  <c r="AW53" i="162" s="1"/>
  <c r="AN53" i="159"/>
  <c r="AO53" i="159" s="1"/>
  <c r="AP53" i="162"/>
  <c r="AQ53" i="162" s="1"/>
  <c r="AR53" i="162" s="1"/>
  <c r="H53" i="159"/>
  <c r="I53" i="159" s="1"/>
  <c r="BY53" i="159"/>
  <c r="F53" i="159"/>
  <c r="AV53" i="163"/>
  <c r="AW53" i="163" s="1"/>
  <c r="CA53" i="163"/>
  <c r="AX53" i="163"/>
  <c r="AY53" i="163" s="1"/>
  <c r="BC53" i="163" s="1"/>
  <c r="BR53" i="160"/>
  <c r="CF53" i="160" s="1"/>
  <c r="BQ53" i="160"/>
  <c r="CE53" i="160" s="1"/>
  <c r="BY53" i="163"/>
  <c r="H53" i="163"/>
  <c r="I53" i="163" s="1"/>
  <c r="F53" i="163"/>
  <c r="BS53" i="160"/>
  <c r="CG53" i="160" s="1"/>
  <c r="BT53" i="160"/>
  <c r="CH53" i="160" s="1"/>
  <c r="AE53" i="163"/>
  <c r="AF53" i="163" s="1"/>
  <c r="AM53" i="160"/>
  <c r="BX53" i="159"/>
  <c r="AZ53" i="162"/>
  <c r="BA53" i="162" s="1"/>
  <c r="BB53" i="162" s="1"/>
  <c r="BF53" i="159"/>
  <c r="BG53" i="159" s="1"/>
  <c r="BH53" i="159"/>
  <c r="BI53" i="159" s="1"/>
  <c r="BM53" i="159" s="1"/>
  <c r="CB53" i="159"/>
  <c r="AX53" i="159"/>
  <c r="AY53" i="159" s="1"/>
  <c r="BC53" i="159" s="1"/>
  <c r="CA53" i="159"/>
  <c r="AV53" i="159"/>
  <c r="AW53" i="159" s="1"/>
  <c r="BX53" i="163"/>
  <c r="R53" i="163"/>
  <c r="S53" i="163" s="1"/>
  <c r="W53" i="163" s="1"/>
  <c r="P53" i="163"/>
  <c r="Q53" i="163" s="1"/>
  <c r="AE53" i="159"/>
  <c r="AF53" i="159" s="1"/>
  <c r="AD53" i="162"/>
  <c r="O53" i="162"/>
  <c r="E53" i="162"/>
  <c r="T53" i="162"/>
  <c r="Y53" i="162"/>
  <c r="J53" i="162"/>
  <c r="AS53" i="163"/>
  <c r="AQ53" i="163"/>
  <c r="AR53" i="163" s="1"/>
  <c r="AL53" i="163"/>
  <c r="AM53" i="163" s="1"/>
  <c r="BZ53" i="163"/>
  <c r="AN53" i="163"/>
  <c r="AO53" i="163" s="1"/>
  <c r="U53" i="163"/>
  <c r="V53" i="163" s="1"/>
  <c r="BW53" i="159"/>
  <c r="BK53" i="159"/>
  <c r="BL53" i="159" s="1"/>
  <c r="AB53" i="163"/>
  <c r="AC53" i="163" s="1"/>
  <c r="AG53" i="163" s="1"/>
  <c r="BW53" i="163"/>
  <c r="Z53" i="163"/>
  <c r="AA53" i="163" s="1"/>
  <c r="AC53" i="159"/>
  <c r="AG53" i="159" s="1"/>
  <c r="BK53" i="163"/>
  <c r="BL53" i="163" s="1"/>
  <c r="BI53" i="163"/>
  <c r="BM53" i="163" s="1"/>
  <c r="BJ53" i="162"/>
  <c r="K53" i="163"/>
  <c r="L53" i="163" s="1"/>
  <c r="M53" i="163"/>
  <c r="M53" i="159"/>
  <c r="K53" i="159"/>
  <c r="L53" i="159" s="1"/>
  <c r="AU47" i="158"/>
  <c r="AX47" i="158" s="1"/>
  <c r="AZ47" i="158"/>
  <c r="BA47" i="158" s="1"/>
  <c r="BB47" i="158" s="1"/>
  <c r="BJ47" i="158"/>
  <c r="BK47" i="158" s="1"/>
  <c r="BL47" i="158" s="1"/>
  <c r="AK47" i="158"/>
  <c r="AL47" i="158" s="1"/>
  <c r="AM47" i="158" s="1"/>
  <c r="BE47" i="158"/>
  <c r="BF47" i="158" s="1"/>
  <c r="BG47" i="158" s="1"/>
  <c r="AP47" i="158"/>
  <c r="F42" i="79" l="1"/>
  <c r="CK53" i="160"/>
  <c r="CZ53" i="160"/>
  <c r="CR53" i="160"/>
  <c r="CT53" i="160"/>
  <c r="CP53" i="160"/>
  <c r="CS53" i="160"/>
  <c r="CN53" i="160"/>
  <c r="CY53" i="160"/>
  <c r="CQ53" i="160"/>
  <c r="CM53" i="160"/>
  <c r="CU53" i="160"/>
  <c r="CV53" i="160"/>
  <c r="CO53" i="160"/>
  <c r="CW53" i="160"/>
  <c r="CL53" i="160"/>
  <c r="CX53" i="160"/>
  <c r="AU54" i="160"/>
  <c r="AV54" i="160" s="1"/>
  <c r="AW54" i="160" s="1"/>
  <c r="AN53" i="162"/>
  <c r="AO53" i="162" s="1"/>
  <c r="BR53" i="159"/>
  <c r="CF53" i="159" s="1"/>
  <c r="BF53" i="162"/>
  <c r="BG53" i="162" s="1"/>
  <c r="BE54" i="160"/>
  <c r="BH54" i="160" s="1"/>
  <c r="BP53" i="159"/>
  <c r="CD53" i="159" s="1"/>
  <c r="BQ53" i="159"/>
  <c r="CE53" i="159" s="1"/>
  <c r="O54" i="160"/>
  <c r="R54" i="160" s="1"/>
  <c r="AY47" i="158"/>
  <c r="BC47" i="158" s="1"/>
  <c r="AZ54" i="160"/>
  <c r="CA54" i="160" s="1"/>
  <c r="BZ53" i="162"/>
  <c r="AX53" i="162"/>
  <c r="AS53" i="162"/>
  <c r="AP54" i="160"/>
  <c r="AS54" i="160" s="1"/>
  <c r="CA47" i="158"/>
  <c r="AX54" i="160"/>
  <c r="BR53" i="163"/>
  <c r="CF53" i="163" s="1"/>
  <c r="BQ53" i="163"/>
  <c r="CE53" i="163" s="1"/>
  <c r="BP53" i="163"/>
  <c r="CD53" i="163" s="1"/>
  <c r="F53" i="162"/>
  <c r="BY53" i="162"/>
  <c r="H53" i="162"/>
  <c r="I53" i="162" s="1"/>
  <c r="J54" i="160"/>
  <c r="Y54" i="160"/>
  <c r="G53" i="163"/>
  <c r="AY53" i="162"/>
  <c r="BC53" i="162" s="1"/>
  <c r="R53" i="162"/>
  <c r="S53" i="162" s="1"/>
  <c r="W53" i="162" s="1"/>
  <c r="BX53" i="162"/>
  <c r="P53" i="162"/>
  <c r="Q53" i="162" s="1"/>
  <c r="AK54" i="160"/>
  <c r="BJ54" i="160"/>
  <c r="BK54" i="160" s="1"/>
  <c r="BL54" i="160" s="1"/>
  <c r="CA53" i="162"/>
  <c r="J42" i="79"/>
  <c r="AE53" i="162"/>
  <c r="AF53" i="162" s="1"/>
  <c r="BT53" i="163"/>
  <c r="CH53" i="163" s="1"/>
  <c r="BS53" i="163"/>
  <c r="CG53" i="163" s="1"/>
  <c r="BU53" i="163"/>
  <c r="CI53" i="163" s="1"/>
  <c r="U53" i="162"/>
  <c r="V53" i="162" s="1"/>
  <c r="G53" i="159"/>
  <c r="BK53" i="162"/>
  <c r="BL53" i="162" s="1"/>
  <c r="BA54" i="160"/>
  <c r="BB54" i="160" s="1"/>
  <c r="BS53" i="159"/>
  <c r="CG53" i="159" s="1"/>
  <c r="BT53" i="159"/>
  <c r="CH53" i="159" s="1"/>
  <c r="BU53" i="159"/>
  <c r="CI53" i="159" s="1"/>
  <c r="AV47" i="158"/>
  <c r="AW47" i="158" s="1"/>
  <c r="M53" i="162"/>
  <c r="K53" i="162"/>
  <c r="L53" i="162" s="1"/>
  <c r="T54" i="160"/>
  <c r="U54" i="160" s="1"/>
  <c r="V54" i="160" s="1"/>
  <c r="BI53" i="162"/>
  <c r="BM53" i="162" s="1"/>
  <c r="Z53" i="162"/>
  <c r="AA53" i="162" s="1"/>
  <c r="AB53" i="162"/>
  <c r="AC53" i="162" s="1"/>
  <c r="AG53" i="162" s="1"/>
  <c r="BW53" i="162"/>
  <c r="BU53" i="162" s="1"/>
  <c r="CI53" i="162" s="1"/>
  <c r="E54" i="160"/>
  <c r="CB53" i="162"/>
  <c r="BP53" i="162" s="1"/>
  <c r="CD53" i="162" s="1"/>
  <c r="AD54" i="160"/>
  <c r="AN47" i="158"/>
  <c r="AO47" i="158" s="1"/>
  <c r="AS47" i="158" s="1"/>
  <c r="BZ47" i="158"/>
  <c r="BH47" i="158"/>
  <c r="BI47" i="158" s="1"/>
  <c r="BM47" i="158" s="1"/>
  <c r="CB47" i="158"/>
  <c r="T47" i="158"/>
  <c r="Y47" i="158"/>
  <c r="G36" i="79" s="1"/>
  <c r="J47" i="158"/>
  <c r="AQ47" i="158"/>
  <c r="AR47" i="158" s="1"/>
  <c r="AD47" i="158"/>
  <c r="K36" i="79" s="1"/>
  <c r="O47" i="158"/>
  <c r="H36" i="79" s="1"/>
  <c r="E47" i="158"/>
  <c r="E36" i="79" s="1"/>
  <c r="AY54" i="160" l="1"/>
  <c r="BC54" i="160" s="1"/>
  <c r="BQ53" i="162"/>
  <c r="CE53" i="162" s="1"/>
  <c r="CV53" i="163"/>
  <c r="CQ53" i="163"/>
  <c r="CR53" i="163"/>
  <c r="CP53" i="163"/>
  <c r="CK53" i="163"/>
  <c r="CN53" i="163"/>
  <c r="CL53" i="163"/>
  <c r="CO53" i="163"/>
  <c r="CM53" i="163"/>
  <c r="CT53" i="163"/>
  <c r="CU53" i="163"/>
  <c r="CZ53" i="163"/>
  <c r="CS53" i="163"/>
  <c r="CX53" i="163"/>
  <c r="CY53" i="163"/>
  <c r="CW53" i="163"/>
  <c r="CP53" i="159"/>
  <c r="CK53" i="159"/>
  <c r="CL53" i="159"/>
  <c r="CN53" i="159"/>
  <c r="CM53" i="159"/>
  <c r="CO53" i="159"/>
  <c r="CR53" i="159"/>
  <c r="CQ53" i="159"/>
  <c r="CS53" i="159"/>
  <c r="CU53" i="159"/>
  <c r="CT53" i="159"/>
  <c r="CW53" i="159"/>
  <c r="CV53" i="159"/>
  <c r="CY53" i="159"/>
  <c r="CX53" i="159"/>
  <c r="CZ53" i="159"/>
  <c r="L36" i="79"/>
  <c r="AP54" i="159"/>
  <c r="AQ54" i="159" s="1"/>
  <c r="AR54" i="159" s="1"/>
  <c r="I36" i="79"/>
  <c r="AQ54" i="160"/>
  <c r="AR54" i="160" s="1"/>
  <c r="P54" i="160"/>
  <c r="Q54" i="160" s="1"/>
  <c r="BF54" i="160"/>
  <c r="BG54" i="160" s="1"/>
  <c r="T54" i="163"/>
  <c r="U54" i="163" s="1"/>
  <c r="V54" i="163" s="1"/>
  <c r="AZ54" i="163"/>
  <c r="BA54" i="163" s="1"/>
  <c r="BB54" i="163" s="1"/>
  <c r="BR53" i="162"/>
  <c r="CF53" i="162" s="1"/>
  <c r="BE54" i="163"/>
  <c r="BF54" i="163" s="1"/>
  <c r="BG54" i="163" s="1"/>
  <c r="O54" i="163"/>
  <c r="R54" i="163" s="1"/>
  <c r="BJ54" i="159"/>
  <c r="BE54" i="159"/>
  <c r="AU54" i="159"/>
  <c r="E54" i="163"/>
  <c r="Y54" i="163"/>
  <c r="J54" i="163"/>
  <c r="BX54" i="160"/>
  <c r="AK54" i="163"/>
  <c r="BJ54" i="163"/>
  <c r="AP54" i="163"/>
  <c r="AB54" i="160"/>
  <c r="AC54" i="160" s="1"/>
  <c r="AG54" i="160" s="1"/>
  <c r="BW54" i="160"/>
  <c r="BU54" i="160" s="1"/>
  <c r="CI54" i="160" s="1"/>
  <c r="Z54" i="160"/>
  <c r="AA54" i="160" s="1"/>
  <c r="T54" i="159"/>
  <c r="J54" i="159"/>
  <c r="AD54" i="159"/>
  <c r="E54" i="159"/>
  <c r="Y54" i="159"/>
  <c r="O54" i="159"/>
  <c r="S54" i="160"/>
  <c r="W54" i="160" s="1"/>
  <c r="G53" i="162"/>
  <c r="BZ54" i="160"/>
  <c r="AN54" i="160"/>
  <c r="AO54" i="160" s="1"/>
  <c r="AL54" i="160"/>
  <c r="CB54" i="160"/>
  <c r="BP54" i="160" s="1"/>
  <c r="CD54" i="160" s="1"/>
  <c r="M54" i="160"/>
  <c r="K54" i="160"/>
  <c r="L54" i="160" s="1"/>
  <c r="AE54" i="160"/>
  <c r="AF54" i="160" s="1"/>
  <c r="AD54" i="163"/>
  <c r="AK54" i="159"/>
  <c r="BI54" i="160"/>
  <c r="BM54" i="160" s="1"/>
  <c r="F54" i="160"/>
  <c r="H54" i="160"/>
  <c r="I54" i="160" s="1"/>
  <c r="BY54" i="160"/>
  <c r="AZ54" i="159"/>
  <c r="AU54" i="163"/>
  <c r="BT53" i="162"/>
  <c r="CH53" i="162" s="1"/>
  <c r="BS53" i="162"/>
  <c r="CG53" i="162" s="1"/>
  <c r="BP47" i="158"/>
  <c r="CD47" i="158" s="1"/>
  <c r="BQ47" i="158"/>
  <c r="CE47" i="158" s="1"/>
  <c r="BR47" i="158"/>
  <c r="CF47" i="158" s="1"/>
  <c r="P47" i="158"/>
  <c r="Q47" i="158" s="1"/>
  <c r="R47" i="158"/>
  <c r="S47" i="158" s="1"/>
  <c r="W47" i="158" s="1"/>
  <c r="BX47" i="158"/>
  <c r="K47" i="158"/>
  <c r="L47" i="158" s="1"/>
  <c r="AE47" i="158"/>
  <c r="AF47" i="158" s="1"/>
  <c r="Z47" i="158"/>
  <c r="AA47" i="158" s="1"/>
  <c r="AB47" i="158"/>
  <c r="AC47" i="158" s="1"/>
  <c r="AG47" i="158" s="1"/>
  <c r="BW47" i="158"/>
  <c r="F47" i="158"/>
  <c r="BY47" i="158"/>
  <c r="H47" i="158"/>
  <c r="I47" i="158" s="1"/>
  <c r="M47" i="158" s="1"/>
  <c r="U47" i="158"/>
  <c r="V47" i="158" s="1"/>
  <c r="CV53" i="162" l="1"/>
  <c r="CY53" i="162"/>
  <c r="CL53" i="162"/>
  <c r="CX53" i="162"/>
  <c r="CK53" i="162"/>
  <c r="CT53" i="162"/>
  <c r="CQ53" i="162"/>
  <c r="T42" i="79" s="1"/>
  <c r="CU53" i="162"/>
  <c r="CR53" i="162"/>
  <c r="U42" i="79" s="1"/>
  <c r="CS53" i="162"/>
  <c r="CM53" i="162"/>
  <c r="CZ53" i="162"/>
  <c r="CN53" i="162"/>
  <c r="CO53" i="162"/>
  <c r="R42" i="79" s="1"/>
  <c r="CP53" i="162"/>
  <c r="S42" i="79" s="1"/>
  <c r="CW53" i="162"/>
  <c r="AZ54" i="162"/>
  <c r="BA54" i="162" s="1"/>
  <c r="BB54" i="162" s="1"/>
  <c r="S54" i="163"/>
  <c r="W54" i="163" s="1"/>
  <c r="AS54" i="159"/>
  <c r="BX54" i="163"/>
  <c r="P54" i="163"/>
  <c r="Q54" i="163" s="1"/>
  <c r="BH54" i="163"/>
  <c r="BI54" i="163" s="1"/>
  <c r="BM54" i="163" s="1"/>
  <c r="O54" i="162"/>
  <c r="E54" i="162"/>
  <c r="T54" i="162"/>
  <c r="AD54" i="162"/>
  <c r="Y54" i="162"/>
  <c r="J54" i="162"/>
  <c r="AB54" i="163"/>
  <c r="AC54" i="163" s="1"/>
  <c r="AG54" i="163" s="1"/>
  <c r="BW54" i="163"/>
  <c r="Z54" i="163"/>
  <c r="AA54" i="163" s="1"/>
  <c r="BR54" i="160"/>
  <c r="CF54" i="160" s="1"/>
  <c r="BQ54" i="160"/>
  <c r="CE54" i="160" s="1"/>
  <c r="P54" i="159"/>
  <c r="Q54" i="159" s="1"/>
  <c r="R54" i="159"/>
  <c r="S54" i="159" s="1"/>
  <c r="W54" i="159" s="1"/>
  <c r="BX54" i="159"/>
  <c r="F54" i="163"/>
  <c r="H54" i="163"/>
  <c r="I54" i="163" s="1"/>
  <c r="BY54" i="163"/>
  <c r="AM54" i="160"/>
  <c r="BW54" i="159"/>
  <c r="AB54" i="159"/>
  <c r="AC54" i="159" s="1"/>
  <c r="AG54" i="159" s="1"/>
  <c r="Z54" i="159"/>
  <c r="AA54" i="159" s="1"/>
  <c r="AV54" i="159"/>
  <c r="AW54" i="159" s="1"/>
  <c r="AX54" i="159"/>
  <c r="AY54" i="159" s="1"/>
  <c r="BC54" i="159" s="1"/>
  <c r="CA54" i="159"/>
  <c r="F54" i="159"/>
  <c r="BY54" i="159"/>
  <c r="H54" i="159"/>
  <c r="I54" i="159" s="1"/>
  <c r="AS54" i="163"/>
  <c r="AQ54" i="163"/>
  <c r="AR54" i="163" s="1"/>
  <c r="BH54" i="159"/>
  <c r="BI54" i="159" s="1"/>
  <c r="BM54" i="159" s="1"/>
  <c r="CB54" i="159"/>
  <c r="BF54" i="159"/>
  <c r="BG54" i="159" s="1"/>
  <c r="G54" i="160"/>
  <c r="AP54" i="162"/>
  <c r="AE54" i="159"/>
  <c r="AF54" i="159" s="1"/>
  <c r="BK54" i="163"/>
  <c r="BL54" i="163" s="1"/>
  <c r="BK54" i="159"/>
  <c r="BL54" i="159" s="1"/>
  <c r="M54" i="163"/>
  <c r="K54" i="163"/>
  <c r="L54" i="163" s="1"/>
  <c r="CA54" i="163"/>
  <c r="AX54" i="163"/>
  <c r="AY54" i="163" s="1"/>
  <c r="BC54" i="163" s="1"/>
  <c r="AV54" i="163"/>
  <c r="AW54" i="163" s="1"/>
  <c r="BJ54" i="162"/>
  <c r="AE54" i="163"/>
  <c r="AF54" i="163" s="1"/>
  <c r="AK54" i="162"/>
  <c r="M54" i="159"/>
  <c r="K54" i="159"/>
  <c r="L54" i="159" s="1"/>
  <c r="AN54" i="163"/>
  <c r="AO54" i="163" s="1"/>
  <c r="AL54" i="163"/>
  <c r="BZ54" i="163"/>
  <c r="CB54" i="163"/>
  <c r="AL54" i="159"/>
  <c r="AM54" i="159" s="1"/>
  <c r="AN54" i="159"/>
  <c r="AO54" i="159" s="1"/>
  <c r="BZ54" i="159"/>
  <c r="BA54" i="159"/>
  <c r="BB54" i="159" s="1"/>
  <c r="BE54" i="162"/>
  <c r="BT54" i="160"/>
  <c r="CH54" i="160" s="1"/>
  <c r="BS54" i="160"/>
  <c r="CG54" i="160" s="1"/>
  <c r="AU54" i="162"/>
  <c r="U54" i="159"/>
  <c r="V54" i="159" s="1"/>
  <c r="BS47" i="158"/>
  <c r="CG47" i="158" s="1"/>
  <c r="BU47" i="158"/>
  <c r="CI47" i="158" s="1"/>
  <c r="BT47" i="158"/>
  <c r="CH47" i="158" s="1"/>
  <c r="G47" i="158"/>
  <c r="AZ48" i="158" s="1"/>
  <c r="CT47" i="158" l="1"/>
  <c r="W36" i="79" s="1"/>
  <c r="CV54" i="160"/>
  <c r="CU47" i="158"/>
  <c r="X36" i="79" s="1"/>
  <c r="CQ47" i="158"/>
  <c r="CK54" i="160"/>
  <c r="CU54" i="160"/>
  <c r="CL47" i="158"/>
  <c r="O36" i="79" s="1"/>
  <c r="CW47" i="158"/>
  <c r="Z36" i="79" s="1"/>
  <c r="CO54" i="160"/>
  <c r="CP54" i="160"/>
  <c r="CR47" i="158"/>
  <c r="CS47" i="158"/>
  <c r="V36" i="79" s="1"/>
  <c r="CX54" i="160"/>
  <c r="CM54" i="160"/>
  <c r="CP47" i="158"/>
  <c r="CY47" i="158"/>
  <c r="AB36" i="79" s="1"/>
  <c r="CW54" i="160"/>
  <c r="CN54" i="160"/>
  <c r="CN47" i="158"/>
  <c r="Q36" i="79" s="1"/>
  <c r="CX47" i="158"/>
  <c r="AA36" i="79" s="1"/>
  <c r="CY54" i="160"/>
  <c r="CL54" i="160"/>
  <c r="CO47" i="158"/>
  <c r="CZ47" i="158"/>
  <c r="AC36" i="79" s="1"/>
  <c r="CT54" i="160"/>
  <c r="CQ54" i="160"/>
  <c r="CM47" i="158"/>
  <c r="P36" i="79" s="1"/>
  <c r="CV47" i="158"/>
  <c r="Y36" i="79" s="1"/>
  <c r="CS54" i="160"/>
  <c r="CR54" i="160"/>
  <c r="CK47" i="158"/>
  <c r="N36" i="79" s="1"/>
  <c r="CZ54" i="160"/>
  <c r="AZ55" i="160"/>
  <c r="AP55" i="160"/>
  <c r="AS55" i="160" s="1"/>
  <c r="BE55" i="160"/>
  <c r="BF55" i="160" s="1"/>
  <c r="BG55" i="160" s="1"/>
  <c r="AU55" i="160"/>
  <c r="AX55" i="160" s="1"/>
  <c r="BJ55" i="160"/>
  <c r="AK55" i="160"/>
  <c r="AL55" i="160" s="1"/>
  <c r="AM55" i="160" s="1"/>
  <c r="F43" i="79"/>
  <c r="O55" i="160"/>
  <c r="R55" i="160" s="1"/>
  <c r="AD55" i="160"/>
  <c r="AE55" i="160" s="1"/>
  <c r="AF55" i="160" s="1"/>
  <c r="AN54" i="162"/>
  <c r="AO54" i="162" s="1"/>
  <c r="BZ54" i="162"/>
  <c r="AL54" i="162"/>
  <c r="AM54" i="162" s="1"/>
  <c r="AQ55" i="160"/>
  <c r="AR55" i="160" s="1"/>
  <c r="T55" i="160"/>
  <c r="K54" i="162"/>
  <c r="L54" i="162" s="1"/>
  <c r="M54" i="162"/>
  <c r="BW54" i="162"/>
  <c r="BU54" i="162" s="1"/>
  <c r="CI54" i="162" s="1"/>
  <c r="AB54" i="162"/>
  <c r="AC54" i="162" s="1"/>
  <c r="AG54" i="162" s="1"/>
  <c r="Z54" i="162"/>
  <c r="AA54" i="162" s="1"/>
  <c r="G54" i="159"/>
  <c r="AV54" i="162"/>
  <c r="AW54" i="162" s="1"/>
  <c r="AX54" i="162"/>
  <c r="AY54" i="162" s="1"/>
  <c r="BC54" i="162" s="1"/>
  <c r="CA54" i="162"/>
  <c r="AM54" i="163"/>
  <c r="AS54" i="162"/>
  <c r="AQ54" i="162"/>
  <c r="AR54" i="162" s="1"/>
  <c r="BU54" i="163"/>
  <c r="CI54" i="163" s="1"/>
  <c r="BT54" i="163"/>
  <c r="CH54" i="163" s="1"/>
  <c r="BS54" i="163"/>
  <c r="CG54" i="163" s="1"/>
  <c r="J43" i="79"/>
  <c r="AE54" i="162"/>
  <c r="AF54" i="162" s="1"/>
  <c r="BR54" i="163"/>
  <c r="CF54" i="163" s="1"/>
  <c r="BQ54" i="163"/>
  <c r="CE54" i="163" s="1"/>
  <c r="BP54" i="163"/>
  <c r="CD54" i="163" s="1"/>
  <c r="E55" i="160"/>
  <c r="U54" i="162"/>
  <c r="V54" i="162" s="1"/>
  <c r="BA55" i="160"/>
  <c r="BB55" i="160" s="1"/>
  <c r="BP54" i="159"/>
  <c r="CD54" i="159" s="1"/>
  <c r="BQ54" i="159"/>
  <c r="CE54" i="159" s="1"/>
  <c r="BR54" i="159"/>
  <c r="CF54" i="159" s="1"/>
  <c r="J55" i="160"/>
  <c r="G54" i="163"/>
  <c r="H54" i="162"/>
  <c r="I54" i="162" s="1"/>
  <c r="BY54" i="162"/>
  <c r="F54" i="162"/>
  <c r="G54" i="162" s="1"/>
  <c r="BH54" i="162"/>
  <c r="BI54" i="162" s="1"/>
  <c r="BM54" i="162" s="1"/>
  <c r="BF54" i="162"/>
  <c r="BG54" i="162" s="1"/>
  <c r="CB54" i="162"/>
  <c r="BP54" i="162" s="1"/>
  <c r="CD54" i="162" s="1"/>
  <c r="BK54" i="162"/>
  <c r="BL54" i="162" s="1"/>
  <c r="Y55" i="160"/>
  <c r="BS54" i="159"/>
  <c r="CG54" i="159" s="1"/>
  <c r="BU54" i="159"/>
  <c r="CI54" i="159" s="1"/>
  <c r="BT54" i="159"/>
  <c r="CH54" i="159" s="1"/>
  <c r="BX54" i="162"/>
  <c r="R54" i="162"/>
  <c r="S54" i="162" s="1"/>
  <c r="W54" i="162" s="1"/>
  <c r="P54" i="162"/>
  <c r="Q54" i="162" s="1"/>
  <c r="AU48" i="158"/>
  <c r="AX48" i="158" s="1"/>
  <c r="AY48" i="158" s="1"/>
  <c r="BC48" i="158" s="1"/>
  <c r="AK48" i="158"/>
  <c r="AN48" i="158" s="1"/>
  <c r="BJ48" i="158"/>
  <c r="BK48" i="158" s="1"/>
  <c r="BL48" i="158" s="1"/>
  <c r="BE48" i="158"/>
  <c r="BH48" i="158" s="1"/>
  <c r="BA48" i="158"/>
  <c r="BB48" i="158" s="1"/>
  <c r="AP48" i="158"/>
  <c r="Y48" i="158"/>
  <c r="AY55" i="160" l="1"/>
  <c r="BC55" i="160" s="1"/>
  <c r="AV55" i="160"/>
  <c r="AW55" i="160" s="1"/>
  <c r="CA55" i="160"/>
  <c r="CB55" i="160"/>
  <c r="BP55" i="160" s="1"/>
  <c r="CD55" i="160" s="1"/>
  <c r="CO54" i="159"/>
  <c r="CM54" i="159"/>
  <c r="CQ54" i="159"/>
  <c r="CN54" i="159"/>
  <c r="CL54" i="159"/>
  <c r="CS54" i="159"/>
  <c r="CP54" i="159"/>
  <c r="CK54" i="159"/>
  <c r="CR54" i="159"/>
  <c r="CV54" i="159"/>
  <c r="CT54" i="159"/>
  <c r="CW54" i="159"/>
  <c r="CU54" i="159"/>
  <c r="CZ54" i="159"/>
  <c r="CY54" i="159"/>
  <c r="CX54" i="159"/>
  <c r="CM54" i="163"/>
  <c r="CL54" i="163"/>
  <c r="CK54" i="163"/>
  <c r="CN54" i="163"/>
  <c r="CR54" i="163"/>
  <c r="CQ54" i="163"/>
  <c r="CO54" i="163"/>
  <c r="CP54" i="163"/>
  <c r="CV54" i="163"/>
  <c r="CU54" i="163"/>
  <c r="CS54" i="163"/>
  <c r="CT54" i="163"/>
  <c r="CZ54" i="163"/>
  <c r="CY54" i="163"/>
  <c r="CX54" i="163"/>
  <c r="CW54" i="163"/>
  <c r="BH55" i="160"/>
  <c r="BI55" i="160" s="1"/>
  <c r="BM55" i="160" s="1"/>
  <c r="BZ55" i="160"/>
  <c r="BK55" i="160"/>
  <c r="BL55" i="160" s="1"/>
  <c r="AN55" i="160"/>
  <c r="AO55" i="160" s="1"/>
  <c r="G37" i="79"/>
  <c r="P55" i="160"/>
  <c r="Q55" i="160" s="1"/>
  <c r="Y55" i="163"/>
  <c r="CA48" i="158"/>
  <c r="AP55" i="159"/>
  <c r="AQ55" i="159" s="1"/>
  <c r="AR55" i="159" s="1"/>
  <c r="AZ55" i="159"/>
  <c r="BA55" i="159" s="1"/>
  <c r="BB55" i="159" s="1"/>
  <c r="BI48" i="158"/>
  <c r="BM48" i="158" s="1"/>
  <c r="T55" i="159"/>
  <c r="U55" i="159" s="1"/>
  <c r="V55" i="159" s="1"/>
  <c r="E55" i="163"/>
  <c r="J55" i="163"/>
  <c r="K55" i="163" s="1"/>
  <c r="L55" i="163" s="1"/>
  <c r="BJ55" i="163"/>
  <c r="AU55" i="163"/>
  <c r="AK55" i="163"/>
  <c r="AP55" i="163"/>
  <c r="AV48" i="158"/>
  <c r="AW48" i="158" s="1"/>
  <c r="K55" i="160"/>
  <c r="L55" i="160" s="1"/>
  <c r="M55" i="160"/>
  <c r="J55" i="159"/>
  <c r="Y55" i="159"/>
  <c r="BJ55" i="159"/>
  <c r="AD55" i="159"/>
  <c r="BQ55" i="160"/>
  <c r="CE55" i="160" s="1"/>
  <c r="AL48" i="158"/>
  <c r="AM48" i="158" s="1"/>
  <c r="BT54" i="162"/>
  <c r="CH54" i="162" s="1"/>
  <c r="BS54" i="162"/>
  <c r="CG54" i="162" s="1"/>
  <c r="E55" i="159"/>
  <c r="T55" i="163"/>
  <c r="AB55" i="160"/>
  <c r="AC55" i="160" s="1"/>
  <c r="AG55" i="160" s="1"/>
  <c r="BW55" i="160"/>
  <c r="BU55" i="160" s="1"/>
  <c r="CI55" i="160" s="1"/>
  <c r="Z55" i="160"/>
  <c r="AA55" i="160" s="1"/>
  <c r="BE55" i="159"/>
  <c r="O55" i="163"/>
  <c r="U55" i="160"/>
  <c r="V55" i="160" s="1"/>
  <c r="Z55" i="163"/>
  <c r="AA55" i="163" s="1"/>
  <c r="AB55" i="163"/>
  <c r="BY55" i="160"/>
  <c r="F55" i="160"/>
  <c r="H55" i="160"/>
  <c r="I55" i="160" s="1"/>
  <c r="AD55" i="163"/>
  <c r="AU55" i="159"/>
  <c r="BR54" i="162"/>
  <c r="CF54" i="162" s="1"/>
  <c r="BQ54" i="162"/>
  <c r="S55" i="160"/>
  <c r="W55" i="160" s="1"/>
  <c r="O55" i="159"/>
  <c r="AZ55" i="163"/>
  <c r="BA55" i="163" s="1"/>
  <c r="BB55" i="163" s="1"/>
  <c r="AK55" i="159"/>
  <c r="BX55" i="160"/>
  <c r="BZ48" i="158"/>
  <c r="BE55" i="163"/>
  <c r="CB48" i="158"/>
  <c r="BF48" i="158"/>
  <c r="BG48" i="158" s="1"/>
  <c r="AO48" i="158"/>
  <c r="AS48" i="158" s="1"/>
  <c r="AB48" i="158"/>
  <c r="Z48" i="158"/>
  <c r="AA48" i="158" s="1"/>
  <c r="O48" i="158"/>
  <c r="H37" i="79" s="1"/>
  <c r="T48" i="158"/>
  <c r="AD48" i="158"/>
  <c r="E48" i="158"/>
  <c r="E37" i="79" s="1"/>
  <c r="J48" i="158"/>
  <c r="AQ48" i="158"/>
  <c r="AR48" i="158" s="1"/>
  <c r="BR55" i="160" l="1"/>
  <c r="CF55" i="160" s="1"/>
  <c r="AZ55" i="162"/>
  <c r="BA55" i="162" s="1"/>
  <c r="BB55" i="162" s="1"/>
  <c r="CE54" i="162"/>
  <c r="BP48" i="158"/>
  <c r="CD48" i="158" s="1"/>
  <c r="Y55" i="162"/>
  <c r="Z55" i="162" s="1"/>
  <c r="AA55" i="162" s="1"/>
  <c r="J55" i="162"/>
  <c r="M55" i="162" s="1"/>
  <c r="T55" i="162"/>
  <c r="U55" i="162" s="1"/>
  <c r="V55" i="162" s="1"/>
  <c r="AP55" i="162"/>
  <c r="AS55" i="162" s="1"/>
  <c r="BT55" i="160"/>
  <c r="CH55" i="160" s="1"/>
  <c r="AS55" i="159"/>
  <c r="I37" i="79"/>
  <c r="BY55" i="163"/>
  <c r="M55" i="163"/>
  <c r="F55" i="163"/>
  <c r="G55" i="163" s="1"/>
  <c r="AD55" i="162"/>
  <c r="AC55" i="163"/>
  <c r="AG55" i="163" s="1"/>
  <c r="H55" i="163"/>
  <c r="I55" i="163" s="1"/>
  <c r="BH55" i="163"/>
  <c r="BI55" i="163" s="1"/>
  <c r="BM55" i="163" s="1"/>
  <c r="BF55" i="163"/>
  <c r="BG55" i="163" s="1"/>
  <c r="CB55" i="163"/>
  <c r="BS55" i="160"/>
  <c r="CG55" i="160" s="1"/>
  <c r="AB55" i="162"/>
  <c r="AK55" i="162"/>
  <c r="M55" i="159"/>
  <c r="K55" i="159"/>
  <c r="L55" i="159" s="1"/>
  <c r="AQ55" i="163"/>
  <c r="AR55" i="163" s="1"/>
  <c r="AS55" i="163"/>
  <c r="R55" i="163"/>
  <c r="S55" i="163" s="1"/>
  <c r="W55" i="163" s="1"/>
  <c r="BX55" i="163"/>
  <c r="P55" i="163"/>
  <c r="Q55" i="163" s="1"/>
  <c r="U55" i="163"/>
  <c r="V55" i="163" s="1"/>
  <c r="O55" i="162"/>
  <c r="AL55" i="163"/>
  <c r="BZ55" i="163"/>
  <c r="AN55" i="163"/>
  <c r="AO55" i="163" s="1"/>
  <c r="AB55" i="159"/>
  <c r="AC55" i="159" s="1"/>
  <c r="AG55" i="159" s="1"/>
  <c r="Z55" i="159"/>
  <c r="AA55" i="159" s="1"/>
  <c r="BW55" i="159"/>
  <c r="CB55" i="159"/>
  <c r="BH55" i="159"/>
  <c r="BI55" i="159" s="1"/>
  <c r="BM55" i="159" s="1"/>
  <c r="BF55" i="159"/>
  <c r="BG55" i="159" s="1"/>
  <c r="BY55" i="159"/>
  <c r="F55" i="159"/>
  <c r="H55" i="159"/>
  <c r="I55" i="159" s="1"/>
  <c r="AE55" i="159"/>
  <c r="AF55" i="159" s="1"/>
  <c r="AV55" i="163"/>
  <c r="AW55" i="163" s="1"/>
  <c r="AX55" i="163"/>
  <c r="AY55" i="163" s="1"/>
  <c r="BC55" i="163" s="1"/>
  <c r="CA55" i="163"/>
  <c r="CA55" i="159"/>
  <c r="AX55" i="159"/>
  <c r="AY55" i="159" s="1"/>
  <c r="BC55" i="159" s="1"/>
  <c r="AV55" i="159"/>
  <c r="AW55" i="159" s="1"/>
  <c r="BK55" i="159"/>
  <c r="BL55" i="159" s="1"/>
  <c r="BK55" i="163"/>
  <c r="BL55" i="163" s="1"/>
  <c r="BR48" i="158"/>
  <c r="CF48" i="158" s="1"/>
  <c r="AU55" i="162"/>
  <c r="BZ55" i="159"/>
  <c r="AN55" i="159"/>
  <c r="AO55" i="159" s="1"/>
  <c r="AL55" i="159"/>
  <c r="AE55" i="163"/>
  <c r="AF55" i="163" s="1"/>
  <c r="BW55" i="163"/>
  <c r="G55" i="160"/>
  <c r="AU56" i="160" s="1"/>
  <c r="BW48" i="158"/>
  <c r="K37" i="79"/>
  <c r="BQ48" i="158"/>
  <c r="CE48" i="158" s="1"/>
  <c r="BE55" i="162"/>
  <c r="F44" i="79" s="1"/>
  <c r="BJ55" i="162"/>
  <c r="P55" i="159"/>
  <c r="Q55" i="159" s="1"/>
  <c r="R55" i="159"/>
  <c r="S55" i="159" s="1"/>
  <c r="W55" i="159" s="1"/>
  <c r="BX55" i="159"/>
  <c r="E55" i="162"/>
  <c r="F48" i="158"/>
  <c r="BY48" i="158"/>
  <c r="H48" i="158"/>
  <c r="I48" i="158" s="1"/>
  <c r="M48" i="158" s="1"/>
  <c r="U48" i="158"/>
  <c r="V48" i="158" s="1"/>
  <c r="R48" i="158"/>
  <c r="S48" i="158" s="1"/>
  <c r="W48" i="158" s="1"/>
  <c r="BX48" i="158"/>
  <c r="P48" i="158"/>
  <c r="Q48" i="158" s="1"/>
  <c r="AE48" i="158"/>
  <c r="AF48" i="158" s="1"/>
  <c r="AC48" i="158"/>
  <c r="AG48" i="158" s="1"/>
  <c r="K48" i="158"/>
  <c r="L48" i="158" s="1"/>
  <c r="BW55" i="162" l="1"/>
  <c r="BU55" i="162" s="1"/>
  <c r="CI55" i="162" s="1"/>
  <c r="AE55" i="162"/>
  <c r="AF55" i="162" s="1"/>
  <c r="J44" i="79"/>
  <c r="AC55" i="162"/>
  <c r="AG55" i="162" s="1"/>
  <c r="CR55" i="160"/>
  <c r="AQ55" i="162"/>
  <c r="AR55" i="162" s="1"/>
  <c r="CX55" i="160"/>
  <c r="CY55" i="160"/>
  <c r="CQ55" i="160"/>
  <c r="CM55" i="160"/>
  <c r="CK55" i="160"/>
  <c r="CT55" i="160"/>
  <c r="CV54" i="162"/>
  <c r="CU54" i="162"/>
  <c r="CR54" i="162"/>
  <c r="U43" i="79" s="1"/>
  <c r="CY54" i="162"/>
  <c r="CO54" i="162"/>
  <c r="R43" i="79" s="1"/>
  <c r="CX54" i="162"/>
  <c r="CZ54" i="162"/>
  <c r="CW54" i="162"/>
  <c r="CN54" i="162"/>
  <c r="CM54" i="162"/>
  <c r="CP54" i="162"/>
  <c r="S43" i="79" s="1"/>
  <c r="CK54" i="162"/>
  <c r="CL54" i="162"/>
  <c r="CS54" i="162"/>
  <c r="CQ54" i="162"/>
  <c r="T43" i="79" s="1"/>
  <c r="CT54" i="162"/>
  <c r="CU55" i="160"/>
  <c r="CS55" i="160"/>
  <c r="CO55" i="160"/>
  <c r="CL55" i="160"/>
  <c r="CW55" i="160"/>
  <c r="CN55" i="160"/>
  <c r="CZ55" i="160"/>
  <c r="CV55" i="160"/>
  <c r="CP55" i="160"/>
  <c r="L37" i="79"/>
  <c r="BS55" i="163"/>
  <c r="CG55" i="163" s="1"/>
  <c r="K55" i="162"/>
  <c r="L55" i="162" s="1"/>
  <c r="BT55" i="163"/>
  <c r="CH55" i="163" s="1"/>
  <c r="BU55" i="163"/>
  <c r="CI55" i="163" s="1"/>
  <c r="AZ56" i="160"/>
  <c r="CA56" i="160" s="1"/>
  <c r="AK56" i="160"/>
  <c r="AN56" i="160" s="1"/>
  <c r="AP56" i="160"/>
  <c r="AQ56" i="160" s="1"/>
  <c r="AR56" i="160" s="1"/>
  <c r="BE56" i="160"/>
  <c r="BH56" i="160" s="1"/>
  <c r="BJ56" i="160"/>
  <c r="BK56" i="160" s="1"/>
  <c r="BL56" i="160" s="1"/>
  <c r="AX56" i="160"/>
  <c r="AV56" i="160"/>
  <c r="AW56" i="160" s="1"/>
  <c r="AV55" i="162"/>
  <c r="AW55" i="162" s="1"/>
  <c r="CA55" i="162"/>
  <c r="AX55" i="162"/>
  <c r="AY55" i="162" s="1"/>
  <c r="BC55" i="162" s="1"/>
  <c r="AN55" i="162"/>
  <c r="AO55" i="162" s="1"/>
  <c r="BZ55" i="162"/>
  <c r="AL55" i="162"/>
  <c r="BR55" i="159"/>
  <c r="CF55" i="159" s="1"/>
  <c r="BQ55" i="159"/>
  <c r="CE55" i="159" s="1"/>
  <c r="BP55" i="159"/>
  <c r="CD55" i="159" s="1"/>
  <c r="BR55" i="163"/>
  <c r="CF55" i="163" s="1"/>
  <c r="BQ55" i="163"/>
  <c r="CE55" i="163" s="1"/>
  <c r="BP55" i="163"/>
  <c r="CD55" i="163" s="1"/>
  <c r="CB55" i="162"/>
  <c r="BP55" i="162" s="1"/>
  <c r="CD55" i="162" s="1"/>
  <c r="BF55" i="162"/>
  <c r="BG55" i="162" s="1"/>
  <c r="BH55" i="162"/>
  <c r="BI55" i="162" s="1"/>
  <c r="BM55" i="162" s="1"/>
  <c r="AM55" i="163"/>
  <c r="R55" i="162"/>
  <c r="S55" i="162" s="1"/>
  <c r="W55" i="162" s="1"/>
  <c r="P55" i="162"/>
  <c r="Q55" i="162" s="1"/>
  <c r="BX55" i="162"/>
  <c r="AM55" i="159"/>
  <c r="G55" i="159"/>
  <c r="BK55" i="162"/>
  <c r="BL55" i="162" s="1"/>
  <c r="H55" i="162"/>
  <c r="I55" i="162" s="1"/>
  <c r="F55" i="162"/>
  <c r="BY55" i="162"/>
  <c r="BS55" i="159"/>
  <c r="CG55" i="159" s="1"/>
  <c r="BU55" i="159"/>
  <c r="CI55" i="159" s="1"/>
  <c r="BT55" i="159"/>
  <c r="CH55" i="159" s="1"/>
  <c r="T56" i="160"/>
  <c r="E56" i="160"/>
  <c r="O56" i="160"/>
  <c r="J56" i="160"/>
  <c r="Y56" i="160"/>
  <c r="AD56" i="160"/>
  <c r="BS48" i="158"/>
  <c r="CG48" i="158" s="1"/>
  <c r="BT48" i="158"/>
  <c r="CH48" i="158" s="1"/>
  <c r="BU48" i="158"/>
  <c r="CI48" i="158" s="1"/>
  <c r="G48" i="158"/>
  <c r="BE49" i="158" s="1"/>
  <c r="J56" i="163" l="1"/>
  <c r="AK49" i="158"/>
  <c r="CP48" i="158"/>
  <c r="T56" i="163"/>
  <c r="U56" i="163" s="1"/>
  <c r="V56" i="163" s="1"/>
  <c r="Y56" i="163"/>
  <c r="CN48" i="158"/>
  <c r="Q37" i="79" s="1"/>
  <c r="CT48" i="158"/>
  <c r="W37" i="79" s="1"/>
  <c r="CO55" i="159"/>
  <c r="CS55" i="159"/>
  <c r="CQ55" i="159"/>
  <c r="CK55" i="159"/>
  <c r="CM55" i="159"/>
  <c r="CP55" i="159"/>
  <c r="CL55" i="159"/>
  <c r="CN55" i="159"/>
  <c r="CR55" i="159"/>
  <c r="CT55" i="159"/>
  <c r="CW55" i="159"/>
  <c r="CV55" i="159"/>
  <c r="CU55" i="159"/>
  <c r="CY55" i="159"/>
  <c r="CX55" i="159"/>
  <c r="CZ55" i="159"/>
  <c r="CM48" i="158"/>
  <c r="P37" i="79" s="1"/>
  <c r="CS48" i="158"/>
  <c r="V37" i="79" s="1"/>
  <c r="CO55" i="163"/>
  <c r="CO48" i="158"/>
  <c r="CZ48" i="158"/>
  <c r="AC37" i="79" s="1"/>
  <c r="CL48" i="158"/>
  <c r="O37" i="79" s="1"/>
  <c r="CY48" i="158"/>
  <c r="AB37" i="79" s="1"/>
  <c r="CR48" i="158"/>
  <c r="CV48" i="158"/>
  <c r="Y37" i="79" s="1"/>
  <c r="CQ48" i="158"/>
  <c r="CX48" i="158"/>
  <c r="AA37" i="79" s="1"/>
  <c r="CL55" i="163"/>
  <c r="CV55" i="163"/>
  <c r="CK55" i="163"/>
  <c r="CN55" i="163"/>
  <c r="CQ55" i="163"/>
  <c r="CM55" i="163"/>
  <c r="CR55" i="163"/>
  <c r="CP55" i="163"/>
  <c r="CS55" i="163"/>
  <c r="CT55" i="163"/>
  <c r="CU55" i="163"/>
  <c r="CZ55" i="163"/>
  <c r="CY55" i="163"/>
  <c r="CX55" i="163"/>
  <c r="CW55" i="163"/>
  <c r="CU48" i="158"/>
  <c r="X37" i="79" s="1"/>
  <c r="CW48" i="158"/>
  <c r="Z37" i="79" s="1"/>
  <c r="CK48" i="158"/>
  <c r="N37" i="79" s="1"/>
  <c r="AO56" i="160"/>
  <c r="BI56" i="160"/>
  <c r="BM56" i="160" s="1"/>
  <c r="AS56" i="160"/>
  <c r="BF56" i="160"/>
  <c r="BG56" i="160" s="1"/>
  <c r="CB56" i="160"/>
  <c r="BP56" i="160" s="1"/>
  <c r="CD56" i="160" s="1"/>
  <c r="BZ56" i="160"/>
  <c r="BQ56" i="160" s="1"/>
  <c r="CE56" i="160" s="1"/>
  <c r="AP56" i="159"/>
  <c r="AS56" i="159" s="1"/>
  <c r="AY56" i="160"/>
  <c r="BC56" i="160" s="1"/>
  <c r="O56" i="163"/>
  <c r="P56" i="163" s="1"/>
  <c r="Q56" i="163" s="1"/>
  <c r="BA56" i="160"/>
  <c r="BB56" i="160" s="1"/>
  <c r="AL56" i="160"/>
  <c r="AM56" i="160" s="1"/>
  <c r="J56" i="159"/>
  <c r="M56" i="159" s="1"/>
  <c r="AZ56" i="159"/>
  <c r="BA56" i="159" s="1"/>
  <c r="BB56" i="159" s="1"/>
  <c r="AB56" i="163"/>
  <c r="Z56" i="163"/>
  <c r="AA56" i="163" s="1"/>
  <c r="K56" i="163"/>
  <c r="L56" i="163" s="1"/>
  <c r="M56" i="163"/>
  <c r="BW56" i="160"/>
  <c r="BU56" i="160" s="1"/>
  <c r="CI56" i="160" s="1"/>
  <c r="Z56" i="160"/>
  <c r="AA56" i="160" s="1"/>
  <c r="AB56" i="160"/>
  <c r="AC56" i="160" s="1"/>
  <c r="AG56" i="160" s="1"/>
  <c r="E56" i="163"/>
  <c r="AD56" i="163"/>
  <c r="BW56" i="163" s="1"/>
  <c r="AM55" i="162"/>
  <c r="P56" i="160"/>
  <c r="Q56" i="160" s="1"/>
  <c r="BX56" i="160"/>
  <c r="R56" i="160"/>
  <c r="S56" i="160" s="1"/>
  <c r="W56" i="160" s="1"/>
  <c r="BS55" i="162"/>
  <c r="CG55" i="162" s="1"/>
  <c r="BT55" i="162"/>
  <c r="CH55" i="162" s="1"/>
  <c r="BQ55" i="162"/>
  <c r="CE55" i="162" s="1"/>
  <c r="BR55" i="162"/>
  <c r="CF55" i="162" s="1"/>
  <c r="BY56" i="160"/>
  <c r="H56" i="160"/>
  <c r="I56" i="160" s="1"/>
  <c r="F56" i="160"/>
  <c r="G55" i="162"/>
  <c r="AK56" i="159"/>
  <c r="BE56" i="159"/>
  <c r="AU56" i="159"/>
  <c r="BJ56" i="159"/>
  <c r="O56" i="159"/>
  <c r="E56" i="159"/>
  <c r="AD56" i="159"/>
  <c r="AE56" i="160"/>
  <c r="AF56" i="160" s="1"/>
  <c r="M56" i="160"/>
  <c r="K56" i="160"/>
  <c r="L56" i="160" s="1"/>
  <c r="AZ49" i="158"/>
  <c r="BA49" i="158" s="1"/>
  <c r="BB49" i="158" s="1"/>
  <c r="U56" i="160"/>
  <c r="V56" i="160" s="1"/>
  <c r="T56" i="159"/>
  <c r="AU56" i="163"/>
  <c r="BJ56" i="163"/>
  <c r="AZ56" i="163"/>
  <c r="AK56" i="163"/>
  <c r="BE56" i="163"/>
  <c r="AP56" i="163"/>
  <c r="Y56" i="159"/>
  <c r="AU49" i="158"/>
  <c r="BJ49" i="158"/>
  <c r="CB49" i="158" s="1"/>
  <c r="BF49" i="158"/>
  <c r="BG49" i="158" s="1"/>
  <c r="BH49" i="158"/>
  <c r="AP49" i="158"/>
  <c r="BZ49" i="158" s="1"/>
  <c r="AN49" i="158"/>
  <c r="AL49" i="158"/>
  <c r="AM49" i="158" s="1"/>
  <c r="CQ55" i="162" l="1"/>
  <c r="T44" i="79" s="1"/>
  <c r="CT55" i="162"/>
  <c r="CL55" i="162"/>
  <c r="CK55" i="162"/>
  <c r="CU55" i="162"/>
  <c r="CP55" i="162"/>
  <c r="S44" i="79" s="1"/>
  <c r="CM55" i="162"/>
  <c r="CZ55" i="162"/>
  <c r="CV55" i="162"/>
  <c r="CX55" i="162"/>
  <c r="CO55" i="162"/>
  <c r="R44" i="79" s="1"/>
  <c r="CY55" i="162"/>
  <c r="CR55" i="162"/>
  <c r="U44" i="79" s="1"/>
  <c r="CW55" i="162"/>
  <c r="CN55" i="162"/>
  <c r="CS55" i="162"/>
  <c r="BR56" i="160"/>
  <c r="CF56" i="160" s="1"/>
  <c r="K56" i="159"/>
  <c r="L56" i="159" s="1"/>
  <c r="AQ56" i="159"/>
  <c r="AR56" i="159" s="1"/>
  <c r="R56" i="163"/>
  <c r="S56" i="163" s="1"/>
  <c r="W56" i="163" s="1"/>
  <c r="BX56" i="163"/>
  <c r="AD56" i="162"/>
  <c r="AE56" i="162" s="1"/>
  <c r="AF56" i="162" s="1"/>
  <c r="Y56" i="162"/>
  <c r="AB56" i="162" s="1"/>
  <c r="T56" i="162"/>
  <c r="U56" i="162" s="1"/>
  <c r="V56" i="162" s="1"/>
  <c r="CA49" i="158"/>
  <c r="BR49" i="158" s="1"/>
  <c r="CF49" i="158" s="1"/>
  <c r="J56" i="162"/>
  <c r="K56" i="162" s="1"/>
  <c r="L56" i="162" s="1"/>
  <c r="H56" i="159"/>
  <c r="I56" i="159" s="1"/>
  <c r="BY56" i="159"/>
  <c r="F56" i="159"/>
  <c r="BA56" i="163"/>
  <c r="BB56" i="163" s="1"/>
  <c r="AP56" i="162"/>
  <c r="BJ56" i="162"/>
  <c r="BK56" i="162" s="1"/>
  <c r="BL56" i="162" s="1"/>
  <c r="R56" i="159"/>
  <c r="S56" i="159" s="1"/>
  <c r="P56" i="159"/>
  <c r="Q56" i="159" s="1"/>
  <c r="BX56" i="159"/>
  <c r="G56" i="160"/>
  <c r="AU57" i="160" s="1"/>
  <c r="AB56" i="159"/>
  <c r="AC56" i="159" s="1"/>
  <c r="AG56" i="159" s="1"/>
  <c r="Z56" i="159"/>
  <c r="AA56" i="159" s="1"/>
  <c r="BE56" i="162"/>
  <c r="BK56" i="159"/>
  <c r="BL56" i="159" s="1"/>
  <c r="AV49" i="158"/>
  <c r="AW49" i="158" s="1"/>
  <c r="AX49" i="158"/>
  <c r="AY49" i="158" s="1"/>
  <c r="BC49" i="158" s="1"/>
  <c r="AU56" i="162"/>
  <c r="AV56" i="159"/>
  <c r="AW56" i="159" s="1"/>
  <c r="CA56" i="159"/>
  <c r="AX56" i="159"/>
  <c r="AY56" i="159" s="1"/>
  <c r="BC56" i="159" s="1"/>
  <c r="BS56" i="160"/>
  <c r="CG56" i="160" s="1"/>
  <c r="BT56" i="160"/>
  <c r="CH56" i="160" s="1"/>
  <c r="CA56" i="163"/>
  <c r="AV56" i="163"/>
  <c r="AW56" i="163" s="1"/>
  <c r="AX56" i="163"/>
  <c r="AY56" i="163" s="1"/>
  <c r="BC56" i="163" s="1"/>
  <c r="AQ56" i="163"/>
  <c r="AR56" i="163" s="1"/>
  <c r="AS56" i="163"/>
  <c r="CB56" i="159"/>
  <c r="BH56" i="159"/>
  <c r="BI56" i="159" s="1"/>
  <c r="BM56" i="159" s="1"/>
  <c r="BF56" i="159"/>
  <c r="BG56" i="159" s="1"/>
  <c r="E56" i="162"/>
  <c r="O56" i="162"/>
  <c r="BK56" i="163"/>
  <c r="BL56" i="163" s="1"/>
  <c r="U56" i="159"/>
  <c r="V56" i="159" s="1"/>
  <c r="W56" i="159"/>
  <c r="BZ56" i="159"/>
  <c r="AN56" i="159"/>
  <c r="AO56" i="159" s="1"/>
  <c r="AL56" i="159"/>
  <c r="AC56" i="163"/>
  <c r="AG56" i="163" s="1"/>
  <c r="AE56" i="163"/>
  <c r="AF56" i="163" s="1"/>
  <c r="AK56" i="162"/>
  <c r="BW56" i="159"/>
  <c r="AE56" i="159"/>
  <c r="AF56" i="159" s="1"/>
  <c r="BH56" i="163"/>
  <c r="BI56" i="163" s="1"/>
  <c r="BM56" i="163" s="1"/>
  <c r="CB56" i="163"/>
  <c r="BF56" i="163"/>
  <c r="BG56" i="163" s="1"/>
  <c r="AL56" i="163"/>
  <c r="BZ56" i="163"/>
  <c r="AN56" i="163"/>
  <c r="AO56" i="163" s="1"/>
  <c r="AZ56" i="162"/>
  <c r="F56" i="163"/>
  <c r="G56" i="163" s="1"/>
  <c r="BY56" i="163"/>
  <c r="H56" i="163"/>
  <c r="I56" i="163" s="1"/>
  <c r="BK49" i="158"/>
  <c r="BL49" i="158" s="1"/>
  <c r="BI49" i="158"/>
  <c r="BM49" i="158" s="1"/>
  <c r="AO49" i="158"/>
  <c r="AS49" i="158" s="1"/>
  <c r="Y49" i="158"/>
  <c r="G38" i="79" s="1"/>
  <c r="AQ49" i="158"/>
  <c r="AR49" i="158" s="1"/>
  <c r="AD49" i="158"/>
  <c r="K38" i="79" s="1"/>
  <c r="T49" i="158"/>
  <c r="E49" i="158"/>
  <c r="E38" i="79" s="1"/>
  <c r="O49" i="158"/>
  <c r="H38" i="79" s="1"/>
  <c r="J49" i="158"/>
  <c r="AC56" i="162" l="1"/>
  <c r="AG56" i="162" s="1"/>
  <c r="CV56" i="160"/>
  <c r="CX56" i="160"/>
  <c r="CQ56" i="160"/>
  <c r="CW56" i="160"/>
  <c r="CL56" i="160"/>
  <c r="CY56" i="160"/>
  <c r="CO56" i="160"/>
  <c r="CZ56" i="160"/>
  <c r="CU56" i="160"/>
  <c r="CS56" i="160"/>
  <c r="CN56" i="160"/>
  <c r="CT56" i="160"/>
  <c r="CR56" i="160"/>
  <c r="CM56" i="160"/>
  <c r="CP56" i="160"/>
  <c r="CK56" i="160"/>
  <c r="L38" i="79"/>
  <c r="BW56" i="162"/>
  <c r="BU56" i="162" s="1"/>
  <c r="CI56" i="162" s="1"/>
  <c r="I38" i="79"/>
  <c r="Z56" i="162"/>
  <c r="AA56" i="162" s="1"/>
  <c r="F45" i="79"/>
  <c r="BQ49" i="158"/>
  <c r="CE49" i="158" s="1"/>
  <c r="M56" i="162"/>
  <c r="BE57" i="160"/>
  <c r="BF57" i="160" s="1"/>
  <c r="BG57" i="160" s="1"/>
  <c r="BP49" i="158"/>
  <c r="CD49" i="158" s="1"/>
  <c r="AK57" i="160"/>
  <c r="AP57" i="160"/>
  <c r="AS57" i="160" s="1"/>
  <c r="AX57" i="160"/>
  <c r="AV57" i="160"/>
  <c r="AW57" i="160" s="1"/>
  <c r="AQ56" i="162"/>
  <c r="AR56" i="162" s="1"/>
  <c r="AS56" i="162"/>
  <c r="BT56" i="163"/>
  <c r="CH56" i="163" s="1"/>
  <c r="BU56" i="163"/>
  <c r="CI56" i="163" s="1"/>
  <c r="BS56" i="163"/>
  <c r="CG56" i="163" s="1"/>
  <c r="AV56" i="162"/>
  <c r="AW56" i="162" s="1"/>
  <c r="AX56" i="162"/>
  <c r="AY56" i="162" s="1"/>
  <c r="BC56" i="162" s="1"/>
  <c r="CA56" i="162"/>
  <c r="F56" i="162"/>
  <c r="G56" i="162" s="1"/>
  <c r="BY56" i="162"/>
  <c r="H56" i="162"/>
  <c r="I56" i="162" s="1"/>
  <c r="AN56" i="162"/>
  <c r="AO56" i="162" s="1"/>
  <c r="BZ56" i="162"/>
  <c r="AL56" i="162"/>
  <c r="BA56" i="162"/>
  <c r="BB56" i="162" s="1"/>
  <c r="G56" i="159"/>
  <c r="AM56" i="163"/>
  <c r="BP56" i="159"/>
  <c r="CD56" i="159" s="1"/>
  <c r="BR56" i="159"/>
  <c r="CF56" i="159" s="1"/>
  <c r="BQ56" i="159"/>
  <c r="CE56" i="159" s="1"/>
  <c r="AZ57" i="160"/>
  <c r="BS56" i="159"/>
  <c r="CG56" i="159" s="1"/>
  <c r="BT56" i="159"/>
  <c r="CH56" i="159" s="1"/>
  <c r="BU56" i="159"/>
  <c r="CI56" i="159" s="1"/>
  <c r="AM56" i="159"/>
  <c r="T57" i="160"/>
  <c r="AD57" i="160"/>
  <c r="Y57" i="160"/>
  <c r="O57" i="160"/>
  <c r="J57" i="160"/>
  <c r="E57" i="160"/>
  <c r="BJ57" i="160"/>
  <c r="BR56" i="163"/>
  <c r="CF56" i="163" s="1"/>
  <c r="BQ56" i="163"/>
  <c r="CE56" i="163" s="1"/>
  <c r="BP56" i="163"/>
  <c r="CD56" i="163" s="1"/>
  <c r="BX56" i="162"/>
  <c r="R56" i="162"/>
  <c r="S56" i="162" s="1"/>
  <c r="W56" i="162" s="1"/>
  <c r="P56" i="162"/>
  <c r="Q56" i="162" s="1"/>
  <c r="CB56" i="162"/>
  <c r="BP56" i="162" s="1"/>
  <c r="CD56" i="162" s="1"/>
  <c r="BF56" i="162"/>
  <c r="BG56" i="162" s="1"/>
  <c r="BH56" i="162"/>
  <c r="BI56" i="162" s="1"/>
  <c r="BM56" i="162" s="1"/>
  <c r="J45" i="79"/>
  <c r="U49" i="158"/>
  <c r="V49" i="158" s="1"/>
  <c r="AE49" i="158"/>
  <c r="AF49" i="158" s="1"/>
  <c r="F49" i="158"/>
  <c r="H49" i="158"/>
  <c r="I49" i="158" s="1"/>
  <c r="M49" i="158" s="1"/>
  <c r="BY49" i="158"/>
  <c r="AB49" i="158"/>
  <c r="AC49" i="158" s="1"/>
  <c r="AG49" i="158" s="1"/>
  <c r="Z49" i="158"/>
  <c r="AA49" i="158" s="1"/>
  <c r="BW49" i="158"/>
  <c r="K49" i="158"/>
  <c r="L49" i="158" s="1"/>
  <c r="R49" i="158"/>
  <c r="S49" i="158" s="1"/>
  <c r="W49" i="158" s="1"/>
  <c r="P49" i="158"/>
  <c r="Q49" i="158" s="1"/>
  <c r="BX49" i="158"/>
  <c r="CR56" i="159" l="1"/>
  <c r="CK56" i="159"/>
  <c r="CS56" i="159"/>
  <c r="CQ56" i="159"/>
  <c r="CM56" i="159"/>
  <c r="CN56" i="159"/>
  <c r="CO56" i="159"/>
  <c r="CL56" i="159"/>
  <c r="CP56" i="159"/>
  <c r="CU56" i="159"/>
  <c r="CT56" i="159"/>
  <c r="CW56" i="159"/>
  <c r="CV56" i="159"/>
  <c r="CX56" i="159"/>
  <c r="CY56" i="159"/>
  <c r="CZ56" i="159"/>
  <c r="CQ56" i="163"/>
  <c r="CR56" i="163"/>
  <c r="CO56" i="163"/>
  <c r="CP56" i="163"/>
  <c r="CV56" i="163"/>
  <c r="CN56" i="163"/>
  <c r="CM56" i="163"/>
  <c r="CL56" i="163"/>
  <c r="CK56" i="163"/>
  <c r="CZ56" i="163"/>
  <c r="CS56" i="163"/>
  <c r="CT56" i="163"/>
  <c r="CU56" i="163"/>
  <c r="CY56" i="163"/>
  <c r="CX56" i="163"/>
  <c r="CW56" i="163"/>
  <c r="BZ57" i="160"/>
  <c r="J57" i="159"/>
  <c r="M57" i="159" s="1"/>
  <c r="CB57" i="160"/>
  <c r="BP57" i="160" s="1"/>
  <c r="CD57" i="160" s="1"/>
  <c r="T57" i="163"/>
  <c r="AN57" i="160"/>
  <c r="AO57" i="160" s="1"/>
  <c r="BH57" i="160"/>
  <c r="BI57" i="160" s="1"/>
  <c r="BM57" i="160" s="1"/>
  <c r="AK57" i="163"/>
  <c r="BJ57" i="163"/>
  <c r="BK57" i="163" s="1"/>
  <c r="BL57" i="163" s="1"/>
  <c r="O57" i="163"/>
  <c r="AL57" i="160"/>
  <c r="AM57" i="160" s="1"/>
  <c r="AQ57" i="160"/>
  <c r="AR57" i="160" s="1"/>
  <c r="AP57" i="163"/>
  <c r="AU57" i="159"/>
  <c r="AV57" i="159" s="1"/>
  <c r="AW57" i="159" s="1"/>
  <c r="AZ57" i="159"/>
  <c r="BA57" i="159" s="1"/>
  <c r="BB57" i="159" s="1"/>
  <c r="Y57" i="163"/>
  <c r="AB57" i="163" s="1"/>
  <c r="AZ57" i="163"/>
  <c r="BC57" i="163" s="1"/>
  <c r="J57" i="163"/>
  <c r="M57" i="163" s="1"/>
  <c r="BW57" i="160"/>
  <c r="BU57" i="160" s="1"/>
  <c r="CI57" i="160" s="1"/>
  <c r="AB57" i="160"/>
  <c r="AC57" i="160" s="1"/>
  <c r="AG57" i="160" s="1"/>
  <c r="Z57" i="160"/>
  <c r="AA57" i="160" s="1"/>
  <c r="BA57" i="160"/>
  <c r="BB57" i="160" s="1"/>
  <c r="BS56" i="162"/>
  <c r="CG56" i="162" s="1"/>
  <c r="BT56" i="162"/>
  <c r="CH56" i="162" s="1"/>
  <c r="AU57" i="163"/>
  <c r="R57" i="160"/>
  <c r="S57" i="160" s="1"/>
  <c r="W57" i="160" s="1"/>
  <c r="P57" i="160"/>
  <c r="Q57" i="160" s="1"/>
  <c r="BX57" i="160"/>
  <c r="U57" i="160"/>
  <c r="V57" i="160" s="1"/>
  <c r="U57" i="163"/>
  <c r="V57" i="163" s="1"/>
  <c r="W57" i="163"/>
  <c r="E57" i="159"/>
  <c r="BE57" i="163"/>
  <c r="AD57" i="163"/>
  <c r="E57" i="163"/>
  <c r="AM56" i="162"/>
  <c r="BK57" i="160"/>
  <c r="BL57" i="160" s="1"/>
  <c r="O57" i="159"/>
  <c r="AD57" i="159"/>
  <c r="Y57" i="159"/>
  <c r="T57" i="159"/>
  <c r="AP57" i="159"/>
  <c r="BR56" i="162"/>
  <c r="CF56" i="162" s="1"/>
  <c r="BQ56" i="162"/>
  <c r="CE56" i="162" s="1"/>
  <c r="CA57" i="160"/>
  <c r="AE57" i="160"/>
  <c r="AF57" i="160" s="1"/>
  <c r="F57" i="160"/>
  <c r="BY57" i="160"/>
  <c r="H57" i="160"/>
  <c r="I57" i="160" s="1"/>
  <c r="AQ57" i="163"/>
  <c r="AR57" i="163" s="1"/>
  <c r="AS57" i="163"/>
  <c r="K57" i="160"/>
  <c r="L57" i="160" s="1"/>
  <c r="M57" i="160"/>
  <c r="BJ57" i="159"/>
  <c r="AK57" i="159"/>
  <c r="BE57" i="159"/>
  <c r="AY57" i="160"/>
  <c r="BC57" i="160" s="1"/>
  <c r="BS49" i="158"/>
  <c r="CG49" i="158" s="1"/>
  <c r="BT49" i="158"/>
  <c r="CH49" i="158" s="1"/>
  <c r="BU49" i="158"/>
  <c r="CI49" i="158" s="1"/>
  <c r="G49" i="158"/>
  <c r="BJ50" i="158" s="1"/>
  <c r="CW49" i="158" l="1"/>
  <c r="Z38" i="79" s="1"/>
  <c r="BQ57" i="160"/>
  <c r="CE57" i="160" s="1"/>
  <c r="CZ56" i="162"/>
  <c r="CP49" i="158"/>
  <c r="CQ49" i="158"/>
  <c r="CU56" i="162"/>
  <c r="CQ56" i="162"/>
  <c r="T45" i="79" s="1"/>
  <c r="CR49" i="158"/>
  <c r="CU49" i="158"/>
  <c r="X38" i="79" s="1"/>
  <c r="CT56" i="162"/>
  <c r="CL56" i="162"/>
  <c r="CO49" i="158"/>
  <c r="CS49" i="158"/>
  <c r="V38" i="79" s="1"/>
  <c r="CS56" i="162"/>
  <c r="CO56" i="162"/>
  <c r="R45" i="79" s="1"/>
  <c r="CN49" i="158"/>
  <c r="Q38" i="79" s="1"/>
  <c r="CZ49" i="158"/>
  <c r="AC38" i="79" s="1"/>
  <c r="CV56" i="162"/>
  <c r="CN56" i="162"/>
  <c r="CM49" i="158"/>
  <c r="P38" i="79" s="1"/>
  <c r="CT49" i="158"/>
  <c r="W38" i="79" s="1"/>
  <c r="CR56" i="162"/>
  <c r="U45" i="79" s="1"/>
  <c r="CP56" i="162"/>
  <c r="S45" i="79" s="1"/>
  <c r="CL49" i="158"/>
  <c r="O38" i="79" s="1"/>
  <c r="CY49" i="158"/>
  <c r="AB38" i="79" s="1"/>
  <c r="CX56" i="162"/>
  <c r="CK56" i="162"/>
  <c r="BZ57" i="163"/>
  <c r="CV49" i="158"/>
  <c r="Y38" i="79" s="1"/>
  <c r="CX49" i="158"/>
  <c r="AA38" i="79" s="1"/>
  <c r="CW56" i="162"/>
  <c r="CM56" i="162"/>
  <c r="CK49" i="158"/>
  <c r="N38" i="79" s="1"/>
  <c r="CY56" i="162"/>
  <c r="E57" i="162"/>
  <c r="H57" i="162" s="1"/>
  <c r="Y57" i="162"/>
  <c r="AB57" i="162" s="1"/>
  <c r="BW57" i="163"/>
  <c r="BX57" i="163"/>
  <c r="P57" i="163"/>
  <c r="Q57" i="163" s="1"/>
  <c r="R57" i="163"/>
  <c r="S57" i="163" s="1"/>
  <c r="K57" i="159"/>
  <c r="L57" i="159" s="1"/>
  <c r="Z57" i="163"/>
  <c r="AA57" i="163" s="1"/>
  <c r="AL57" i="163"/>
  <c r="AM57" i="163" s="1"/>
  <c r="AX57" i="159"/>
  <c r="AY57" i="159" s="1"/>
  <c r="AN57" i="163"/>
  <c r="AO57" i="163" s="1"/>
  <c r="K57" i="163"/>
  <c r="L57" i="163" s="1"/>
  <c r="BC57" i="159"/>
  <c r="CA57" i="159"/>
  <c r="O57" i="162"/>
  <c r="AZ57" i="162"/>
  <c r="BA57" i="162" s="1"/>
  <c r="BB57" i="162" s="1"/>
  <c r="BA57" i="163"/>
  <c r="BB57" i="163" s="1"/>
  <c r="T57" i="162"/>
  <c r="U57" i="162" s="1"/>
  <c r="V57" i="162" s="1"/>
  <c r="F57" i="159"/>
  <c r="G57" i="159" s="1"/>
  <c r="H57" i="159"/>
  <c r="I57" i="159" s="1"/>
  <c r="AD57" i="162"/>
  <c r="AP57" i="162"/>
  <c r="W57" i="159"/>
  <c r="U57" i="159"/>
  <c r="V57" i="159" s="1"/>
  <c r="AK57" i="162"/>
  <c r="BK57" i="159"/>
  <c r="BL57" i="159" s="1"/>
  <c r="BR57" i="160"/>
  <c r="CF57" i="160" s="1"/>
  <c r="AB57" i="159"/>
  <c r="AC57" i="159" s="1"/>
  <c r="AG57" i="159" s="1"/>
  <c r="Z57" i="159"/>
  <c r="AA57" i="159" s="1"/>
  <c r="BW57" i="159"/>
  <c r="J57" i="162"/>
  <c r="BY57" i="162" s="1"/>
  <c r="AE57" i="159"/>
  <c r="AF57" i="159" s="1"/>
  <c r="AX57" i="163"/>
  <c r="AY57" i="163" s="1"/>
  <c r="CA57" i="163"/>
  <c r="AV57" i="163"/>
  <c r="AW57" i="163" s="1"/>
  <c r="F57" i="162"/>
  <c r="G57" i="162" s="1"/>
  <c r="AU57" i="162"/>
  <c r="BE57" i="162"/>
  <c r="F46" i="79" s="1"/>
  <c r="R57" i="159"/>
  <c r="S57" i="159" s="1"/>
  <c r="P57" i="159"/>
  <c r="Q57" i="159" s="1"/>
  <c r="BX57" i="159"/>
  <c r="F57" i="163"/>
  <c r="H57" i="163"/>
  <c r="I57" i="163" s="1"/>
  <c r="BY57" i="163"/>
  <c r="BJ57" i="162"/>
  <c r="BK57" i="162" s="1"/>
  <c r="BL57" i="162" s="1"/>
  <c r="BY57" i="159"/>
  <c r="BH57" i="159"/>
  <c r="BI57" i="159" s="1"/>
  <c r="BM57" i="159" s="1"/>
  <c r="BF57" i="159"/>
  <c r="BG57" i="159" s="1"/>
  <c r="CB57" i="159"/>
  <c r="BS57" i="160"/>
  <c r="CG57" i="160" s="1"/>
  <c r="BT57" i="160"/>
  <c r="CH57" i="160" s="1"/>
  <c r="AQ57" i="159"/>
  <c r="AR57" i="159" s="1"/>
  <c r="AS57" i="159"/>
  <c r="AE57" i="163"/>
  <c r="AF57" i="163" s="1"/>
  <c r="AC57" i="163"/>
  <c r="AG57" i="163" s="1"/>
  <c r="AL57" i="159"/>
  <c r="BZ57" i="159"/>
  <c r="AN57" i="159"/>
  <c r="AO57" i="159" s="1"/>
  <c r="G57" i="160"/>
  <c r="BH57" i="163"/>
  <c r="BI57" i="163" s="1"/>
  <c r="BM57" i="163" s="1"/>
  <c r="CB57" i="163"/>
  <c r="BF57" i="163"/>
  <c r="BG57" i="163" s="1"/>
  <c r="AZ50" i="158"/>
  <c r="BA50" i="158" s="1"/>
  <c r="BB50" i="158" s="1"/>
  <c r="AU50" i="158"/>
  <c r="BE50" i="158"/>
  <c r="CB50" i="158" s="1"/>
  <c r="AK50" i="158"/>
  <c r="AL50" i="158" s="1"/>
  <c r="AM50" i="158" s="1"/>
  <c r="BK50" i="158"/>
  <c r="BL50" i="158" s="1"/>
  <c r="Y50" i="158"/>
  <c r="AP50" i="158"/>
  <c r="O50" i="158"/>
  <c r="H39" i="79" s="1"/>
  <c r="BR57" i="163" l="1"/>
  <c r="CF57" i="163" s="1"/>
  <c r="Z57" i="162"/>
  <c r="AA57" i="162" s="1"/>
  <c r="BQ57" i="163"/>
  <c r="CE57" i="163" s="1"/>
  <c r="BP57" i="163"/>
  <c r="CD57" i="163" s="1"/>
  <c r="CU57" i="160"/>
  <c r="CX57" i="160"/>
  <c r="CV57" i="160"/>
  <c r="CW57" i="160"/>
  <c r="CK57" i="160"/>
  <c r="CY57" i="160"/>
  <c r="CQ57" i="160"/>
  <c r="CZ57" i="160"/>
  <c r="CN57" i="160"/>
  <c r="CT57" i="160"/>
  <c r="CL57" i="160"/>
  <c r="CS57" i="160"/>
  <c r="CR57" i="160"/>
  <c r="CM57" i="160"/>
  <c r="CP57" i="160"/>
  <c r="BW57" i="162"/>
  <c r="BU57" i="162" s="1"/>
  <c r="CI57" i="162" s="1"/>
  <c r="CO57" i="160"/>
  <c r="CA50" i="158"/>
  <c r="R57" i="162"/>
  <c r="S57" i="162" s="1"/>
  <c r="W57" i="162" s="1"/>
  <c r="P57" i="162"/>
  <c r="Q57" i="162" s="1"/>
  <c r="BX57" i="162"/>
  <c r="BT57" i="162" s="1"/>
  <c r="CH57" i="162" s="1"/>
  <c r="G39" i="79"/>
  <c r="AZ58" i="160"/>
  <c r="BA58" i="160" s="1"/>
  <c r="BB58" i="160" s="1"/>
  <c r="AC57" i="162"/>
  <c r="AG57" i="162" s="1"/>
  <c r="CA57" i="162"/>
  <c r="AV57" i="162"/>
  <c r="AW57" i="162" s="1"/>
  <c r="AX57" i="162"/>
  <c r="AY57" i="162" s="1"/>
  <c r="BC57" i="162" s="1"/>
  <c r="BH57" i="162"/>
  <c r="BI57" i="162" s="1"/>
  <c r="BM57" i="162" s="1"/>
  <c r="BF57" i="162"/>
  <c r="BG57" i="162" s="1"/>
  <c r="CB57" i="162"/>
  <c r="BP57" i="162" s="1"/>
  <c r="CD57" i="162" s="1"/>
  <c r="G57" i="163"/>
  <c r="BE58" i="163" s="1"/>
  <c r="BQ57" i="159"/>
  <c r="CE57" i="159" s="1"/>
  <c r="BP57" i="159"/>
  <c r="CD57" i="159" s="1"/>
  <c r="BR57" i="159"/>
  <c r="CF57" i="159" s="1"/>
  <c r="K57" i="162"/>
  <c r="L57" i="162" s="1"/>
  <c r="M57" i="162"/>
  <c r="BU57" i="163"/>
  <c r="CI57" i="163" s="1"/>
  <c r="BT57" i="163"/>
  <c r="CH57" i="163" s="1"/>
  <c r="BS57" i="163"/>
  <c r="CG57" i="163" s="1"/>
  <c r="AK58" i="160"/>
  <c r="AM57" i="159"/>
  <c r="BT57" i="159"/>
  <c r="CH57" i="159" s="1"/>
  <c r="BS57" i="159"/>
  <c r="CG57" i="159" s="1"/>
  <c r="BU57" i="159"/>
  <c r="CI57" i="159" s="1"/>
  <c r="AL57" i="162"/>
  <c r="AN57" i="162"/>
  <c r="AO57" i="162" s="1"/>
  <c r="BZ57" i="162"/>
  <c r="AU58" i="160"/>
  <c r="I57" i="162"/>
  <c r="BJ58" i="160"/>
  <c r="BE58" i="160"/>
  <c r="T58" i="160"/>
  <c r="O58" i="160"/>
  <c r="E58" i="160"/>
  <c r="AD58" i="160"/>
  <c r="Y58" i="160"/>
  <c r="J58" i="160"/>
  <c r="AQ57" i="162"/>
  <c r="AR57" i="162" s="1"/>
  <c r="AS57" i="162"/>
  <c r="AP58" i="160"/>
  <c r="J46" i="79"/>
  <c r="AE57" i="162"/>
  <c r="AF57" i="162" s="1"/>
  <c r="BZ50" i="158"/>
  <c r="AV50" i="158"/>
  <c r="AW50" i="158" s="1"/>
  <c r="AX50" i="158"/>
  <c r="AY50" i="158" s="1"/>
  <c r="BC50" i="158" s="1"/>
  <c r="BF50" i="158"/>
  <c r="BG50" i="158" s="1"/>
  <c r="BH50" i="158"/>
  <c r="BI50" i="158" s="1"/>
  <c r="BM50" i="158" s="1"/>
  <c r="AN50" i="158"/>
  <c r="AO50" i="158" s="1"/>
  <c r="AS50" i="158" s="1"/>
  <c r="R50" i="158"/>
  <c r="P50" i="158"/>
  <c r="Q50" i="158" s="1"/>
  <c r="Z50" i="158"/>
  <c r="AA50" i="158" s="1"/>
  <c r="AB50" i="158"/>
  <c r="AD50" i="158"/>
  <c r="T50" i="158"/>
  <c r="E50" i="158"/>
  <c r="E39" i="79" s="1"/>
  <c r="J50" i="158"/>
  <c r="I39" i="79" s="1"/>
  <c r="AQ50" i="158"/>
  <c r="AR50" i="158" s="1"/>
  <c r="BS57" i="162" l="1"/>
  <c r="CG57" i="162" s="1"/>
  <c r="CP57" i="163"/>
  <c r="CY57" i="163"/>
  <c r="CL57" i="163"/>
  <c r="CT57" i="163"/>
  <c r="CN57" i="163"/>
  <c r="CS57" i="163"/>
  <c r="CO57" i="163"/>
  <c r="CZ57" i="163"/>
  <c r="CR57" i="163"/>
  <c r="CU57" i="163"/>
  <c r="CV57" i="163"/>
  <c r="CK57" i="163"/>
  <c r="CM57" i="163"/>
  <c r="CL57" i="159"/>
  <c r="CR57" i="159"/>
  <c r="CK57" i="159"/>
  <c r="CM57" i="159"/>
  <c r="CS57" i="159"/>
  <c r="CP57" i="159"/>
  <c r="CQ57" i="159"/>
  <c r="CN57" i="159"/>
  <c r="CO57" i="159"/>
  <c r="CU57" i="159"/>
  <c r="CT57" i="159"/>
  <c r="CV57" i="159"/>
  <c r="CW57" i="159"/>
  <c r="CZ57" i="159"/>
  <c r="CX57" i="159"/>
  <c r="CY57" i="159"/>
  <c r="CX57" i="163"/>
  <c r="CQ57" i="163"/>
  <c r="CW57" i="163"/>
  <c r="E58" i="159"/>
  <c r="F58" i="159" s="1"/>
  <c r="G58" i="159" s="1"/>
  <c r="AU58" i="163"/>
  <c r="J58" i="159"/>
  <c r="K58" i="159" s="1"/>
  <c r="L58" i="159" s="1"/>
  <c r="AZ58" i="163"/>
  <c r="BC58" i="163" s="1"/>
  <c r="AP58" i="163"/>
  <c r="AS58" i="163" s="1"/>
  <c r="BJ58" i="163"/>
  <c r="CB58" i="163" s="1"/>
  <c r="AK58" i="163"/>
  <c r="AL58" i="163" s="1"/>
  <c r="AM58" i="163" s="1"/>
  <c r="BK58" i="160"/>
  <c r="BL58" i="160" s="1"/>
  <c r="Y58" i="159"/>
  <c r="E58" i="163"/>
  <c r="AD58" i="163"/>
  <c r="J58" i="163"/>
  <c r="O58" i="163"/>
  <c r="Y58" i="163"/>
  <c r="T58" i="163"/>
  <c r="T58" i="159"/>
  <c r="AM57" i="162"/>
  <c r="E58" i="162" s="1"/>
  <c r="BY58" i="160"/>
  <c r="M58" i="160"/>
  <c r="K58" i="160"/>
  <c r="L58" i="160" s="1"/>
  <c r="BZ58" i="160"/>
  <c r="AN58" i="160"/>
  <c r="AO58" i="160" s="1"/>
  <c r="AL58" i="160"/>
  <c r="AM58" i="160" s="1"/>
  <c r="AB58" i="160"/>
  <c r="AC58" i="160" s="1"/>
  <c r="AG58" i="160" s="1"/>
  <c r="Z58" i="160"/>
  <c r="AA58" i="160" s="1"/>
  <c r="BW58" i="160"/>
  <c r="BU58" i="160" s="1"/>
  <c r="CI58" i="160" s="1"/>
  <c r="CA58" i="160"/>
  <c r="AV58" i="160"/>
  <c r="AW58" i="160" s="1"/>
  <c r="AX58" i="160"/>
  <c r="AY58" i="160" s="1"/>
  <c r="BC58" i="160" s="1"/>
  <c r="AE58" i="160"/>
  <c r="AF58" i="160" s="1"/>
  <c r="H58" i="160"/>
  <c r="I58" i="160" s="1"/>
  <c r="F58" i="160"/>
  <c r="BE58" i="159"/>
  <c r="BJ58" i="159"/>
  <c r="AP58" i="159"/>
  <c r="AK58" i="159"/>
  <c r="BF58" i="160"/>
  <c r="BG58" i="160" s="1"/>
  <c r="BH58" i="160"/>
  <c r="BI58" i="160" s="1"/>
  <c r="BM58" i="160" s="1"/>
  <c r="CB58" i="160"/>
  <c r="BP58" i="160" s="1"/>
  <c r="CD58" i="160" s="1"/>
  <c r="AX58" i="163"/>
  <c r="AV58" i="163"/>
  <c r="AW58" i="163" s="1"/>
  <c r="BW50" i="158"/>
  <c r="K39" i="79"/>
  <c r="R58" i="160"/>
  <c r="S58" i="160" s="1"/>
  <c r="W58" i="160" s="1"/>
  <c r="BX58" i="160"/>
  <c r="P58" i="160"/>
  <c r="Q58" i="160" s="1"/>
  <c r="BQ57" i="162"/>
  <c r="CE57" i="162" s="1"/>
  <c r="BR57" i="162"/>
  <c r="CF57" i="162" s="1"/>
  <c r="AU58" i="159"/>
  <c r="BH58" i="163"/>
  <c r="BF58" i="163"/>
  <c r="BG58" i="163" s="1"/>
  <c r="AQ58" i="160"/>
  <c r="AR58" i="160" s="1"/>
  <c r="AS58" i="160"/>
  <c r="AD58" i="162"/>
  <c r="U58" i="160"/>
  <c r="V58" i="160" s="1"/>
  <c r="AD58" i="159"/>
  <c r="AE58" i="159" s="1"/>
  <c r="AF58" i="159" s="1"/>
  <c r="AZ58" i="159"/>
  <c r="O58" i="159"/>
  <c r="BP50" i="158"/>
  <c r="CD50" i="158" s="1"/>
  <c r="BQ50" i="158"/>
  <c r="CE50" i="158" s="1"/>
  <c r="BR50" i="158"/>
  <c r="CF50" i="158" s="1"/>
  <c r="AC50" i="158"/>
  <c r="AG50" i="158" s="1"/>
  <c r="K50" i="158"/>
  <c r="L50" i="158" s="1"/>
  <c r="BY50" i="158"/>
  <c r="H50" i="158"/>
  <c r="I50" i="158" s="1"/>
  <c r="M50" i="158" s="1"/>
  <c r="F50" i="158"/>
  <c r="U50" i="158"/>
  <c r="V50" i="158" s="1"/>
  <c r="AE50" i="158"/>
  <c r="AF50" i="158" s="1"/>
  <c r="S50" i="158"/>
  <c r="W50" i="158" s="1"/>
  <c r="BX50" i="158"/>
  <c r="AY58" i="163" l="1"/>
  <c r="CA58" i="163"/>
  <c r="H58" i="159"/>
  <c r="BT58" i="160"/>
  <c r="CH58" i="160" s="1"/>
  <c r="J58" i="162"/>
  <c r="AQ58" i="163"/>
  <c r="AR58" i="163" s="1"/>
  <c r="BY58" i="159"/>
  <c r="I58" i="159"/>
  <c r="BA58" i="163"/>
  <c r="BB58" i="163" s="1"/>
  <c r="CZ57" i="162"/>
  <c r="O58" i="162"/>
  <c r="CT57" i="162"/>
  <c r="CO57" i="162"/>
  <c r="R46" i="79" s="1"/>
  <c r="CU57" i="162"/>
  <c r="CQ57" i="162"/>
  <c r="T46" i="79" s="1"/>
  <c r="CS57" i="162"/>
  <c r="CK57" i="162"/>
  <c r="CM57" i="162"/>
  <c r="CV57" i="162"/>
  <c r="M58" i="159"/>
  <c r="CR57" i="162"/>
  <c r="U46" i="79" s="1"/>
  <c r="CL57" i="162"/>
  <c r="CY57" i="162"/>
  <c r="CN57" i="162"/>
  <c r="CW57" i="162"/>
  <c r="CP57" i="162"/>
  <c r="S46" i="79" s="1"/>
  <c r="CX57" i="162"/>
  <c r="L39" i="79"/>
  <c r="AN58" i="163"/>
  <c r="AO58" i="163" s="1"/>
  <c r="BK58" i="163"/>
  <c r="BL58" i="163" s="1"/>
  <c r="BI58" i="163"/>
  <c r="BM58" i="163" s="1"/>
  <c r="BZ58" i="163"/>
  <c r="BR58" i="163" s="1"/>
  <c r="CF58" i="163" s="1"/>
  <c r="AK58" i="162"/>
  <c r="AL58" i="162" s="1"/>
  <c r="AM58" i="162" s="1"/>
  <c r="AP58" i="162"/>
  <c r="AS58" i="162" s="1"/>
  <c r="F58" i="162"/>
  <c r="G58" i="162" s="1"/>
  <c r="BY58" i="162"/>
  <c r="H58" i="162"/>
  <c r="I58" i="162" s="1"/>
  <c r="AV58" i="159"/>
  <c r="AW58" i="159" s="1"/>
  <c r="CA58" i="159"/>
  <c r="AX58" i="159"/>
  <c r="AY58" i="159" s="1"/>
  <c r="BK58" i="159"/>
  <c r="BL58" i="159" s="1"/>
  <c r="Y58" i="162"/>
  <c r="H58" i="163"/>
  <c r="I58" i="163" s="1"/>
  <c r="F58" i="163"/>
  <c r="BY58" i="163"/>
  <c r="AS58" i="159"/>
  <c r="AQ58" i="159"/>
  <c r="AR58" i="159" s="1"/>
  <c r="CB58" i="159"/>
  <c r="BH58" i="159"/>
  <c r="BI58" i="159" s="1"/>
  <c r="BM58" i="159" s="1"/>
  <c r="BF58" i="159"/>
  <c r="BG58" i="159" s="1"/>
  <c r="AB58" i="159"/>
  <c r="AC58" i="159" s="1"/>
  <c r="AG58" i="159" s="1"/>
  <c r="Z58" i="159"/>
  <c r="AA58" i="159" s="1"/>
  <c r="BW58" i="159"/>
  <c r="P58" i="162"/>
  <c r="Q58" i="162" s="1"/>
  <c r="R58" i="162"/>
  <c r="BE58" i="162"/>
  <c r="BA58" i="159"/>
  <c r="BB58" i="159" s="1"/>
  <c r="BC58" i="159"/>
  <c r="M58" i="162"/>
  <c r="K58" i="162"/>
  <c r="L58" i="162" s="1"/>
  <c r="W58" i="159"/>
  <c r="U58" i="159"/>
  <c r="V58" i="159" s="1"/>
  <c r="W58" i="163"/>
  <c r="U58" i="163"/>
  <c r="V58" i="163" s="1"/>
  <c r="P58" i="159"/>
  <c r="Q58" i="159" s="1"/>
  <c r="BX58" i="159"/>
  <c r="R58" i="159"/>
  <c r="S58" i="159" s="1"/>
  <c r="AZ58" i="162"/>
  <c r="BJ58" i="162"/>
  <c r="J47" i="79" s="1"/>
  <c r="G58" i="160"/>
  <c r="BS58" i="160"/>
  <c r="Z58" i="163"/>
  <c r="AA58" i="163" s="1"/>
  <c r="AB58" i="163"/>
  <c r="AC58" i="163" s="1"/>
  <c r="AG58" i="163" s="1"/>
  <c r="BW58" i="163"/>
  <c r="AE58" i="163"/>
  <c r="AF58" i="163" s="1"/>
  <c r="BQ58" i="160"/>
  <c r="CE58" i="160" s="1"/>
  <c r="BR58" i="160"/>
  <c r="CF58" i="160" s="1"/>
  <c r="T58" i="162"/>
  <c r="BX58" i="163"/>
  <c r="R58" i="163"/>
  <c r="S58" i="163" s="1"/>
  <c r="P58" i="163"/>
  <c r="Q58" i="163" s="1"/>
  <c r="AE58" i="162"/>
  <c r="AF58" i="162" s="1"/>
  <c r="BZ58" i="159"/>
  <c r="AN58" i="159"/>
  <c r="AO58" i="159" s="1"/>
  <c r="AL58" i="159"/>
  <c r="AU58" i="162"/>
  <c r="K58" i="163"/>
  <c r="L58" i="163" s="1"/>
  <c r="M58" i="163"/>
  <c r="BT50" i="158"/>
  <c r="CH50" i="158" s="1"/>
  <c r="BU50" i="158"/>
  <c r="CI50" i="158" s="1"/>
  <c r="BS50" i="158"/>
  <c r="CG50" i="158" s="1"/>
  <c r="G50" i="158"/>
  <c r="BS58" i="159" l="1"/>
  <c r="CG58" i="159" s="1"/>
  <c r="BP58" i="163"/>
  <c r="CD58" i="163" s="1"/>
  <c r="BQ58" i="163"/>
  <c r="CE58" i="163" s="1"/>
  <c r="CZ50" i="158"/>
  <c r="AC39" i="79" s="1"/>
  <c r="F47" i="79"/>
  <c r="CL50" i="158"/>
  <c r="O39" i="79" s="1"/>
  <c r="CY50" i="158"/>
  <c r="AB39" i="79" s="1"/>
  <c r="CR50" i="158"/>
  <c r="CX50" i="158"/>
  <c r="AA39" i="79" s="1"/>
  <c r="O59" i="160"/>
  <c r="P59" i="160" s="1"/>
  <c r="Q59" i="160" s="1"/>
  <c r="CG58" i="160"/>
  <c r="CU58" i="160" s="1"/>
  <c r="CQ50" i="158"/>
  <c r="CW50" i="158"/>
  <c r="Z39" i="79" s="1"/>
  <c r="CO50" i="158"/>
  <c r="CP50" i="158"/>
  <c r="CS50" i="158"/>
  <c r="V39" i="79" s="1"/>
  <c r="CT50" i="158"/>
  <c r="W39" i="79" s="1"/>
  <c r="CK50" i="158"/>
  <c r="N39" i="79" s="1"/>
  <c r="CU50" i="158"/>
  <c r="X39" i="79" s="1"/>
  <c r="CQ58" i="160"/>
  <c r="CN50" i="158"/>
  <c r="Q39" i="79" s="1"/>
  <c r="CV50" i="158"/>
  <c r="Y39" i="79" s="1"/>
  <c r="CP58" i="160"/>
  <c r="CM50" i="158"/>
  <c r="P39" i="79" s="1"/>
  <c r="CN58" i="160"/>
  <c r="AK59" i="160"/>
  <c r="AL59" i="160" s="1"/>
  <c r="AM59" i="160" s="1"/>
  <c r="AQ58" i="162"/>
  <c r="AR58" i="162" s="1"/>
  <c r="Y59" i="160"/>
  <c r="Z59" i="160" s="1"/>
  <c r="AA59" i="160" s="1"/>
  <c r="BT58" i="159"/>
  <c r="CH58" i="159" s="1"/>
  <c r="BZ58" i="162"/>
  <c r="AD59" i="160"/>
  <c r="AN58" i="162"/>
  <c r="AO58" i="162" s="1"/>
  <c r="E59" i="160"/>
  <c r="H59" i="160" s="1"/>
  <c r="BJ59" i="160"/>
  <c r="BK59" i="160" s="1"/>
  <c r="BL59" i="160" s="1"/>
  <c r="E51" i="158"/>
  <c r="AV58" i="162"/>
  <c r="AW58" i="162" s="1"/>
  <c r="CA58" i="162"/>
  <c r="AX58" i="162"/>
  <c r="AY58" i="162" s="1"/>
  <c r="BC58" i="162" s="1"/>
  <c r="J59" i="160"/>
  <c r="BH58" i="162"/>
  <c r="BI58" i="162" s="1"/>
  <c r="BM58" i="162" s="1"/>
  <c r="CB58" i="162"/>
  <c r="BP58" i="162" s="1"/>
  <c r="CD58" i="162" s="1"/>
  <c r="BF58" i="162"/>
  <c r="BG58" i="162" s="1"/>
  <c r="AM58" i="159"/>
  <c r="AZ59" i="160"/>
  <c r="AU59" i="160"/>
  <c r="BE59" i="160"/>
  <c r="AP59" i="160"/>
  <c r="S58" i="162"/>
  <c r="W58" i="162" s="1"/>
  <c r="BU58" i="163"/>
  <c r="CI58" i="163" s="1"/>
  <c r="BT58" i="163"/>
  <c r="CH58" i="163" s="1"/>
  <c r="BS58" i="163"/>
  <c r="CG58" i="163" s="1"/>
  <c r="U58" i="162"/>
  <c r="V58" i="162" s="1"/>
  <c r="G58" i="163"/>
  <c r="AP59" i="163" s="1"/>
  <c r="BA58" i="162"/>
  <c r="BB58" i="162" s="1"/>
  <c r="BQ58" i="159"/>
  <c r="CE58" i="159" s="1"/>
  <c r="BP58" i="159"/>
  <c r="CD58" i="159" s="1"/>
  <c r="BR58" i="159"/>
  <c r="CF58" i="159" s="1"/>
  <c r="T59" i="160"/>
  <c r="BX58" i="162"/>
  <c r="BT58" i="162" s="1"/>
  <c r="CH58" i="162" s="1"/>
  <c r="BK58" i="162"/>
  <c r="BL58" i="162" s="1"/>
  <c r="BU58" i="159"/>
  <c r="CI58" i="159" s="1"/>
  <c r="BW58" i="162"/>
  <c r="BU58" i="162" s="1"/>
  <c r="CI58" i="162" s="1"/>
  <c r="Z58" i="162"/>
  <c r="AA58" i="162" s="1"/>
  <c r="AB58" i="162"/>
  <c r="AC58" i="162" s="1"/>
  <c r="AG58" i="162" s="1"/>
  <c r="AZ51" i="158"/>
  <c r="BA51" i="158" s="1"/>
  <c r="BB51" i="158" s="1"/>
  <c r="AK51" i="158"/>
  <c r="AL51" i="158" s="1"/>
  <c r="AM51" i="158" s="1"/>
  <c r="BE51" i="158"/>
  <c r="BH51" i="158" s="1"/>
  <c r="AP51" i="158"/>
  <c r="AQ51" i="158" s="1"/>
  <c r="AR51" i="158" s="1"/>
  <c r="BJ51" i="158"/>
  <c r="BK51" i="158" s="1"/>
  <c r="BL51" i="158" s="1"/>
  <c r="AU51" i="158"/>
  <c r="Y51" i="158"/>
  <c r="AD51" i="158"/>
  <c r="O51" i="158"/>
  <c r="H40" i="79" s="1"/>
  <c r="J51" i="158"/>
  <c r="T51" i="158"/>
  <c r="R59" i="160" l="1"/>
  <c r="BZ59" i="160"/>
  <c r="CT58" i="160"/>
  <c r="CO58" i="160"/>
  <c r="AB59" i="160"/>
  <c r="CQ58" i="163"/>
  <c r="CK58" i="160"/>
  <c r="AN59" i="160"/>
  <c r="BW59" i="160"/>
  <c r="BU59" i="160" s="1"/>
  <c r="CI59" i="160" s="1"/>
  <c r="CM58" i="160"/>
  <c r="CV58" i="160"/>
  <c r="CZ58" i="160"/>
  <c r="CS58" i="163"/>
  <c r="CM58" i="163"/>
  <c r="CW58" i="160"/>
  <c r="CK58" i="159"/>
  <c r="CP58" i="159"/>
  <c r="CM58" i="159"/>
  <c r="CS58" i="159"/>
  <c r="CR58" i="159"/>
  <c r="CQ58" i="159"/>
  <c r="CL58" i="159"/>
  <c r="CO58" i="159"/>
  <c r="CN58" i="159"/>
  <c r="CT58" i="159"/>
  <c r="CU58" i="159"/>
  <c r="CW58" i="159"/>
  <c r="CV58" i="159"/>
  <c r="CZ58" i="159"/>
  <c r="CX58" i="159"/>
  <c r="CY58" i="159"/>
  <c r="CN58" i="163"/>
  <c r="CY58" i="163"/>
  <c r="CP58" i="163"/>
  <c r="CX58" i="163"/>
  <c r="CR58" i="163"/>
  <c r="CL58" i="160"/>
  <c r="CW58" i="163"/>
  <c r="CL58" i="163"/>
  <c r="CX58" i="160"/>
  <c r="CU58" i="163"/>
  <c r="CV58" i="163"/>
  <c r="CZ58" i="163"/>
  <c r="CO58" i="163"/>
  <c r="CK58" i="163"/>
  <c r="CY58" i="160"/>
  <c r="CS58" i="160"/>
  <c r="CT58" i="163"/>
  <c r="CR58" i="160"/>
  <c r="BQ58" i="162"/>
  <c r="CE58" i="162" s="1"/>
  <c r="E59" i="159"/>
  <c r="F59" i="159" s="1"/>
  <c r="G59" i="159" s="1"/>
  <c r="BR58" i="162"/>
  <c r="CF58" i="162" s="1"/>
  <c r="F59" i="160"/>
  <c r="G59" i="160" s="1"/>
  <c r="BY59" i="160"/>
  <c r="F51" i="158"/>
  <c r="G51" i="158" s="1"/>
  <c r="E40" i="79"/>
  <c r="G40" i="79"/>
  <c r="AE59" i="160"/>
  <c r="AF59" i="160" s="1"/>
  <c r="BE59" i="163"/>
  <c r="BF59" i="163" s="1"/>
  <c r="BG59" i="163" s="1"/>
  <c r="H51" i="158"/>
  <c r="I51" i="158" s="1"/>
  <c r="M51" i="158" s="1"/>
  <c r="AC59" i="160"/>
  <c r="AG59" i="160" s="1"/>
  <c r="BS58" i="162"/>
  <c r="BF51" i="158"/>
  <c r="BG51" i="158" s="1"/>
  <c r="AQ59" i="163"/>
  <c r="AR59" i="163" s="1"/>
  <c r="AS59" i="163"/>
  <c r="AN51" i="158"/>
  <c r="AO51" i="158" s="1"/>
  <c r="AS51" i="158" s="1"/>
  <c r="AZ59" i="163"/>
  <c r="T59" i="163"/>
  <c r="E59" i="163"/>
  <c r="O59" i="163"/>
  <c r="Y59" i="163"/>
  <c r="J59" i="163"/>
  <c r="AD59" i="163"/>
  <c r="K59" i="160"/>
  <c r="L59" i="160" s="1"/>
  <c r="M59" i="160"/>
  <c r="CA59" i="160"/>
  <c r="BR59" i="160" s="1"/>
  <c r="CF59" i="160" s="1"/>
  <c r="AV59" i="160"/>
  <c r="AW59" i="160" s="1"/>
  <c r="AX59" i="160"/>
  <c r="AY59" i="160" s="1"/>
  <c r="BC59" i="160" s="1"/>
  <c r="Y59" i="159"/>
  <c r="AU59" i="163"/>
  <c r="BA59" i="160"/>
  <c r="BB59" i="160" s="1"/>
  <c r="I40" i="79"/>
  <c r="AE51" i="158"/>
  <c r="AF51" i="158" s="1"/>
  <c r="K40" i="79"/>
  <c r="T59" i="159"/>
  <c r="BX59" i="160"/>
  <c r="U59" i="160"/>
  <c r="V59" i="160" s="1"/>
  <c r="S59" i="160"/>
  <c r="W59" i="160" s="1"/>
  <c r="AK59" i="163"/>
  <c r="J59" i="159"/>
  <c r="CA51" i="158"/>
  <c r="BJ59" i="163"/>
  <c r="I59" i="160"/>
  <c r="BH59" i="160"/>
  <c r="BI59" i="160" s="1"/>
  <c r="BM59" i="160" s="1"/>
  <c r="CB59" i="160"/>
  <c r="BP59" i="160" s="1"/>
  <c r="CD59" i="160" s="1"/>
  <c r="BF59" i="160"/>
  <c r="BG59" i="160" s="1"/>
  <c r="AZ59" i="159"/>
  <c r="BJ59" i="159"/>
  <c r="AK59" i="159"/>
  <c r="AU59" i="159"/>
  <c r="BE59" i="159"/>
  <c r="AP59" i="159"/>
  <c r="AS59" i="160"/>
  <c r="AO59" i="160"/>
  <c r="AQ59" i="160"/>
  <c r="AD59" i="159"/>
  <c r="AE59" i="159" s="1"/>
  <c r="AF59" i="159" s="1"/>
  <c r="O59" i="159"/>
  <c r="BZ51" i="158"/>
  <c r="CB51" i="158"/>
  <c r="AX51" i="158"/>
  <c r="AY51" i="158" s="1"/>
  <c r="BC51" i="158" s="1"/>
  <c r="BI51" i="158"/>
  <c r="BM51" i="158" s="1"/>
  <c r="AV51" i="158"/>
  <c r="AW51" i="158" s="1"/>
  <c r="P51" i="158"/>
  <c r="Q51" i="158" s="1"/>
  <c r="R51" i="158"/>
  <c r="S51" i="158" s="1"/>
  <c r="W51" i="158" s="1"/>
  <c r="BX51" i="158"/>
  <c r="U51" i="158"/>
  <c r="V51" i="158" s="1"/>
  <c r="Z51" i="158"/>
  <c r="AA51" i="158" s="1"/>
  <c r="AB51" i="158"/>
  <c r="AC51" i="158" s="1"/>
  <c r="AG51" i="158" s="1"/>
  <c r="BW51" i="158"/>
  <c r="BY51" i="158"/>
  <c r="K51" i="158"/>
  <c r="BH59" i="163" l="1"/>
  <c r="BY59" i="159"/>
  <c r="BJ59" i="162"/>
  <c r="BK59" i="162" s="1"/>
  <c r="BL59" i="162" s="1"/>
  <c r="AK59" i="162"/>
  <c r="BE59" i="162"/>
  <c r="AP59" i="162"/>
  <c r="AQ59" i="162" s="1"/>
  <c r="AR59" i="162" s="1"/>
  <c r="AU59" i="162"/>
  <c r="T59" i="162"/>
  <c r="U59" i="162" s="1"/>
  <c r="V59" i="162" s="1"/>
  <c r="CG58" i="162"/>
  <c r="CV58" i="162" s="1"/>
  <c r="BS59" i="160"/>
  <c r="CG59" i="160" s="1"/>
  <c r="AZ59" i="162"/>
  <c r="BA59" i="162" s="1"/>
  <c r="BB59" i="162" s="1"/>
  <c r="L40" i="79"/>
  <c r="E59" i="162"/>
  <c r="F59" i="162" s="1"/>
  <c r="G59" i="162" s="1"/>
  <c r="H59" i="159"/>
  <c r="I59" i="159" s="1"/>
  <c r="AD59" i="162"/>
  <c r="J48" i="79" s="1"/>
  <c r="J59" i="162"/>
  <c r="Y59" i="162"/>
  <c r="O59" i="162"/>
  <c r="R59" i="162" s="1"/>
  <c r="BT59" i="160"/>
  <c r="CH59" i="160" s="1"/>
  <c r="BX59" i="159"/>
  <c r="P59" i="159"/>
  <c r="Q59" i="159" s="1"/>
  <c r="R59" i="159"/>
  <c r="S59" i="159" s="1"/>
  <c r="BZ59" i="159"/>
  <c r="AN59" i="159"/>
  <c r="AO59" i="159" s="1"/>
  <c r="AL59" i="159"/>
  <c r="AL59" i="163"/>
  <c r="AM59" i="163" s="1"/>
  <c r="BZ59" i="163"/>
  <c r="AN59" i="163"/>
  <c r="AO59" i="163" s="1"/>
  <c r="AE59" i="163"/>
  <c r="AF59" i="163" s="1"/>
  <c r="BK59" i="159"/>
  <c r="BL59" i="159" s="1"/>
  <c r="BK59" i="163"/>
  <c r="BL59" i="163" s="1"/>
  <c r="M59" i="163"/>
  <c r="K59" i="163"/>
  <c r="L59" i="163" s="1"/>
  <c r="BC59" i="159"/>
  <c r="BA59" i="159"/>
  <c r="BB59" i="159" s="1"/>
  <c r="CA59" i="163"/>
  <c r="AX59" i="163"/>
  <c r="AY59" i="163" s="1"/>
  <c r="AV59" i="163"/>
  <c r="AW59" i="163" s="1"/>
  <c r="Z59" i="163"/>
  <c r="AA59" i="163" s="1"/>
  <c r="BW59" i="163"/>
  <c r="AB59" i="163"/>
  <c r="AC59" i="163" s="1"/>
  <c r="AG59" i="163" s="1"/>
  <c r="BC59" i="163"/>
  <c r="BA59" i="163"/>
  <c r="BB59" i="163" s="1"/>
  <c r="BI59" i="163"/>
  <c r="BM59" i="163" s="1"/>
  <c r="AB59" i="159"/>
  <c r="AC59" i="159" s="1"/>
  <c r="AG59" i="159" s="1"/>
  <c r="Z59" i="159"/>
  <c r="AA59" i="159" s="1"/>
  <c r="BW59" i="159"/>
  <c r="P59" i="163"/>
  <c r="Q59" i="163" s="1"/>
  <c r="BX59" i="163"/>
  <c r="R59" i="163"/>
  <c r="S59" i="163" s="1"/>
  <c r="CA59" i="159"/>
  <c r="AV59" i="159"/>
  <c r="AW59" i="159" s="1"/>
  <c r="AX59" i="159"/>
  <c r="AY59" i="159" s="1"/>
  <c r="AR59" i="160"/>
  <c r="CB59" i="163"/>
  <c r="F59" i="163"/>
  <c r="H59" i="163"/>
  <c r="I59" i="163" s="1"/>
  <c r="BY59" i="163"/>
  <c r="BQ59" i="160"/>
  <c r="M59" i="159"/>
  <c r="K59" i="159"/>
  <c r="L59" i="159" s="1"/>
  <c r="AQ59" i="159"/>
  <c r="AR59" i="159" s="1"/>
  <c r="AS59" i="159"/>
  <c r="W59" i="159"/>
  <c r="U59" i="159"/>
  <c r="V59" i="159" s="1"/>
  <c r="W59" i="163"/>
  <c r="U59" i="163"/>
  <c r="V59" i="163" s="1"/>
  <c r="BF59" i="159"/>
  <c r="BG59" i="159" s="1"/>
  <c r="BH59" i="159"/>
  <c r="BI59" i="159" s="1"/>
  <c r="BM59" i="159" s="1"/>
  <c r="CB59" i="159"/>
  <c r="AN59" i="162"/>
  <c r="AL59" i="162"/>
  <c r="BS51" i="158"/>
  <c r="CG51" i="158" s="1"/>
  <c r="BT51" i="158"/>
  <c r="CH51" i="158" s="1"/>
  <c r="BU51" i="158"/>
  <c r="CI51" i="158" s="1"/>
  <c r="BP51" i="158"/>
  <c r="CD51" i="158" s="1"/>
  <c r="BQ51" i="158"/>
  <c r="CE51" i="158" s="1"/>
  <c r="BR51" i="158"/>
  <c r="CF51" i="158" s="1"/>
  <c r="L51" i="158"/>
  <c r="CA59" i="162" l="1"/>
  <c r="AS59" i="162"/>
  <c r="AV59" i="162"/>
  <c r="AW59" i="162" s="1"/>
  <c r="AX59" i="162"/>
  <c r="AY59" i="162" s="1"/>
  <c r="BC59" i="162" s="1"/>
  <c r="H59" i="162"/>
  <c r="E60" i="160"/>
  <c r="BY59" i="162"/>
  <c r="BZ59" i="162"/>
  <c r="BQ59" i="162" s="1"/>
  <c r="CE59" i="162" s="1"/>
  <c r="AO59" i="162"/>
  <c r="M59" i="162"/>
  <c r="K59" i="162"/>
  <c r="L59" i="162" s="1"/>
  <c r="CO58" i="162"/>
  <c r="R47" i="79" s="1"/>
  <c r="CN58" i="162"/>
  <c r="BS59" i="159"/>
  <c r="CG59" i="159" s="1"/>
  <c r="CQ58" i="162"/>
  <c r="T47" i="79" s="1"/>
  <c r="CB59" i="162"/>
  <c r="BP59" i="162" s="1"/>
  <c r="CD59" i="162" s="1"/>
  <c r="I59" i="162"/>
  <c r="S59" i="162"/>
  <c r="W59" i="162" s="1"/>
  <c r="CM58" i="162"/>
  <c r="F48" i="79"/>
  <c r="CT58" i="162"/>
  <c r="CP58" i="162"/>
  <c r="S47" i="79" s="1"/>
  <c r="CZ51" i="158"/>
  <c r="AC40" i="79" s="1"/>
  <c r="CW51" i="158"/>
  <c r="Z40" i="79" s="1"/>
  <c r="CS51" i="158"/>
  <c r="V40" i="79" s="1"/>
  <c r="CX51" i="158"/>
  <c r="AA40" i="79" s="1"/>
  <c r="CY51" i="158"/>
  <c r="AB40" i="79" s="1"/>
  <c r="CT51" i="158"/>
  <c r="W40" i="79" s="1"/>
  <c r="CQ51" i="158"/>
  <c r="CU51" i="158"/>
  <c r="X40" i="79" s="1"/>
  <c r="CV51" i="158"/>
  <c r="Y40" i="79" s="1"/>
  <c r="CO51" i="158"/>
  <c r="CN51" i="158"/>
  <c r="Q40" i="79" s="1"/>
  <c r="CP51" i="158"/>
  <c r="CR51" i="158"/>
  <c r="CK51" i="158"/>
  <c r="N40" i="79" s="1"/>
  <c r="CL51" i="158"/>
  <c r="O40" i="79" s="1"/>
  <c r="CM51" i="158"/>
  <c r="P40" i="79" s="1"/>
  <c r="BF59" i="162"/>
  <c r="BG59" i="162" s="1"/>
  <c r="CX58" i="162"/>
  <c r="BH59" i="162"/>
  <c r="BI59" i="162" s="1"/>
  <c r="BM59" i="162" s="1"/>
  <c r="CZ58" i="162"/>
  <c r="CL58" i="162"/>
  <c r="CK58" i="162"/>
  <c r="AP60" i="160"/>
  <c r="AQ60" i="160" s="1"/>
  <c r="AR60" i="160" s="1"/>
  <c r="CE59" i="160"/>
  <c r="CS58" i="162"/>
  <c r="CY58" i="162"/>
  <c r="CR58" i="162"/>
  <c r="U47" i="79" s="1"/>
  <c r="CU58" i="162"/>
  <c r="CW58" i="162"/>
  <c r="Z59" i="162"/>
  <c r="AA59" i="162" s="1"/>
  <c r="AB59" i="162"/>
  <c r="AC59" i="162" s="1"/>
  <c r="AG59" i="162" s="1"/>
  <c r="AE59" i="162"/>
  <c r="AF59" i="162" s="1"/>
  <c r="BW59" i="162"/>
  <c r="BU59" i="162" s="1"/>
  <c r="CI59" i="162" s="1"/>
  <c r="P59" i="162"/>
  <c r="Q59" i="162" s="1"/>
  <c r="BX59" i="162"/>
  <c r="BT59" i="162" s="1"/>
  <c r="CH59" i="162" s="1"/>
  <c r="BE60" i="160"/>
  <c r="BH60" i="160" s="1"/>
  <c r="H60" i="160"/>
  <c r="F60" i="160"/>
  <c r="G60" i="160" s="1"/>
  <c r="O60" i="160"/>
  <c r="BT59" i="163"/>
  <c r="CH59" i="163" s="1"/>
  <c r="BS59" i="163"/>
  <c r="CG59" i="163" s="1"/>
  <c r="BU59" i="163"/>
  <c r="CI59" i="163" s="1"/>
  <c r="AK60" i="160"/>
  <c r="T60" i="160"/>
  <c r="BJ60" i="160"/>
  <c r="G59" i="163"/>
  <c r="BR59" i="163"/>
  <c r="CF59" i="163" s="1"/>
  <c r="BQ59" i="163"/>
  <c r="CE59" i="163" s="1"/>
  <c r="BP59" i="163"/>
  <c r="CD59" i="163" s="1"/>
  <c r="AZ60" i="160"/>
  <c r="BQ59" i="159"/>
  <c r="CE59" i="159" s="1"/>
  <c r="BR59" i="159"/>
  <c r="CF59" i="159" s="1"/>
  <c r="BP59" i="159"/>
  <c r="CD59" i="159" s="1"/>
  <c r="J60" i="160"/>
  <c r="BU59" i="159"/>
  <c r="CI59" i="159" s="1"/>
  <c r="BT59" i="159"/>
  <c r="CH59" i="159" s="1"/>
  <c r="AM59" i="162"/>
  <c r="AM59" i="159"/>
  <c r="AU60" i="160"/>
  <c r="Y60" i="160"/>
  <c r="AD60" i="160"/>
  <c r="BE52" i="158"/>
  <c r="BH52" i="158" s="1"/>
  <c r="AU52" i="158"/>
  <c r="AX52" i="158" s="1"/>
  <c r="AK52" i="158"/>
  <c r="AN52" i="158" s="1"/>
  <c r="AZ52" i="158"/>
  <c r="BJ52" i="158"/>
  <c r="AD52" i="158"/>
  <c r="AP52" i="158"/>
  <c r="BR59" i="162" l="1"/>
  <c r="AP60" i="162" s="1"/>
  <c r="AQ60" i="162" s="1"/>
  <c r="AR60" i="162" s="1"/>
  <c r="CF59" i="162"/>
  <c r="CP59" i="159"/>
  <c r="CR59" i="159"/>
  <c r="CQ59" i="159"/>
  <c r="CK59" i="159"/>
  <c r="CO59" i="159"/>
  <c r="CM59" i="159"/>
  <c r="CL59" i="159"/>
  <c r="CN59" i="159"/>
  <c r="CS59" i="159"/>
  <c r="CW59" i="159"/>
  <c r="CV59" i="159"/>
  <c r="CT59" i="159"/>
  <c r="CU59" i="159"/>
  <c r="CZ59" i="159"/>
  <c r="CY59" i="159"/>
  <c r="CX59" i="159"/>
  <c r="AS60" i="160"/>
  <c r="CO59" i="160"/>
  <c r="CS59" i="160"/>
  <c r="CN59" i="160"/>
  <c r="CX59" i="160"/>
  <c r="CU59" i="160"/>
  <c r="CV59" i="160"/>
  <c r="CM59" i="160"/>
  <c r="CR59" i="160"/>
  <c r="CP59" i="160"/>
  <c r="CT59" i="160"/>
  <c r="CQ59" i="160"/>
  <c r="CZ59" i="160"/>
  <c r="CL59" i="160"/>
  <c r="CK59" i="160"/>
  <c r="CY59" i="160"/>
  <c r="CW59" i="160"/>
  <c r="CV59" i="163"/>
  <c r="CK59" i="163"/>
  <c r="CN59" i="163"/>
  <c r="CP59" i="163"/>
  <c r="CQ59" i="163"/>
  <c r="CL59" i="163"/>
  <c r="CR59" i="163"/>
  <c r="CM59" i="163"/>
  <c r="CO59" i="163"/>
  <c r="CZ59" i="163"/>
  <c r="CT59" i="163"/>
  <c r="CU59" i="163"/>
  <c r="CS59" i="163"/>
  <c r="CX59" i="163"/>
  <c r="CY59" i="163"/>
  <c r="CW59" i="163"/>
  <c r="BS59" i="162"/>
  <c r="CG59" i="162" s="1"/>
  <c r="CP59" i="162" s="1"/>
  <c r="CB60" i="160"/>
  <c r="BP60" i="160" s="1"/>
  <c r="CD60" i="160" s="1"/>
  <c r="BF60" i="160"/>
  <c r="BG60" i="160" s="1"/>
  <c r="BJ60" i="163"/>
  <c r="BK60" i="163" s="1"/>
  <c r="BL60" i="163" s="1"/>
  <c r="AD60" i="163"/>
  <c r="AE60" i="163" s="1"/>
  <c r="AF60" i="163" s="1"/>
  <c r="BI60" i="160"/>
  <c r="BM60" i="160" s="1"/>
  <c r="AK60" i="159"/>
  <c r="AN60" i="159" s="1"/>
  <c r="K41" i="79"/>
  <c r="O60" i="162"/>
  <c r="P60" i="162" s="1"/>
  <c r="Q60" i="162" s="1"/>
  <c r="AK60" i="163"/>
  <c r="AN60" i="163" s="1"/>
  <c r="E60" i="159"/>
  <c r="F60" i="159" s="1"/>
  <c r="G60" i="159" s="1"/>
  <c r="BJ60" i="159"/>
  <c r="BK60" i="159" s="1"/>
  <c r="BL60" i="159" s="1"/>
  <c r="I60" i="160"/>
  <c r="BF52" i="158"/>
  <c r="BG52" i="158" s="1"/>
  <c r="CA52" i="158"/>
  <c r="AZ60" i="163"/>
  <c r="BA60" i="163" s="1"/>
  <c r="BB60" i="163" s="1"/>
  <c r="AK60" i="162"/>
  <c r="AU60" i="162"/>
  <c r="BE60" i="159"/>
  <c r="AP60" i="159"/>
  <c r="AU60" i="159"/>
  <c r="T60" i="159"/>
  <c r="J60" i="159"/>
  <c r="O60" i="159"/>
  <c r="Y60" i="159"/>
  <c r="BE60" i="162"/>
  <c r="AZ60" i="159"/>
  <c r="O60" i="163"/>
  <c r="T60" i="163"/>
  <c r="E60" i="163"/>
  <c r="Y60" i="163"/>
  <c r="AB60" i="160"/>
  <c r="AC60" i="160" s="1"/>
  <c r="AG60" i="160" s="1"/>
  <c r="Z60" i="160"/>
  <c r="AA60" i="160" s="1"/>
  <c r="BW60" i="160"/>
  <c r="BU60" i="160" s="1"/>
  <c r="CI60" i="160" s="1"/>
  <c r="BA60" i="160"/>
  <c r="BB60" i="160" s="1"/>
  <c r="BE60" i="163"/>
  <c r="CA60" i="160"/>
  <c r="AX60" i="160"/>
  <c r="AY60" i="160" s="1"/>
  <c r="BC60" i="160" s="1"/>
  <c r="AV60" i="160"/>
  <c r="AW60" i="160" s="1"/>
  <c r="BJ60" i="162"/>
  <c r="AZ60" i="162"/>
  <c r="AP60" i="163"/>
  <c r="P60" i="160"/>
  <c r="Q60" i="160" s="1"/>
  <c r="R60" i="160"/>
  <c r="S60" i="160" s="1"/>
  <c r="W60" i="160" s="1"/>
  <c r="BX60" i="160"/>
  <c r="AD60" i="159"/>
  <c r="AU60" i="163"/>
  <c r="AN60" i="160"/>
  <c r="AO60" i="160" s="1"/>
  <c r="BZ60" i="160"/>
  <c r="AL60" i="160"/>
  <c r="AD60" i="162"/>
  <c r="Y60" i="162"/>
  <c r="J60" i="162"/>
  <c r="BK60" i="160"/>
  <c r="BL60" i="160" s="1"/>
  <c r="J60" i="163"/>
  <c r="BZ52" i="158"/>
  <c r="AL52" i="158"/>
  <c r="AM52" i="158" s="1"/>
  <c r="AE60" i="160"/>
  <c r="AF60" i="160" s="1"/>
  <c r="K60" i="160"/>
  <c r="M60" i="160"/>
  <c r="U60" i="160"/>
  <c r="V60" i="160" s="1"/>
  <c r="BY60" i="160"/>
  <c r="E60" i="162"/>
  <c r="AV52" i="158"/>
  <c r="AW52" i="158" s="1"/>
  <c r="AY52" i="158"/>
  <c r="BC52" i="158" s="1"/>
  <c r="BA52" i="158"/>
  <c r="BB52" i="158" s="1"/>
  <c r="J52" i="158"/>
  <c r="O52" i="158"/>
  <c r="H41" i="79" s="1"/>
  <c r="AE52" i="158"/>
  <c r="AF52" i="158" s="1"/>
  <c r="T52" i="158"/>
  <c r="U52" i="158" s="1"/>
  <c r="V52" i="158" s="1"/>
  <c r="AQ52" i="158"/>
  <c r="AR52" i="158" s="1"/>
  <c r="AO52" i="158"/>
  <c r="AS52" i="158" s="1"/>
  <c r="E52" i="158"/>
  <c r="E41" i="79" s="1"/>
  <c r="CB52" i="158"/>
  <c r="BK52" i="158"/>
  <c r="BL52" i="158" s="1"/>
  <c r="BI52" i="158"/>
  <c r="BM52" i="158" s="1"/>
  <c r="Y52" i="158"/>
  <c r="G41" i="79" s="1"/>
  <c r="CQ59" i="162" l="1"/>
  <c r="T48" i="79" s="1"/>
  <c r="T60" i="162"/>
  <c r="U60" i="162" s="1"/>
  <c r="V60" i="162" s="1"/>
  <c r="CX59" i="162"/>
  <c r="CR59" i="162"/>
  <c r="U48" i="79" s="1"/>
  <c r="CK59" i="162"/>
  <c r="CZ59" i="162"/>
  <c r="CO59" i="162"/>
  <c r="R48" i="79" s="1"/>
  <c r="CW59" i="162"/>
  <c r="AS60" i="162"/>
  <c r="CT59" i="162"/>
  <c r="S48" i="79"/>
  <c r="CL59" i="162"/>
  <c r="CM59" i="162"/>
  <c r="CS59" i="162"/>
  <c r="CU59" i="162"/>
  <c r="CV59" i="162"/>
  <c r="CY59" i="162"/>
  <c r="CN59" i="162"/>
  <c r="L41" i="79"/>
  <c r="BR52" i="158"/>
  <c r="CF52" i="158" s="1"/>
  <c r="BP52" i="158"/>
  <c r="CD52" i="158" s="1"/>
  <c r="BW60" i="163"/>
  <c r="AL60" i="159"/>
  <c r="AM60" i="159" s="1"/>
  <c r="F49" i="79"/>
  <c r="BC60" i="163"/>
  <c r="R60" i="162"/>
  <c r="H60" i="159"/>
  <c r="I60" i="159" s="1"/>
  <c r="AL60" i="163"/>
  <c r="AM60" i="163" s="1"/>
  <c r="BQ52" i="158"/>
  <c r="CE52" i="158" s="1"/>
  <c r="BX60" i="162"/>
  <c r="AB60" i="159"/>
  <c r="AC60" i="159" s="1"/>
  <c r="AG60" i="159" s="1"/>
  <c r="BW60" i="159"/>
  <c r="Z60" i="159"/>
  <c r="AA60" i="159" s="1"/>
  <c r="AX60" i="159"/>
  <c r="AY60" i="159" s="1"/>
  <c r="AV60" i="159"/>
  <c r="AW60" i="159" s="1"/>
  <c r="CA60" i="159"/>
  <c r="BY60" i="162"/>
  <c r="H60" i="162"/>
  <c r="I60" i="162" s="1"/>
  <c r="F60" i="162"/>
  <c r="K60" i="162"/>
  <c r="L60" i="162" s="1"/>
  <c r="M60" i="162"/>
  <c r="AM60" i="160"/>
  <c r="CB60" i="163"/>
  <c r="BF60" i="163"/>
  <c r="BG60" i="163" s="1"/>
  <c r="BH60" i="163"/>
  <c r="BI60" i="163" s="1"/>
  <c r="BM60" i="163" s="1"/>
  <c r="R60" i="159"/>
  <c r="S60" i="159" s="1"/>
  <c r="P60" i="159"/>
  <c r="Q60" i="159" s="1"/>
  <c r="BX60" i="159"/>
  <c r="AO60" i="159"/>
  <c r="AS60" i="159"/>
  <c r="AQ60" i="159"/>
  <c r="AR60" i="159" s="1"/>
  <c r="I41" i="79"/>
  <c r="Z60" i="162"/>
  <c r="AA60" i="162" s="1"/>
  <c r="BW60" i="162"/>
  <c r="BU60" i="162" s="1"/>
  <c r="CI60" i="162" s="1"/>
  <c r="AB60" i="162"/>
  <c r="AC60" i="162" s="1"/>
  <c r="AG60" i="162" s="1"/>
  <c r="BQ60" i="160"/>
  <c r="CE60" i="160" s="1"/>
  <c r="BR60" i="160"/>
  <c r="CF60" i="160" s="1"/>
  <c r="AO60" i="163"/>
  <c r="AS60" i="163"/>
  <c r="AQ60" i="163"/>
  <c r="AR60" i="163" s="1"/>
  <c r="AB60" i="163"/>
  <c r="AC60" i="163" s="1"/>
  <c r="AG60" i="163" s="1"/>
  <c r="Z60" i="163"/>
  <c r="AA60" i="163" s="1"/>
  <c r="K60" i="159"/>
  <c r="L60" i="159" s="1"/>
  <c r="M60" i="159"/>
  <c r="BH60" i="159"/>
  <c r="BI60" i="159" s="1"/>
  <c r="BM60" i="159" s="1"/>
  <c r="BF60" i="159"/>
  <c r="BG60" i="159" s="1"/>
  <c r="CB60" i="159"/>
  <c r="BH60" i="162"/>
  <c r="BI60" i="162" s="1"/>
  <c r="BM60" i="162" s="1"/>
  <c r="CB60" i="162"/>
  <c r="BP60" i="162" s="1"/>
  <c r="CD60" i="162" s="1"/>
  <c r="BF60" i="162"/>
  <c r="BG60" i="162" s="1"/>
  <c r="BA60" i="162"/>
  <c r="BB60" i="162" s="1"/>
  <c r="F60" i="163"/>
  <c r="H60" i="163"/>
  <c r="I60" i="163" s="1"/>
  <c r="BY60" i="163"/>
  <c r="W60" i="159"/>
  <c r="U60" i="159"/>
  <c r="V60" i="159" s="1"/>
  <c r="AV60" i="162"/>
  <c r="AW60" i="162" s="1"/>
  <c r="CA60" i="162"/>
  <c r="AX60" i="162"/>
  <c r="AY60" i="162" s="1"/>
  <c r="BC60" i="162" s="1"/>
  <c r="BK60" i="162"/>
  <c r="BL60" i="162" s="1"/>
  <c r="U60" i="163"/>
  <c r="V60" i="163" s="1"/>
  <c r="W60" i="163"/>
  <c r="AN60" i="162"/>
  <c r="AO60" i="162" s="1"/>
  <c r="AL60" i="162"/>
  <c r="BZ60" i="162"/>
  <c r="L60" i="160"/>
  <c r="AE60" i="159"/>
  <c r="AF60" i="159" s="1"/>
  <c r="P60" i="163"/>
  <c r="Q60" i="163" s="1"/>
  <c r="BX60" i="163"/>
  <c r="R60" i="163"/>
  <c r="S60" i="163" s="1"/>
  <c r="BT60" i="160"/>
  <c r="CH60" i="160" s="1"/>
  <c r="BS60" i="160"/>
  <c r="CG60" i="160" s="1"/>
  <c r="J49" i="79"/>
  <c r="AE60" i="162"/>
  <c r="AF60" i="162" s="1"/>
  <c r="AX60" i="163"/>
  <c r="AY60" i="163" s="1"/>
  <c r="AV60" i="163"/>
  <c r="AW60" i="163" s="1"/>
  <c r="CA60" i="163"/>
  <c r="M60" i="163"/>
  <c r="K60" i="163"/>
  <c r="L60" i="163" s="1"/>
  <c r="BC60" i="159"/>
  <c r="BA60" i="159"/>
  <c r="BB60" i="159" s="1"/>
  <c r="BZ60" i="159"/>
  <c r="BY60" i="159"/>
  <c r="BZ60" i="163"/>
  <c r="Z52" i="158"/>
  <c r="AA52" i="158" s="1"/>
  <c r="BW52" i="158"/>
  <c r="AB52" i="158"/>
  <c r="AC52" i="158" s="1"/>
  <c r="AG52" i="158" s="1"/>
  <c r="BX52" i="158"/>
  <c r="P52" i="158"/>
  <c r="Q52" i="158" s="1"/>
  <c r="R52" i="158"/>
  <c r="S52" i="158" s="1"/>
  <c r="W52" i="158" s="1"/>
  <c r="K52" i="158"/>
  <c r="L52" i="158" s="1"/>
  <c r="F52" i="158"/>
  <c r="BY52" i="158"/>
  <c r="H52" i="158"/>
  <c r="I52" i="158" s="1"/>
  <c r="M52" i="158" s="1"/>
  <c r="S60" i="162" l="1"/>
  <c r="W60" i="162" s="1"/>
  <c r="CV60" i="160"/>
  <c r="CO60" i="160"/>
  <c r="CM60" i="160"/>
  <c r="CX60" i="160"/>
  <c r="CP60" i="160"/>
  <c r="CT60" i="160"/>
  <c r="CQ60" i="160"/>
  <c r="CY60" i="160"/>
  <c r="CL60" i="160"/>
  <c r="CZ60" i="160"/>
  <c r="CK60" i="160"/>
  <c r="CS60" i="160"/>
  <c r="CN60" i="160"/>
  <c r="CU60" i="160"/>
  <c r="CR60" i="160"/>
  <c r="CW60" i="160"/>
  <c r="BE61" i="160"/>
  <c r="BH61" i="160" s="1"/>
  <c r="O61" i="160"/>
  <c r="R61" i="160" s="1"/>
  <c r="J61" i="160"/>
  <c r="K61" i="160" s="1"/>
  <c r="L61" i="160" s="1"/>
  <c r="AU61" i="160"/>
  <c r="AV61" i="160" s="1"/>
  <c r="AW61" i="160" s="1"/>
  <c r="BQ60" i="163"/>
  <c r="CE60" i="163" s="1"/>
  <c r="BP60" i="163"/>
  <c r="CD60" i="163" s="1"/>
  <c r="BR60" i="163"/>
  <c r="CF60" i="163" s="1"/>
  <c r="AP61" i="160"/>
  <c r="G60" i="163"/>
  <c r="BU60" i="159"/>
  <c r="CI60" i="159" s="1"/>
  <c r="BT60" i="159"/>
  <c r="CH60" i="159" s="1"/>
  <c r="BS60" i="159"/>
  <c r="CG60" i="159" s="1"/>
  <c r="G60" i="162"/>
  <c r="BJ61" i="160"/>
  <c r="E61" i="160"/>
  <c r="BT60" i="162"/>
  <c r="CH60" i="162" s="1"/>
  <c r="BS60" i="162"/>
  <c r="CG60" i="162" s="1"/>
  <c r="AM60" i="162"/>
  <c r="BQ60" i="159"/>
  <c r="CE60" i="159" s="1"/>
  <c r="BP60" i="159"/>
  <c r="CD60" i="159" s="1"/>
  <c r="BR60" i="159"/>
  <c r="CF60" i="159" s="1"/>
  <c r="T61" i="160"/>
  <c r="AK61" i="160"/>
  <c r="AD61" i="160"/>
  <c r="Y61" i="160"/>
  <c r="BQ60" i="162"/>
  <c r="CE60" i="162" s="1"/>
  <c r="BR60" i="162"/>
  <c r="CF60" i="162" s="1"/>
  <c r="CN60" i="162" s="1"/>
  <c r="BT60" i="163"/>
  <c r="CH60" i="163" s="1"/>
  <c r="BU60" i="163"/>
  <c r="CI60" i="163" s="1"/>
  <c r="BS60" i="163"/>
  <c r="CG60" i="163" s="1"/>
  <c r="AZ61" i="160"/>
  <c r="BS52" i="158"/>
  <c r="CG52" i="158" s="1"/>
  <c r="BT52" i="158"/>
  <c r="CH52" i="158" s="1"/>
  <c r="BU52" i="158"/>
  <c r="CI52" i="158" s="1"/>
  <c r="G52" i="158"/>
  <c r="AU53" i="158" s="1"/>
  <c r="M61" i="160" l="1"/>
  <c r="BF61" i="160"/>
  <c r="BG61" i="160" s="1"/>
  <c r="CY52" i="158"/>
  <c r="AB41" i="79" s="1"/>
  <c r="CZ60" i="162"/>
  <c r="P61" i="160"/>
  <c r="Q61" i="160" s="1"/>
  <c r="BX61" i="160"/>
  <c r="CX60" i="162"/>
  <c r="CO52" i="158"/>
  <c r="CS52" i="158"/>
  <c r="V41" i="79" s="1"/>
  <c r="CT60" i="162"/>
  <c r="CP60" i="162"/>
  <c r="S49" i="79" s="1"/>
  <c r="CL52" i="158"/>
  <c r="O41" i="79" s="1"/>
  <c r="CV52" i="158"/>
  <c r="Y41" i="79" s="1"/>
  <c r="CU60" i="162"/>
  <c r="CQ60" i="162"/>
  <c r="CN52" i="158"/>
  <c r="Q41" i="79" s="1"/>
  <c r="CS60" i="159"/>
  <c r="CQ60" i="159"/>
  <c r="CN60" i="159"/>
  <c r="CO60" i="159"/>
  <c r="CL60" i="159"/>
  <c r="CK60" i="159"/>
  <c r="CM60" i="159"/>
  <c r="CP60" i="159"/>
  <c r="CR60" i="159"/>
  <c r="CT60" i="159"/>
  <c r="CV60" i="159"/>
  <c r="CW60" i="159"/>
  <c r="CU60" i="159"/>
  <c r="CY60" i="159"/>
  <c r="CZ60" i="159"/>
  <c r="CX60" i="159"/>
  <c r="CL60" i="163"/>
  <c r="CK60" i="163"/>
  <c r="CN60" i="163"/>
  <c r="CM60" i="163"/>
  <c r="CP60" i="163"/>
  <c r="CR60" i="163"/>
  <c r="CO60" i="163"/>
  <c r="CV60" i="163"/>
  <c r="CQ60" i="163"/>
  <c r="CS60" i="163"/>
  <c r="CT60" i="163"/>
  <c r="CU60" i="163"/>
  <c r="CZ60" i="163"/>
  <c r="CY60" i="163"/>
  <c r="CX60" i="163"/>
  <c r="CW60" i="163"/>
  <c r="CR52" i="158"/>
  <c r="CZ52" i="158"/>
  <c r="AC41" i="79" s="1"/>
  <c r="CO60" i="162"/>
  <c r="R49" i="79" s="1"/>
  <c r="CK60" i="162"/>
  <c r="CQ52" i="158"/>
  <c r="CW52" i="158"/>
  <c r="Z41" i="79" s="1"/>
  <c r="CR60" i="162"/>
  <c r="U49" i="79" s="1"/>
  <c r="CM60" i="162"/>
  <c r="CT52" i="158"/>
  <c r="W41" i="79" s="1"/>
  <c r="O61" i="162"/>
  <c r="R61" i="162" s="1"/>
  <c r="CK52" i="158"/>
  <c r="N41" i="79" s="1"/>
  <c r="CU52" i="158"/>
  <c r="X41" i="79" s="1"/>
  <c r="CY60" i="162"/>
  <c r="CL60" i="162"/>
  <c r="T49" i="79"/>
  <c r="CX52" i="158"/>
  <c r="AA41" i="79" s="1"/>
  <c r="CP52" i="158"/>
  <c r="CW60" i="162"/>
  <c r="CV60" i="162"/>
  <c r="CM52" i="158"/>
  <c r="P41" i="79" s="1"/>
  <c r="CS60" i="162"/>
  <c r="AU61" i="163"/>
  <c r="AV61" i="163" s="1"/>
  <c r="AW61" i="163" s="1"/>
  <c r="E61" i="159"/>
  <c r="H61" i="159" s="1"/>
  <c r="T61" i="162"/>
  <c r="U61" i="162" s="1"/>
  <c r="V61" i="162" s="1"/>
  <c r="AP61" i="163"/>
  <c r="AS61" i="163" s="1"/>
  <c r="AK61" i="159"/>
  <c r="AN61" i="159" s="1"/>
  <c r="BE61" i="159"/>
  <c r="BH61" i="159" s="1"/>
  <c r="AX61" i="160"/>
  <c r="AY61" i="160" s="1"/>
  <c r="BC61" i="160" s="1"/>
  <c r="J61" i="162"/>
  <c r="M61" i="162" s="1"/>
  <c r="AP61" i="162"/>
  <c r="AS61" i="162" s="1"/>
  <c r="AK61" i="163"/>
  <c r="AL61" i="163" s="1"/>
  <c r="AM61" i="163" s="1"/>
  <c r="E61" i="162"/>
  <c r="H61" i="162" s="1"/>
  <c r="BE61" i="163"/>
  <c r="BF61" i="163" s="1"/>
  <c r="BG61" i="163" s="1"/>
  <c r="BK61" i="160"/>
  <c r="BL61" i="160" s="1"/>
  <c r="O61" i="163"/>
  <c r="AD61" i="163"/>
  <c r="T61" i="163"/>
  <c r="Y61" i="163"/>
  <c r="J61" i="163"/>
  <c r="AZ61" i="159"/>
  <c r="BJ61" i="159"/>
  <c r="AZ61" i="163"/>
  <c r="S61" i="160"/>
  <c r="W61" i="160" s="1"/>
  <c r="AU61" i="162"/>
  <c r="AK61" i="162"/>
  <c r="BJ61" i="162"/>
  <c r="BE61" i="162"/>
  <c r="AZ61" i="162"/>
  <c r="BA61" i="162" s="1"/>
  <c r="BB61" i="162" s="1"/>
  <c r="Y61" i="162"/>
  <c r="BA61" i="160"/>
  <c r="BB61" i="160" s="1"/>
  <c r="AN61" i="160"/>
  <c r="AO61" i="160" s="1"/>
  <c r="AL61" i="160"/>
  <c r="BZ61" i="160"/>
  <c r="AD61" i="159"/>
  <c r="T61" i="159"/>
  <c r="BJ61" i="163"/>
  <c r="AU61" i="159"/>
  <c r="BI61" i="160"/>
  <c r="BM61" i="160" s="1"/>
  <c r="BY61" i="160"/>
  <c r="H61" i="160"/>
  <c r="I61" i="160" s="1"/>
  <c r="F61" i="160"/>
  <c r="AS61" i="160"/>
  <c r="AQ61" i="160"/>
  <c r="AR61" i="160" s="1"/>
  <c r="CA61" i="160"/>
  <c r="U61" i="160"/>
  <c r="V61" i="160" s="1"/>
  <c r="AB61" i="160"/>
  <c r="AC61" i="160" s="1"/>
  <c r="AG61" i="160" s="1"/>
  <c r="Z61" i="160"/>
  <c r="AA61" i="160" s="1"/>
  <c r="BW61" i="160"/>
  <c r="BU61" i="160" s="1"/>
  <c r="CI61" i="160" s="1"/>
  <c r="E61" i="163"/>
  <c r="O61" i="159"/>
  <c r="Y61" i="159"/>
  <c r="AD61" i="162"/>
  <c r="CB61" i="160"/>
  <c r="BP61" i="160" s="1"/>
  <c r="CD61" i="160" s="1"/>
  <c r="AE61" i="160"/>
  <c r="AF61" i="160" s="1"/>
  <c r="J61" i="159"/>
  <c r="BY61" i="159" s="1"/>
  <c r="AP61" i="159"/>
  <c r="T53" i="158"/>
  <c r="U53" i="158" s="1"/>
  <c r="V53" i="158" s="1"/>
  <c r="BE53" i="158"/>
  <c r="BF53" i="158" s="1"/>
  <c r="BG53" i="158" s="1"/>
  <c r="AZ53" i="158"/>
  <c r="CA53" i="158" s="1"/>
  <c r="BJ53" i="158"/>
  <c r="BK53" i="158" s="1"/>
  <c r="BL53" i="158" s="1"/>
  <c r="AP53" i="158"/>
  <c r="AQ53" i="158" s="1"/>
  <c r="AR53" i="158" s="1"/>
  <c r="AK53" i="158"/>
  <c r="AN53" i="158" s="1"/>
  <c r="AX53" i="158"/>
  <c r="AV53" i="158"/>
  <c r="AW53" i="158" s="1"/>
  <c r="AD53" i="158"/>
  <c r="O53" i="158"/>
  <c r="H42" i="79" s="1"/>
  <c r="J53" i="158"/>
  <c r="Y53" i="158"/>
  <c r="E53" i="158"/>
  <c r="F61" i="159" l="1"/>
  <c r="G61" i="159" s="1"/>
  <c r="S61" i="162"/>
  <c r="W61" i="162" s="1"/>
  <c r="P61" i="162"/>
  <c r="Q61" i="162" s="1"/>
  <c r="AX61" i="163"/>
  <c r="AY61" i="163" s="1"/>
  <c r="CA61" i="163"/>
  <c r="BR61" i="163" s="1"/>
  <c r="CF61" i="163" s="1"/>
  <c r="BX61" i="162"/>
  <c r="AQ61" i="163"/>
  <c r="AR61" i="163" s="1"/>
  <c r="BZ61" i="159"/>
  <c r="CB61" i="159"/>
  <c r="BZ61" i="163"/>
  <c r="AO53" i="158"/>
  <c r="AS53" i="158" s="1"/>
  <c r="BF61" i="159"/>
  <c r="BG61" i="159" s="1"/>
  <c r="E42" i="79"/>
  <c r="K42" i="79"/>
  <c r="BH53" i="158"/>
  <c r="G42" i="79"/>
  <c r="AL61" i="159"/>
  <c r="AM61" i="159" s="1"/>
  <c r="K61" i="162"/>
  <c r="L61" i="162" s="1"/>
  <c r="I42" i="79"/>
  <c r="F50" i="79"/>
  <c r="BH61" i="163"/>
  <c r="BI61" i="163" s="1"/>
  <c r="BM61" i="163" s="1"/>
  <c r="I61" i="162"/>
  <c r="AN61" i="163"/>
  <c r="AO61" i="163" s="1"/>
  <c r="F61" i="162"/>
  <c r="G61" i="162" s="1"/>
  <c r="BA53" i="158"/>
  <c r="BB53" i="158" s="1"/>
  <c r="BY61" i="162"/>
  <c r="AQ61" i="162"/>
  <c r="AR61" i="162" s="1"/>
  <c r="BK61" i="163"/>
  <c r="BL61" i="163" s="1"/>
  <c r="AB61" i="159"/>
  <c r="AC61" i="159" s="1"/>
  <c r="AG61" i="159" s="1"/>
  <c r="Z61" i="159"/>
  <c r="AA61" i="159" s="1"/>
  <c r="BW61" i="159"/>
  <c r="W61" i="159"/>
  <c r="U61" i="159"/>
  <c r="V61" i="159" s="1"/>
  <c r="J50" i="79"/>
  <c r="AE61" i="162"/>
  <c r="AF61" i="162" s="1"/>
  <c r="BX61" i="159"/>
  <c r="BS61" i="159" s="1"/>
  <c r="CG61" i="159" s="1"/>
  <c r="R61" i="159"/>
  <c r="S61" i="159" s="1"/>
  <c r="P61" i="159"/>
  <c r="Q61" i="159" s="1"/>
  <c r="AE61" i="159"/>
  <c r="AF61" i="159" s="1"/>
  <c r="Z61" i="162"/>
  <c r="AA61" i="162" s="1"/>
  <c r="AB61" i="162"/>
  <c r="AC61" i="162" s="1"/>
  <c r="AG61" i="162" s="1"/>
  <c r="BW61" i="162"/>
  <c r="BU61" i="162" s="1"/>
  <c r="CI61" i="162" s="1"/>
  <c r="F61" i="163"/>
  <c r="H61" i="163"/>
  <c r="I61" i="163" s="1"/>
  <c r="BY61" i="163"/>
  <c r="G61" i="160"/>
  <c r="AV61" i="159"/>
  <c r="AW61" i="159" s="1"/>
  <c r="CA61" i="159"/>
  <c r="AX61" i="159"/>
  <c r="AY61" i="159" s="1"/>
  <c r="K61" i="163"/>
  <c r="L61" i="163" s="1"/>
  <c r="M61" i="163"/>
  <c r="CB53" i="158"/>
  <c r="BR61" i="160"/>
  <c r="CF61" i="160" s="1"/>
  <c r="BQ61" i="160"/>
  <c r="CE61" i="160" s="1"/>
  <c r="BH61" i="162"/>
  <c r="BI61" i="162" s="1"/>
  <c r="BM61" i="162" s="1"/>
  <c r="CB61" i="162"/>
  <c r="BP61" i="162" s="1"/>
  <c r="CD61" i="162" s="1"/>
  <c r="BF61" i="162"/>
  <c r="BG61" i="162" s="1"/>
  <c r="AO61" i="159"/>
  <c r="AB61" i="163"/>
  <c r="AC61" i="163" s="1"/>
  <c r="AG61" i="163" s="1"/>
  <c r="BW61" i="163"/>
  <c r="Z61" i="163"/>
  <c r="AA61" i="163" s="1"/>
  <c r="BT61" i="160"/>
  <c r="CH61" i="160" s="1"/>
  <c r="BS61" i="160"/>
  <c r="CG61" i="160" s="1"/>
  <c r="AM61" i="160"/>
  <c r="BK61" i="162"/>
  <c r="BL61" i="162" s="1"/>
  <c r="BC61" i="163"/>
  <c r="BA61" i="163"/>
  <c r="BB61" i="163" s="1"/>
  <c r="W61" i="163"/>
  <c r="U61" i="163"/>
  <c r="V61" i="163" s="1"/>
  <c r="CB61" i="163"/>
  <c r="K61" i="159"/>
  <c r="L61" i="159" s="1"/>
  <c r="M61" i="159"/>
  <c r="AN61" i="162"/>
  <c r="AO61" i="162" s="1"/>
  <c r="BZ61" i="162"/>
  <c r="AL61" i="162"/>
  <c r="BI61" i="159"/>
  <c r="BM61" i="159" s="1"/>
  <c r="BK61" i="159"/>
  <c r="BL61" i="159" s="1"/>
  <c r="AE61" i="163"/>
  <c r="AF61" i="163" s="1"/>
  <c r="AQ61" i="159"/>
  <c r="AS61" i="159"/>
  <c r="I61" i="159"/>
  <c r="CA61" i="162"/>
  <c r="AV61" i="162"/>
  <c r="AW61" i="162" s="1"/>
  <c r="AX61" i="162"/>
  <c r="AY61" i="162" s="1"/>
  <c r="BC61" i="162" s="1"/>
  <c r="BC61" i="159"/>
  <c r="BA61" i="159"/>
  <c r="BB61" i="159" s="1"/>
  <c r="P61" i="163"/>
  <c r="Q61" i="163" s="1"/>
  <c r="R61" i="163"/>
  <c r="S61" i="163" s="1"/>
  <c r="BX61" i="163"/>
  <c r="AY53" i="158"/>
  <c r="BC53" i="158" s="1"/>
  <c r="BI53" i="158"/>
  <c r="BM53" i="158" s="1"/>
  <c r="AL53" i="158"/>
  <c r="AM53" i="158" s="1"/>
  <c r="BZ53" i="158"/>
  <c r="R53" i="158"/>
  <c r="S53" i="158" s="1"/>
  <c r="W53" i="158" s="1"/>
  <c r="P53" i="158"/>
  <c r="Q53" i="158" s="1"/>
  <c r="BX53" i="158"/>
  <c r="F53" i="158"/>
  <c r="H53" i="158"/>
  <c r="I53" i="158" s="1"/>
  <c r="M53" i="158" s="1"/>
  <c r="BY53" i="158"/>
  <c r="BW53" i="158"/>
  <c r="Z53" i="158"/>
  <c r="AA53" i="158" s="1"/>
  <c r="AB53" i="158"/>
  <c r="AC53" i="158" s="1"/>
  <c r="AG53" i="158" s="1"/>
  <c r="AE53" i="158"/>
  <c r="AF53" i="158" s="1"/>
  <c r="K53" i="158"/>
  <c r="L53" i="158" s="1"/>
  <c r="CP61" i="160" l="1"/>
  <c r="BQ61" i="163"/>
  <c r="CE61" i="163" s="1"/>
  <c r="BS61" i="162"/>
  <c r="CG61" i="162" s="1"/>
  <c r="CQ61" i="160"/>
  <c r="BP61" i="163"/>
  <c r="CD61" i="163" s="1"/>
  <c r="CX61" i="160"/>
  <c r="CN61" i="160"/>
  <c r="BP61" i="159"/>
  <c r="CD61" i="159" s="1"/>
  <c r="CW61" i="160"/>
  <c r="CO61" i="160"/>
  <c r="CK61" i="160"/>
  <c r="CY61" i="160"/>
  <c r="CV61" i="160"/>
  <c r="CR61" i="160"/>
  <c r="CZ61" i="160"/>
  <c r="CL61" i="160"/>
  <c r="CU61" i="160"/>
  <c r="CT61" i="160"/>
  <c r="CM61" i="160"/>
  <c r="CS61" i="160"/>
  <c r="L42" i="79"/>
  <c r="AZ62" i="160"/>
  <c r="BA62" i="160" s="1"/>
  <c r="BB62" i="160" s="1"/>
  <c r="AP62" i="160"/>
  <c r="AQ62" i="160" s="1"/>
  <c r="AR62" i="160" s="1"/>
  <c r="BT61" i="162"/>
  <c r="CH61" i="162" s="1"/>
  <c r="O62" i="160"/>
  <c r="R62" i="160" s="1"/>
  <c r="AU62" i="160"/>
  <c r="BE62" i="160"/>
  <c r="BT61" i="159"/>
  <c r="CH61" i="159" s="1"/>
  <c r="BU61" i="159"/>
  <c r="CI61" i="159" s="1"/>
  <c r="BJ62" i="160"/>
  <c r="J62" i="160"/>
  <c r="AK62" i="160"/>
  <c r="BQ61" i="159"/>
  <c r="CE61" i="159" s="1"/>
  <c r="AR61" i="159"/>
  <c r="AM61" i="162"/>
  <c r="BS61" i="163"/>
  <c r="CG61" i="163" s="1"/>
  <c r="BU61" i="163"/>
  <c r="CI61" i="163" s="1"/>
  <c r="BT61" i="163"/>
  <c r="CH61" i="163" s="1"/>
  <c r="BR61" i="159"/>
  <c r="CF61" i="159" s="1"/>
  <c r="G61" i="163"/>
  <c r="BQ61" i="162"/>
  <c r="CE61" i="162" s="1"/>
  <c r="BR61" i="162"/>
  <c r="CF61" i="162" s="1"/>
  <c r="E62" i="160"/>
  <c r="AD62" i="160"/>
  <c r="Y62" i="160"/>
  <c r="T62" i="160"/>
  <c r="U62" i="160" s="1"/>
  <c r="V62" i="160" s="1"/>
  <c r="BS53" i="158"/>
  <c r="CG53" i="158" s="1"/>
  <c r="BT53" i="158"/>
  <c r="CH53" i="158" s="1"/>
  <c r="BU53" i="158"/>
  <c r="CI53" i="158" s="1"/>
  <c r="BR53" i="158"/>
  <c r="CF53" i="158" s="1"/>
  <c r="BQ53" i="158"/>
  <c r="CE53" i="158" s="1"/>
  <c r="BP53" i="158"/>
  <c r="CD53" i="158" s="1"/>
  <c r="G53" i="158"/>
  <c r="CQ61" i="163" l="1"/>
  <c r="O62" i="162"/>
  <c r="P62" i="162" s="1"/>
  <c r="Q62" i="162" s="1"/>
  <c r="CQ61" i="162"/>
  <c r="T50" i="79" s="1"/>
  <c r="AZ62" i="163"/>
  <c r="CA62" i="160"/>
  <c r="AS62" i="160"/>
  <c r="CS61" i="162"/>
  <c r="CZ61" i="162"/>
  <c r="CU61" i="163"/>
  <c r="CO61" i="163"/>
  <c r="P62" i="160"/>
  <c r="Q62" i="160" s="1"/>
  <c r="CL61" i="162"/>
  <c r="CN61" i="162"/>
  <c r="CS61" i="163"/>
  <c r="CN61" i="163"/>
  <c r="CK61" i="162"/>
  <c r="CR61" i="162"/>
  <c r="U50" i="79" s="1"/>
  <c r="CZ61" i="163"/>
  <c r="CR61" i="163"/>
  <c r="CY61" i="162"/>
  <c r="CP61" i="162"/>
  <c r="S50" i="79" s="1"/>
  <c r="CT61" i="163"/>
  <c r="CP61" i="163"/>
  <c r="CL61" i="159"/>
  <c r="CK61" i="159"/>
  <c r="CR61" i="159"/>
  <c r="CQ61" i="159"/>
  <c r="CS61" i="159"/>
  <c r="CO61" i="159"/>
  <c r="CP61" i="159"/>
  <c r="CM61" i="159"/>
  <c r="CN61" i="159"/>
  <c r="CU61" i="159"/>
  <c r="CT61" i="159"/>
  <c r="CV61" i="159"/>
  <c r="CW61" i="159"/>
  <c r="CX61" i="159"/>
  <c r="CY61" i="159"/>
  <c r="CZ61" i="159"/>
  <c r="CW53" i="158"/>
  <c r="Z42" i="79" s="1"/>
  <c r="CX53" i="158"/>
  <c r="AA42" i="79" s="1"/>
  <c r="CY53" i="158"/>
  <c r="AB42" i="79" s="1"/>
  <c r="CS53" i="158"/>
  <c r="V42" i="79" s="1"/>
  <c r="CZ53" i="158"/>
  <c r="AC42" i="79" s="1"/>
  <c r="CU53" i="158"/>
  <c r="X42" i="79" s="1"/>
  <c r="CV53" i="158"/>
  <c r="Y42" i="79" s="1"/>
  <c r="CQ53" i="158"/>
  <c r="CT53" i="158"/>
  <c r="W42" i="79" s="1"/>
  <c r="CN53" i="158"/>
  <c r="Q42" i="79" s="1"/>
  <c r="CO53" i="158"/>
  <c r="CL53" i="158"/>
  <c r="O42" i="79" s="1"/>
  <c r="CP53" i="158"/>
  <c r="CK53" i="158"/>
  <c r="N42" i="79" s="1"/>
  <c r="CR53" i="158"/>
  <c r="CM53" i="158"/>
  <c r="P42" i="79" s="1"/>
  <c r="CW61" i="162"/>
  <c r="CV61" i="162"/>
  <c r="CL61" i="163"/>
  <c r="CV61" i="163"/>
  <c r="CX61" i="162"/>
  <c r="CM61" i="162"/>
  <c r="CW61" i="163"/>
  <c r="CK61" i="163"/>
  <c r="CT61" i="162"/>
  <c r="CO61" i="162"/>
  <c r="R50" i="79" s="1"/>
  <c r="CX61" i="163"/>
  <c r="CM61" i="163"/>
  <c r="CU61" i="162"/>
  <c r="CY61" i="163"/>
  <c r="AX62" i="160"/>
  <c r="AY62" i="160" s="1"/>
  <c r="BC62" i="160" s="1"/>
  <c r="AV62" i="160"/>
  <c r="AW62" i="160" s="1"/>
  <c r="E62" i="162"/>
  <c r="F62" i="162" s="1"/>
  <c r="G62" i="162" s="1"/>
  <c r="AZ62" i="159"/>
  <c r="BA62" i="159" s="1"/>
  <c r="BB62" i="159" s="1"/>
  <c r="J62" i="162"/>
  <c r="K62" i="162" s="1"/>
  <c r="L62" i="162" s="1"/>
  <c r="T62" i="162"/>
  <c r="U62" i="162" s="1"/>
  <c r="V62" i="162" s="1"/>
  <c r="AK62" i="159"/>
  <c r="AL62" i="159" s="1"/>
  <c r="AM62" i="159" s="1"/>
  <c r="T62" i="159"/>
  <c r="U62" i="159" s="1"/>
  <c r="V62" i="159" s="1"/>
  <c r="BA62" i="163"/>
  <c r="BB62" i="163" s="1"/>
  <c r="BC62" i="163"/>
  <c r="R62" i="162"/>
  <c r="AL62" i="160"/>
  <c r="BZ62" i="160"/>
  <c r="AN62" i="160"/>
  <c r="AO62" i="160" s="1"/>
  <c r="Y62" i="159"/>
  <c r="M62" i="160"/>
  <c r="K62" i="160"/>
  <c r="L62" i="160" s="1"/>
  <c r="AD62" i="162"/>
  <c r="AP62" i="159"/>
  <c r="BJ62" i="159"/>
  <c r="BJ62" i="163"/>
  <c r="E62" i="159"/>
  <c r="CB62" i="160"/>
  <c r="BP62" i="160" s="1"/>
  <c r="CD62" i="160" s="1"/>
  <c r="BH62" i="160"/>
  <c r="BI62" i="160" s="1"/>
  <c r="BM62" i="160" s="1"/>
  <c r="BF62" i="160"/>
  <c r="BG62" i="160" s="1"/>
  <c r="H62" i="160"/>
  <c r="I62" i="160" s="1"/>
  <c r="BY62" i="160"/>
  <c r="F62" i="160"/>
  <c r="BE62" i="162"/>
  <c r="AP62" i="162"/>
  <c r="AU62" i="162"/>
  <c r="AZ62" i="162"/>
  <c r="BA62" i="162" s="1"/>
  <c r="BB62" i="162" s="1"/>
  <c r="AK62" i="162"/>
  <c r="BJ62" i="162"/>
  <c r="AK62" i="163"/>
  <c r="AP62" i="163"/>
  <c r="O62" i="163"/>
  <c r="AD62" i="163"/>
  <c r="E62" i="163"/>
  <c r="T62" i="163"/>
  <c r="Y62" i="163"/>
  <c r="J62" i="163"/>
  <c r="AD62" i="159"/>
  <c r="J62" i="159"/>
  <c r="Y62" i="162"/>
  <c r="F51" i="79" s="1"/>
  <c r="BX62" i="160"/>
  <c r="AE62" i="160"/>
  <c r="AF62" i="160" s="1"/>
  <c r="AU62" i="163"/>
  <c r="AU62" i="159"/>
  <c r="BE62" i="159"/>
  <c r="O62" i="159"/>
  <c r="S62" i="160"/>
  <c r="W62" i="160" s="1"/>
  <c r="AB62" i="160"/>
  <c r="AC62" i="160" s="1"/>
  <c r="AG62" i="160" s="1"/>
  <c r="BW62" i="160"/>
  <c r="BU62" i="160" s="1"/>
  <c r="CI62" i="160" s="1"/>
  <c r="Z62" i="160"/>
  <c r="AA62" i="160" s="1"/>
  <c r="BE62" i="163"/>
  <c r="BK62" i="160"/>
  <c r="BL62" i="160" s="1"/>
  <c r="AZ54" i="158"/>
  <c r="BA54" i="158" s="1"/>
  <c r="BB54" i="158" s="1"/>
  <c r="BJ54" i="158"/>
  <c r="BK54" i="158" s="1"/>
  <c r="BL54" i="158" s="1"/>
  <c r="AP54" i="158"/>
  <c r="AQ54" i="158" s="1"/>
  <c r="AR54" i="158" s="1"/>
  <c r="BE54" i="158"/>
  <c r="BH54" i="158" s="1"/>
  <c r="AK54" i="158"/>
  <c r="AU54" i="158"/>
  <c r="BI54" i="158" l="1"/>
  <c r="BM54" i="158" s="1"/>
  <c r="BC62" i="159"/>
  <c r="M62" i="162"/>
  <c r="BY62" i="162"/>
  <c r="H62" i="162"/>
  <c r="I62" i="162" s="1"/>
  <c r="W62" i="159"/>
  <c r="BX62" i="162"/>
  <c r="BS62" i="162" s="1"/>
  <c r="CG62" i="162" s="1"/>
  <c r="S62" i="162"/>
  <c r="W62" i="162" s="1"/>
  <c r="BZ62" i="159"/>
  <c r="AN62" i="159"/>
  <c r="AO62" i="159" s="1"/>
  <c r="BH62" i="163"/>
  <c r="BF62" i="163"/>
  <c r="BG62" i="163" s="1"/>
  <c r="R62" i="159"/>
  <c r="S62" i="159" s="1"/>
  <c r="P62" i="159"/>
  <c r="Q62" i="159" s="1"/>
  <c r="BY62" i="159"/>
  <c r="K62" i="159"/>
  <c r="L62" i="159" s="1"/>
  <c r="M62" i="159"/>
  <c r="BZ62" i="163"/>
  <c r="AS62" i="163"/>
  <c r="AQ62" i="163"/>
  <c r="AR62" i="163" s="1"/>
  <c r="H62" i="159"/>
  <c r="I62" i="159" s="1"/>
  <c r="F62" i="159"/>
  <c r="R62" i="163"/>
  <c r="S62" i="163" s="1"/>
  <c r="P62" i="163"/>
  <c r="Q62" i="163" s="1"/>
  <c r="BX62" i="163"/>
  <c r="BH62" i="159"/>
  <c r="BI62" i="159" s="1"/>
  <c r="BM62" i="159" s="1"/>
  <c r="BF62" i="159"/>
  <c r="BG62" i="159" s="1"/>
  <c r="AE62" i="159"/>
  <c r="AF62" i="159" s="1"/>
  <c r="AN62" i="163"/>
  <c r="AO62" i="163" s="1"/>
  <c r="AL62" i="163"/>
  <c r="AM62" i="163" s="1"/>
  <c r="G62" i="160"/>
  <c r="CB62" i="163"/>
  <c r="BK62" i="163"/>
  <c r="BL62" i="163" s="1"/>
  <c r="BI62" i="163"/>
  <c r="BM62" i="163" s="1"/>
  <c r="BW62" i="162"/>
  <c r="BU62" i="162" s="1"/>
  <c r="CI62" i="162" s="1"/>
  <c r="AB62" i="162"/>
  <c r="AC62" i="162" s="1"/>
  <c r="AG62" i="162" s="1"/>
  <c r="Z62" i="162"/>
  <c r="AA62" i="162" s="1"/>
  <c r="K62" i="163"/>
  <c r="L62" i="163" s="1"/>
  <c r="M62" i="163"/>
  <c r="BK62" i="162"/>
  <c r="BL62" i="162" s="1"/>
  <c r="BT62" i="160"/>
  <c r="CH62" i="160" s="1"/>
  <c r="BS62" i="160"/>
  <c r="CG62" i="160" s="1"/>
  <c r="CB62" i="159"/>
  <c r="BK62" i="159"/>
  <c r="BL62" i="159" s="1"/>
  <c r="BW62" i="159"/>
  <c r="AB62" i="159"/>
  <c r="AC62" i="159" s="1"/>
  <c r="AG62" i="159" s="1"/>
  <c r="Z62" i="159"/>
  <c r="AA62" i="159" s="1"/>
  <c r="BH62" i="162"/>
  <c r="BI62" i="162" s="1"/>
  <c r="BM62" i="162" s="1"/>
  <c r="BF62" i="162"/>
  <c r="BG62" i="162" s="1"/>
  <c r="CB62" i="162"/>
  <c r="BP62" i="162" s="1"/>
  <c r="CD62" i="162" s="1"/>
  <c r="Z62" i="163"/>
  <c r="AA62" i="163" s="1"/>
  <c r="AB62" i="163"/>
  <c r="AC62" i="163" s="1"/>
  <c r="AG62" i="163" s="1"/>
  <c r="BW62" i="163"/>
  <c r="AL62" i="162"/>
  <c r="BZ62" i="162"/>
  <c r="AN62" i="162"/>
  <c r="AO62" i="162" s="1"/>
  <c r="AQ62" i="159"/>
  <c r="AR62" i="159" s="1"/>
  <c r="AS62" i="159"/>
  <c r="W62" i="163"/>
  <c r="U62" i="163"/>
  <c r="V62" i="163" s="1"/>
  <c r="CA62" i="163"/>
  <c r="AX62" i="163"/>
  <c r="AY62" i="163" s="1"/>
  <c r="AV62" i="163"/>
  <c r="AW62" i="163" s="1"/>
  <c r="F62" i="163"/>
  <c r="BY62" i="163"/>
  <c r="H62" i="163"/>
  <c r="I62" i="163" s="1"/>
  <c r="CA62" i="162"/>
  <c r="AX62" i="162"/>
  <c r="AY62" i="162" s="1"/>
  <c r="BC62" i="162" s="1"/>
  <c r="AV62" i="162"/>
  <c r="AW62" i="162" s="1"/>
  <c r="BR62" i="160"/>
  <c r="CF62" i="160" s="1"/>
  <c r="BQ62" i="160"/>
  <c r="CE62" i="160" s="1"/>
  <c r="J51" i="79"/>
  <c r="AE62" i="162"/>
  <c r="AF62" i="162" s="1"/>
  <c r="CA62" i="159"/>
  <c r="AV62" i="159"/>
  <c r="AW62" i="159" s="1"/>
  <c r="AX62" i="159"/>
  <c r="AY62" i="159" s="1"/>
  <c r="AE62" i="163"/>
  <c r="AF62" i="163" s="1"/>
  <c r="AS62" i="162"/>
  <c r="AQ62" i="162"/>
  <c r="AR62" i="162" s="1"/>
  <c r="AM62" i="160"/>
  <c r="O63" i="160" s="1"/>
  <c r="BX62" i="159"/>
  <c r="CB54" i="158"/>
  <c r="BF54" i="158"/>
  <c r="BG54" i="158" s="1"/>
  <c r="T54" i="158"/>
  <c r="J54" i="158"/>
  <c r="Y54" i="158"/>
  <c r="G43" i="79" s="1"/>
  <c r="CA54" i="158"/>
  <c r="AV54" i="158"/>
  <c r="AW54" i="158" s="1"/>
  <c r="AX54" i="158"/>
  <c r="AY54" i="158" s="1"/>
  <c r="BC54" i="158" s="1"/>
  <c r="O54" i="158"/>
  <c r="H43" i="79" s="1"/>
  <c r="AD54" i="158"/>
  <c r="K43" i="79" s="1"/>
  <c r="BZ54" i="158"/>
  <c r="AN54" i="158"/>
  <c r="AO54" i="158" s="1"/>
  <c r="AS54" i="158" s="1"/>
  <c r="AL54" i="158"/>
  <c r="AM54" i="158" s="1"/>
  <c r="E54" i="158"/>
  <c r="E43" i="79" s="1"/>
  <c r="I43" i="79" l="1"/>
  <c r="BT62" i="162"/>
  <c r="CH62" i="162" s="1"/>
  <c r="CV62" i="160"/>
  <c r="CW62" i="160"/>
  <c r="CQ62" i="160"/>
  <c r="CX62" i="160"/>
  <c r="CU62" i="160"/>
  <c r="CY62" i="160"/>
  <c r="CO62" i="160"/>
  <c r="CZ62" i="160"/>
  <c r="CN62" i="160"/>
  <c r="CT62" i="160"/>
  <c r="CK62" i="160"/>
  <c r="BP62" i="159"/>
  <c r="CD62" i="159" s="1"/>
  <c r="CS62" i="160"/>
  <c r="CL62" i="160"/>
  <c r="CM62" i="160"/>
  <c r="CR62" i="160"/>
  <c r="CP62" i="160"/>
  <c r="L43" i="79"/>
  <c r="AK63" i="160"/>
  <c r="AN63" i="160" s="1"/>
  <c r="AU63" i="160"/>
  <c r="AX63" i="160" s="1"/>
  <c r="AZ63" i="160"/>
  <c r="BA63" i="160" s="1"/>
  <c r="BB63" i="160" s="1"/>
  <c r="BP62" i="163"/>
  <c r="CD62" i="163" s="1"/>
  <c r="BE63" i="160"/>
  <c r="BH63" i="160" s="1"/>
  <c r="BU62" i="159"/>
  <c r="CI62" i="159" s="1"/>
  <c r="BT62" i="159"/>
  <c r="CH62" i="159" s="1"/>
  <c r="BS62" i="159"/>
  <c r="BT62" i="163"/>
  <c r="CH62" i="163" s="1"/>
  <c r="BS62" i="163"/>
  <c r="CG62" i="163" s="1"/>
  <c r="BU62" i="163"/>
  <c r="CI62" i="163" s="1"/>
  <c r="G62" i="163"/>
  <c r="T63" i="160"/>
  <c r="BX63" i="160" s="1"/>
  <c r="AD63" i="160"/>
  <c r="Y63" i="160"/>
  <c r="J63" i="160"/>
  <c r="E63" i="160"/>
  <c r="AP63" i="160"/>
  <c r="BQ62" i="163"/>
  <c r="CE62" i="163" s="1"/>
  <c r="BR62" i="163"/>
  <c r="CF62" i="163" s="1"/>
  <c r="BQ62" i="159"/>
  <c r="CE62" i="159" s="1"/>
  <c r="G62" i="159"/>
  <c r="P63" i="160"/>
  <c r="Q63" i="160" s="1"/>
  <c r="R63" i="160"/>
  <c r="BR62" i="159"/>
  <c r="CF62" i="159" s="1"/>
  <c r="BQ62" i="162"/>
  <c r="CE62" i="162" s="1"/>
  <c r="BR62" i="162"/>
  <c r="CF62" i="162" s="1"/>
  <c r="BJ63" i="160"/>
  <c r="AM62" i="162"/>
  <c r="BP54" i="158"/>
  <c r="CD54" i="158" s="1"/>
  <c r="BQ54" i="158"/>
  <c r="CE54" i="158" s="1"/>
  <c r="BR54" i="158"/>
  <c r="CF54" i="158" s="1"/>
  <c r="F54" i="158"/>
  <c r="BY54" i="158"/>
  <c r="H54" i="158"/>
  <c r="I54" i="158" s="1"/>
  <c r="M54" i="158" s="1"/>
  <c r="P54" i="158"/>
  <c r="Q54" i="158" s="1"/>
  <c r="R54" i="158"/>
  <c r="S54" i="158" s="1"/>
  <c r="W54" i="158" s="1"/>
  <c r="BX54" i="158"/>
  <c r="AB54" i="158"/>
  <c r="AC54" i="158" s="1"/>
  <c r="AG54" i="158" s="1"/>
  <c r="Z54" i="158"/>
  <c r="AA54" i="158" s="1"/>
  <c r="BW54" i="158"/>
  <c r="K54" i="158"/>
  <c r="L54" i="158" s="1"/>
  <c r="AE54" i="158"/>
  <c r="AF54" i="158" s="1"/>
  <c r="U54" i="158"/>
  <c r="V54" i="158" s="1"/>
  <c r="AY63" i="160" l="1"/>
  <c r="BC63" i="160" s="1"/>
  <c r="O63" i="162"/>
  <c r="AV63" i="160"/>
  <c r="AW63" i="160" s="1"/>
  <c r="AL63" i="160"/>
  <c r="AM63" i="160" s="1"/>
  <c r="CA63" i="160"/>
  <c r="CS62" i="162"/>
  <c r="CN62" i="162"/>
  <c r="CR62" i="162"/>
  <c r="U51" i="79" s="1"/>
  <c r="CZ62" i="162"/>
  <c r="CP62" i="162"/>
  <c r="S51" i="79" s="1"/>
  <c r="CO62" i="162"/>
  <c r="R51" i="79" s="1"/>
  <c r="CQ62" i="162"/>
  <c r="T51" i="79" s="1"/>
  <c r="CX62" i="162"/>
  <c r="CM62" i="162"/>
  <c r="CK62" i="163"/>
  <c r="CQ62" i="163"/>
  <c r="CV62" i="163"/>
  <c r="CR62" i="163"/>
  <c r="CM62" i="163"/>
  <c r="CP62" i="163"/>
  <c r="CL62" i="163"/>
  <c r="CN62" i="163"/>
  <c r="CO62" i="163"/>
  <c r="CT62" i="163"/>
  <c r="CZ62" i="163"/>
  <c r="CS62" i="163"/>
  <c r="CU62" i="163"/>
  <c r="CX62" i="163"/>
  <c r="CY62" i="163"/>
  <c r="CW62" i="163"/>
  <c r="CY62" i="162"/>
  <c r="CL62" i="162"/>
  <c r="O63" i="159"/>
  <c r="P63" i="159" s="1"/>
  <c r="Q63" i="159" s="1"/>
  <c r="CG62" i="159"/>
  <c r="CQ62" i="159" s="1"/>
  <c r="CW62" i="162"/>
  <c r="CV62" i="162"/>
  <c r="CT62" i="162"/>
  <c r="CK62" i="162"/>
  <c r="CU62" i="162"/>
  <c r="T63" i="163"/>
  <c r="W63" i="163" s="1"/>
  <c r="BE63" i="159"/>
  <c r="BF63" i="159" s="1"/>
  <c r="BG63" i="159" s="1"/>
  <c r="E63" i="163"/>
  <c r="F63" i="163" s="1"/>
  <c r="G63" i="163" s="1"/>
  <c r="J63" i="163"/>
  <c r="K63" i="163" s="1"/>
  <c r="L63" i="163" s="1"/>
  <c r="BF63" i="160"/>
  <c r="BG63" i="160" s="1"/>
  <c r="BE63" i="163"/>
  <c r="BF63" i="163" s="1"/>
  <c r="BG63" i="163" s="1"/>
  <c r="E63" i="162"/>
  <c r="H63" i="162" s="1"/>
  <c r="AP63" i="159"/>
  <c r="AS63" i="159" s="1"/>
  <c r="AZ63" i="163"/>
  <c r="BC63" i="163" s="1"/>
  <c r="E63" i="159"/>
  <c r="H63" i="159" s="1"/>
  <c r="R63" i="162"/>
  <c r="P63" i="162"/>
  <c r="Q63" i="162" s="1"/>
  <c r="S63" i="160"/>
  <c r="W63" i="160" s="1"/>
  <c r="AD63" i="159"/>
  <c r="Y63" i="159"/>
  <c r="AQ63" i="160"/>
  <c r="AS63" i="160"/>
  <c r="M63" i="163"/>
  <c r="AP63" i="163"/>
  <c r="BK63" i="160"/>
  <c r="BL63" i="160" s="1"/>
  <c r="CB63" i="160"/>
  <c r="BP63" i="160" s="1"/>
  <c r="CD63" i="160" s="1"/>
  <c r="AU63" i="163"/>
  <c r="AK63" i="163"/>
  <c r="BJ63" i="163"/>
  <c r="F63" i="160"/>
  <c r="BY63" i="160"/>
  <c r="H63" i="160"/>
  <c r="I63" i="160" s="1"/>
  <c r="O63" i="163"/>
  <c r="Y63" i="163"/>
  <c r="AD63" i="163"/>
  <c r="AP63" i="162"/>
  <c r="AZ63" i="162"/>
  <c r="BE63" i="162"/>
  <c r="AK63" i="162"/>
  <c r="BJ63" i="162"/>
  <c r="AU63" i="162"/>
  <c r="AZ63" i="159"/>
  <c r="BI63" i="160"/>
  <c r="BM63" i="160" s="1"/>
  <c r="K63" i="160"/>
  <c r="L63" i="160" s="1"/>
  <c r="M63" i="160"/>
  <c r="BZ63" i="160"/>
  <c r="U63" i="160"/>
  <c r="V63" i="160" s="1"/>
  <c r="AD63" i="162"/>
  <c r="Y63" i="162"/>
  <c r="AK63" i="159"/>
  <c r="J63" i="159"/>
  <c r="BY63" i="159" s="1"/>
  <c r="BW63" i="160"/>
  <c r="BU63" i="160" s="1"/>
  <c r="CI63" i="160" s="1"/>
  <c r="AB63" i="160"/>
  <c r="AC63" i="160" s="1"/>
  <c r="AG63" i="160" s="1"/>
  <c r="Z63" i="160"/>
  <c r="AA63" i="160" s="1"/>
  <c r="AO63" i="160"/>
  <c r="T63" i="159"/>
  <c r="J63" i="162"/>
  <c r="T63" i="162"/>
  <c r="BJ63" i="159"/>
  <c r="AU63" i="159"/>
  <c r="AE63" i="160"/>
  <c r="AF63" i="160" s="1"/>
  <c r="BT54" i="158"/>
  <c r="CH54" i="158" s="1"/>
  <c r="BU54" i="158"/>
  <c r="CI54" i="158" s="1"/>
  <c r="BS54" i="158"/>
  <c r="CG54" i="158" s="1"/>
  <c r="G54" i="158"/>
  <c r="AK55" i="158" s="1"/>
  <c r="H63" i="163" l="1"/>
  <c r="I63" i="163" s="1"/>
  <c r="CY62" i="159"/>
  <c r="CZ62" i="159"/>
  <c r="CB63" i="163"/>
  <c r="R63" i="159"/>
  <c r="BH63" i="159"/>
  <c r="CP62" i="159"/>
  <c r="CW54" i="158"/>
  <c r="Z43" i="79" s="1"/>
  <c r="CX62" i="159"/>
  <c r="CV54" i="158"/>
  <c r="Y43" i="79" s="1"/>
  <c r="BY63" i="163"/>
  <c r="CL62" i="159"/>
  <c r="CM62" i="159"/>
  <c r="CS54" i="158"/>
  <c r="V43" i="79" s="1"/>
  <c r="CR62" i="159"/>
  <c r="CK54" i="158"/>
  <c r="N43" i="79" s="1"/>
  <c r="CR54" i="158"/>
  <c r="CO54" i="158"/>
  <c r="CQ54" i="158"/>
  <c r="CN62" i="159"/>
  <c r="U63" i="163"/>
  <c r="V63" i="163" s="1"/>
  <c r="CX54" i="158"/>
  <c r="AA43" i="79" s="1"/>
  <c r="CP54" i="158"/>
  <c r="CN54" i="158"/>
  <c r="Q43" i="79" s="1"/>
  <c r="CZ54" i="158"/>
  <c r="AC43" i="79" s="1"/>
  <c r="CT62" i="159"/>
  <c r="CO62" i="159"/>
  <c r="CM54" i="158"/>
  <c r="P43" i="79" s="1"/>
  <c r="CY54" i="158"/>
  <c r="AB43" i="79" s="1"/>
  <c r="CU62" i="159"/>
  <c r="CK62" i="159"/>
  <c r="CL54" i="158"/>
  <c r="O43" i="79" s="1"/>
  <c r="CU54" i="158"/>
  <c r="X43" i="79" s="1"/>
  <c r="CW62" i="159"/>
  <c r="CS62" i="159"/>
  <c r="CT54" i="158"/>
  <c r="W43" i="79" s="1"/>
  <c r="CV62" i="159"/>
  <c r="BY63" i="162"/>
  <c r="F63" i="162"/>
  <c r="G63" i="162" s="1"/>
  <c r="AQ63" i="159"/>
  <c r="AR63" i="159" s="1"/>
  <c r="S63" i="162"/>
  <c r="W63" i="162" s="1"/>
  <c r="BA63" i="163"/>
  <c r="BB63" i="163" s="1"/>
  <c r="F52" i="79"/>
  <c r="BH63" i="163"/>
  <c r="BI63" i="163" s="1"/>
  <c r="BM63" i="163" s="1"/>
  <c r="F63" i="159"/>
  <c r="G63" i="159" s="1"/>
  <c r="BZ63" i="162"/>
  <c r="AQ63" i="162"/>
  <c r="AR63" i="162" s="1"/>
  <c r="AS63" i="162"/>
  <c r="AX63" i="159"/>
  <c r="AY63" i="159" s="1"/>
  <c r="AV63" i="159"/>
  <c r="AW63" i="159" s="1"/>
  <c r="CA63" i="159"/>
  <c r="Z63" i="162"/>
  <c r="AA63" i="162" s="1"/>
  <c r="BW63" i="162"/>
  <c r="BU63" i="162" s="1"/>
  <c r="CI63" i="162" s="1"/>
  <c r="AB63" i="162"/>
  <c r="AC63" i="162" s="1"/>
  <c r="AG63" i="162" s="1"/>
  <c r="J52" i="79"/>
  <c r="AE63" i="162"/>
  <c r="AF63" i="162" s="1"/>
  <c r="BA63" i="159"/>
  <c r="BB63" i="159" s="1"/>
  <c r="BC63" i="159"/>
  <c r="BT63" i="160"/>
  <c r="CH63" i="160" s="1"/>
  <c r="BS63" i="160"/>
  <c r="CG63" i="160" s="1"/>
  <c r="BZ63" i="163"/>
  <c r="AQ63" i="163"/>
  <c r="AR63" i="163" s="1"/>
  <c r="AS63" i="163"/>
  <c r="AR63" i="160"/>
  <c r="U63" i="159"/>
  <c r="V63" i="159" s="1"/>
  <c r="S63" i="159"/>
  <c r="W63" i="159"/>
  <c r="U63" i="162"/>
  <c r="V63" i="162" s="1"/>
  <c r="AX63" i="162"/>
  <c r="AY63" i="162" s="1"/>
  <c r="BC63" i="162" s="1"/>
  <c r="AV63" i="162"/>
  <c r="AW63" i="162" s="1"/>
  <c r="CA63" i="162"/>
  <c r="G63" i="160"/>
  <c r="CB63" i="159"/>
  <c r="BK63" i="159"/>
  <c r="BL63" i="159" s="1"/>
  <c r="M63" i="162"/>
  <c r="K63" i="162"/>
  <c r="L63" i="162" s="1"/>
  <c r="BK63" i="162"/>
  <c r="BL63" i="162" s="1"/>
  <c r="I63" i="162"/>
  <c r="BK63" i="163"/>
  <c r="BL63" i="163" s="1"/>
  <c r="BI63" i="159"/>
  <c r="BM63" i="159" s="1"/>
  <c r="BZ63" i="159"/>
  <c r="AL63" i="159"/>
  <c r="AN63" i="159"/>
  <c r="AO63" i="159" s="1"/>
  <c r="AL63" i="162"/>
  <c r="AN63" i="162"/>
  <c r="AO63" i="162" s="1"/>
  <c r="AE63" i="163"/>
  <c r="AF63" i="163" s="1"/>
  <c r="AL63" i="163"/>
  <c r="AN63" i="163"/>
  <c r="AO63" i="163" s="1"/>
  <c r="AB63" i="159"/>
  <c r="AC63" i="159" s="1"/>
  <c r="AG63" i="159" s="1"/>
  <c r="BW63" i="159"/>
  <c r="Z63" i="159"/>
  <c r="AA63" i="159" s="1"/>
  <c r="BH63" i="162"/>
  <c r="BI63" i="162" s="1"/>
  <c r="BM63" i="162" s="1"/>
  <c r="CB63" i="162"/>
  <c r="BP63" i="162" s="1"/>
  <c r="CD63" i="162" s="1"/>
  <c r="BF63" i="162"/>
  <c r="BG63" i="162" s="1"/>
  <c r="BW63" i="163"/>
  <c r="AB63" i="163"/>
  <c r="AC63" i="163" s="1"/>
  <c r="AG63" i="163" s="1"/>
  <c r="Z63" i="163"/>
  <c r="AA63" i="163" s="1"/>
  <c r="AX63" i="163"/>
  <c r="AY63" i="163" s="1"/>
  <c r="CA63" i="163"/>
  <c r="AV63" i="163"/>
  <c r="AW63" i="163" s="1"/>
  <c r="AE63" i="159"/>
  <c r="AF63" i="159" s="1"/>
  <c r="BX63" i="162"/>
  <c r="BT63" i="162" s="1"/>
  <c r="CH63" i="162" s="1"/>
  <c r="BR63" i="160"/>
  <c r="CF63" i="160" s="1"/>
  <c r="BQ63" i="160"/>
  <c r="CE63" i="160" s="1"/>
  <c r="BX63" i="159"/>
  <c r="BS63" i="159" s="1"/>
  <c r="CG63" i="159" s="1"/>
  <c r="M63" i="159"/>
  <c r="K63" i="159"/>
  <c r="BA63" i="162"/>
  <c r="BB63" i="162" s="1"/>
  <c r="P63" i="163"/>
  <c r="Q63" i="163" s="1"/>
  <c r="BX63" i="163"/>
  <c r="BS63" i="163" s="1"/>
  <c r="CG63" i="163" s="1"/>
  <c r="R63" i="163"/>
  <c r="S63" i="163" s="1"/>
  <c r="I63" i="159"/>
  <c r="BE55" i="158"/>
  <c r="BH55" i="158" s="1"/>
  <c r="AZ55" i="158"/>
  <c r="BA55" i="158" s="1"/>
  <c r="BB55" i="158" s="1"/>
  <c r="AP55" i="158"/>
  <c r="BZ55" i="158" s="1"/>
  <c r="BJ55" i="158"/>
  <c r="BK55" i="158" s="1"/>
  <c r="BL55" i="158" s="1"/>
  <c r="AN55" i="158"/>
  <c r="AL55" i="158"/>
  <c r="AM55" i="158" s="1"/>
  <c r="AU55" i="158"/>
  <c r="Y55" i="158"/>
  <c r="CP63" i="160" l="1"/>
  <c r="CQ63" i="160"/>
  <c r="CW63" i="160"/>
  <c r="CV63" i="160"/>
  <c r="CT63" i="160"/>
  <c r="CM63" i="160"/>
  <c r="CZ63" i="160"/>
  <c r="CN63" i="160"/>
  <c r="CX63" i="160"/>
  <c r="CS63" i="160"/>
  <c r="CK63" i="160"/>
  <c r="CY63" i="160"/>
  <c r="CO63" i="160"/>
  <c r="CR63" i="160"/>
  <c r="CU63" i="160"/>
  <c r="CL63" i="160"/>
  <c r="BE64" i="160"/>
  <c r="BF64" i="160" s="1"/>
  <c r="BG64" i="160" s="1"/>
  <c r="E64" i="160"/>
  <c r="H64" i="160" s="1"/>
  <c r="BR63" i="163"/>
  <c r="CF63" i="163" s="1"/>
  <c r="G44" i="79"/>
  <c r="O64" i="160"/>
  <c r="R64" i="160" s="1"/>
  <c r="AU64" i="160"/>
  <c r="AX64" i="160" s="1"/>
  <c r="AD64" i="160"/>
  <c r="AE64" i="160" s="1"/>
  <c r="AF64" i="160" s="1"/>
  <c r="J64" i="160"/>
  <c r="Y64" i="160"/>
  <c r="AB64" i="160" s="1"/>
  <c r="AP64" i="160"/>
  <c r="AS64" i="160" s="1"/>
  <c r="AZ64" i="160"/>
  <c r="BA64" i="160" s="1"/>
  <c r="BB64" i="160" s="1"/>
  <c r="AK64" i="160"/>
  <c r="T64" i="160"/>
  <c r="U64" i="160" s="1"/>
  <c r="V64" i="160" s="1"/>
  <c r="BT63" i="163"/>
  <c r="CH63" i="163" s="1"/>
  <c r="L63" i="159"/>
  <c r="BR63" i="159"/>
  <c r="CF63" i="159" s="1"/>
  <c r="BQ63" i="159"/>
  <c r="CE63" i="159" s="1"/>
  <c r="BP63" i="159"/>
  <c r="BU63" i="163"/>
  <c r="CI63" i="163" s="1"/>
  <c r="BQ63" i="163"/>
  <c r="CE63" i="163" s="1"/>
  <c r="BP63" i="163"/>
  <c r="CD63" i="163" s="1"/>
  <c r="BR63" i="162"/>
  <c r="BQ63" i="162"/>
  <c r="CE63" i="162" s="1"/>
  <c r="BT63" i="159"/>
  <c r="CH63" i="159" s="1"/>
  <c r="BU63" i="159"/>
  <c r="CI63" i="159" s="1"/>
  <c r="AM63" i="159"/>
  <c r="AM63" i="162"/>
  <c r="BJ64" i="160"/>
  <c r="BS63" i="162"/>
  <c r="CG63" i="162" s="1"/>
  <c r="AM63" i="163"/>
  <c r="AO55" i="158"/>
  <c r="AS55" i="158" s="1"/>
  <c r="AQ55" i="158"/>
  <c r="AR55" i="158" s="1"/>
  <c r="BI55" i="158"/>
  <c r="BM55" i="158" s="1"/>
  <c r="CB55" i="158"/>
  <c r="BF55" i="158"/>
  <c r="BG55" i="158" s="1"/>
  <c r="J55" i="158"/>
  <c r="AD55" i="158"/>
  <c r="Z55" i="158"/>
  <c r="AA55" i="158" s="1"/>
  <c r="AB55" i="158"/>
  <c r="AX55" i="158"/>
  <c r="AY55" i="158" s="1"/>
  <c r="BC55" i="158" s="1"/>
  <c r="CA55" i="158"/>
  <c r="BP55" i="158" s="1"/>
  <c r="CD55" i="158" s="1"/>
  <c r="AV55" i="158"/>
  <c r="AW55" i="158" s="1"/>
  <c r="T55" i="158"/>
  <c r="O55" i="158"/>
  <c r="H44" i="79" s="1"/>
  <c r="E55" i="158"/>
  <c r="E44" i="79" s="1"/>
  <c r="AY64" i="160" l="1"/>
  <c r="BC64" i="160" s="1"/>
  <c r="P64" i="160"/>
  <c r="Q64" i="160" s="1"/>
  <c r="BY64" i="160"/>
  <c r="F64" i="160"/>
  <c r="G64" i="160" s="1"/>
  <c r="AZ64" i="162"/>
  <c r="BA64" i="162" s="1"/>
  <c r="BB64" i="162" s="1"/>
  <c r="CF63" i="162"/>
  <c r="CR63" i="162" s="1"/>
  <c r="U52" i="79" s="1"/>
  <c r="CP63" i="163"/>
  <c r="CV63" i="163"/>
  <c r="CR63" i="163"/>
  <c r="CK63" i="163"/>
  <c r="CN63" i="163"/>
  <c r="CQ63" i="163"/>
  <c r="CL63" i="163"/>
  <c r="CM63" i="163"/>
  <c r="CO63" i="163"/>
  <c r="CZ63" i="163"/>
  <c r="CU63" i="163"/>
  <c r="CT63" i="163"/>
  <c r="CS63" i="163"/>
  <c r="CX63" i="163"/>
  <c r="CY63" i="163"/>
  <c r="CW63" i="163"/>
  <c r="AK64" i="159"/>
  <c r="CD63" i="159"/>
  <c r="BH64" i="160"/>
  <c r="BI64" i="160" s="1"/>
  <c r="BM64" i="160" s="1"/>
  <c r="CB64" i="160"/>
  <c r="BP64" i="160" s="1"/>
  <c r="CD64" i="160" s="1"/>
  <c r="BE64" i="162"/>
  <c r="BJ64" i="162"/>
  <c r="AV64" i="160"/>
  <c r="AW64" i="160" s="1"/>
  <c r="AC64" i="160"/>
  <c r="AG64" i="160" s="1"/>
  <c r="AP64" i="162"/>
  <c r="AQ64" i="162" s="1"/>
  <c r="AR64" i="162" s="1"/>
  <c r="I64" i="160"/>
  <c r="J64" i="163"/>
  <c r="K64" i="163" s="1"/>
  <c r="L64" i="163" s="1"/>
  <c r="AK64" i="162"/>
  <c r="AL64" i="162" s="1"/>
  <c r="AM64" i="162" s="1"/>
  <c r="CA64" i="160"/>
  <c r="BW64" i="160"/>
  <c r="BU64" i="160" s="1"/>
  <c r="CI64" i="160" s="1"/>
  <c r="K64" i="160"/>
  <c r="L64" i="160" s="1"/>
  <c r="M64" i="160"/>
  <c r="AU64" i="163"/>
  <c r="AX64" i="163" s="1"/>
  <c r="Z64" i="160"/>
  <c r="AA64" i="160" s="1"/>
  <c r="Y64" i="162"/>
  <c r="BZ64" i="160"/>
  <c r="AQ64" i="160"/>
  <c r="AR64" i="160" s="1"/>
  <c r="O64" i="163"/>
  <c r="P64" i="163" s="1"/>
  <c r="Q64" i="163" s="1"/>
  <c r="BJ64" i="163"/>
  <c r="BK64" i="163" s="1"/>
  <c r="BL64" i="163" s="1"/>
  <c r="AN64" i="160"/>
  <c r="AO64" i="160" s="1"/>
  <c r="J64" i="159"/>
  <c r="M64" i="159" s="1"/>
  <c r="I44" i="79"/>
  <c r="S64" i="160"/>
  <c r="W64" i="160" s="1"/>
  <c r="AP64" i="159"/>
  <c r="AQ64" i="159" s="1"/>
  <c r="AR64" i="159" s="1"/>
  <c r="BX64" i="160"/>
  <c r="BS64" i="160" s="1"/>
  <c r="CG64" i="160" s="1"/>
  <c r="AZ64" i="159"/>
  <c r="BA64" i="159" s="1"/>
  <c r="BB64" i="159" s="1"/>
  <c r="O64" i="162"/>
  <c r="P64" i="162" s="1"/>
  <c r="Q64" i="162" s="1"/>
  <c r="BE64" i="159"/>
  <c r="BF64" i="159" s="1"/>
  <c r="BG64" i="159" s="1"/>
  <c r="AD64" i="162"/>
  <c r="AZ64" i="163"/>
  <c r="AL64" i="160"/>
  <c r="AM64" i="160" s="1"/>
  <c r="O64" i="159"/>
  <c r="AU64" i="159"/>
  <c r="AV64" i="159" s="1"/>
  <c r="AW64" i="159" s="1"/>
  <c r="R64" i="163"/>
  <c r="AS64" i="162"/>
  <c r="AP64" i="163"/>
  <c r="AK64" i="163"/>
  <c r="BW55" i="158"/>
  <c r="K44" i="79"/>
  <c r="T64" i="159"/>
  <c r="BK64" i="160"/>
  <c r="BL64" i="160" s="1"/>
  <c r="T64" i="162"/>
  <c r="Y64" i="159"/>
  <c r="AN64" i="159"/>
  <c r="AL64" i="159"/>
  <c r="AM64" i="159" s="1"/>
  <c r="E64" i="162"/>
  <c r="BE64" i="163"/>
  <c r="Y64" i="163"/>
  <c r="AD64" i="159"/>
  <c r="BF64" i="162"/>
  <c r="BG64" i="162" s="1"/>
  <c r="BH64" i="162"/>
  <c r="BI64" i="162" s="1"/>
  <c r="BM64" i="162" s="1"/>
  <c r="CB64" i="162"/>
  <c r="BP64" i="162" s="1"/>
  <c r="CD64" i="162" s="1"/>
  <c r="J64" i="162"/>
  <c r="AU64" i="162"/>
  <c r="AD64" i="163"/>
  <c r="BK64" i="162"/>
  <c r="BL64" i="162" s="1"/>
  <c r="E64" i="163"/>
  <c r="T64" i="163"/>
  <c r="E64" i="159"/>
  <c r="BJ64" i="159"/>
  <c r="BR55" i="158"/>
  <c r="CF55" i="158" s="1"/>
  <c r="BQ55" i="158"/>
  <c r="CE55" i="158" s="1"/>
  <c r="U55" i="158"/>
  <c r="V55" i="158" s="1"/>
  <c r="H55" i="158"/>
  <c r="I55" i="158" s="1"/>
  <c r="M55" i="158" s="1"/>
  <c r="BY55" i="158"/>
  <c r="F55" i="158"/>
  <c r="AE55" i="158"/>
  <c r="AF55" i="158" s="1"/>
  <c r="AC55" i="158"/>
  <c r="AG55" i="158" s="1"/>
  <c r="P55" i="158"/>
  <c r="Q55" i="158" s="1"/>
  <c r="R55" i="158"/>
  <c r="S55" i="158" s="1"/>
  <c r="W55" i="158" s="1"/>
  <c r="BX55" i="158"/>
  <c r="K55" i="158"/>
  <c r="L55" i="158" s="1"/>
  <c r="F53" i="79" l="1"/>
  <c r="CW63" i="162"/>
  <c r="CM63" i="162"/>
  <c r="CZ63" i="162"/>
  <c r="CS63" i="162"/>
  <c r="CX63" i="162"/>
  <c r="CK63" i="162"/>
  <c r="CV63" i="162"/>
  <c r="CN63" i="162"/>
  <c r="CY63" i="162"/>
  <c r="CA64" i="163"/>
  <c r="CL63" i="162"/>
  <c r="CU63" i="162"/>
  <c r="CR63" i="159"/>
  <c r="CQ63" i="159"/>
  <c r="CK63" i="159"/>
  <c r="CO63" i="159"/>
  <c r="CM63" i="159"/>
  <c r="CS63" i="159"/>
  <c r="CL63" i="159"/>
  <c r="CN63" i="159"/>
  <c r="CP63" i="159"/>
  <c r="CT63" i="159"/>
  <c r="CW63" i="159"/>
  <c r="CU63" i="159"/>
  <c r="CV63" i="159"/>
  <c r="CX63" i="159"/>
  <c r="CY63" i="159"/>
  <c r="CZ63" i="159"/>
  <c r="CQ63" i="162"/>
  <c r="T52" i="79" s="1"/>
  <c r="CP63" i="162"/>
  <c r="S52" i="79" s="1"/>
  <c r="CT63" i="162"/>
  <c r="CO63" i="162"/>
  <c r="R52" i="79" s="1"/>
  <c r="L44" i="79"/>
  <c r="AV64" i="163"/>
  <c r="AW64" i="163" s="1"/>
  <c r="BZ64" i="162"/>
  <c r="BQ64" i="160"/>
  <c r="CE64" i="160" s="1"/>
  <c r="M64" i="163"/>
  <c r="BR64" i="160"/>
  <c r="AN64" i="162"/>
  <c r="AO64" i="162" s="1"/>
  <c r="BT64" i="160"/>
  <c r="AD65" i="160" s="1"/>
  <c r="AE65" i="160" s="1"/>
  <c r="AF65" i="160" s="1"/>
  <c r="AB64" i="162"/>
  <c r="AC64" i="162" s="1"/>
  <c r="AG64" i="162" s="1"/>
  <c r="BW64" i="162"/>
  <c r="BU64" i="162" s="1"/>
  <c r="CI64" i="162" s="1"/>
  <c r="AO64" i="159"/>
  <c r="Z64" i="162"/>
  <c r="AA64" i="162" s="1"/>
  <c r="AS64" i="159"/>
  <c r="BZ64" i="159"/>
  <c r="AX64" i="159"/>
  <c r="AY64" i="159" s="1"/>
  <c r="R64" i="162"/>
  <c r="S64" i="162" s="1"/>
  <c r="W64" i="162" s="1"/>
  <c r="K64" i="159"/>
  <c r="L64" i="159" s="1"/>
  <c r="R64" i="159"/>
  <c r="S64" i="159" s="1"/>
  <c r="BH64" i="159"/>
  <c r="BI64" i="159" s="1"/>
  <c r="BM64" i="159" s="1"/>
  <c r="BC64" i="159"/>
  <c r="AE64" i="162"/>
  <c r="AF64" i="162" s="1"/>
  <c r="J53" i="79"/>
  <c r="CA64" i="159"/>
  <c r="BC64" i="163"/>
  <c r="BA64" i="163"/>
  <c r="BB64" i="163" s="1"/>
  <c r="P64" i="159"/>
  <c r="Q64" i="159" s="1"/>
  <c r="AY64" i="163"/>
  <c r="U64" i="159"/>
  <c r="V64" i="159" s="1"/>
  <c r="W64" i="159"/>
  <c r="CA64" i="162"/>
  <c r="BY64" i="162"/>
  <c r="H64" i="162"/>
  <c r="I64" i="162" s="1"/>
  <c r="F64" i="162"/>
  <c r="BK64" i="159"/>
  <c r="BL64" i="159" s="1"/>
  <c r="AE64" i="159"/>
  <c r="AF64" i="159" s="1"/>
  <c r="H64" i="163"/>
  <c r="I64" i="163" s="1"/>
  <c r="BY64" i="163"/>
  <c r="F64" i="163"/>
  <c r="AE64" i="163"/>
  <c r="AF64" i="163" s="1"/>
  <c r="AB64" i="163"/>
  <c r="AC64" i="163" s="1"/>
  <c r="AG64" i="163" s="1"/>
  <c r="BW64" i="163"/>
  <c r="Z64" i="163"/>
  <c r="AA64" i="163" s="1"/>
  <c r="BW64" i="159"/>
  <c r="AB64" i="159"/>
  <c r="AC64" i="159" s="1"/>
  <c r="AG64" i="159" s="1"/>
  <c r="Z64" i="159"/>
  <c r="AA64" i="159" s="1"/>
  <c r="AS64" i="163"/>
  <c r="AQ64" i="163"/>
  <c r="AR64" i="163" s="1"/>
  <c r="AX64" i="162"/>
  <c r="AY64" i="162" s="1"/>
  <c r="BC64" i="162" s="1"/>
  <c r="AV64" i="162"/>
  <c r="AW64" i="162" s="1"/>
  <c r="BH64" i="163"/>
  <c r="BI64" i="163" s="1"/>
  <c r="BM64" i="163" s="1"/>
  <c r="BF64" i="163"/>
  <c r="BG64" i="163" s="1"/>
  <c r="CB64" i="163"/>
  <c r="U64" i="162"/>
  <c r="V64" i="162" s="1"/>
  <c r="CB64" i="159"/>
  <c r="BX64" i="162"/>
  <c r="BJ65" i="160"/>
  <c r="AL64" i="163"/>
  <c r="AN64" i="163"/>
  <c r="AO64" i="163" s="1"/>
  <c r="BZ64" i="163"/>
  <c r="S64" i="163"/>
  <c r="H64" i="159"/>
  <c r="I64" i="159" s="1"/>
  <c r="F64" i="159"/>
  <c r="BY64" i="159"/>
  <c r="K64" i="162"/>
  <c r="L64" i="162" s="1"/>
  <c r="M64" i="162"/>
  <c r="U64" i="163"/>
  <c r="V64" i="163" s="1"/>
  <c r="W64" i="163"/>
  <c r="BX64" i="159"/>
  <c r="BX64" i="163"/>
  <c r="BS55" i="158"/>
  <c r="CG55" i="158" s="1"/>
  <c r="BT55" i="158"/>
  <c r="CH55" i="158" s="1"/>
  <c r="BU55" i="158"/>
  <c r="CI55" i="158" s="1"/>
  <c r="G55" i="158"/>
  <c r="AP56" i="158" s="1"/>
  <c r="BR64" i="162" l="1"/>
  <c r="CF64" i="162" s="1"/>
  <c r="CT55" i="158"/>
  <c r="W44" i="79" s="1"/>
  <c r="CQ55" i="158"/>
  <c r="CZ55" i="158"/>
  <c r="AC44" i="79" s="1"/>
  <c r="CL55" i="158"/>
  <c r="O44" i="79" s="1"/>
  <c r="T65" i="160"/>
  <c r="U65" i="160" s="1"/>
  <c r="V65" i="160" s="1"/>
  <c r="CH64" i="160"/>
  <c r="CN55" i="158"/>
  <c r="Q44" i="79" s="1"/>
  <c r="CR55" i="158"/>
  <c r="BE65" i="160"/>
  <c r="BF65" i="160" s="1"/>
  <c r="BG65" i="160" s="1"/>
  <c r="CS55" i="158"/>
  <c r="V44" i="79" s="1"/>
  <c r="CU55" i="158"/>
  <c r="X44" i="79" s="1"/>
  <c r="CV55" i="158"/>
  <c r="Y44" i="79" s="1"/>
  <c r="CM55" i="158"/>
  <c r="P44" i="79" s="1"/>
  <c r="AZ65" i="160"/>
  <c r="BA65" i="160" s="1"/>
  <c r="BB65" i="160" s="1"/>
  <c r="AP65" i="160"/>
  <c r="AS65" i="160" s="1"/>
  <c r="CF64" i="160"/>
  <c r="CY55" i="158"/>
  <c r="AB44" i="79" s="1"/>
  <c r="CW55" i="158"/>
  <c r="Z44" i="79" s="1"/>
  <c r="CO55" i="158"/>
  <c r="AU65" i="160"/>
  <c r="AK65" i="160"/>
  <c r="AN65" i="160" s="1"/>
  <c r="CP55" i="158"/>
  <c r="CK55" i="158"/>
  <c r="N44" i="79" s="1"/>
  <c r="CX55" i="158"/>
  <c r="AA44" i="79" s="1"/>
  <c r="J65" i="160"/>
  <c r="K65" i="160" s="1"/>
  <c r="L65" i="160" s="1"/>
  <c r="CB65" i="160"/>
  <c r="BP65" i="160" s="1"/>
  <c r="CD65" i="160" s="1"/>
  <c r="E65" i="160"/>
  <c r="F65" i="160" s="1"/>
  <c r="Y65" i="160"/>
  <c r="AB65" i="160" s="1"/>
  <c r="AC65" i="160" s="1"/>
  <c r="AG65" i="160" s="1"/>
  <c r="BR64" i="159"/>
  <c r="CF64" i="159" s="1"/>
  <c r="O65" i="160"/>
  <c r="BQ64" i="159"/>
  <c r="CE64" i="159" s="1"/>
  <c r="BP64" i="159"/>
  <c r="CD64" i="159" s="1"/>
  <c r="BT64" i="163"/>
  <c r="CH64" i="163" s="1"/>
  <c r="BQ64" i="162"/>
  <c r="CE64" i="162" s="1"/>
  <c r="BS64" i="159"/>
  <c r="CG64" i="159" s="1"/>
  <c r="BU64" i="159"/>
  <c r="CI64" i="159" s="1"/>
  <c r="BT64" i="159"/>
  <c r="CH64" i="159" s="1"/>
  <c r="AM64" i="163"/>
  <c r="G64" i="159"/>
  <c r="BK65" i="160"/>
  <c r="BL65" i="160" s="1"/>
  <c r="G64" i="162"/>
  <c r="G64" i="163"/>
  <c r="AX65" i="160"/>
  <c r="BS64" i="163"/>
  <c r="CG64" i="163" s="1"/>
  <c r="BU64" i="163"/>
  <c r="CI64" i="163" s="1"/>
  <c r="H65" i="160"/>
  <c r="BT64" i="162"/>
  <c r="CH64" i="162" s="1"/>
  <c r="BS64" i="162"/>
  <c r="CG64" i="162" s="1"/>
  <c r="BQ64" i="163"/>
  <c r="CE64" i="163" s="1"/>
  <c r="BP64" i="163"/>
  <c r="CD64" i="163" s="1"/>
  <c r="BR64" i="163"/>
  <c r="CF64" i="163" s="1"/>
  <c r="AZ56" i="158"/>
  <c r="BA56" i="158" s="1"/>
  <c r="BB56" i="158" s="1"/>
  <c r="BJ56" i="158"/>
  <c r="BK56" i="158" s="1"/>
  <c r="BL56" i="158" s="1"/>
  <c r="AU56" i="158"/>
  <c r="AX56" i="158" s="1"/>
  <c r="BE56" i="158"/>
  <c r="BF56" i="158" s="1"/>
  <c r="BG56" i="158" s="1"/>
  <c r="AK56" i="158"/>
  <c r="AN56" i="158" s="1"/>
  <c r="AO56" i="158" s="1"/>
  <c r="AS56" i="158" s="1"/>
  <c r="AQ56" i="158"/>
  <c r="AR56" i="158" s="1"/>
  <c r="O56" i="158"/>
  <c r="H45" i="79" s="1"/>
  <c r="CA65" i="160" l="1"/>
  <c r="AY65" i="160"/>
  <c r="BC65" i="160" s="1"/>
  <c r="CL64" i="160"/>
  <c r="AV65" i="160"/>
  <c r="AW65" i="160" s="1"/>
  <c r="AL65" i="160"/>
  <c r="AM65" i="160" s="1"/>
  <c r="AQ65" i="160"/>
  <c r="AR65" i="160" s="1"/>
  <c r="BZ65" i="160"/>
  <c r="BQ65" i="160" s="1"/>
  <c r="CE65" i="160" s="1"/>
  <c r="BX65" i="160"/>
  <c r="AO65" i="160"/>
  <c r="BH65" i="160"/>
  <c r="BI65" i="160" s="1"/>
  <c r="BM65" i="160" s="1"/>
  <c r="M65" i="160"/>
  <c r="I65" i="160"/>
  <c r="CO64" i="160"/>
  <c r="CR64" i="160"/>
  <c r="CQ64" i="163"/>
  <c r="CM64" i="163"/>
  <c r="CR64" i="163"/>
  <c r="CN64" i="163"/>
  <c r="CL64" i="163"/>
  <c r="CK64" i="163"/>
  <c r="CV64" i="163"/>
  <c r="CO64" i="163"/>
  <c r="CP64" i="163"/>
  <c r="CT64" i="163"/>
  <c r="CZ64" i="163"/>
  <c r="CU64" i="163"/>
  <c r="CS64" i="163"/>
  <c r="CW64" i="163"/>
  <c r="CX64" i="163"/>
  <c r="CY64" i="163"/>
  <c r="CQ64" i="160"/>
  <c r="CT64" i="160"/>
  <c r="CX64" i="160"/>
  <c r="CZ64" i="160"/>
  <c r="CY64" i="160"/>
  <c r="CU64" i="160"/>
  <c r="CM64" i="160"/>
  <c r="CN64" i="160"/>
  <c r="CK64" i="162"/>
  <c r="CY64" i="162"/>
  <c r="CR64" i="162"/>
  <c r="CZ64" i="162"/>
  <c r="CQ64" i="162"/>
  <c r="CO64" i="162"/>
  <c r="CL64" i="162"/>
  <c r="CU64" i="162"/>
  <c r="CN64" i="162"/>
  <c r="CT64" i="162"/>
  <c r="CP64" i="162"/>
  <c r="CS64" i="162"/>
  <c r="CM64" i="162"/>
  <c r="CW64" i="162"/>
  <c r="CV64" i="162"/>
  <c r="CX64" i="162"/>
  <c r="CW64" i="160"/>
  <c r="CP64" i="160"/>
  <c r="CV64" i="160"/>
  <c r="CS64" i="160"/>
  <c r="CQ64" i="159"/>
  <c r="CP64" i="159"/>
  <c r="CK64" i="159"/>
  <c r="CS64" i="159"/>
  <c r="CO64" i="159"/>
  <c r="CN64" i="159"/>
  <c r="CR64" i="159"/>
  <c r="CM64" i="159"/>
  <c r="CL64" i="159"/>
  <c r="CU64" i="159"/>
  <c r="CW64" i="159"/>
  <c r="CT64" i="159"/>
  <c r="CV64" i="159"/>
  <c r="CY64" i="159"/>
  <c r="CX64" i="159"/>
  <c r="CZ64" i="159"/>
  <c r="CK64" i="160"/>
  <c r="Z65" i="160"/>
  <c r="AA65" i="160" s="1"/>
  <c r="BW65" i="160"/>
  <c r="BJ65" i="159"/>
  <c r="BY65" i="160"/>
  <c r="BS65" i="160" s="1"/>
  <c r="CG65" i="160" s="1"/>
  <c r="AP65" i="159"/>
  <c r="AQ65" i="159" s="1"/>
  <c r="AR65" i="159" s="1"/>
  <c r="AZ65" i="162"/>
  <c r="BA65" i="162" s="1"/>
  <c r="BB65" i="162" s="1"/>
  <c r="P65" i="160"/>
  <c r="Q65" i="160" s="1"/>
  <c r="R65" i="160"/>
  <c r="S65" i="160" s="1"/>
  <c r="W65" i="160" s="1"/>
  <c r="AZ65" i="159"/>
  <c r="BC65" i="159" s="1"/>
  <c r="AP65" i="162"/>
  <c r="AQ65" i="162" s="1"/>
  <c r="AR65" i="162" s="1"/>
  <c r="BJ65" i="162"/>
  <c r="BK65" i="162" s="1"/>
  <c r="BL65" i="162" s="1"/>
  <c r="AZ65" i="163"/>
  <c r="BC65" i="163" s="1"/>
  <c r="BE65" i="162"/>
  <c r="BH65" i="162" s="1"/>
  <c r="BR65" i="160"/>
  <c r="CF65" i="160" s="1"/>
  <c r="Y65" i="163"/>
  <c r="Z65" i="163" s="1"/>
  <c r="AA65" i="163" s="1"/>
  <c r="BJ65" i="163"/>
  <c r="BK65" i="163" s="1"/>
  <c r="BL65" i="163" s="1"/>
  <c r="AU65" i="163"/>
  <c r="BU65" i="160"/>
  <c r="CI65" i="160" s="1"/>
  <c r="E65" i="163"/>
  <c r="O65" i="159"/>
  <c r="T65" i="159"/>
  <c r="Y65" i="159"/>
  <c r="AD65" i="159"/>
  <c r="E65" i="159"/>
  <c r="J65" i="159"/>
  <c r="T65" i="163"/>
  <c r="BK65" i="159"/>
  <c r="BL65" i="159" s="1"/>
  <c r="J65" i="163"/>
  <c r="Y65" i="162"/>
  <c r="J65" i="162"/>
  <c r="T65" i="162"/>
  <c r="AD65" i="162"/>
  <c r="E65" i="162"/>
  <c r="O65" i="162"/>
  <c r="AK65" i="163"/>
  <c r="AK65" i="159"/>
  <c r="O65" i="163"/>
  <c r="BE65" i="159"/>
  <c r="CB65" i="159" s="1"/>
  <c r="AD65" i="163"/>
  <c r="AS65" i="159"/>
  <c r="AU65" i="159"/>
  <c r="BE65" i="163"/>
  <c r="G65" i="160"/>
  <c r="AK65" i="162"/>
  <c r="AU65" i="162"/>
  <c r="AP65" i="163"/>
  <c r="AY56" i="158"/>
  <c r="BC56" i="158" s="1"/>
  <c r="BH56" i="158"/>
  <c r="BI56" i="158" s="1"/>
  <c r="BM56" i="158" s="1"/>
  <c r="AV56" i="158"/>
  <c r="AW56" i="158" s="1"/>
  <c r="CA56" i="158"/>
  <c r="CB56" i="158"/>
  <c r="BZ56" i="158"/>
  <c r="AL56" i="158"/>
  <c r="AM56" i="158" s="1"/>
  <c r="J56" i="158"/>
  <c r="T56" i="158"/>
  <c r="BX56" i="158" s="1"/>
  <c r="AD56" i="158"/>
  <c r="K45" i="79" s="1"/>
  <c r="P56" i="158"/>
  <c r="Q56" i="158" s="1"/>
  <c r="R56" i="158"/>
  <c r="E56" i="158"/>
  <c r="E45" i="79" s="1"/>
  <c r="Y56" i="158"/>
  <c r="G45" i="79" s="1"/>
  <c r="S53" i="79" l="1"/>
  <c r="BT65" i="160"/>
  <c r="CH65" i="160" s="1"/>
  <c r="CR65" i="160" s="1"/>
  <c r="T53" i="79"/>
  <c r="CV65" i="160"/>
  <c r="U53" i="79"/>
  <c r="R53" i="79"/>
  <c r="L45" i="79"/>
  <c r="BA65" i="159"/>
  <c r="BB65" i="159" s="1"/>
  <c r="AS65" i="162"/>
  <c r="BI65" i="162"/>
  <c r="BM65" i="162" s="1"/>
  <c r="CB65" i="162"/>
  <c r="BP65" i="162" s="1"/>
  <c r="CD65" i="162" s="1"/>
  <c r="BA65" i="163"/>
  <c r="BB65" i="163" s="1"/>
  <c r="F54" i="79"/>
  <c r="BE66" i="160"/>
  <c r="BF66" i="160" s="1"/>
  <c r="BG66" i="160" s="1"/>
  <c r="BF65" i="162"/>
  <c r="BG65" i="162" s="1"/>
  <c r="AB65" i="163"/>
  <c r="AC65" i="163" s="1"/>
  <c r="AG65" i="163" s="1"/>
  <c r="I45" i="79"/>
  <c r="BW65" i="163"/>
  <c r="AK66" i="160"/>
  <c r="AN66" i="160" s="1"/>
  <c r="H65" i="163"/>
  <c r="I65" i="163" s="1"/>
  <c r="BY65" i="163"/>
  <c r="F65" i="163"/>
  <c r="AX65" i="159"/>
  <c r="AY65" i="159" s="1"/>
  <c r="AV65" i="159"/>
  <c r="AW65" i="159" s="1"/>
  <c r="CA65" i="159"/>
  <c r="AB65" i="162"/>
  <c r="AC65" i="162" s="1"/>
  <c r="AG65" i="162" s="1"/>
  <c r="BW65" i="162"/>
  <c r="BU65" i="162" s="1"/>
  <c r="CI65" i="162" s="1"/>
  <c r="Z65" i="162"/>
  <c r="AA65" i="162" s="1"/>
  <c r="W65" i="163"/>
  <c r="U65" i="163"/>
  <c r="V65" i="163" s="1"/>
  <c r="K65" i="163"/>
  <c r="L65" i="163" s="1"/>
  <c r="M65" i="163"/>
  <c r="M65" i="159"/>
  <c r="K65" i="159"/>
  <c r="L65" i="159" s="1"/>
  <c r="CA65" i="163"/>
  <c r="AV65" i="163"/>
  <c r="AW65" i="163" s="1"/>
  <c r="AX65" i="163"/>
  <c r="AY65" i="163" s="1"/>
  <c r="O66" i="160"/>
  <c r="J66" i="160"/>
  <c r="E66" i="160"/>
  <c r="Y66" i="160"/>
  <c r="T66" i="160"/>
  <c r="AD66" i="160"/>
  <c r="AP66" i="160"/>
  <c r="BZ65" i="163"/>
  <c r="AN65" i="163"/>
  <c r="AO65" i="163" s="1"/>
  <c r="AL65" i="163"/>
  <c r="BY65" i="159"/>
  <c r="H65" i="159"/>
  <c r="I65" i="159" s="1"/>
  <c r="F65" i="159"/>
  <c r="K65" i="162"/>
  <c r="L65" i="162" s="1"/>
  <c r="M65" i="162"/>
  <c r="AL65" i="162"/>
  <c r="AM65" i="162" s="1"/>
  <c r="AN65" i="162"/>
  <c r="AO65" i="162" s="1"/>
  <c r="BZ65" i="162"/>
  <c r="BX65" i="162"/>
  <c r="R65" i="162"/>
  <c r="S65" i="162" s="1"/>
  <c r="W65" i="162" s="1"/>
  <c r="P65" i="162"/>
  <c r="Q65" i="162" s="1"/>
  <c r="BW65" i="159"/>
  <c r="AE65" i="159"/>
  <c r="AF65" i="159" s="1"/>
  <c r="AZ66" i="160"/>
  <c r="AU66" i="160"/>
  <c r="BJ66" i="160"/>
  <c r="BX65" i="163"/>
  <c r="R65" i="163"/>
  <c r="S65" i="163" s="1"/>
  <c r="P65" i="163"/>
  <c r="Q65" i="163" s="1"/>
  <c r="BY65" i="162"/>
  <c r="F65" i="162"/>
  <c r="H65" i="162"/>
  <c r="I65" i="162" s="1"/>
  <c r="AB65" i="159"/>
  <c r="AC65" i="159" s="1"/>
  <c r="AG65" i="159" s="1"/>
  <c r="Z65" i="159"/>
  <c r="AA65" i="159" s="1"/>
  <c r="BH65" i="163"/>
  <c r="BI65" i="163" s="1"/>
  <c r="BM65" i="163" s="1"/>
  <c r="CB65" i="163"/>
  <c r="BF65" i="163"/>
  <c r="BG65" i="163" s="1"/>
  <c r="AE65" i="163"/>
  <c r="AF65" i="163" s="1"/>
  <c r="AL65" i="159"/>
  <c r="AM65" i="159" s="1"/>
  <c r="AN65" i="159"/>
  <c r="AO65" i="159" s="1"/>
  <c r="BZ65" i="159"/>
  <c r="J54" i="79"/>
  <c r="AE65" i="162"/>
  <c r="AF65" i="162" s="1"/>
  <c r="BX65" i="159"/>
  <c r="U65" i="159"/>
  <c r="V65" i="159" s="1"/>
  <c r="W65" i="159"/>
  <c r="AX65" i="162"/>
  <c r="AY65" i="162" s="1"/>
  <c r="BC65" i="162" s="1"/>
  <c r="CA65" i="162"/>
  <c r="AV65" i="162"/>
  <c r="AW65" i="162" s="1"/>
  <c r="AQ65" i="163"/>
  <c r="AR65" i="163" s="1"/>
  <c r="AS65" i="163"/>
  <c r="BF65" i="159"/>
  <c r="BG65" i="159" s="1"/>
  <c r="BH65" i="159"/>
  <c r="BI65" i="159" s="1"/>
  <c r="BM65" i="159" s="1"/>
  <c r="U65" i="162"/>
  <c r="V65" i="162" s="1"/>
  <c r="P65" i="159"/>
  <c r="Q65" i="159" s="1"/>
  <c r="R65" i="159"/>
  <c r="S65" i="159" s="1"/>
  <c r="BP56" i="158"/>
  <c r="CD56" i="158" s="1"/>
  <c r="BQ56" i="158"/>
  <c r="CE56" i="158" s="1"/>
  <c r="BR56" i="158"/>
  <c r="CF56" i="158" s="1"/>
  <c r="AE56" i="158"/>
  <c r="AF56" i="158" s="1"/>
  <c r="U56" i="158"/>
  <c r="V56" i="158" s="1"/>
  <c r="S56" i="158"/>
  <c r="W56" i="158" s="1"/>
  <c r="K56" i="158"/>
  <c r="L56" i="158" s="1"/>
  <c r="BW56" i="158"/>
  <c r="AB56" i="158"/>
  <c r="AC56" i="158" s="1"/>
  <c r="AG56" i="158" s="1"/>
  <c r="Z56" i="158"/>
  <c r="AA56" i="158" s="1"/>
  <c r="BY56" i="158"/>
  <c r="H56" i="158"/>
  <c r="I56" i="158" s="1"/>
  <c r="M56" i="158" s="1"/>
  <c r="F56" i="158"/>
  <c r="CT65" i="160" l="1"/>
  <c r="CY65" i="160"/>
  <c r="CX65" i="160"/>
  <c r="CW65" i="160"/>
  <c r="CK65" i="160"/>
  <c r="CN65" i="160"/>
  <c r="CM65" i="160"/>
  <c r="CP65" i="160"/>
  <c r="CO65" i="160"/>
  <c r="CU65" i="160"/>
  <c r="CS65" i="160"/>
  <c r="CL65" i="160"/>
  <c r="CQ65" i="160"/>
  <c r="CZ65" i="160"/>
  <c r="AL66" i="160"/>
  <c r="AM66" i="160" s="1"/>
  <c r="BH66" i="160"/>
  <c r="BI66" i="160" s="1"/>
  <c r="BM66" i="160" s="1"/>
  <c r="AO66" i="160"/>
  <c r="BK66" i="160"/>
  <c r="BL66" i="160" s="1"/>
  <c r="AM65" i="163"/>
  <c r="AE66" i="160"/>
  <c r="AF66" i="160" s="1"/>
  <c r="BU65" i="163"/>
  <c r="CI65" i="163" s="1"/>
  <c r="BS65" i="163"/>
  <c r="CG65" i="163" s="1"/>
  <c r="BT65" i="163"/>
  <c r="CH65" i="163" s="1"/>
  <c r="AX66" i="160"/>
  <c r="AY66" i="160" s="1"/>
  <c r="BC66" i="160" s="1"/>
  <c r="CA66" i="160"/>
  <c r="AV66" i="160"/>
  <c r="AW66" i="160" s="1"/>
  <c r="U66" i="160"/>
  <c r="V66" i="160" s="1"/>
  <c r="G65" i="162"/>
  <c r="BA66" i="160"/>
  <c r="BB66" i="160" s="1"/>
  <c r="BQ65" i="163"/>
  <c r="CE65" i="163" s="1"/>
  <c r="BR65" i="163"/>
  <c r="CF65" i="163" s="1"/>
  <c r="BP65" i="163"/>
  <c r="CD65" i="163" s="1"/>
  <c r="BW66" i="160"/>
  <c r="BU66" i="160" s="1"/>
  <c r="CI66" i="160" s="1"/>
  <c r="Z66" i="160"/>
  <c r="AA66" i="160" s="1"/>
  <c r="AB66" i="160"/>
  <c r="AC66" i="160" s="1"/>
  <c r="AG66" i="160" s="1"/>
  <c r="CB66" i="160"/>
  <c r="BP66" i="160" s="1"/>
  <c r="CD66" i="160" s="1"/>
  <c r="BU65" i="159"/>
  <c r="CI65" i="159" s="1"/>
  <c r="BT65" i="159"/>
  <c r="CH65" i="159" s="1"/>
  <c r="BS65" i="159"/>
  <c r="CG65" i="159" s="1"/>
  <c r="BQ65" i="159"/>
  <c r="CE65" i="159" s="1"/>
  <c r="BR65" i="159"/>
  <c r="CF65" i="159" s="1"/>
  <c r="BP65" i="159"/>
  <c r="CD65" i="159" s="1"/>
  <c r="BS65" i="162"/>
  <c r="CG65" i="162" s="1"/>
  <c r="BT65" i="162"/>
  <c r="CH65" i="162" s="1"/>
  <c r="AQ66" i="160"/>
  <c r="AR66" i="160" s="1"/>
  <c r="AS66" i="160"/>
  <c r="F66" i="160"/>
  <c r="BY66" i="160"/>
  <c r="H66" i="160"/>
  <c r="I66" i="160" s="1"/>
  <c r="BQ65" i="162"/>
  <c r="CE65" i="162" s="1"/>
  <c r="BR65" i="162"/>
  <c r="CF65" i="162" s="1"/>
  <c r="G65" i="159"/>
  <c r="K66" i="160"/>
  <c r="L66" i="160" s="1"/>
  <c r="M66" i="160"/>
  <c r="BZ66" i="160"/>
  <c r="BX66" i="160"/>
  <c r="R66" i="160"/>
  <c r="S66" i="160" s="1"/>
  <c r="W66" i="160" s="1"/>
  <c r="P66" i="160"/>
  <c r="Q66" i="160" s="1"/>
  <c r="G65" i="163"/>
  <c r="BS56" i="158"/>
  <c r="CG56" i="158" s="1"/>
  <c r="BT56" i="158"/>
  <c r="CH56" i="158" s="1"/>
  <c r="BU56" i="158"/>
  <c r="CI56" i="158" s="1"/>
  <c r="G56" i="158"/>
  <c r="AK57" i="158" s="1"/>
  <c r="AP66" i="159" l="1"/>
  <c r="CT56" i="158"/>
  <c r="W45" i="79" s="1"/>
  <c r="CO65" i="162"/>
  <c r="R54" i="79" s="1"/>
  <c r="CM56" i="158"/>
  <c r="P45" i="79" s="1"/>
  <c r="CY56" i="158"/>
  <c r="AB45" i="79" s="1"/>
  <c r="CX65" i="162"/>
  <c r="CK65" i="162"/>
  <c r="CR65" i="159"/>
  <c r="CK65" i="159"/>
  <c r="CQ65" i="159"/>
  <c r="CN65" i="159"/>
  <c r="CP65" i="159"/>
  <c r="CS65" i="159"/>
  <c r="CO65" i="159"/>
  <c r="CL65" i="159"/>
  <c r="CM65" i="159"/>
  <c r="CU65" i="159"/>
  <c r="CW65" i="159"/>
  <c r="CV65" i="159"/>
  <c r="CT65" i="159"/>
  <c r="CX65" i="159"/>
  <c r="CZ65" i="159"/>
  <c r="CY65" i="159"/>
  <c r="CO56" i="158"/>
  <c r="CS56" i="158"/>
  <c r="V45" i="79" s="1"/>
  <c r="CW65" i="162"/>
  <c r="CQ65" i="162"/>
  <c r="T54" i="79" s="1"/>
  <c r="CL56" i="158"/>
  <c r="O45" i="79" s="1"/>
  <c r="CX56" i="158"/>
  <c r="AA45" i="79" s="1"/>
  <c r="CT65" i="162"/>
  <c r="CP65" i="162"/>
  <c r="S54" i="79" s="1"/>
  <c r="CV65" i="163"/>
  <c r="CM65" i="163"/>
  <c r="CQ65" i="163"/>
  <c r="CN65" i="163"/>
  <c r="CP65" i="163"/>
  <c r="CK65" i="163"/>
  <c r="CO65" i="163"/>
  <c r="CR65" i="163"/>
  <c r="CL65" i="163"/>
  <c r="CS65" i="163"/>
  <c r="CU65" i="163"/>
  <c r="CT65" i="163"/>
  <c r="CZ65" i="163"/>
  <c r="CX65" i="163"/>
  <c r="CW65" i="163"/>
  <c r="CY65" i="163"/>
  <c r="CR56" i="158"/>
  <c r="CV56" i="158"/>
  <c r="Y45" i="79" s="1"/>
  <c r="CS65" i="162"/>
  <c r="CM65" i="162"/>
  <c r="CQ56" i="158"/>
  <c r="CW56" i="158"/>
  <c r="Z45" i="79" s="1"/>
  <c r="CU65" i="162"/>
  <c r="CZ65" i="162"/>
  <c r="CK56" i="158"/>
  <c r="N45" i="79" s="1"/>
  <c r="CP56" i="158"/>
  <c r="CL65" i="162"/>
  <c r="CN65" i="162"/>
  <c r="CZ56" i="158"/>
  <c r="AC45" i="79" s="1"/>
  <c r="CU56" i="158"/>
  <c r="X45" i="79" s="1"/>
  <c r="CR65" i="162"/>
  <c r="U54" i="79" s="1"/>
  <c r="CV65" i="162"/>
  <c r="CN56" i="158"/>
  <c r="Q45" i="79" s="1"/>
  <c r="CY65" i="162"/>
  <c r="E66" i="163"/>
  <c r="F66" i="163" s="1"/>
  <c r="G66" i="163" s="1"/>
  <c r="Y66" i="162"/>
  <c r="AB66" i="162" s="1"/>
  <c r="AK66" i="162"/>
  <c r="AL66" i="162" s="1"/>
  <c r="AM66" i="162" s="1"/>
  <c r="AD66" i="159"/>
  <c r="AE66" i="159" s="1"/>
  <c r="AF66" i="159" s="1"/>
  <c r="J66" i="163"/>
  <c r="K66" i="163" s="1"/>
  <c r="L66" i="163" s="1"/>
  <c r="O66" i="163"/>
  <c r="P66" i="163" s="1"/>
  <c r="Q66" i="163" s="1"/>
  <c r="Y66" i="163"/>
  <c r="Z66" i="163" s="1"/>
  <c r="AA66" i="163" s="1"/>
  <c r="AZ66" i="163"/>
  <c r="BA66" i="163" s="1"/>
  <c r="BB66" i="163" s="1"/>
  <c r="E66" i="159"/>
  <c r="F66" i="159" s="1"/>
  <c r="G66" i="159" s="1"/>
  <c r="AS66" i="159"/>
  <c r="AQ66" i="159"/>
  <c r="AR66" i="159" s="1"/>
  <c r="G66" i="160"/>
  <c r="AU66" i="159"/>
  <c r="BJ66" i="162"/>
  <c r="BK66" i="162" s="1"/>
  <c r="BL66" i="162" s="1"/>
  <c r="H66" i="163"/>
  <c r="AP66" i="162"/>
  <c r="BT66" i="160"/>
  <c r="CH66" i="160" s="1"/>
  <c r="BS66" i="160"/>
  <c r="CG66" i="160" s="1"/>
  <c r="BE66" i="162"/>
  <c r="AZ66" i="162"/>
  <c r="AU66" i="162"/>
  <c r="AD66" i="163"/>
  <c r="BR66" i="160"/>
  <c r="CF66" i="160" s="1"/>
  <c r="BQ66" i="160"/>
  <c r="CE66" i="160" s="1"/>
  <c r="AZ66" i="159"/>
  <c r="O66" i="159"/>
  <c r="T66" i="159"/>
  <c r="BJ66" i="163"/>
  <c r="AK66" i="159"/>
  <c r="BE66" i="159"/>
  <c r="AU66" i="163"/>
  <c r="AP66" i="163"/>
  <c r="BE66" i="163"/>
  <c r="AK66" i="163"/>
  <c r="Y66" i="159"/>
  <c r="BJ66" i="159"/>
  <c r="T66" i="162"/>
  <c r="O66" i="162"/>
  <c r="E66" i="162"/>
  <c r="AD66" i="162"/>
  <c r="J66" i="159"/>
  <c r="T66" i="163"/>
  <c r="J66" i="162"/>
  <c r="AP57" i="158"/>
  <c r="AQ57" i="158" s="1"/>
  <c r="AR57" i="158" s="1"/>
  <c r="AU57" i="158"/>
  <c r="AV57" i="158" s="1"/>
  <c r="AW57" i="158" s="1"/>
  <c r="AZ57" i="158"/>
  <c r="BA57" i="158" s="1"/>
  <c r="BB57" i="158" s="1"/>
  <c r="BJ57" i="158"/>
  <c r="BK57" i="158" s="1"/>
  <c r="BL57" i="158" s="1"/>
  <c r="BE57" i="158"/>
  <c r="AL57" i="158"/>
  <c r="AM57" i="158" s="1"/>
  <c r="AN57" i="158"/>
  <c r="AD57" i="158"/>
  <c r="BX66" i="163" l="1"/>
  <c r="AN66" i="162"/>
  <c r="M66" i="163"/>
  <c r="F55" i="79"/>
  <c r="CO66" i="160"/>
  <c r="Z66" i="162"/>
  <c r="AA66" i="162" s="1"/>
  <c r="BY66" i="163"/>
  <c r="BS66" i="163" s="1"/>
  <c r="CG66" i="163" s="1"/>
  <c r="CT66" i="160"/>
  <c r="CM66" i="160"/>
  <c r="CS66" i="160"/>
  <c r="CN66" i="160"/>
  <c r="CR66" i="160"/>
  <c r="CL66" i="160"/>
  <c r="CP66" i="160"/>
  <c r="CV66" i="160"/>
  <c r="CW66" i="160"/>
  <c r="CK66" i="160"/>
  <c r="CX66" i="160"/>
  <c r="CQ66" i="160"/>
  <c r="CZ66" i="160"/>
  <c r="CU66" i="160"/>
  <c r="CY66" i="160"/>
  <c r="R66" i="163"/>
  <c r="S66" i="163" s="1"/>
  <c r="AK67" i="160"/>
  <c r="AN67" i="160" s="1"/>
  <c r="CB57" i="158"/>
  <c r="AB66" i="163"/>
  <c r="AC66" i="163" s="1"/>
  <c r="AG66" i="163" s="1"/>
  <c r="BW66" i="163"/>
  <c r="I66" i="163"/>
  <c r="E67" i="160"/>
  <c r="F67" i="160" s="1"/>
  <c r="G67" i="160" s="1"/>
  <c r="Y67" i="160"/>
  <c r="Z67" i="160" s="1"/>
  <c r="AA67" i="160" s="1"/>
  <c r="BE67" i="160"/>
  <c r="BH67" i="160" s="1"/>
  <c r="T67" i="160"/>
  <c r="U67" i="160" s="1"/>
  <c r="V67" i="160" s="1"/>
  <c r="AZ67" i="160"/>
  <c r="BA67" i="160" s="1"/>
  <c r="BB67" i="160" s="1"/>
  <c r="BC66" i="163"/>
  <c r="H66" i="159"/>
  <c r="I66" i="159" s="1"/>
  <c r="AC66" i="162"/>
  <c r="AG66" i="162" s="1"/>
  <c r="BJ67" i="160"/>
  <c r="BK67" i="160" s="1"/>
  <c r="BL67" i="160" s="1"/>
  <c r="AQ66" i="163"/>
  <c r="AR66" i="163" s="1"/>
  <c r="AS66" i="163"/>
  <c r="U66" i="159"/>
  <c r="V66" i="159" s="1"/>
  <c r="W66" i="159"/>
  <c r="AV66" i="162"/>
  <c r="AW66" i="162" s="1"/>
  <c r="AX66" i="162"/>
  <c r="AY66" i="162" s="1"/>
  <c r="BC66" i="162" s="1"/>
  <c r="CA66" i="162"/>
  <c r="AX66" i="159"/>
  <c r="AY66" i="159" s="1"/>
  <c r="AV66" i="159"/>
  <c r="AW66" i="159" s="1"/>
  <c r="CA66" i="159"/>
  <c r="BF66" i="163"/>
  <c r="BG66" i="163" s="1"/>
  <c r="CB66" i="163"/>
  <c r="BH66" i="163"/>
  <c r="BI66" i="163" s="1"/>
  <c r="BM66" i="163" s="1"/>
  <c r="H66" i="162"/>
  <c r="I66" i="162" s="1"/>
  <c r="BY66" i="162"/>
  <c r="F66" i="162"/>
  <c r="BX66" i="159"/>
  <c r="R66" i="159"/>
  <c r="S66" i="159" s="1"/>
  <c r="P66" i="159"/>
  <c r="Q66" i="159" s="1"/>
  <c r="BA66" i="162"/>
  <c r="BB66" i="162" s="1"/>
  <c r="BK66" i="163"/>
  <c r="BL66" i="163" s="1"/>
  <c r="BH66" i="162"/>
  <c r="BI66" i="162" s="1"/>
  <c r="BM66" i="162" s="1"/>
  <c r="BF66" i="162"/>
  <c r="BG66" i="162" s="1"/>
  <c r="CB66" i="162"/>
  <c r="BP66" i="162" s="1"/>
  <c r="CD66" i="162" s="1"/>
  <c r="AS66" i="162"/>
  <c r="AQ66" i="162"/>
  <c r="AR66" i="162" s="1"/>
  <c r="AL67" i="160"/>
  <c r="AM67" i="160" s="1"/>
  <c r="BX66" i="162"/>
  <c r="R66" i="162"/>
  <c r="S66" i="162" s="1"/>
  <c r="W66" i="162" s="1"/>
  <c r="P66" i="162"/>
  <c r="Q66" i="162" s="1"/>
  <c r="U66" i="162"/>
  <c r="V66" i="162" s="1"/>
  <c r="AN66" i="159"/>
  <c r="AO66" i="159" s="1"/>
  <c r="AL66" i="159"/>
  <c r="BZ66" i="159"/>
  <c r="AP67" i="160"/>
  <c r="AU67" i="160"/>
  <c r="K66" i="159"/>
  <c r="M66" i="159"/>
  <c r="J55" i="79"/>
  <c r="AE66" i="162"/>
  <c r="AF66" i="162" s="1"/>
  <c r="BF66" i="159"/>
  <c r="BG66" i="159" s="1"/>
  <c r="BH66" i="159"/>
  <c r="BI66" i="159" s="1"/>
  <c r="BM66" i="159" s="1"/>
  <c r="CB66" i="159"/>
  <c r="BK66" i="159"/>
  <c r="BL66" i="159" s="1"/>
  <c r="BA66" i="159"/>
  <c r="BB66" i="159" s="1"/>
  <c r="BC66" i="159"/>
  <c r="AE66" i="163"/>
  <c r="AF66" i="163" s="1"/>
  <c r="K46" i="79"/>
  <c r="M66" i="162"/>
  <c r="K66" i="162"/>
  <c r="L66" i="162" s="1"/>
  <c r="Z66" i="159"/>
  <c r="AA66" i="159" s="1"/>
  <c r="AB66" i="159"/>
  <c r="AC66" i="159" s="1"/>
  <c r="AG66" i="159" s="1"/>
  <c r="BW66" i="159"/>
  <c r="AD67" i="160"/>
  <c r="O67" i="160"/>
  <c r="J67" i="160"/>
  <c r="BY67" i="160" s="1"/>
  <c r="BZ66" i="162"/>
  <c r="BY66" i="159"/>
  <c r="AX66" i="163"/>
  <c r="AY66" i="163" s="1"/>
  <c r="CA66" i="163"/>
  <c r="AV66" i="163"/>
  <c r="AW66" i="163" s="1"/>
  <c r="W66" i="163"/>
  <c r="U66" i="163"/>
  <c r="V66" i="163" s="1"/>
  <c r="AN66" i="163"/>
  <c r="AO66" i="163" s="1"/>
  <c r="AL66" i="163"/>
  <c r="BZ66" i="163"/>
  <c r="H67" i="160"/>
  <c r="BW66" i="162"/>
  <c r="BU66" i="162" s="1"/>
  <c r="CI66" i="162" s="1"/>
  <c r="AO66" i="162"/>
  <c r="AX57" i="158"/>
  <c r="AY57" i="158" s="1"/>
  <c r="BC57" i="158" s="1"/>
  <c r="AO57" i="158"/>
  <c r="AS57" i="158" s="1"/>
  <c r="BZ57" i="158"/>
  <c r="CA57" i="158"/>
  <c r="BF57" i="158"/>
  <c r="BG57" i="158" s="1"/>
  <c r="BH57" i="158"/>
  <c r="BI57" i="158" s="1"/>
  <c r="BM57" i="158" s="1"/>
  <c r="AE57" i="158"/>
  <c r="AF57" i="158" s="1"/>
  <c r="E57" i="158"/>
  <c r="E46" i="79" s="1"/>
  <c r="J57" i="158"/>
  <c r="O57" i="158"/>
  <c r="H46" i="79" s="1"/>
  <c r="T57" i="158"/>
  <c r="Y57" i="158"/>
  <c r="G46" i="79" s="1"/>
  <c r="BU66" i="163" l="1"/>
  <c r="CI66" i="163" s="1"/>
  <c r="BT66" i="163"/>
  <c r="CH66" i="163" s="1"/>
  <c r="L46" i="79"/>
  <c r="BW67" i="160"/>
  <c r="BU67" i="160" s="1"/>
  <c r="CI67" i="160" s="1"/>
  <c r="AB67" i="160"/>
  <c r="I46" i="79"/>
  <c r="CB67" i="160"/>
  <c r="BP67" i="160" s="1"/>
  <c r="CD67" i="160" s="1"/>
  <c r="BF67" i="160"/>
  <c r="BG67" i="160" s="1"/>
  <c r="BI67" i="160"/>
  <c r="BM67" i="160" s="1"/>
  <c r="I67" i="160"/>
  <c r="BP66" i="163"/>
  <c r="CD66" i="163" s="1"/>
  <c r="BR66" i="163"/>
  <c r="CF66" i="163" s="1"/>
  <c r="BQ66" i="163"/>
  <c r="CE66" i="163" s="1"/>
  <c r="G66" i="162"/>
  <c r="AM66" i="163"/>
  <c r="L66" i="159"/>
  <c r="BS66" i="162"/>
  <c r="CG66" i="162" s="1"/>
  <c r="BT66" i="162"/>
  <c r="CH66" i="162" s="1"/>
  <c r="BT66" i="159"/>
  <c r="CH66" i="159" s="1"/>
  <c r="BS66" i="159"/>
  <c r="CG66" i="159" s="1"/>
  <c r="BU66" i="159"/>
  <c r="CI66" i="159" s="1"/>
  <c r="CA67" i="160"/>
  <c r="AV67" i="160"/>
  <c r="AW67" i="160" s="1"/>
  <c r="AX67" i="160"/>
  <c r="AY67" i="160" s="1"/>
  <c r="BC67" i="160" s="1"/>
  <c r="BP66" i="159"/>
  <c r="CD66" i="159" s="1"/>
  <c r="BR66" i="159"/>
  <c r="CF66" i="159" s="1"/>
  <c r="BQ66" i="159"/>
  <c r="CE66" i="159" s="1"/>
  <c r="BR66" i="162"/>
  <c r="CF66" i="162" s="1"/>
  <c r="BQ66" i="162"/>
  <c r="CE66" i="162" s="1"/>
  <c r="AS67" i="160"/>
  <c r="AQ67" i="160"/>
  <c r="AR67" i="160" s="1"/>
  <c r="AM66" i="159"/>
  <c r="AC67" i="160"/>
  <c r="AG67" i="160" s="1"/>
  <c r="AE67" i="160"/>
  <c r="AF67" i="160" s="1"/>
  <c r="M67" i="160"/>
  <c r="K67" i="160"/>
  <c r="BZ67" i="160"/>
  <c r="BX67" i="160"/>
  <c r="BS67" i="160" s="1"/>
  <c r="CG67" i="160" s="1"/>
  <c r="P67" i="160"/>
  <c r="Q67" i="160" s="1"/>
  <c r="R67" i="160"/>
  <c r="S67" i="160" s="1"/>
  <c r="W67" i="160" s="1"/>
  <c r="AO67" i="160"/>
  <c r="BR57" i="158"/>
  <c r="CF57" i="158" s="1"/>
  <c r="BQ57" i="158"/>
  <c r="CE57" i="158" s="1"/>
  <c r="BP57" i="158"/>
  <c r="CD57" i="158" s="1"/>
  <c r="K57" i="158"/>
  <c r="L57" i="158" s="1"/>
  <c r="R57" i="158"/>
  <c r="S57" i="158" s="1"/>
  <c r="W57" i="158" s="1"/>
  <c r="P57" i="158"/>
  <c r="Q57" i="158" s="1"/>
  <c r="BY57" i="158"/>
  <c r="H57" i="158"/>
  <c r="I57" i="158" s="1"/>
  <c r="M57" i="158" s="1"/>
  <c r="F57" i="158"/>
  <c r="AB57" i="158"/>
  <c r="AC57" i="158" s="1"/>
  <c r="AG57" i="158" s="1"/>
  <c r="Z57" i="158"/>
  <c r="AA57" i="158" s="1"/>
  <c r="BW57" i="158"/>
  <c r="BX57" i="158"/>
  <c r="U57" i="158"/>
  <c r="V57" i="158" s="1"/>
  <c r="AD67" i="163" l="1"/>
  <c r="CM66" i="162"/>
  <c r="CX66" i="162"/>
  <c r="CQ66" i="162"/>
  <c r="T55" i="79" s="1"/>
  <c r="CP66" i="163"/>
  <c r="CQ66" i="163"/>
  <c r="CV66" i="163"/>
  <c r="CK66" i="163"/>
  <c r="CM66" i="163"/>
  <c r="CL66" i="163"/>
  <c r="CO66" i="163"/>
  <c r="CN66" i="163"/>
  <c r="CR66" i="163"/>
  <c r="CT66" i="163"/>
  <c r="CS66" i="163"/>
  <c r="CZ66" i="163"/>
  <c r="CU66" i="163"/>
  <c r="CW66" i="163"/>
  <c r="CX66" i="163"/>
  <c r="CY66" i="163"/>
  <c r="CS66" i="162"/>
  <c r="CV66" i="162"/>
  <c r="CU66" i="162"/>
  <c r="CZ66" i="162"/>
  <c r="CT66" i="162"/>
  <c r="CP66" i="162"/>
  <c r="S55" i="79" s="1"/>
  <c r="CM66" i="159"/>
  <c r="CN66" i="159"/>
  <c r="CS66" i="159"/>
  <c r="CO66" i="159"/>
  <c r="CL66" i="159"/>
  <c r="CK66" i="159"/>
  <c r="CP66" i="159"/>
  <c r="CQ66" i="159"/>
  <c r="CR66" i="159"/>
  <c r="CV66" i="159"/>
  <c r="CU66" i="159"/>
  <c r="CT66" i="159"/>
  <c r="CW66" i="159"/>
  <c r="CX66" i="159"/>
  <c r="CZ66" i="159"/>
  <c r="CY66" i="159"/>
  <c r="CL66" i="162"/>
  <c r="CR66" i="162"/>
  <c r="U55" i="79" s="1"/>
  <c r="CK66" i="162"/>
  <c r="CY66" i="162"/>
  <c r="CN66" i="162"/>
  <c r="CW66" i="162"/>
  <c r="CO66" i="162"/>
  <c r="R55" i="79" s="1"/>
  <c r="T67" i="162"/>
  <c r="U67" i="162" s="1"/>
  <c r="V67" i="162" s="1"/>
  <c r="J67" i="163"/>
  <c r="M67" i="163" s="1"/>
  <c r="AK67" i="162"/>
  <c r="AL67" i="162" s="1"/>
  <c r="AM67" i="162" s="1"/>
  <c r="Y67" i="163"/>
  <c r="BW67" i="163" s="1"/>
  <c r="AP67" i="159"/>
  <c r="AS67" i="159" s="1"/>
  <c r="AU67" i="162"/>
  <c r="AU67" i="159"/>
  <c r="AV67" i="159" s="1"/>
  <c r="AW67" i="159" s="1"/>
  <c r="O67" i="163"/>
  <c r="R67" i="163" s="1"/>
  <c r="T67" i="159"/>
  <c r="U67" i="159" s="1"/>
  <c r="V67" i="159" s="1"/>
  <c r="E67" i="163"/>
  <c r="F67" i="163" s="1"/>
  <c r="G67" i="163" s="1"/>
  <c r="AE67" i="163"/>
  <c r="AF67" i="163" s="1"/>
  <c r="BT67" i="160"/>
  <c r="J67" i="162"/>
  <c r="Y67" i="162"/>
  <c r="O67" i="162"/>
  <c r="E67" i="162"/>
  <c r="Y67" i="159"/>
  <c r="J67" i="159"/>
  <c r="AK67" i="159"/>
  <c r="AP67" i="163"/>
  <c r="BE67" i="163"/>
  <c r="AZ67" i="163"/>
  <c r="BJ67" i="163"/>
  <c r="AK67" i="163"/>
  <c r="AU67" i="163"/>
  <c r="AX67" i="162"/>
  <c r="AV67" i="162"/>
  <c r="AW67" i="162" s="1"/>
  <c r="L67" i="160"/>
  <c r="AD67" i="159"/>
  <c r="T67" i="163"/>
  <c r="BE67" i="159"/>
  <c r="AZ67" i="159"/>
  <c r="BJ67" i="159"/>
  <c r="BJ67" i="162"/>
  <c r="BK67" i="162" s="1"/>
  <c r="BL67" i="162" s="1"/>
  <c r="BE67" i="162"/>
  <c r="AZ67" i="162"/>
  <c r="CA67" i="162" s="1"/>
  <c r="AP67" i="162"/>
  <c r="AD67" i="162"/>
  <c r="BQ67" i="160"/>
  <c r="CE67" i="160" s="1"/>
  <c r="BR67" i="160"/>
  <c r="CF67" i="160" s="1"/>
  <c r="E67" i="159"/>
  <c r="O67" i="159"/>
  <c r="BS57" i="158"/>
  <c r="CG57" i="158" s="1"/>
  <c r="BT57" i="158"/>
  <c r="CH57" i="158" s="1"/>
  <c r="BU57" i="158"/>
  <c r="CI57" i="158" s="1"/>
  <c r="G57" i="158"/>
  <c r="AU58" i="158" s="1"/>
  <c r="AN67" i="162" l="1"/>
  <c r="AB67" i="163"/>
  <c r="AC67" i="163" s="1"/>
  <c r="AG67" i="163" s="1"/>
  <c r="BZ67" i="162"/>
  <c r="BQ67" i="162" s="1"/>
  <c r="CE67" i="162" s="1"/>
  <c r="K67" i="163"/>
  <c r="L67" i="163" s="1"/>
  <c r="CU57" i="158"/>
  <c r="X46" i="79" s="1"/>
  <c r="CR57" i="158"/>
  <c r="CS57" i="158"/>
  <c r="V46" i="79" s="1"/>
  <c r="CO57" i="158"/>
  <c r="CZ57" i="158"/>
  <c r="AC46" i="79" s="1"/>
  <c r="CN57" i="158"/>
  <c r="Q46" i="79" s="1"/>
  <c r="CY57" i="158"/>
  <c r="AB46" i="79" s="1"/>
  <c r="CV57" i="158"/>
  <c r="Y46" i="79" s="1"/>
  <c r="CX57" i="158"/>
  <c r="AA46" i="79" s="1"/>
  <c r="T68" i="160"/>
  <c r="U68" i="160" s="1"/>
  <c r="V68" i="160" s="1"/>
  <c r="CH67" i="160"/>
  <c r="CK67" i="160" s="1"/>
  <c r="CM57" i="158"/>
  <c r="P46" i="79" s="1"/>
  <c r="CT57" i="158"/>
  <c r="W46" i="79" s="1"/>
  <c r="CK57" i="158"/>
  <c r="N46" i="79" s="1"/>
  <c r="CQ57" i="158"/>
  <c r="CP57" i="158"/>
  <c r="CW57" i="158"/>
  <c r="Z46" i="79" s="1"/>
  <c r="CL57" i="158"/>
  <c r="O46" i="79" s="1"/>
  <c r="Z67" i="163"/>
  <c r="AA67" i="163" s="1"/>
  <c r="CA67" i="159"/>
  <c r="BX67" i="163"/>
  <c r="P67" i="163"/>
  <c r="Q67" i="163" s="1"/>
  <c r="AQ67" i="159"/>
  <c r="AR67" i="159" s="1"/>
  <c r="F56" i="79"/>
  <c r="W67" i="159"/>
  <c r="Y68" i="160"/>
  <c r="Z68" i="160" s="1"/>
  <c r="AA68" i="160" s="1"/>
  <c r="O68" i="160"/>
  <c r="P68" i="160" s="1"/>
  <c r="Q68" i="160" s="1"/>
  <c r="AX67" i="159"/>
  <c r="AY67" i="159" s="1"/>
  <c r="E68" i="160"/>
  <c r="F68" i="160" s="1"/>
  <c r="G68" i="160" s="1"/>
  <c r="BY67" i="163"/>
  <c r="BJ68" i="160"/>
  <c r="BK68" i="160" s="1"/>
  <c r="BL68" i="160" s="1"/>
  <c r="H67" i="163"/>
  <c r="I67" i="163" s="1"/>
  <c r="J56" i="79"/>
  <c r="AE67" i="162"/>
  <c r="AF67" i="162" s="1"/>
  <c r="CA67" i="163"/>
  <c r="AX67" i="163"/>
  <c r="AY67" i="163" s="1"/>
  <c r="AV67" i="163"/>
  <c r="AW67" i="163" s="1"/>
  <c r="AL67" i="159"/>
  <c r="BZ67" i="159"/>
  <c r="AN67" i="159"/>
  <c r="AO67" i="159" s="1"/>
  <c r="P67" i="162"/>
  <c r="Q67" i="162" s="1"/>
  <c r="R67" i="162"/>
  <c r="S67" i="162" s="1"/>
  <c r="W67" i="162" s="1"/>
  <c r="BX67" i="162"/>
  <c r="AL67" i="163"/>
  <c r="BZ67" i="163"/>
  <c r="AN67" i="163"/>
  <c r="AO67" i="163" s="1"/>
  <c r="K67" i="159"/>
  <c r="L67" i="159" s="1"/>
  <c r="M67" i="159"/>
  <c r="BW67" i="162"/>
  <c r="BU67" i="162" s="1"/>
  <c r="CI67" i="162" s="1"/>
  <c r="Z67" i="162"/>
  <c r="AA67" i="162" s="1"/>
  <c r="AB67" i="162"/>
  <c r="AC67" i="162" s="1"/>
  <c r="AG67" i="162" s="1"/>
  <c r="BS67" i="163"/>
  <c r="CG67" i="163" s="1"/>
  <c r="BA67" i="162"/>
  <c r="BB67" i="162" s="1"/>
  <c r="BK67" i="163"/>
  <c r="BL67" i="163" s="1"/>
  <c r="BW67" i="159"/>
  <c r="Z67" i="159"/>
  <c r="AA67" i="159" s="1"/>
  <c r="AB67" i="159"/>
  <c r="AC67" i="159" s="1"/>
  <c r="AG67" i="159" s="1"/>
  <c r="K67" i="162"/>
  <c r="L67" i="162" s="1"/>
  <c r="M67" i="162"/>
  <c r="AO67" i="162"/>
  <c r="AQ67" i="162"/>
  <c r="AS67" i="162"/>
  <c r="AK68" i="160"/>
  <c r="AU68" i="160"/>
  <c r="BE68" i="160"/>
  <c r="AP68" i="160"/>
  <c r="BC67" i="163"/>
  <c r="BA67" i="163"/>
  <c r="BB67" i="163" s="1"/>
  <c r="H67" i="162"/>
  <c r="I67" i="162" s="1"/>
  <c r="F67" i="162"/>
  <c r="BY67" i="162"/>
  <c r="J68" i="160"/>
  <c r="BF67" i="159"/>
  <c r="BG67" i="159" s="1"/>
  <c r="BH67" i="159"/>
  <c r="BI67" i="159" s="1"/>
  <c r="BM67" i="159" s="1"/>
  <c r="CB67" i="159"/>
  <c r="AE67" i="159"/>
  <c r="AF67" i="159" s="1"/>
  <c r="BF67" i="163"/>
  <c r="BG67" i="163" s="1"/>
  <c r="CB67" i="163"/>
  <c r="BH67" i="163"/>
  <c r="BI67" i="163" s="1"/>
  <c r="BM67" i="163" s="1"/>
  <c r="AD68" i="160"/>
  <c r="U67" i="163"/>
  <c r="V67" i="163" s="1"/>
  <c r="W67" i="163"/>
  <c r="R67" i="159"/>
  <c r="S67" i="159" s="1"/>
  <c r="P67" i="159"/>
  <c r="Q67" i="159" s="1"/>
  <c r="BX67" i="159"/>
  <c r="BY67" i="159"/>
  <c r="H67" i="159"/>
  <c r="I67" i="159" s="1"/>
  <c r="F67" i="159"/>
  <c r="BK67" i="159"/>
  <c r="BL67" i="159" s="1"/>
  <c r="AS67" i="163"/>
  <c r="AQ67" i="163"/>
  <c r="AR67" i="163" s="1"/>
  <c r="BF67" i="162"/>
  <c r="BG67" i="162" s="1"/>
  <c r="CB67" i="162"/>
  <c r="BP67" i="162" s="1"/>
  <c r="CD67" i="162" s="1"/>
  <c r="BH67" i="162"/>
  <c r="BI67" i="162" s="1"/>
  <c r="BM67" i="162" s="1"/>
  <c r="S67" i="163"/>
  <c r="BC67" i="159"/>
  <c r="BA67" i="159"/>
  <c r="BB67" i="159" s="1"/>
  <c r="AY67" i="162"/>
  <c r="BC67" i="162" s="1"/>
  <c r="AZ68" i="160"/>
  <c r="BJ58" i="158"/>
  <c r="BK58" i="158" s="1"/>
  <c r="BL58" i="158" s="1"/>
  <c r="AP58" i="158"/>
  <c r="AQ58" i="158" s="1"/>
  <c r="AR58" i="158" s="1"/>
  <c r="BE58" i="158"/>
  <c r="BH58" i="158" s="1"/>
  <c r="AK58" i="158"/>
  <c r="AL58" i="158" s="1"/>
  <c r="AM58" i="158" s="1"/>
  <c r="AV58" i="158"/>
  <c r="AW58" i="158" s="1"/>
  <c r="AX58" i="158"/>
  <c r="AZ58" i="158"/>
  <c r="BR67" i="162" l="1"/>
  <c r="CF67" i="162" s="1"/>
  <c r="CP67" i="160"/>
  <c r="CR67" i="160"/>
  <c r="BR67" i="159"/>
  <c r="CF67" i="159" s="1"/>
  <c r="CL67" i="160"/>
  <c r="CX67" i="160"/>
  <c r="CM67" i="160"/>
  <c r="CZ67" i="160"/>
  <c r="CS67" i="160"/>
  <c r="CV67" i="160"/>
  <c r="CQ67" i="160"/>
  <c r="CT67" i="160"/>
  <c r="CY67" i="160"/>
  <c r="CN67" i="160"/>
  <c r="BT67" i="163"/>
  <c r="CH67" i="163" s="1"/>
  <c r="CW67" i="160"/>
  <c r="CU67" i="160"/>
  <c r="CO67" i="160"/>
  <c r="BU67" i="163"/>
  <c r="CI67" i="163" s="1"/>
  <c r="AB68" i="160"/>
  <c r="BX68" i="160"/>
  <c r="H68" i="160"/>
  <c r="I68" i="160" s="1"/>
  <c r="R68" i="160"/>
  <c r="S68" i="160" s="1"/>
  <c r="W68" i="160" s="1"/>
  <c r="G67" i="159"/>
  <c r="BZ68" i="160"/>
  <c r="AN68" i="160"/>
  <c r="AO68" i="160" s="1"/>
  <c r="AL68" i="160"/>
  <c r="AR67" i="162"/>
  <c r="AM67" i="159"/>
  <c r="BA68" i="160"/>
  <c r="BB68" i="160" s="1"/>
  <c r="BT67" i="159"/>
  <c r="CH67" i="159" s="1"/>
  <c r="BU67" i="159"/>
  <c r="CI67" i="159" s="1"/>
  <c r="BS67" i="159"/>
  <c r="CG67" i="159" s="1"/>
  <c r="BR67" i="163"/>
  <c r="CF67" i="163" s="1"/>
  <c r="BQ67" i="163"/>
  <c r="CE67" i="163" s="1"/>
  <c r="BP67" i="163"/>
  <c r="CD67" i="163" s="1"/>
  <c r="M68" i="160"/>
  <c r="K68" i="160"/>
  <c r="L68" i="160" s="1"/>
  <c r="AS68" i="160"/>
  <c r="AQ68" i="160"/>
  <c r="AR68" i="160" s="1"/>
  <c r="AM67" i="163"/>
  <c r="G67" i="162"/>
  <c r="BJ68" i="162" s="1"/>
  <c r="BW68" i="160"/>
  <c r="AC68" i="160"/>
  <c r="AG68" i="160" s="1"/>
  <c r="AE68" i="160"/>
  <c r="AF68" i="160" s="1"/>
  <c r="BY68" i="160"/>
  <c r="BF68" i="160"/>
  <c r="BG68" i="160" s="1"/>
  <c r="BH68" i="160"/>
  <c r="BI68" i="160" s="1"/>
  <c r="BM68" i="160" s="1"/>
  <c r="CB68" i="160"/>
  <c r="BP68" i="160" s="1"/>
  <c r="CD68" i="160" s="1"/>
  <c r="BS67" i="162"/>
  <c r="CG67" i="162" s="1"/>
  <c r="BT67" i="162"/>
  <c r="CH67" i="162" s="1"/>
  <c r="CA68" i="160"/>
  <c r="AV68" i="160"/>
  <c r="AW68" i="160" s="1"/>
  <c r="AX68" i="160"/>
  <c r="AY68" i="160" s="1"/>
  <c r="BC68" i="160" s="1"/>
  <c r="BP67" i="159"/>
  <c r="CD67" i="159" s="1"/>
  <c r="BQ67" i="159"/>
  <c r="CE67" i="159" s="1"/>
  <c r="BF58" i="158"/>
  <c r="BG58" i="158" s="1"/>
  <c r="CB58" i="158"/>
  <c r="BI58" i="158"/>
  <c r="BM58" i="158" s="1"/>
  <c r="BZ58" i="158"/>
  <c r="AN58" i="158"/>
  <c r="AO58" i="158" s="1"/>
  <c r="AS58" i="158" s="1"/>
  <c r="AD58" i="158"/>
  <c r="K47" i="79" s="1"/>
  <c r="AY58" i="158"/>
  <c r="BC58" i="158" s="1"/>
  <c r="T58" i="158"/>
  <c r="BA58" i="158"/>
  <c r="BB58" i="158" s="1"/>
  <c r="O58" i="158"/>
  <c r="H47" i="79" s="1"/>
  <c r="CA58" i="158"/>
  <c r="E58" i="158"/>
  <c r="E47" i="79" s="1"/>
  <c r="J58" i="158"/>
  <c r="Y58" i="158"/>
  <c r="G47" i="79" s="1"/>
  <c r="CV67" i="162" l="1"/>
  <c r="T68" i="163"/>
  <c r="BU68" i="160"/>
  <c r="CI68" i="160" s="1"/>
  <c r="CV67" i="163"/>
  <c r="CK67" i="163"/>
  <c r="CL67" i="163"/>
  <c r="CN67" i="163"/>
  <c r="CM67" i="163"/>
  <c r="CQ67" i="163"/>
  <c r="CO67" i="163"/>
  <c r="CP67" i="163"/>
  <c r="CR67" i="163"/>
  <c r="CU67" i="163"/>
  <c r="CS67" i="163"/>
  <c r="CT67" i="163"/>
  <c r="CZ67" i="163"/>
  <c r="CW67" i="163"/>
  <c r="CY67" i="163"/>
  <c r="CX67" i="163"/>
  <c r="CW67" i="162"/>
  <c r="CQ67" i="162"/>
  <c r="T56" i="79" s="1"/>
  <c r="CX67" i="162"/>
  <c r="CM67" i="162"/>
  <c r="CU67" i="162"/>
  <c r="CZ67" i="162"/>
  <c r="CT67" i="162"/>
  <c r="CK67" i="162"/>
  <c r="CS67" i="162"/>
  <c r="CL67" i="162"/>
  <c r="CN67" i="159"/>
  <c r="CM67" i="159"/>
  <c r="CO67" i="159"/>
  <c r="CP67" i="159"/>
  <c r="CS67" i="159"/>
  <c r="CR67" i="159"/>
  <c r="CQ67" i="159"/>
  <c r="CK67" i="159"/>
  <c r="CL67" i="159"/>
  <c r="CU67" i="159"/>
  <c r="CV67" i="159"/>
  <c r="CW67" i="159"/>
  <c r="CT67" i="159"/>
  <c r="CX67" i="159"/>
  <c r="CY67" i="159"/>
  <c r="CZ67" i="159"/>
  <c r="CP67" i="162"/>
  <c r="S56" i="79" s="1"/>
  <c r="CO67" i="162"/>
  <c r="R56" i="79" s="1"/>
  <c r="CR67" i="162"/>
  <c r="U56" i="79" s="1"/>
  <c r="CN67" i="162"/>
  <c r="CY67" i="162"/>
  <c r="L47" i="79"/>
  <c r="J68" i="163"/>
  <c r="Y68" i="163"/>
  <c r="AB68" i="163" s="1"/>
  <c r="O68" i="163"/>
  <c r="R68" i="163" s="1"/>
  <c r="S68" i="163" s="1"/>
  <c r="I47" i="79"/>
  <c r="J68" i="159"/>
  <c r="M68" i="159" s="1"/>
  <c r="AD68" i="163"/>
  <c r="AE68" i="163" s="1"/>
  <c r="AF68" i="163" s="1"/>
  <c r="E68" i="162"/>
  <c r="F68" i="162" s="1"/>
  <c r="G68" i="162" s="1"/>
  <c r="AZ68" i="162"/>
  <c r="BA68" i="162" s="1"/>
  <c r="BB68" i="162" s="1"/>
  <c r="AK68" i="162"/>
  <c r="AN68" i="162" s="1"/>
  <c r="AU68" i="159"/>
  <c r="AX68" i="159" s="1"/>
  <c r="AU68" i="162"/>
  <c r="AX68" i="162" s="1"/>
  <c r="Y68" i="159"/>
  <c r="AB68" i="159" s="1"/>
  <c r="E68" i="159"/>
  <c r="BY68" i="159" s="1"/>
  <c r="J68" i="162"/>
  <c r="E68" i="163"/>
  <c r="F68" i="163" s="1"/>
  <c r="G68" i="163" s="1"/>
  <c r="AK68" i="159"/>
  <c r="AN68" i="159" s="1"/>
  <c r="AP68" i="159"/>
  <c r="AS68" i="159" s="1"/>
  <c r="T68" i="159"/>
  <c r="BE68" i="163"/>
  <c r="AP68" i="163"/>
  <c r="BJ68" i="163"/>
  <c r="AK68" i="163"/>
  <c r="AZ68" i="163"/>
  <c r="AU68" i="163"/>
  <c r="AZ68" i="159"/>
  <c r="BJ68" i="159"/>
  <c r="BE68" i="159"/>
  <c r="T68" i="162"/>
  <c r="O68" i="162"/>
  <c r="AP68" i="162"/>
  <c r="BE68" i="162"/>
  <c r="U68" i="163"/>
  <c r="V68" i="163" s="1"/>
  <c r="W68" i="163"/>
  <c r="O68" i="159"/>
  <c r="AM68" i="160"/>
  <c r="Y68" i="162"/>
  <c r="BQ68" i="160"/>
  <c r="CE68" i="160" s="1"/>
  <c r="BR68" i="160"/>
  <c r="CF68" i="160" s="1"/>
  <c r="BK68" i="162"/>
  <c r="BL68" i="162" s="1"/>
  <c r="AD68" i="159"/>
  <c r="BT68" i="160"/>
  <c r="CH68" i="160" s="1"/>
  <c r="BS68" i="160"/>
  <c r="CG68" i="160" s="1"/>
  <c r="AD68" i="162"/>
  <c r="BP58" i="158"/>
  <c r="CD58" i="158" s="1"/>
  <c r="BQ58" i="158"/>
  <c r="CE58" i="158" s="1"/>
  <c r="BR58" i="158"/>
  <c r="CF58" i="158" s="1"/>
  <c r="K58" i="158"/>
  <c r="L58" i="158" s="1"/>
  <c r="U58" i="158"/>
  <c r="V58" i="158" s="1"/>
  <c r="H58" i="158"/>
  <c r="I58" i="158" s="1"/>
  <c r="M58" i="158" s="1"/>
  <c r="BY58" i="158"/>
  <c r="F58" i="158"/>
  <c r="Z58" i="158"/>
  <c r="AA58" i="158" s="1"/>
  <c r="BW58" i="158"/>
  <c r="AB58" i="158"/>
  <c r="AC58" i="158" s="1"/>
  <c r="AG58" i="158" s="1"/>
  <c r="R58" i="158"/>
  <c r="S58" i="158" s="1"/>
  <c r="W58" i="158" s="1"/>
  <c r="BX58" i="158"/>
  <c r="P58" i="158"/>
  <c r="Q58" i="158" s="1"/>
  <c r="AE58" i="158"/>
  <c r="AF58" i="158" s="1"/>
  <c r="K68" i="159" l="1"/>
  <c r="L68" i="159" s="1"/>
  <c r="P68" i="163"/>
  <c r="Q68" i="163" s="1"/>
  <c r="BX68" i="163"/>
  <c r="AV68" i="162"/>
  <c r="AW68" i="162" s="1"/>
  <c r="Z68" i="163"/>
  <c r="AA68" i="163" s="1"/>
  <c r="F68" i="159"/>
  <c r="G68" i="159" s="1"/>
  <c r="CQ68" i="160"/>
  <c r="CP68" i="160"/>
  <c r="CM68" i="160"/>
  <c r="CW68" i="160"/>
  <c r="CR68" i="160"/>
  <c r="CX68" i="160"/>
  <c r="CL68" i="160"/>
  <c r="CY68" i="160"/>
  <c r="CU68" i="160"/>
  <c r="CS68" i="160"/>
  <c r="CO68" i="160"/>
  <c r="CT68" i="160"/>
  <c r="CV68" i="160"/>
  <c r="CZ68" i="160"/>
  <c r="CN68" i="160"/>
  <c r="CK68" i="160"/>
  <c r="BW68" i="163"/>
  <c r="Z68" i="159"/>
  <c r="AA68" i="159" s="1"/>
  <c r="H68" i="163"/>
  <c r="I68" i="163" s="1"/>
  <c r="BY68" i="163"/>
  <c r="BT68" i="163" s="1"/>
  <c r="CH68" i="163" s="1"/>
  <c r="M68" i="163"/>
  <c r="K68" i="163"/>
  <c r="L68" i="163" s="1"/>
  <c r="CA68" i="162"/>
  <c r="BY68" i="162"/>
  <c r="AZ69" i="160"/>
  <c r="BA69" i="160" s="1"/>
  <c r="BB69" i="160" s="1"/>
  <c r="AC68" i="163"/>
  <c r="AG68" i="163" s="1"/>
  <c r="H68" i="162"/>
  <c r="I68" i="162" s="1"/>
  <c r="AY68" i="162"/>
  <c r="BC68" i="162" s="1"/>
  <c r="AK69" i="160"/>
  <c r="AL69" i="160" s="1"/>
  <c r="AM69" i="160" s="1"/>
  <c r="AL68" i="159"/>
  <c r="AM68" i="159" s="1"/>
  <c r="O69" i="160"/>
  <c r="R69" i="160" s="1"/>
  <c r="F57" i="79"/>
  <c r="CA68" i="159"/>
  <c r="AL68" i="162"/>
  <c r="AM68" i="162" s="1"/>
  <c r="AO68" i="159"/>
  <c r="AV68" i="159"/>
  <c r="AW68" i="159" s="1"/>
  <c r="BZ68" i="159"/>
  <c r="H68" i="159"/>
  <c r="I68" i="159" s="1"/>
  <c r="M68" i="162"/>
  <c r="AQ68" i="159"/>
  <c r="AR68" i="159" s="1"/>
  <c r="Y69" i="160"/>
  <c r="Z69" i="160" s="1"/>
  <c r="AA69" i="160" s="1"/>
  <c r="AC68" i="159"/>
  <c r="AG68" i="159" s="1"/>
  <c r="K68" i="162"/>
  <c r="L68" i="162" s="1"/>
  <c r="CB68" i="159"/>
  <c r="BH68" i="159"/>
  <c r="BI68" i="159" s="1"/>
  <c r="BM68" i="159" s="1"/>
  <c r="BF68" i="159"/>
  <c r="BG68" i="159" s="1"/>
  <c r="CB68" i="163"/>
  <c r="BF68" i="163"/>
  <c r="BG68" i="163" s="1"/>
  <c r="BH68" i="163"/>
  <c r="BI68" i="163" s="1"/>
  <c r="BM68" i="163" s="1"/>
  <c r="AS68" i="163"/>
  <c r="AQ68" i="163"/>
  <c r="AR68" i="163" s="1"/>
  <c r="BK68" i="159"/>
  <c r="BL68" i="159" s="1"/>
  <c r="AE68" i="159"/>
  <c r="AF68" i="159" s="1"/>
  <c r="Z68" i="162"/>
  <c r="AA68" i="162" s="1"/>
  <c r="BW68" i="162"/>
  <c r="BU68" i="162" s="1"/>
  <c r="CI68" i="162" s="1"/>
  <c r="AB68" i="162"/>
  <c r="AC68" i="162" s="1"/>
  <c r="AG68" i="162" s="1"/>
  <c r="AY68" i="159"/>
  <c r="BA68" i="159"/>
  <c r="BB68" i="159" s="1"/>
  <c r="BC68" i="159"/>
  <c r="J57" i="79"/>
  <c r="AE68" i="162"/>
  <c r="AF68" i="162" s="1"/>
  <c r="E69" i="160"/>
  <c r="AX68" i="163"/>
  <c r="AY68" i="163" s="1"/>
  <c r="AV68" i="163"/>
  <c r="AW68" i="163" s="1"/>
  <c r="CA68" i="163"/>
  <c r="U68" i="162"/>
  <c r="V68" i="162" s="1"/>
  <c r="BU68" i="163"/>
  <c r="CI68" i="163" s="1"/>
  <c r="AO68" i="162"/>
  <c r="BA68" i="163"/>
  <c r="BB68" i="163" s="1"/>
  <c r="BC68" i="163"/>
  <c r="U68" i="159"/>
  <c r="V68" i="159" s="1"/>
  <c r="W68" i="159"/>
  <c r="BF68" i="162"/>
  <c r="BG68" i="162" s="1"/>
  <c r="BH68" i="162"/>
  <c r="BI68" i="162" s="1"/>
  <c r="BM68" i="162" s="1"/>
  <c r="CB68" i="162"/>
  <c r="BP68" i="162" s="1"/>
  <c r="CD68" i="162" s="1"/>
  <c r="AP69" i="160"/>
  <c r="BE69" i="160"/>
  <c r="AU69" i="160"/>
  <c r="AQ68" i="162"/>
  <c r="AR68" i="162" s="1"/>
  <c r="AS68" i="162"/>
  <c r="BZ68" i="162"/>
  <c r="AN68" i="163"/>
  <c r="AO68" i="163" s="1"/>
  <c r="BZ68" i="163"/>
  <c r="AL68" i="163"/>
  <c r="P68" i="159"/>
  <c r="Q68" i="159" s="1"/>
  <c r="BX68" i="159"/>
  <c r="BT68" i="159" s="1"/>
  <c r="CH68" i="159" s="1"/>
  <c r="R68" i="159"/>
  <c r="S68" i="159" s="1"/>
  <c r="BJ69" i="160"/>
  <c r="T69" i="160"/>
  <c r="AD69" i="160"/>
  <c r="J69" i="160"/>
  <c r="BX68" i="162"/>
  <c r="R68" i="162"/>
  <c r="S68" i="162" s="1"/>
  <c r="W68" i="162" s="1"/>
  <c r="P68" i="162"/>
  <c r="Q68" i="162" s="1"/>
  <c r="BK68" i="163"/>
  <c r="BL68" i="163" s="1"/>
  <c r="BW68" i="159"/>
  <c r="BT58" i="158"/>
  <c r="CH58" i="158" s="1"/>
  <c r="BU58" i="158"/>
  <c r="CI58" i="158" s="1"/>
  <c r="BS58" i="158"/>
  <c r="CG58" i="158" s="1"/>
  <c r="G58" i="158"/>
  <c r="BS68" i="163" l="1"/>
  <c r="CG68" i="163" s="1"/>
  <c r="CV58" i="158"/>
  <c r="Y47" i="79" s="1"/>
  <c r="BX69" i="160"/>
  <c r="CR58" i="158"/>
  <c r="CW58" i="158"/>
  <c r="Z47" i="79" s="1"/>
  <c r="CO58" i="158"/>
  <c r="CQ58" i="158"/>
  <c r="CK58" i="158"/>
  <c r="N47" i="79" s="1"/>
  <c r="CP58" i="158"/>
  <c r="BQ68" i="159"/>
  <c r="CE68" i="159" s="1"/>
  <c r="CT58" i="158"/>
  <c r="W47" i="79" s="1"/>
  <c r="CZ58" i="158"/>
  <c r="AC47" i="79" s="1"/>
  <c r="CN58" i="158"/>
  <c r="Q47" i="79" s="1"/>
  <c r="CU58" i="158"/>
  <c r="X47" i="79" s="1"/>
  <c r="CS58" i="158"/>
  <c r="V47" i="79" s="1"/>
  <c r="CY58" i="158"/>
  <c r="AB47" i="79" s="1"/>
  <c r="CM58" i="158"/>
  <c r="P47" i="79" s="1"/>
  <c r="CX58" i="158"/>
  <c r="AA47" i="79" s="1"/>
  <c r="CL58" i="158"/>
  <c r="O47" i="79" s="1"/>
  <c r="AN69" i="160"/>
  <c r="AO69" i="160" s="1"/>
  <c r="BR68" i="159"/>
  <c r="CF68" i="159" s="1"/>
  <c r="P69" i="160"/>
  <c r="Q69" i="160" s="1"/>
  <c r="BT68" i="162"/>
  <c r="CH68" i="162" s="1"/>
  <c r="BP68" i="159"/>
  <c r="AB69" i="160"/>
  <c r="BS68" i="159"/>
  <c r="CG68" i="159" s="1"/>
  <c r="BW69" i="160"/>
  <c r="AE69" i="160"/>
  <c r="AF69" i="160" s="1"/>
  <c r="BU68" i="159"/>
  <c r="CI68" i="159" s="1"/>
  <c r="AV69" i="160"/>
  <c r="AW69" i="160" s="1"/>
  <c r="CA69" i="160"/>
  <c r="AX69" i="160"/>
  <c r="AY69" i="160" s="1"/>
  <c r="BC69" i="160" s="1"/>
  <c r="AC69" i="160"/>
  <c r="AG69" i="160" s="1"/>
  <c r="K69" i="160"/>
  <c r="L69" i="160" s="1"/>
  <c r="M69" i="160"/>
  <c r="BF69" i="160"/>
  <c r="BG69" i="160" s="1"/>
  <c r="CB69" i="160"/>
  <c r="BP69" i="160" s="1"/>
  <c r="CD69" i="160" s="1"/>
  <c r="BH69" i="160"/>
  <c r="BI69" i="160" s="1"/>
  <c r="BM69" i="160" s="1"/>
  <c r="AS69" i="160"/>
  <c r="AQ69" i="160"/>
  <c r="AR69" i="160" s="1"/>
  <c r="F69" i="160"/>
  <c r="BY69" i="160"/>
  <c r="H69" i="160"/>
  <c r="I69" i="160" s="1"/>
  <c r="BR68" i="163"/>
  <c r="CF68" i="163" s="1"/>
  <c r="BQ68" i="163"/>
  <c r="CE68" i="163" s="1"/>
  <c r="BP68" i="163"/>
  <c r="CD68" i="163" s="1"/>
  <c r="BS68" i="162"/>
  <c r="U69" i="160"/>
  <c r="V69" i="160" s="1"/>
  <c r="BK69" i="160"/>
  <c r="BL69" i="160" s="1"/>
  <c r="AM68" i="163"/>
  <c r="J69" i="163" s="1"/>
  <c r="BR68" i="162"/>
  <c r="CF68" i="162" s="1"/>
  <c r="BQ68" i="162"/>
  <c r="CE68" i="162" s="1"/>
  <c r="BZ69" i="160"/>
  <c r="S69" i="160"/>
  <c r="W69" i="160" s="1"/>
  <c r="AK59" i="158"/>
  <c r="AL59" i="158" s="1"/>
  <c r="AM59" i="158" s="1"/>
  <c r="AU59" i="158"/>
  <c r="AV59" i="158" s="1"/>
  <c r="AW59" i="158" s="1"/>
  <c r="BJ59" i="158"/>
  <c r="BK59" i="158" s="1"/>
  <c r="BL59" i="158" s="1"/>
  <c r="BE59" i="158"/>
  <c r="BF59" i="158" s="1"/>
  <c r="BG59" i="158" s="1"/>
  <c r="AP59" i="158"/>
  <c r="AZ59" i="158"/>
  <c r="AK69" i="159" l="1"/>
  <c r="AL69" i="159" s="1"/>
  <c r="AM69" i="159" s="1"/>
  <c r="BU69" i="160"/>
  <c r="CI69" i="160" s="1"/>
  <c r="BJ69" i="159"/>
  <c r="CK68" i="163"/>
  <c r="AP69" i="159"/>
  <c r="O69" i="162"/>
  <c r="R69" i="162" s="1"/>
  <c r="CG68" i="162"/>
  <c r="CS68" i="162" s="1"/>
  <c r="CP68" i="163"/>
  <c r="CM68" i="163"/>
  <c r="CV68" i="163"/>
  <c r="CQ68" i="163"/>
  <c r="CN68" i="163"/>
  <c r="CL68" i="163"/>
  <c r="CR68" i="163"/>
  <c r="CO68" i="163"/>
  <c r="CU68" i="163"/>
  <c r="CT68" i="163"/>
  <c r="CZ68" i="163"/>
  <c r="CS68" i="163"/>
  <c r="CY68" i="163"/>
  <c r="CW68" i="163"/>
  <c r="CX68" i="163"/>
  <c r="AU69" i="159"/>
  <c r="AZ69" i="159"/>
  <c r="BC69" i="159" s="1"/>
  <c r="CD68" i="159"/>
  <c r="BE69" i="159"/>
  <c r="AD69" i="159"/>
  <c r="AE69" i="159" s="1"/>
  <c r="AF69" i="159" s="1"/>
  <c r="AD69" i="162"/>
  <c r="AG69" i="162" s="1"/>
  <c r="BZ69" i="159"/>
  <c r="CA59" i="158"/>
  <c r="AN69" i="159"/>
  <c r="E69" i="159"/>
  <c r="H69" i="159" s="1"/>
  <c r="T69" i="163"/>
  <c r="U69" i="163" s="1"/>
  <c r="V69" i="163" s="1"/>
  <c r="M69" i="163"/>
  <c r="K69" i="163"/>
  <c r="L69" i="163" s="1"/>
  <c r="Y69" i="159"/>
  <c r="AD69" i="163"/>
  <c r="J69" i="159"/>
  <c r="T69" i="162"/>
  <c r="O69" i="163"/>
  <c r="T69" i="159"/>
  <c r="J69" i="162"/>
  <c r="G69" i="160"/>
  <c r="AE69" i="162"/>
  <c r="AF69" i="162" s="1"/>
  <c r="BK69" i="159"/>
  <c r="BL69" i="159" s="1"/>
  <c r="AZ69" i="162"/>
  <c r="AU69" i="162"/>
  <c r="BJ69" i="162"/>
  <c r="AK69" i="162"/>
  <c r="AP69" i="162"/>
  <c r="BE69" i="162"/>
  <c r="Y69" i="162"/>
  <c r="BR69" i="160"/>
  <c r="CF69" i="160" s="1"/>
  <c r="BQ69" i="160"/>
  <c r="O69" i="159"/>
  <c r="AS69" i="159"/>
  <c r="AQ69" i="159"/>
  <c r="AR69" i="159" s="1"/>
  <c r="E69" i="163"/>
  <c r="Y69" i="163"/>
  <c r="AK69" i="163"/>
  <c r="BE69" i="163"/>
  <c r="AU69" i="163"/>
  <c r="BJ69" i="163"/>
  <c r="AZ69" i="163"/>
  <c r="AP69" i="163"/>
  <c r="BS69" i="160"/>
  <c r="CG69" i="160" s="1"/>
  <c r="BT69" i="160"/>
  <c r="CH69" i="160" s="1"/>
  <c r="E69" i="162"/>
  <c r="AX59" i="158"/>
  <c r="AY59" i="158" s="1"/>
  <c r="BC59" i="158" s="1"/>
  <c r="AN59" i="158"/>
  <c r="AO59" i="158" s="1"/>
  <c r="AS59" i="158" s="1"/>
  <c r="BH59" i="158"/>
  <c r="BI59" i="158" s="1"/>
  <c r="BM59" i="158" s="1"/>
  <c r="CB59" i="158"/>
  <c r="O59" i="158"/>
  <c r="H48" i="79" s="1"/>
  <c r="Y59" i="158"/>
  <c r="G48" i="79" s="1"/>
  <c r="AD59" i="158"/>
  <c r="K48" i="79" s="1"/>
  <c r="E59" i="158"/>
  <c r="E48" i="79" s="1"/>
  <c r="AQ59" i="158"/>
  <c r="AR59" i="158" s="1"/>
  <c r="BZ59" i="158"/>
  <c r="J59" i="158"/>
  <c r="BA59" i="158"/>
  <c r="BB59" i="158" s="1"/>
  <c r="T59" i="158"/>
  <c r="P69" i="162" l="1"/>
  <c r="Q69" i="162" s="1"/>
  <c r="CB69" i="159"/>
  <c r="BH69" i="159"/>
  <c r="BI69" i="159" s="1"/>
  <c r="BM69" i="159" s="1"/>
  <c r="BF69" i="159"/>
  <c r="BG69" i="159" s="1"/>
  <c r="BX69" i="162"/>
  <c r="AO69" i="159"/>
  <c r="CU68" i="162"/>
  <c r="CA69" i="159"/>
  <c r="BP69" i="159" s="1"/>
  <c r="CD69" i="159" s="1"/>
  <c r="CX68" i="162"/>
  <c r="AX69" i="159"/>
  <c r="AY69" i="159" s="1"/>
  <c r="BA69" i="159"/>
  <c r="BB69" i="159" s="1"/>
  <c r="AV69" i="159"/>
  <c r="AW69" i="159" s="1"/>
  <c r="CW68" i="162"/>
  <c r="CN68" i="162"/>
  <c r="CS68" i="159"/>
  <c r="CP68" i="159"/>
  <c r="CM68" i="159"/>
  <c r="CL68" i="159"/>
  <c r="CN68" i="159"/>
  <c r="CK68" i="159"/>
  <c r="CO68" i="159"/>
  <c r="CR68" i="159"/>
  <c r="CQ68" i="159"/>
  <c r="CU68" i="159"/>
  <c r="CT68" i="159"/>
  <c r="CV68" i="159"/>
  <c r="CW68" i="159"/>
  <c r="CZ68" i="159"/>
  <c r="CX68" i="159"/>
  <c r="CY68" i="159"/>
  <c r="AZ70" i="160"/>
  <c r="BA70" i="160" s="1"/>
  <c r="BB70" i="160" s="1"/>
  <c r="CE69" i="160"/>
  <c r="CO68" i="162"/>
  <c r="R57" i="79" s="1"/>
  <c r="CM68" i="162"/>
  <c r="CQ68" i="162"/>
  <c r="T57" i="79" s="1"/>
  <c r="CY68" i="162"/>
  <c r="CK68" i="162"/>
  <c r="F69" i="159"/>
  <c r="G69" i="159" s="1"/>
  <c r="CR68" i="162"/>
  <c r="U57" i="79" s="1"/>
  <c r="CZ68" i="162"/>
  <c r="CT68" i="162"/>
  <c r="CP68" i="162"/>
  <c r="S57" i="79" s="1"/>
  <c r="CV68" i="162"/>
  <c r="CL68" i="162"/>
  <c r="L48" i="79"/>
  <c r="W69" i="163"/>
  <c r="F58" i="79"/>
  <c r="T70" i="160"/>
  <c r="U70" i="160" s="1"/>
  <c r="V70" i="160" s="1"/>
  <c r="AK70" i="160"/>
  <c r="AN70" i="160" s="1"/>
  <c r="S69" i="162"/>
  <c r="W69" i="162" s="1"/>
  <c r="I69" i="159"/>
  <c r="J70" i="160"/>
  <c r="AQ69" i="163"/>
  <c r="AR69" i="163" s="1"/>
  <c r="AS69" i="163"/>
  <c r="BA69" i="162"/>
  <c r="BB69" i="162" s="1"/>
  <c r="U69" i="162"/>
  <c r="V69" i="162" s="1"/>
  <c r="CA69" i="162"/>
  <c r="AX69" i="162"/>
  <c r="AY69" i="162" s="1"/>
  <c r="BC69" i="162" s="1"/>
  <c r="AV69" i="162"/>
  <c r="AW69" i="162" s="1"/>
  <c r="BC69" i="163"/>
  <c r="BA69" i="163"/>
  <c r="BB69" i="163" s="1"/>
  <c r="BE70" i="160"/>
  <c r="AP70" i="160"/>
  <c r="BQ69" i="159"/>
  <c r="CE69" i="159" s="1"/>
  <c r="BK69" i="163"/>
  <c r="BL69" i="163" s="1"/>
  <c r="K69" i="162"/>
  <c r="L69" i="162" s="1"/>
  <c r="M69" i="162"/>
  <c r="M69" i="159"/>
  <c r="K69" i="159"/>
  <c r="BR69" i="159"/>
  <c r="CF69" i="159" s="1"/>
  <c r="AD70" i="160"/>
  <c r="O70" i="160"/>
  <c r="CA69" i="163"/>
  <c r="AV69" i="163"/>
  <c r="AW69" i="163" s="1"/>
  <c r="AX69" i="163"/>
  <c r="AY69" i="163" s="1"/>
  <c r="H69" i="163"/>
  <c r="I69" i="163" s="1"/>
  <c r="F69" i="163"/>
  <c r="G69" i="163" s="1"/>
  <c r="BY69" i="163"/>
  <c r="CB69" i="162"/>
  <c r="BP69" i="162" s="1"/>
  <c r="CD69" i="162" s="1"/>
  <c r="BH69" i="162"/>
  <c r="BF69" i="162"/>
  <c r="BG69" i="162" s="1"/>
  <c r="U69" i="159"/>
  <c r="V69" i="159" s="1"/>
  <c r="W69" i="159"/>
  <c r="AE69" i="163"/>
  <c r="AF69" i="163" s="1"/>
  <c r="Y70" i="160"/>
  <c r="BF69" i="163"/>
  <c r="BG69" i="163" s="1"/>
  <c r="BH69" i="163"/>
  <c r="BI69" i="163" s="1"/>
  <c r="BM69" i="163" s="1"/>
  <c r="CB69" i="163"/>
  <c r="E70" i="160"/>
  <c r="AS69" i="162"/>
  <c r="AQ69" i="162"/>
  <c r="AR69" i="162" s="1"/>
  <c r="BX69" i="163"/>
  <c r="R69" i="163"/>
  <c r="S69" i="163" s="1"/>
  <c r="P69" i="163"/>
  <c r="Q69" i="163" s="1"/>
  <c r="AB69" i="159"/>
  <c r="AC69" i="159" s="1"/>
  <c r="AG69" i="159" s="1"/>
  <c r="BW69" i="159"/>
  <c r="Z69" i="159"/>
  <c r="AA69" i="159" s="1"/>
  <c r="AU70" i="160"/>
  <c r="I48" i="79"/>
  <c r="H69" i="162"/>
  <c r="I69" i="162" s="1"/>
  <c r="F69" i="162"/>
  <c r="G69" i="162" s="1"/>
  <c r="BY69" i="162"/>
  <c r="AN69" i="163"/>
  <c r="AO69" i="163" s="1"/>
  <c r="BZ69" i="163"/>
  <c r="AL69" i="163"/>
  <c r="BJ70" i="160"/>
  <c r="BZ69" i="162"/>
  <c r="AL69" i="162"/>
  <c r="AN69" i="162"/>
  <c r="AO69" i="162" s="1"/>
  <c r="BY69" i="159"/>
  <c r="AB69" i="163"/>
  <c r="AC69" i="163" s="1"/>
  <c r="AG69" i="163" s="1"/>
  <c r="Z69" i="163"/>
  <c r="AA69" i="163" s="1"/>
  <c r="BW69" i="163"/>
  <c r="R69" i="159"/>
  <c r="S69" i="159" s="1"/>
  <c r="P69" i="159"/>
  <c r="Q69" i="159" s="1"/>
  <c r="BX69" i="159"/>
  <c r="AB69" i="162"/>
  <c r="AC69" i="162" s="1"/>
  <c r="BW69" i="162"/>
  <c r="BU69" i="162" s="1"/>
  <c r="CI69" i="162" s="1"/>
  <c r="Z69" i="162"/>
  <c r="AA69" i="162" s="1"/>
  <c r="BK69" i="162"/>
  <c r="BL69" i="162" s="1"/>
  <c r="BI69" i="162"/>
  <c r="BM69" i="162" s="1"/>
  <c r="J58" i="79"/>
  <c r="BP59" i="158"/>
  <c r="CD59" i="158" s="1"/>
  <c r="BQ59" i="158"/>
  <c r="CE59" i="158" s="1"/>
  <c r="BR59" i="158"/>
  <c r="CF59" i="158" s="1"/>
  <c r="F59" i="158"/>
  <c r="BY59" i="158"/>
  <c r="H59" i="158"/>
  <c r="I59" i="158" s="1"/>
  <c r="M59" i="158" s="1"/>
  <c r="U59" i="158"/>
  <c r="V59" i="158" s="1"/>
  <c r="AE59" i="158"/>
  <c r="AF59" i="158" s="1"/>
  <c r="Z59" i="158"/>
  <c r="AA59" i="158" s="1"/>
  <c r="BW59" i="158"/>
  <c r="AB59" i="158"/>
  <c r="AC59" i="158" s="1"/>
  <c r="AG59" i="158" s="1"/>
  <c r="K59" i="158"/>
  <c r="L59" i="158" s="1"/>
  <c r="P59" i="158"/>
  <c r="Q59" i="158" s="1"/>
  <c r="R59" i="158"/>
  <c r="S59" i="158" s="1"/>
  <c r="W59" i="158" s="1"/>
  <c r="BX59" i="158"/>
  <c r="BZ70" i="160" l="1"/>
  <c r="CL69" i="160"/>
  <c r="CW69" i="160"/>
  <c r="CT69" i="160"/>
  <c r="CN69" i="160"/>
  <c r="CU69" i="160"/>
  <c r="CO69" i="160"/>
  <c r="CQ69" i="160"/>
  <c r="CM69" i="160"/>
  <c r="CV69" i="160"/>
  <c r="CZ69" i="160"/>
  <c r="CP69" i="160"/>
  <c r="CY69" i="160"/>
  <c r="CX69" i="160"/>
  <c r="CR69" i="160"/>
  <c r="CS69" i="160"/>
  <c r="CK69" i="160"/>
  <c r="AL70" i="160"/>
  <c r="AM70" i="160" s="1"/>
  <c r="AE70" i="160"/>
  <c r="AF70" i="160" s="1"/>
  <c r="AG70" i="160"/>
  <c r="BQ69" i="162"/>
  <c r="CE69" i="162" s="1"/>
  <c r="BR69" i="162"/>
  <c r="CF69" i="162" s="1"/>
  <c r="BK70" i="160"/>
  <c r="BL70" i="160" s="1"/>
  <c r="BT69" i="162"/>
  <c r="CH69" i="162" s="1"/>
  <c r="BS69" i="162"/>
  <c r="CG69" i="162" s="1"/>
  <c r="BS69" i="163"/>
  <c r="CG69" i="163" s="1"/>
  <c r="BT69" i="163"/>
  <c r="CH69" i="163" s="1"/>
  <c r="L69" i="159"/>
  <c r="BJ70" i="159" s="1"/>
  <c r="AV70" i="160"/>
  <c r="AW70" i="160" s="1"/>
  <c r="AX70" i="160"/>
  <c r="AY70" i="160" s="1"/>
  <c r="BC70" i="160" s="1"/>
  <c r="CA70" i="160"/>
  <c r="BQ70" i="160" s="1"/>
  <c r="CE70" i="160" s="1"/>
  <c r="AB70" i="160"/>
  <c r="AC70" i="160" s="1"/>
  <c r="Z70" i="160"/>
  <c r="AA70" i="160" s="1"/>
  <c r="BW70" i="160"/>
  <c r="AS70" i="160"/>
  <c r="AQ70" i="160"/>
  <c r="AR70" i="160" s="1"/>
  <c r="AO70" i="160"/>
  <c r="K70" i="160"/>
  <c r="L70" i="160" s="1"/>
  <c r="M70" i="160"/>
  <c r="AM69" i="163"/>
  <c r="BU69" i="159"/>
  <c r="CI69" i="159" s="1"/>
  <c r="BT69" i="159"/>
  <c r="CH69" i="159" s="1"/>
  <c r="BS69" i="159"/>
  <c r="CG69" i="159" s="1"/>
  <c r="BR69" i="163"/>
  <c r="CF69" i="163" s="1"/>
  <c r="BQ69" i="163"/>
  <c r="CE69" i="163" s="1"/>
  <c r="BP69" i="163"/>
  <c r="CD69" i="163" s="1"/>
  <c r="BF70" i="160"/>
  <c r="BG70" i="160" s="1"/>
  <c r="CB70" i="160"/>
  <c r="BP70" i="160" s="1"/>
  <c r="CD70" i="160" s="1"/>
  <c r="BH70" i="160"/>
  <c r="BI70" i="160" s="1"/>
  <c r="BM70" i="160" s="1"/>
  <c r="BU69" i="163"/>
  <c r="CI69" i="163" s="1"/>
  <c r="AM69" i="162"/>
  <c r="H70" i="160"/>
  <c r="I70" i="160" s="1"/>
  <c r="BY70" i="160"/>
  <c r="F70" i="160"/>
  <c r="R70" i="160"/>
  <c r="S70" i="160" s="1"/>
  <c r="W70" i="160" s="1"/>
  <c r="P70" i="160"/>
  <c r="Q70" i="160" s="1"/>
  <c r="BX70" i="160"/>
  <c r="BS59" i="158"/>
  <c r="CG59" i="158" s="1"/>
  <c r="BU59" i="158"/>
  <c r="CI59" i="158" s="1"/>
  <c r="BT59" i="158"/>
  <c r="CH59" i="158" s="1"/>
  <c r="G59" i="158"/>
  <c r="BE60" i="158" s="1"/>
  <c r="CM69" i="162" l="1"/>
  <c r="CQ59" i="158"/>
  <c r="CM59" i="158"/>
  <c r="P48" i="79" s="1"/>
  <c r="CO69" i="162"/>
  <c r="R58" i="79" s="1"/>
  <c r="CK59" i="158"/>
  <c r="N48" i="79" s="1"/>
  <c r="CT69" i="162"/>
  <c r="CW59" i="158"/>
  <c r="Z48" i="79" s="1"/>
  <c r="CL69" i="159"/>
  <c r="CV59" i="158"/>
  <c r="Y48" i="79" s="1"/>
  <c r="CQ69" i="159"/>
  <c r="CM69" i="159"/>
  <c r="CK69" i="159"/>
  <c r="CS69" i="159"/>
  <c r="CN69" i="162"/>
  <c r="CL69" i="162"/>
  <c r="CP69" i="162"/>
  <c r="S58" i="79" s="1"/>
  <c r="CR59" i="158"/>
  <c r="CU59" i="158"/>
  <c r="X48" i="79" s="1"/>
  <c r="CQ69" i="162"/>
  <c r="T58" i="79" s="1"/>
  <c r="CR69" i="159"/>
  <c r="CY69" i="159"/>
  <c r="CY69" i="162"/>
  <c r="CK69" i="162"/>
  <c r="CN69" i="159"/>
  <c r="CP59" i="158"/>
  <c r="CT59" i="158"/>
  <c r="W48" i="79" s="1"/>
  <c r="CT69" i="159"/>
  <c r="CX69" i="162"/>
  <c r="CZ69" i="162"/>
  <c r="CW69" i="159"/>
  <c r="CN59" i="158"/>
  <c r="Q48" i="79" s="1"/>
  <c r="CS59" i="158"/>
  <c r="V48" i="79" s="1"/>
  <c r="CP69" i="159"/>
  <c r="CW69" i="162"/>
  <c r="CV69" i="162"/>
  <c r="CO69" i="159"/>
  <c r="CO59" i="158"/>
  <c r="CZ59" i="158"/>
  <c r="AC48" i="79" s="1"/>
  <c r="CZ69" i="159"/>
  <c r="CU69" i="162"/>
  <c r="CR69" i="162"/>
  <c r="U58" i="79" s="1"/>
  <c r="CU69" i="159"/>
  <c r="CX59" i="158"/>
  <c r="AA48" i="79" s="1"/>
  <c r="CY59" i="158"/>
  <c r="AB48" i="79" s="1"/>
  <c r="CR69" i="163"/>
  <c r="CV69" i="163"/>
  <c r="CP69" i="163"/>
  <c r="CL69" i="163"/>
  <c r="CK69" i="163"/>
  <c r="CN69" i="163"/>
  <c r="CQ69" i="163"/>
  <c r="CM69" i="163"/>
  <c r="CO69" i="163"/>
  <c r="CT69" i="163"/>
  <c r="CS69" i="163"/>
  <c r="CZ69" i="163"/>
  <c r="CU69" i="163"/>
  <c r="CY69" i="163"/>
  <c r="CW69" i="163"/>
  <c r="CX69" i="163"/>
  <c r="CX69" i="159"/>
  <c r="CS69" i="162"/>
  <c r="CL59" i="158"/>
  <c r="O48" i="79" s="1"/>
  <c r="CV69" i="159"/>
  <c r="AZ70" i="162"/>
  <c r="BA70" i="162" s="1"/>
  <c r="BB70" i="162" s="1"/>
  <c r="AP70" i="162"/>
  <c r="AQ70" i="162" s="1"/>
  <c r="AR70" i="162" s="1"/>
  <c r="AK70" i="162"/>
  <c r="AL70" i="162" s="1"/>
  <c r="AM70" i="162" s="1"/>
  <c r="E70" i="162"/>
  <c r="F70" i="162" s="1"/>
  <c r="G70" i="162" s="1"/>
  <c r="AU70" i="162"/>
  <c r="AX70" i="162" s="1"/>
  <c r="BE70" i="162"/>
  <c r="BF70" i="162" s="1"/>
  <c r="BG70" i="162" s="1"/>
  <c r="BJ70" i="162"/>
  <c r="BK70" i="162" s="1"/>
  <c r="BL70" i="162" s="1"/>
  <c r="T70" i="163"/>
  <c r="U70" i="163" s="1"/>
  <c r="V70" i="163" s="1"/>
  <c r="Y70" i="162"/>
  <c r="BJ70" i="163"/>
  <c r="BK70" i="163" s="1"/>
  <c r="BL70" i="163" s="1"/>
  <c r="T70" i="162"/>
  <c r="U70" i="162" s="1"/>
  <c r="V70" i="162" s="1"/>
  <c r="AP70" i="163"/>
  <c r="AS70" i="163" s="1"/>
  <c r="E70" i="159"/>
  <c r="H70" i="159" s="1"/>
  <c r="AD70" i="162"/>
  <c r="J70" i="162"/>
  <c r="M70" i="162" s="1"/>
  <c r="BK70" i="159"/>
  <c r="BL70" i="159" s="1"/>
  <c r="G70" i="160"/>
  <c r="AD70" i="163"/>
  <c r="AE70" i="163" s="1"/>
  <c r="AF70" i="163" s="1"/>
  <c r="J70" i="163"/>
  <c r="AU70" i="159"/>
  <c r="Y70" i="163"/>
  <c r="AK70" i="159"/>
  <c r="BU70" i="160"/>
  <c r="CI70" i="160" s="1"/>
  <c r="AP70" i="159"/>
  <c r="O70" i="163"/>
  <c r="O70" i="162"/>
  <c r="BE70" i="163"/>
  <c r="AU70" i="163"/>
  <c r="AK70" i="163"/>
  <c r="BE70" i="159"/>
  <c r="BS70" i="160"/>
  <c r="CG70" i="160" s="1"/>
  <c r="BT70" i="160"/>
  <c r="CH70" i="160" s="1"/>
  <c r="T70" i="159"/>
  <c r="Y70" i="159"/>
  <c r="AD70" i="159"/>
  <c r="AE70" i="159" s="1"/>
  <c r="AF70" i="159" s="1"/>
  <c r="O70" i="159"/>
  <c r="J70" i="159"/>
  <c r="AZ70" i="159"/>
  <c r="BR70" i="160"/>
  <c r="CF70" i="160" s="1"/>
  <c r="E70" i="163"/>
  <c r="AZ70" i="163"/>
  <c r="BJ60" i="158"/>
  <c r="CB60" i="158" s="1"/>
  <c r="AK60" i="158"/>
  <c r="AN60" i="158" s="1"/>
  <c r="BF60" i="158"/>
  <c r="BG60" i="158" s="1"/>
  <c r="BH60" i="158"/>
  <c r="Y60" i="158"/>
  <c r="AZ60" i="158"/>
  <c r="AU60" i="158"/>
  <c r="AP60" i="158"/>
  <c r="AS70" i="162" l="1"/>
  <c r="F70" i="159"/>
  <c r="G70" i="159" s="1"/>
  <c r="BY70" i="159"/>
  <c r="AN70" i="162"/>
  <c r="AO70" i="162" s="1"/>
  <c r="H70" i="162"/>
  <c r="I70" i="162" s="1"/>
  <c r="BZ70" i="162"/>
  <c r="CL70" i="160"/>
  <c r="AY70" i="162"/>
  <c r="BC70" i="162" s="1"/>
  <c r="CZ70" i="160"/>
  <c r="CY70" i="160"/>
  <c r="CV70" i="160"/>
  <c r="CT70" i="160"/>
  <c r="CR70" i="160"/>
  <c r="CO70" i="160"/>
  <c r="CN70" i="160"/>
  <c r="CP70" i="160"/>
  <c r="CQ70" i="160"/>
  <c r="CU70" i="160"/>
  <c r="CA70" i="162"/>
  <c r="CW70" i="160"/>
  <c r="CM70" i="160"/>
  <c r="CX70" i="160"/>
  <c r="CK70" i="160"/>
  <c r="CS70" i="160"/>
  <c r="AV70" i="162"/>
  <c r="AW70" i="162" s="1"/>
  <c r="BH70" i="162"/>
  <c r="W70" i="163"/>
  <c r="F59" i="79"/>
  <c r="CB70" i="162"/>
  <c r="BP70" i="162" s="1"/>
  <c r="CD70" i="162" s="1"/>
  <c r="BI70" i="162"/>
  <c r="BM70" i="162" s="1"/>
  <c r="J59" i="79"/>
  <c r="AB70" i="162"/>
  <c r="BW70" i="162"/>
  <c r="BU70" i="162" s="1"/>
  <c r="CI70" i="162" s="1"/>
  <c r="Z70" i="162"/>
  <c r="AA70" i="162" s="1"/>
  <c r="AQ70" i="163"/>
  <c r="AR70" i="163" s="1"/>
  <c r="AU71" i="160"/>
  <c r="AX71" i="160" s="1"/>
  <c r="AE70" i="162"/>
  <c r="AF70" i="162" s="1"/>
  <c r="AG70" i="162"/>
  <c r="G49" i="79"/>
  <c r="E71" i="160"/>
  <c r="F71" i="160" s="1"/>
  <c r="G71" i="160" s="1"/>
  <c r="BJ71" i="160"/>
  <c r="BK71" i="160" s="1"/>
  <c r="BL71" i="160" s="1"/>
  <c r="BY70" i="162"/>
  <c r="AP71" i="160"/>
  <c r="AS71" i="160" s="1"/>
  <c r="K70" i="162"/>
  <c r="L70" i="162" s="1"/>
  <c r="AZ71" i="160"/>
  <c r="BA71" i="160" s="1"/>
  <c r="BB71" i="160" s="1"/>
  <c r="AK71" i="160"/>
  <c r="AL71" i="160" s="1"/>
  <c r="AM71" i="160" s="1"/>
  <c r="Y71" i="160"/>
  <c r="Z71" i="160" s="1"/>
  <c r="AA71" i="160" s="1"/>
  <c r="AC70" i="162"/>
  <c r="AS70" i="159"/>
  <c r="AQ70" i="159"/>
  <c r="AR70" i="159" s="1"/>
  <c r="BC70" i="163"/>
  <c r="BA70" i="163"/>
  <c r="BB70" i="163" s="1"/>
  <c r="J71" i="160"/>
  <c r="H70" i="163"/>
  <c r="I70" i="163" s="1"/>
  <c r="F70" i="163"/>
  <c r="BY70" i="163"/>
  <c r="AN70" i="159"/>
  <c r="AO70" i="159" s="1"/>
  <c r="AL70" i="159"/>
  <c r="BZ70" i="159"/>
  <c r="BC70" i="159"/>
  <c r="BA70" i="159"/>
  <c r="BB70" i="159" s="1"/>
  <c r="BF70" i="159"/>
  <c r="BG70" i="159" s="1"/>
  <c r="BH70" i="159"/>
  <c r="BI70" i="159" s="1"/>
  <c r="BM70" i="159" s="1"/>
  <c r="CB70" i="159"/>
  <c r="T71" i="160"/>
  <c r="K70" i="163"/>
  <c r="L70" i="163" s="1"/>
  <c r="M70" i="163"/>
  <c r="P70" i="162"/>
  <c r="Q70" i="162" s="1"/>
  <c r="R70" i="162"/>
  <c r="S70" i="162" s="1"/>
  <c r="W70" i="162" s="1"/>
  <c r="BX70" i="162"/>
  <c r="BZ70" i="163"/>
  <c r="AN70" i="163"/>
  <c r="AO70" i="163" s="1"/>
  <c r="AL70" i="163"/>
  <c r="BX70" i="163"/>
  <c r="P70" i="163"/>
  <c r="Q70" i="163" s="1"/>
  <c r="R70" i="163"/>
  <c r="S70" i="163" s="1"/>
  <c r="P70" i="159"/>
  <c r="Q70" i="159" s="1"/>
  <c r="R70" i="159"/>
  <c r="S70" i="159" s="1"/>
  <c r="AV70" i="163"/>
  <c r="AW70" i="163" s="1"/>
  <c r="AX70" i="163"/>
  <c r="AY70" i="163" s="1"/>
  <c r="CA70" i="163"/>
  <c r="BW70" i="163"/>
  <c r="Z70" i="163"/>
  <c r="AA70" i="163" s="1"/>
  <c r="AB70" i="163"/>
  <c r="AC70" i="163" s="1"/>
  <c r="AG70" i="163" s="1"/>
  <c r="BX70" i="159"/>
  <c r="BU70" i="159" s="1"/>
  <c r="CI70" i="159" s="1"/>
  <c r="W70" i="159"/>
  <c r="U70" i="159"/>
  <c r="V70" i="159" s="1"/>
  <c r="I70" i="159"/>
  <c r="M70" i="159"/>
  <c r="K70" i="159"/>
  <c r="L70" i="159" s="1"/>
  <c r="AD71" i="160"/>
  <c r="CB70" i="163"/>
  <c r="BH70" i="163"/>
  <c r="BI70" i="163" s="1"/>
  <c r="BM70" i="163" s="1"/>
  <c r="BF70" i="163"/>
  <c r="BG70" i="163" s="1"/>
  <c r="AX70" i="159"/>
  <c r="AY70" i="159" s="1"/>
  <c r="AV70" i="159"/>
  <c r="AW70" i="159" s="1"/>
  <c r="CA70" i="159"/>
  <c r="BW70" i="159"/>
  <c r="Z70" i="159"/>
  <c r="AA70" i="159" s="1"/>
  <c r="AB70" i="159"/>
  <c r="AC70" i="159" s="1"/>
  <c r="AG70" i="159" s="1"/>
  <c r="BE71" i="160"/>
  <c r="O71" i="160"/>
  <c r="BK60" i="158"/>
  <c r="BL60" i="158" s="1"/>
  <c r="BI60" i="158"/>
  <c r="BM60" i="158" s="1"/>
  <c r="AL60" i="158"/>
  <c r="AM60" i="158" s="1"/>
  <c r="Z60" i="158"/>
  <c r="AA60" i="158" s="1"/>
  <c r="AB60" i="158"/>
  <c r="T60" i="158"/>
  <c r="U60" i="158" s="1"/>
  <c r="V60" i="158" s="1"/>
  <c r="AD60" i="158"/>
  <c r="K49" i="79" s="1"/>
  <c r="AX60" i="158"/>
  <c r="AY60" i="158" s="1"/>
  <c r="BC60" i="158" s="1"/>
  <c r="AV60" i="158"/>
  <c r="AW60" i="158" s="1"/>
  <c r="CA60" i="158"/>
  <c r="O60" i="158"/>
  <c r="H49" i="79" s="1"/>
  <c r="AQ60" i="158"/>
  <c r="AR60" i="158" s="1"/>
  <c r="AO60" i="158"/>
  <c r="AS60" i="158" s="1"/>
  <c r="BZ60" i="158"/>
  <c r="BA60" i="158"/>
  <c r="BB60" i="158" s="1"/>
  <c r="J60" i="158"/>
  <c r="E60" i="158"/>
  <c r="E49" i="79" s="1"/>
  <c r="BQ70" i="162" l="1"/>
  <c r="CE70" i="162" s="1"/>
  <c r="BR70" i="162"/>
  <c r="CF70" i="162" s="1"/>
  <c r="L49" i="79"/>
  <c r="I49" i="79"/>
  <c r="AV71" i="160"/>
  <c r="AW71" i="160" s="1"/>
  <c r="BS70" i="162"/>
  <c r="CG70" i="162" s="1"/>
  <c r="H71" i="160"/>
  <c r="I71" i="160" s="1"/>
  <c r="AQ71" i="160"/>
  <c r="AR71" i="160" s="1"/>
  <c r="CA71" i="160"/>
  <c r="BY71" i="160"/>
  <c r="BT70" i="159"/>
  <c r="CH70" i="159" s="1"/>
  <c r="BS70" i="159"/>
  <c r="CG70" i="159" s="1"/>
  <c r="AP71" i="162"/>
  <c r="AQ71" i="162" s="1"/>
  <c r="AR71" i="162" s="1"/>
  <c r="AB71" i="160"/>
  <c r="AC71" i="160" s="1"/>
  <c r="AG71" i="160" s="1"/>
  <c r="AN71" i="160"/>
  <c r="AO71" i="160" s="1"/>
  <c r="AY71" i="160"/>
  <c r="BC71" i="160" s="1"/>
  <c r="BZ71" i="160"/>
  <c r="BR71" i="160" s="1"/>
  <c r="CF71" i="160" s="1"/>
  <c r="AU71" i="162"/>
  <c r="AV71" i="162" s="1"/>
  <c r="AW71" i="162" s="1"/>
  <c r="BT70" i="162"/>
  <c r="AZ71" i="162"/>
  <c r="AM70" i="163"/>
  <c r="G70" i="163"/>
  <c r="BX71" i="160"/>
  <c r="P71" i="160"/>
  <c r="Q71" i="160" s="1"/>
  <c r="R71" i="160"/>
  <c r="S71" i="160" s="1"/>
  <c r="W71" i="160" s="1"/>
  <c r="BP70" i="159"/>
  <c r="CD70" i="159" s="1"/>
  <c r="BR70" i="159"/>
  <c r="CF70" i="159" s="1"/>
  <c r="BQ70" i="159"/>
  <c r="CE70" i="159" s="1"/>
  <c r="CB71" i="160"/>
  <c r="BP71" i="160" s="1"/>
  <c r="CD71" i="160" s="1"/>
  <c r="BH71" i="160"/>
  <c r="BI71" i="160" s="1"/>
  <c r="BM71" i="160" s="1"/>
  <c r="BF71" i="160"/>
  <c r="BG71" i="160" s="1"/>
  <c r="AK71" i="162"/>
  <c r="BP70" i="163"/>
  <c r="CD70" i="163" s="1"/>
  <c r="BR70" i="163"/>
  <c r="CF70" i="163" s="1"/>
  <c r="BQ70" i="163"/>
  <c r="CE70" i="163" s="1"/>
  <c r="AM70" i="159"/>
  <c r="AE71" i="160"/>
  <c r="AF71" i="160" s="1"/>
  <c r="BW71" i="160"/>
  <c r="BJ71" i="162"/>
  <c r="BS70" i="163"/>
  <c r="CG70" i="163" s="1"/>
  <c r="BT70" i="163"/>
  <c r="CH70" i="163" s="1"/>
  <c r="U71" i="160"/>
  <c r="V71" i="160" s="1"/>
  <c r="BE71" i="162"/>
  <c r="BU70" i="163"/>
  <c r="CI70" i="163" s="1"/>
  <c r="K71" i="160"/>
  <c r="M71" i="160"/>
  <c r="BP60" i="158"/>
  <c r="CD60" i="158" s="1"/>
  <c r="BQ60" i="158"/>
  <c r="CE60" i="158" s="1"/>
  <c r="BR60" i="158"/>
  <c r="CF60" i="158" s="1"/>
  <c r="AE60" i="158"/>
  <c r="AF60" i="158" s="1"/>
  <c r="AC60" i="158"/>
  <c r="AG60" i="158" s="1"/>
  <c r="K60" i="158"/>
  <c r="L60" i="158" s="1"/>
  <c r="BW60" i="158"/>
  <c r="BY60" i="158"/>
  <c r="H60" i="158"/>
  <c r="I60" i="158" s="1"/>
  <c r="M60" i="158" s="1"/>
  <c r="F60" i="158"/>
  <c r="P60" i="158"/>
  <c r="Q60" i="158" s="1"/>
  <c r="BX60" i="158"/>
  <c r="R60" i="158"/>
  <c r="S60" i="158" s="1"/>
  <c r="W60" i="158" s="1"/>
  <c r="T71" i="162" l="1"/>
  <c r="CH70" i="162"/>
  <c r="CT70" i="162" s="1"/>
  <c r="CP70" i="163"/>
  <c r="CV70" i="163"/>
  <c r="CM70" i="163"/>
  <c r="CO70" i="163"/>
  <c r="CK70" i="163"/>
  <c r="CR70" i="163"/>
  <c r="CQ70" i="163"/>
  <c r="CL70" i="163"/>
  <c r="CN70" i="163"/>
  <c r="CZ70" i="163"/>
  <c r="CT70" i="163"/>
  <c r="CU70" i="163"/>
  <c r="CS70" i="163"/>
  <c r="CX70" i="163"/>
  <c r="CY70" i="163"/>
  <c r="CW70" i="163"/>
  <c r="CN70" i="159"/>
  <c r="CM70" i="159"/>
  <c r="CP70" i="159"/>
  <c r="CQ70" i="159"/>
  <c r="CS70" i="159"/>
  <c r="CO70" i="159"/>
  <c r="CR70" i="159"/>
  <c r="CL70" i="159"/>
  <c r="CK70" i="159"/>
  <c r="CU70" i="159"/>
  <c r="CW70" i="159"/>
  <c r="CV70" i="159"/>
  <c r="CT70" i="159"/>
  <c r="CY70" i="159"/>
  <c r="CX70" i="159"/>
  <c r="CZ70" i="159"/>
  <c r="CN70" i="162"/>
  <c r="CZ70" i="162"/>
  <c r="CO70" i="162"/>
  <c r="R59" i="79" s="1"/>
  <c r="BE71" i="159"/>
  <c r="BF71" i="159" s="1"/>
  <c r="BG71" i="159" s="1"/>
  <c r="J71" i="162"/>
  <c r="K71" i="162" s="1"/>
  <c r="L71" i="162" s="1"/>
  <c r="E71" i="159"/>
  <c r="F71" i="159" s="1"/>
  <c r="G71" i="159" s="1"/>
  <c r="AS71" i="162"/>
  <c r="AX71" i="162"/>
  <c r="AY71" i="162" s="1"/>
  <c r="BC71" i="162" s="1"/>
  <c r="BQ71" i="160"/>
  <c r="CE71" i="160" s="1"/>
  <c r="AU71" i="159"/>
  <c r="AX71" i="159" s="1"/>
  <c r="CA71" i="162"/>
  <c r="E71" i="163"/>
  <c r="H71" i="163" s="1"/>
  <c r="AD71" i="162"/>
  <c r="AG71" i="162" s="1"/>
  <c r="AP71" i="163"/>
  <c r="AS71" i="163" s="1"/>
  <c r="AP71" i="159"/>
  <c r="AQ71" i="159" s="1"/>
  <c r="AR71" i="159" s="1"/>
  <c r="Y71" i="162"/>
  <c r="F60" i="79" s="1"/>
  <c r="O71" i="162"/>
  <c r="R71" i="162" s="1"/>
  <c r="AD71" i="159"/>
  <c r="AE71" i="159" s="1"/>
  <c r="AF71" i="159" s="1"/>
  <c r="BU71" i="160"/>
  <c r="CI71" i="160" s="1"/>
  <c r="E71" i="162"/>
  <c r="H71" i="162" s="1"/>
  <c r="AZ71" i="159"/>
  <c r="BA71" i="159" s="1"/>
  <c r="BB71" i="159" s="1"/>
  <c r="BJ71" i="159"/>
  <c r="BK71" i="159" s="1"/>
  <c r="BL71" i="159" s="1"/>
  <c r="AK71" i="159"/>
  <c r="BZ71" i="159" s="1"/>
  <c r="T71" i="163"/>
  <c r="U71" i="163" s="1"/>
  <c r="V71" i="163" s="1"/>
  <c r="AZ71" i="163"/>
  <c r="BE71" i="163"/>
  <c r="AK71" i="163"/>
  <c r="AU71" i="163"/>
  <c r="U71" i="162"/>
  <c r="V71" i="162" s="1"/>
  <c r="BK71" i="162"/>
  <c r="BL71" i="162" s="1"/>
  <c r="O71" i="159"/>
  <c r="T71" i="159"/>
  <c r="Y71" i="159"/>
  <c r="J71" i="159"/>
  <c r="J71" i="163"/>
  <c r="L71" i="160"/>
  <c r="O71" i="163"/>
  <c r="M71" i="162"/>
  <c r="AD71" i="163"/>
  <c r="Y71" i="163"/>
  <c r="CB71" i="162"/>
  <c r="BP71" i="162" s="1"/>
  <c r="CD71" i="162" s="1"/>
  <c r="BH71" i="162"/>
  <c r="BI71" i="162" s="1"/>
  <c r="BM71" i="162" s="1"/>
  <c r="BF71" i="162"/>
  <c r="BG71" i="162" s="1"/>
  <c r="BA71" i="162"/>
  <c r="BB71" i="162" s="1"/>
  <c r="BS71" i="160"/>
  <c r="CG71" i="160" s="1"/>
  <c r="BZ71" i="162"/>
  <c r="AN71" i="162"/>
  <c r="AO71" i="162" s="1"/>
  <c r="AL71" i="162"/>
  <c r="AM71" i="162" s="1"/>
  <c r="BJ71" i="163"/>
  <c r="Z71" i="162"/>
  <c r="AA71" i="162" s="1"/>
  <c r="AB71" i="162"/>
  <c r="BT71" i="160"/>
  <c r="CH71" i="160" s="1"/>
  <c r="BS60" i="158"/>
  <c r="CG60" i="158" s="1"/>
  <c r="BT60" i="158"/>
  <c r="CH60" i="158" s="1"/>
  <c r="BU60" i="158"/>
  <c r="CI60" i="158" s="1"/>
  <c r="G60" i="158"/>
  <c r="AU61" i="158" s="1"/>
  <c r="BH71" i="159" l="1"/>
  <c r="S71" i="162"/>
  <c r="W71" i="162" s="1"/>
  <c r="CX70" i="162"/>
  <c r="CY60" i="158"/>
  <c r="AB49" i="79" s="1"/>
  <c r="CQ70" i="162"/>
  <c r="T59" i="79" s="1"/>
  <c r="I71" i="162"/>
  <c r="CW70" i="162"/>
  <c r="CR70" i="162"/>
  <c r="U59" i="79" s="1"/>
  <c r="AV71" i="159"/>
  <c r="AW71" i="159" s="1"/>
  <c r="CV71" i="160"/>
  <c r="BE72" i="160"/>
  <c r="BF72" i="160" s="1"/>
  <c r="BG72" i="160" s="1"/>
  <c r="CU70" i="162"/>
  <c r="CL71" i="160"/>
  <c r="CU71" i="160"/>
  <c r="CL60" i="158"/>
  <c r="O49" i="79" s="1"/>
  <c r="CV60" i="158"/>
  <c r="Y49" i="79" s="1"/>
  <c r="CW71" i="160"/>
  <c r="CM71" i="160"/>
  <c r="CR60" i="158"/>
  <c r="CX60" i="158"/>
  <c r="AA49" i="79" s="1"/>
  <c r="CY70" i="162"/>
  <c r="CM70" i="162"/>
  <c r="CX71" i="160"/>
  <c r="CP71" i="160"/>
  <c r="CQ60" i="158"/>
  <c r="CW60" i="158"/>
  <c r="Z49" i="79" s="1"/>
  <c r="CT71" i="160"/>
  <c r="CQ71" i="160"/>
  <c r="CK60" i="158"/>
  <c r="N49" i="79" s="1"/>
  <c r="CP60" i="158"/>
  <c r="CL70" i="162"/>
  <c r="CZ71" i="160"/>
  <c r="CO71" i="160"/>
  <c r="CT60" i="158"/>
  <c r="W49" i="79" s="1"/>
  <c r="CU60" i="158"/>
  <c r="X49" i="79" s="1"/>
  <c r="CS70" i="162"/>
  <c r="CS71" i="160"/>
  <c r="CR71" i="160"/>
  <c r="CN60" i="158"/>
  <c r="Q49" i="79" s="1"/>
  <c r="CZ60" i="158"/>
  <c r="AC49" i="79" s="1"/>
  <c r="CP70" i="162"/>
  <c r="S59" i="79" s="1"/>
  <c r="CY71" i="160"/>
  <c r="CN71" i="160"/>
  <c r="CM60" i="158"/>
  <c r="P49" i="79" s="1"/>
  <c r="CS60" i="158"/>
  <c r="V49" i="79" s="1"/>
  <c r="CK71" i="160"/>
  <c r="CO60" i="158"/>
  <c r="CK70" i="162"/>
  <c r="CV70" i="162"/>
  <c r="H71" i="159"/>
  <c r="I71" i="159" s="1"/>
  <c r="BW71" i="162"/>
  <c r="BU71" i="162" s="1"/>
  <c r="CI71" i="162" s="1"/>
  <c r="BY71" i="163"/>
  <c r="F71" i="163"/>
  <c r="G71" i="163" s="1"/>
  <c r="AC71" i="162"/>
  <c r="BI71" i="159"/>
  <c r="BM71" i="159" s="1"/>
  <c r="CB71" i="159"/>
  <c r="AQ71" i="163"/>
  <c r="AR71" i="163" s="1"/>
  <c r="AE71" i="162"/>
  <c r="AF71" i="162" s="1"/>
  <c r="AS71" i="159"/>
  <c r="AL71" i="159"/>
  <c r="AM71" i="159" s="1"/>
  <c r="J60" i="79"/>
  <c r="AN71" i="159"/>
  <c r="AO71" i="159" s="1"/>
  <c r="BX71" i="162"/>
  <c r="P71" i="162"/>
  <c r="Q71" i="162" s="1"/>
  <c r="AK72" i="160"/>
  <c r="AN72" i="160" s="1"/>
  <c r="BC71" i="159"/>
  <c r="AY71" i="159"/>
  <c r="F71" i="162"/>
  <c r="G71" i="162" s="1"/>
  <c r="BY71" i="162"/>
  <c r="CA71" i="159"/>
  <c r="BR71" i="159" s="1"/>
  <c r="CF71" i="159" s="1"/>
  <c r="AZ72" i="160"/>
  <c r="BJ72" i="160"/>
  <c r="BK72" i="160" s="1"/>
  <c r="BL72" i="160" s="1"/>
  <c r="W71" i="163"/>
  <c r="I71" i="163"/>
  <c r="AU72" i="160"/>
  <c r="AV72" i="160" s="1"/>
  <c r="AW72" i="160" s="1"/>
  <c r="AP72" i="160"/>
  <c r="AS72" i="160" s="1"/>
  <c r="Z71" i="159"/>
  <c r="AA71" i="159" s="1"/>
  <c r="BW71" i="159"/>
  <c r="AB71" i="159"/>
  <c r="AC71" i="159" s="1"/>
  <c r="AG71" i="159" s="1"/>
  <c r="K71" i="159"/>
  <c r="M71" i="159"/>
  <c r="U71" i="159"/>
  <c r="V71" i="159" s="1"/>
  <c r="W71" i="159"/>
  <c r="P71" i="159"/>
  <c r="Q71" i="159" s="1"/>
  <c r="R71" i="159"/>
  <c r="S71" i="159" s="1"/>
  <c r="BX71" i="159"/>
  <c r="CA71" i="163"/>
  <c r="AX71" i="163"/>
  <c r="AY71" i="163" s="1"/>
  <c r="AV71" i="163"/>
  <c r="AW71" i="163" s="1"/>
  <c r="BY71" i="159"/>
  <c r="AD72" i="160"/>
  <c r="J72" i="160"/>
  <c r="Y72" i="160"/>
  <c r="E72" i="160"/>
  <c r="T72" i="160"/>
  <c r="O72" i="160"/>
  <c r="AN71" i="163"/>
  <c r="AO71" i="163" s="1"/>
  <c r="BZ71" i="163"/>
  <c r="AL71" i="163"/>
  <c r="BH71" i="163"/>
  <c r="BI71" i="163" s="1"/>
  <c r="BM71" i="163" s="1"/>
  <c r="BF71" i="163"/>
  <c r="BG71" i="163" s="1"/>
  <c r="CB71" i="163"/>
  <c r="P71" i="163"/>
  <c r="Q71" i="163" s="1"/>
  <c r="BX71" i="163"/>
  <c r="BU71" i="163" s="1"/>
  <c r="CI71" i="163" s="1"/>
  <c r="R71" i="163"/>
  <c r="S71" i="163" s="1"/>
  <c r="BA71" i="163"/>
  <c r="BB71" i="163" s="1"/>
  <c r="BC71" i="163"/>
  <c r="AE71" i="163"/>
  <c r="AF71" i="163" s="1"/>
  <c r="BK71" i="163"/>
  <c r="BL71" i="163" s="1"/>
  <c r="BQ71" i="162"/>
  <c r="CE71" i="162" s="1"/>
  <c r="BR71" i="162"/>
  <c r="CF71" i="162" s="1"/>
  <c r="AB71" i="163"/>
  <c r="AC71" i="163" s="1"/>
  <c r="AG71" i="163" s="1"/>
  <c r="BW71" i="163"/>
  <c r="Z71" i="163"/>
  <c r="AA71" i="163" s="1"/>
  <c r="M71" i="163"/>
  <c r="K71" i="163"/>
  <c r="AK61" i="158"/>
  <c r="AN61" i="158" s="1"/>
  <c r="BJ61" i="158"/>
  <c r="BK61" i="158" s="1"/>
  <c r="BL61" i="158" s="1"/>
  <c r="BE61" i="158"/>
  <c r="BF61" i="158" s="1"/>
  <c r="BG61" i="158" s="1"/>
  <c r="AP61" i="158"/>
  <c r="AZ61" i="158"/>
  <c r="BA61" i="158" s="1"/>
  <c r="BB61" i="158" s="1"/>
  <c r="AV61" i="158"/>
  <c r="AW61" i="158" s="1"/>
  <c r="AX61" i="158"/>
  <c r="O61" i="158"/>
  <c r="H50" i="79" s="1"/>
  <c r="BQ71" i="159" l="1"/>
  <c r="CE71" i="159" s="1"/>
  <c r="BH72" i="160"/>
  <c r="BP71" i="159"/>
  <c r="CD71" i="159" s="1"/>
  <c r="BS71" i="162"/>
  <c r="CG71" i="162" s="1"/>
  <c r="AL72" i="160"/>
  <c r="AM72" i="160" s="1"/>
  <c r="AO72" i="160"/>
  <c r="AX72" i="160"/>
  <c r="AY72" i="160" s="1"/>
  <c r="BC72" i="160" s="1"/>
  <c r="BZ72" i="160"/>
  <c r="BT71" i="162"/>
  <c r="CA72" i="160"/>
  <c r="CB72" i="160"/>
  <c r="BP72" i="160" s="1"/>
  <c r="CD72" i="160" s="1"/>
  <c r="BI72" i="160"/>
  <c r="BM72" i="160" s="1"/>
  <c r="BA72" i="160"/>
  <c r="BB72" i="160" s="1"/>
  <c r="BH61" i="158"/>
  <c r="BI61" i="158" s="1"/>
  <c r="BM61" i="158" s="1"/>
  <c r="AQ72" i="160"/>
  <c r="AR72" i="160" s="1"/>
  <c r="BP71" i="163"/>
  <c r="CD71" i="163" s="1"/>
  <c r="BQ71" i="163"/>
  <c r="CE71" i="163" s="1"/>
  <c r="BR71" i="163"/>
  <c r="CF71" i="163" s="1"/>
  <c r="AU72" i="162"/>
  <c r="BE72" i="162"/>
  <c r="AK72" i="162"/>
  <c r="AZ72" i="162"/>
  <c r="BJ72" i="162"/>
  <c r="BK72" i="162" s="1"/>
  <c r="BL72" i="162" s="1"/>
  <c r="M72" i="160"/>
  <c r="K72" i="160"/>
  <c r="L72" i="160" s="1"/>
  <c r="Z72" i="160"/>
  <c r="AA72" i="160" s="1"/>
  <c r="AB72" i="160"/>
  <c r="AC72" i="160" s="1"/>
  <c r="AG72" i="160" s="1"/>
  <c r="BW72" i="160"/>
  <c r="AE72" i="160"/>
  <c r="AF72" i="160" s="1"/>
  <c r="BT71" i="159"/>
  <c r="CH71" i="159" s="1"/>
  <c r="BU71" i="159"/>
  <c r="CI71" i="159" s="1"/>
  <c r="BS71" i="159"/>
  <c r="CG71" i="159" s="1"/>
  <c r="L71" i="163"/>
  <c r="P72" i="160"/>
  <c r="Q72" i="160" s="1"/>
  <c r="R72" i="160"/>
  <c r="S72" i="160" s="1"/>
  <c r="W72" i="160" s="1"/>
  <c r="BX72" i="160"/>
  <c r="L71" i="159"/>
  <c r="AK72" i="159" s="1"/>
  <c r="U72" i="160"/>
  <c r="V72" i="160" s="1"/>
  <c r="BT71" i="163"/>
  <c r="CH71" i="163" s="1"/>
  <c r="BS71" i="163"/>
  <c r="CG71" i="163" s="1"/>
  <c r="AM71" i="163"/>
  <c r="H72" i="160"/>
  <c r="I72" i="160" s="1"/>
  <c r="F72" i="160"/>
  <c r="BY72" i="160"/>
  <c r="AP72" i="162"/>
  <c r="AY61" i="158"/>
  <c r="BC61" i="158" s="1"/>
  <c r="AO61" i="158"/>
  <c r="AS61" i="158" s="1"/>
  <c r="AL61" i="158"/>
  <c r="AM61" i="158" s="1"/>
  <c r="BZ61" i="158"/>
  <c r="AQ61" i="158"/>
  <c r="AR61" i="158" s="1"/>
  <c r="CB61" i="158"/>
  <c r="CA61" i="158"/>
  <c r="R61" i="158"/>
  <c r="P61" i="158"/>
  <c r="Q61" i="158" s="1"/>
  <c r="Y61" i="158"/>
  <c r="G50" i="79" s="1"/>
  <c r="AD61" i="158"/>
  <c r="K50" i="79" s="1"/>
  <c r="E61" i="158"/>
  <c r="E50" i="79" s="1"/>
  <c r="J61" i="158"/>
  <c r="T61" i="158"/>
  <c r="BE72" i="159" l="1"/>
  <c r="BH72" i="159" s="1"/>
  <c r="BQ72" i="160"/>
  <c r="CE72" i="160" s="1"/>
  <c r="CQ71" i="159"/>
  <c r="CX71" i="159"/>
  <c r="CL71" i="159"/>
  <c r="CZ71" i="159"/>
  <c r="CK71" i="159"/>
  <c r="CY71" i="159"/>
  <c r="CN71" i="159"/>
  <c r="CT71" i="159"/>
  <c r="CR71" i="159"/>
  <c r="CW71" i="159"/>
  <c r="CM71" i="159"/>
  <c r="CU71" i="159"/>
  <c r="CO71" i="159"/>
  <c r="AD72" i="162"/>
  <c r="AG72" i="162" s="1"/>
  <c r="CH71" i="162"/>
  <c r="CM71" i="162" s="1"/>
  <c r="CV71" i="159"/>
  <c r="CS71" i="159"/>
  <c r="CQ71" i="163"/>
  <c r="CP71" i="163"/>
  <c r="CK71" i="163"/>
  <c r="CL71" i="163"/>
  <c r="CN71" i="163"/>
  <c r="CR71" i="163"/>
  <c r="CV71" i="163"/>
  <c r="CM71" i="163"/>
  <c r="CO71" i="163"/>
  <c r="CS71" i="163"/>
  <c r="CT71" i="163"/>
  <c r="CU71" i="163"/>
  <c r="CZ71" i="163"/>
  <c r="CX71" i="163"/>
  <c r="CY71" i="163"/>
  <c r="CW71" i="163"/>
  <c r="CP71" i="159"/>
  <c r="L50" i="79"/>
  <c r="O72" i="162"/>
  <c r="R72" i="162" s="1"/>
  <c r="BR72" i="160"/>
  <c r="CF72" i="160" s="1"/>
  <c r="E72" i="162"/>
  <c r="H72" i="162" s="1"/>
  <c r="T72" i="162"/>
  <c r="Y72" i="162"/>
  <c r="Z72" i="162" s="1"/>
  <c r="AA72" i="162" s="1"/>
  <c r="AZ72" i="163"/>
  <c r="BC72" i="163" s="1"/>
  <c r="J72" i="162"/>
  <c r="K72" i="162" s="1"/>
  <c r="L72" i="162" s="1"/>
  <c r="AP72" i="163"/>
  <c r="AQ72" i="163" s="1"/>
  <c r="AR72" i="163" s="1"/>
  <c r="AK72" i="163"/>
  <c r="E72" i="163"/>
  <c r="H72" i="163" s="1"/>
  <c r="BJ72" i="163"/>
  <c r="BK72" i="163" s="1"/>
  <c r="BL72" i="163" s="1"/>
  <c r="I50" i="79"/>
  <c r="BS72" i="160"/>
  <c r="CG72" i="160" s="1"/>
  <c r="BT72" i="160"/>
  <c r="CH72" i="160" s="1"/>
  <c r="BZ72" i="162"/>
  <c r="AN72" i="162"/>
  <c r="AO72" i="162" s="1"/>
  <c r="AL72" i="162"/>
  <c r="G72" i="160"/>
  <c r="AK73" i="160" s="1"/>
  <c r="CB72" i="162"/>
  <c r="BP72" i="162" s="1"/>
  <c r="CD72" i="162" s="1"/>
  <c r="BH72" i="162"/>
  <c r="BI72" i="162" s="1"/>
  <c r="BM72" i="162" s="1"/>
  <c r="BF72" i="162"/>
  <c r="BG72" i="162" s="1"/>
  <c r="AU72" i="163"/>
  <c r="E72" i="159"/>
  <c r="T72" i="159"/>
  <c r="J72" i="159"/>
  <c r="O72" i="159"/>
  <c r="Y72" i="159"/>
  <c r="AD72" i="159"/>
  <c r="CA72" i="162"/>
  <c r="AX72" i="162"/>
  <c r="AY72" i="162" s="1"/>
  <c r="BC72" i="162" s="1"/>
  <c r="AV72" i="162"/>
  <c r="AW72" i="162" s="1"/>
  <c r="AN72" i="159"/>
  <c r="AL72" i="159"/>
  <c r="AM72" i="159" s="1"/>
  <c r="O72" i="163"/>
  <c r="Y72" i="163"/>
  <c r="AD72" i="163"/>
  <c r="J72" i="163"/>
  <c r="T72" i="163"/>
  <c r="AP72" i="159"/>
  <c r="BZ72" i="159" s="1"/>
  <c r="BJ72" i="159"/>
  <c r="CB72" i="159" s="1"/>
  <c r="AU72" i="159"/>
  <c r="AZ72" i="159"/>
  <c r="BE72" i="163"/>
  <c r="BA72" i="162"/>
  <c r="BB72" i="162" s="1"/>
  <c r="AQ72" i="162"/>
  <c r="AR72" i="162" s="1"/>
  <c r="AS72" i="162"/>
  <c r="BU72" i="160"/>
  <c r="CI72" i="160" s="1"/>
  <c r="BR61" i="158"/>
  <c r="CF61" i="158" s="1"/>
  <c r="BP61" i="158"/>
  <c r="CD61" i="158" s="1"/>
  <c r="BQ61" i="158"/>
  <c r="CE61" i="158" s="1"/>
  <c r="U61" i="158"/>
  <c r="V61" i="158" s="1"/>
  <c r="Z61" i="158"/>
  <c r="AA61" i="158" s="1"/>
  <c r="AB61" i="158"/>
  <c r="AC61" i="158" s="1"/>
  <c r="AG61" i="158" s="1"/>
  <c r="K61" i="158"/>
  <c r="L61" i="158" s="1"/>
  <c r="BX61" i="158"/>
  <c r="H61" i="158"/>
  <c r="I61" i="158" s="1"/>
  <c r="M61" i="158" s="1"/>
  <c r="F61" i="158"/>
  <c r="BY61" i="158"/>
  <c r="BW61" i="158"/>
  <c r="AE61" i="158"/>
  <c r="AF61" i="158" s="1"/>
  <c r="S61" i="158"/>
  <c r="W61" i="158" s="1"/>
  <c r="AS72" i="163" l="1"/>
  <c r="F72" i="162"/>
  <c r="G72" i="162" s="1"/>
  <c r="AE72" i="162"/>
  <c r="AF72" i="162" s="1"/>
  <c r="BF72" i="159"/>
  <c r="BG72" i="159" s="1"/>
  <c r="J61" i="79"/>
  <c r="CX71" i="162"/>
  <c r="CU72" i="160"/>
  <c r="CS71" i="162"/>
  <c r="CT71" i="162"/>
  <c r="CX72" i="160"/>
  <c r="CM72" i="160"/>
  <c r="CL71" i="162"/>
  <c r="CW71" i="162"/>
  <c r="CZ71" i="162"/>
  <c r="CW72" i="160"/>
  <c r="CL72" i="160"/>
  <c r="CQ71" i="162"/>
  <c r="T60" i="79" s="1"/>
  <c r="CT72" i="160"/>
  <c r="CQ72" i="160"/>
  <c r="CP71" i="162"/>
  <c r="S60" i="79" s="1"/>
  <c r="CY72" i="160"/>
  <c r="CP72" i="160"/>
  <c r="CK71" i="162"/>
  <c r="CY71" i="162"/>
  <c r="CZ72" i="160"/>
  <c r="CK72" i="160"/>
  <c r="CV71" i="162"/>
  <c r="CO71" i="162"/>
  <c r="R60" i="79" s="1"/>
  <c r="CS72" i="160"/>
  <c r="CV72" i="160"/>
  <c r="CR71" i="162"/>
  <c r="U60" i="79" s="1"/>
  <c r="CO72" i="160"/>
  <c r="CN72" i="160"/>
  <c r="CU71" i="162"/>
  <c r="CR72" i="160"/>
  <c r="CN71" i="162"/>
  <c r="AP73" i="160"/>
  <c r="BZ73" i="160" s="1"/>
  <c r="I72" i="162"/>
  <c r="P72" i="162"/>
  <c r="Q72" i="162" s="1"/>
  <c r="S72" i="162"/>
  <c r="W72" i="162" s="1"/>
  <c r="BA72" i="163"/>
  <c r="BB72" i="163" s="1"/>
  <c r="AB72" i="162"/>
  <c r="AC72" i="162" s="1"/>
  <c r="BX72" i="162"/>
  <c r="M72" i="162"/>
  <c r="BY72" i="162"/>
  <c r="U72" i="162"/>
  <c r="V72" i="162" s="1"/>
  <c r="F61" i="79"/>
  <c r="BW72" i="162"/>
  <c r="BU72" i="162" s="1"/>
  <c r="CI72" i="162" s="1"/>
  <c r="BZ72" i="163"/>
  <c r="BE73" i="160"/>
  <c r="BF73" i="160" s="1"/>
  <c r="BG73" i="160" s="1"/>
  <c r="F72" i="163"/>
  <c r="G72" i="163" s="1"/>
  <c r="AL72" i="163"/>
  <c r="AM72" i="163" s="1"/>
  <c r="AN72" i="163"/>
  <c r="AO72" i="163" s="1"/>
  <c r="BJ73" i="160"/>
  <c r="AU73" i="160"/>
  <c r="AX73" i="160" s="1"/>
  <c r="BI72" i="159"/>
  <c r="BM72" i="159" s="1"/>
  <c r="AL73" i="160"/>
  <c r="AM73" i="160" s="1"/>
  <c r="AN73" i="160"/>
  <c r="W72" i="163"/>
  <c r="U72" i="163"/>
  <c r="V72" i="163" s="1"/>
  <c r="BW72" i="159"/>
  <c r="Z72" i="159"/>
  <c r="AA72" i="159" s="1"/>
  <c r="AB72" i="159"/>
  <c r="AC72" i="159" s="1"/>
  <c r="AG72" i="159" s="1"/>
  <c r="CA72" i="163"/>
  <c r="AX72" i="163"/>
  <c r="AY72" i="163" s="1"/>
  <c r="AV72" i="163"/>
  <c r="AW72" i="163" s="1"/>
  <c r="AE72" i="159"/>
  <c r="AF72" i="159" s="1"/>
  <c r="M72" i="163"/>
  <c r="K72" i="163"/>
  <c r="R72" i="159"/>
  <c r="S72" i="159" s="1"/>
  <c r="BX72" i="159"/>
  <c r="P72" i="159"/>
  <c r="Q72" i="159" s="1"/>
  <c r="Y73" i="160"/>
  <c r="E73" i="160"/>
  <c r="AD73" i="160"/>
  <c r="J73" i="160"/>
  <c r="O73" i="160"/>
  <c r="T73" i="160"/>
  <c r="BR72" i="162"/>
  <c r="CF72" i="162" s="1"/>
  <c r="BQ72" i="162"/>
  <c r="CE72" i="162" s="1"/>
  <c r="M72" i="159"/>
  <c r="K72" i="159"/>
  <c r="L72" i="159" s="1"/>
  <c r="BF72" i="163"/>
  <c r="BG72" i="163" s="1"/>
  <c r="BH72" i="163"/>
  <c r="BI72" i="163" s="1"/>
  <c r="BM72" i="163" s="1"/>
  <c r="CB72" i="163"/>
  <c r="AB72" i="163"/>
  <c r="AC72" i="163" s="1"/>
  <c r="AG72" i="163" s="1"/>
  <c r="Z72" i="163"/>
  <c r="AA72" i="163" s="1"/>
  <c r="BW72" i="163"/>
  <c r="W72" i="159"/>
  <c r="U72" i="159"/>
  <c r="V72" i="159" s="1"/>
  <c r="AO72" i="159"/>
  <c r="AS72" i="159"/>
  <c r="AQ72" i="159"/>
  <c r="AR72" i="159" s="1"/>
  <c r="AE72" i="163"/>
  <c r="AF72" i="163" s="1"/>
  <c r="BC72" i="159"/>
  <c r="BA72" i="159"/>
  <c r="BB72" i="159" s="1"/>
  <c r="R72" i="163"/>
  <c r="S72" i="163" s="1"/>
  <c r="BX72" i="163"/>
  <c r="P72" i="163"/>
  <c r="Q72" i="163" s="1"/>
  <c r="H72" i="159"/>
  <c r="I72" i="159" s="1"/>
  <c r="F72" i="159"/>
  <c r="BY72" i="159"/>
  <c r="BY72" i="163"/>
  <c r="AX72" i="159"/>
  <c r="AY72" i="159" s="1"/>
  <c r="CA72" i="159"/>
  <c r="BP72" i="159" s="1"/>
  <c r="CD72" i="159" s="1"/>
  <c r="AV72" i="159"/>
  <c r="AW72" i="159" s="1"/>
  <c r="AZ73" i="160"/>
  <c r="AM72" i="162"/>
  <c r="BK72" i="159"/>
  <c r="BL72" i="159" s="1"/>
  <c r="I72" i="163"/>
  <c r="BS61" i="158"/>
  <c r="CG61" i="158" s="1"/>
  <c r="BT61" i="158"/>
  <c r="CH61" i="158" s="1"/>
  <c r="BU61" i="158"/>
  <c r="CI61" i="158" s="1"/>
  <c r="G61" i="158"/>
  <c r="AO73" i="160" l="1"/>
  <c r="AS73" i="160"/>
  <c r="AQ73" i="160"/>
  <c r="AR73" i="160" s="1"/>
  <c r="BP72" i="163"/>
  <c r="CD72" i="163" s="1"/>
  <c r="CZ61" i="158"/>
  <c r="AC50" i="79" s="1"/>
  <c r="CM61" i="158"/>
  <c r="P50" i="79" s="1"/>
  <c r="CT61" i="158"/>
  <c r="W50" i="79" s="1"/>
  <c r="CR61" i="158"/>
  <c r="CQ61" i="158"/>
  <c r="CK61" i="158"/>
  <c r="N50" i="79" s="1"/>
  <c r="CY61" i="158"/>
  <c r="AB50" i="79" s="1"/>
  <c r="CP61" i="158"/>
  <c r="CV61" i="158"/>
  <c r="Y50" i="79" s="1"/>
  <c r="CL61" i="158"/>
  <c r="O50" i="79" s="1"/>
  <c r="CW61" i="158"/>
  <c r="Z50" i="79" s="1"/>
  <c r="CO61" i="158"/>
  <c r="CU61" i="158"/>
  <c r="X50" i="79" s="1"/>
  <c r="CN61" i="158"/>
  <c r="Q50" i="79" s="1"/>
  <c r="CS61" i="158"/>
  <c r="V50" i="79" s="1"/>
  <c r="CX61" i="158"/>
  <c r="AA50" i="79" s="1"/>
  <c r="BH73" i="160"/>
  <c r="BI73" i="160" s="1"/>
  <c r="BM73" i="160" s="1"/>
  <c r="BT72" i="162"/>
  <c r="CH72" i="162" s="1"/>
  <c r="CB73" i="160"/>
  <c r="BP73" i="160" s="1"/>
  <c r="CD73" i="160" s="1"/>
  <c r="BS72" i="162"/>
  <c r="BQ72" i="163"/>
  <c r="CE72" i="163" s="1"/>
  <c r="AU73" i="162"/>
  <c r="AV73" i="162" s="1"/>
  <c r="AW73" i="162" s="1"/>
  <c r="AK73" i="162"/>
  <c r="AN73" i="162" s="1"/>
  <c r="AV73" i="160"/>
  <c r="AW73" i="160" s="1"/>
  <c r="CA73" i="160"/>
  <c r="BQ73" i="160" s="1"/>
  <c r="CE73" i="160" s="1"/>
  <c r="BK73" i="160"/>
  <c r="BL73" i="160" s="1"/>
  <c r="BE73" i="162"/>
  <c r="BF73" i="162" s="1"/>
  <c r="BG73" i="162" s="1"/>
  <c r="AP73" i="162"/>
  <c r="AS73" i="162" s="1"/>
  <c r="BJ73" i="162"/>
  <c r="BK73" i="162" s="1"/>
  <c r="BL73" i="162" s="1"/>
  <c r="BU72" i="163"/>
  <c r="CI72" i="163" s="1"/>
  <c r="BS72" i="163"/>
  <c r="CG72" i="163" s="1"/>
  <c r="BT72" i="163"/>
  <c r="CH72" i="163" s="1"/>
  <c r="AE73" i="160"/>
  <c r="AF73" i="160" s="1"/>
  <c r="K73" i="160"/>
  <c r="L73" i="160" s="1"/>
  <c r="M73" i="160"/>
  <c r="BY73" i="160"/>
  <c r="F73" i="160"/>
  <c r="H73" i="160"/>
  <c r="I73" i="160" s="1"/>
  <c r="BR72" i="163"/>
  <c r="CF72" i="163" s="1"/>
  <c r="AB73" i="160"/>
  <c r="AC73" i="160" s="1"/>
  <c r="AG73" i="160" s="1"/>
  <c r="Z73" i="160"/>
  <c r="AA73" i="160" s="1"/>
  <c r="BW73" i="160"/>
  <c r="AY73" i="160"/>
  <c r="BC73" i="160" s="1"/>
  <c r="G72" i="159"/>
  <c r="AZ73" i="162"/>
  <c r="L72" i="163"/>
  <c r="BQ72" i="159"/>
  <c r="CE72" i="159" s="1"/>
  <c r="BU72" i="159"/>
  <c r="CI72" i="159" s="1"/>
  <c r="BT72" i="159"/>
  <c r="CH72" i="159" s="1"/>
  <c r="BS72" i="159"/>
  <c r="CG72" i="159" s="1"/>
  <c r="BA73" i="160"/>
  <c r="BB73" i="160" s="1"/>
  <c r="BX73" i="160"/>
  <c r="U73" i="160"/>
  <c r="V73" i="160" s="1"/>
  <c r="BR72" i="159"/>
  <c r="CF72" i="159" s="1"/>
  <c r="P73" i="160"/>
  <c r="Q73" i="160" s="1"/>
  <c r="R73" i="160"/>
  <c r="S73" i="160" s="1"/>
  <c r="W73" i="160" s="1"/>
  <c r="BE62" i="158"/>
  <c r="BH62" i="158" s="1"/>
  <c r="AP62" i="158"/>
  <c r="AQ62" i="158" s="1"/>
  <c r="AR62" i="158" s="1"/>
  <c r="AK62" i="158"/>
  <c r="AL62" i="158" s="1"/>
  <c r="AM62" i="158" s="1"/>
  <c r="BJ62" i="158"/>
  <c r="BK62" i="158" s="1"/>
  <c r="BL62" i="158" s="1"/>
  <c r="AU62" i="158"/>
  <c r="AX62" i="158" s="1"/>
  <c r="AZ62" i="158"/>
  <c r="E73" i="162" l="1"/>
  <c r="T73" i="162"/>
  <c r="CM72" i="163"/>
  <c r="CO72" i="159"/>
  <c r="J73" i="162"/>
  <c r="M73" i="162" s="1"/>
  <c r="CG72" i="162"/>
  <c r="CZ72" i="163"/>
  <c r="CO72" i="163"/>
  <c r="CU72" i="159"/>
  <c r="CN72" i="159"/>
  <c r="CS72" i="163"/>
  <c r="CK72" i="163"/>
  <c r="CL72" i="159"/>
  <c r="CS72" i="159"/>
  <c r="CU72" i="163"/>
  <c r="CR72" i="163"/>
  <c r="CY72" i="159"/>
  <c r="CQ72" i="159"/>
  <c r="CT72" i="163"/>
  <c r="CQ72" i="163"/>
  <c r="CX72" i="159"/>
  <c r="CR72" i="159"/>
  <c r="CP72" i="163"/>
  <c r="CV72" i="163"/>
  <c r="CZ72" i="159"/>
  <c r="CP72" i="159"/>
  <c r="CX72" i="163"/>
  <c r="CN72" i="163"/>
  <c r="CT72" i="159"/>
  <c r="CM72" i="159"/>
  <c r="AD73" i="162"/>
  <c r="AE73" i="162" s="1"/>
  <c r="AF73" i="162" s="1"/>
  <c r="CY72" i="163"/>
  <c r="CL72" i="163"/>
  <c r="CW72" i="159"/>
  <c r="CK72" i="159"/>
  <c r="CW72" i="163"/>
  <c r="CV72" i="159"/>
  <c r="AQ73" i="162"/>
  <c r="AR73" i="162" s="1"/>
  <c r="O73" i="162"/>
  <c r="P73" i="162" s="1"/>
  <c r="Q73" i="162" s="1"/>
  <c r="AX73" i="162"/>
  <c r="AY73" i="162" s="1"/>
  <c r="BC73" i="162" s="1"/>
  <c r="BE73" i="159"/>
  <c r="BF73" i="159" s="1"/>
  <c r="BG73" i="159" s="1"/>
  <c r="Y73" i="162"/>
  <c r="F62" i="79" s="1"/>
  <c r="BZ73" i="162"/>
  <c r="BR73" i="160"/>
  <c r="CF73" i="160" s="1"/>
  <c r="AL73" i="162"/>
  <c r="AM73" i="162" s="1"/>
  <c r="J73" i="159"/>
  <c r="K73" i="159" s="1"/>
  <c r="L73" i="159" s="1"/>
  <c r="BJ73" i="163"/>
  <c r="BK73" i="163" s="1"/>
  <c r="BL73" i="163" s="1"/>
  <c r="CB73" i="162"/>
  <c r="BP73" i="162" s="1"/>
  <c r="CD73" i="162" s="1"/>
  <c r="BH73" i="162"/>
  <c r="BI73" i="162" s="1"/>
  <c r="BM73" i="162" s="1"/>
  <c r="AO73" i="162"/>
  <c r="T73" i="159"/>
  <c r="U73" i="159" s="1"/>
  <c r="V73" i="159" s="1"/>
  <c r="AK73" i="159"/>
  <c r="AN73" i="159" s="1"/>
  <c r="Y73" i="159"/>
  <c r="AB73" i="159" s="1"/>
  <c r="BE73" i="163"/>
  <c r="AZ73" i="163"/>
  <c r="BU73" i="160"/>
  <c r="CI73" i="160" s="1"/>
  <c r="BA73" i="162"/>
  <c r="BB73" i="162" s="1"/>
  <c r="CA73" i="162"/>
  <c r="U73" i="162"/>
  <c r="V73" i="162" s="1"/>
  <c r="BJ73" i="159"/>
  <c r="AU73" i="159"/>
  <c r="AZ73" i="159"/>
  <c r="AP73" i="159"/>
  <c r="G73" i="160"/>
  <c r="J73" i="163"/>
  <c r="O73" i="163"/>
  <c r="Y73" i="163"/>
  <c r="T73" i="163"/>
  <c r="E73" i="163"/>
  <c r="AD73" i="163"/>
  <c r="AD73" i="159"/>
  <c r="O73" i="159"/>
  <c r="H73" i="162"/>
  <c r="F73" i="162"/>
  <c r="BT73" i="160"/>
  <c r="CH73" i="160" s="1"/>
  <c r="BS73" i="160"/>
  <c r="CG73" i="160" s="1"/>
  <c r="W73" i="159"/>
  <c r="AU73" i="163"/>
  <c r="AK73" i="163"/>
  <c r="BF62" i="158"/>
  <c r="BG62" i="158" s="1"/>
  <c r="AP73" i="163"/>
  <c r="E73" i="159"/>
  <c r="CB62" i="158"/>
  <c r="AN62" i="158"/>
  <c r="AO62" i="158" s="1"/>
  <c r="AS62" i="158" s="1"/>
  <c r="BI62" i="158"/>
  <c r="BM62" i="158" s="1"/>
  <c r="BZ62" i="158"/>
  <c r="AV62" i="158"/>
  <c r="AW62" i="158" s="1"/>
  <c r="BA62" i="158"/>
  <c r="BB62" i="158" s="1"/>
  <c r="AD62" i="158"/>
  <c r="K51" i="79" s="1"/>
  <c r="E62" i="158"/>
  <c r="E51" i="79" s="1"/>
  <c r="O62" i="158"/>
  <c r="H51" i="79" s="1"/>
  <c r="CA62" i="158"/>
  <c r="J62" i="158"/>
  <c r="T62" i="158"/>
  <c r="Y62" i="158"/>
  <c r="G51" i="79" s="1"/>
  <c r="AY62" i="158"/>
  <c r="BC62" i="158" s="1"/>
  <c r="BX73" i="162" l="1"/>
  <c r="I73" i="162"/>
  <c r="BY73" i="162"/>
  <c r="CB73" i="163"/>
  <c r="J62" i="79"/>
  <c r="R73" i="162"/>
  <c r="S73" i="162" s="1"/>
  <c r="W73" i="162" s="1"/>
  <c r="AG73" i="162"/>
  <c r="K73" i="162"/>
  <c r="L73" i="162" s="1"/>
  <c r="CM73" i="160"/>
  <c r="AZ74" i="160"/>
  <c r="BA74" i="160" s="1"/>
  <c r="BB74" i="160" s="1"/>
  <c r="CN73" i="160"/>
  <c r="CP73" i="160"/>
  <c r="CL73" i="160"/>
  <c r="CU73" i="160"/>
  <c r="CW73" i="160"/>
  <c r="CQ73" i="160"/>
  <c r="CX73" i="160"/>
  <c r="CR73" i="160"/>
  <c r="CT73" i="160"/>
  <c r="CO73" i="160"/>
  <c r="CS73" i="160"/>
  <c r="CV73" i="160"/>
  <c r="CY73" i="160"/>
  <c r="CK73" i="160"/>
  <c r="CK72" i="162"/>
  <c r="CM72" i="162"/>
  <c r="CN72" i="162"/>
  <c r="CT72" i="162"/>
  <c r="CL72" i="162"/>
  <c r="CW72" i="162"/>
  <c r="CP72" i="162"/>
  <c r="S61" i="79" s="1"/>
  <c r="CY72" i="162"/>
  <c r="CV72" i="162"/>
  <c r="CU72" i="162"/>
  <c r="CQ72" i="162"/>
  <c r="T61" i="79" s="1"/>
  <c r="CO72" i="162"/>
  <c r="R61" i="79" s="1"/>
  <c r="CX72" i="162"/>
  <c r="CZ72" i="162"/>
  <c r="CR72" i="162"/>
  <c r="U61" i="79" s="1"/>
  <c r="CS72" i="162"/>
  <c r="CZ73" i="160"/>
  <c r="L51" i="79"/>
  <c r="BQ73" i="162"/>
  <c r="CE73" i="162" s="1"/>
  <c r="BJ74" i="160"/>
  <c r="BK74" i="160" s="1"/>
  <c r="BL74" i="160" s="1"/>
  <c r="BH73" i="159"/>
  <c r="CB73" i="159"/>
  <c r="BW73" i="162"/>
  <c r="BU73" i="162" s="1"/>
  <c r="CI73" i="162" s="1"/>
  <c r="AB73" i="162"/>
  <c r="AC73" i="162" s="1"/>
  <c r="Z73" i="162"/>
  <c r="AA73" i="162" s="1"/>
  <c r="M73" i="159"/>
  <c r="AL73" i="159"/>
  <c r="AM73" i="159" s="1"/>
  <c r="Z73" i="159"/>
  <c r="AA73" i="159" s="1"/>
  <c r="BF73" i="163"/>
  <c r="BG73" i="163" s="1"/>
  <c r="BH73" i="163"/>
  <c r="BI73" i="163" s="1"/>
  <c r="BM73" i="163" s="1"/>
  <c r="BI73" i="159"/>
  <c r="BM73" i="159" s="1"/>
  <c r="AU74" i="160"/>
  <c r="AX74" i="160" s="1"/>
  <c r="BZ73" i="163"/>
  <c r="AQ73" i="163"/>
  <c r="AR73" i="163" s="1"/>
  <c r="AS73" i="163"/>
  <c r="G73" i="162"/>
  <c r="AB73" i="163"/>
  <c r="AC73" i="163" s="1"/>
  <c r="AG73" i="163" s="1"/>
  <c r="Z73" i="163"/>
  <c r="AA73" i="163" s="1"/>
  <c r="BW73" i="163"/>
  <c r="BX73" i="163"/>
  <c r="R73" i="163"/>
  <c r="S73" i="163" s="1"/>
  <c r="P73" i="163"/>
  <c r="Q73" i="163" s="1"/>
  <c r="AQ73" i="159"/>
  <c r="AO73" i="159"/>
  <c r="AS73" i="159"/>
  <c r="I51" i="79"/>
  <c r="BR73" i="162"/>
  <c r="CF73" i="162" s="1"/>
  <c r="BS73" i="162"/>
  <c r="CG73" i="162" s="1"/>
  <c r="BT73" i="162"/>
  <c r="CH73" i="162" s="1"/>
  <c r="M73" i="163"/>
  <c r="K73" i="163"/>
  <c r="L73" i="163" s="1"/>
  <c r="BC73" i="159"/>
  <c r="BA73" i="159"/>
  <c r="BB73" i="159" s="1"/>
  <c r="CA73" i="163"/>
  <c r="AX73" i="163"/>
  <c r="AY73" i="163" s="1"/>
  <c r="AV73" i="163"/>
  <c r="AW73" i="163" s="1"/>
  <c r="BX73" i="159"/>
  <c r="R73" i="159"/>
  <c r="S73" i="159" s="1"/>
  <c r="P73" i="159"/>
  <c r="Q73" i="159" s="1"/>
  <c r="CA73" i="159"/>
  <c r="AV73" i="159"/>
  <c r="AW73" i="159" s="1"/>
  <c r="AX73" i="159"/>
  <c r="AY73" i="159" s="1"/>
  <c r="BC73" i="163"/>
  <c r="BA73" i="163"/>
  <c r="BB73" i="163" s="1"/>
  <c r="T74" i="160"/>
  <c r="O74" i="160"/>
  <c r="AD74" i="160"/>
  <c r="E74" i="160"/>
  <c r="Y74" i="160"/>
  <c r="J74" i="160"/>
  <c r="AE73" i="159"/>
  <c r="AF73" i="159" s="1"/>
  <c r="AC73" i="159"/>
  <c r="AG73" i="159" s="1"/>
  <c r="AK74" i="160"/>
  <c r="BK73" i="159"/>
  <c r="BL73" i="159" s="1"/>
  <c r="W73" i="163"/>
  <c r="U73" i="163"/>
  <c r="V73" i="163" s="1"/>
  <c r="AE73" i="163"/>
  <c r="AF73" i="163" s="1"/>
  <c r="AP74" i="160"/>
  <c r="BZ73" i="159"/>
  <c r="H73" i="159"/>
  <c r="I73" i="159" s="1"/>
  <c r="BY73" i="159"/>
  <c r="F73" i="159"/>
  <c r="AN73" i="163"/>
  <c r="AO73" i="163" s="1"/>
  <c r="AL73" i="163"/>
  <c r="AM73" i="163" s="1"/>
  <c r="BY73" i="163"/>
  <c r="H73" i="163"/>
  <c r="I73" i="163" s="1"/>
  <c r="F73" i="163"/>
  <c r="BE74" i="160"/>
  <c r="BW73" i="159"/>
  <c r="BP62" i="158"/>
  <c r="CD62" i="158" s="1"/>
  <c r="BQ62" i="158"/>
  <c r="CE62" i="158" s="1"/>
  <c r="BR62" i="158"/>
  <c r="CF62" i="158" s="1"/>
  <c r="K62" i="158"/>
  <c r="L62" i="158" s="1"/>
  <c r="P62" i="158"/>
  <c r="Q62" i="158" s="1"/>
  <c r="BX62" i="158"/>
  <c r="R62" i="158"/>
  <c r="S62" i="158" s="1"/>
  <c r="W62" i="158" s="1"/>
  <c r="F62" i="158"/>
  <c r="BY62" i="158"/>
  <c r="H62" i="158"/>
  <c r="I62" i="158" s="1"/>
  <c r="M62" i="158" s="1"/>
  <c r="Z62" i="158"/>
  <c r="AA62" i="158" s="1"/>
  <c r="AB62" i="158"/>
  <c r="AC62" i="158" s="1"/>
  <c r="AG62" i="158" s="1"/>
  <c r="BW62" i="158"/>
  <c r="AE62" i="158"/>
  <c r="AF62" i="158" s="1"/>
  <c r="U62" i="158"/>
  <c r="V62" i="158" s="1"/>
  <c r="AY74" i="160" l="1"/>
  <c r="BC74" i="160" s="1"/>
  <c r="CR73" i="162"/>
  <c r="U62" i="79" s="1"/>
  <c r="CK73" i="162"/>
  <c r="CN73" i="162"/>
  <c r="CQ73" i="162"/>
  <c r="T62" i="79" s="1"/>
  <c r="CM73" i="162"/>
  <c r="CY73" i="162"/>
  <c r="CO73" i="162"/>
  <c r="R62" i="79" s="1"/>
  <c r="CW73" i="162"/>
  <c r="CZ73" i="162"/>
  <c r="CX73" i="162"/>
  <c r="CP73" i="162"/>
  <c r="S62" i="79" s="1"/>
  <c r="CS73" i="162"/>
  <c r="CL73" i="162"/>
  <c r="CU73" i="162"/>
  <c r="CV73" i="162"/>
  <c r="CT73" i="162"/>
  <c r="BQ73" i="163"/>
  <c r="CE73" i="163" s="1"/>
  <c r="AV74" i="160"/>
  <c r="AW74" i="160" s="1"/>
  <c r="CA74" i="160"/>
  <c r="AP74" i="162"/>
  <c r="AQ74" i="162" s="1"/>
  <c r="AR74" i="162" s="1"/>
  <c r="BJ74" i="162"/>
  <c r="BK74" i="162" s="1"/>
  <c r="BL74" i="162" s="1"/>
  <c r="G73" i="163"/>
  <c r="BT73" i="159"/>
  <c r="CH73" i="159" s="1"/>
  <c r="BS73" i="159"/>
  <c r="CG73" i="159" s="1"/>
  <c r="BU73" i="159"/>
  <c r="CI73" i="159" s="1"/>
  <c r="AK74" i="162"/>
  <c r="AR73" i="159"/>
  <c r="G73" i="159"/>
  <c r="BT73" i="163"/>
  <c r="CH73" i="163" s="1"/>
  <c r="BS73" i="163"/>
  <c r="CG73" i="163" s="1"/>
  <c r="BU73" i="163"/>
  <c r="CI73" i="163" s="1"/>
  <c r="BP73" i="159"/>
  <c r="CD73" i="159" s="1"/>
  <c r="BR73" i="159"/>
  <c r="CF73" i="159" s="1"/>
  <c r="BQ73" i="159"/>
  <c r="CE73" i="159" s="1"/>
  <c r="M74" i="160"/>
  <c r="K74" i="160"/>
  <c r="L74" i="160" s="1"/>
  <c r="AQ74" i="160"/>
  <c r="AR74" i="160" s="1"/>
  <c r="AS74" i="160"/>
  <c r="AB74" i="160"/>
  <c r="AC74" i="160" s="1"/>
  <c r="AG74" i="160" s="1"/>
  <c r="Z74" i="160"/>
  <c r="AA74" i="160" s="1"/>
  <c r="BW74" i="160"/>
  <c r="O74" i="162"/>
  <c r="Y74" i="162"/>
  <c r="AD74" i="162"/>
  <c r="J74" i="162"/>
  <c r="T74" i="162"/>
  <c r="E74" i="162"/>
  <c r="H74" i="160"/>
  <c r="I74" i="160" s="1"/>
  <c r="F74" i="160"/>
  <c r="BY74" i="160"/>
  <c r="U74" i="160"/>
  <c r="V74" i="160" s="1"/>
  <c r="AE74" i="160"/>
  <c r="AF74" i="160" s="1"/>
  <c r="BE74" i="162"/>
  <c r="CB74" i="160"/>
  <c r="BP74" i="160" s="1"/>
  <c r="CD74" i="160" s="1"/>
  <c r="BF74" i="160"/>
  <c r="BG74" i="160" s="1"/>
  <c r="BH74" i="160"/>
  <c r="BI74" i="160" s="1"/>
  <c r="BM74" i="160" s="1"/>
  <c r="BZ74" i="160"/>
  <c r="AN74" i="160"/>
  <c r="AO74" i="160" s="1"/>
  <c r="AL74" i="160"/>
  <c r="AM74" i="160" s="1"/>
  <c r="P74" i="160"/>
  <c r="Q74" i="160" s="1"/>
  <c r="R74" i="160"/>
  <c r="S74" i="160" s="1"/>
  <c r="W74" i="160" s="1"/>
  <c r="BX74" i="160"/>
  <c r="AZ74" i="162"/>
  <c r="BA74" i="162" s="1"/>
  <c r="BB74" i="162" s="1"/>
  <c r="AU74" i="162"/>
  <c r="BP73" i="163"/>
  <c r="CD73" i="163" s="1"/>
  <c r="BR73" i="163"/>
  <c r="CF73" i="163" s="1"/>
  <c r="BT62" i="158"/>
  <c r="CH62" i="158" s="1"/>
  <c r="BU62" i="158"/>
  <c r="CI62" i="158" s="1"/>
  <c r="BS62" i="158"/>
  <c r="CG62" i="158" s="1"/>
  <c r="G62" i="158"/>
  <c r="AS74" i="162" l="1"/>
  <c r="CZ62" i="158"/>
  <c r="AC51" i="79" s="1"/>
  <c r="CM62" i="158"/>
  <c r="P51" i="79" s="1"/>
  <c r="CV62" i="158"/>
  <c r="Y51" i="79" s="1"/>
  <c r="CL62" i="158"/>
  <c r="O51" i="79" s="1"/>
  <c r="CY62" i="158"/>
  <c r="AB51" i="79" s="1"/>
  <c r="CR62" i="158"/>
  <c r="CX62" i="158"/>
  <c r="AA51" i="79" s="1"/>
  <c r="CV73" i="163"/>
  <c r="CQ73" i="163"/>
  <c r="CN73" i="163"/>
  <c r="CR73" i="163"/>
  <c r="CM73" i="163"/>
  <c r="CK73" i="163"/>
  <c r="CO73" i="163"/>
  <c r="CP73" i="163"/>
  <c r="CL73" i="163"/>
  <c r="CZ73" i="163"/>
  <c r="CT73" i="163"/>
  <c r="CU73" i="163"/>
  <c r="CS73" i="163"/>
  <c r="CY73" i="163"/>
  <c r="CW73" i="163"/>
  <c r="CX73" i="163"/>
  <c r="CS62" i="158"/>
  <c r="V51" i="79" s="1"/>
  <c r="CW62" i="158"/>
  <c r="Z51" i="79" s="1"/>
  <c r="CO62" i="158"/>
  <c r="CQ62" i="158"/>
  <c r="CM73" i="159"/>
  <c r="CP73" i="159"/>
  <c r="CO73" i="159"/>
  <c r="CS73" i="159"/>
  <c r="CQ73" i="159"/>
  <c r="CK73" i="159"/>
  <c r="CR73" i="159"/>
  <c r="CL73" i="159"/>
  <c r="CN73" i="159"/>
  <c r="CW73" i="159"/>
  <c r="CT73" i="159"/>
  <c r="CU73" i="159"/>
  <c r="CV73" i="159"/>
  <c r="CZ73" i="159"/>
  <c r="CX73" i="159"/>
  <c r="CY73" i="159"/>
  <c r="CK62" i="158"/>
  <c r="N51" i="79" s="1"/>
  <c r="CP62" i="158"/>
  <c r="CT62" i="158"/>
  <c r="W51" i="79" s="1"/>
  <c r="CU62" i="158"/>
  <c r="X51" i="79" s="1"/>
  <c r="CN62" i="158"/>
  <c r="Q51" i="79" s="1"/>
  <c r="F63" i="79"/>
  <c r="AU74" i="159"/>
  <c r="Y74" i="163"/>
  <c r="AB74" i="163" s="1"/>
  <c r="BE74" i="163"/>
  <c r="BF74" i="163" s="1"/>
  <c r="BG74" i="163" s="1"/>
  <c r="AP74" i="159"/>
  <c r="AQ74" i="159" s="1"/>
  <c r="AR74" i="159" s="1"/>
  <c r="BT74" i="160"/>
  <c r="CH74" i="160" s="1"/>
  <c r="AU74" i="163"/>
  <c r="AX74" i="163" s="1"/>
  <c r="O74" i="163"/>
  <c r="R74" i="163" s="1"/>
  <c r="BE74" i="159"/>
  <c r="BF74" i="159" s="1"/>
  <c r="BG74" i="159" s="1"/>
  <c r="BJ74" i="159"/>
  <c r="BK74" i="159" s="1"/>
  <c r="BL74" i="159" s="1"/>
  <c r="AD74" i="163"/>
  <c r="AE74" i="163" s="1"/>
  <c r="AF74" i="163" s="1"/>
  <c r="G74" i="160"/>
  <c r="J63" i="79"/>
  <c r="AE74" i="162"/>
  <c r="AF74" i="162" s="1"/>
  <c r="AG74" i="162"/>
  <c r="AN74" i="162"/>
  <c r="AO74" i="162" s="1"/>
  <c r="AL74" i="162"/>
  <c r="AM74" i="162" s="1"/>
  <c r="BZ74" i="162"/>
  <c r="AV74" i="162"/>
  <c r="AW74" i="162" s="1"/>
  <c r="CA74" i="162"/>
  <c r="AX74" i="162"/>
  <c r="AY74" i="162" s="1"/>
  <c r="BC74" i="162" s="1"/>
  <c r="AV74" i="159"/>
  <c r="AW74" i="159" s="1"/>
  <c r="AX74" i="159"/>
  <c r="BW74" i="162"/>
  <c r="BU74" i="162" s="1"/>
  <c r="CI74" i="162" s="1"/>
  <c r="AB74" i="162"/>
  <c r="AC74" i="162" s="1"/>
  <c r="Z74" i="162"/>
  <c r="AA74" i="162" s="1"/>
  <c r="AK74" i="159"/>
  <c r="R74" i="162"/>
  <c r="S74" i="162" s="1"/>
  <c r="W74" i="162" s="1"/>
  <c r="P74" i="162"/>
  <c r="Q74" i="162" s="1"/>
  <c r="BX74" i="162"/>
  <c r="AP74" i="163"/>
  <c r="AZ74" i="159"/>
  <c r="O74" i="159"/>
  <c r="K74" i="162"/>
  <c r="L74" i="162" s="1"/>
  <c r="M74" i="162"/>
  <c r="AK74" i="163"/>
  <c r="BU74" i="160"/>
  <c r="CI74" i="160" s="1"/>
  <c r="Y74" i="159"/>
  <c r="BJ74" i="163"/>
  <c r="CB74" i="162"/>
  <c r="BP74" i="162" s="1"/>
  <c r="CD74" i="162" s="1"/>
  <c r="BH74" i="162"/>
  <c r="BI74" i="162" s="1"/>
  <c r="BM74" i="162" s="1"/>
  <c r="BF74" i="162"/>
  <c r="BG74" i="162" s="1"/>
  <c r="BS74" i="160"/>
  <c r="CG74" i="160" s="1"/>
  <c r="BY74" i="162"/>
  <c r="H74" i="162"/>
  <c r="I74" i="162" s="1"/>
  <c r="F74" i="162"/>
  <c r="E74" i="163"/>
  <c r="J74" i="163"/>
  <c r="T74" i="163"/>
  <c r="T74" i="159"/>
  <c r="AS74" i="159"/>
  <c r="BR74" i="160"/>
  <c r="CF74" i="160" s="1"/>
  <c r="BQ74" i="160"/>
  <c r="CE74" i="160" s="1"/>
  <c r="AZ74" i="163"/>
  <c r="U74" i="162"/>
  <c r="V74" i="162" s="1"/>
  <c r="E74" i="159"/>
  <c r="J74" i="159"/>
  <c r="AD74" i="159"/>
  <c r="BE63" i="158"/>
  <c r="BF63" i="158" s="1"/>
  <c r="BG63" i="158" s="1"/>
  <c r="AZ63" i="158"/>
  <c r="BA63" i="158" s="1"/>
  <c r="BB63" i="158" s="1"/>
  <c r="BJ63" i="158"/>
  <c r="BK63" i="158" s="1"/>
  <c r="BL63" i="158" s="1"/>
  <c r="AK63" i="158"/>
  <c r="AN63" i="158" s="1"/>
  <c r="AU63" i="158"/>
  <c r="AX63" i="158" s="1"/>
  <c r="AP63" i="158"/>
  <c r="AQ63" i="158" s="1"/>
  <c r="AR63" i="158" s="1"/>
  <c r="Y63" i="158"/>
  <c r="O63" i="158"/>
  <c r="H52" i="79" s="1"/>
  <c r="AD63" i="158"/>
  <c r="CM74" i="160" l="1"/>
  <c r="BH74" i="163"/>
  <c r="Z74" i="163"/>
  <c r="AA74" i="163" s="1"/>
  <c r="CT74" i="160"/>
  <c r="CN74" i="160"/>
  <c r="CS74" i="160"/>
  <c r="CO74" i="160"/>
  <c r="CP74" i="160"/>
  <c r="CL74" i="160"/>
  <c r="CR74" i="160"/>
  <c r="CV74" i="160"/>
  <c r="CX74" i="160"/>
  <c r="CK74" i="160"/>
  <c r="CW74" i="160"/>
  <c r="CQ74" i="160"/>
  <c r="CY74" i="160"/>
  <c r="CU74" i="160"/>
  <c r="CZ74" i="160"/>
  <c r="AV74" i="163"/>
  <c r="AW74" i="163" s="1"/>
  <c r="P74" i="163"/>
  <c r="Q74" i="163" s="1"/>
  <c r="G52" i="79"/>
  <c r="BX74" i="163"/>
  <c r="Y75" i="160"/>
  <c r="AB75" i="160" s="1"/>
  <c r="CB74" i="159"/>
  <c r="K52" i="79"/>
  <c r="BH74" i="159"/>
  <c r="BI74" i="159" s="1"/>
  <c r="BM74" i="159" s="1"/>
  <c r="AC74" i="163"/>
  <c r="AG74" i="163" s="1"/>
  <c r="AY63" i="158"/>
  <c r="BC63" i="158" s="1"/>
  <c r="AK75" i="160"/>
  <c r="AN75" i="160" s="1"/>
  <c r="BW74" i="163"/>
  <c r="K74" i="159"/>
  <c r="L74" i="159" s="1"/>
  <c r="M74" i="159"/>
  <c r="K74" i="163"/>
  <c r="L74" i="163" s="1"/>
  <c r="M74" i="163"/>
  <c r="BE75" i="160"/>
  <c r="AD75" i="160"/>
  <c r="O75" i="160"/>
  <c r="AL74" i="163"/>
  <c r="BZ74" i="163"/>
  <c r="AN74" i="163"/>
  <c r="AO74" i="163" s="1"/>
  <c r="R74" i="159"/>
  <c r="S74" i="159" s="1"/>
  <c r="P74" i="159"/>
  <c r="Q74" i="159" s="1"/>
  <c r="BX74" i="159"/>
  <c r="BA74" i="163"/>
  <c r="BB74" i="163" s="1"/>
  <c r="BC74" i="163"/>
  <c r="F74" i="159"/>
  <c r="H74" i="159"/>
  <c r="I74" i="159" s="1"/>
  <c r="BY74" i="159"/>
  <c r="J75" i="160"/>
  <c r="T75" i="160"/>
  <c r="BC74" i="159"/>
  <c r="BA74" i="159"/>
  <c r="BB74" i="159" s="1"/>
  <c r="AY74" i="163"/>
  <c r="AS74" i="163"/>
  <c r="AQ74" i="163"/>
  <c r="AR74" i="163" s="1"/>
  <c r="CA74" i="163"/>
  <c r="CA74" i="159"/>
  <c r="BJ75" i="160"/>
  <c r="W74" i="163"/>
  <c r="U74" i="163"/>
  <c r="V74" i="163" s="1"/>
  <c r="F74" i="163"/>
  <c r="BY74" i="163"/>
  <c r="H74" i="163"/>
  <c r="I74" i="163" s="1"/>
  <c r="G74" i="162"/>
  <c r="S74" i="163"/>
  <c r="BR74" i="162"/>
  <c r="CF74" i="162" s="1"/>
  <c r="BQ74" i="162"/>
  <c r="CE74" i="162" s="1"/>
  <c r="AU75" i="160"/>
  <c r="AB74" i="159"/>
  <c r="AC74" i="159" s="1"/>
  <c r="AG74" i="159" s="1"/>
  <c r="BW74" i="159"/>
  <c r="Z74" i="159"/>
  <c r="AA74" i="159" s="1"/>
  <c r="E75" i="160"/>
  <c r="BZ74" i="159"/>
  <c r="AL74" i="159"/>
  <c r="AM74" i="159" s="1"/>
  <c r="AN74" i="159"/>
  <c r="AO74" i="159" s="1"/>
  <c r="AZ75" i="160"/>
  <c r="BI74" i="163"/>
  <c r="BM74" i="163" s="1"/>
  <c r="AE74" i="159"/>
  <c r="AF74" i="159" s="1"/>
  <c r="U74" i="159"/>
  <c r="V74" i="159" s="1"/>
  <c r="W74" i="159"/>
  <c r="BT74" i="162"/>
  <c r="CH74" i="162" s="1"/>
  <c r="BS74" i="162"/>
  <c r="CG74" i="162" s="1"/>
  <c r="BK74" i="163"/>
  <c r="BL74" i="163" s="1"/>
  <c r="AY74" i="159"/>
  <c r="AP75" i="160"/>
  <c r="CB74" i="163"/>
  <c r="BH63" i="158"/>
  <c r="BI63" i="158" s="1"/>
  <c r="BM63" i="158" s="1"/>
  <c r="CB63" i="158"/>
  <c r="AL63" i="158"/>
  <c r="AM63" i="158" s="1"/>
  <c r="CA63" i="158"/>
  <c r="AV63" i="158"/>
  <c r="AW63" i="158" s="1"/>
  <c r="AO63" i="158"/>
  <c r="AS63" i="158" s="1"/>
  <c r="BZ63" i="158"/>
  <c r="AE63" i="158"/>
  <c r="AF63" i="158" s="1"/>
  <c r="T63" i="158"/>
  <c r="Z63" i="158"/>
  <c r="AA63" i="158" s="1"/>
  <c r="AB63" i="158"/>
  <c r="AC63" i="158" s="1"/>
  <c r="AG63" i="158" s="1"/>
  <c r="BW63" i="158"/>
  <c r="E63" i="158"/>
  <c r="E52" i="79" s="1"/>
  <c r="J63" i="158"/>
  <c r="P63" i="158"/>
  <c r="Q63" i="158" s="1"/>
  <c r="R63" i="158"/>
  <c r="CZ74" i="162" l="1"/>
  <c r="CV74" i="162"/>
  <c r="CL74" i="162"/>
  <c r="CQ74" i="162"/>
  <c r="T63" i="79" s="1"/>
  <c r="CR74" i="162"/>
  <c r="U63" i="79" s="1"/>
  <c r="CX74" i="162"/>
  <c r="CM74" i="162"/>
  <c r="CW74" i="162"/>
  <c r="CK74" i="162"/>
  <c r="CY74" i="162"/>
  <c r="CP74" i="162"/>
  <c r="S63" i="79" s="1"/>
  <c r="CT74" i="162"/>
  <c r="CN74" i="162"/>
  <c r="CS74" i="162"/>
  <c r="CO74" i="162"/>
  <c r="R63" i="79" s="1"/>
  <c r="CU74" i="162"/>
  <c r="L52" i="79"/>
  <c r="Z75" i="160"/>
  <c r="AA75" i="160" s="1"/>
  <c r="BJ75" i="162"/>
  <c r="BK75" i="162" s="1"/>
  <c r="BL75" i="162" s="1"/>
  <c r="AL75" i="160"/>
  <c r="AM75" i="160" s="1"/>
  <c r="J75" i="162"/>
  <c r="K75" i="162" s="1"/>
  <c r="L75" i="162" s="1"/>
  <c r="Y75" i="162"/>
  <c r="BA75" i="160"/>
  <c r="BB75" i="160" s="1"/>
  <c r="AZ75" i="162"/>
  <c r="BE75" i="162"/>
  <c r="AU75" i="162"/>
  <c r="BK75" i="160"/>
  <c r="BL75" i="160" s="1"/>
  <c r="AO75" i="160"/>
  <c r="AQ75" i="160"/>
  <c r="AR75" i="160" s="1"/>
  <c r="AS75" i="160"/>
  <c r="U75" i="160"/>
  <c r="V75" i="160" s="1"/>
  <c r="BQ74" i="163"/>
  <c r="CE74" i="163" s="1"/>
  <c r="BR74" i="163"/>
  <c r="CF74" i="163" s="1"/>
  <c r="BP74" i="163"/>
  <c r="CD74" i="163" s="1"/>
  <c r="BZ75" i="160"/>
  <c r="CA75" i="160"/>
  <c r="AV75" i="160"/>
  <c r="AW75" i="160" s="1"/>
  <c r="AX75" i="160"/>
  <c r="AY75" i="160" s="1"/>
  <c r="BC75" i="160" s="1"/>
  <c r="M75" i="160"/>
  <c r="K75" i="160"/>
  <c r="L75" i="160" s="1"/>
  <c r="AM74" i="163"/>
  <c r="BU74" i="163"/>
  <c r="CI74" i="163" s="1"/>
  <c r="BT74" i="163"/>
  <c r="CH74" i="163" s="1"/>
  <c r="BS74" i="163"/>
  <c r="CG74" i="163" s="1"/>
  <c r="R75" i="160"/>
  <c r="S75" i="160" s="1"/>
  <c r="W75" i="160" s="1"/>
  <c r="P75" i="160"/>
  <c r="Q75" i="160" s="1"/>
  <c r="BX75" i="160"/>
  <c r="I52" i="79"/>
  <c r="BQ74" i="159"/>
  <c r="CE74" i="159" s="1"/>
  <c r="BR74" i="159"/>
  <c r="CF74" i="159" s="1"/>
  <c r="BP74" i="159"/>
  <c r="CD74" i="159" s="1"/>
  <c r="G74" i="163"/>
  <c r="BT74" i="159"/>
  <c r="CH74" i="159" s="1"/>
  <c r="BS74" i="159"/>
  <c r="CG74" i="159" s="1"/>
  <c r="BU74" i="159"/>
  <c r="CI74" i="159" s="1"/>
  <c r="AE75" i="160"/>
  <c r="AF75" i="160" s="1"/>
  <c r="H75" i="160"/>
  <c r="I75" i="160" s="1"/>
  <c r="BY75" i="160"/>
  <c r="F75" i="160"/>
  <c r="BF75" i="160"/>
  <c r="BG75" i="160" s="1"/>
  <c r="BH75" i="160"/>
  <c r="BI75" i="160" s="1"/>
  <c r="BM75" i="160" s="1"/>
  <c r="CB75" i="160"/>
  <c r="BP75" i="160" s="1"/>
  <c r="CD75" i="160" s="1"/>
  <c r="AK75" i="162"/>
  <c r="AC75" i="160"/>
  <c r="AG75" i="160" s="1"/>
  <c r="AD75" i="162"/>
  <c r="O75" i="162"/>
  <c r="E75" i="162"/>
  <c r="T75" i="162"/>
  <c r="AP75" i="162"/>
  <c r="G74" i="159"/>
  <c r="BW75" i="160"/>
  <c r="BP63" i="158"/>
  <c r="CD63" i="158" s="1"/>
  <c r="BQ63" i="158"/>
  <c r="CE63" i="158" s="1"/>
  <c r="BR63" i="158"/>
  <c r="CF63" i="158" s="1"/>
  <c r="U63" i="158"/>
  <c r="V63" i="158" s="1"/>
  <c r="K63" i="158"/>
  <c r="L63" i="158" s="1"/>
  <c r="BX63" i="158"/>
  <c r="H63" i="158"/>
  <c r="I63" i="158" s="1"/>
  <c r="M63" i="158" s="1"/>
  <c r="BY63" i="158"/>
  <c r="F63" i="158"/>
  <c r="S63" i="158"/>
  <c r="W63" i="158" s="1"/>
  <c r="CP74" i="159" l="1"/>
  <c r="CQ74" i="159"/>
  <c r="CN74" i="159"/>
  <c r="CS74" i="159"/>
  <c r="CM74" i="159"/>
  <c r="CR74" i="159"/>
  <c r="CO74" i="159"/>
  <c r="CK74" i="159"/>
  <c r="CL74" i="159"/>
  <c r="CU74" i="159"/>
  <c r="CW74" i="159"/>
  <c r="CV74" i="159"/>
  <c r="CT74" i="159"/>
  <c r="CY74" i="159"/>
  <c r="CX74" i="159"/>
  <c r="CZ74" i="159"/>
  <c r="CV74" i="163"/>
  <c r="CM74" i="163"/>
  <c r="CL74" i="163"/>
  <c r="CK74" i="163"/>
  <c r="CQ74" i="163"/>
  <c r="CN74" i="163"/>
  <c r="CP74" i="163"/>
  <c r="CO74" i="163"/>
  <c r="CR74" i="163"/>
  <c r="CZ74" i="163"/>
  <c r="CU74" i="163"/>
  <c r="CS74" i="163"/>
  <c r="CT74" i="163"/>
  <c r="CW74" i="163"/>
  <c r="CY74" i="163"/>
  <c r="CX74" i="163"/>
  <c r="BW75" i="162"/>
  <c r="BU75" i="162" s="1"/>
  <c r="CI75" i="162" s="1"/>
  <c r="M75" i="162"/>
  <c r="F64" i="79"/>
  <c r="J75" i="159"/>
  <c r="M75" i="159" s="1"/>
  <c r="Z75" i="162"/>
  <c r="AA75" i="162" s="1"/>
  <c r="AB75" i="162"/>
  <c r="BE75" i="159"/>
  <c r="BH75" i="159" s="1"/>
  <c r="AU75" i="163"/>
  <c r="AX75" i="163" s="1"/>
  <c r="O75" i="159"/>
  <c r="BE75" i="163"/>
  <c r="BH75" i="163" s="1"/>
  <c r="Y75" i="159"/>
  <c r="AB75" i="159" s="1"/>
  <c r="J75" i="163"/>
  <c r="K75" i="163" s="1"/>
  <c r="L75" i="163" s="1"/>
  <c r="BU75" i="160"/>
  <c r="CI75" i="160" s="1"/>
  <c r="AU75" i="159"/>
  <c r="AZ75" i="159"/>
  <c r="AK75" i="159"/>
  <c r="BT75" i="160"/>
  <c r="CH75" i="160" s="1"/>
  <c r="BS75" i="160"/>
  <c r="CG75" i="160" s="1"/>
  <c r="AL75" i="162"/>
  <c r="AN75" i="162"/>
  <c r="AO75" i="162" s="1"/>
  <c r="BZ75" i="162"/>
  <c r="AZ75" i="163"/>
  <c r="BJ75" i="163"/>
  <c r="AK75" i="163"/>
  <c r="O75" i="163"/>
  <c r="AP75" i="163"/>
  <c r="Y75" i="163"/>
  <c r="CA75" i="162"/>
  <c r="AX75" i="162"/>
  <c r="AY75" i="162" s="1"/>
  <c r="BC75" i="162" s="1"/>
  <c r="AV75" i="162"/>
  <c r="AW75" i="162" s="1"/>
  <c r="AC75" i="162"/>
  <c r="T75" i="163"/>
  <c r="E75" i="163"/>
  <c r="CB75" i="162"/>
  <c r="BP75" i="162" s="1"/>
  <c r="CD75" i="162" s="1"/>
  <c r="BH75" i="162"/>
  <c r="BI75" i="162" s="1"/>
  <c r="BM75" i="162" s="1"/>
  <c r="BF75" i="162"/>
  <c r="BG75" i="162" s="1"/>
  <c r="H75" i="162"/>
  <c r="I75" i="162" s="1"/>
  <c r="BY75" i="162"/>
  <c r="F75" i="162"/>
  <c r="E75" i="159"/>
  <c r="BA75" i="162"/>
  <c r="BB75" i="162" s="1"/>
  <c r="U75" i="162"/>
  <c r="V75" i="162" s="1"/>
  <c r="AP75" i="159"/>
  <c r="P75" i="162"/>
  <c r="Q75" i="162" s="1"/>
  <c r="BX75" i="162"/>
  <c r="R75" i="162"/>
  <c r="S75" i="162" s="1"/>
  <c r="W75" i="162" s="1"/>
  <c r="T75" i="159"/>
  <c r="AD75" i="159"/>
  <c r="AD75" i="163"/>
  <c r="G75" i="160"/>
  <c r="AQ75" i="162"/>
  <c r="AR75" i="162" s="1"/>
  <c r="AS75" i="162"/>
  <c r="BJ75" i="159"/>
  <c r="J64" i="79"/>
  <c r="AG75" i="162"/>
  <c r="AE75" i="162"/>
  <c r="AF75" i="162" s="1"/>
  <c r="BQ75" i="160"/>
  <c r="CE75" i="160" s="1"/>
  <c r="BR75" i="160"/>
  <c r="CF75" i="160" s="1"/>
  <c r="BS63" i="158"/>
  <c r="CG63" i="158" s="1"/>
  <c r="BT63" i="158"/>
  <c r="CH63" i="158" s="1"/>
  <c r="BU63" i="158"/>
  <c r="CI63" i="158" s="1"/>
  <c r="G63" i="158"/>
  <c r="BE64" i="158" s="1"/>
  <c r="K75" i="159" l="1"/>
  <c r="L75" i="159" s="1"/>
  <c r="BF75" i="159"/>
  <c r="BG75" i="159" s="1"/>
  <c r="CS63" i="158"/>
  <c r="V52" i="79" s="1"/>
  <c r="CV75" i="160"/>
  <c r="CX75" i="160"/>
  <c r="CL75" i="160"/>
  <c r="CP63" i="158"/>
  <c r="CT63" i="158"/>
  <c r="W52" i="79" s="1"/>
  <c r="CW75" i="160"/>
  <c r="CR75" i="160"/>
  <c r="CM63" i="158"/>
  <c r="P52" i="79" s="1"/>
  <c r="CV63" i="158"/>
  <c r="Y52" i="79" s="1"/>
  <c r="CZ75" i="160"/>
  <c r="CO75" i="160"/>
  <c r="CL63" i="158"/>
  <c r="O52" i="79" s="1"/>
  <c r="CZ63" i="158"/>
  <c r="AC52" i="79" s="1"/>
  <c r="CS75" i="160"/>
  <c r="CK75" i="160"/>
  <c r="CK63" i="158"/>
  <c r="N52" i="79" s="1"/>
  <c r="CQ63" i="158"/>
  <c r="CT75" i="160"/>
  <c r="CQ75" i="160"/>
  <c r="CR63" i="158"/>
  <c r="CU63" i="158"/>
  <c r="X52" i="79" s="1"/>
  <c r="CY75" i="160"/>
  <c r="CN75" i="160"/>
  <c r="CX63" i="158"/>
  <c r="AA52" i="79" s="1"/>
  <c r="CY63" i="158"/>
  <c r="AB52" i="79" s="1"/>
  <c r="CM75" i="160"/>
  <c r="CU75" i="160"/>
  <c r="CN63" i="158"/>
  <c r="Q52" i="79" s="1"/>
  <c r="CW63" i="158"/>
  <c r="Z52" i="79" s="1"/>
  <c r="CP75" i="160"/>
  <c r="CO63" i="158"/>
  <c r="CB75" i="159"/>
  <c r="AV75" i="163"/>
  <c r="AW75" i="163" s="1"/>
  <c r="CA75" i="163"/>
  <c r="BJ76" i="160"/>
  <c r="BK76" i="160" s="1"/>
  <c r="BL76" i="160" s="1"/>
  <c r="R75" i="159"/>
  <c r="Z75" i="159"/>
  <c r="AA75" i="159" s="1"/>
  <c r="BF75" i="163"/>
  <c r="BG75" i="163" s="1"/>
  <c r="P75" i="159"/>
  <c r="Q75" i="159" s="1"/>
  <c r="M75" i="163"/>
  <c r="AP76" i="160"/>
  <c r="AS76" i="160" s="1"/>
  <c r="AY75" i="163"/>
  <c r="BY75" i="159"/>
  <c r="F75" i="159"/>
  <c r="H75" i="159"/>
  <c r="I75" i="159" s="1"/>
  <c r="AK76" i="160"/>
  <c r="AB75" i="163"/>
  <c r="AC75" i="163" s="1"/>
  <c r="AG75" i="163" s="1"/>
  <c r="Z75" i="163"/>
  <c r="AA75" i="163" s="1"/>
  <c r="BW75" i="163"/>
  <c r="BZ75" i="163"/>
  <c r="AN75" i="163"/>
  <c r="AO75" i="163" s="1"/>
  <c r="AL75" i="163"/>
  <c r="AU76" i="160"/>
  <c r="BC75" i="159"/>
  <c r="BA75" i="159"/>
  <c r="BB75" i="159" s="1"/>
  <c r="AN75" i="159"/>
  <c r="AO75" i="159" s="1"/>
  <c r="AL75" i="159"/>
  <c r="BZ75" i="159"/>
  <c r="BE76" i="160"/>
  <c r="BK75" i="163"/>
  <c r="BL75" i="163" s="1"/>
  <c r="CA75" i="159"/>
  <c r="AX75" i="159"/>
  <c r="AY75" i="159" s="1"/>
  <c r="AV75" i="159"/>
  <c r="AW75" i="159" s="1"/>
  <c r="AZ76" i="160"/>
  <c r="P75" i="163"/>
  <c r="Q75" i="163" s="1"/>
  <c r="BX75" i="163"/>
  <c r="R75" i="163"/>
  <c r="S75" i="163" s="1"/>
  <c r="AQ75" i="159"/>
  <c r="AR75" i="159" s="1"/>
  <c r="AS75" i="159"/>
  <c r="AE75" i="163"/>
  <c r="AF75" i="163" s="1"/>
  <c r="BT75" i="162"/>
  <c r="CH75" i="162" s="1"/>
  <c r="BS75" i="162"/>
  <c r="CG75" i="162" s="1"/>
  <c r="BA75" i="163"/>
  <c r="BB75" i="163" s="1"/>
  <c r="BC75" i="163"/>
  <c r="BI75" i="163"/>
  <c r="BM75" i="163" s="1"/>
  <c r="S75" i="159"/>
  <c r="AC75" i="159"/>
  <c r="AG75" i="159" s="1"/>
  <c r="AE75" i="159"/>
  <c r="AF75" i="159" s="1"/>
  <c r="BK75" i="159"/>
  <c r="BL75" i="159" s="1"/>
  <c r="W75" i="159"/>
  <c r="U75" i="159"/>
  <c r="V75" i="159" s="1"/>
  <c r="BW75" i="159"/>
  <c r="BR75" i="162"/>
  <c r="CF75" i="162" s="1"/>
  <c r="BQ75" i="162"/>
  <c r="CE75" i="162" s="1"/>
  <c r="CB75" i="163"/>
  <c r="BX75" i="159"/>
  <c r="BY75" i="163"/>
  <c r="F75" i="163"/>
  <c r="H75" i="163"/>
  <c r="I75" i="163" s="1"/>
  <c r="E76" i="160"/>
  <c r="J76" i="160"/>
  <c r="T76" i="160"/>
  <c r="AD76" i="160"/>
  <c r="O76" i="160"/>
  <c r="Y76" i="160"/>
  <c r="G75" i="162"/>
  <c r="BI75" i="159"/>
  <c r="BM75" i="159" s="1"/>
  <c r="U75" i="163"/>
  <c r="V75" i="163" s="1"/>
  <c r="W75" i="163"/>
  <c r="AS75" i="163"/>
  <c r="AQ75" i="163"/>
  <c r="AR75" i="163" s="1"/>
  <c r="AM75" i="162"/>
  <c r="AU64" i="158"/>
  <c r="AV64" i="158" s="1"/>
  <c r="AW64" i="158" s="1"/>
  <c r="AK64" i="158"/>
  <c r="AN64" i="158" s="1"/>
  <c r="BJ64" i="158"/>
  <c r="BK64" i="158" s="1"/>
  <c r="BL64" i="158" s="1"/>
  <c r="BH64" i="158"/>
  <c r="BF64" i="158"/>
  <c r="BG64" i="158" s="1"/>
  <c r="AP64" i="158"/>
  <c r="AQ64" i="158" s="1"/>
  <c r="AR64" i="158" s="1"/>
  <c r="AZ64" i="158"/>
  <c r="CR75" i="162" l="1"/>
  <c r="U64" i="79" s="1"/>
  <c r="CY75" i="162"/>
  <c r="CQ75" i="162"/>
  <c r="T64" i="79" s="1"/>
  <c r="CW75" i="162"/>
  <c r="CL75" i="162"/>
  <c r="CX75" i="162"/>
  <c r="CZ75" i="162"/>
  <c r="CO75" i="162"/>
  <c r="R64" i="79" s="1"/>
  <c r="CM75" i="162"/>
  <c r="CT75" i="162"/>
  <c r="CK75" i="162"/>
  <c r="CV75" i="162"/>
  <c r="CS75" i="162"/>
  <c r="CN75" i="162"/>
  <c r="CU75" i="162"/>
  <c r="CP75" i="162"/>
  <c r="S64" i="79" s="1"/>
  <c r="AU76" i="162"/>
  <c r="AQ76" i="160"/>
  <c r="AR76" i="160" s="1"/>
  <c r="AK76" i="162"/>
  <c r="AL76" i="162" s="1"/>
  <c r="AM76" i="162" s="1"/>
  <c r="J76" i="162"/>
  <c r="M76" i="162" s="1"/>
  <c r="BJ76" i="162"/>
  <c r="BK76" i="162" s="1"/>
  <c r="BL76" i="162" s="1"/>
  <c r="AZ76" i="162"/>
  <c r="BA76" i="162" s="1"/>
  <c r="BB76" i="162" s="1"/>
  <c r="BS75" i="159"/>
  <c r="CG75" i="159" s="1"/>
  <c r="BT75" i="159"/>
  <c r="CH75" i="159" s="1"/>
  <c r="BU75" i="159"/>
  <c r="CI75" i="159" s="1"/>
  <c r="AE76" i="160"/>
  <c r="AF76" i="160" s="1"/>
  <c r="BF76" i="160"/>
  <c r="BG76" i="160" s="1"/>
  <c r="BH76" i="160"/>
  <c r="BI76" i="160" s="1"/>
  <c r="BM76" i="160" s="1"/>
  <c r="CB76" i="160"/>
  <c r="BP76" i="160" s="1"/>
  <c r="CD76" i="160" s="1"/>
  <c r="BS75" i="163"/>
  <c r="CG75" i="163" s="1"/>
  <c r="BU75" i="163"/>
  <c r="CI75" i="163" s="1"/>
  <c r="BT75" i="163"/>
  <c r="CH75" i="163" s="1"/>
  <c r="BA76" i="160"/>
  <c r="BB76" i="160" s="1"/>
  <c r="BE76" i="162"/>
  <c r="AN76" i="162"/>
  <c r="CA76" i="160"/>
  <c r="AX76" i="160"/>
  <c r="AY76" i="160" s="1"/>
  <c r="BC76" i="160" s="1"/>
  <c r="AV76" i="160"/>
  <c r="AW76" i="160" s="1"/>
  <c r="BX76" i="160"/>
  <c r="R76" i="160"/>
  <c r="S76" i="160" s="1"/>
  <c r="W76" i="160" s="1"/>
  <c r="P76" i="160"/>
  <c r="Q76" i="160" s="1"/>
  <c r="U76" i="160"/>
  <c r="V76" i="160" s="1"/>
  <c r="AL64" i="158"/>
  <c r="AM64" i="158" s="1"/>
  <c r="H76" i="160"/>
  <c r="I76" i="160" s="1"/>
  <c r="BY76" i="160"/>
  <c r="F76" i="160"/>
  <c r="BP75" i="159"/>
  <c r="CD75" i="159" s="1"/>
  <c r="BQ75" i="159"/>
  <c r="CE75" i="159" s="1"/>
  <c r="BR75" i="159"/>
  <c r="CF75" i="159" s="1"/>
  <c r="BZ76" i="160"/>
  <c r="AL76" i="160"/>
  <c r="AM76" i="160" s="1"/>
  <c r="AN76" i="160"/>
  <c r="AO76" i="160" s="1"/>
  <c r="AP76" i="162"/>
  <c r="Y76" i="162"/>
  <c r="O76" i="162"/>
  <c r="E76" i="162"/>
  <c r="AD76" i="162"/>
  <c r="T76" i="162"/>
  <c r="AM75" i="159"/>
  <c r="AM75" i="163"/>
  <c r="K76" i="160"/>
  <c r="L76" i="160" s="1"/>
  <c r="M76" i="160"/>
  <c r="Z76" i="160"/>
  <c r="AA76" i="160" s="1"/>
  <c r="BW76" i="160"/>
  <c r="AB76" i="160"/>
  <c r="AC76" i="160" s="1"/>
  <c r="AG76" i="160" s="1"/>
  <c r="G75" i="163"/>
  <c r="BR75" i="163"/>
  <c r="CF75" i="163" s="1"/>
  <c r="BP75" i="163"/>
  <c r="CD75" i="163" s="1"/>
  <c r="BQ75" i="163"/>
  <c r="CE75" i="163" s="1"/>
  <c r="G75" i="159"/>
  <c r="CB64" i="158"/>
  <c r="BI64" i="158"/>
  <c r="BM64" i="158" s="1"/>
  <c r="AX64" i="158"/>
  <c r="AY64" i="158" s="1"/>
  <c r="BC64" i="158" s="1"/>
  <c r="BA64" i="158"/>
  <c r="BB64" i="158" s="1"/>
  <c r="CA64" i="158"/>
  <c r="E64" i="158"/>
  <c r="E53" i="79" s="1"/>
  <c r="O64" i="158"/>
  <c r="H53" i="79" s="1"/>
  <c r="AD64" i="158"/>
  <c r="K53" i="79" s="1"/>
  <c r="Y64" i="158"/>
  <c r="G53" i="79" s="1"/>
  <c r="T64" i="158"/>
  <c r="BZ64" i="158"/>
  <c r="AO64" i="158"/>
  <c r="AS64" i="158" s="1"/>
  <c r="CQ75" i="163" l="1"/>
  <c r="CK75" i="163"/>
  <c r="CV75" i="163"/>
  <c r="CM75" i="163"/>
  <c r="CP75" i="163"/>
  <c r="CL75" i="163"/>
  <c r="CO75" i="163"/>
  <c r="CR75" i="163"/>
  <c r="CN75" i="163"/>
  <c r="CT75" i="163"/>
  <c r="CU75" i="163"/>
  <c r="CS75" i="163"/>
  <c r="CZ75" i="163"/>
  <c r="CW75" i="163"/>
  <c r="CY75" i="163"/>
  <c r="CX75" i="163"/>
  <c r="CS75" i="159"/>
  <c r="CO75" i="159"/>
  <c r="CK75" i="159"/>
  <c r="CM75" i="159"/>
  <c r="CN75" i="159"/>
  <c r="CL75" i="159"/>
  <c r="CP75" i="159"/>
  <c r="CR75" i="159"/>
  <c r="CQ75" i="159"/>
  <c r="CT75" i="159"/>
  <c r="CW75" i="159"/>
  <c r="CU75" i="159"/>
  <c r="CV75" i="159"/>
  <c r="CZ75" i="159"/>
  <c r="CX75" i="159"/>
  <c r="CY75" i="159"/>
  <c r="L53" i="79"/>
  <c r="Y76" i="159"/>
  <c r="O76" i="159"/>
  <c r="R76" i="159" s="1"/>
  <c r="BU76" i="160"/>
  <c r="CI76" i="160" s="1"/>
  <c r="CA76" i="162"/>
  <c r="AV76" i="162"/>
  <c r="AW76" i="162" s="1"/>
  <c r="J76" i="163"/>
  <c r="M76" i="163" s="1"/>
  <c r="AX76" i="162"/>
  <c r="AY76" i="162" s="1"/>
  <c r="BC76" i="162" s="1"/>
  <c r="E76" i="159"/>
  <c r="H76" i="159" s="1"/>
  <c r="F65" i="79"/>
  <c r="J76" i="159"/>
  <c r="M76" i="159" s="1"/>
  <c r="K76" i="162"/>
  <c r="L76" i="162" s="1"/>
  <c r="AU76" i="163"/>
  <c r="AX76" i="163" s="1"/>
  <c r="BE76" i="163"/>
  <c r="BF76" i="163" s="1"/>
  <c r="BG76" i="163" s="1"/>
  <c r="AP76" i="159"/>
  <c r="AZ76" i="159"/>
  <c r="BJ76" i="159"/>
  <c r="AK76" i="159"/>
  <c r="AU76" i="159"/>
  <c r="T76" i="163"/>
  <c r="O76" i="163"/>
  <c r="E76" i="163"/>
  <c r="Y76" i="163"/>
  <c r="AD76" i="163"/>
  <c r="P76" i="162"/>
  <c r="Q76" i="162" s="1"/>
  <c r="BX76" i="162"/>
  <c r="R76" i="162"/>
  <c r="S76" i="162" s="1"/>
  <c r="W76" i="162" s="1"/>
  <c r="K76" i="159"/>
  <c r="L76" i="159" s="1"/>
  <c r="AB76" i="162"/>
  <c r="AC76" i="162" s="1"/>
  <c r="Z76" i="162"/>
  <c r="AA76" i="162" s="1"/>
  <c r="BW76" i="162"/>
  <c r="BU76" i="162" s="1"/>
  <c r="CI76" i="162" s="1"/>
  <c r="BH76" i="162"/>
  <c r="BI76" i="162" s="1"/>
  <c r="BM76" i="162" s="1"/>
  <c r="BF76" i="162"/>
  <c r="BG76" i="162" s="1"/>
  <c r="CB76" i="162"/>
  <c r="BP76" i="162" s="1"/>
  <c r="CD76" i="162" s="1"/>
  <c r="Z76" i="159"/>
  <c r="AA76" i="159" s="1"/>
  <c r="AB76" i="159"/>
  <c r="BJ76" i="163"/>
  <c r="P76" i="159"/>
  <c r="Q76" i="159" s="1"/>
  <c r="G76" i="160"/>
  <c r="AO76" i="162"/>
  <c r="H76" i="162"/>
  <c r="I76" i="162" s="1"/>
  <c r="BY76" i="162"/>
  <c r="F76" i="162"/>
  <c r="AQ76" i="162"/>
  <c r="AR76" i="162" s="1"/>
  <c r="AS76" i="162"/>
  <c r="AD76" i="159"/>
  <c r="BW76" i="159" s="1"/>
  <c r="T76" i="159"/>
  <c r="BX76" i="159" s="1"/>
  <c r="BT76" i="160"/>
  <c r="CH76" i="160" s="1"/>
  <c r="BS76" i="160"/>
  <c r="CG76" i="160" s="1"/>
  <c r="BZ76" i="162"/>
  <c r="AP76" i="163"/>
  <c r="AK76" i="163"/>
  <c r="AZ76" i="163"/>
  <c r="U76" i="162"/>
  <c r="V76" i="162" s="1"/>
  <c r="BE76" i="159"/>
  <c r="J65" i="79"/>
  <c r="AE76" i="162"/>
  <c r="AF76" i="162" s="1"/>
  <c r="AG76" i="162"/>
  <c r="BR76" i="160"/>
  <c r="CF76" i="160" s="1"/>
  <c r="BQ76" i="160"/>
  <c r="CE76" i="160" s="1"/>
  <c r="BP64" i="158"/>
  <c r="CD64" i="158" s="1"/>
  <c r="BQ64" i="158"/>
  <c r="CE64" i="158" s="1"/>
  <c r="BR64" i="158"/>
  <c r="CF64" i="158" s="1"/>
  <c r="U64" i="158"/>
  <c r="V64" i="158" s="1"/>
  <c r="AE64" i="158"/>
  <c r="AF64" i="158" s="1"/>
  <c r="P64" i="158"/>
  <c r="Q64" i="158" s="1"/>
  <c r="R64" i="158"/>
  <c r="S64" i="158" s="1"/>
  <c r="W64" i="158" s="1"/>
  <c r="BX64" i="158"/>
  <c r="F64" i="158"/>
  <c r="H64" i="158"/>
  <c r="J64" i="158"/>
  <c r="AB64" i="158"/>
  <c r="AC64" i="158" s="1"/>
  <c r="AG64" i="158" s="1"/>
  <c r="Z64" i="158"/>
  <c r="AA64" i="158" s="1"/>
  <c r="BW64" i="158"/>
  <c r="CU76" i="160" l="1"/>
  <c r="K76" i="163"/>
  <c r="L76" i="163" s="1"/>
  <c r="CX76" i="160"/>
  <c r="CL76" i="160"/>
  <c r="CW76" i="160"/>
  <c r="CK76" i="160"/>
  <c r="CZ76" i="160"/>
  <c r="CR76" i="160"/>
  <c r="CS76" i="160"/>
  <c r="CQ76" i="160"/>
  <c r="CY76" i="160"/>
  <c r="CM76" i="160"/>
  <c r="CT76" i="160"/>
  <c r="CP76" i="160"/>
  <c r="I76" i="159"/>
  <c r="CV76" i="160"/>
  <c r="CO76" i="160"/>
  <c r="CN76" i="160"/>
  <c r="BY76" i="159"/>
  <c r="BS76" i="159" s="1"/>
  <c r="CG76" i="159" s="1"/>
  <c r="F76" i="159"/>
  <c r="G76" i="159" s="1"/>
  <c r="AU77" i="160"/>
  <c r="AV77" i="160" s="1"/>
  <c r="AW77" i="160" s="1"/>
  <c r="BH76" i="163"/>
  <c r="BI76" i="163" s="1"/>
  <c r="BM76" i="163" s="1"/>
  <c r="AV76" i="163"/>
  <c r="AW76" i="163" s="1"/>
  <c r="AP77" i="160"/>
  <c r="AS77" i="160" s="1"/>
  <c r="BE77" i="160"/>
  <c r="BF77" i="160" s="1"/>
  <c r="BG77" i="160" s="1"/>
  <c r="G76" i="162"/>
  <c r="BS76" i="162"/>
  <c r="CG76" i="162" s="1"/>
  <c r="BT76" i="162"/>
  <c r="CH76" i="162" s="1"/>
  <c r="W76" i="163"/>
  <c r="U76" i="163"/>
  <c r="V76" i="163" s="1"/>
  <c r="AQ76" i="159"/>
  <c r="AR76" i="159" s="1"/>
  <c r="AS76" i="159"/>
  <c r="BQ76" i="162"/>
  <c r="CE76" i="162" s="1"/>
  <c r="BR76" i="162"/>
  <c r="CF76" i="162" s="1"/>
  <c r="BK76" i="159"/>
  <c r="BL76" i="159" s="1"/>
  <c r="W76" i="159"/>
  <c r="S76" i="159"/>
  <c r="U76" i="159"/>
  <c r="V76" i="159" s="1"/>
  <c r="CB76" i="159"/>
  <c r="BH76" i="159"/>
  <c r="BI76" i="159" s="1"/>
  <c r="BM76" i="159" s="1"/>
  <c r="BF76" i="159"/>
  <c r="BG76" i="159" s="1"/>
  <c r="P76" i="163"/>
  <c r="Q76" i="163" s="1"/>
  <c r="R76" i="163"/>
  <c r="S76" i="163" s="1"/>
  <c r="BX76" i="163"/>
  <c r="AE76" i="159"/>
  <c r="AF76" i="159" s="1"/>
  <c r="F76" i="163"/>
  <c r="BY76" i="163"/>
  <c r="H76" i="163"/>
  <c r="I76" i="163" s="1"/>
  <c r="BY64" i="158"/>
  <c r="BS64" i="158" s="1"/>
  <c r="CG64" i="158" s="1"/>
  <c r="I53" i="79"/>
  <c r="BU76" i="159"/>
  <c r="CI76" i="159" s="1"/>
  <c r="BT76" i="159"/>
  <c r="CH76" i="159" s="1"/>
  <c r="BC76" i="163"/>
  <c r="BA76" i="163"/>
  <c r="BB76" i="163" s="1"/>
  <c r="AY76" i="163"/>
  <c r="BJ77" i="160"/>
  <c r="CB76" i="163"/>
  <c r="BK76" i="163"/>
  <c r="BL76" i="163" s="1"/>
  <c r="CA76" i="159"/>
  <c r="BA76" i="159"/>
  <c r="BB76" i="159" s="1"/>
  <c r="BC76" i="159"/>
  <c r="BZ76" i="163"/>
  <c r="AN76" i="163"/>
  <c r="AO76" i="163" s="1"/>
  <c r="AL76" i="163"/>
  <c r="AE76" i="163"/>
  <c r="AF76" i="163" s="1"/>
  <c r="AX76" i="159"/>
  <c r="AY76" i="159" s="1"/>
  <c r="AV76" i="159"/>
  <c r="AW76" i="159" s="1"/>
  <c r="Y77" i="160"/>
  <c r="E77" i="160"/>
  <c r="J77" i="160"/>
  <c r="AD77" i="160"/>
  <c r="O77" i="160"/>
  <c r="T77" i="160"/>
  <c r="AS76" i="163"/>
  <c r="AQ76" i="163"/>
  <c r="AR76" i="163" s="1"/>
  <c r="AK77" i="160"/>
  <c r="AZ77" i="160"/>
  <c r="AC76" i="159"/>
  <c r="AG76" i="159" s="1"/>
  <c r="BW76" i="163"/>
  <c r="AB76" i="163"/>
  <c r="AC76" i="163" s="1"/>
  <c r="AG76" i="163" s="1"/>
  <c r="Z76" i="163"/>
  <c r="AA76" i="163" s="1"/>
  <c r="BZ76" i="159"/>
  <c r="AL76" i="159"/>
  <c r="AN76" i="159"/>
  <c r="AO76" i="159" s="1"/>
  <c r="CA76" i="163"/>
  <c r="I64" i="158"/>
  <c r="M64" i="158" s="1"/>
  <c r="G64" i="158"/>
  <c r="K64" i="158"/>
  <c r="L64" i="158" s="1"/>
  <c r="AQ77" i="160" l="1"/>
  <c r="AR77" i="160" s="1"/>
  <c r="CK76" i="162"/>
  <c r="CA77" i="160"/>
  <c r="CO76" i="162"/>
  <c r="R65" i="79" s="1"/>
  <c r="CZ76" i="162"/>
  <c r="CN76" i="162"/>
  <c r="CP76" i="162"/>
  <c r="S65" i="79" s="1"/>
  <c r="CX76" i="162"/>
  <c r="CM76" i="162"/>
  <c r="CW76" i="162"/>
  <c r="CL76" i="162"/>
  <c r="CY76" i="162"/>
  <c r="CR76" i="162"/>
  <c r="U65" i="79" s="1"/>
  <c r="CT76" i="162"/>
  <c r="CV76" i="162"/>
  <c r="CS76" i="162"/>
  <c r="CQ76" i="162"/>
  <c r="T65" i="79" s="1"/>
  <c r="CU76" i="162"/>
  <c r="AX77" i="160"/>
  <c r="CB77" i="160"/>
  <c r="BP77" i="160" s="1"/>
  <c r="CD77" i="160" s="1"/>
  <c r="BH77" i="160"/>
  <c r="BI77" i="160" s="1"/>
  <c r="BM77" i="160" s="1"/>
  <c r="Y77" i="162"/>
  <c r="AB77" i="162" s="1"/>
  <c r="AU77" i="162"/>
  <c r="AV77" i="162" s="1"/>
  <c r="AW77" i="162" s="1"/>
  <c r="BU64" i="158"/>
  <c r="CI64" i="158" s="1"/>
  <c r="BT64" i="158"/>
  <c r="BW77" i="160"/>
  <c r="AB77" i="160"/>
  <c r="AC77" i="160" s="1"/>
  <c r="AG77" i="160" s="1"/>
  <c r="Z77" i="160"/>
  <c r="AA77" i="160" s="1"/>
  <c r="AM76" i="159"/>
  <c r="Y77" i="159" s="1"/>
  <c r="AM76" i="163"/>
  <c r="AY77" i="160"/>
  <c r="BC77" i="160" s="1"/>
  <c r="AN77" i="160"/>
  <c r="AO77" i="160" s="1"/>
  <c r="BZ77" i="160"/>
  <c r="AL77" i="160"/>
  <c r="AM77" i="160" s="1"/>
  <c r="H77" i="160"/>
  <c r="I77" i="160" s="1"/>
  <c r="BY77" i="160"/>
  <c r="F77" i="160"/>
  <c r="BK77" i="160"/>
  <c r="BL77" i="160" s="1"/>
  <c r="U77" i="160"/>
  <c r="V77" i="160" s="1"/>
  <c r="BP76" i="163"/>
  <c r="CD76" i="163" s="1"/>
  <c r="BR76" i="163"/>
  <c r="CF76" i="163" s="1"/>
  <c r="BQ76" i="163"/>
  <c r="CE76" i="163" s="1"/>
  <c r="BS76" i="163"/>
  <c r="CG76" i="163" s="1"/>
  <c r="BU76" i="163"/>
  <c r="CI76" i="163" s="1"/>
  <c r="BT76" i="163"/>
  <c r="CH76" i="163" s="1"/>
  <c r="AK77" i="162"/>
  <c r="K77" i="160"/>
  <c r="L77" i="160" s="1"/>
  <c r="M77" i="160"/>
  <c r="J77" i="162"/>
  <c r="E77" i="162"/>
  <c r="AD77" i="162"/>
  <c r="T77" i="162"/>
  <c r="O77" i="162"/>
  <c r="R77" i="160"/>
  <c r="S77" i="160" s="1"/>
  <c r="W77" i="160" s="1"/>
  <c r="BX77" i="160"/>
  <c r="P77" i="160"/>
  <c r="Q77" i="160" s="1"/>
  <c r="G76" i="163"/>
  <c r="BE77" i="162"/>
  <c r="AZ77" i="162"/>
  <c r="BR76" i="159"/>
  <c r="CF76" i="159" s="1"/>
  <c r="BQ76" i="159"/>
  <c r="CE76" i="159" s="1"/>
  <c r="BP76" i="159"/>
  <c r="CD76" i="159" s="1"/>
  <c r="AP77" i="162"/>
  <c r="BA77" i="160"/>
  <c r="BB77" i="160" s="1"/>
  <c r="AE77" i="160"/>
  <c r="AF77" i="160" s="1"/>
  <c r="BJ77" i="162"/>
  <c r="BE65" i="158"/>
  <c r="BF65" i="158" s="1"/>
  <c r="BG65" i="158" s="1"/>
  <c r="AZ65" i="158"/>
  <c r="AU65" i="158"/>
  <c r="AK65" i="158"/>
  <c r="AP65" i="158"/>
  <c r="BJ65" i="158"/>
  <c r="AD77" i="159" l="1"/>
  <c r="F66" i="79"/>
  <c r="T77" i="159"/>
  <c r="W77" i="159" s="1"/>
  <c r="CA77" i="162"/>
  <c r="AX77" i="162"/>
  <c r="CN76" i="159"/>
  <c r="CR76" i="159"/>
  <c r="CQ76" i="159"/>
  <c r="CM76" i="159"/>
  <c r="CL76" i="159"/>
  <c r="CK76" i="159"/>
  <c r="CS76" i="159"/>
  <c r="CP76" i="159"/>
  <c r="CO76" i="159"/>
  <c r="CW76" i="159"/>
  <c r="CT76" i="159"/>
  <c r="CV76" i="159"/>
  <c r="CU76" i="159"/>
  <c r="CZ76" i="159"/>
  <c r="CY76" i="159"/>
  <c r="CX76" i="159"/>
  <c r="CQ76" i="163"/>
  <c r="CM76" i="163"/>
  <c r="CV76" i="163"/>
  <c r="CO76" i="163"/>
  <c r="CL76" i="163"/>
  <c r="CK76" i="163"/>
  <c r="CR76" i="163"/>
  <c r="CN76" i="163"/>
  <c r="CP76" i="163"/>
  <c r="CS76" i="163"/>
  <c r="CZ76" i="163"/>
  <c r="CT76" i="163"/>
  <c r="CU76" i="163"/>
  <c r="CW76" i="163"/>
  <c r="CY76" i="163"/>
  <c r="CX76" i="163"/>
  <c r="Z77" i="162"/>
  <c r="AA77" i="162" s="1"/>
  <c r="J65" i="158"/>
  <c r="K65" i="158" s="1"/>
  <c r="L65" i="158" s="1"/>
  <c r="CH64" i="158"/>
  <c r="J77" i="163"/>
  <c r="K77" i="163" s="1"/>
  <c r="L77" i="163" s="1"/>
  <c r="AU77" i="163"/>
  <c r="AX77" i="163" s="1"/>
  <c r="J77" i="159"/>
  <c r="M77" i="159" s="1"/>
  <c r="O77" i="159"/>
  <c r="P77" i="159" s="1"/>
  <c r="Q77" i="159" s="1"/>
  <c r="AD77" i="163"/>
  <c r="AE77" i="163" s="1"/>
  <c r="AF77" i="163" s="1"/>
  <c r="E77" i="159"/>
  <c r="H77" i="159" s="1"/>
  <c r="BS77" i="160"/>
  <c r="CG77" i="160" s="1"/>
  <c r="AZ77" i="159"/>
  <c r="AK77" i="159"/>
  <c r="BE77" i="159"/>
  <c r="BJ77" i="159"/>
  <c r="AU77" i="159"/>
  <c r="AP77" i="159"/>
  <c r="BY77" i="162"/>
  <c r="F77" i="162"/>
  <c r="H77" i="162"/>
  <c r="I77" i="162" s="1"/>
  <c r="BU77" i="160"/>
  <c r="CI77" i="160" s="1"/>
  <c r="AP77" i="163"/>
  <c r="BJ77" i="163"/>
  <c r="AZ77" i="163"/>
  <c r="AK77" i="163"/>
  <c r="O77" i="163"/>
  <c r="Y77" i="163"/>
  <c r="BQ77" i="160"/>
  <c r="CE77" i="160" s="1"/>
  <c r="BR77" i="160"/>
  <c r="CF77" i="160" s="1"/>
  <c r="AC77" i="162"/>
  <c r="U77" i="162"/>
  <c r="V77" i="162" s="1"/>
  <c r="J66" i="79"/>
  <c r="AG77" i="162"/>
  <c r="AE77" i="162"/>
  <c r="AF77" i="162" s="1"/>
  <c r="K77" i="162"/>
  <c r="L77" i="162" s="1"/>
  <c r="M77" i="162"/>
  <c r="BW77" i="159"/>
  <c r="Z77" i="159"/>
  <c r="AA77" i="159" s="1"/>
  <c r="AB77" i="159"/>
  <c r="AC77" i="159" s="1"/>
  <c r="AG77" i="159" s="1"/>
  <c r="AE77" i="159"/>
  <c r="AF77" i="159" s="1"/>
  <c r="AY77" i="162"/>
  <c r="BC77" i="162" s="1"/>
  <c r="BA77" i="162"/>
  <c r="BB77" i="162" s="1"/>
  <c r="BH77" i="162"/>
  <c r="BI77" i="162" s="1"/>
  <c r="BM77" i="162" s="1"/>
  <c r="CB77" i="162"/>
  <c r="BP77" i="162" s="1"/>
  <c r="CD77" i="162" s="1"/>
  <c r="BF77" i="162"/>
  <c r="BG77" i="162" s="1"/>
  <c r="G77" i="160"/>
  <c r="T77" i="163"/>
  <c r="BW77" i="162"/>
  <c r="BU77" i="162" s="1"/>
  <c r="CI77" i="162" s="1"/>
  <c r="AS77" i="162"/>
  <c r="AQ77" i="162"/>
  <c r="AR77" i="162" s="1"/>
  <c r="BK77" i="162"/>
  <c r="BL77" i="162" s="1"/>
  <c r="BE77" i="163"/>
  <c r="BX77" i="162"/>
  <c r="R77" i="162"/>
  <c r="S77" i="162" s="1"/>
  <c r="W77" i="162" s="1"/>
  <c r="P77" i="162"/>
  <c r="Q77" i="162" s="1"/>
  <c r="BZ77" i="162"/>
  <c r="BQ77" i="162" s="1"/>
  <c r="CE77" i="162" s="1"/>
  <c r="AN77" i="162"/>
  <c r="AO77" i="162" s="1"/>
  <c r="AL77" i="162"/>
  <c r="BT77" i="160"/>
  <c r="CH77" i="160" s="1"/>
  <c r="E77" i="163"/>
  <c r="BH65" i="158"/>
  <c r="BI65" i="158" s="1"/>
  <c r="BM65" i="158" s="1"/>
  <c r="T65" i="158"/>
  <c r="I54" i="79" s="1"/>
  <c r="AD65" i="158"/>
  <c r="K54" i="79" s="1"/>
  <c r="BA65" i="158"/>
  <c r="BB65" i="158" s="1"/>
  <c r="O65" i="158"/>
  <c r="H54" i="79" s="1"/>
  <c r="BK65" i="158"/>
  <c r="BL65" i="158" s="1"/>
  <c r="AL65" i="158"/>
  <c r="AM65" i="158" s="1"/>
  <c r="BZ65" i="158"/>
  <c r="AN65" i="158"/>
  <c r="AO65" i="158" s="1"/>
  <c r="AS65" i="158" s="1"/>
  <c r="AV65" i="158"/>
  <c r="AW65" i="158" s="1"/>
  <c r="AX65" i="158"/>
  <c r="AY65" i="158" s="1"/>
  <c r="BC65" i="158" s="1"/>
  <c r="CA65" i="158"/>
  <c r="Y65" i="158"/>
  <c r="G54" i="79" s="1"/>
  <c r="AQ65" i="158"/>
  <c r="AR65" i="158" s="1"/>
  <c r="E65" i="158"/>
  <c r="E54" i="79" s="1"/>
  <c r="CB65" i="158"/>
  <c r="U77" i="159" l="1"/>
  <c r="V77" i="159" s="1"/>
  <c r="M77" i="163"/>
  <c r="AU78" i="160"/>
  <c r="AV77" i="163"/>
  <c r="AW77" i="163" s="1"/>
  <c r="R77" i="159"/>
  <c r="S77" i="159" s="1"/>
  <c r="BX77" i="159"/>
  <c r="CA77" i="163"/>
  <c r="CR77" i="160"/>
  <c r="AY77" i="163"/>
  <c r="CX77" i="160"/>
  <c r="CP77" i="160"/>
  <c r="CW77" i="160"/>
  <c r="CM77" i="160"/>
  <c r="CS77" i="160"/>
  <c r="CK77" i="160"/>
  <c r="CZ77" i="160"/>
  <c r="CO77" i="160"/>
  <c r="CY77" i="160"/>
  <c r="CN77" i="160"/>
  <c r="CX64" i="158"/>
  <c r="AA53" i="79" s="1"/>
  <c r="CO64" i="158"/>
  <c r="CQ64" i="158"/>
  <c r="CS64" i="158"/>
  <c r="V53" i="79" s="1"/>
  <c r="CL64" i="158"/>
  <c r="O53" i="79" s="1"/>
  <c r="CR64" i="158"/>
  <c r="CW64" i="158"/>
  <c r="Z53" i="79" s="1"/>
  <c r="CZ64" i="158"/>
  <c r="AC53" i="79" s="1"/>
  <c r="CN64" i="158"/>
  <c r="Q53" i="79" s="1"/>
  <c r="CT64" i="158"/>
  <c r="W53" i="79" s="1"/>
  <c r="CM64" i="158"/>
  <c r="P53" i="79" s="1"/>
  <c r="CV64" i="158"/>
  <c r="Y53" i="79" s="1"/>
  <c r="CU64" i="158"/>
  <c r="X53" i="79" s="1"/>
  <c r="CK64" i="158"/>
  <c r="N53" i="79" s="1"/>
  <c r="CY64" i="158"/>
  <c r="AB53" i="79" s="1"/>
  <c r="CP64" i="158"/>
  <c r="CT77" i="160"/>
  <c r="CV77" i="160"/>
  <c r="CQ77" i="160"/>
  <c r="CU77" i="160"/>
  <c r="CL77" i="160"/>
  <c r="L54" i="79"/>
  <c r="T78" i="160"/>
  <c r="U78" i="160" s="1"/>
  <c r="V78" i="160" s="1"/>
  <c r="J78" i="160"/>
  <c r="M78" i="160" s="1"/>
  <c r="F77" i="159"/>
  <c r="G77" i="159" s="1"/>
  <c r="I77" i="159"/>
  <c r="K77" i="159"/>
  <c r="L77" i="159" s="1"/>
  <c r="BY77" i="159"/>
  <c r="BU77" i="159" s="1"/>
  <c r="CI77" i="159" s="1"/>
  <c r="AX78" i="160"/>
  <c r="AV78" i="160"/>
  <c r="AW78" i="160" s="1"/>
  <c r="AL77" i="159"/>
  <c r="AN77" i="159"/>
  <c r="AO77" i="159" s="1"/>
  <c r="BZ77" i="159"/>
  <c r="AQ77" i="163"/>
  <c r="AR77" i="163" s="1"/>
  <c r="AS77" i="163"/>
  <c r="Y78" i="160"/>
  <c r="BS77" i="162"/>
  <c r="CG77" i="162" s="1"/>
  <c r="BT77" i="162"/>
  <c r="CH77" i="162" s="1"/>
  <c r="F77" i="163"/>
  <c r="BY77" i="163"/>
  <c r="H77" i="163"/>
  <c r="I77" i="163" s="1"/>
  <c r="BR77" i="162"/>
  <c r="CF77" i="162" s="1"/>
  <c r="O78" i="160"/>
  <c r="AD78" i="160"/>
  <c r="U77" i="163"/>
  <c r="V77" i="163" s="1"/>
  <c r="W77" i="163"/>
  <c r="Z77" i="163"/>
  <c r="AA77" i="163" s="1"/>
  <c r="AB77" i="163"/>
  <c r="AC77" i="163" s="1"/>
  <c r="AG77" i="163" s="1"/>
  <c r="BW77" i="163"/>
  <c r="AQ77" i="159"/>
  <c r="AR77" i="159" s="1"/>
  <c r="AS77" i="159"/>
  <c r="BF77" i="163"/>
  <c r="BG77" i="163" s="1"/>
  <c r="BH77" i="163"/>
  <c r="BI77" i="163" s="1"/>
  <c r="BM77" i="163" s="1"/>
  <c r="R77" i="163"/>
  <c r="S77" i="163" s="1"/>
  <c r="P77" i="163"/>
  <c r="Q77" i="163" s="1"/>
  <c r="BX77" i="163"/>
  <c r="AV77" i="159"/>
  <c r="AW77" i="159" s="1"/>
  <c r="AX77" i="159"/>
  <c r="AY77" i="159" s="1"/>
  <c r="E78" i="160"/>
  <c r="AZ78" i="160"/>
  <c r="CA78" i="160" s="1"/>
  <c r="AK78" i="160"/>
  <c r="BJ78" i="160"/>
  <c r="CB77" i="163"/>
  <c r="BK77" i="163"/>
  <c r="BL77" i="163" s="1"/>
  <c r="CA77" i="159"/>
  <c r="BA77" i="159"/>
  <c r="BB77" i="159" s="1"/>
  <c r="BC77" i="159"/>
  <c r="AM77" i="162"/>
  <c r="AP78" i="160"/>
  <c r="AL77" i="163"/>
  <c r="BZ77" i="163"/>
  <c r="AN77" i="163"/>
  <c r="AO77" i="163" s="1"/>
  <c r="BK77" i="159"/>
  <c r="BL77" i="159" s="1"/>
  <c r="G77" i="162"/>
  <c r="BE78" i="160"/>
  <c r="BC77" i="163"/>
  <c r="BA77" i="163"/>
  <c r="BB77" i="163" s="1"/>
  <c r="BF77" i="159"/>
  <c r="BG77" i="159" s="1"/>
  <c r="CB77" i="159"/>
  <c r="BH77" i="159"/>
  <c r="BI77" i="159" s="1"/>
  <c r="BM77" i="159" s="1"/>
  <c r="BR65" i="158"/>
  <c r="CF65" i="158" s="1"/>
  <c r="BQ65" i="158"/>
  <c r="CE65" i="158" s="1"/>
  <c r="BP65" i="158"/>
  <c r="CD65" i="158" s="1"/>
  <c r="BX65" i="158"/>
  <c r="P65" i="158"/>
  <c r="Q65" i="158" s="1"/>
  <c r="R65" i="158"/>
  <c r="S65" i="158" s="1"/>
  <c r="W65" i="158" s="1"/>
  <c r="BW65" i="158"/>
  <c r="AB65" i="158"/>
  <c r="AC65" i="158" s="1"/>
  <c r="AG65" i="158" s="1"/>
  <c r="Z65" i="158"/>
  <c r="AA65" i="158" s="1"/>
  <c r="H65" i="158"/>
  <c r="I65" i="158" s="1"/>
  <c r="M65" i="158" s="1"/>
  <c r="F65" i="158"/>
  <c r="BY65" i="158"/>
  <c r="AE65" i="158"/>
  <c r="AF65" i="158" s="1"/>
  <c r="U65" i="158"/>
  <c r="V65" i="158" s="1"/>
  <c r="BT77" i="159" l="1"/>
  <c r="CH77" i="159" s="1"/>
  <c r="BS77" i="159"/>
  <c r="CG77" i="159" s="1"/>
  <c r="CP77" i="162"/>
  <c r="S66" i="79" s="1"/>
  <c r="CZ77" i="162"/>
  <c r="CL77" i="162"/>
  <c r="CN77" i="162"/>
  <c r="CQ77" i="162"/>
  <c r="T66" i="79" s="1"/>
  <c r="CY77" i="162"/>
  <c r="CR77" i="162"/>
  <c r="U66" i="79" s="1"/>
  <c r="CW77" i="162"/>
  <c r="CK77" i="162"/>
  <c r="CX77" i="162"/>
  <c r="CM77" i="162"/>
  <c r="CS77" i="162"/>
  <c r="CO77" i="162"/>
  <c r="R66" i="79" s="1"/>
  <c r="CT77" i="162"/>
  <c r="CV77" i="162"/>
  <c r="CU77" i="162"/>
  <c r="K78" i="160"/>
  <c r="L78" i="160" s="1"/>
  <c r="Y78" i="162"/>
  <c r="AB78" i="162" s="1"/>
  <c r="E78" i="162"/>
  <c r="H78" i="162" s="1"/>
  <c r="AP78" i="162"/>
  <c r="AS78" i="162" s="1"/>
  <c r="AS78" i="160"/>
  <c r="AQ78" i="160"/>
  <c r="AR78" i="160" s="1"/>
  <c r="BU77" i="163"/>
  <c r="CI77" i="163" s="1"/>
  <c r="BT77" i="163"/>
  <c r="CH77" i="163" s="1"/>
  <c r="BS77" i="163"/>
  <c r="CG77" i="163" s="1"/>
  <c r="AZ78" i="162"/>
  <c r="T78" i="162"/>
  <c r="O78" i="162"/>
  <c r="J78" i="162"/>
  <c r="G77" i="163"/>
  <c r="BK78" i="160"/>
  <c r="BL78" i="160" s="1"/>
  <c r="BP77" i="159"/>
  <c r="CD77" i="159" s="1"/>
  <c r="BQ77" i="159"/>
  <c r="CE77" i="159" s="1"/>
  <c r="BR77" i="159"/>
  <c r="CF77" i="159" s="1"/>
  <c r="BH78" i="160"/>
  <c r="BI78" i="160" s="1"/>
  <c r="BM78" i="160" s="1"/>
  <c r="CB78" i="160"/>
  <c r="BP78" i="160" s="1"/>
  <c r="CD78" i="160" s="1"/>
  <c r="BF78" i="160"/>
  <c r="BG78" i="160" s="1"/>
  <c r="BP77" i="163"/>
  <c r="CD77" i="163" s="1"/>
  <c r="BR77" i="163"/>
  <c r="CF77" i="163" s="1"/>
  <c r="BQ77" i="163"/>
  <c r="CE77" i="163" s="1"/>
  <c r="AL78" i="160"/>
  <c r="BZ78" i="160"/>
  <c r="AN78" i="160"/>
  <c r="AO78" i="160" s="1"/>
  <c r="AE78" i="160"/>
  <c r="AF78" i="160" s="1"/>
  <c r="AK78" i="162"/>
  <c r="AM77" i="163"/>
  <c r="BA78" i="160"/>
  <c r="BB78" i="160" s="1"/>
  <c r="R78" i="160"/>
  <c r="S78" i="160" s="1"/>
  <c r="W78" i="160" s="1"/>
  <c r="P78" i="160"/>
  <c r="Q78" i="160" s="1"/>
  <c r="BX78" i="160"/>
  <c r="BE78" i="162"/>
  <c r="AM77" i="159"/>
  <c r="AY78" i="160"/>
  <c r="BC78" i="160" s="1"/>
  <c r="BJ78" i="162"/>
  <c r="BK78" i="162" s="1"/>
  <c r="BL78" i="162" s="1"/>
  <c r="AU78" i="162"/>
  <c r="H78" i="160"/>
  <c r="I78" i="160" s="1"/>
  <c r="BY78" i="160"/>
  <c r="F78" i="160"/>
  <c r="AB78" i="160"/>
  <c r="AC78" i="160" s="1"/>
  <c r="AG78" i="160" s="1"/>
  <c r="Z78" i="160"/>
  <c r="AA78" i="160" s="1"/>
  <c r="BW78" i="160"/>
  <c r="AD78" i="162"/>
  <c r="BS65" i="158"/>
  <c r="CG65" i="158" s="1"/>
  <c r="BT65" i="158"/>
  <c r="CH65" i="158" s="1"/>
  <c r="BU65" i="158"/>
  <c r="CI65" i="158" s="1"/>
  <c r="G65" i="158"/>
  <c r="F78" i="162" l="1"/>
  <c r="G78" i="162" s="1"/>
  <c r="E78" i="159"/>
  <c r="BY78" i="162"/>
  <c r="CU65" i="158"/>
  <c r="X54" i="79" s="1"/>
  <c r="CZ65" i="158"/>
  <c r="AC54" i="79" s="1"/>
  <c r="CS65" i="158"/>
  <c r="V54" i="79" s="1"/>
  <c r="CN65" i="158"/>
  <c r="Q54" i="79" s="1"/>
  <c r="CW65" i="158"/>
  <c r="Z54" i="79" s="1"/>
  <c r="CR77" i="159"/>
  <c r="CQ77" i="159"/>
  <c r="CO77" i="159"/>
  <c r="CN77" i="159"/>
  <c r="CL77" i="159"/>
  <c r="CP77" i="159"/>
  <c r="CM77" i="159"/>
  <c r="CS77" i="159"/>
  <c r="CK77" i="159"/>
  <c r="CT77" i="159"/>
  <c r="CU77" i="159"/>
  <c r="CV77" i="159"/>
  <c r="CW77" i="159"/>
  <c r="CZ77" i="159"/>
  <c r="CX77" i="159"/>
  <c r="CY77" i="159"/>
  <c r="CM65" i="158"/>
  <c r="P54" i="79" s="1"/>
  <c r="CV65" i="158"/>
  <c r="Y54" i="79" s="1"/>
  <c r="CK65" i="158"/>
  <c r="N54" i="79" s="1"/>
  <c r="CT65" i="158"/>
  <c r="W54" i="79" s="1"/>
  <c r="CV77" i="163"/>
  <c r="CQ77" i="163"/>
  <c r="CM77" i="163"/>
  <c r="CN77" i="163"/>
  <c r="CL77" i="163"/>
  <c r="CP77" i="163"/>
  <c r="CK77" i="163"/>
  <c r="CO77" i="163"/>
  <c r="CR77" i="163"/>
  <c r="CS77" i="163"/>
  <c r="CT77" i="163"/>
  <c r="CZ77" i="163"/>
  <c r="CU77" i="163"/>
  <c r="CY77" i="163"/>
  <c r="CW77" i="163"/>
  <c r="CX77" i="163"/>
  <c r="CP65" i="158"/>
  <c r="CQ65" i="158"/>
  <c r="O78" i="159"/>
  <c r="P78" i="159" s="1"/>
  <c r="Q78" i="159" s="1"/>
  <c r="CL65" i="158"/>
  <c r="O54" i="79" s="1"/>
  <c r="CY65" i="158"/>
  <c r="AB54" i="79" s="1"/>
  <c r="CR65" i="158"/>
  <c r="CX65" i="158"/>
  <c r="AA54" i="79" s="1"/>
  <c r="CO65" i="158"/>
  <c r="Y78" i="159"/>
  <c r="Z78" i="159" s="1"/>
  <c r="AA78" i="159" s="1"/>
  <c r="Z78" i="162"/>
  <c r="AA78" i="162" s="1"/>
  <c r="F67" i="79"/>
  <c r="BU78" i="160"/>
  <c r="CI78" i="160" s="1"/>
  <c r="AD78" i="163"/>
  <c r="AE78" i="163" s="1"/>
  <c r="AF78" i="163" s="1"/>
  <c r="AQ78" i="162"/>
  <c r="AR78" i="162" s="1"/>
  <c r="I78" i="162"/>
  <c r="T78" i="159"/>
  <c r="AD78" i="159"/>
  <c r="J78" i="159"/>
  <c r="BY78" i="159" s="1"/>
  <c r="AU78" i="163"/>
  <c r="AX78" i="163" s="1"/>
  <c r="F78" i="159"/>
  <c r="G78" i="159" s="1"/>
  <c r="H78" i="159"/>
  <c r="BE78" i="163"/>
  <c r="AZ78" i="163"/>
  <c r="AP78" i="163"/>
  <c r="BJ78" i="163"/>
  <c r="AK78" i="163"/>
  <c r="BA78" i="162"/>
  <c r="BB78" i="162" s="1"/>
  <c r="G78" i="160"/>
  <c r="J78" i="163"/>
  <c r="BR78" i="160"/>
  <c r="CF78" i="160" s="1"/>
  <c r="BQ78" i="160"/>
  <c r="CE78" i="160" s="1"/>
  <c r="O78" i="163"/>
  <c r="Y78" i="163"/>
  <c r="BT78" i="160"/>
  <c r="CH78" i="160" s="1"/>
  <c r="BS78" i="160"/>
  <c r="CG78" i="160" s="1"/>
  <c r="BF78" i="162"/>
  <c r="BG78" i="162" s="1"/>
  <c r="CB78" i="162"/>
  <c r="BP78" i="162" s="1"/>
  <c r="CD78" i="162" s="1"/>
  <c r="BH78" i="162"/>
  <c r="BI78" i="162" s="1"/>
  <c r="BM78" i="162" s="1"/>
  <c r="AM78" i="160"/>
  <c r="AZ78" i="159"/>
  <c r="AP78" i="159"/>
  <c r="BE78" i="159"/>
  <c r="BJ78" i="159"/>
  <c r="AU78" i="159"/>
  <c r="AK78" i="159"/>
  <c r="M78" i="162"/>
  <c r="K78" i="162"/>
  <c r="L78" i="162" s="1"/>
  <c r="AC78" i="162"/>
  <c r="J67" i="79"/>
  <c r="AG78" i="162"/>
  <c r="AE78" i="162"/>
  <c r="AF78" i="162" s="1"/>
  <c r="E78" i="163"/>
  <c r="T78" i="163"/>
  <c r="P78" i="162"/>
  <c r="Q78" i="162" s="1"/>
  <c r="BX78" i="162"/>
  <c r="BT78" i="162" s="1"/>
  <c r="CH78" i="162" s="1"/>
  <c r="R78" i="162"/>
  <c r="S78" i="162" s="1"/>
  <c r="W78" i="162" s="1"/>
  <c r="BW78" i="162"/>
  <c r="BU78" i="162" s="1"/>
  <c r="CI78" i="162" s="1"/>
  <c r="CA78" i="162"/>
  <c r="AV78" i="162"/>
  <c r="AW78" i="162" s="1"/>
  <c r="AX78" i="162"/>
  <c r="AY78" i="162" s="1"/>
  <c r="BC78" i="162" s="1"/>
  <c r="BZ78" i="162"/>
  <c r="AL78" i="162"/>
  <c r="AN78" i="162"/>
  <c r="AO78" i="162" s="1"/>
  <c r="U78" i="162"/>
  <c r="V78" i="162" s="1"/>
  <c r="AP66" i="158"/>
  <c r="AQ66" i="158" s="1"/>
  <c r="AR66" i="158" s="1"/>
  <c r="AU66" i="158"/>
  <c r="AX66" i="158" s="1"/>
  <c r="BJ66" i="158"/>
  <c r="BK66" i="158" s="1"/>
  <c r="BL66" i="158" s="1"/>
  <c r="BE66" i="158"/>
  <c r="AK66" i="158"/>
  <c r="AL66" i="158" s="1"/>
  <c r="AM66" i="158" s="1"/>
  <c r="AZ66" i="158"/>
  <c r="BX78" i="159" l="1"/>
  <c r="R78" i="159"/>
  <c r="CV78" i="160"/>
  <c r="AB78" i="159"/>
  <c r="AC78" i="159" s="1"/>
  <c r="AG78" i="159" s="1"/>
  <c r="BW78" i="159"/>
  <c r="CY78" i="160"/>
  <c r="CR78" i="160"/>
  <c r="CP78" i="160"/>
  <c r="CQ78" i="160"/>
  <c r="CN78" i="160"/>
  <c r="CU78" i="160"/>
  <c r="CX78" i="160"/>
  <c r="CL78" i="160"/>
  <c r="CW78" i="160"/>
  <c r="CM78" i="160"/>
  <c r="CT78" i="160"/>
  <c r="CO78" i="160"/>
  <c r="CZ78" i="160"/>
  <c r="CK78" i="160"/>
  <c r="CS78" i="160"/>
  <c r="U78" i="159"/>
  <c r="V78" i="159" s="1"/>
  <c r="W78" i="159"/>
  <c r="S78" i="159"/>
  <c r="BE79" i="160"/>
  <c r="BH79" i="160" s="1"/>
  <c r="AE78" i="159"/>
  <c r="AF78" i="159" s="1"/>
  <c r="M78" i="159"/>
  <c r="K78" i="159"/>
  <c r="L78" i="159" s="1"/>
  <c r="T79" i="160"/>
  <c r="U79" i="160" s="1"/>
  <c r="V79" i="160" s="1"/>
  <c r="AV78" i="163"/>
  <c r="AW78" i="163" s="1"/>
  <c r="CB66" i="158"/>
  <c r="CA78" i="163"/>
  <c r="J79" i="160"/>
  <c r="K79" i="160" s="1"/>
  <c r="L79" i="160" s="1"/>
  <c r="I78" i="159"/>
  <c r="BF78" i="163"/>
  <c r="BG78" i="163" s="1"/>
  <c r="CB78" i="163"/>
  <c r="BH78" i="163"/>
  <c r="BI78" i="163" s="1"/>
  <c r="BM78" i="163" s="1"/>
  <c r="AM78" i="162"/>
  <c r="AQ78" i="159"/>
  <c r="AR78" i="159" s="1"/>
  <c r="AS78" i="159"/>
  <c r="AP79" i="160"/>
  <c r="AB78" i="163"/>
  <c r="AC78" i="163" s="1"/>
  <c r="AG78" i="163" s="1"/>
  <c r="BW78" i="163"/>
  <c r="Z78" i="163"/>
  <c r="AA78" i="163" s="1"/>
  <c r="R78" i="163"/>
  <c r="S78" i="163" s="1"/>
  <c r="P78" i="163"/>
  <c r="Q78" i="163" s="1"/>
  <c r="BX78" i="163"/>
  <c r="BR78" i="162"/>
  <c r="CF78" i="162" s="1"/>
  <c r="BQ78" i="162"/>
  <c r="CE78" i="162" s="1"/>
  <c r="BC78" i="159"/>
  <c r="BA78" i="159"/>
  <c r="BB78" i="159" s="1"/>
  <c r="AY78" i="163"/>
  <c r="BY78" i="163"/>
  <c r="M78" i="163"/>
  <c r="K78" i="163"/>
  <c r="L78" i="163" s="1"/>
  <c r="AL78" i="163"/>
  <c r="AN78" i="163"/>
  <c r="AO78" i="163" s="1"/>
  <c r="BK78" i="159"/>
  <c r="BL78" i="159" s="1"/>
  <c r="H78" i="163"/>
  <c r="I78" i="163" s="1"/>
  <c r="F78" i="163"/>
  <c r="BS78" i="162"/>
  <c r="BK78" i="163"/>
  <c r="BL78" i="163" s="1"/>
  <c r="BS78" i="159"/>
  <c r="CG78" i="159" s="1"/>
  <c r="BU78" i="159"/>
  <c r="CI78" i="159" s="1"/>
  <c r="BT78" i="159"/>
  <c r="CH78" i="159" s="1"/>
  <c r="AN78" i="159"/>
  <c r="AO78" i="159" s="1"/>
  <c r="BZ78" i="159"/>
  <c r="AL78" i="159"/>
  <c r="O79" i="160"/>
  <c r="Y79" i="160"/>
  <c r="E79" i="160"/>
  <c r="AD79" i="160"/>
  <c r="BZ78" i="163"/>
  <c r="AS78" i="163"/>
  <c r="AQ78" i="163"/>
  <c r="AR78" i="163" s="1"/>
  <c r="W78" i="163"/>
  <c r="U78" i="163"/>
  <c r="V78" i="163" s="1"/>
  <c r="BJ79" i="160"/>
  <c r="AZ79" i="160"/>
  <c r="CB78" i="159"/>
  <c r="BF78" i="159"/>
  <c r="BG78" i="159" s="1"/>
  <c r="BH78" i="159"/>
  <c r="BI78" i="159" s="1"/>
  <c r="BM78" i="159" s="1"/>
  <c r="AV78" i="159"/>
  <c r="AW78" i="159" s="1"/>
  <c r="AX78" i="159"/>
  <c r="AY78" i="159" s="1"/>
  <c r="CA78" i="159"/>
  <c r="AU79" i="160"/>
  <c r="BC78" i="163"/>
  <c r="BA78" i="163"/>
  <c r="BB78" i="163" s="1"/>
  <c r="AK79" i="160"/>
  <c r="BF66" i="158"/>
  <c r="BG66" i="158" s="1"/>
  <c r="BH66" i="158"/>
  <c r="BI66" i="158" s="1"/>
  <c r="BM66" i="158" s="1"/>
  <c r="BZ66" i="158"/>
  <c r="AN66" i="158"/>
  <c r="AO66" i="158" s="1"/>
  <c r="AS66" i="158" s="1"/>
  <c r="AV66" i="158"/>
  <c r="AW66" i="158" s="1"/>
  <c r="CA66" i="158"/>
  <c r="E66" i="158"/>
  <c r="E55" i="79" s="1"/>
  <c r="O66" i="158"/>
  <c r="H55" i="79" s="1"/>
  <c r="AD66" i="158"/>
  <c r="K55" i="79" s="1"/>
  <c r="Y66" i="158"/>
  <c r="G55" i="79" s="1"/>
  <c r="J66" i="158"/>
  <c r="T66" i="158"/>
  <c r="BA66" i="158"/>
  <c r="BB66" i="158" s="1"/>
  <c r="AY66" i="158"/>
  <c r="BC66" i="158" s="1"/>
  <c r="CB79" i="160" l="1"/>
  <c r="BP79" i="160" s="1"/>
  <c r="CD79" i="160" s="1"/>
  <c r="AD79" i="162"/>
  <c r="AE79" i="162" s="1"/>
  <c r="AF79" i="162" s="1"/>
  <c r="CG78" i="162"/>
  <c r="CR78" i="162" s="1"/>
  <c r="U67" i="79" s="1"/>
  <c r="L55" i="79"/>
  <c r="BF79" i="160"/>
  <c r="BG79" i="160" s="1"/>
  <c r="M79" i="160"/>
  <c r="BU78" i="163"/>
  <c r="CI78" i="163" s="1"/>
  <c r="E79" i="162"/>
  <c r="F79" i="162" s="1"/>
  <c r="G79" i="162" s="1"/>
  <c r="Y79" i="162"/>
  <c r="Z79" i="162" s="1"/>
  <c r="AA79" i="162" s="1"/>
  <c r="AU79" i="162"/>
  <c r="AV79" i="162" s="1"/>
  <c r="AW79" i="162" s="1"/>
  <c r="AG79" i="162"/>
  <c r="BZ79" i="160"/>
  <c r="AL79" i="160"/>
  <c r="AN79" i="160"/>
  <c r="AO79" i="160" s="1"/>
  <c r="H79" i="160"/>
  <c r="I79" i="160" s="1"/>
  <c r="F79" i="160"/>
  <c r="G78" i="163"/>
  <c r="AK79" i="162"/>
  <c r="BJ79" i="162"/>
  <c r="J68" i="79" s="1"/>
  <c r="AP79" i="162"/>
  <c r="AB79" i="160"/>
  <c r="AC79" i="160" s="1"/>
  <c r="AG79" i="160" s="1"/>
  <c r="Z79" i="160"/>
  <c r="AA79" i="160" s="1"/>
  <c r="AS79" i="160"/>
  <c r="AQ79" i="160"/>
  <c r="AR79" i="160" s="1"/>
  <c r="T79" i="162"/>
  <c r="O79" i="162"/>
  <c r="R79" i="160"/>
  <c r="S79" i="160" s="1"/>
  <c r="W79" i="160" s="1"/>
  <c r="P79" i="160"/>
  <c r="Q79" i="160" s="1"/>
  <c r="BX79" i="160"/>
  <c r="AZ79" i="162"/>
  <c r="BY79" i="160"/>
  <c r="CA79" i="160"/>
  <c r="AV79" i="160"/>
  <c r="AW79" i="160" s="1"/>
  <c r="AX79" i="160"/>
  <c r="AY79" i="160" s="1"/>
  <c r="BC79" i="160" s="1"/>
  <c r="K66" i="158"/>
  <c r="L66" i="158" s="1"/>
  <c r="I55" i="79"/>
  <c r="BE79" i="162"/>
  <c r="AM78" i="159"/>
  <c r="T79" i="159" s="1"/>
  <c r="BS78" i="163"/>
  <c r="CG78" i="163" s="1"/>
  <c r="BT78" i="163"/>
  <c r="CH78" i="163" s="1"/>
  <c r="BA79" i="160"/>
  <c r="BB79" i="160" s="1"/>
  <c r="BQ78" i="159"/>
  <c r="CE78" i="159" s="1"/>
  <c r="BP78" i="159"/>
  <c r="CD78" i="159" s="1"/>
  <c r="BR78" i="159"/>
  <c r="CF78" i="159" s="1"/>
  <c r="BW79" i="160"/>
  <c r="AE79" i="160"/>
  <c r="AF79" i="160" s="1"/>
  <c r="AM78" i="163"/>
  <c r="BK79" i="160"/>
  <c r="BL79" i="160" s="1"/>
  <c r="BQ78" i="163"/>
  <c r="CE78" i="163" s="1"/>
  <c r="BP78" i="163"/>
  <c r="CD78" i="163" s="1"/>
  <c r="BR78" i="163"/>
  <c r="CF78" i="163" s="1"/>
  <c r="J79" i="162"/>
  <c r="BI79" i="160"/>
  <c r="BM79" i="160" s="1"/>
  <c r="BP66" i="158"/>
  <c r="CD66" i="158" s="1"/>
  <c r="BQ66" i="158"/>
  <c r="CE66" i="158" s="1"/>
  <c r="BR66" i="158"/>
  <c r="CF66" i="158" s="1"/>
  <c r="AB66" i="158"/>
  <c r="AC66" i="158" s="1"/>
  <c r="AG66" i="158" s="1"/>
  <c r="BW66" i="158"/>
  <c r="Z66" i="158"/>
  <c r="AA66" i="158" s="1"/>
  <c r="AE66" i="158"/>
  <c r="AF66" i="158" s="1"/>
  <c r="U66" i="158"/>
  <c r="V66" i="158" s="1"/>
  <c r="R66" i="158"/>
  <c r="S66" i="158" s="1"/>
  <c r="W66" i="158" s="1"/>
  <c r="P66" i="158"/>
  <c r="Q66" i="158" s="1"/>
  <c r="BX66" i="158"/>
  <c r="H66" i="158"/>
  <c r="I66" i="158" s="1"/>
  <c r="M66" i="158" s="1"/>
  <c r="F66" i="158"/>
  <c r="BY66" i="158"/>
  <c r="BY79" i="162" l="1"/>
  <c r="CL78" i="162"/>
  <c r="H79" i="162"/>
  <c r="CK78" i="162"/>
  <c r="CS78" i="162"/>
  <c r="CX78" i="162"/>
  <c r="CN78" i="162"/>
  <c r="CM78" i="162"/>
  <c r="CU78" i="162"/>
  <c r="CZ78" i="162"/>
  <c r="BU79" i="160"/>
  <c r="CI79" i="160" s="1"/>
  <c r="CT78" i="162"/>
  <c r="CW78" i="162"/>
  <c r="CP78" i="162"/>
  <c r="S67" i="79" s="1"/>
  <c r="CO78" i="162"/>
  <c r="R67" i="79" s="1"/>
  <c r="CO78" i="159"/>
  <c r="CR78" i="159"/>
  <c r="CP78" i="159"/>
  <c r="CM78" i="159"/>
  <c r="CQ78" i="159"/>
  <c r="CL78" i="159"/>
  <c r="CS78" i="159"/>
  <c r="CK78" i="159"/>
  <c r="CN78" i="159"/>
  <c r="CT78" i="159"/>
  <c r="CU78" i="159"/>
  <c r="CW78" i="159"/>
  <c r="CV78" i="159"/>
  <c r="CY78" i="159"/>
  <c r="CX78" i="159"/>
  <c r="CZ78" i="159"/>
  <c r="CN78" i="163"/>
  <c r="CR78" i="163"/>
  <c r="CK78" i="163"/>
  <c r="CP78" i="163"/>
  <c r="CO78" i="163"/>
  <c r="CV78" i="163"/>
  <c r="CL78" i="163"/>
  <c r="CQ78" i="163"/>
  <c r="CM78" i="163"/>
  <c r="CT78" i="163"/>
  <c r="CU78" i="163"/>
  <c r="CZ78" i="163"/>
  <c r="CS78" i="163"/>
  <c r="CY78" i="163"/>
  <c r="CW78" i="163"/>
  <c r="CX78" i="163"/>
  <c r="CY78" i="162"/>
  <c r="CV78" i="162"/>
  <c r="CQ78" i="162"/>
  <c r="T67" i="79" s="1"/>
  <c r="AB79" i="162"/>
  <c r="AC79" i="162" s="1"/>
  <c r="F68" i="79"/>
  <c r="J79" i="163"/>
  <c r="K79" i="163" s="1"/>
  <c r="L79" i="163" s="1"/>
  <c r="Y79" i="159"/>
  <c r="BW79" i="162"/>
  <c r="BU79" i="162" s="1"/>
  <c r="CI79" i="162" s="1"/>
  <c r="AD79" i="159"/>
  <c r="AE79" i="159" s="1"/>
  <c r="AF79" i="159" s="1"/>
  <c r="AD79" i="163"/>
  <c r="AE79" i="163" s="1"/>
  <c r="AF79" i="163" s="1"/>
  <c r="AP79" i="163"/>
  <c r="AQ79" i="163" s="1"/>
  <c r="AR79" i="163" s="1"/>
  <c r="J79" i="159"/>
  <c r="K79" i="159" s="1"/>
  <c r="L79" i="159" s="1"/>
  <c r="BE79" i="163"/>
  <c r="BF79" i="163" s="1"/>
  <c r="BG79" i="163" s="1"/>
  <c r="AX79" i="162"/>
  <c r="AY79" i="162" s="1"/>
  <c r="BC79" i="162" s="1"/>
  <c r="E79" i="159"/>
  <c r="H79" i="159" s="1"/>
  <c r="U79" i="159"/>
  <c r="V79" i="159" s="1"/>
  <c r="W79" i="159"/>
  <c r="E79" i="163"/>
  <c r="T79" i="163"/>
  <c r="BA79" i="162"/>
  <c r="BB79" i="162" s="1"/>
  <c r="AZ79" i="163"/>
  <c r="U79" i="162"/>
  <c r="V79" i="162" s="1"/>
  <c r="AS79" i="162"/>
  <c r="AQ79" i="162"/>
  <c r="AR79" i="162" s="1"/>
  <c r="G79" i="160"/>
  <c r="O79" i="159"/>
  <c r="BK79" i="162"/>
  <c r="BL79" i="162" s="1"/>
  <c r="BX79" i="162"/>
  <c r="BS79" i="162" s="1"/>
  <c r="CG79" i="162" s="1"/>
  <c r="R79" i="162"/>
  <c r="S79" i="162" s="1"/>
  <c r="W79" i="162" s="1"/>
  <c r="P79" i="162"/>
  <c r="Q79" i="162" s="1"/>
  <c r="I79" i="162"/>
  <c r="AL79" i="162"/>
  <c r="BZ79" i="162"/>
  <c r="AN79" i="162"/>
  <c r="AO79" i="162" s="1"/>
  <c r="AM79" i="160"/>
  <c r="CA79" i="162"/>
  <c r="AP79" i="159"/>
  <c r="AK79" i="159"/>
  <c r="AU79" i="159"/>
  <c r="AZ79" i="159"/>
  <c r="BJ79" i="159"/>
  <c r="BK79" i="159" s="1"/>
  <c r="BL79" i="159" s="1"/>
  <c r="BE79" i="159"/>
  <c r="BH79" i="162"/>
  <c r="BI79" i="162" s="1"/>
  <c r="BM79" i="162" s="1"/>
  <c r="BF79" i="162"/>
  <c r="BG79" i="162" s="1"/>
  <c r="CB79" i="162"/>
  <c r="BP79" i="162" s="1"/>
  <c r="CD79" i="162" s="1"/>
  <c r="BJ79" i="163"/>
  <c r="AU79" i="163"/>
  <c r="BQ79" i="160"/>
  <c r="CE79" i="160" s="1"/>
  <c r="BR79" i="160"/>
  <c r="CF79" i="160" s="1"/>
  <c r="BT79" i="160"/>
  <c r="CH79" i="160" s="1"/>
  <c r="BS79" i="160"/>
  <c r="CG79" i="160" s="1"/>
  <c r="Z79" i="159"/>
  <c r="AA79" i="159" s="1"/>
  <c r="AB79" i="159"/>
  <c r="K79" i="162"/>
  <c r="L79" i="162" s="1"/>
  <c r="M79" i="162"/>
  <c r="AK79" i="163"/>
  <c r="O79" i="163"/>
  <c r="Y79" i="163"/>
  <c r="BT66" i="158"/>
  <c r="CH66" i="158" s="1"/>
  <c r="BU66" i="158"/>
  <c r="CI66" i="158" s="1"/>
  <c r="BS66" i="158"/>
  <c r="CG66" i="158" s="1"/>
  <c r="G66" i="158"/>
  <c r="F79" i="159" l="1"/>
  <c r="G79" i="159" s="1"/>
  <c r="BW79" i="159"/>
  <c r="CQ66" i="158"/>
  <c r="M79" i="163"/>
  <c r="CK66" i="158"/>
  <c r="N55" i="79" s="1"/>
  <c r="CP66" i="158"/>
  <c r="CN66" i="158"/>
  <c r="Q55" i="79" s="1"/>
  <c r="CX66" i="158"/>
  <c r="AA55" i="79" s="1"/>
  <c r="CM66" i="158"/>
  <c r="P55" i="79" s="1"/>
  <c r="CU66" i="158"/>
  <c r="X55" i="79" s="1"/>
  <c r="CL66" i="158"/>
  <c r="O55" i="79" s="1"/>
  <c r="CV66" i="158"/>
  <c r="Y55" i="79" s="1"/>
  <c r="CT66" i="158"/>
  <c r="W55" i="79" s="1"/>
  <c r="CZ66" i="158"/>
  <c r="AC55" i="79" s="1"/>
  <c r="CR66" i="158"/>
  <c r="CY66" i="158"/>
  <c r="AB55" i="79" s="1"/>
  <c r="CS66" i="158"/>
  <c r="V55" i="79" s="1"/>
  <c r="CW66" i="158"/>
  <c r="Z55" i="79" s="1"/>
  <c r="CP79" i="160"/>
  <c r="CX79" i="160"/>
  <c r="CK79" i="160"/>
  <c r="CW79" i="160"/>
  <c r="CV79" i="160"/>
  <c r="CN79" i="160"/>
  <c r="CU79" i="160"/>
  <c r="CQ79" i="160"/>
  <c r="CO79" i="160"/>
  <c r="CY79" i="160"/>
  <c r="CR79" i="160"/>
  <c r="CS79" i="160"/>
  <c r="CM79" i="160"/>
  <c r="CZ79" i="160"/>
  <c r="CL79" i="160"/>
  <c r="CT79" i="160"/>
  <c r="CO66" i="158"/>
  <c r="BH79" i="163"/>
  <c r="BI79" i="163" s="1"/>
  <c r="BM79" i="163" s="1"/>
  <c r="AC79" i="159"/>
  <c r="AG79" i="159" s="1"/>
  <c r="I79" i="159"/>
  <c r="AS79" i="163"/>
  <c r="M79" i="159"/>
  <c r="AZ80" i="160"/>
  <c r="BA80" i="160" s="1"/>
  <c r="BB80" i="160" s="1"/>
  <c r="BY79" i="159"/>
  <c r="BJ80" i="160"/>
  <c r="BK80" i="160" s="1"/>
  <c r="BL80" i="160" s="1"/>
  <c r="J80" i="160"/>
  <c r="M80" i="160" s="1"/>
  <c r="BE80" i="160"/>
  <c r="BF80" i="160" s="1"/>
  <c r="BG80" i="160" s="1"/>
  <c r="AK80" i="160"/>
  <c r="AL80" i="160" s="1"/>
  <c r="AM80" i="160" s="1"/>
  <c r="BQ79" i="162"/>
  <c r="CE79" i="162" s="1"/>
  <c r="AP80" i="160"/>
  <c r="AS80" i="160" s="1"/>
  <c r="AN79" i="163"/>
  <c r="AO79" i="163" s="1"/>
  <c r="AL79" i="163"/>
  <c r="BZ79" i="163"/>
  <c r="BC79" i="163"/>
  <c r="BA79" i="163"/>
  <c r="BB79" i="163" s="1"/>
  <c r="H79" i="163"/>
  <c r="I79" i="163" s="1"/>
  <c r="F79" i="163"/>
  <c r="BY79" i="163"/>
  <c r="BK79" i="163"/>
  <c r="BL79" i="163" s="1"/>
  <c r="CA79" i="159"/>
  <c r="AX79" i="159"/>
  <c r="AY79" i="159" s="1"/>
  <c r="AV79" i="159"/>
  <c r="AW79" i="159" s="1"/>
  <c r="BT79" i="162"/>
  <c r="CH79" i="162" s="1"/>
  <c r="AD80" i="160"/>
  <c r="Y80" i="160"/>
  <c r="O80" i="160"/>
  <c r="E80" i="160"/>
  <c r="BA79" i="159"/>
  <c r="BB79" i="159" s="1"/>
  <c r="BC79" i="159"/>
  <c r="AN79" i="159"/>
  <c r="AO79" i="159" s="1"/>
  <c r="BZ79" i="159"/>
  <c r="AL79" i="159"/>
  <c r="P79" i="159"/>
  <c r="Q79" i="159" s="1"/>
  <c r="BX79" i="159"/>
  <c r="R79" i="159"/>
  <c r="S79" i="159" s="1"/>
  <c r="AS79" i="159"/>
  <c r="AQ79" i="159"/>
  <c r="AR79" i="159" s="1"/>
  <c r="AM79" i="162"/>
  <c r="CB79" i="163"/>
  <c r="BH79" i="159"/>
  <c r="BI79" i="159" s="1"/>
  <c r="BM79" i="159" s="1"/>
  <c r="BF79" i="159"/>
  <c r="BG79" i="159" s="1"/>
  <c r="CB79" i="159"/>
  <c r="BR79" i="162"/>
  <c r="AU80" i="160"/>
  <c r="Z79" i="163"/>
  <c r="AA79" i="163" s="1"/>
  <c r="AB79" i="163"/>
  <c r="AC79" i="163" s="1"/>
  <c r="AG79" i="163" s="1"/>
  <c r="BW79" i="163"/>
  <c r="BX79" i="163"/>
  <c r="R79" i="163"/>
  <c r="S79" i="163" s="1"/>
  <c r="P79" i="163"/>
  <c r="Q79" i="163" s="1"/>
  <c r="W79" i="163"/>
  <c r="U79" i="163"/>
  <c r="V79" i="163" s="1"/>
  <c r="AV79" i="163"/>
  <c r="AW79" i="163" s="1"/>
  <c r="CA79" i="163"/>
  <c r="AX79" i="163"/>
  <c r="AY79" i="163" s="1"/>
  <c r="T80" i="160"/>
  <c r="BE67" i="158"/>
  <c r="BF67" i="158" s="1"/>
  <c r="BG67" i="158" s="1"/>
  <c r="AK67" i="158"/>
  <c r="AL67" i="158" s="1"/>
  <c r="AM67" i="158" s="1"/>
  <c r="AZ67" i="158"/>
  <c r="BA67" i="158" s="1"/>
  <c r="BB67" i="158" s="1"/>
  <c r="BJ67" i="158"/>
  <c r="BK67" i="158" s="1"/>
  <c r="BL67" i="158" s="1"/>
  <c r="AU67" i="158"/>
  <c r="AV67" i="158" s="1"/>
  <c r="AW67" i="158" s="1"/>
  <c r="AP67" i="158"/>
  <c r="AQ67" i="158" s="1"/>
  <c r="AR67" i="158" s="1"/>
  <c r="J67" i="158"/>
  <c r="T67" i="158"/>
  <c r="E67" i="158"/>
  <c r="O67" i="158"/>
  <c r="H56" i="79" s="1"/>
  <c r="Y67" i="158"/>
  <c r="AD67" i="158"/>
  <c r="AQ80" i="160" l="1"/>
  <c r="AR80" i="160" s="1"/>
  <c r="BT79" i="159"/>
  <c r="CH79" i="159" s="1"/>
  <c r="BJ80" i="162"/>
  <c r="BK80" i="162" s="1"/>
  <c r="BL80" i="162" s="1"/>
  <c r="CF79" i="162"/>
  <c r="CP79" i="162" s="1"/>
  <c r="S68" i="79" s="1"/>
  <c r="BZ80" i="160"/>
  <c r="AN80" i="160"/>
  <c r="AO80" i="160" s="1"/>
  <c r="G56" i="79"/>
  <c r="O80" i="162"/>
  <c r="P80" i="162" s="1"/>
  <c r="Q80" i="162" s="1"/>
  <c r="K80" i="160"/>
  <c r="L80" i="160" s="1"/>
  <c r="BH80" i="160"/>
  <c r="BI80" i="160" s="1"/>
  <c r="BM80" i="160" s="1"/>
  <c r="E56" i="79"/>
  <c r="CB80" i="160"/>
  <c r="BP80" i="160" s="1"/>
  <c r="CD80" i="160" s="1"/>
  <c r="K56" i="79"/>
  <c r="AD80" i="162"/>
  <c r="J69" i="79" s="1"/>
  <c r="AZ80" i="162"/>
  <c r="BA80" i="162" s="1"/>
  <c r="BB80" i="162" s="1"/>
  <c r="AP80" i="162"/>
  <c r="AS80" i="162" s="1"/>
  <c r="BH67" i="158"/>
  <c r="BI67" i="158" s="1"/>
  <c r="BM67" i="158" s="1"/>
  <c r="U80" i="160"/>
  <c r="V80" i="160" s="1"/>
  <c r="AX80" i="160"/>
  <c r="AY80" i="160" s="1"/>
  <c r="BC80" i="160" s="1"/>
  <c r="AV80" i="160"/>
  <c r="AW80" i="160" s="1"/>
  <c r="CA80" i="160"/>
  <c r="BQ80" i="160" s="1"/>
  <c r="CE80" i="160" s="1"/>
  <c r="AU80" i="162"/>
  <c r="BP79" i="163"/>
  <c r="CD79" i="163" s="1"/>
  <c r="BR79" i="163"/>
  <c r="CF79" i="163" s="1"/>
  <c r="BQ79" i="163"/>
  <c r="CE79" i="163" s="1"/>
  <c r="E80" i="162"/>
  <c r="BU79" i="159"/>
  <c r="CI79" i="159" s="1"/>
  <c r="AM79" i="163"/>
  <c r="AK80" i="162"/>
  <c r="BE80" i="162"/>
  <c r="Y80" i="162"/>
  <c r="BS79" i="159"/>
  <c r="CG79" i="159" s="1"/>
  <c r="BQ79" i="159"/>
  <c r="CE79" i="159" s="1"/>
  <c r="BP79" i="159"/>
  <c r="CD79" i="159" s="1"/>
  <c r="BR79" i="159"/>
  <c r="CF79" i="159" s="1"/>
  <c r="F80" i="160"/>
  <c r="BY80" i="160"/>
  <c r="H80" i="160"/>
  <c r="I80" i="160" s="1"/>
  <c r="BU79" i="163"/>
  <c r="CI79" i="163" s="1"/>
  <c r="BT79" i="163"/>
  <c r="CH79" i="163" s="1"/>
  <c r="BS79" i="163"/>
  <c r="CG79" i="163" s="1"/>
  <c r="AE80" i="160"/>
  <c r="AF80" i="160" s="1"/>
  <c r="I56" i="79"/>
  <c r="J80" i="162"/>
  <c r="T80" i="162"/>
  <c r="BX80" i="160"/>
  <c r="R80" i="160"/>
  <c r="S80" i="160" s="1"/>
  <c r="W80" i="160" s="1"/>
  <c r="P80" i="160"/>
  <c r="Q80" i="160" s="1"/>
  <c r="G79" i="163"/>
  <c r="BR80" i="160"/>
  <c r="CF80" i="160" s="1"/>
  <c r="AM79" i="159"/>
  <c r="AB80" i="160"/>
  <c r="AC80" i="160" s="1"/>
  <c r="AG80" i="160" s="1"/>
  <c r="Z80" i="160"/>
  <c r="AA80" i="160" s="1"/>
  <c r="BW80" i="160"/>
  <c r="AX67" i="158"/>
  <c r="AY67" i="158" s="1"/>
  <c r="BC67" i="158" s="1"/>
  <c r="CA67" i="158"/>
  <c r="CB67" i="158"/>
  <c r="BZ67" i="158"/>
  <c r="AN67" i="158"/>
  <c r="AO67" i="158" s="1"/>
  <c r="AS67" i="158" s="1"/>
  <c r="R67" i="158"/>
  <c r="S67" i="158" s="1"/>
  <c r="W67" i="158" s="1"/>
  <c r="BX67" i="158"/>
  <c r="P67" i="158"/>
  <c r="Q67" i="158" s="1"/>
  <c r="F67" i="158"/>
  <c r="H67" i="158"/>
  <c r="I67" i="158" s="1"/>
  <c r="M67" i="158" s="1"/>
  <c r="BY67" i="158"/>
  <c r="K67" i="158"/>
  <c r="L67" i="158" s="1"/>
  <c r="AE67" i="158"/>
  <c r="AF67" i="158" s="1"/>
  <c r="Z67" i="158"/>
  <c r="AA67" i="158" s="1"/>
  <c r="BW67" i="158"/>
  <c r="AB67" i="158"/>
  <c r="AC67" i="158" s="1"/>
  <c r="AG67" i="158" s="1"/>
  <c r="U67" i="158"/>
  <c r="V67" i="158" s="1"/>
  <c r="CS79" i="162" l="1"/>
  <c r="R80" i="162"/>
  <c r="CN79" i="162"/>
  <c r="CW79" i="162"/>
  <c r="CQ79" i="163"/>
  <c r="CP79" i="163"/>
  <c r="CR79" i="163"/>
  <c r="CN79" i="163"/>
  <c r="CV79" i="163"/>
  <c r="CK79" i="163"/>
  <c r="CM79" i="163"/>
  <c r="CL79" i="163"/>
  <c r="CO79" i="163"/>
  <c r="CS79" i="163"/>
  <c r="CZ79" i="163"/>
  <c r="CU79" i="163"/>
  <c r="CT79" i="163"/>
  <c r="CW79" i="163"/>
  <c r="CY79" i="163"/>
  <c r="CX79" i="163"/>
  <c r="CK79" i="162"/>
  <c r="CV79" i="162"/>
  <c r="CT79" i="162"/>
  <c r="CY79" i="162"/>
  <c r="CQ79" i="162"/>
  <c r="T68" i="79" s="1"/>
  <c r="CO79" i="159"/>
  <c r="CN79" i="159"/>
  <c r="CR79" i="159"/>
  <c r="CL79" i="159"/>
  <c r="CP79" i="159"/>
  <c r="CQ79" i="159"/>
  <c r="CK79" i="159"/>
  <c r="CM79" i="159"/>
  <c r="CS79" i="159"/>
  <c r="CV79" i="159"/>
  <c r="CT79" i="159"/>
  <c r="CU79" i="159"/>
  <c r="CW79" i="159"/>
  <c r="CY79" i="159"/>
  <c r="CZ79" i="159"/>
  <c r="CX79" i="159"/>
  <c r="CZ79" i="162"/>
  <c r="CL79" i="162"/>
  <c r="CM79" i="162"/>
  <c r="CO79" i="162"/>
  <c r="R68" i="79" s="1"/>
  <c r="CU79" i="162"/>
  <c r="CX79" i="162"/>
  <c r="CR79" i="162"/>
  <c r="U68" i="79" s="1"/>
  <c r="L56" i="79"/>
  <c r="AE80" i="162"/>
  <c r="AF80" i="162" s="1"/>
  <c r="AQ80" i="162"/>
  <c r="AR80" i="162" s="1"/>
  <c r="J80" i="163"/>
  <c r="K80" i="163" s="1"/>
  <c r="L80" i="163" s="1"/>
  <c r="AG80" i="162"/>
  <c r="AC80" i="162"/>
  <c r="F69" i="79"/>
  <c r="BE80" i="163"/>
  <c r="BF80" i="163" s="1"/>
  <c r="BG80" i="163" s="1"/>
  <c r="BU80" i="160"/>
  <c r="CI80" i="160" s="1"/>
  <c r="AP80" i="163"/>
  <c r="AQ80" i="163" s="1"/>
  <c r="AR80" i="163" s="1"/>
  <c r="O80" i="159"/>
  <c r="R80" i="159" s="1"/>
  <c r="M80" i="163"/>
  <c r="AD80" i="163"/>
  <c r="Y80" i="163"/>
  <c r="T80" i="163"/>
  <c r="E80" i="163"/>
  <c r="O80" i="163"/>
  <c r="AD80" i="159"/>
  <c r="AZ80" i="163"/>
  <c r="BJ80" i="163"/>
  <c r="AU80" i="163"/>
  <c r="AK80" i="163"/>
  <c r="BT80" i="160"/>
  <c r="CH80" i="160" s="1"/>
  <c r="BS80" i="160"/>
  <c r="CG80" i="160" s="1"/>
  <c r="U80" i="162"/>
  <c r="V80" i="162" s="1"/>
  <c r="AP80" i="159"/>
  <c r="AK80" i="159"/>
  <c r="BE80" i="159"/>
  <c r="BJ80" i="159"/>
  <c r="AU80" i="159"/>
  <c r="AZ80" i="159"/>
  <c r="S80" i="162"/>
  <c r="W80" i="162" s="1"/>
  <c r="G80" i="160"/>
  <c r="AZ81" i="160" s="1"/>
  <c r="AB80" i="162"/>
  <c r="Z80" i="162"/>
  <c r="AA80" i="162" s="1"/>
  <c r="F80" i="162"/>
  <c r="BY80" i="162"/>
  <c r="H80" i="162"/>
  <c r="I80" i="162" s="1"/>
  <c r="M80" i="162"/>
  <c r="K80" i="162"/>
  <c r="L80" i="162" s="1"/>
  <c r="Y80" i="159"/>
  <c r="BX80" i="162"/>
  <c r="BF80" i="162"/>
  <c r="BG80" i="162" s="1"/>
  <c r="BH80" i="162"/>
  <c r="BI80" i="162" s="1"/>
  <c r="BM80" i="162" s="1"/>
  <c r="CB80" i="162"/>
  <c r="BP80" i="162" s="1"/>
  <c r="CD80" i="162" s="1"/>
  <c r="BW80" i="162"/>
  <c r="BU80" i="162" s="1"/>
  <c r="CI80" i="162" s="1"/>
  <c r="J80" i="159"/>
  <c r="E80" i="159"/>
  <c r="BZ80" i="162"/>
  <c r="AN80" i="162"/>
  <c r="AO80" i="162" s="1"/>
  <c r="AL80" i="162"/>
  <c r="AV80" i="162"/>
  <c r="AW80" i="162" s="1"/>
  <c r="CA80" i="162"/>
  <c r="AX80" i="162"/>
  <c r="AY80" i="162" s="1"/>
  <c r="BC80" i="162" s="1"/>
  <c r="T80" i="159"/>
  <c r="BX80" i="159" s="1"/>
  <c r="BP67" i="158"/>
  <c r="CD67" i="158" s="1"/>
  <c r="BQ67" i="158"/>
  <c r="CE67" i="158" s="1"/>
  <c r="BR67" i="158"/>
  <c r="CF67" i="158" s="1"/>
  <c r="BS67" i="158"/>
  <c r="CG67" i="158" s="1"/>
  <c r="BT67" i="158"/>
  <c r="CH67" i="158" s="1"/>
  <c r="BU67" i="158"/>
  <c r="CI67" i="158" s="1"/>
  <c r="G67" i="158"/>
  <c r="CM80" i="160" l="1"/>
  <c r="CW67" i="158"/>
  <c r="Z56" i="79" s="1"/>
  <c r="CX67" i="158"/>
  <c r="AA56" i="79" s="1"/>
  <c r="CS67" i="158"/>
  <c r="V56" i="79" s="1"/>
  <c r="CY67" i="158"/>
  <c r="AB56" i="79" s="1"/>
  <c r="CT67" i="158"/>
  <c r="W56" i="79" s="1"/>
  <c r="CV67" i="158"/>
  <c r="Y56" i="79" s="1"/>
  <c r="CQ67" i="158"/>
  <c r="CZ67" i="158"/>
  <c r="AC56" i="79" s="1"/>
  <c r="CO67" i="158"/>
  <c r="CN67" i="158"/>
  <c r="Q56" i="79" s="1"/>
  <c r="CR67" i="158"/>
  <c r="CU67" i="158"/>
  <c r="X56" i="79" s="1"/>
  <c r="CK67" i="158"/>
  <c r="N56" i="79" s="1"/>
  <c r="CL67" i="158"/>
  <c r="O56" i="79" s="1"/>
  <c r="CP67" i="158"/>
  <c r="CM67" i="158"/>
  <c r="P56" i="79" s="1"/>
  <c r="CS80" i="160"/>
  <c r="CR80" i="160"/>
  <c r="CY80" i="160"/>
  <c r="CQ80" i="160"/>
  <c r="CL80" i="160"/>
  <c r="CP80" i="160"/>
  <c r="CN80" i="160"/>
  <c r="CO80" i="160"/>
  <c r="CW80" i="160"/>
  <c r="CU80" i="160"/>
  <c r="CX80" i="160"/>
  <c r="CK80" i="160"/>
  <c r="CT80" i="160"/>
  <c r="CV80" i="160"/>
  <c r="CZ80" i="160"/>
  <c r="BH80" i="163"/>
  <c r="BI80" i="163" s="1"/>
  <c r="BM80" i="163" s="1"/>
  <c r="CB80" i="163"/>
  <c r="AU68" i="158"/>
  <c r="AX68" i="158" s="1"/>
  <c r="AS80" i="163"/>
  <c r="BT80" i="162"/>
  <c r="CH80" i="162" s="1"/>
  <c r="P80" i="159"/>
  <c r="Q80" i="159" s="1"/>
  <c r="BJ81" i="160"/>
  <c r="BK81" i="160" s="1"/>
  <c r="BL81" i="160" s="1"/>
  <c r="BA81" i="160"/>
  <c r="BB81" i="160" s="1"/>
  <c r="AS80" i="159"/>
  <c r="AQ80" i="159"/>
  <c r="AR80" i="159" s="1"/>
  <c r="K80" i="159"/>
  <c r="L80" i="159" s="1"/>
  <c r="M80" i="159"/>
  <c r="BA80" i="159"/>
  <c r="BB80" i="159" s="1"/>
  <c r="BC80" i="159"/>
  <c r="O81" i="160"/>
  <c r="Y81" i="160"/>
  <c r="E81" i="160"/>
  <c r="T81" i="160"/>
  <c r="J81" i="160"/>
  <c r="AD81" i="160"/>
  <c r="H80" i="163"/>
  <c r="I80" i="163" s="1"/>
  <c r="F80" i="163"/>
  <c r="BY80" i="163"/>
  <c r="AE80" i="159"/>
  <c r="AF80" i="159" s="1"/>
  <c r="S80" i="159"/>
  <c r="AP81" i="160"/>
  <c r="AV80" i="159"/>
  <c r="AW80" i="159" s="1"/>
  <c r="CA80" i="159"/>
  <c r="AX80" i="159"/>
  <c r="AY80" i="159" s="1"/>
  <c r="W80" i="163"/>
  <c r="U80" i="163"/>
  <c r="V80" i="163" s="1"/>
  <c r="AU81" i="160"/>
  <c r="W80" i="159"/>
  <c r="U80" i="159"/>
  <c r="V80" i="159" s="1"/>
  <c r="BY80" i="159"/>
  <c r="H80" i="159"/>
  <c r="I80" i="159" s="1"/>
  <c r="F80" i="159"/>
  <c r="G80" i="159" s="1"/>
  <c r="AK81" i="160"/>
  <c r="BK80" i="159"/>
  <c r="BL80" i="159" s="1"/>
  <c r="BZ80" i="163"/>
  <c r="AN80" i="163"/>
  <c r="AO80" i="163" s="1"/>
  <c r="AL80" i="163"/>
  <c r="BW80" i="163"/>
  <c r="AB80" i="163"/>
  <c r="AC80" i="163" s="1"/>
  <c r="AG80" i="163" s="1"/>
  <c r="Z80" i="163"/>
  <c r="AA80" i="163" s="1"/>
  <c r="BQ80" i="162"/>
  <c r="CE80" i="162" s="1"/>
  <c r="BR80" i="162"/>
  <c r="CF80" i="162" s="1"/>
  <c r="BA80" i="163"/>
  <c r="BB80" i="163" s="1"/>
  <c r="BC80" i="163"/>
  <c r="BX80" i="163"/>
  <c r="R80" i="163"/>
  <c r="S80" i="163" s="1"/>
  <c r="P80" i="163"/>
  <c r="Q80" i="163" s="1"/>
  <c r="BS80" i="162"/>
  <c r="CG80" i="162" s="1"/>
  <c r="BE81" i="160"/>
  <c r="BF80" i="159"/>
  <c r="BG80" i="159" s="1"/>
  <c r="BH80" i="159"/>
  <c r="BI80" i="159" s="1"/>
  <c r="BM80" i="159" s="1"/>
  <c r="CB80" i="159"/>
  <c r="CA80" i="163"/>
  <c r="AX80" i="163"/>
  <c r="AY80" i="163" s="1"/>
  <c r="AV80" i="163"/>
  <c r="AW80" i="163" s="1"/>
  <c r="AE80" i="163"/>
  <c r="AF80" i="163" s="1"/>
  <c r="AB80" i="159"/>
  <c r="AC80" i="159" s="1"/>
  <c r="AG80" i="159" s="1"/>
  <c r="BW80" i="159"/>
  <c r="Z80" i="159"/>
  <c r="AA80" i="159" s="1"/>
  <c r="AM80" i="162"/>
  <c r="G80" i="162"/>
  <c r="AN80" i="159"/>
  <c r="AO80" i="159" s="1"/>
  <c r="BZ80" i="159"/>
  <c r="AL80" i="159"/>
  <c r="BK80" i="163"/>
  <c r="BL80" i="163" s="1"/>
  <c r="AZ68" i="158"/>
  <c r="AP68" i="158"/>
  <c r="AQ68" i="158" s="1"/>
  <c r="AR68" i="158" s="1"/>
  <c r="BE68" i="158"/>
  <c r="BF68" i="158" s="1"/>
  <c r="BG68" i="158" s="1"/>
  <c r="AK68" i="158"/>
  <c r="BJ68" i="158"/>
  <c r="BK68" i="158" s="1"/>
  <c r="BL68" i="158" s="1"/>
  <c r="CR80" i="162" l="1"/>
  <c r="U69" i="79" s="1"/>
  <c r="CY80" i="162"/>
  <c r="CK80" i="162"/>
  <c r="CU80" i="162"/>
  <c r="CN80" i="162"/>
  <c r="CT80" i="162"/>
  <c r="CV80" i="162"/>
  <c r="CS80" i="162"/>
  <c r="CZ80" i="162"/>
  <c r="CL80" i="162"/>
  <c r="CM80" i="162"/>
  <c r="CQ80" i="162"/>
  <c r="T69" i="79" s="1"/>
  <c r="CO80" i="162"/>
  <c r="R69" i="79" s="1"/>
  <c r="CX80" i="162"/>
  <c r="CP80" i="162"/>
  <c r="S69" i="79" s="1"/>
  <c r="CW80" i="162"/>
  <c r="CA68" i="158"/>
  <c r="AV68" i="158"/>
  <c r="AW68" i="158" s="1"/>
  <c r="BZ68" i="158"/>
  <c r="AZ81" i="162"/>
  <c r="BA81" i="162" s="1"/>
  <c r="BB81" i="162" s="1"/>
  <c r="BJ81" i="162"/>
  <c r="BK81" i="162" s="1"/>
  <c r="BL81" i="162" s="1"/>
  <c r="AD81" i="162"/>
  <c r="AQ81" i="160"/>
  <c r="AR81" i="160" s="1"/>
  <c r="AS81" i="160"/>
  <c r="G80" i="163"/>
  <c r="AK81" i="162"/>
  <c r="AU81" i="162"/>
  <c r="BE81" i="162"/>
  <c r="AE81" i="160"/>
  <c r="AF81" i="160" s="1"/>
  <c r="AX81" i="160"/>
  <c r="AY81" i="160" s="1"/>
  <c r="BC81" i="160" s="1"/>
  <c r="AV81" i="160"/>
  <c r="AW81" i="160" s="1"/>
  <c r="CA81" i="160"/>
  <c r="O81" i="162"/>
  <c r="M81" i="160"/>
  <c r="K81" i="160"/>
  <c r="L81" i="160" s="1"/>
  <c r="AM80" i="159"/>
  <c r="BF81" i="160"/>
  <c r="BG81" i="160" s="1"/>
  <c r="BH81" i="160"/>
  <c r="BI81" i="160" s="1"/>
  <c r="BM81" i="160" s="1"/>
  <c r="CB81" i="160"/>
  <c r="BP81" i="160" s="1"/>
  <c r="CD81" i="160" s="1"/>
  <c r="AM80" i="163"/>
  <c r="U81" i="160"/>
  <c r="V81" i="160" s="1"/>
  <c r="T81" i="162"/>
  <c r="Y81" i="162"/>
  <c r="J81" i="162"/>
  <c r="BU80" i="159"/>
  <c r="CI80" i="159" s="1"/>
  <c r="BT80" i="159"/>
  <c r="CH80" i="159" s="1"/>
  <c r="BS80" i="159"/>
  <c r="CG80" i="159" s="1"/>
  <c r="F81" i="160"/>
  <c r="H81" i="160"/>
  <c r="I81" i="160" s="1"/>
  <c r="BY81" i="160"/>
  <c r="AL81" i="160"/>
  <c r="AM81" i="160" s="1"/>
  <c r="AN81" i="160"/>
  <c r="AO81" i="160" s="1"/>
  <c r="BZ81" i="160"/>
  <c r="BQ80" i="159"/>
  <c r="CE80" i="159" s="1"/>
  <c r="BP80" i="159"/>
  <c r="CD80" i="159" s="1"/>
  <c r="BR80" i="159"/>
  <c r="CF80" i="159" s="1"/>
  <c r="BP80" i="163"/>
  <c r="CD80" i="163" s="1"/>
  <c r="BR80" i="163"/>
  <c r="CF80" i="163" s="1"/>
  <c r="BQ80" i="163"/>
  <c r="CE80" i="163" s="1"/>
  <c r="Z81" i="160"/>
  <c r="AA81" i="160" s="1"/>
  <c r="AB81" i="160"/>
  <c r="AC81" i="160" s="1"/>
  <c r="AG81" i="160" s="1"/>
  <c r="BW81" i="160"/>
  <c r="E81" i="162"/>
  <c r="AP81" i="162"/>
  <c r="BS80" i="163"/>
  <c r="CG80" i="163" s="1"/>
  <c r="BU80" i="163"/>
  <c r="CI80" i="163" s="1"/>
  <c r="BT80" i="163"/>
  <c r="CH80" i="163" s="1"/>
  <c r="R81" i="160"/>
  <c r="S81" i="160" s="1"/>
  <c r="W81" i="160" s="1"/>
  <c r="BX81" i="160"/>
  <c r="P81" i="160"/>
  <c r="Q81" i="160" s="1"/>
  <c r="BQ68" i="158"/>
  <c r="CE68" i="158" s="1"/>
  <c r="BA68" i="158"/>
  <c r="BB68" i="158" s="1"/>
  <c r="AY68" i="158"/>
  <c r="BC68" i="158" s="1"/>
  <c r="AN68" i="158"/>
  <c r="AO68" i="158" s="1"/>
  <c r="AS68" i="158" s="1"/>
  <c r="AL68" i="158"/>
  <c r="AM68" i="158" s="1"/>
  <c r="BH68" i="158"/>
  <c r="BI68" i="158" s="1"/>
  <c r="BM68" i="158" s="1"/>
  <c r="CB68" i="158"/>
  <c r="AD68" i="158"/>
  <c r="O68" i="158"/>
  <c r="H57" i="79" s="1"/>
  <c r="Y68" i="158"/>
  <c r="G57" i="79" s="1"/>
  <c r="J68" i="158"/>
  <c r="E68" i="158"/>
  <c r="E57" i="79" s="1"/>
  <c r="T68" i="158"/>
  <c r="BR68" i="158" l="1"/>
  <c r="CF68" i="158" s="1"/>
  <c r="I57" i="79"/>
  <c r="BP68" i="158"/>
  <c r="CD68" i="158" s="1"/>
  <c r="BI81" i="162"/>
  <c r="BM81" i="162" s="1"/>
  <c r="CP80" i="163"/>
  <c r="CK80" i="163"/>
  <c r="CM80" i="163"/>
  <c r="CL80" i="163"/>
  <c r="CV80" i="163"/>
  <c r="CO80" i="163"/>
  <c r="CR80" i="163"/>
  <c r="CQ80" i="163"/>
  <c r="CN80" i="163"/>
  <c r="CS80" i="163"/>
  <c r="CT80" i="163"/>
  <c r="CU80" i="163"/>
  <c r="CZ80" i="163"/>
  <c r="CY80" i="163"/>
  <c r="CX80" i="163"/>
  <c r="CW80" i="163"/>
  <c r="CK80" i="159"/>
  <c r="CP80" i="159"/>
  <c r="CS80" i="159"/>
  <c r="CR80" i="159"/>
  <c r="CM80" i="159"/>
  <c r="CN80" i="159"/>
  <c r="CQ80" i="159"/>
  <c r="CL80" i="159"/>
  <c r="CO80" i="159"/>
  <c r="CU80" i="159"/>
  <c r="CT80" i="159"/>
  <c r="CV80" i="159"/>
  <c r="CW80" i="159"/>
  <c r="CY80" i="159"/>
  <c r="CZ80" i="159"/>
  <c r="CX80" i="159"/>
  <c r="J70" i="79"/>
  <c r="AC81" i="162"/>
  <c r="F70" i="79"/>
  <c r="AE81" i="162"/>
  <c r="AF81" i="162" s="1"/>
  <c r="AD81" i="159"/>
  <c r="AE81" i="159" s="1"/>
  <c r="AF81" i="159" s="1"/>
  <c r="AG81" i="162"/>
  <c r="AZ81" i="163"/>
  <c r="BC81" i="163" s="1"/>
  <c r="AU81" i="159"/>
  <c r="AV81" i="159" s="1"/>
  <c r="AW81" i="159" s="1"/>
  <c r="E81" i="163"/>
  <c r="H81" i="163" s="1"/>
  <c r="T81" i="159"/>
  <c r="U81" i="159" s="1"/>
  <c r="V81" i="159" s="1"/>
  <c r="E81" i="159"/>
  <c r="H81" i="159" s="1"/>
  <c r="BE81" i="159"/>
  <c r="BF81" i="159" s="1"/>
  <c r="BG81" i="159" s="1"/>
  <c r="Y81" i="159"/>
  <c r="BW81" i="159" s="1"/>
  <c r="G81" i="160"/>
  <c r="AS81" i="162"/>
  <c r="AQ81" i="162"/>
  <c r="AR81" i="162" s="1"/>
  <c r="BR81" i="160"/>
  <c r="CF81" i="160" s="1"/>
  <c r="BQ81" i="160"/>
  <c r="CE81" i="160" s="1"/>
  <c r="J81" i="159"/>
  <c r="BJ81" i="163"/>
  <c r="BK81" i="163" s="1"/>
  <c r="BL81" i="163" s="1"/>
  <c r="U81" i="162"/>
  <c r="V81" i="162" s="1"/>
  <c r="AE68" i="158"/>
  <c r="AF68" i="158" s="1"/>
  <c r="K57" i="79"/>
  <c r="BY81" i="162"/>
  <c r="F81" i="162"/>
  <c r="H81" i="162"/>
  <c r="I81" i="162" s="1"/>
  <c r="AP81" i="163"/>
  <c r="Y81" i="163"/>
  <c r="AD81" i="163"/>
  <c r="T81" i="163"/>
  <c r="AX81" i="162"/>
  <c r="AY81" i="162" s="1"/>
  <c r="BC81" i="162" s="1"/>
  <c r="AV81" i="162"/>
  <c r="AW81" i="162" s="1"/>
  <c r="CA81" i="162"/>
  <c r="BZ81" i="162"/>
  <c r="AN81" i="162"/>
  <c r="AO81" i="162" s="1"/>
  <c r="AL81" i="162"/>
  <c r="BU81" i="160"/>
  <c r="CI81" i="160" s="1"/>
  <c r="O81" i="163"/>
  <c r="O81" i="159"/>
  <c r="BE81" i="163"/>
  <c r="K81" i="162"/>
  <c r="L81" i="162" s="1"/>
  <c r="M81" i="162"/>
  <c r="AK81" i="163"/>
  <c r="AU81" i="163"/>
  <c r="BH81" i="162"/>
  <c r="BF81" i="162"/>
  <c r="BG81" i="162" s="1"/>
  <c r="CB81" i="162"/>
  <c r="BP81" i="162" s="1"/>
  <c r="CD81" i="162" s="1"/>
  <c r="BJ81" i="159"/>
  <c r="AZ81" i="159"/>
  <c r="AP81" i="159"/>
  <c r="AK81" i="159"/>
  <c r="BS81" i="160"/>
  <c r="CG81" i="160" s="1"/>
  <c r="BT81" i="160"/>
  <c r="CH81" i="160" s="1"/>
  <c r="BW81" i="162"/>
  <c r="BU81" i="162" s="1"/>
  <c r="CI81" i="162" s="1"/>
  <c r="AB81" i="162"/>
  <c r="Z81" i="162"/>
  <c r="AA81" i="162" s="1"/>
  <c r="J81" i="163"/>
  <c r="BX81" i="162"/>
  <c r="P81" i="162"/>
  <c r="Q81" i="162" s="1"/>
  <c r="R81" i="162"/>
  <c r="S81" i="162" s="1"/>
  <c r="W81" i="162" s="1"/>
  <c r="F68" i="158"/>
  <c r="H68" i="158"/>
  <c r="I68" i="158" s="1"/>
  <c r="M68" i="158" s="1"/>
  <c r="BY68" i="158"/>
  <c r="K68" i="158"/>
  <c r="L68" i="158" s="1"/>
  <c r="U68" i="158"/>
  <c r="V68" i="158" s="1"/>
  <c r="Z68" i="158"/>
  <c r="AA68" i="158" s="1"/>
  <c r="AB68" i="158"/>
  <c r="AC68" i="158" s="1"/>
  <c r="AG68" i="158" s="1"/>
  <c r="BW68" i="158"/>
  <c r="R68" i="158"/>
  <c r="S68" i="158" s="1"/>
  <c r="W68" i="158" s="1"/>
  <c r="P68" i="158"/>
  <c r="Q68" i="158" s="1"/>
  <c r="BX68" i="158"/>
  <c r="CO81" i="160" l="1"/>
  <c r="CQ81" i="160"/>
  <c r="CN81" i="160"/>
  <c r="CX81" i="160"/>
  <c r="CR81" i="160"/>
  <c r="CT81" i="160"/>
  <c r="CP81" i="160"/>
  <c r="CY81" i="160"/>
  <c r="CK81" i="160"/>
  <c r="W81" i="159"/>
  <c r="CZ81" i="160"/>
  <c r="CL81" i="160"/>
  <c r="CS81" i="160"/>
  <c r="CV81" i="160"/>
  <c r="CM81" i="160"/>
  <c r="CU81" i="160"/>
  <c r="CW81" i="160"/>
  <c r="L57" i="79"/>
  <c r="BH81" i="159"/>
  <c r="BI81" i="159" s="1"/>
  <c r="BM81" i="159" s="1"/>
  <c r="AX81" i="159"/>
  <c r="AY81" i="159" s="1"/>
  <c r="AP82" i="160"/>
  <c r="AQ82" i="160" s="1"/>
  <c r="AR82" i="160" s="1"/>
  <c r="Z81" i="159"/>
  <c r="AA81" i="159" s="1"/>
  <c r="F81" i="163"/>
  <c r="G81" i="163" s="1"/>
  <c r="BY81" i="163"/>
  <c r="BA81" i="163"/>
  <c r="BB81" i="163" s="1"/>
  <c r="F81" i="159"/>
  <c r="G81" i="159" s="1"/>
  <c r="BY81" i="159"/>
  <c r="AB81" i="159"/>
  <c r="AC81" i="159" s="1"/>
  <c r="AG81" i="159" s="1"/>
  <c r="AZ82" i="160"/>
  <c r="BA82" i="160" s="1"/>
  <c r="BB82" i="160" s="1"/>
  <c r="T82" i="160"/>
  <c r="U82" i="160" s="1"/>
  <c r="V82" i="160" s="1"/>
  <c r="AK82" i="160"/>
  <c r="AN82" i="160" s="1"/>
  <c r="BJ82" i="160"/>
  <c r="BK82" i="160" s="1"/>
  <c r="BL82" i="160" s="1"/>
  <c r="AU82" i="160"/>
  <c r="AX82" i="160" s="1"/>
  <c r="R81" i="163"/>
  <c r="S81" i="163" s="1"/>
  <c r="BX81" i="163"/>
  <c r="P81" i="163"/>
  <c r="Q81" i="163" s="1"/>
  <c r="I81" i="159"/>
  <c r="AM81" i="162"/>
  <c r="AE81" i="163"/>
  <c r="AF81" i="163" s="1"/>
  <c r="BS81" i="162"/>
  <c r="CG81" i="162" s="1"/>
  <c r="BT81" i="162"/>
  <c r="CH81" i="162" s="1"/>
  <c r="BK81" i="159"/>
  <c r="BL81" i="159" s="1"/>
  <c r="K81" i="159"/>
  <c r="L81" i="159" s="1"/>
  <c r="M81" i="159"/>
  <c r="U81" i="163"/>
  <c r="V81" i="163" s="1"/>
  <c r="W81" i="163"/>
  <c r="G81" i="162"/>
  <c r="Y82" i="160"/>
  <c r="E82" i="160"/>
  <c r="Z81" i="163"/>
  <c r="AA81" i="163" s="1"/>
  <c r="AB81" i="163"/>
  <c r="AC81" i="163" s="1"/>
  <c r="AG81" i="163" s="1"/>
  <c r="BW81" i="163"/>
  <c r="O82" i="160"/>
  <c r="CB81" i="159"/>
  <c r="J82" i="160"/>
  <c r="BQ81" i="162"/>
  <c r="CE81" i="162" s="1"/>
  <c r="BR81" i="162"/>
  <c r="CF81" i="162" s="1"/>
  <c r="AS81" i="163"/>
  <c r="AQ81" i="163"/>
  <c r="AR81" i="163" s="1"/>
  <c r="CA81" i="159"/>
  <c r="BC81" i="159"/>
  <c r="BA81" i="159"/>
  <c r="BB81" i="159" s="1"/>
  <c r="K81" i="163"/>
  <c r="L81" i="163" s="1"/>
  <c r="I81" i="163"/>
  <c r="M81" i="163"/>
  <c r="AN81" i="159"/>
  <c r="AO81" i="159" s="1"/>
  <c r="AL81" i="159"/>
  <c r="BZ81" i="159"/>
  <c r="AV81" i="163"/>
  <c r="AW81" i="163" s="1"/>
  <c r="AX81" i="163"/>
  <c r="AY81" i="163" s="1"/>
  <c r="CA81" i="163"/>
  <c r="BH81" i="163"/>
  <c r="BI81" i="163" s="1"/>
  <c r="BM81" i="163" s="1"/>
  <c r="BF81" i="163"/>
  <c r="BG81" i="163" s="1"/>
  <c r="CB81" i="163"/>
  <c r="AD82" i="160"/>
  <c r="AQ81" i="159"/>
  <c r="AR81" i="159" s="1"/>
  <c r="AS81" i="159"/>
  <c r="AN81" i="163"/>
  <c r="AO81" i="163" s="1"/>
  <c r="AL81" i="163"/>
  <c r="BZ81" i="163"/>
  <c r="R81" i="159"/>
  <c r="S81" i="159" s="1"/>
  <c r="BX81" i="159"/>
  <c r="P81" i="159"/>
  <c r="Q81" i="159" s="1"/>
  <c r="BE82" i="160"/>
  <c r="BS68" i="158"/>
  <c r="CG68" i="158" s="1"/>
  <c r="BT68" i="158"/>
  <c r="CH68" i="158" s="1"/>
  <c r="BU68" i="158"/>
  <c r="CI68" i="158" s="1"/>
  <c r="G68" i="158"/>
  <c r="CK81" i="162" l="1"/>
  <c r="CX81" i="162"/>
  <c r="CL81" i="162"/>
  <c r="CY81" i="162"/>
  <c r="CR81" i="162"/>
  <c r="U70" i="79" s="1"/>
  <c r="AY82" i="160"/>
  <c r="BC82" i="160" s="1"/>
  <c r="CS81" i="162"/>
  <c r="CN81" i="162"/>
  <c r="CQ68" i="158"/>
  <c r="CK68" i="158"/>
  <c r="N57" i="79" s="1"/>
  <c r="CZ68" i="158"/>
  <c r="AC57" i="79" s="1"/>
  <c r="CR68" i="158"/>
  <c r="CV68" i="158"/>
  <c r="Y57" i="79" s="1"/>
  <c r="CL68" i="158"/>
  <c r="O57" i="79" s="1"/>
  <c r="CS68" i="158"/>
  <c r="V57" i="79" s="1"/>
  <c r="CO68" i="158"/>
  <c r="CT68" i="158"/>
  <c r="W57" i="79" s="1"/>
  <c r="CM68" i="158"/>
  <c r="P57" i="79" s="1"/>
  <c r="CW68" i="158"/>
  <c r="Z57" i="79" s="1"/>
  <c r="CP68" i="158"/>
  <c r="CU68" i="158"/>
  <c r="X57" i="79" s="1"/>
  <c r="CY68" i="158"/>
  <c r="AB57" i="79" s="1"/>
  <c r="CX68" i="158"/>
  <c r="AA57" i="79" s="1"/>
  <c r="CN68" i="158"/>
  <c r="Q57" i="79" s="1"/>
  <c r="CU81" i="162"/>
  <c r="CO81" i="162"/>
  <c r="R70" i="79" s="1"/>
  <c r="AO82" i="160"/>
  <c r="CT81" i="162"/>
  <c r="CP81" i="162"/>
  <c r="S70" i="79" s="1"/>
  <c r="AS82" i="160"/>
  <c r="CV81" i="162"/>
  <c r="CZ81" i="162"/>
  <c r="CM81" i="162"/>
  <c r="CQ81" i="162"/>
  <c r="T70" i="79" s="1"/>
  <c r="CW81" i="162"/>
  <c r="BU81" i="159"/>
  <c r="CI81" i="159" s="1"/>
  <c r="BU81" i="163"/>
  <c r="CI81" i="163" s="1"/>
  <c r="BZ82" i="160"/>
  <c r="CA82" i="160"/>
  <c r="BS81" i="163"/>
  <c r="CG81" i="163" s="1"/>
  <c r="BT81" i="163"/>
  <c r="CH81" i="163" s="1"/>
  <c r="AV82" i="160"/>
  <c r="AW82" i="160" s="1"/>
  <c r="AL82" i="160"/>
  <c r="AM82" i="160" s="1"/>
  <c r="AU82" i="162"/>
  <c r="AV82" i="162" s="1"/>
  <c r="AW82" i="162" s="1"/>
  <c r="AD82" i="162"/>
  <c r="AG82" i="162" s="1"/>
  <c r="P82" i="160"/>
  <c r="Q82" i="160" s="1"/>
  <c r="R82" i="160"/>
  <c r="S82" i="160" s="1"/>
  <c r="W82" i="160" s="1"/>
  <c r="BX82" i="160"/>
  <c r="T82" i="162"/>
  <c r="M82" i="160"/>
  <c r="K82" i="160"/>
  <c r="L82" i="160" s="1"/>
  <c r="AK82" i="162"/>
  <c r="BE82" i="162"/>
  <c r="AZ82" i="162"/>
  <c r="AE82" i="160"/>
  <c r="AF82" i="160" s="1"/>
  <c r="BF82" i="160"/>
  <c r="BG82" i="160" s="1"/>
  <c r="BH82" i="160"/>
  <c r="BI82" i="160" s="1"/>
  <c r="BM82" i="160" s="1"/>
  <c r="AP82" i="162"/>
  <c r="AM81" i="163"/>
  <c r="BT81" i="159"/>
  <c r="CH81" i="159" s="1"/>
  <c r="BR81" i="159"/>
  <c r="CF81" i="159" s="1"/>
  <c r="BQ81" i="159"/>
  <c r="CE81" i="159" s="1"/>
  <c r="BP81" i="159"/>
  <c r="CD81" i="159" s="1"/>
  <c r="F82" i="160"/>
  <c r="BY82" i="160"/>
  <c r="H82" i="160"/>
  <c r="I82" i="160" s="1"/>
  <c r="Y82" i="162"/>
  <c r="O82" i="162"/>
  <c r="J82" i="162"/>
  <c r="E82" i="162"/>
  <c r="BS81" i="159"/>
  <c r="CG81" i="159" s="1"/>
  <c r="BR81" i="163"/>
  <c r="CF81" i="163" s="1"/>
  <c r="BP81" i="163"/>
  <c r="CD81" i="163" s="1"/>
  <c r="BQ81" i="163"/>
  <c r="CE81" i="163" s="1"/>
  <c r="CB82" i="160"/>
  <c r="BP82" i="160" s="1"/>
  <c r="CD82" i="160" s="1"/>
  <c r="BJ82" i="162"/>
  <c r="AM81" i="159"/>
  <c r="Z82" i="160"/>
  <c r="AA82" i="160" s="1"/>
  <c r="BW82" i="160"/>
  <c r="AB82" i="160"/>
  <c r="AC82" i="160" s="1"/>
  <c r="AG82" i="160" s="1"/>
  <c r="AK69" i="158"/>
  <c r="AL69" i="158" s="1"/>
  <c r="AM69" i="158" s="1"/>
  <c r="AP69" i="158"/>
  <c r="AQ69" i="158" s="1"/>
  <c r="AR69" i="158" s="1"/>
  <c r="AU69" i="158"/>
  <c r="AV69" i="158" s="1"/>
  <c r="AW69" i="158" s="1"/>
  <c r="BE69" i="158"/>
  <c r="BF69" i="158" s="1"/>
  <c r="BG69" i="158" s="1"/>
  <c r="BJ69" i="158"/>
  <c r="BK69" i="158" s="1"/>
  <c r="BL69" i="158" s="1"/>
  <c r="AZ69" i="158"/>
  <c r="Y69" i="158"/>
  <c r="BR82" i="160" l="1"/>
  <c r="CF82" i="160" s="1"/>
  <c r="F71" i="79"/>
  <c r="BU82" i="160"/>
  <c r="CI82" i="160" s="1"/>
  <c r="BQ82" i="160"/>
  <c r="CE82" i="160" s="1"/>
  <c r="O82" i="163"/>
  <c r="R82" i="163" s="1"/>
  <c r="CN81" i="163"/>
  <c r="CM81" i="163"/>
  <c r="CV81" i="163"/>
  <c r="CQ81" i="163"/>
  <c r="CL81" i="163"/>
  <c r="CO81" i="163"/>
  <c r="CR81" i="163"/>
  <c r="CK81" i="163"/>
  <c r="CP81" i="163"/>
  <c r="CT81" i="163"/>
  <c r="CU81" i="163"/>
  <c r="CZ81" i="163"/>
  <c r="CS81" i="163"/>
  <c r="CW81" i="163"/>
  <c r="CX81" i="163"/>
  <c r="CY81" i="163"/>
  <c r="CO81" i="159"/>
  <c r="CQ81" i="159"/>
  <c r="CM81" i="159"/>
  <c r="CN81" i="159"/>
  <c r="CR81" i="159"/>
  <c r="CS81" i="159"/>
  <c r="CL81" i="159"/>
  <c r="CK81" i="159"/>
  <c r="CP81" i="159"/>
  <c r="CU81" i="159"/>
  <c r="CV81" i="159"/>
  <c r="CW81" i="159"/>
  <c r="CT81" i="159"/>
  <c r="CY81" i="159"/>
  <c r="CZ81" i="159"/>
  <c r="CX81" i="159"/>
  <c r="G58" i="79"/>
  <c r="AP82" i="163"/>
  <c r="AS82" i="163" s="1"/>
  <c r="AK82" i="163"/>
  <c r="AN82" i="163" s="1"/>
  <c r="CA82" i="162"/>
  <c r="AX82" i="162"/>
  <c r="AY82" i="162" s="1"/>
  <c r="BC82" i="162" s="1"/>
  <c r="E82" i="163"/>
  <c r="H82" i="163" s="1"/>
  <c r="O82" i="159"/>
  <c r="P82" i="159" s="1"/>
  <c r="Q82" i="159" s="1"/>
  <c r="AN69" i="158"/>
  <c r="AO69" i="158" s="1"/>
  <c r="AS69" i="158" s="1"/>
  <c r="J71" i="79"/>
  <c r="T82" i="159"/>
  <c r="W82" i="159" s="1"/>
  <c r="AD82" i="163"/>
  <c r="AE82" i="163" s="1"/>
  <c r="AF82" i="163" s="1"/>
  <c r="Y82" i="159"/>
  <c r="Z82" i="159" s="1"/>
  <c r="AA82" i="159" s="1"/>
  <c r="AE82" i="162"/>
  <c r="AF82" i="162" s="1"/>
  <c r="AD82" i="159"/>
  <c r="AE82" i="159" s="1"/>
  <c r="AF82" i="159" s="1"/>
  <c r="AU82" i="159"/>
  <c r="AV82" i="159" s="1"/>
  <c r="AW82" i="159" s="1"/>
  <c r="Y82" i="163"/>
  <c r="Z82" i="163" s="1"/>
  <c r="AA82" i="163" s="1"/>
  <c r="BJ82" i="163"/>
  <c r="BK82" i="163" s="1"/>
  <c r="BL82" i="163" s="1"/>
  <c r="E82" i="159"/>
  <c r="F82" i="159" s="1"/>
  <c r="G82" i="159" s="1"/>
  <c r="T82" i="163"/>
  <c r="BJ82" i="159"/>
  <c r="BK82" i="159" s="1"/>
  <c r="BL82" i="159" s="1"/>
  <c r="J82" i="163"/>
  <c r="M82" i="163" s="1"/>
  <c r="AL82" i="162"/>
  <c r="AN82" i="162"/>
  <c r="AO82" i="162" s="1"/>
  <c r="BZ82" i="162"/>
  <c r="BE82" i="159"/>
  <c r="AQ82" i="163"/>
  <c r="AR82" i="163" s="1"/>
  <c r="BX82" i="162"/>
  <c r="P82" i="162"/>
  <c r="Q82" i="162" s="1"/>
  <c r="R82" i="162"/>
  <c r="S82" i="162" s="1"/>
  <c r="W82" i="162" s="1"/>
  <c r="BF82" i="162"/>
  <c r="BG82" i="162" s="1"/>
  <c r="CB82" i="162"/>
  <c r="BP82" i="162" s="1"/>
  <c r="CD82" i="162" s="1"/>
  <c r="BH82" i="162"/>
  <c r="BI82" i="162" s="1"/>
  <c r="BM82" i="162" s="1"/>
  <c r="Z82" i="162"/>
  <c r="AA82" i="162" s="1"/>
  <c r="AB82" i="162"/>
  <c r="AC82" i="162" s="1"/>
  <c r="BW82" i="162"/>
  <c r="BU82" i="162" s="1"/>
  <c r="CI82" i="162" s="1"/>
  <c r="AU82" i="163"/>
  <c r="AZ82" i="163"/>
  <c r="AZ82" i="159"/>
  <c r="AQ82" i="162"/>
  <c r="AR82" i="162" s="1"/>
  <c r="AS82" i="162"/>
  <c r="K82" i="162"/>
  <c r="L82" i="162" s="1"/>
  <c r="M82" i="162"/>
  <c r="G82" i="160"/>
  <c r="AZ83" i="160" s="1"/>
  <c r="AK82" i="159"/>
  <c r="AP82" i="159"/>
  <c r="J82" i="159"/>
  <c r="U82" i="162"/>
  <c r="V82" i="162" s="1"/>
  <c r="BK82" i="162"/>
  <c r="BL82" i="162" s="1"/>
  <c r="BY82" i="162"/>
  <c r="F82" i="162"/>
  <c r="H82" i="162"/>
  <c r="I82" i="162" s="1"/>
  <c r="BT82" i="160"/>
  <c r="CH82" i="160" s="1"/>
  <c r="BS82" i="160"/>
  <c r="CG82" i="160" s="1"/>
  <c r="BE82" i="163"/>
  <c r="BA82" i="162"/>
  <c r="BB82" i="162" s="1"/>
  <c r="BH69" i="158"/>
  <c r="BI69" i="158" s="1"/>
  <c r="BM69" i="158" s="1"/>
  <c r="AX69" i="158"/>
  <c r="AY69" i="158" s="1"/>
  <c r="BC69" i="158" s="1"/>
  <c r="CB69" i="158"/>
  <c r="BZ69" i="158"/>
  <c r="AD69" i="158"/>
  <c r="O69" i="158"/>
  <c r="H58" i="79" s="1"/>
  <c r="BA69" i="158"/>
  <c r="BB69" i="158" s="1"/>
  <c r="J69" i="158"/>
  <c r="Z69" i="158"/>
  <c r="AA69" i="158" s="1"/>
  <c r="AB69" i="158"/>
  <c r="E69" i="158"/>
  <c r="E58" i="79" s="1"/>
  <c r="CA69" i="158"/>
  <c r="T69" i="158"/>
  <c r="AO82" i="163" l="1"/>
  <c r="BX82" i="163"/>
  <c r="W82" i="163"/>
  <c r="CV82" i="160"/>
  <c r="CX82" i="160"/>
  <c r="CR82" i="160"/>
  <c r="CL82" i="160"/>
  <c r="CM82" i="160"/>
  <c r="S82" i="163"/>
  <c r="AB82" i="159"/>
  <c r="CS82" i="160"/>
  <c r="CK82" i="160"/>
  <c r="AL82" i="163"/>
  <c r="AM82" i="163" s="1"/>
  <c r="BZ82" i="163"/>
  <c r="CZ82" i="160"/>
  <c r="CN82" i="160"/>
  <c r="P82" i="163"/>
  <c r="Q82" i="163" s="1"/>
  <c r="CY82" i="160"/>
  <c r="CQ82" i="160"/>
  <c r="CT82" i="160"/>
  <c r="CP82" i="160"/>
  <c r="U82" i="163"/>
  <c r="V82" i="163" s="1"/>
  <c r="CU82" i="160"/>
  <c r="CO82" i="160"/>
  <c r="CW82" i="160"/>
  <c r="R82" i="159"/>
  <c r="S82" i="159" s="1"/>
  <c r="BJ83" i="160"/>
  <c r="BW82" i="163"/>
  <c r="AB82" i="163"/>
  <c r="AC82" i="163" s="1"/>
  <c r="AG82" i="163" s="1"/>
  <c r="H82" i="159"/>
  <c r="I82" i="159" s="1"/>
  <c r="AX82" i="159"/>
  <c r="AY82" i="159" s="1"/>
  <c r="BX82" i="159"/>
  <c r="U82" i="159"/>
  <c r="V82" i="159" s="1"/>
  <c r="BY82" i="159"/>
  <c r="F82" i="163"/>
  <c r="G82" i="163" s="1"/>
  <c r="BY82" i="163"/>
  <c r="BU82" i="163" s="1"/>
  <c r="CI82" i="163" s="1"/>
  <c r="AP83" i="160"/>
  <c r="AQ83" i="160" s="1"/>
  <c r="AR83" i="160" s="1"/>
  <c r="BE83" i="160"/>
  <c r="AU83" i="160"/>
  <c r="AX83" i="160" s="1"/>
  <c r="AY83" i="160" s="1"/>
  <c r="BC83" i="160" s="1"/>
  <c r="K82" i="163"/>
  <c r="L82" i="163" s="1"/>
  <c r="BW82" i="159"/>
  <c r="AC82" i="159"/>
  <c r="AG82" i="159" s="1"/>
  <c r="I82" i="163"/>
  <c r="Y83" i="160"/>
  <c r="E83" i="160"/>
  <c r="J83" i="160"/>
  <c r="AD83" i="160"/>
  <c r="AE83" i="160" s="1"/>
  <c r="AF83" i="160" s="1"/>
  <c r="O83" i="160"/>
  <c r="T83" i="160"/>
  <c r="AL82" i="159"/>
  <c r="BZ82" i="159"/>
  <c r="AN82" i="159"/>
  <c r="AO82" i="159" s="1"/>
  <c r="AK83" i="160"/>
  <c r="BK83" i="160"/>
  <c r="BL83" i="160" s="1"/>
  <c r="CA82" i="159"/>
  <c r="BC82" i="159"/>
  <c r="BA82" i="159"/>
  <c r="BB82" i="159" s="1"/>
  <c r="AM82" i="162"/>
  <c r="BA83" i="160"/>
  <c r="BB83" i="160" s="1"/>
  <c r="BA82" i="163"/>
  <c r="BB82" i="163" s="1"/>
  <c r="BC82" i="163"/>
  <c r="BH82" i="159"/>
  <c r="BI82" i="159" s="1"/>
  <c r="BM82" i="159" s="1"/>
  <c r="CB82" i="159"/>
  <c r="BF82" i="159"/>
  <c r="BG82" i="159" s="1"/>
  <c r="AX82" i="163"/>
  <c r="AY82" i="163" s="1"/>
  <c r="AV82" i="163"/>
  <c r="AW82" i="163" s="1"/>
  <c r="CA82" i="163"/>
  <c r="BW69" i="158"/>
  <c r="K58" i="79"/>
  <c r="I58" i="79"/>
  <c r="G82" i="162"/>
  <c r="BR82" i="162"/>
  <c r="CF82" i="162" s="1"/>
  <c r="BQ82" i="162"/>
  <c r="CE82" i="162" s="1"/>
  <c r="AQ82" i="159"/>
  <c r="AR82" i="159" s="1"/>
  <c r="AS82" i="159"/>
  <c r="CB82" i="163"/>
  <c r="BH82" i="163"/>
  <c r="BI82" i="163" s="1"/>
  <c r="BM82" i="163" s="1"/>
  <c r="BF82" i="163"/>
  <c r="BG82" i="163" s="1"/>
  <c r="BS82" i="162"/>
  <c r="CG82" i="162" s="1"/>
  <c r="BT82" i="162"/>
  <c r="CH82" i="162" s="1"/>
  <c r="K82" i="159"/>
  <c r="M82" i="159"/>
  <c r="BR69" i="158"/>
  <c r="CF69" i="158" s="1"/>
  <c r="BQ69" i="158"/>
  <c r="CE69" i="158" s="1"/>
  <c r="BP69" i="158"/>
  <c r="CD69" i="158" s="1"/>
  <c r="AC69" i="158"/>
  <c r="AG69" i="158" s="1"/>
  <c r="U69" i="158"/>
  <c r="V69" i="158" s="1"/>
  <c r="K69" i="158"/>
  <c r="L69" i="158" s="1"/>
  <c r="F69" i="158"/>
  <c r="BY69" i="158"/>
  <c r="H69" i="158"/>
  <c r="I69" i="158" s="1"/>
  <c r="M69" i="158" s="1"/>
  <c r="BX69" i="158"/>
  <c r="R69" i="158"/>
  <c r="S69" i="158" s="1"/>
  <c r="W69" i="158" s="1"/>
  <c r="P69" i="158"/>
  <c r="Q69" i="158" s="1"/>
  <c r="AE69" i="158"/>
  <c r="AF69" i="158" s="1"/>
  <c r="CQ82" i="162" l="1"/>
  <c r="BS82" i="163"/>
  <c r="CG82" i="163" s="1"/>
  <c r="BR82" i="163"/>
  <c r="CF82" i="163" s="1"/>
  <c r="CL82" i="162"/>
  <c r="CR82" i="162"/>
  <c r="U71" i="79" s="1"/>
  <c r="T71" i="79"/>
  <c r="AS83" i="160"/>
  <c r="CX82" i="162"/>
  <c r="CO82" i="162"/>
  <c r="R71" i="79" s="1"/>
  <c r="CY82" i="162"/>
  <c r="CP82" i="162"/>
  <c r="CW82" i="162"/>
  <c r="CK82" i="162"/>
  <c r="BT82" i="163"/>
  <c r="CH82" i="163" s="1"/>
  <c r="CS82" i="162"/>
  <c r="CV82" i="162"/>
  <c r="CT82" i="162"/>
  <c r="CM82" i="162"/>
  <c r="S71" i="79"/>
  <c r="CU82" i="162"/>
  <c r="CZ82" i="162"/>
  <c r="CB83" i="160"/>
  <c r="BP83" i="160" s="1"/>
  <c r="CD83" i="160" s="1"/>
  <c r="CN82" i="162"/>
  <c r="L58" i="79"/>
  <c r="BH83" i="160"/>
  <c r="BI83" i="160" s="1"/>
  <c r="BM83" i="160" s="1"/>
  <c r="BS82" i="159"/>
  <c r="CG82" i="159" s="1"/>
  <c r="BF83" i="160"/>
  <c r="BG83" i="160" s="1"/>
  <c r="BT82" i="159"/>
  <c r="CH82" i="159" s="1"/>
  <c r="BU82" i="159"/>
  <c r="CI82" i="159" s="1"/>
  <c r="AV83" i="160"/>
  <c r="AW83" i="160" s="1"/>
  <c r="CA83" i="160"/>
  <c r="BQ82" i="163"/>
  <c r="Y83" i="162"/>
  <c r="Z83" i="162" s="1"/>
  <c r="AA83" i="162" s="1"/>
  <c r="O83" i="162"/>
  <c r="P83" i="162" s="1"/>
  <c r="Q83" i="162" s="1"/>
  <c r="AD83" i="162"/>
  <c r="AE83" i="162" s="1"/>
  <c r="AF83" i="162" s="1"/>
  <c r="BP82" i="163"/>
  <c r="CD82" i="163" s="1"/>
  <c r="E83" i="162"/>
  <c r="H83" i="160"/>
  <c r="I83" i="160" s="1"/>
  <c r="BY83" i="160"/>
  <c r="F83" i="160"/>
  <c r="Z83" i="160"/>
  <c r="AA83" i="160" s="1"/>
  <c r="AB83" i="160"/>
  <c r="AC83" i="160" s="1"/>
  <c r="AG83" i="160" s="1"/>
  <c r="BW83" i="160"/>
  <c r="M83" i="160"/>
  <c r="K83" i="160"/>
  <c r="L83" i="160" s="1"/>
  <c r="J83" i="162"/>
  <c r="T83" i="162"/>
  <c r="U83" i="162" s="1"/>
  <c r="V83" i="162" s="1"/>
  <c r="BQ82" i="159"/>
  <c r="CE82" i="159" s="1"/>
  <c r="BR82" i="159"/>
  <c r="CF82" i="159" s="1"/>
  <c r="BP82" i="159"/>
  <c r="CD82" i="159" s="1"/>
  <c r="L82" i="159"/>
  <c r="AM82" i="159"/>
  <c r="AZ83" i="162"/>
  <c r="AP83" i="162"/>
  <c r="BE83" i="162"/>
  <c r="AL83" i="160"/>
  <c r="AM83" i="160" s="1"/>
  <c r="AN83" i="160"/>
  <c r="AO83" i="160" s="1"/>
  <c r="BZ83" i="160"/>
  <c r="BJ83" i="162"/>
  <c r="U83" i="160"/>
  <c r="V83" i="160" s="1"/>
  <c r="AU83" i="162"/>
  <c r="R83" i="160"/>
  <c r="S83" i="160" s="1"/>
  <c r="W83" i="160" s="1"/>
  <c r="P83" i="160"/>
  <c r="Q83" i="160" s="1"/>
  <c r="BX83" i="160"/>
  <c r="AK83" i="162"/>
  <c r="BS69" i="158"/>
  <c r="CG69" i="158" s="1"/>
  <c r="BT69" i="158"/>
  <c r="CH69" i="158" s="1"/>
  <c r="BU69" i="158"/>
  <c r="CI69" i="158" s="1"/>
  <c r="G69" i="158"/>
  <c r="E83" i="163" l="1"/>
  <c r="O83" i="163"/>
  <c r="Y83" i="163"/>
  <c r="J83" i="163"/>
  <c r="AD83" i="163"/>
  <c r="AE83" i="163" s="1"/>
  <c r="AF83" i="163" s="1"/>
  <c r="CT69" i="158"/>
  <c r="W58" i="79" s="1"/>
  <c r="J83" i="159"/>
  <c r="M83" i="159" s="1"/>
  <c r="T83" i="163"/>
  <c r="W83" i="163" s="1"/>
  <c r="CW69" i="158"/>
  <c r="Z58" i="79" s="1"/>
  <c r="CV69" i="158"/>
  <c r="Y58" i="79" s="1"/>
  <c r="CK69" i="158"/>
  <c r="N58" i="79" s="1"/>
  <c r="CU69" i="158"/>
  <c r="X58" i="79" s="1"/>
  <c r="CP69" i="158"/>
  <c r="CZ69" i="158"/>
  <c r="AC58" i="79" s="1"/>
  <c r="CL69" i="158"/>
  <c r="O58" i="79" s="1"/>
  <c r="CS69" i="158"/>
  <c r="V58" i="79" s="1"/>
  <c r="CO69" i="158"/>
  <c r="CY69" i="158"/>
  <c r="AB58" i="79" s="1"/>
  <c r="BE83" i="163"/>
  <c r="CE82" i="163"/>
  <c r="CV82" i="163" s="1"/>
  <c r="CN69" i="158"/>
  <c r="Q58" i="79" s="1"/>
  <c r="CX69" i="158"/>
  <c r="AA58" i="79" s="1"/>
  <c r="CM69" i="158"/>
  <c r="P58" i="79" s="1"/>
  <c r="CQ69" i="158"/>
  <c r="CK82" i="159"/>
  <c r="CP82" i="159"/>
  <c r="CQ82" i="159"/>
  <c r="CO82" i="159"/>
  <c r="CL82" i="159"/>
  <c r="CM82" i="159"/>
  <c r="CN82" i="159"/>
  <c r="CS82" i="159"/>
  <c r="CR82" i="159"/>
  <c r="CU82" i="159"/>
  <c r="CV82" i="159"/>
  <c r="CW82" i="159"/>
  <c r="CT82" i="159"/>
  <c r="CY82" i="159"/>
  <c r="CX82" i="159"/>
  <c r="CZ82" i="159"/>
  <c r="CR69" i="158"/>
  <c r="AU83" i="163"/>
  <c r="AX83" i="163" s="1"/>
  <c r="BJ83" i="163"/>
  <c r="BK83" i="163" s="1"/>
  <c r="BL83" i="163" s="1"/>
  <c r="AD83" i="159"/>
  <c r="AE83" i="159" s="1"/>
  <c r="AF83" i="159" s="1"/>
  <c r="AP83" i="163"/>
  <c r="AQ83" i="163" s="1"/>
  <c r="AR83" i="163" s="1"/>
  <c r="J72" i="79"/>
  <c r="AK83" i="163"/>
  <c r="AL83" i="163" s="1"/>
  <c r="AM83" i="163" s="1"/>
  <c r="R83" i="162"/>
  <c r="S83" i="162" s="1"/>
  <c r="W83" i="162" s="1"/>
  <c r="AZ83" i="163"/>
  <c r="BA83" i="163" s="1"/>
  <c r="BB83" i="163" s="1"/>
  <c r="AB83" i="162"/>
  <c r="AC83" i="162" s="1"/>
  <c r="BW83" i="162"/>
  <c r="BU83" i="162" s="1"/>
  <c r="CI83" i="162" s="1"/>
  <c r="F72" i="79"/>
  <c r="AG83" i="162"/>
  <c r="AK83" i="159"/>
  <c r="AL83" i="159" s="1"/>
  <c r="AM83" i="159" s="1"/>
  <c r="BU83" i="160"/>
  <c r="CI83" i="160" s="1"/>
  <c r="AP83" i="159"/>
  <c r="R83" i="163"/>
  <c r="P83" i="163"/>
  <c r="Q83" i="163" s="1"/>
  <c r="F83" i="163"/>
  <c r="G83" i="163" s="1"/>
  <c r="BY83" i="163"/>
  <c r="H83" i="163"/>
  <c r="I83" i="163" s="1"/>
  <c r="K83" i="162"/>
  <c r="L83" i="162" s="1"/>
  <c r="M83" i="162"/>
  <c r="M83" i="163"/>
  <c r="K83" i="163"/>
  <c r="L83" i="163" s="1"/>
  <c r="AL83" i="162"/>
  <c r="AN83" i="162"/>
  <c r="AO83" i="162" s="1"/>
  <c r="BZ83" i="162"/>
  <c r="AS83" i="162"/>
  <c r="AQ83" i="162"/>
  <c r="AR83" i="162" s="1"/>
  <c r="Z83" i="163"/>
  <c r="AA83" i="163" s="1"/>
  <c r="AB83" i="163"/>
  <c r="E83" i="159"/>
  <c r="AU83" i="159"/>
  <c r="CB83" i="162"/>
  <c r="BP83" i="162" s="1"/>
  <c r="CD83" i="162" s="1"/>
  <c r="BF83" i="162"/>
  <c r="BG83" i="162" s="1"/>
  <c r="BH83" i="162"/>
  <c r="BI83" i="162" s="1"/>
  <c r="BM83" i="162" s="1"/>
  <c r="BA83" i="162"/>
  <c r="BB83" i="162" s="1"/>
  <c r="Y83" i="159"/>
  <c r="BJ83" i="159"/>
  <c r="BK83" i="159" s="1"/>
  <c r="BL83" i="159" s="1"/>
  <c r="G83" i="160"/>
  <c r="BY83" i="162"/>
  <c r="H83" i="162"/>
  <c r="I83" i="162" s="1"/>
  <c r="F83" i="162"/>
  <c r="G83" i="162" s="1"/>
  <c r="BE83" i="159"/>
  <c r="AZ83" i="159"/>
  <c r="AV83" i="162"/>
  <c r="AW83" i="162" s="1"/>
  <c r="CA83" i="162"/>
  <c r="AX83" i="162"/>
  <c r="AY83" i="162" s="1"/>
  <c r="BC83" i="162" s="1"/>
  <c r="BR83" i="160"/>
  <c r="CF83" i="160" s="1"/>
  <c r="BQ83" i="160"/>
  <c r="CE83" i="160" s="1"/>
  <c r="T83" i="159"/>
  <c r="BT83" i="160"/>
  <c r="CH83" i="160" s="1"/>
  <c r="BS83" i="160"/>
  <c r="CG83" i="160" s="1"/>
  <c r="BK83" i="162"/>
  <c r="BL83" i="162" s="1"/>
  <c r="O83" i="159"/>
  <c r="BX83" i="162"/>
  <c r="BJ70" i="158"/>
  <c r="BK70" i="158" s="1"/>
  <c r="BL70" i="158" s="1"/>
  <c r="AP70" i="158"/>
  <c r="AZ70" i="158"/>
  <c r="BA70" i="158" s="1"/>
  <c r="BB70" i="158" s="1"/>
  <c r="BE70" i="158"/>
  <c r="BF70" i="158" s="1"/>
  <c r="BG70" i="158" s="1"/>
  <c r="AU70" i="158"/>
  <c r="AK70" i="158"/>
  <c r="AN70" i="158" s="1"/>
  <c r="Y70" i="158"/>
  <c r="T70" i="158"/>
  <c r="E70" i="158"/>
  <c r="O70" i="158"/>
  <c r="H59" i="79" s="1"/>
  <c r="AD70" i="158"/>
  <c r="J70" i="158"/>
  <c r="BX83" i="163" l="1"/>
  <c r="U83" i="163"/>
  <c r="V83" i="163" s="1"/>
  <c r="K83" i="159"/>
  <c r="L83" i="159" s="1"/>
  <c r="BW83" i="163"/>
  <c r="S83" i="163"/>
  <c r="AS83" i="163"/>
  <c r="AN83" i="159"/>
  <c r="AO83" i="159" s="1"/>
  <c r="CB83" i="163"/>
  <c r="AC83" i="163"/>
  <c r="AG83" i="163" s="1"/>
  <c r="BH83" i="163"/>
  <c r="BI83" i="163" s="1"/>
  <c r="BM83" i="163" s="1"/>
  <c r="BF83" i="163"/>
  <c r="BG83" i="163" s="1"/>
  <c r="CK83" i="160"/>
  <c r="BZ83" i="159"/>
  <c r="CV83" i="160"/>
  <c r="CW83" i="160"/>
  <c r="CO83" i="160"/>
  <c r="CX82" i="163"/>
  <c r="CM82" i="163"/>
  <c r="CM83" i="160"/>
  <c r="CX83" i="160"/>
  <c r="CP83" i="160"/>
  <c r="CY82" i="163"/>
  <c r="CO82" i="163"/>
  <c r="CT83" i="160"/>
  <c r="CN83" i="160"/>
  <c r="CW82" i="163"/>
  <c r="CK82" i="163"/>
  <c r="CU82" i="163"/>
  <c r="CS83" i="160"/>
  <c r="CL83" i="160"/>
  <c r="CT82" i="163"/>
  <c r="CN82" i="163"/>
  <c r="CP82" i="163"/>
  <c r="AV83" i="163"/>
  <c r="AW83" i="163" s="1"/>
  <c r="CY83" i="160"/>
  <c r="CQ83" i="160"/>
  <c r="CZ82" i="163"/>
  <c r="CL82" i="163"/>
  <c r="CZ83" i="160"/>
  <c r="CU83" i="160"/>
  <c r="CS82" i="163"/>
  <c r="CQ82" i="163"/>
  <c r="CR83" i="160"/>
  <c r="CR82" i="163"/>
  <c r="E59" i="79"/>
  <c r="T84" i="160"/>
  <c r="U84" i="160" s="1"/>
  <c r="V84" i="160" s="1"/>
  <c r="AY83" i="163"/>
  <c r="AN83" i="163"/>
  <c r="AO83" i="163" s="1"/>
  <c r="BZ83" i="163"/>
  <c r="BR83" i="163" s="1"/>
  <c r="CF83" i="163" s="1"/>
  <c r="BC83" i="163"/>
  <c r="CA83" i="163"/>
  <c r="K59" i="79"/>
  <c r="CA70" i="158"/>
  <c r="I59" i="79"/>
  <c r="AS83" i="159"/>
  <c r="G59" i="79"/>
  <c r="AO70" i="158"/>
  <c r="AS70" i="158" s="1"/>
  <c r="AQ83" i="159"/>
  <c r="AR83" i="159" s="1"/>
  <c r="AD84" i="160"/>
  <c r="AE84" i="160" s="1"/>
  <c r="AF84" i="160" s="1"/>
  <c r="J84" i="160"/>
  <c r="M84" i="160" s="1"/>
  <c r="O84" i="160"/>
  <c r="R84" i="160" s="1"/>
  <c r="AK84" i="160"/>
  <c r="BS83" i="163"/>
  <c r="CG83" i="163" s="1"/>
  <c r="BT83" i="163"/>
  <c r="CH83" i="163" s="1"/>
  <c r="BU83" i="163"/>
  <c r="CI83" i="163" s="1"/>
  <c r="AB83" i="159"/>
  <c r="AC83" i="159" s="1"/>
  <c r="AG83" i="159" s="1"/>
  <c r="Z83" i="159"/>
  <c r="AA83" i="159" s="1"/>
  <c r="BW83" i="159"/>
  <c r="BR83" i="162"/>
  <c r="CF83" i="162" s="1"/>
  <c r="BQ83" i="162"/>
  <c r="BY83" i="159"/>
  <c r="F83" i="159"/>
  <c r="H83" i="159"/>
  <c r="I83" i="159" s="1"/>
  <c r="AU84" i="160"/>
  <c r="Y84" i="160"/>
  <c r="AX83" i="159"/>
  <c r="AY83" i="159" s="1"/>
  <c r="AV83" i="159"/>
  <c r="AW83" i="159" s="1"/>
  <c r="CA83" i="159"/>
  <c r="BA83" i="159"/>
  <c r="BB83" i="159" s="1"/>
  <c r="BC83" i="159"/>
  <c r="AZ84" i="160"/>
  <c r="E84" i="160"/>
  <c r="AM83" i="162"/>
  <c r="BE84" i="160"/>
  <c r="W83" i="159"/>
  <c r="U83" i="159"/>
  <c r="V83" i="159" s="1"/>
  <c r="BH83" i="159"/>
  <c r="BI83" i="159" s="1"/>
  <c r="BM83" i="159" s="1"/>
  <c r="BF83" i="159"/>
  <c r="BG83" i="159" s="1"/>
  <c r="CB83" i="159"/>
  <c r="BT83" i="162"/>
  <c r="CH83" i="162" s="1"/>
  <c r="BS83" i="162"/>
  <c r="CG83" i="162" s="1"/>
  <c r="AP84" i="160"/>
  <c r="BX83" i="159"/>
  <c r="P83" i="159"/>
  <c r="Q83" i="159" s="1"/>
  <c r="R83" i="159"/>
  <c r="S83" i="159" s="1"/>
  <c r="BJ84" i="160"/>
  <c r="BH70" i="158"/>
  <c r="BI70" i="158" s="1"/>
  <c r="BM70" i="158" s="1"/>
  <c r="CB70" i="158"/>
  <c r="AX70" i="158"/>
  <c r="AY70" i="158" s="1"/>
  <c r="BC70" i="158" s="1"/>
  <c r="AL70" i="158"/>
  <c r="AM70" i="158" s="1"/>
  <c r="BZ70" i="158"/>
  <c r="AQ70" i="158"/>
  <c r="AR70" i="158" s="1"/>
  <c r="AV70" i="158"/>
  <c r="AW70" i="158" s="1"/>
  <c r="K70" i="158"/>
  <c r="L70" i="158" s="1"/>
  <c r="AE70" i="158"/>
  <c r="AF70" i="158" s="1"/>
  <c r="BX70" i="158"/>
  <c r="R70" i="158"/>
  <c r="S70" i="158" s="1"/>
  <c r="W70" i="158" s="1"/>
  <c r="P70" i="158"/>
  <c r="Q70" i="158" s="1"/>
  <c r="BY70" i="158"/>
  <c r="F70" i="158"/>
  <c r="H70" i="158"/>
  <c r="I70" i="158" s="1"/>
  <c r="M70" i="158" s="1"/>
  <c r="U70" i="158"/>
  <c r="V70" i="158" s="1"/>
  <c r="Z70" i="158"/>
  <c r="AA70" i="158" s="1"/>
  <c r="BW70" i="158"/>
  <c r="AB70" i="158"/>
  <c r="AC70" i="158" s="1"/>
  <c r="AG70" i="158" s="1"/>
  <c r="BR83" i="159" l="1"/>
  <c r="CF83" i="159" s="1"/>
  <c r="S84" i="160"/>
  <c r="W84" i="160" s="1"/>
  <c r="BE84" i="162"/>
  <c r="BF84" i="162" s="1"/>
  <c r="BG84" i="162" s="1"/>
  <c r="CE83" i="162"/>
  <c r="L59" i="79"/>
  <c r="BQ83" i="163"/>
  <c r="CE83" i="163" s="1"/>
  <c r="BQ83" i="159"/>
  <c r="CE83" i="159" s="1"/>
  <c r="BP83" i="163"/>
  <c r="CD83" i="163" s="1"/>
  <c r="T84" i="163"/>
  <c r="W84" i="163" s="1"/>
  <c r="BP83" i="159"/>
  <c r="CD83" i="159" s="1"/>
  <c r="K84" i="160"/>
  <c r="L84" i="160" s="1"/>
  <c r="O84" i="162"/>
  <c r="R84" i="162" s="1"/>
  <c r="Y84" i="163"/>
  <c r="AB84" i="163" s="1"/>
  <c r="O84" i="163"/>
  <c r="R84" i="163" s="1"/>
  <c r="BX84" i="160"/>
  <c r="AD84" i="162"/>
  <c r="AG84" i="162" s="1"/>
  <c r="J84" i="163"/>
  <c r="M84" i="163" s="1"/>
  <c r="AD84" i="163"/>
  <c r="AP84" i="162"/>
  <c r="AS84" i="162" s="1"/>
  <c r="P84" i="160"/>
  <c r="Q84" i="160" s="1"/>
  <c r="AS84" i="160"/>
  <c r="AQ84" i="160"/>
  <c r="AR84" i="160" s="1"/>
  <c r="T84" i="162"/>
  <c r="E84" i="162"/>
  <c r="J84" i="162"/>
  <c r="G83" i="159"/>
  <c r="Z84" i="160"/>
  <c r="AA84" i="160" s="1"/>
  <c r="BW84" i="160"/>
  <c r="AB84" i="160"/>
  <c r="AC84" i="160" s="1"/>
  <c r="AG84" i="160" s="1"/>
  <c r="F84" i="160"/>
  <c r="G84" i="160" s="1"/>
  <c r="H84" i="160"/>
  <c r="I84" i="160" s="1"/>
  <c r="BY84" i="160"/>
  <c r="AZ84" i="162"/>
  <c r="BA84" i="160"/>
  <c r="BB84" i="160" s="1"/>
  <c r="AV84" i="160"/>
  <c r="AW84" i="160" s="1"/>
  <c r="AX84" i="160"/>
  <c r="AY84" i="160" s="1"/>
  <c r="BC84" i="160" s="1"/>
  <c r="CA84" i="160"/>
  <c r="BZ84" i="160"/>
  <c r="AL84" i="160"/>
  <c r="AN84" i="160"/>
  <c r="AO84" i="160" s="1"/>
  <c r="BH84" i="162"/>
  <c r="BU83" i="159"/>
  <c r="CI83" i="159" s="1"/>
  <c r="BT83" i="159"/>
  <c r="CH83" i="159" s="1"/>
  <c r="BS83" i="159"/>
  <c r="CG83" i="159" s="1"/>
  <c r="BF84" i="160"/>
  <c r="BG84" i="160" s="1"/>
  <c r="CB84" i="160"/>
  <c r="BP84" i="160" s="1"/>
  <c r="CD84" i="160" s="1"/>
  <c r="BH84" i="160"/>
  <c r="BI84" i="160" s="1"/>
  <c r="BM84" i="160" s="1"/>
  <c r="BJ84" i="162"/>
  <c r="AU84" i="162"/>
  <c r="AK84" i="162"/>
  <c r="BK84" i="160"/>
  <c r="BL84" i="160" s="1"/>
  <c r="Y84" i="162"/>
  <c r="E84" i="163"/>
  <c r="BT70" i="158"/>
  <c r="CH70" i="158" s="1"/>
  <c r="BU70" i="158"/>
  <c r="CI70" i="158" s="1"/>
  <c r="BS70" i="158"/>
  <c r="CG70" i="158" s="1"/>
  <c r="BP70" i="158"/>
  <c r="CD70" i="158" s="1"/>
  <c r="BQ70" i="158"/>
  <c r="CE70" i="158" s="1"/>
  <c r="BR70" i="158"/>
  <c r="CF70" i="158" s="1"/>
  <c r="G70" i="158"/>
  <c r="AZ84" i="159" l="1"/>
  <c r="K84" i="163"/>
  <c r="L84" i="163" s="1"/>
  <c r="CB84" i="162"/>
  <c r="BP84" i="162" s="1"/>
  <c r="CD84" i="162" s="1"/>
  <c r="AU84" i="163"/>
  <c r="F73" i="79"/>
  <c r="AP84" i="163"/>
  <c r="AS84" i="163" s="1"/>
  <c r="AK84" i="163"/>
  <c r="AN84" i="163" s="1"/>
  <c r="AZ84" i="163"/>
  <c r="CA84" i="163" s="1"/>
  <c r="BJ84" i="163"/>
  <c r="BK84" i="163" s="1"/>
  <c r="BL84" i="163" s="1"/>
  <c r="BE84" i="163"/>
  <c r="BH84" i="163" s="1"/>
  <c r="CN83" i="162"/>
  <c r="CU83" i="162"/>
  <c r="CK83" i="162"/>
  <c r="CT83" i="162"/>
  <c r="CL83" i="162"/>
  <c r="CO83" i="162"/>
  <c r="R72" i="79" s="1"/>
  <c r="CY83" i="162"/>
  <c r="CV83" i="162"/>
  <c r="CW83" i="162"/>
  <c r="CM83" i="162"/>
  <c r="CX83" i="162"/>
  <c r="CZ83" i="162"/>
  <c r="CR83" i="162"/>
  <c r="U72" i="79" s="1"/>
  <c r="CP83" i="162"/>
  <c r="S72" i="79" s="1"/>
  <c r="CQ83" i="162"/>
  <c r="T72" i="79" s="1"/>
  <c r="CS83" i="162"/>
  <c r="P84" i="162"/>
  <c r="Q84" i="162" s="1"/>
  <c r="CW70" i="158"/>
  <c r="Z59" i="79" s="1"/>
  <c r="CV70" i="158"/>
  <c r="Y59" i="79" s="1"/>
  <c r="CU70" i="158"/>
  <c r="X59" i="79" s="1"/>
  <c r="CX70" i="158"/>
  <c r="AA59" i="79" s="1"/>
  <c r="CZ70" i="158"/>
  <c r="AC59" i="79" s="1"/>
  <c r="CP70" i="158"/>
  <c r="CS70" i="158"/>
  <c r="V59" i="79" s="1"/>
  <c r="CQ70" i="158"/>
  <c r="CT70" i="158"/>
  <c r="W59" i="79" s="1"/>
  <c r="CR70" i="158"/>
  <c r="CL70" i="158"/>
  <c r="O59" i="79" s="1"/>
  <c r="CY70" i="158"/>
  <c r="AB59" i="79" s="1"/>
  <c r="CM70" i="158"/>
  <c r="P59" i="79" s="1"/>
  <c r="CN70" i="158"/>
  <c r="Q59" i="79" s="1"/>
  <c r="CO70" i="158"/>
  <c r="CK70" i="158"/>
  <c r="N59" i="79" s="1"/>
  <c r="CR83" i="159"/>
  <c r="CQ83" i="159"/>
  <c r="CP83" i="159"/>
  <c r="CO83" i="159"/>
  <c r="CL83" i="159"/>
  <c r="CK83" i="159"/>
  <c r="CS83" i="159"/>
  <c r="CM83" i="159"/>
  <c r="CN83" i="159"/>
  <c r="CU83" i="159"/>
  <c r="CV83" i="159"/>
  <c r="CT83" i="159"/>
  <c r="CW83" i="159"/>
  <c r="CZ83" i="159"/>
  <c r="CX83" i="159"/>
  <c r="CY83" i="159"/>
  <c r="CV83" i="163"/>
  <c r="CK83" i="163"/>
  <c r="CM83" i="163"/>
  <c r="CQ83" i="163"/>
  <c r="CR83" i="163"/>
  <c r="CN83" i="163"/>
  <c r="CL83" i="163"/>
  <c r="CP83" i="163"/>
  <c r="CO83" i="163"/>
  <c r="CZ83" i="163"/>
  <c r="CS83" i="163"/>
  <c r="CU83" i="163"/>
  <c r="CT83" i="163"/>
  <c r="CW83" i="163"/>
  <c r="CY83" i="163"/>
  <c r="CX83" i="163"/>
  <c r="S84" i="163"/>
  <c r="Z84" i="163"/>
  <c r="AA84" i="163" s="1"/>
  <c r="BT84" i="160"/>
  <c r="CH84" i="160" s="1"/>
  <c r="U84" i="163"/>
  <c r="V84" i="163" s="1"/>
  <c r="BS84" i="160"/>
  <c r="CG84" i="160" s="1"/>
  <c r="BX84" i="163"/>
  <c r="P84" i="163"/>
  <c r="Q84" i="163" s="1"/>
  <c r="BW84" i="163"/>
  <c r="BU84" i="160"/>
  <c r="CI84" i="160" s="1"/>
  <c r="AE84" i="162"/>
  <c r="AF84" i="162" s="1"/>
  <c r="AE84" i="163"/>
  <c r="AF84" i="163" s="1"/>
  <c r="AQ84" i="162"/>
  <c r="AR84" i="162" s="1"/>
  <c r="AZ71" i="158"/>
  <c r="BA71" i="158" s="1"/>
  <c r="BB71" i="158" s="1"/>
  <c r="BF84" i="163"/>
  <c r="BG84" i="163" s="1"/>
  <c r="AC84" i="163"/>
  <c r="AG84" i="163" s="1"/>
  <c r="J73" i="79"/>
  <c r="BI84" i="162"/>
  <c r="BM84" i="162" s="1"/>
  <c r="AX84" i="163"/>
  <c r="AY84" i="163" s="1"/>
  <c r="AV84" i="163"/>
  <c r="AW84" i="163" s="1"/>
  <c r="U84" i="162"/>
  <c r="V84" i="162" s="1"/>
  <c r="BW84" i="162"/>
  <c r="BU84" i="162" s="1"/>
  <c r="CI84" i="162" s="1"/>
  <c r="Z84" i="162"/>
  <c r="AA84" i="162" s="1"/>
  <c r="AB84" i="162"/>
  <c r="AC84" i="162" s="1"/>
  <c r="BX84" i="162"/>
  <c r="BC84" i="159"/>
  <c r="BA84" i="159"/>
  <c r="BB84" i="159" s="1"/>
  <c r="BQ84" i="160"/>
  <c r="CE84" i="160" s="1"/>
  <c r="BR84" i="160"/>
  <c r="CF84" i="160" s="1"/>
  <c r="AD84" i="159"/>
  <c r="Y84" i="159"/>
  <c r="E84" i="159"/>
  <c r="O84" i="159"/>
  <c r="T84" i="159"/>
  <c r="S84" i="162"/>
  <c r="W84" i="162" s="1"/>
  <c r="AM84" i="160"/>
  <c r="BY84" i="162"/>
  <c r="H84" i="162"/>
  <c r="I84" i="162" s="1"/>
  <c r="F84" i="162"/>
  <c r="BA84" i="162"/>
  <c r="BB84" i="162" s="1"/>
  <c r="M84" i="162"/>
  <c r="K84" i="162"/>
  <c r="L84" i="162" s="1"/>
  <c r="AL84" i="162"/>
  <c r="AN84" i="162"/>
  <c r="AO84" i="162" s="1"/>
  <c r="BZ84" i="162"/>
  <c r="J84" i="159"/>
  <c r="BK84" i="162"/>
  <c r="BL84" i="162" s="1"/>
  <c r="AP84" i="159"/>
  <c r="BJ84" i="159"/>
  <c r="F84" i="163"/>
  <c r="BY84" i="163"/>
  <c r="H84" i="163"/>
  <c r="I84" i="163" s="1"/>
  <c r="AX84" i="162"/>
  <c r="AY84" i="162" s="1"/>
  <c r="BC84" i="162" s="1"/>
  <c r="CA84" i="162"/>
  <c r="AV84" i="162"/>
  <c r="AW84" i="162" s="1"/>
  <c r="BE84" i="159"/>
  <c r="AU84" i="159"/>
  <c r="AK84" i="159"/>
  <c r="BJ71" i="158"/>
  <c r="BK71" i="158" s="1"/>
  <c r="BL71" i="158" s="1"/>
  <c r="BE71" i="158"/>
  <c r="BF71" i="158" s="1"/>
  <c r="BG71" i="158" s="1"/>
  <c r="AP71" i="158"/>
  <c r="AQ71" i="158" s="1"/>
  <c r="AR71" i="158" s="1"/>
  <c r="AK71" i="158"/>
  <c r="AN71" i="158" s="1"/>
  <c r="AU71" i="158"/>
  <c r="AX71" i="158" s="1"/>
  <c r="T71" i="158"/>
  <c r="BC84" i="163" l="1"/>
  <c r="BA84" i="163"/>
  <c r="BB84" i="163" s="1"/>
  <c r="BI84" i="163"/>
  <c r="BM84" i="163" s="1"/>
  <c r="CB84" i="163"/>
  <c r="AO71" i="158"/>
  <c r="AS71" i="158" s="1"/>
  <c r="AO84" i="163"/>
  <c r="AL84" i="163"/>
  <c r="AM84" i="163" s="1"/>
  <c r="CU84" i="160"/>
  <c r="BZ84" i="163"/>
  <c r="BR84" i="163" s="1"/>
  <c r="CF84" i="163" s="1"/>
  <c r="AQ84" i="163"/>
  <c r="AR84" i="163" s="1"/>
  <c r="CX84" i="160"/>
  <c r="CP84" i="160"/>
  <c r="CW84" i="160"/>
  <c r="CL84" i="160"/>
  <c r="CS84" i="160"/>
  <c r="CQ84" i="160"/>
  <c r="CT84" i="160"/>
  <c r="CN84" i="160"/>
  <c r="CZ84" i="160"/>
  <c r="CO84" i="160"/>
  <c r="CY84" i="160"/>
  <c r="CK84" i="160"/>
  <c r="CM84" i="160"/>
  <c r="CV84" i="160"/>
  <c r="AY71" i="158"/>
  <c r="BC71" i="158" s="1"/>
  <c r="CR84" i="160"/>
  <c r="O85" i="160"/>
  <c r="R85" i="160" s="1"/>
  <c r="AK85" i="160"/>
  <c r="AN85" i="160" s="1"/>
  <c r="BJ85" i="160"/>
  <c r="BK85" i="160" s="1"/>
  <c r="BL85" i="160" s="1"/>
  <c r="T85" i="160"/>
  <c r="AZ85" i="160"/>
  <c r="BA85" i="160" s="1"/>
  <c r="BB85" i="160" s="1"/>
  <c r="BE85" i="160"/>
  <c r="AP85" i="160"/>
  <c r="AQ85" i="160" s="1"/>
  <c r="AR85" i="160" s="1"/>
  <c r="BH84" i="159"/>
  <c r="BI84" i="159" s="1"/>
  <c r="BM84" i="159" s="1"/>
  <c r="CB84" i="159"/>
  <c r="BF84" i="159"/>
  <c r="BG84" i="159" s="1"/>
  <c r="BQ84" i="162"/>
  <c r="CE84" i="162" s="1"/>
  <c r="BR84" i="162"/>
  <c r="CF84" i="162" s="1"/>
  <c r="E85" i="160"/>
  <c r="AB84" i="159"/>
  <c r="AC84" i="159" s="1"/>
  <c r="AG84" i="159" s="1"/>
  <c r="BW84" i="159"/>
  <c r="Z84" i="159"/>
  <c r="AA84" i="159" s="1"/>
  <c r="AM84" i="162"/>
  <c r="G84" i="162"/>
  <c r="AE84" i="159"/>
  <c r="AF84" i="159" s="1"/>
  <c r="BZ84" i="159"/>
  <c r="AN84" i="159"/>
  <c r="AO84" i="159" s="1"/>
  <c r="AL84" i="159"/>
  <c r="AM84" i="159" s="1"/>
  <c r="BT84" i="162"/>
  <c r="CH84" i="162" s="1"/>
  <c r="BS84" i="162"/>
  <c r="CG84" i="162" s="1"/>
  <c r="BK84" i="159"/>
  <c r="BL84" i="159" s="1"/>
  <c r="AQ84" i="159"/>
  <c r="AR84" i="159" s="1"/>
  <c r="AS84" i="159"/>
  <c r="BH71" i="158"/>
  <c r="BI71" i="158" s="1"/>
  <c r="BM71" i="158" s="1"/>
  <c r="AV84" i="159"/>
  <c r="AW84" i="159" s="1"/>
  <c r="CA84" i="159"/>
  <c r="AX84" i="159"/>
  <c r="AY84" i="159" s="1"/>
  <c r="BU84" i="163"/>
  <c r="CI84" i="163" s="1"/>
  <c r="BT84" i="163"/>
  <c r="CH84" i="163" s="1"/>
  <c r="BS84" i="163"/>
  <c r="CG84" i="163" s="1"/>
  <c r="AD85" i="160"/>
  <c r="BQ84" i="163"/>
  <c r="CE84" i="163" s="1"/>
  <c r="BP84" i="163"/>
  <c r="CD84" i="163" s="1"/>
  <c r="R84" i="159"/>
  <c r="S84" i="159" s="1"/>
  <c r="BX84" i="159"/>
  <c r="P84" i="159"/>
  <c r="Q84" i="159" s="1"/>
  <c r="F84" i="159"/>
  <c r="BY84" i="159"/>
  <c r="H84" i="159"/>
  <c r="I84" i="159" s="1"/>
  <c r="G84" i="163"/>
  <c r="K84" i="159"/>
  <c r="L84" i="159" s="1"/>
  <c r="M84" i="159"/>
  <c r="J85" i="160"/>
  <c r="W84" i="159"/>
  <c r="U84" i="159"/>
  <c r="V84" i="159" s="1"/>
  <c r="AU85" i="160"/>
  <c r="Y85" i="160"/>
  <c r="CB71" i="158"/>
  <c r="CA71" i="158"/>
  <c r="AL71" i="158"/>
  <c r="AM71" i="158" s="1"/>
  <c r="AV71" i="158"/>
  <c r="AW71" i="158" s="1"/>
  <c r="BZ71" i="158"/>
  <c r="U71" i="158"/>
  <c r="V71" i="158" s="1"/>
  <c r="O71" i="158"/>
  <c r="H60" i="79" s="1"/>
  <c r="AD71" i="158"/>
  <c r="K60" i="79" s="1"/>
  <c r="E71" i="158"/>
  <c r="E60" i="79" s="1"/>
  <c r="J71" i="158"/>
  <c r="I60" i="79" s="1"/>
  <c r="Y71" i="158"/>
  <c r="G60" i="79" s="1"/>
  <c r="P85" i="160" l="1"/>
  <c r="Q85" i="160" s="1"/>
  <c r="CB85" i="160"/>
  <c r="BP85" i="160" s="1"/>
  <c r="CD85" i="160" s="1"/>
  <c r="BX85" i="160"/>
  <c r="CV84" i="163"/>
  <c r="CQ84" i="163"/>
  <c r="CL84" i="163"/>
  <c r="CP84" i="163"/>
  <c r="CO84" i="163"/>
  <c r="CK84" i="163"/>
  <c r="CR84" i="163"/>
  <c r="CN84" i="163"/>
  <c r="CM84" i="163"/>
  <c r="CT84" i="163"/>
  <c r="CS84" i="163"/>
  <c r="CZ84" i="163"/>
  <c r="CU84" i="163"/>
  <c r="CY84" i="163"/>
  <c r="CX84" i="163"/>
  <c r="CW84" i="163"/>
  <c r="CN84" i="162"/>
  <c r="CX84" i="162"/>
  <c r="CQ84" i="162"/>
  <c r="T73" i="79" s="1"/>
  <c r="CV84" i="162"/>
  <c r="CP84" i="162"/>
  <c r="S73" i="79" s="1"/>
  <c r="CK84" i="162"/>
  <c r="CR84" i="162"/>
  <c r="U73" i="79" s="1"/>
  <c r="CT84" i="162"/>
  <c r="CO84" i="162"/>
  <c r="R73" i="79" s="1"/>
  <c r="CS84" i="162"/>
  <c r="CZ84" i="162"/>
  <c r="CU84" i="162"/>
  <c r="CL84" i="162"/>
  <c r="CW84" i="162"/>
  <c r="CM84" i="162"/>
  <c r="CY84" i="162"/>
  <c r="L60" i="79"/>
  <c r="AL85" i="160"/>
  <c r="AM85" i="160" s="1"/>
  <c r="J85" i="162"/>
  <c r="K85" i="162" s="1"/>
  <c r="L85" i="162" s="1"/>
  <c r="BF85" i="160"/>
  <c r="BG85" i="160" s="1"/>
  <c r="BH85" i="160"/>
  <c r="BI85" i="160" s="1"/>
  <c r="BM85" i="160" s="1"/>
  <c r="S85" i="160"/>
  <c r="W85" i="160" s="1"/>
  <c r="U85" i="160"/>
  <c r="V85" i="160" s="1"/>
  <c r="Y85" i="162"/>
  <c r="AB85" i="162" s="1"/>
  <c r="BJ85" i="162"/>
  <c r="BK85" i="162" s="1"/>
  <c r="BL85" i="162" s="1"/>
  <c r="BZ85" i="160"/>
  <c r="AO85" i="160"/>
  <c r="AS85" i="160"/>
  <c r="E85" i="163"/>
  <c r="H85" i="163" s="1"/>
  <c r="BS84" i="159"/>
  <c r="CG84" i="159" s="1"/>
  <c r="AP85" i="162"/>
  <c r="AQ85" i="162" s="1"/>
  <c r="AR85" i="162" s="1"/>
  <c r="BE85" i="162"/>
  <c r="BH85" i="162" s="1"/>
  <c r="AZ85" i="163"/>
  <c r="BC85" i="163" s="1"/>
  <c r="E85" i="162"/>
  <c r="Y85" i="163"/>
  <c r="AB85" i="163" s="1"/>
  <c r="H85" i="160"/>
  <c r="F85" i="160"/>
  <c r="O85" i="163"/>
  <c r="AK85" i="162"/>
  <c r="AU85" i="162"/>
  <c r="AZ85" i="162"/>
  <c r="M85" i="162"/>
  <c r="BY85" i="160"/>
  <c r="M85" i="160"/>
  <c r="I85" i="160"/>
  <c r="K85" i="160"/>
  <c r="L85" i="160" s="1"/>
  <c r="AD85" i="163"/>
  <c r="AE85" i="163" s="1"/>
  <c r="AF85" i="163" s="1"/>
  <c r="O85" i="162"/>
  <c r="J85" i="163"/>
  <c r="AD85" i="162"/>
  <c r="AU85" i="163"/>
  <c r="BJ85" i="163"/>
  <c r="AK85" i="163"/>
  <c r="BW85" i="160"/>
  <c r="BU85" i="160" s="1"/>
  <c r="CI85" i="160" s="1"/>
  <c r="AB85" i="160"/>
  <c r="AC85" i="160" s="1"/>
  <c r="AG85" i="160" s="1"/>
  <c r="Z85" i="160"/>
  <c r="AA85" i="160" s="1"/>
  <c r="BU84" i="159"/>
  <c r="CI84" i="159" s="1"/>
  <c r="BT84" i="159"/>
  <c r="CH84" i="159" s="1"/>
  <c r="BQ84" i="159"/>
  <c r="CE84" i="159" s="1"/>
  <c r="BR84" i="159"/>
  <c r="CF84" i="159" s="1"/>
  <c r="BP84" i="159"/>
  <c r="CD84" i="159" s="1"/>
  <c r="T85" i="163"/>
  <c r="AX85" i="160"/>
  <c r="AY85" i="160" s="1"/>
  <c r="BC85" i="160" s="1"/>
  <c r="CA85" i="160"/>
  <c r="AV85" i="160"/>
  <c r="AW85" i="160" s="1"/>
  <c r="G84" i="159"/>
  <c r="AP85" i="163"/>
  <c r="BE85" i="163"/>
  <c r="AE85" i="160"/>
  <c r="AF85" i="160" s="1"/>
  <c r="T85" i="162"/>
  <c r="BP71" i="158"/>
  <c r="CD71" i="158" s="1"/>
  <c r="BQ71" i="158"/>
  <c r="CE71" i="158" s="1"/>
  <c r="BR71" i="158"/>
  <c r="CF71" i="158" s="1"/>
  <c r="K71" i="158"/>
  <c r="L71" i="158" s="1"/>
  <c r="BY71" i="158"/>
  <c r="F71" i="158"/>
  <c r="H71" i="158"/>
  <c r="I71" i="158" s="1"/>
  <c r="M71" i="158" s="1"/>
  <c r="BW71" i="158"/>
  <c r="Z71" i="158"/>
  <c r="AA71" i="158" s="1"/>
  <c r="AB71" i="158"/>
  <c r="AC71" i="158" s="1"/>
  <c r="AG71" i="158" s="1"/>
  <c r="AE71" i="158"/>
  <c r="AF71" i="158" s="1"/>
  <c r="P71" i="158"/>
  <c r="Q71" i="158" s="1"/>
  <c r="R71" i="158"/>
  <c r="S71" i="158" s="1"/>
  <c r="W71" i="158" s="1"/>
  <c r="BX71" i="158"/>
  <c r="F85" i="163" l="1"/>
  <c r="G85" i="163" s="1"/>
  <c r="BY85" i="162"/>
  <c r="CO84" i="159"/>
  <c r="CP84" i="159"/>
  <c r="CK84" i="159"/>
  <c r="CR84" i="159"/>
  <c r="CM84" i="159"/>
  <c r="CS84" i="159"/>
  <c r="CN84" i="159"/>
  <c r="CQ84" i="159"/>
  <c r="CL84" i="159"/>
  <c r="CW84" i="159"/>
  <c r="CT84" i="159"/>
  <c r="CU84" i="159"/>
  <c r="CV84" i="159"/>
  <c r="CZ84" i="159"/>
  <c r="CX84" i="159"/>
  <c r="CY84" i="159"/>
  <c r="BY85" i="163"/>
  <c r="BI85" i="162"/>
  <c r="BM85" i="162" s="1"/>
  <c r="Z85" i="163"/>
  <c r="AA85" i="163" s="1"/>
  <c r="CB85" i="162"/>
  <c r="BP85" i="162" s="1"/>
  <c r="CD85" i="162" s="1"/>
  <c r="BQ85" i="160"/>
  <c r="CE85" i="160" s="1"/>
  <c r="Z85" i="162"/>
  <c r="AA85" i="162" s="1"/>
  <c r="BF85" i="162"/>
  <c r="BG85" i="162" s="1"/>
  <c r="AZ85" i="159"/>
  <c r="BC85" i="159" s="1"/>
  <c r="F74" i="79"/>
  <c r="AC85" i="163"/>
  <c r="AG85" i="163" s="1"/>
  <c r="AS85" i="162"/>
  <c r="J85" i="159"/>
  <c r="K85" i="159" s="1"/>
  <c r="L85" i="159" s="1"/>
  <c r="F85" i="162"/>
  <c r="G85" i="162" s="1"/>
  <c r="H85" i="162"/>
  <c r="I85" i="162" s="1"/>
  <c r="BA85" i="163"/>
  <c r="BB85" i="163" s="1"/>
  <c r="AC85" i="162"/>
  <c r="I85" i="163"/>
  <c r="W85" i="163"/>
  <c r="U85" i="163"/>
  <c r="V85" i="163" s="1"/>
  <c r="AV85" i="163"/>
  <c r="AW85" i="163" s="1"/>
  <c r="CA85" i="163"/>
  <c r="AX85" i="163"/>
  <c r="AY85" i="163" s="1"/>
  <c r="CA85" i="162"/>
  <c r="AV85" i="162"/>
  <c r="AW85" i="162" s="1"/>
  <c r="AX85" i="162"/>
  <c r="AY85" i="162" s="1"/>
  <c r="BC85" i="162" s="1"/>
  <c r="T85" i="159"/>
  <c r="BZ85" i="162"/>
  <c r="AN85" i="162"/>
  <c r="AO85" i="162" s="1"/>
  <c r="AL85" i="162"/>
  <c r="CB85" i="163"/>
  <c r="BF85" i="163"/>
  <c r="BG85" i="163" s="1"/>
  <c r="BH85" i="163"/>
  <c r="BI85" i="163" s="1"/>
  <c r="BM85" i="163" s="1"/>
  <c r="BJ85" i="159"/>
  <c r="AP85" i="159"/>
  <c r="AU85" i="159"/>
  <c r="AK85" i="159"/>
  <c r="Y85" i="159"/>
  <c r="BR85" i="160"/>
  <c r="CF85" i="160" s="1"/>
  <c r="J74" i="79"/>
  <c r="AE85" i="162"/>
  <c r="AF85" i="162" s="1"/>
  <c r="AG85" i="162"/>
  <c r="BT85" i="160"/>
  <c r="CH85" i="160" s="1"/>
  <c r="BS85" i="160"/>
  <c r="CG85" i="160" s="1"/>
  <c r="BW85" i="162"/>
  <c r="BU85" i="162" s="1"/>
  <c r="CI85" i="162" s="1"/>
  <c r="BX85" i="163"/>
  <c r="BS85" i="163" s="1"/>
  <c r="CG85" i="163" s="1"/>
  <c r="R85" i="163"/>
  <c r="S85" i="163" s="1"/>
  <c r="P85" i="163"/>
  <c r="Q85" i="163" s="1"/>
  <c r="U85" i="162"/>
  <c r="V85" i="162" s="1"/>
  <c r="BX85" i="162"/>
  <c r="BS85" i="162" s="1"/>
  <c r="CG85" i="162" s="1"/>
  <c r="R85" i="162"/>
  <c r="S85" i="162" s="1"/>
  <c r="W85" i="162" s="1"/>
  <c r="P85" i="162"/>
  <c r="Q85" i="162" s="1"/>
  <c r="BW85" i="163"/>
  <c r="M85" i="163"/>
  <c r="K85" i="163"/>
  <c r="L85" i="163" s="1"/>
  <c r="AN85" i="163"/>
  <c r="AO85" i="163" s="1"/>
  <c r="AL85" i="163"/>
  <c r="BZ85" i="163"/>
  <c r="G85" i="160"/>
  <c r="O85" i="159"/>
  <c r="AS85" i="163"/>
  <c r="AQ85" i="163"/>
  <c r="AR85" i="163" s="1"/>
  <c r="AD85" i="159"/>
  <c r="BK85" i="163"/>
  <c r="BL85" i="163" s="1"/>
  <c r="E85" i="159"/>
  <c r="BA85" i="162"/>
  <c r="BB85" i="162" s="1"/>
  <c r="BE85" i="159"/>
  <c r="BS71" i="158"/>
  <c r="CG71" i="158" s="1"/>
  <c r="BU71" i="158"/>
  <c r="CI71" i="158" s="1"/>
  <c r="BT71" i="158"/>
  <c r="CH71" i="158" s="1"/>
  <c r="G71" i="158"/>
  <c r="AU72" i="158" s="1"/>
  <c r="CW71" i="158" l="1"/>
  <c r="Z60" i="79" s="1"/>
  <c r="CM71" i="158"/>
  <c r="P60" i="79" s="1"/>
  <c r="CO71" i="158"/>
  <c r="CP71" i="158"/>
  <c r="CQ71" i="158"/>
  <c r="CL71" i="158"/>
  <c r="O60" i="79" s="1"/>
  <c r="CV71" i="158"/>
  <c r="Y60" i="79" s="1"/>
  <c r="CU71" i="158"/>
  <c r="X60" i="79" s="1"/>
  <c r="CX71" i="158"/>
  <c r="AA60" i="79" s="1"/>
  <c r="CK71" i="158"/>
  <c r="N60" i="79" s="1"/>
  <c r="CS71" i="158"/>
  <c r="V60" i="79" s="1"/>
  <c r="CT71" i="158"/>
  <c r="W60" i="79" s="1"/>
  <c r="CZ71" i="158"/>
  <c r="AC60" i="79" s="1"/>
  <c r="CR71" i="158"/>
  <c r="CY71" i="158"/>
  <c r="AB60" i="79" s="1"/>
  <c r="CL85" i="160"/>
  <c r="CX85" i="160"/>
  <c r="CQ85" i="160"/>
  <c r="CW85" i="160"/>
  <c r="CU85" i="160"/>
  <c r="CM85" i="160"/>
  <c r="CV85" i="160"/>
  <c r="CO85" i="160"/>
  <c r="CP85" i="160"/>
  <c r="CS85" i="160"/>
  <c r="CN85" i="160"/>
  <c r="CZ85" i="160"/>
  <c r="CR85" i="160"/>
  <c r="CY85" i="160"/>
  <c r="CK85" i="160"/>
  <c r="CT85" i="160"/>
  <c r="CN71" i="158"/>
  <c r="Q60" i="79" s="1"/>
  <c r="BT85" i="162"/>
  <c r="CH85" i="162" s="1"/>
  <c r="AU86" i="160"/>
  <c r="AV86" i="160" s="1"/>
  <c r="AW86" i="160" s="1"/>
  <c r="BA85" i="159"/>
  <c r="BB85" i="159" s="1"/>
  <c r="M85" i="159"/>
  <c r="BE86" i="160"/>
  <c r="BH86" i="160" s="1"/>
  <c r="AK86" i="160"/>
  <c r="AN86" i="160" s="1"/>
  <c r="BK85" i="159"/>
  <c r="BL85" i="159" s="1"/>
  <c r="BQ85" i="162"/>
  <c r="CE85" i="162" s="1"/>
  <c r="BR85" i="162"/>
  <c r="CF85" i="162" s="1"/>
  <c r="BW85" i="159"/>
  <c r="AE85" i="159"/>
  <c r="AF85" i="159" s="1"/>
  <c r="BX85" i="159"/>
  <c r="U85" i="159"/>
  <c r="V85" i="159" s="1"/>
  <c r="W85" i="159"/>
  <c r="AP86" i="160"/>
  <c r="AX86" i="160"/>
  <c r="AN85" i="159"/>
  <c r="AO85" i="159" s="1"/>
  <c r="AL85" i="159"/>
  <c r="BZ85" i="159"/>
  <c r="H85" i="159"/>
  <c r="I85" i="159" s="1"/>
  <c r="F85" i="159"/>
  <c r="BY85" i="159"/>
  <c r="Z85" i="159"/>
  <c r="AA85" i="159" s="1"/>
  <c r="AB85" i="159"/>
  <c r="AC85" i="159" s="1"/>
  <c r="AG85" i="159" s="1"/>
  <c r="BQ85" i="163"/>
  <c r="CE85" i="163" s="1"/>
  <c r="BP85" i="163"/>
  <c r="CD85" i="163" s="1"/>
  <c r="BR85" i="163"/>
  <c r="CF85" i="163" s="1"/>
  <c r="BJ86" i="160"/>
  <c r="AM85" i="163"/>
  <c r="AV85" i="159"/>
  <c r="AW85" i="159" s="1"/>
  <c r="AX85" i="159"/>
  <c r="AY85" i="159" s="1"/>
  <c r="CA85" i="159"/>
  <c r="AM85" i="162"/>
  <c r="E86" i="162" s="1"/>
  <c r="BU85" i="163"/>
  <c r="CI85" i="163" s="1"/>
  <c r="R85" i="159"/>
  <c r="S85" i="159" s="1"/>
  <c r="P85" i="159"/>
  <c r="Q85" i="159" s="1"/>
  <c r="BF85" i="159"/>
  <c r="BG85" i="159" s="1"/>
  <c r="CB85" i="159"/>
  <c r="BH85" i="159"/>
  <c r="BI85" i="159" s="1"/>
  <c r="BM85" i="159" s="1"/>
  <c r="AZ86" i="160"/>
  <c r="CA86" i="160" s="1"/>
  <c r="O86" i="160"/>
  <c r="Y86" i="160"/>
  <c r="J86" i="160"/>
  <c r="AD86" i="160"/>
  <c r="E86" i="160"/>
  <c r="T86" i="160"/>
  <c r="AS85" i="159"/>
  <c r="AQ85" i="159"/>
  <c r="AR85" i="159" s="1"/>
  <c r="BT85" i="163"/>
  <c r="CH85" i="163" s="1"/>
  <c r="BE72" i="158"/>
  <c r="AK72" i="158"/>
  <c r="AN72" i="158" s="1"/>
  <c r="BJ72" i="158"/>
  <c r="BK72" i="158" s="1"/>
  <c r="BL72" i="158" s="1"/>
  <c r="AP72" i="158"/>
  <c r="AQ72" i="158" s="1"/>
  <c r="AR72" i="158" s="1"/>
  <c r="AZ72" i="158"/>
  <c r="BA72" i="158" s="1"/>
  <c r="BB72" i="158" s="1"/>
  <c r="AX72" i="158"/>
  <c r="AV72" i="158"/>
  <c r="AW72" i="158" s="1"/>
  <c r="E72" i="158"/>
  <c r="CM85" i="162" l="1"/>
  <c r="CX85" i="162"/>
  <c r="CN85" i="162"/>
  <c r="CW85" i="162"/>
  <c r="CR85" i="162"/>
  <c r="CY85" i="162"/>
  <c r="CP85" i="162"/>
  <c r="S74" i="79" s="1"/>
  <c r="CV85" i="163"/>
  <c r="CL85" i="163"/>
  <c r="CR85" i="163"/>
  <c r="CO85" i="163"/>
  <c r="CN85" i="163"/>
  <c r="CP85" i="163"/>
  <c r="CM85" i="163"/>
  <c r="CQ85" i="163"/>
  <c r="CK85" i="163"/>
  <c r="CT85" i="163"/>
  <c r="CU85" i="163"/>
  <c r="CZ85" i="163"/>
  <c r="CS85" i="163"/>
  <c r="CX85" i="163"/>
  <c r="CW85" i="163"/>
  <c r="CY85" i="163"/>
  <c r="CU85" i="162"/>
  <c r="CO85" i="162"/>
  <c r="R74" i="79" s="1"/>
  <c r="CS85" i="162"/>
  <c r="CQ85" i="162"/>
  <c r="T74" i="79" s="1"/>
  <c r="U74" i="79"/>
  <c r="CT85" i="162"/>
  <c r="CK85" i="162"/>
  <c r="CZ85" i="162"/>
  <c r="CV85" i="162"/>
  <c r="CL85" i="162"/>
  <c r="AL86" i="160"/>
  <c r="AM86" i="160" s="1"/>
  <c r="E61" i="79"/>
  <c r="BE86" i="163"/>
  <c r="BH86" i="163" s="1"/>
  <c r="BF86" i="160"/>
  <c r="BG86" i="160" s="1"/>
  <c r="Y86" i="163"/>
  <c r="Z86" i="163" s="1"/>
  <c r="AA86" i="163" s="1"/>
  <c r="AU86" i="163"/>
  <c r="AX86" i="163" s="1"/>
  <c r="AO86" i="160"/>
  <c r="BJ86" i="163"/>
  <c r="BK86" i="163" s="1"/>
  <c r="BL86" i="163" s="1"/>
  <c r="AZ86" i="163"/>
  <c r="H86" i="162"/>
  <c r="F86" i="162"/>
  <c r="G86" i="162" s="1"/>
  <c r="U86" i="160"/>
  <c r="V86" i="160" s="1"/>
  <c r="H86" i="160"/>
  <c r="I86" i="160" s="1"/>
  <c r="F86" i="160"/>
  <c r="BY86" i="160"/>
  <c r="J86" i="162"/>
  <c r="E86" i="163"/>
  <c r="BR85" i="159"/>
  <c r="CF85" i="159" s="1"/>
  <c r="BQ85" i="159"/>
  <c r="CE85" i="159" s="1"/>
  <c r="BP85" i="159"/>
  <c r="CD85" i="159" s="1"/>
  <c r="AS86" i="160"/>
  <c r="AQ86" i="160"/>
  <c r="AR86" i="160" s="1"/>
  <c r="AE86" i="160"/>
  <c r="AF86" i="160" s="1"/>
  <c r="Y86" i="162"/>
  <c r="AM85" i="159"/>
  <c r="K86" i="160"/>
  <c r="L86" i="160" s="1"/>
  <c r="M86" i="160"/>
  <c r="AD86" i="163"/>
  <c r="O86" i="163"/>
  <c r="J86" i="163"/>
  <c r="BK86" i="160"/>
  <c r="BL86" i="160" s="1"/>
  <c r="BX86" i="160"/>
  <c r="P86" i="160"/>
  <c r="Q86" i="160" s="1"/>
  <c r="R86" i="160"/>
  <c r="S86" i="160" s="1"/>
  <c r="W86" i="160" s="1"/>
  <c r="AK86" i="163"/>
  <c r="AP86" i="163"/>
  <c r="BU85" i="159"/>
  <c r="CI85" i="159" s="1"/>
  <c r="BT85" i="159"/>
  <c r="CH85" i="159" s="1"/>
  <c r="BS85" i="159"/>
  <c r="CG85" i="159" s="1"/>
  <c r="BZ86" i="160"/>
  <c r="BI86" i="160"/>
  <c r="BM86" i="160" s="1"/>
  <c r="O86" i="162"/>
  <c r="T86" i="162"/>
  <c r="U86" i="162" s="1"/>
  <c r="V86" i="162" s="1"/>
  <c r="AD86" i="162"/>
  <c r="BA86" i="160"/>
  <c r="BB86" i="160" s="1"/>
  <c r="G85" i="159"/>
  <c r="AY86" i="160"/>
  <c r="BC86" i="160" s="1"/>
  <c r="CB86" i="160"/>
  <c r="BP86" i="160" s="1"/>
  <c r="CD86" i="160" s="1"/>
  <c r="AB86" i="160"/>
  <c r="AC86" i="160" s="1"/>
  <c r="AG86" i="160" s="1"/>
  <c r="Z86" i="160"/>
  <c r="AA86" i="160" s="1"/>
  <c r="BW86" i="160"/>
  <c r="AP86" i="162"/>
  <c r="BE86" i="162"/>
  <c r="BJ86" i="162"/>
  <c r="AK86" i="162"/>
  <c r="AU86" i="162"/>
  <c r="AZ86" i="162"/>
  <c r="T86" i="163"/>
  <c r="AL72" i="158"/>
  <c r="AM72" i="158" s="1"/>
  <c r="CA72" i="158"/>
  <c r="AO72" i="158"/>
  <c r="AS72" i="158" s="1"/>
  <c r="BZ72" i="158"/>
  <c r="AY72" i="158"/>
  <c r="BC72" i="158" s="1"/>
  <c r="CB72" i="158"/>
  <c r="BF72" i="158"/>
  <c r="BG72" i="158" s="1"/>
  <c r="BH72" i="158"/>
  <c r="BI72" i="158" s="1"/>
  <c r="BM72" i="158" s="1"/>
  <c r="H72" i="158"/>
  <c r="F72" i="158"/>
  <c r="AD72" i="158"/>
  <c r="K61" i="79" s="1"/>
  <c r="O72" i="158"/>
  <c r="H61" i="79" s="1"/>
  <c r="Y72" i="158"/>
  <c r="G61" i="79" s="1"/>
  <c r="T72" i="158"/>
  <c r="J72" i="158"/>
  <c r="BF86" i="163" l="1"/>
  <c r="BG86" i="163" s="1"/>
  <c r="CQ85" i="159"/>
  <c r="CP85" i="159"/>
  <c r="CM85" i="159"/>
  <c r="CK85" i="159"/>
  <c r="CR85" i="159"/>
  <c r="CS85" i="159"/>
  <c r="CN85" i="159"/>
  <c r="CL85" i="159"/>
  <c r="CO85" i="159"/>
  <c r="CV85" i="159"/>
  <c r="CW85" i="159"/>
  <c r="CT85" i="159"/>
  <c r="CU85" i="159"/>
  <c r="CZ85" i="159"/>
  <c r="CY85" i="159"/>
  <c r="CX85" i="159"/>
  <c r="L61" i="79"/>
  <c r="CA86" i="163"/>
  <c r="BW86" i="163"/>
  <c r="AV86" i="163"/>
  <c r="AW86" i="163" s="1"/>
  <c r="BC86" i="163"/>
  <c r="BA86" i="163"/>
  <c r="BB86" i="163" s="1"/>
  <c r="BI86" i="163"/>
  <c r="BM86" i="163" s="1"/>
  <c r="AB86" i="163"/>
  <c r="AC86" i="163" s="1"/>
  <c r="AG86" i="163" s="1"/>
  <c r="F75" i="79"/>
  <c r="CB86" i="163"/>
  <c r="O86" i="159"/>
  <c r="AZ86" i="159"/>
  <c r="BC86" i="159" s="1"/>
  <c r="AY86" i="163"/>
  <c r="AD86" i="159"/>
  <c r="AE86" i="159" s="1"/>
  <c r="AF86" i="159" s="1"/>
  <c r="BU86" i="160"/>
  <c r="CI86" i="160" s="1"/>
  <c r="AV86" i="162"/>
  <c r="AW86" i="162" s="1"/>
  <c r="AX86" i="162"/>
  <c r="AY86" i="162" s="1"/>
  <c r="BC86" i="162" s="1"/>
  <c r="CA86" i="162"/>
  <c r="AB86" i="162"/>
  <c r="AC86" i="162" s="1"/>
  <c r="Z86" i="162"/>
  <c r="AA86" i="162" s="1"/>
  <c r="BW86" i="162"/>
  <c r="BU86" i="162" s="1"/>
  <c r="CI86" i="162" s="1"/>
  <c r="AL86" i="162"/>
  <c r="BZ86" i="162"/>
  <c r="AN86" i="162"/>
  <c r="AO86" i="162" s="1"/>
  <c r="BK86" i="162"/>
  <c r="BL86" i="162" s="1"/>
  <c r="J75" i="79"/>
  <c r="AE86" i="162"/>
  <c r="AF86" i="162" s="1"/>
  <c r="AG86" i="162"/>
  <c r="AS86" i="163"/>
  <c r="AQ86" i="163"/>
  <c r="AR86" i="163" s="1"/>
  <c r="BY86" i="163"/>
  <c r="H86" i="163"/>
  <c r="I86" i="163" s="1"/>
  <c r="F86" i="163"/>
  <c r="BH86" i="162"/>
  <c r="BI86" i="162" s="1"/>
  <c r="BM86" i="162" s="1"/>
  <c r="BF86" i="162"/>
  <c r="BG86" i="162" s="1"/>
  <c r="CB86" i="162"/>
  <c r="BP86" i="162" s="1"/>
  <c r="CD86" i="162" s="1"/>
  <c r="AN86" i="163"/>
  <c r="AO86" i="163" s="1"/>
  <c r="BZ86" i="163"/>
  <c r="AL86" i="163"/>
  <c r="K86" i="162"/>
  <c r="L86" i="162" s="1"/>
  <c r="M86" i="162"/>
  <c r="AS86" i="162"/>
  <c r="AQ86" i="162"/>
  <c r="AR86" i="162" s="1"/>
  <c r="M86" i="163"/>
  <c r="K86" i="163"/>
  <c r="L86" i="163" s="1"/>
  <c r="P86" i="163"/>
  <c r="Q86" i="163" s="1"/>
  <c r="BX86" i="163"/>
  <c r="R86" i="163"/>
  <c r="S86" i="163" s="1"/>
  <c r="BS86" i="160"/>
  <c r="CG86" i="160" s="1"/>
  <c r="BT86" i="160"/>
  <c r="CH86" i="160" s="1"/>
  <c r="BX86" i="162"/>
  <c r="R86" i="162"/>
  <c r="S86" i="162" s="1"/>
  <c r="W86" i="162" s="1"/>
  <c r="P86" i="162"/>
  <c r="Q86" i="162" s="1"/>
  <c r="U86" i="163"/>
  <c r="V86" i="163" s="1"/>
  <c r="W86" i="163"/>
  <c r="BQ86" i="160"/>
  <c r="CE86" i="160" s="1"/>
  <c r="BR86" i="160"/>
  <c r="CF86" i="160" s="1"/>
  <c r="AE86" i="163"/>
  <c r="AF86" i="163" s="1"/>
  <c r="J86" i="159"/>
  <c r="G86" i="160"/>
  <c r="BY86" i="162"/>
  <c r="I61" i="79"/>
  <c r="BA86" i="162"/>
  <c r="BB86" i="162" s="1"/>
  <c r="BE86" i="159"/>
  <c r="AP86" i="159"/>
  <c r="AU86" i="159"/>
  <c r="BJ86" i="159"/>
  <c r="AK86" i="159"/>
  <c r="T86" i="159"/>
  <c r="E86" i="159"/>
  <c r="Y86" i="159"/>
  <c r="I86" i="162"/>
  <c r="BP72" i="158"/>
  <c r="CD72" i="158" s="1"/>
  <c r="BQ72" i="158"/>
  <c r="CE72" i="158" s="1"/>
  <c r="BR72" i="158"/>
  <c r="CF72" i="158" s="1"/>
  <c r="K72" i="158"/>
  <c r="L72" i="158" s="1"/>
  <c r="BY72" i="158"/>
  <c r="BX72" i="158"/>
  <c r="P72" i="158"/>
  <c r="Q72" i="158" s="1"/>
  <c r="R72" i="158"/>
  <c r="S72" i="158" s="1"/>
  <c r="W72" i="158" s="1"/>
  <c r="U72" i="158"/>
  <c r="V72" i="158" s="1"/>
  <c r="G72" i="158"/>
  <c r="AE72" i="158"/>
  <c r="AF72" i="158" s="1"/>
  <c r="AB72" i="158"/>
  <c r="AC72" i="158" s="1"/>
  <c r="AG72" i="158" s="1"/>
  <c r="BW72" i="158"/>
  <c r="Z72" i="158"/>
  <c r="AA72" i="158" s="1"/>
  <c r="I72" i="158"/>
  <c r="M72" i="158" s="1"/>
  <c r="CO86" i="160" l="1"/>
  <c r="CW86" i="160"/>
  <c r="CU86" i="160"/>
  <c r="CX86" i="160"/>
  <c r="CN86" i="160"/>
  <c r="CY86" i="160"/>
  <c r="CV86" i="160"/>
  <c r="CZ86" i="160"/>
  <c r="CK86" i="160"/>
  <c r="CT86" i="160"/>
  <c r="CL86" i="160"/>
  <c r="CS86" i="160"/>
  <c r="CQ86" i="160"/>
  <c r="CM86" i="160"/>
  <c r="CP86" i="160"/>
  <c r="CR86" i="160"/>
  <c r="BA86" i="159"/>
  <c r="BB86" i="159" s="1"/>
  <c r="R86" i="159"/>
  <c r="P86" i="159"/>
  <c r="Q86" i="159" s="1"/>
  <c r="T87" i="160"/>
  <c r="U87" i="160" s="1"/>
  <c r="V87" i="160" s="1"/>
  <c r="AB86" i="159"/>
  <c r="AC86" i="159" s="1"/>
  <c r="AG86" i="159" s="1"/>
  <c r="BW86" i="159"/>
  <c r="Z86" i="159"/>
  <c r="AA86" i="159" s="1"/>
  <c r="AP87" i="160"/>
  <c r="BJ87" i="160"/>
  <c r="AZ87" i="160"/>
  <c r="H86" i="159"/>
  <c r="I86" i="159" s="1"/>
  <c r="F86" i="159"/>
  <c r="BY86" i="159"/>
  <c r="K86" i="159"/>
  <c r="L86" i="159" s="1"/>
  <c r="M86" i="159"/>
  <c r="W86" i="159"/>
  <c r="U86" i="159"/>
  <c r="V86" i="159" s="1"/>
  <c r="BX86" i="159"/>
  <c r="AN86" i="159"/>
  <c r="AO86" i="159" s="1"/>
  <c r="AL86" i="159"/>
  <c r="BZ86" i="159"/>
  <c r="BT86" i="162"/>
  <c r="CH86" i="162" s="1"/>
  <c r="BS86" i="162"/>
  <c r="CG86" i="162" s="1"/>
  <c r="BR86" i="162"/>
  <c r="CF86" i="162" s="1"/>
  <c r="BQ86" i="162"/>
  <c r="CE86" i="162" s="1"/>
  <c r="BK86" i="159"/>
  <c r="BL86" i="159" s="1"/>
  <c r="AM86" i="162"/>
  <c r="AV86" i="159"/>
  <c r="AW86" i="159" s="1"/>
  <c r="CA86" i="159"/>
  <c r="AX86" i="159"/>
  <c r="AY86" i="159" s="1"/>
  <c r="AK87" i="160"/>
  <c r="AM86" i="163"/>
  <c r="G86" i="163"/>
  <c r="AQ86" i="159"/>
  <c r="AR86" i="159" s="1"/>
  <c r="AS86" i="159"/>
  <c r="BE87" i="160"/>
  <c r="O87" i="160"/>
  <c r="E87" i="160"/>
  <c r="J87" i="160"/>
  <c r="AD87" i="160"/>
  <c r="Y87" i="160"/>
  <c r="BR86" i="163"/>
  <c r="CF86" i="163" s="1"/>
  <c r="BP86" i="163"/>
  <c r="CD86" i="163" s="1"/>
  <c r="BQ86" i="163"/>
  <c r="CE86" i="163" s="1"/>
  <c r="S86" i="159"/>
  <c r="BF86" i="159"/>
  <c r="BG86" i="159" s="1"/>
  <c r="CB86" i="159"/>
  <c r="BH86" i="159"/>
  <c r="BI86" i="159" s="1"/>
  <c r="BM86" i="159" s="1"/>
  <c r="AU87" i="160"/>
  <c r="BT86" i="163"/>
  <c r="CH86" i="163" s="1"/>
  <c r="BS86" i="163"/>
  <c r="CG86" i="163" s="1"/>
  <c r="BU86" i="163"/>
  <c r="CI86" i="163" s="1"/>
  <c r="BS72" i="158"/>
  <c r="CG72" i="158" s="1"/>
  <c r="BT72" i="158"/>
  <c r="CH72" i="158" s="1"/>
  <c r="BU72" i="158"/>
  <c r="CI72" i="158" s="1"/>
  <c r="BE73" i="158"/>
  <c r="BH73" i="158" s="1"/>
  <c r="AK73" i="158"/>
  <c r="AN73" i="158" s="1"/>
  <c r="CO86" i="162" l="1"/>
  <c r="R75" i="79" s="1"/>
  <c r="CT72" i="158"/>
  <c r="W61" i="79" s="1"/>
  <c r="CO72" i="158"/>
  <c r="CS72" i="158"/>
  <c r="V61" i="79" s="1"/>
  <c r="CM86" i="162"/>
  <c r="CN86" i="162"/>
  <c r="CL72" i="158"/>
  <c r="O61" i="79" s="1"/>
  <c r="CV72" i="158"/>
  <c r="Y61" i="79" s="1"/>
  <c r="CW86" i="162"/>
  <c r="CQ86" i="162"/>
  <c r="T75" i="79" s="1"/>
  <c r="CQ72" i="158"/>
  <c r="CW72" i="158"/>
  <c r="Z61" i="79" s="1"/>
  <c r="CY86" i="162"/>
  <c r="CZ86" i="162"/>
  <c r="CK72" i="158"/>
  <c r="N61" i="79" s="1"/>
  <c r="CP72" i="158"/>
  <c r="CX86" i="162"/>
  <c r="CR86" i="162"/>
  <c r="U75" i="79" s="1"/>
  <c r="CN72" i="158"/>
  <c r="Q61" i="79" s="1"/>
  <c r="CU72" i="158"/>
  <c r="X61" i="79" s="1"/>
  <c r="CS86" i="162"/>
  <c r="CP86" i="162"/>
  <c r="S75" i="79" s="1"/>
  <c r="CR72" i="158"/>
  <c r="CZ72" i="158"/>
  <c r="AC61" i="79" s="1"/>
  <c r="CT86" i="162"/>
  <c r="CL86" i="162"/>
  <c r="CL86" i="163"/>
  <c r="CP86" i="163"/>
  <c r="CO86" i="163"/>
  <c r="CN86" i="163"/>
  <c r="CM86" i="163"/>
  <c r="CR86" i="163"/>
  <c r="CQ86" i="163"/>
  <c r="CK86" i="163"/>
  <c r="CV86" i="163"/>
  <c r="CT86" i="163"/>
  <c r="CZ86" i="163"/>
  <c r="CS86" i="163"/>
  <c r="CU86" i="163"/>
  <c r="CW86" i="163"/>
  <c r="CX86" i="163"/>
  <c r="CY86" i="163"/>
  <c r="CX72" i="158"/>
  <c r="AA61" i="79" s="1"/>
  <c r="CY72" i="158"/>
  <c r="AB61" i="79" s="1"/>
  <c r="CU86" i="162"/>
  <c r="CK86" i="162"/>
  <c r="CM72" i="158"/>
  <c r="P61" i="79" s="1"/>
  <c r="CV86" i="162"/>
  <c r="Y87" i="162"/>
  <c r="Z87" i="162" s="1"/>
  <c r="AA87" i="162" s="1"/>
  <c r="BJ87" i="162"/>
  <c r="BK87" i="162" s="1"/>
  <c r="BL87" i="162" s="1"/>
  <c r="AU87" i="163"/>
  <c r="AV87" i="163" s="1"/>
  <c r="AW87" i="163" s="1"/>
  <c r="J87" i="162"/>
  <c r="K87" i="162" s="1"/>
  <c r="L87" i="162" s="1"/>
  <c r="AZ87" i="163"/>
  <c r="BJ87" i="163"/>
  <c r="BK87" i="163" s="1"/>
  <c r="BL87" i="163" s="1"/>
  <c r="O87" i="163"/>
  <c r="R87" i="163" s="1"/>
  <c r="M87" i="160"/>
  <c r="K87" i="160"/>
  <c r="L87" i="160" s="1"/>
  <c r="J87" i="163"/>
  <c r="T87" i="163"/>
  <c r="E87" i="163"/>
  <c r="AD87" i="163"/>
  <c r="BA87" i="160"/>
  <c r="BB87" i="160" s="1"/>
  <c r="BK87" i="160"/>
  <c r="BL87" i="160" s="1"/>
  <c r="BX87" i="160"/>
  <c r="R87" i="160"/>
  <c r="S87" i="160" s="1"/>
  <c r="W87" i="160" s="1"/>
  <c r="P87" i="160"/>
  <c r="Q87" i="160" s="1"/>
  <c r="AU87" i="162"/>
  <c r="AS87" i="160"/>
  <c r="AQ87" i="160"/>
  <c r="AR87" i="160" s="1"/>
  <c r="BF87" i="160"/>
  <c r="BG87" i="160" s="1"/>
  <c r="CB87" i="160"/>
  <c r="BP87" i="160" s="1"/>
  <c r="CD87" i="160" s="1"/>
  <c r="BH87" i="160"/>
  <c r="BI87" i="160" s="1"/>
  <c r="BM87" i="160" s="1"/>
  <c r="BE87" i="163"/>
  <c r="AK87" i="162"/>
  <c r="BE87" i="162"/>
  <c r="AZ87" i="162"/>
  <c r="AN87" i="160"/>
  <c r="AO87" i="160" s="1"/>
  <c r="BZ87" i="160"/>
  <c r="AL87" i="160"/>
  <c r="AP87" i="162"/>
  <c r="BS86" i="159"/>
  <c r="CG86" i="159" s="1"/>
  <c r="BT86" i="159"/>
  <c r="CH86" i="159" s="1"/>
  <c r="BU86" i="159"/>
  <c r="CI86" i="159" s="1"/>
  <c r="H87" i="160"/>
  <c r="I87" i="160" s="1"/>
  <c r="F87" i="160"/>
  <c r="G87" i="160" s="1"/>
  <c r="BY87" i="160"/>
  <c r="BW87" i="160"/>
  <c r="AB87" i="160"/>
  <c r="AC87" i="160" s="1"/>
  <c r="AG87" i="160" s="1"/>
  <c r="Z87" i="160"/>
  <c r="AA87" i="160" s="1"/>
  <c r="AK87" i="163"/>
  <c r="AP87" i="163"/>
  <c r="E87" i="162"/>
  <c r="BP86" i="159"/>
  <c r="CD86" i="159" s="1"/>
  <c r="BR86" i="159"/>
  <c r="CF86" i="159" s="1"/>
  <c r="BQ86" i="159"/>
  <c r="CE86" i="159" s="1"/>
  <c r="G86" i="159"/>
  <c r="AV87" i="160"/>
  <c r="AW87" i="160" s="1"/>
  <c r="AX87" i="160"/>
  <c r="AY87" i="160" s="1"/>
  <c r="BC87" i="160" s="1"/>
  <c r="CA87" i="160"/>
  <c r="AE87" i="160"/>
  <c r="AF87" i="160" s="1"/>
  <c r="Y87" i="163"/>
  <c r="T87" i="162"/>
  <c r="AM86" i="159"/>
  <c r="O87" i="162"/>
  <c r="AD87" i="162"/>
  <c r="BJ73" i="158"/>
  <c r="CB73" i="158" s="1"/>
  <c r="AP73" i="158"/>
  <c r="AQ73" i="158" s="1"/>
  <c r="AR73" i="158" s="1"/>
  <c r="AZ73" i="158"/>
  <c r="BA73" i="158" s="1"/>
  <c r="BB73" i="158" s="1"/>
  <c r="AU73" i="158"/>
  <c r="AV73" i="158" s="1"/>
  <c r="AW73" i="158" s="1"/>
  <c r="BF73" i="158"/>
  <c r="BG73" i="158" s="1"/>
  <c r="AL73" i="158"/>
  <c r="AM73" i="158" s="1"/>
  <c r="E73" i="158"/>
  <c r="E62" i="79" s="1"/>
  <c r="Y73" i="158"/>
  <c r="J73" i="158"/>
  <c r="T73" i="158"/>
  <c r="M87" i="162" l="1"/>
  <c r="CN86" i="159"/>
  <c r="CR86" i="159"/>
  <c r="CK86" i="159"/>
  <c r="CS86" i="159"/>
  <c r="CO86" i="159"/>
  <c r="CM86" i="159"/>
  <c r="CQ86" i="159"/>
  <c r="CP86" i="159"/>
  <c r="CL86" i="159"/>
  <c r="CU86" i="159"/>
  <c r="CT86" i="159"/>
  <c r="CW86" i="159"/>
  <c r="CV86" i="159"/>
  <c r="CX86" i="159"/>
  <c r="CZ86" i="159"/>
  <c r="CY86" i="159"/>
  <c r="CA87" i="163"/>
  <c r="AB87" i="162"/>
  <c r="BU87" i="160"/>
  <c r="CI87" i="160" s="1"/>
  <c r="BA87" i="163"/>
  <c r="BB87" i="163" s="1"/>
  <c r="AX87" i="163"/>
  <c r="AY87" i="163" s="1"/>
  <c r="BC87" i="163"/>
  <c r="AK87" i="159"/>
  <c r="AN87" i="159" s="1"/>
  <c r="P87" i="163"/>
  <c r="Q87" i="163" s="1"/>
  <c r="G62" i="79"/>
  <c r="F76" i="79"/>
  <c r="O87" i="159"/>
  <c r="AZ87" i="159"/>
  <c r="BC87" i="159" s="1"/>
  <c r="BI73" i="158"/>
  <c r="BM73" i="158" s="1"/>
  <c r="BK73" i="158"/>
  <c r="BL73" i="158" s="1"/>
  <c r="AD87" i="159"/>
  <c r="AE87" i="159" s="1"/>
  <c r="AF87" i="159" s="1"/>
  <c r="BZ87" i="162"/>
  <c r="AN87" i="162"/>
  <c r="AO87" i="162" s="1"/>
  <c r="AL87" i="162"/>
  <c r="F87" i="163"/>
  <c r="BY87" i="163"/>
  <c r="H87" i="163"/>
  <c r="I87" i="163" s="1"/>
  <c r="S87" i="163"/>
  <c r="BF87" i="163"/>
  <c r="BG87" i="163" s="1"/>
  <c r="CB87" i="163"/>
  <c r="BH87" i="163"/>
  <c r="BI87" i="163" s="1"/>
  <c r="BM87" i="163" s="1"/>
  <c r="AX87" i="162"/>
  <c r="AY87" i="162" s="1"/>
  <c r="BC87" i="162" s="1"/>
  <c r="AV87" i="162"/>
  <c r="AW87" i="162" s="1"/>
  <c r="CA87" i="162"/>
  <c r="AC87" i="162"/>
  <c r="W87" i="163"/>
  <c r="U87" i="163"/>
  <c r="V87" i="163" s="1"/>
  <c r="BX87" i="163"/>
  <c r="J76" i="79"/>
  <c r="AE87" i="162"/>
  <c r="AF87" i="162" s="1"/>
  <c r="AG87" i="162"/>
  <c r="R87" i="162"/>
  <c r="S87" i="162" s="1"/>
  <c r="W87" i="162" s="1"/>
  <c r="P87" i="162"/>
  <c r="Q87" i="162" s="1"/>
  <c r="BX87" i="162"/>
  <c r="M87" i="163"/>
  <c r="K87" i="163"/>
  <c r="L87" i="163" s="1"/>
  <c r="AS87" i="162"/>
  <c r="AQ87" i="162"/>
  <c r="AR87" i="162" s="1"/>
  <c r="H87" i="162"/>
  <c r="I87" i="162" s="1"/>
  <c r="F87" i="162"/>
  <c r="BY87" i="162"/>
  <c r="BS87" i="160"/>
  <c r="CG87" i="160" s="1"/>
  <c r="BT87" i="160"/>
  <c r="CH87" i="160" s="1"/>
  <c r="AM87" i="160"/>
  <c r="BW87" i="162"/>
  <c r="BU87" i="162" s="1"/>
  <c r="CI87" i="162" s="1"/>
  <c r="AQ87" i="163"/>
  <c r="AR87" i="163" s="1"/>
  <c r="AS87" i="163"/>
  <c r="BQ87" i="160"/>
  <c r="CE87" i="160" s="1"/>
  <c r="BR87" i="160"/>
  <c r="I62" i="79"/>
  <c r="E87" i="159"/>
  <c r="Y87" i="159"/>
  <c r="T87" i="159"/>
  <c r="J87" i="159"/>
  <c r="BZ87" i="163"/>
  <c r="AN87" i="163"/>
  <c r="AO87" i="163" s="1"/>
  <c r="AL87" i="163"/>
  <c r="U87" i="162"/>
  <c r="V87" i="162" s="1"/>
  <c r="BA87" i="162"/>
  <c r="BB87" i="162" s="1"/>
  <c r="BW87" i="163"/>
  <c r="Z87" i="163"/>
  <c r="AA87" i="163" s="1"/>
  <c r="AB87" i="163"/>
  <c r="AC87" i="163" s="1"/>
  <c r="AG87" i="163" s="1"/>
  <c r="BE87" i="159"/>
  <c r="AP87" i="159"/>
  <c r="AU87" i="159"/>
  <c r="BJ87" i="159"/>
  <c r="CB87" i="162"/>
  <c r="BP87" i="162" s="1"/>
  <c r="CD87" i="162" s="1"/>
  <c r="BH87" i="162"/>
  <c r="BI87" i="162" s="1"/>
  <c r="BM87" i="162" s="1"/>
  <c r="BF87" i="162"/>
  <c r="BG87" i="162" s="1"/>
  <c r="AE87" i="163"/>
  <c r="AF87" i="163" s="1"/>
  <c r="AX73" i="158"/>
  <c r="AY73" i="158" s="1"/>
  <c r="BC73" i="158" s="1"/>
  <c r="CA73" i="158"/>
  <c r="AO73" i="158"/>
  <c r="AS73" i="158" s="1"/>
  <c r="BZ73" i="158"/>
  <c r="U73" i="158"/>
  <c r="V73" i="158" s="1"/>
  <c r="Z73" i="158"/>
  <c r="AA73" i="158" s="1"/>
  <c r="AB73" i="158"/>
  <c r="F73" i="158"/>
  <c r="H73" i="158"/>
  <c r="I73" i="158" s="1"/>
  <c r="M73" i="158" s="1"/>
  <c r="BY73" i="158"/>
  <c r="O73" i="158"/>
  <c r="H62" i="79" s="1"/>
  <c r="AD73" i="158"/>
  <c r="K62" i="79" s="1"/>
  <c r="K73" i="158"/>
  <c r="L73" i="158" s="1"/>
  <c r="AL87" i="159" l="1"/>
  <c r="AM87" i="159" s="1"/>
  <c r="AP88" i="160"/>
  <c r="AQ88" i="160" s="1"/>
  <c r="AR88" i="160" s="1"/>
  <c r="CF87" i="160"/>
  <c r="CQ87" i="160" s="1"/>
  <c r="L62" i="79"/>
  <c r="J88" i="160"/>
  <c r="M88" i="160" s="1"/>
  <c r="P87" i="159"/>
  <c r="Q87" i="159" s="1"/>
  <c r="BA87" i="159"/>
  <c r="BB87" i="159" s="1"/>
  <c r="Y88" i="160"/>
  <c r="Z88" i="160" s="1"/>
  <c r="AA88" i="160" s="1"/>
  <c r="R87" i="159"/>
  <c r="S87" i="159" s="1"/>
  <c r="T88" i="160"/>
  <c r="U88" i="160" s="1"/>
  <c r="V88" i="160" s="1"/>
  <c r="AS88" i="160"/>
  <c r="AM87" i="163"/>
  <c r="AK88" i="160"/>
  <c r="AU88" i="160"/>
  <c r="BE88" i="160"/>
  <c r="BQ87" i="162"/>
  <c r="CE87" i="162" s="1"/>
  <c r="BR87" i="162"/>
  <c r="CF87" i="162" s="1"/>
  <c r="AX87" i="159"/>
  <c r="AY87" i="159" s="1"/>
  <c r="AV87" i="159"/>
  <c r="AW87" i="159" s="1"/>
  <c r="CA87" i="159"/>
  <c r="BZ87" i="159"/>
  <c r="AO87" i="159"/>
  <c r="AQ87" i="159"/>
  <c r="AS87" i="159"/>
  <c r="BR87" i="163"/>
  <c r="CF87" i="163" s="1"/>
  <c r="BQ87" i="163"/>
  <c r="CE87" i="163" s="1"/>
  <c r="BP87" i="163"/>
  <c r="CD87" i="163" s="1"/>
  <c r="BH87" i="159"/>
  <c r="BI87" i="159" s="1"/>
  <c r="BM87" i="159" s="1"/>
  <c r="BF87" i="159"/>
  <c r="BG87" i="159" s="1"/>
  <c r="CB87" i="159"/>
  <c r="K87" i="159"/>
  <c r="L87" i="159" s="1"/>
  <c r="M87" i="159"/>
  <c r="O88" i="160"/>
  <c r="E88" i="160"/>
  <c r="AD88" i="160"/>
  <c r="BS87" i="163"/>
  <c r="CG87" i="163" s="1"/>
  <c r="BU87" i="163"/>
  <c r="CI87" i="163" s="1"/>
  <c r="BT87" i="163"/>
  <c r="CH87" i="163" s="1"/>
  <c r="U87" i="159"/>
  <c r="V87" i="159" s="1"/>
  <c r="W87" i="159"/>
  <c r="G87" i="163"/>
  <c r="BX87" i="159"/>
  <c r="AB87" i="159"/>
  <c r="AC87" i="159" s="1"/>
  <c r="AG87" i="159" s="1"/>
  <c r="BW87" i="159"/>
  <c r="Z87" i="159"/>
  <c r="AA87" i="159" s="1"/>
  <c r="AZ88" i="160"/>
  <c r="F87" i="159"/>
  <c r="H87" i="159"/>
  <c r="I87" i="159" s="1"/>
  <c r="BY87" i="159"/>
  <c r="BT87" i="162"/>
  <c r="CH87" i="162" s="1"/>
  <c r="BS87" i="162"/>
  <c r="AM87" i="162"/>
  <c r="BK87" i="159"/>
  <c r="BL87" i="159" s="1"/>
  <c r="BJ88" i="160"/>
  <c r="G87" i="162"/>
  <c r="BR73" i="158"/>
  <c r="CF73" i="158" s="1"/>
  <c r="BP73" i="158"/>
  <c r="CD73" i="158" s="1"/>
  <c r="BQ73" i="158"/>
  <c r="CE73" i="158" s="1"/>
  <c r="AE73" i="158"/>
  <c r="AF73" i="158" s="1"/>
  <c r="R73" i="158"/>
  <c r="S73" i="158" s="1"/>
  <c r="W73" i="158" s="1"/>
  <c r="P73" i="158"/>
  <c r="Q73" i="158" s="1"/>
  <c r="BW73" i="158"/>
  <c r="AC73" i="158"/>
  <c r="AG73" i="158" s="1"/>
  <c r="G73" i="158"/>
  <c r="BX73" i="158"/>
  <c r="BS73" i="158" s="1"/>
  <c r="CG73" i="158" s="1"/>
  <c r="AB88" i="160" l="1"/>
  <c r="CV87" i="160"/>
  <c r="CK87" i="160"/>
  <c r="CZ87" i="160"/>
  <c r="CO87" i="160"/>
  <c r="CS87" i="160"/>
  <c r="CT87" i="160"/>
  <c r="CP87" i="160"/>
  <c r="CR87" i="160"/>
  <c r="K88" i="160"/>
  <c r="L88" i="160" s="1"/>
  <c r="CY87" i="160"/>
  <c r="CX87" i="160"/>
  <c r="CM87" i="160"/>
  <c r="J88" i="162"/>
  <c r="M88" i="162" s="1"/>
  <c r="CG87" i="162"/>
  <c r="CK87" i="162" s="1"/>
  <c r="CU87" i="160"/>
  <c r="CW87" i="160"/>
  <c r="CQ87" i="163"/>
  <c r="CV87" i="163"/>
  <c r="CP87" i="163"/>
  <c r="CL87" i="163"/>
  <c r="CN87" i="163"/>
  <c r="CM87" i="163"/>
  <c r="CR87" i="163"/>
  <c r="CK87" i="163"/>
  <c r="CO87" i="163"/>
  <c r="CS87" i="163"/>
  <c r="CT87" i="163"/>
  <c r="CU87" i="163"/>
  <c r="CZ87" i="163"/>
  <c r="CX87" i="163"/>
  <c r="CW87" i="163"/>
  <c r="CY87" i="163"/>
  <c r="CL87" i="160"/>
  <c r="CN87" i="160"/>
  <c r="BJ88" i="162"/>
  <c r="BK88" i="162" s="1"/>
  <c r="BL88" i="162" s="1"/>
  <c r="BJ88" i="163"/>
  <c r="BK88" i="163" s="1"/>
  <c r="BL88" i="163" s="1"/>
  <c r="AU88" i="163"/>
  <c r="AX88" i="163" s="1"/>
  <c r="AC88" i="160"/>
  <c r="AG88" i="160" s="1"/>
  <c r="Y88" i="163"/>
  <c r="AB88" i="163" s="1"/>
  <c r="AZ88" i="163"/>
  <c r="K88" i="162"/>
  <c r="L88" i="162" s="1"/>
  <c r="E88" i="162"/>
  <c r="T88" i="162"/>
  <c r="AD88" i="162"/>
  <c r="O88" i="162"/>
  <c r="Y88" i="162"/>
  <c r="G87" i="159"/>
  <c r="E88" i="163"/>
  <c r="CA88" i="160"/>
  <c r="AX88" i="160"/>
  <c r="AY88" i="160" s="1"/>
  <c r="BC88" i="160" s="1"/>
  <c r="AV88" i="160"/>
  <c r="AW88" i="160" s="1"/>
  <c r="BZ88" i="160"/>
  <c r="AN88" i="160"/>
  <c r="AO88" i="160" s="1"/>
  <c r="AL88" i="160"/>
  <c r="BK88" i="160"/>
  <c r="BL88" i="160" s="1"/>
  <c r="J88" i="163"/>
  <c r="AE88" i="160"/>
  <c r="AF88" i="160" s="1"/>
  <c r="BW88" i="160"/>
  <c r="AR87" i="159"/>
  <c r="O88" i="163"/>
  <c r="AK88" i="163"/>
  <c r="AP88" i="163"/>
  <c r="BE88" i="163"/>
  <c r="CB88" i="160"/>
  <c r="BP88" i="160" s="1"/>
  <c r="CD88" i="160" s="1"/>
  <c r="BH88" i="160"/>
  <c r="BI88" i="160" s="1"/>
  <c r="BM88" i="160" s="1"/>
  <c r="BF88" i="160"/>
  <c r="BG88" i="160" s="1"/>
  <c r="T88" i="163"/>
  <c r="AD88" i="163"/>
  <c r="BC88" i="163"/>
  <c r="BA88" i="163"/>
  <c r="BB88" i="163" s="1"/>
  <c r="R88" i="160"/>
  <c r="S88" i="160" s="1"/>
  <c r="W88" i="160" s="1"/>
  <c r="BX88" i="160"/>
  <c r="P88" i="160"/>
  <c r="Q88" i="160" s="1"/>
  <c r="BQ87" i="159"/>
  <c r="CE87" i="159" s="1"/>
  <c r="BR87" i="159"/>
  <c r="CF87" i="159" s="1"/>
  <c r="BA88" i="160"/>
  <c r="BB88" i="160" s="1"/>
  <c r="AK88" i="162"/>
  <c r="AU88" i="162"/>
  <c r="BE88" i="162"/>
  <c r="AP88" i="162"/>
  <c r="AZ88" i="162"/>
  <c r="H88" i="160"/>
  <c r="I88" i="160" s="1"/>
  <c r="F88" i="160"/>
  <c r="BY88" i="160"/>
  <c r="BS87" i="159"/>
  <c r="CG87" i="159" s="1"/>
  <c r="BU87" i="159"/>
  <c r="CI87" i="159" s="1"/>
  <c r="BT87" i="159"/>
  <c r="CH87" i="159" s="1"/>
  <c r="BP87" i="159"/>
  <c r="CD87" i="159" s="1"/>
  <c r="BU73" i="158"/>
  <c r="CI73" i="158" s="1"/>
  <c r="BT73" i="158"/>
  <c r="CH73" i="158" s="1"/>
  <c r="BE74" i="158"/>
  <c r="BF74" i="158" s="1"/>
  <c r="BG74" i="158" s="1"/>
  <c r="AP74" i="158"/>
  <c r="AQ74" i="158" s="1"/>
  <c r="AR74" i="158" s="1"/>
  <c r="AU74" i="158"/>
  <c r="AV74" i="158" s="1"/>
  <c r="AW74" i="158" s="1"/>
  <c r="AZ74" i="158"/>
  <c r="BA74" i="158" s="1"/>
  <c r="BB74" i="158" s="1"/>
  <c r="AK74" i="158"/>
  <c r="BJ74" i="158"/>
  <c r="CZ73" i="158" l="1"/>
  <c r="AC62" i="79" s="1"/>
  <c r="BW88" i="163"/>
  <c r="AV88" i="163"/>
  <c r="AW88" i="163" s="1"/>
  <c r="CA88" i="163"/>
  <c r="CS87" i="162"/>
  <c r="CN73" i="158"/>
  <c r="Q62" i="79" s="1"/>
  <c r="CX73" i="158"/>
  <c r="AA62" i="79" s="1"/>
  <c r="CO87" i="162"/>
  <c r="R76" i="79" s="1"/>
  <c r="CM73" i="158"/>
  <c r="P62" i="79" s="1"/>
  <c r="CV73" i="158"/>
  <c r="Y62" i="79" s="1"/>
  <c r="CL87" i="162"/>
  <c r="CZ87" i="162"/>
  <c r="CT73" i="158"/>
  <c r="W62" i="79" s="1"/>
  <c r="CQ73" i="158"/>
  <c r="CP87" i="162"/>
  <c r="S76" i="79" s="1"/>
  <c r="CW87" i="162"/>
  <c r="CR73" i="158"/>
  <c r="CY73" i="158"/>
  <c r="AB62" i="79" s="1"/>
  <c r="CY87" i="162"/>
  <c r="CR87" i="162"/>
  <c r="U76" i="79" s="1"/>
  <c r="CL87" i="159"/>
  <c r="CR87" i="159"/>
  <c r="CQ87" i="159"/>
  <c r="CK87" i="159"/>
  <c r="CP87" i="159"/>
  <c r="CN87" i="159"/>
  <c r="CO87" i="159"/>
  <c r="CM87" i="159"/>
  <c r="CS87" i="159"/>
  <c r="CW87" i="159"/>
  <c r="CV87" i="159"/>
  <c r="CT87" i="159"/>
  <c r="CU87" i="159"/>
  <c r="CZ87" i="159"/>
  <c r="CX87" i="159"/>
  <c r="CY87" i="159"/>
  <c r="CQ87" i="162"/>
  <c r="T76" i="79" s="1"/>
  <c r="CK73" i="158"/>
  <c r="N62" i="79" s="1"/>
  <c r="CW73" i="158"/>
  <c r="Z62" i="79" s="1"/>
  <c r="CT87" i="162"/>
  <c r="CU87" i="162"/>
  <c r="CM87" i="162"/>
  <c r="CO73" i="158"/>
  <c r="CU73" i="158"/>
  <c r="X62" i="79" s="1"/>
  <c r="CV87" i="162"/>
  <c r="CX87" i="162"/>
  <c r="CL73" i="158"/>
  <c r="O62" i="79" s="1"/>
  <c r="CS73" i="158"/>
  <c r="V62" i="79" s="1"/>
  <c r="CN87" i="162"/>
  <c r="CP73" i="158"/>
  <c r="AY88" i="163"/>
  <c r="BE88" i="159"/>
  <c r="Z88" i="163"/>
  <c r="AA88" i="163" s="1"/>
  <c r="F77" i="79"/>
  <c r="CB74" i="158"/>
  <c r="AK88" i="159"/>
  <c r="AL88" i="159" s="1"/>
  <c r="AM88" i="159" s="1"/>
  <c r="AD88" i="159"/>
  <c r="AE88" i="159" s="1"/>
  <c r="AF88" i="159" s="1"/>
  <c r="BZ74" i="158"/>
  <c r="AP88" i="159"/>
  <c r="AU88" i="159"/>
  <c r="AV88" i="159" s="1"/>
  <c r="AW88" i="159" s="1"/>
  <c r="CA88" i="162"/>
  <c r="AV88" i="162"/>
  <c r="AW88" i="162" s="1"/>
  <c r="AX88" i="162"/>
  <c r="AY88" i="162" s="1"/>
  <c r="BC88" i="162" s="1"/>
  <c r="Z88" i="162"/>
  <c r="AA88" i="162" s="1"/>
  <c r="AB88" i="162"/>
  <c r="BW88" i="162"/>
  <c r="BU88" i="162" s="1"/>
  <c r="CI88" i="162" s="1"/>
  <c r="BZ88" i="162"/>
  <c r="AN88" i="162"/>
  <c r="AO88" i="162" s="1"/>
  <c r="AL88" i="162"/>
  <c r="T88" i="159"/>
  <c r="E88" i="159"/>
  <c r="Y88" i="159"/>
  <c r="AM88" i="160"/>
  <c r="BX88" i="162"/>
  <c r="R88" i="162"/>
  <c r="S88" i="162" s="1"/>
  <c r="W88" i="162" s="1"/>
  <c r="P88" i="162"/>
  <c r="Q88" i="162" s="1"/>
  <c r="BT88" i="160"/>
  <c r="CH88" i="160" s="1"/>
  <c r="BS88" i="160"/>
  <c r="CG88" i="160" s="1"/>
  <c r="BU88" i="160"/>
  <c r="CI88" i="160" s="1"/>
  <c r="J77" i="79"/>
  <c r="AG88" i="162"/>
  <c r="AE88" i="162"/>
  <c r="AF88" i="162" s="1"/>
  <c r="AC88" i="162"/>
  <c r="CB88" i="163"/>
  <c r="BH88" i="163"/>
  <c r="BI88" i="163" s="1"/>
  <c r="BM88" i="163" s="1"/>
  <c r="BF88" i="163"/>
  <c r="BG88" i="163" s="1"/>
  <c r="BR88" i="160"/>
  <c r="CF88" i="160" s="1"/>
  <c r="BQ88" i="160"/>
  <c r="F88" i="163"/>
  <c r="H88" i="163"/>
  <c r="I88" i="163" s="1"/>
  <c r="BY88" i="163"/>
  <c r="U88" i="162"/>
  <c r="V88" i="162" s="1"/>
  <c r="AC88" i="163"/>
  <c r="AG88" i="163" s="1"/>
  <c r="BH88" i="159"/>
  <c r="BF88" i="159"/>
  <c r="BG88" i="159" s="1"/>
  <c r="AS88" i="163"/>
  <c r="AQ88" i="163"/>
  <c r="AR88" i="163" s="1"/>
  <c r="H88" i="162"/>
  <c r="I88" i="162" s="1"/>
  <c r="BY88" i="162"/>
  <c r="F88" i="162"/>
  <c r="G88" i="160"/>
  <c r="AE88" i="163"/>
  <c r="AF88" i="163" s="1"/>
  <c r="BZ88" i="163"/>
  <c r="AN88" i="163"/>
  <c r="AO88" i="163" s="1"/>
  <c r="AL88" i="163"/>
  <c r="AM88" i="163" s="1"/>
  <c r="K88" i="163"/>
  <c r="L88" i="163" s="1"/>
  <c r="M88" i="163"/>
  <c r="BA88" i="162"/>
  <c r="BB88" i="162" s="1"/>
  <c r="AS88" i="162"/>
  <c r="AQ88" i="162"/>
  <c r="AR88" i="162" s="1"/>
  <c r="U88" i="163"/>
  <c r="V88" i="163" s="1"/>
  <c r="W88" i="163"/>
  <c r="BX88" i="163"/>
  <c r="R88" i="163"/>
  <c r="S88" i="163" s="1"/>
  <c r="P88" i="163"/>
  <c r="Q88" i="163" s="1"/>
  <c r="AX88" i="159"/>
  <c r="J88" i="159"/>
  <c r="BF88" i="162"/>
  <c r="BG88" i="162" s="1"/>
  <c r="BH88" i="162"/>
  <c r="BI88" i="162" s="1"/>
  <c r="BM88" i="162" s="1"/>
  <c r="CB88" i="162"/>
  <c r="BP88" i="162" s="1"/>
  <c r="CD88" i="162" s="1"/>
  <c r="O88" i="159"/>
  <c r="AZ88" i="159"/>
  <c r="CA88" i="159" s="1"/>
  <c r="BJ88" i="159"/>
  <c r="BH74" i="158"/>
  <c r="BI74" i="158" s="1"/>
  <c r="BM74" i="158" s="1"/>
  <c r="AX74" i="158"/>
  <c r="AY74" i="158" s="1"/>
  <c r="BC74" i="158" s="1"/>
  <c r="CA74" i="158"/>
  <c r="AL74" i="158"/>
  <c r="AM74" i="158" s="1"/>
  <c r="AN74" i="158"/>
  <c r="AO74" i="158" s="1"/>
  <c r="AS74" i="158" s="1"/>
  <c r="Y74" i="158"/>
  <c r="G63" i="79" s="1"/>
  <c r="AD74" i="158"/>
  <c r="K63" i="79" s="1"/>
  <c r="T74" i="158"/>
  <c r="O74" i="158"/>
  <c r="H63" i="79" s="1"/>
  <c r="BK74" i="158"/>
  <c r="BL74" i="158" s="1"/>
  <c r="E74" i="158"/>
  <c r="E63" i="79" s="1"/>
  <c r="J74" i="158"/>
  <c r="BJ89" i="160" l="1"/>
  <c r="BK89" i="160" s="1"/>
  <c r="BL89" i="160" s="1"/>
  <c r="CE88" i="160"/>
  <c r="L63" i="79"/>
  <c r="Y89" i="160"/>
  <c r="Z89" i="160" s="1"/>
  <c r="AA89" i="160" s="1"/>
  <c r="BP74" i="158"/>
  <c r="CD74" i="158" s="1"/>
  <c r="BZ88" i="159"/>
  <c r="BR88" i="159" s="1"/>
  <c r="CF88" i="159" s="1"/>
  <c r="AQ88" i="159"/>
  <c r="AR88" i="159" s="1"/>
  <c r="AS88" i="159"/>
  <c r="AN88" i="159"/>
  <c r="AO88" i="159" s="1"/>
  <c r="J89" i="160"/>
  <c r="M89" i="160" s="1"/>
  <c r="AU89" i="160"/>
  <c r="AX89" i="160" s="1"/>
  <c r="BE89" i="160"/>
  <c r="AD89" i="160"/>
  <c r="AE89" i="160" s="1"/>
  <c r="AF89" i="160" s="1"/>
  <c r="O89" i="160"/>
  <c r="P89" i="160" s="1"/>
  <c r="Q89" i="160" s="1"/>
  <c r="G88" i="162"/>
  <c r="G88" i="163"/>
  <c r="AB88" i="159"/>
  <c r="AC88" i="159" s="1"/>
  <c r="AG88" i="159" s="1"/>
  <c r="Z88" i="159"/>
  <c r="AA88" i="159" s="1"/>
  <c r="BW88" i="159"/>
  <c r="BT88" i="162"/>
  <c r="CH88" i="162" s="1"/>
  <c r="BS88" i="162"/>
  <c r="CG88" i="162" s="1"/>
  <c r="BI88" i="159"/>
  <c r="BM88" i="159" s="1"/>
  <c r="BY88" i="159"/>
  <c r="H88" i="159"/>
  <c r="I88" i="159" s="1"/>
  <c r="F88" i="159"/>
  <c r="U88" i="159"/>
  <c r="V88" i="159" s="1"/>
  <c r="W88" i="159"/>
  <c r="BQ88" i="159"/>
  <c r="CE88" i="159" s="1"/>
  <c r="BP88" i="159"/>
  <c r="CD88" i="159" s="1"/>
  <c r="BC88" i="159"/>
  <c r="BA88" i="159"/>
  <c r="BB88" i="159" s="1"/>
  <c r="AB89" i="160"/>
  <c r="AM88" i="162"/>
  <c r="AK89" i="160"/>
  <c r="AP89" i="160"/>
  <c r="T89" i="160"/>
  <c r="AZ89" i="160"/>
  <c r="P88" i="159"/>
  <c r="Q88" i="159" s="1"/>
  <c r="BX88" i="159"/>
  <c r="R88" i="159"/>
  <c r="S88" i="159" s="1"/>
  <c r="BT88" i="163"/>
  <c r="CH88" i="163" s="1"/>
  <c r="BS88" i="163"/>
  <c r="CG88" i="163" s="1"/>
  <c r="BU88" i="163"/>
  <c r="CI88" i="163" s="1"/>
  <c r="BQ88" i="162"/>
  <c r="CE88" i="162" s="1"/>
  <c r="BR88" i="162"/>
  <c r="CF88" i="162" s="1"/>
  <c r="BK88" i="159"/>
  <c r="BL88" i="159" s="1"/>
  <c r="K88" i="159"/>
  <c r="L88" i="159" s="1"/>
  <c r="M88" i="159"/>
  <c r="I63" i="79"/>
  <c r="AY88" i="159"/>
  <c r="BR88" i="163"/>
  <c r="CF88" i="163" s="1"/>
  <c r="BQ88" i="163"/>
  <c r="CE88" i="163" s="1"/>
  <c r="BP88" i="163"/>
  <c r="CD88" i="163" s="1"/>
  <c r="CB88" i="159"/>
  <c r="E89" i="160"/>
  <c r="BR74" i="158"/>
  <c r="CF74" i="158" s="1"/>
  <c r="BQ74" i="158"/>
  <c r="CE74" i="158" s="1"/>
  <c r="BX74" i="158"/>
  <c r="P74" i="158"/>
  <c r="Q74" i="158" s="1"/>
  <c r="R74" i="158"/>
  <c r="S74" i="158" s="1"/>
  <c r="W74" i="158" s="1"/>
  <c r="U74" i="158"/>
  <c r="V74" i="158" s="1"/>
  <c r="K74" i="158"/>
  <c r="L74" i="158" s="1"/>
  <c r="BW74" i="158"/>
  <c r="AE74" i="158"/>
  <c r="AF74" i="158" s="1"/>
  <c r="F74" i="158"/>
  <c r="BY74" i="158"/>
  <c r="H74" i="158"/>
  <c r="I74" i="158" s="1"/>
  <c r="M74" i="158" s="1"/>
  <c r="AB74" i="158"/>
  <c r="AC74" i="158" s="1"/>
  <c r="AG74" i="158" s="1"/>
  <c r="Z74" i="158"/>
  <c r="AA74" i="158" s="1"/>
  <c r="CV88" i="162" l="1"/>
  <c r="CB89" i="160"/>
  <c r="BP89" i="160" s="1"/>
  <c r="CD89" i="160" s="1"/>
  <c r="CX88" i="162"/>
  <c r="CR88" i="162"/>
  <c r="CY88" i="162"/>
  <c r="CL88" i="162"/>
  <c r="CW88" i="162"/>
  <c r="CM88" i="162"/>
  <c r="CU88" i="162"/>
  <c r="CO88" i="162"/>
  <c r="CS88" i="162"/>
  <c r="CP88" i="162"/>
  <c r="CT88" i="162"/>
  <c r="CQ88" i="162"/>
  <c r="CP88" i="160"/>
  <c r="CU88" i="160"/>
  <c r="CQ88" i="160"/>
  <c r="CM88" i="160"/>
  <c r="CV88" i="160"/>
  <c r="CS88" i="160"/>
  <c r="CR88" i="160"/>
  <c r="CY88" i="160"/>
  <c r="CL88" i="160"/>
  <c r="CZ88" i="160"/>
  <c r="CK88" i="160"/>
  <c r="CT88" i="160"/>
  <c r="CN88" i="160"/>
  <c r="CX88" i="160"/>
  <c r="CO88" i="160"/>
  <c r="CW88" i="160"/>
  <c r="CZ88" i="162"/>
  <c r="CK88" i="162"/>
  <c r="CV88" i="163"/>
  <c r="CL88" i="163"/>
  <c r="CP88" i="163"/>
  <c r="CR88" i="163"/>
  <c r="CM88" i="163"/>
  <c r="CK88" i="163"/>
  <c r="CO88" i="163"/>
  <c r="CQ88" i="163"/>
  <c r="CN88" i="163"/>
  <c r="CZ88" i="163"/>
  <c r="CU88" i="163"/>
  <c r="CS88" i="163"/>
  <c r="CT88" i="163"/>
  <c r="CY88" i="163"/>
  <c r="CX88" i="163"/>
  <c r="CW88" i="163"/>
  <c r="CN88" i="162"/>
  <c r="R89" i="160"/>
  <c r="S89" i="160" s="1"/>
  <c r="W89" i="160" s="1"/>
  <c r="BX89" i="160"/>
  <c r="J89" i="162"/>
  <c r="K89" i="162" s="1"/>
  <c r="L89" i="162" s="1"/>
  <c r="AC89" i="160"/>
  <c r="AG89" i="160" s="1"/>
  <c r="BH89" i="160"/>
  <c r="BI89" i="160" s="1"/>
  <c r="BM89" i="160" s="1"/>
  <c r="Y89" i="162"/>
  <c r="AB89" i="162" s="1"/>
  <c r="BW89" i="160"/>
  <c r="AV89" i="160"/>
  <c r="AW89" i="160" s="1"/>
  <c r="CA89" i="160"/>
  <c r="K89" i="160"/>
  <c r="L89" i="160" s="1"/>
  <c r="BF89" i="160"/>
  <c r="BG89" i="160" s="1"/>
  <c r="AU89" i="162"/>
  <c r="AV89" i="162" s="1"/>
  <c r="AW89" i="162" s="1"/>
  <c r="Y89" i="163"/>
  <c r="AB89" i="163" s="1"/>
  <c r="AU89" i="163"/>
  <c r="AX89" i="163" s="1"/>
  <c r="E89" i="162"/>
  <c r="F89" i="162" s="1"/>
  <c r="G89" i="162" s="1"/>
  <c r="AZ89" i="162"/>
  <c r="AN89" i="160"/>
  <c r="AO89" i="160" s="1"/>
  <c r="AL89" i="160"/>
  <c r="BZ89" i="160"/>
  <c r="BE89" i="163"/>
  <c r="AK89" i="163"/>
  <c r="AP89" i="163"/>
  <c r="AY89" i="160"/>
  <c r="BC89" i="160" s="1"/>
  <c r="BJ89" i="162"/>
  <c r="BA89" i="160"/>
  <c r="BB89" i="160" s="1"/>
  <c r="T89" i="162"/>
  <c r="O89" i="162"/>
  <c r="AD89" i="162"/>
  <c r="AK89" i="162"/>
  <c r="AP89" i="162"/>
  <c r="BE89" i="162"/>
  <c r="O89" i="163"/>
  <c r="J89" i="163"/>
  <c r="AD89" i="163"/>
  <c r="T89" i="163"/>
  <c r="G88" i="159"/>
  <c r="AU89" i="159" s="1"/>
  <c r="F89" i="160"/>
  <c r="H89" i="160"/>
  <c r="I89" i="160" s="1"/>
  <c r="BY89" i="160"/>
  <c r="U89" i="160"/>
  <c r="V89" i="160" s="1"/>
  <c r="E89" i="163"/>
  <c r="BU88" i="159"/>
  <c r="CI88" i="159" s="1"/>
  <c r="BT88" i="159"/>
  <c r="CH88" i="159" s="1"/>
  <c r="BS88" i="159"/>
  <c r="CG88" i="159" s="1"/>
  <c r="AZ89" i="163"/>
  <c r="AS89" i="160"/>
  <c r="AQ89" i="160"/>
  <c r="AR89" i="160" s="1"/>
  <c r="BJ89" i="163"/>
  <c r="BT74" i="158"/>
  <c r="CH74" i="158" s="1"/>
  <c r="BU74" i="158"/>
  <c r="CI74" i="158" s="1"/>
  <c r="BS74" i="158"/>
  <c r="CG74" i="158" s="1"/>
  <c r="G74" i="158"/>
  <c r="BE75" i="158" s="1"/>
  <c r="AX89" i="162" l="1"/>
  <c r="S77" i="79"/>
  <c r="CO88" i="159"/>
  <c r="U77" i="79"/>
  <c r="T77" i="79"/>
  <c r="BT89" i="160"/>
  <c r="CH89" i="160" s="1"/>
  <c r="R77" i="79"/>
  <c r="CP74" i="158"/>
  <c r="CK88" i="159"/>
  <c r="CN74" i="158"/>
  <c r="Q63" i="79" s="1"/>
  <c r="CZ74" i="158"/>
  <c r="AC63" i="79" s="1"/>
  <c r="CY88" i="159"/>
  <c r="CL88" i="159"/>
  <c r="CM74" i="158"/>
  <c r="P63" i="79" s="1"/>
  <c r="CU74" i="158"/>
  <c r="X63" i="79" s="1"/>
  <c r="CX88" i="159"/>
  <c r="CQ88" i="159"/>
  <c r="CL74" i="158"/>
  <c r="O63" i="79" s="1"/>
  <c r="CX74" i="158"/>
  <c r="AA63" i="79" s="1"/>
  <c r="CW88" i="159"/>
  <c r="CR88" i="159"/>
  <c r="CO74" i="158"/>
  <c r="CV74" i="158"/>
  <c r="Y63" i="79" s="1"/>
  <c r="CU88" i="159"/>
  <c r="CM88" i="159"/>
  <c r="BU89" i="160"/>
  <c r="CI89" i="160" s="1"/>
  <c r="CT74" i="158"/>
  <c r="W63" i="79" s="1"/>
  <c r="CW74" i="158"/>
  <c r="Z63" i="79" s="1"/>
  <c r="CV88" i="159"/>
  <c r="CS88" i="159"/>
  <c r="CR74" i="158"/>
  <c r="CQ74" i="158"/>
  <c r="CT88" i="159"/>
  <c r="CN88" i="159"/>
  <c r="CK74" i="158"/>
  <c r="N63" i="79" s="1"/>
  <c r="CS74" i="158"/>
  <c r="V63" i="79" s="1"/>
  <c r="CP88" i="159"/>
  <c r="CY74" i="158"/>
  <c r="AB63" i="79" s="1"/>
  <c r="CZ88" i="159"/>
  <c r="BW89" i="162"/>
  <c r="BU89" i="162" s="1"/>
  <c r="CI89" i="162" s="1"/>
  <c r="Z89" i="162"/>
  <c r="AA89" i="162" s="1"/>
  <c r="M89" i="162"/>
  <c r="Z89" i="163"/>
  <c r="AA89" i="163" s="1"/>
  <c r="BY89" i="162"/>
  <c r="AV89" i="163"/>
  <c r="AW89" i="163" s="1"/>
  <c r="F78" i="79"/>
  <c r="H89" i="162"/>
  <c r="I89" i="162" s="1"/>
  <c r="AK89" i="159"/>
  <c r="AN89" i="159" s="1"/>
  <c r="AP89" i="159"/>
  <c r="AQ89" i="159" s="1"/>
  <c r="AR89" i="159" s="1"/>
  <c r="AC89" i="162"/>
  <c r="BC89" i="163"/>
  <c r="BA89" i="163"/>
  <c r="BB89" i="163" s="1"/>
  <c r="U89" i="163"/>
  <c r="V89" i="163" s="1"/>
  <c r="W89" i="163"/>
  <c r="P89" i="162"/>
  <c r="Q89" i="162" s="1"/>
  <c r="R89" i="162"/>
  <c r="S89" i="162" s="1"/>
  <c r="W89" i="162" s="1"/>
  <c r="BX89" i="162"/>
  <c r="BQ89" i="160"/>
  <c r="CE89" i="160" s="1"/>
  <c r="BR89" i="160"/>
  <c r="CF89" i="160" s="1"/>
  <c r="AY89" i="163"/>
  <c r="BS89" i="160"/>
  <c r="CG89" i="160" s="1"/>
  <c r="AE89" i="163"/>
  <c r="AF89" i="163" s="1"/>
  <c r="U89" i="162"/>
  <c r="V89" i="162" s="1"/>
  <c r="AM89" i="160"/>
  <c r="M89" i="163"/>
  <c r="K89" i="163"/>
  <c r="L89" i="163" s="1"/>
  <c r="BK89" i="162"/>
  <c r="BL89" i="162" s="1"/>
  <c r="BK89" i="163"/>
  <c r="BL89" i="163" s="1"/>
  <c r="G89" i="160"/>
  <c r="BX89" i="163"/>
  <c r="R89" i="163"/>
  <c r="S89" i="163" s="1"/>
  <c r="P89" i="163"/>
  <c r="Q89" i="163" s="1"/>
  <c r="BW89" i="163"/>
  <c r="BH89" i="162"/>
  <c r="BI89" i="162" s="1"/>
  <c r="BM89" i="162" s="1"/>
  <c r="BF89" i="162"/>
  <c r="BG89" i="162" s="1"/>
  <c r="CB89" i="162"/>
  <c r="BP89" i="162" s="1"/>
  <c r="CD89" i="162" s="1"/>
  <c r="AS89" i="163"/>
  <c r="AQ89" i="163"/>
  <c r="AR89" i="163" s="1"/>
  <c r="BA89" i="162"/>
  <c r="BB89" i="162" s="1"/>
  <c r="AY89" i="162"/>
  <c r="BC89" i="162" s="1"/>
  <c r="AC89" i="163"/>
  <c r="AG89" i="163" s="1"/>
  <c r="BY89" i="163"/>
  <c r="H89" i="163"/>
  <c r="I89" i="163" s="1"/>
  <c r="F89" i="163"/>
  <c r="AQ89" i="162"/>
  <c r="AR89" i="162" s="1"/>
  <c r="AS89" i="162"/>
  <c r="AL89" i="163"/>
  <c r="BZ89" i="163"/>
  <c r="AN89" i="163"/>
  <c r="AO89" i="163" s="1"/>
  <c r="T89" i="159"/>
  <c r="J89" i="159"/>
  <c r="O89" i="159"/>
  <c r="E89" i="159"/>
  <c r="Y89" i="159"/>
  <c r="AD89" i="159"/>
  <c r="AV89" i="159"/>
  <c r="AW89" i="159" s="1"/>
  <c r="AX89" i="159"/>
  <c r="BZ89" i="162"/>
  <c r="AL89" i="162"/>
  <c r="AN89" i="162"/>
  <c r="AO89" i="162" s="1"/>
  <c r="BH89" i="163"/>
  <c r="BI89" i="163" s="1"/>
  <c r="BM89" i="163" s="1"/>
  <c r="CB89" i="163"/>
  <c r="BF89" i="163"/>
  <c r="BG89" i="163" s="1"/>
  <c r="BE89" i="159"/>
  <c r="BJ89" i="159"/>
  <c r="AZ89" i="159"/>
  <c r="CA89" i="159" s="1"/>
  <c r="J78" i="79"/>
  <c r="AG89" i="162"/>
  <c r="AE89" i="162"/>
  <c r="AF89" i="162" s="1"/>
  <c r="CA89" i="163"/>
  <c r="CA89" i="162"/>
  <c r="AU75" i="158"/>
  <c r="AK75" i="158"/>
  <c r="AN75" i="158" s="1"/>
  <c r="AZ75" i="158"/>
  <c r="BA75" i="158" s="1"/>
  <c r="BB75" i="158" s="1"/>
  <c r="AP75" i="158"/>
  <c r="BF75" i="158"/>
  <c r="BG75" i="158" s="1"/>
  <c r="BH75" i="158"/>
  <c r="BJ75" i="158"/>
  <c r="CB75" i="158" s="1"/>
  <c r="CP89" i="160" l="1"/>
  <c r="CY89" i="160"/>
  <c r="CU89" i="160"/>
  <c r="CS89" i="160"/>
  <c r="CO89" i="160"/>
  <c r="CT89" i="160"/>
  <c r="CM89" i="160"/>
  <c r="CX89" i="160"/>
  <c r="CQ89" i="160"/>
  <c r="CW89" i="160"/>
  <c r="CV89" i="160"/>
  <c r="CN89" i="160"/>
  <c r="CR89" i="160"/>
  <c r="CK89" i="160"/>
  <c r="CL89" i="160"/>
  <c r="CZ89" i="160"/>
  <c r="BT89" i="162"/>
  <c r="CH89" i="162" s="1"/>
  <c r="BZ89" i="159"/>
  <c r="BP89" i="159" s="1"/>
  <c r="CD89" i="159" s="1"/>
  <c r="AO89" i="159"/>
  <c r="AK90" i="160"/>
  <c r="AN90" i="160" s="1"/>
  <c r="BS89" i="162"/>
  <c r="CG89" i="162" s="1"/>
  <c r="AS89" i="159"/>
  <c r="AL89" i="159"/>
  <c r="AM89" i="159" s="1"/>
  <c r="AP90" i="160"/>
  <c r="AQ90" i="160" s="1"/>
  <c r="AR90" i="160" s="1"/>
  <c r="O90" i="160"/>
  <c r="R90" i="160" s="1"/>
  <c r="AD90" i="160"/>
  <c r="AE90" i="160" s="1"/>
  <c r="AF90" i="160" s="1"/>
  <c r="H89" i="159"/>
  <c r="I89" i="159" s="1"/>
  <c r="F89" i="159"/>
  <c r="BY89" i="159"/>
  <c r="Y90" i="160"/>
  <c r="BX89" i="159"/>
  <c r="R89" i="159"/>
  <c r="S89" i="159" s="1"/>
  <c r="P89" i="159"/>
  <c r="Q89" i="159" s="1"/>
  <c r="BU89" i="163"/>
  <c r="CI89" i="163" s="1"/>
  <c r="BT89" i="163"/>
  <c r="CH89" i="163" s="1"/>
  <c r="BS89" i="163"/>
  <c r="CG89" i="163" s="1"/>
  <c r="M89" i="159"/>
  <c r="K89" i="159"/>
  <c r="L89" i="159" s="1"/>
  <c r="J90" i="160"/>
  <c r="U89" i="159"/>
  <c r="V89" i="159" s="1"/>
  <c r="W89" i="159"/>
  <c r="AM89" i="162"/>
  <c r="BC89" i="159"/>
  <c r="BA89" i="159"/>
  <c r="BB89" i="159" s="1"/>
  <c r="AL75" i="158"/>
  <c r="AM75" i="158" s="1"/>
  <c r="CB89" i="159"/>
  <c r="BK89" i="159"/>
  <c r="BL89" i="159" s="1"/>
  <c r="AY89" i="159"/>
  <c r="T90" i="160"/>
  <c r="E90" i="160"/>
  <c r="BF89" i="159"/>
  <c r="BG89" i="159" s="1"/>
  <c r="BH89" i="159"/>
  <c r="BI89" i="159" s="1"/>
  <c r="BM89" i="159" s="1"/>
  <c r="AU90" i="160"/>
  <c r="BR89" i="162"/>
  <c r="CF89" i="162" s="1"/>
  <c r="BQ89" i="162"/>
  <c r="CE89" i="162" s="1"/>
  <c r="AE89" i="159"/>
  <c r="AF89" i="159" s="1"/>
  <c r="BQ89" i="163"/>
  <c r="CE89" i="163" s="1"/>
  <c r="BP89" i="163"/>
  <c r="CD89" i="163" s="1"/>
  <c r="BR89" i="163"/>
  <c r="CF89" i="163" s="1"/>
  <c r="BJ90" i="160"/>
  <c r="AB89" i="159"/>
  <c r="AC89" i="159" s="1"/>
  <c r="AG89" i="159" s="1"/>
  <c r="Z89" i="159"/>
  <c r="AA89" i="159" s="1"/>
  <c r="BW89" i="159"/>
  <c r="AM89" i="163"/>
  <c r="G89" i="163"/>
  <c r="BE90" i="160"/>
  <c r="AZ90" i="160"/>
  <c r="BZ75" i="158"/>
  <c r="AQ75" i="158"/>
  <c r="AR75" i="158" s="1"/>
  <c r="CA75" i="158"/>
  <c r="AX75" i="158"/>
  <c r="AY75" i="158" s="1"/>
  <c r="BC75" i="158" s="1"/>
  <c r="AV75" i="158"/>
  <c r="AW75" i="158" s="1"/>
  <c r="AO75" i="158"/>
  <c r="AS75" i="158" s="1"/>
  <c r="T75" i="158"/>
  <c r="E75" i="158"/>
  <c r="E64" i="79" s="1"/>
  <c r="O75" i="158"/>
  <c r="H64" i="79" s="1"/>
  <c r="BI75" i="158"/>
  <c r="BM75" i="158" s="1"/>
  <c r="J75" i="158"/>
  <c r="BK75" i="158"/>
  <c r="BL75" i="158" s="1"/>
  <c r="AD75" i="158"/>
  <c r="K64" i="79" s="1"/>
  <c r="Y75" i="158"/>
  <c r="G64" i="79" s="1"/>
  <c r="CR89" i="162" l="1"/>
  <c r="AL90" i="160"/>
  <c r="AM90" i="160" s="1"/>
  <c r="E90" i="162"/>
  <c r="CX89" i="162"/>
  <c r="CL89" i="162"/>
  <c r="CW89" i="162"/>
  <c r="CV89" i="162"/>
  <c r="T90" i="162"/>
  <c r="U90" i="162" s="1"/>
  <c r="V90" i="162" s="1"/>
  <c r="CY89" i="162"/>
  <c r="CO89" i="162"/>
  <c r="R78" i="79" s="1"/>
  <c r="CP89" i="163"/>
  <c r="CM89" i="163"/>
  <c r="CQ89" i="163"/>
  <c r="CV89" i="163"/>
  <c r="CR89" i="163"/>
  <c r="CN89" i="163"/>
  <c r="CK89" i="163"/>
  <c r="CO89" i="163"/>
  <c r="CL89" i="163"/>
  <c r="CT89" i="163"/>
  <c r="CS89" i="163"/>
  <c r="CZ89" i="163"/>
  <c r="CU89" i="163"/>
  <c r="CY89" i="163"/>
  <c r="CX89" i="163"/>
  <c r="CW89" i="163"/>
  <c r="U78" i="79"/>
  <c r="CU89" i="162"/>
  <c r="CK89" i="162"/>
  <c r="CT89" i="162"/>
  <c r="CZ89" i="162"/>
  <c r="CS89" i="162"/>
  <c r="CM89" i="162"/>
  <c r="CN89" i="162"/>
  <c r="CP89" i="162"/>
  <c r="S78" i="79" s="1"/>
  <c r="CQ89" i="162"/>
  <c r="T78" i="79" s="1"/>
  <c r="L64" i="79"/>
  <c r="BZ90" i="160"/>
  <c r="BR89" i="159"/>
  <c r="CF89" i="159" s="1"/>
  <c r="BQ89" i="159"/>
  <c r="CE89" i="159" s="1"/>
  <c r="O90" i="162"/>
  <c r="AS90" i="160"/>
  <c r="Y90" i="162"/>
  <c r="AB90" i="162" s="1"/>
  <c r="AO90" i="160"/>
  <c r="P90" i="160"/>
  <c r="Q90" i="160" s="1"/>
  <c r="J90" i="162"/>
  <c r="K90" i="162" s="1"/>
  <c r="L90" i="162" s="1"/>
  <c r="AZ90" i="163"/>
  <c r="BC90" i="163" s="1"/>
  <c r="AD90" i="163"/>
  <c r="AE90" i="163" s="1"/>
  <c r="AF90" i="163" s="1"/>
  <c r="AD90" i="162"/>
  <c r="AG90" i="162" s="1"/>
  <c r="AU90" i="163"/>
  <c r="AX90" i="163" s="1"/>
  <c r="E90" i="163"/>
  <c r="T90" i="163"/>
  <c r="O90" i="163"/>
  <c r="F90" i="160"/>
  <c r="H90" i="160"/>
  <c r="I90" i="160" s="1"/>
  <c r="BY90" i="160"/>
  <c r="G89" i="159"/>
  <c r="BA90" i="160"/>
  <c r="BB90" i="160" s="1"/>
  <c r="AK90" i="162"/>
  <c r="AZ90" i="162"/>
  <c r="BJ90" i="162"/>
  <c r="BE90" i="162"/>
  <c r="AU90" i="162"/>
  <c r="AP90" i="162"/>
  <c r="U90" i="160"/>
  <c r="V90" i="160" s="1"/>
  <c r="AB90" i="160"/>
  <c r="AC90" i="160" s="1"/>
  <c r="AG90" i="160" s="1"/>
  <c r="Z90" i="160"/>
  <c r="AA90" i="160" s="1"/>
  <c r="BW90" i="160"/>
  <c r="M90" i="160"/>
  <c r="K90" i="160"/>
  <c r="L90" i="160" s="1"/>
  <c r="J90" i="163"/>
  <c r="AP90" i="163"/>
  <c r="CA90" i="160"/>
  <c r="AX90" i="160"/>
  <c r="AY90" i="160" s="1"/>
  <c r="BC90" i="160" s="1"/>
  <c r="AV90" i="160"/>
  <c r="AW90" i="160" s="1"/>
  <c r="CB90" i="160"/>
  <c r="BP90" i="160" s="1"/>
  <c r="CD90" i="160" s="1"/>
  <c r="BH90" i="160"/>
  <c r="BI90" i="160" s="1"/>
  <c r="BM90" i="160" s="1"/>
  <c r="BF90" i="160"/>
  <c r="BG90" i="160" s="1"/>
  <c r="Z90" i="162"/>
  <c r="AA90" i="162" s="1"/>
  <c r="BK90" i="160"/>
  <c r="BL90" i="160" s="1"/>
  <c r="S90" i="160"/>
  <c r="W90" i="160" s="1"/>
  <c r="I64" i="79"/>
  <c r="AK90" i="163"/>
  <c r="BE90" i="163"/>
  <c r="BJ90" i="163"/>
  <c r="Y90" i="163"/>
  <c r="BY90" i="162"/>
  <c r="F90" i="162"/>
  <c r="G90" i="162" s="1"/>
  <c r="H90" i="162"/>
  <c r="BS89" i="159"/>
  <c r="CG89" i="159" s="1"/>
  <c r="BT89" i="159"/>
  <c r="CH89" i="159" s="1"/>
  <c r="BU89" i="159"/>
  <c r="CI89" i="159" s="1"/>
  <c r="BX90" i="160"/>
  <c r="BP75" i="158"/>
  <c r="CD75" i="158" s="1"/>
  <c r="BQ75" i="158"/>
  <c r="CE75" i="158" s="1"/>
  <c r="BR75" i="158"/>
  <c r="CF75" i="158" s="1"/>
  <c r="K75" i="158"/>
  <c r="L75" i="158" s="1"/>
  <c r="P75" i="158"/>
  <c r="Q75" i="158" s="1"/>
  <c r="R75" i="158"/>
  <c r="S75" i="158" s="1"/>
  <c r="W75" i="158" s="1"/>
  <c r="BX75" i="158"/>
  <c r="AE75" i="158"/>
  <c r="AF75" i="158" s="1"/>
  <c r="F75" i="158"/>
  <c r="H75" i="158"/>
  <c r="I75" i="158" s="1"/>
  <c r="M75" i="158" s="1"/>
  <c r="BY75" i="158"/>
  <c r="AB75" i="158"/>
  <c r="AC75" i="158" s="1"/>
  <c r="AG75" i="158" s="1"/>
  <c r="Z75" i="158"/>
  <c r="AA75" i="158" s="1"/>
  <c r="BW75" i="158"/>
  <c r="U75" i="158"/>
  <c r="V75" i="158" s="1"/>
  <c r="BX90" i="162" l="1"/>
  <c r="AU90" i="159"/>
  <c r="M90" i="162"/>
  <c r="BQ90" i="160"/>
  <c r="CE90" i="160" s="1"/>
  <c r="CP89" i="159"/>
  <c r="R90" i="162"/>
  <c r="S90" i="162" s="1"/>
  <c r="W90" i="162" s="1"/>
  <c r="P90" i="162"/>
  <c r="Q90" i="162" s="1"/>
  <c r="CN89" i="159"/>
  <c r="CQ89" i="159"/>
  <c r="CX89" i="159"/>
  <c r="CL89" i="159"/>
  <c r="CY89" i="159"/>
  <c r="CK89" i="159"/>
  <c r="CZ89" i="159"/>
  <c r="CO89" i="159"/>
  <c r="CW89" i="159"/>
  <c r="CR89" i="159"/>
  <c r="CT89" i="159"/>
  <c r="CS89" i="159"/>
  <c r="CU89" i="159"/>
  <c r="CM89" i="159"/>
  <c r="CV89" i="159"/>
  <c r="I90" i="162"/>
  <c r="F79" i="79"/>
  <c r="BW90" i="162"/>
  <c r="BU90" i="162" s="1"/>
  <c r="CI90" i="162" s="1"/>
  <c r="AE90" i="162"/>
  <c r="AF90" i="162" s="1"/>
  <c r="J79" i="79"/>
  <c r="CA90" i="163"/>
  <c r="BR90" i="160"/>
  <c r="CF90" i="160" s="1"/>
  <c r="BA90" i="163"/>
  <c r="BB90" i="163" s="1"/>
  <c r="AC90" i="162"/>
  <c r="AY90" i="163"/>
  <c r="AV90" i="163"/>
  <c r="AW90" i="163" s="1"/>
  <c r="BK90" i="162"/>
  <c r="BL90" i="162" s="1"/>
  <c r="BJ90" i="159"/>
  <c r="AZ90" i="159"/>
  <c r="CA90" i="159" s="1"/>
  <c r="BE90" i="159"/>
  <c r="BT90" i="162"/>
  <c r="CH90" i="162" s="1"/>
  <c r="BS90" i="162"/>
  <c r="CG90" i="162" s="1"/>
  <c r="BA90" i="162"/>
  <c r="BB90" i="162" s="1"/>
  <c r="BZ90" i="162"/>
  <c r="AN90" i="162"/>
  <c r="AO90" i="162" s="1"/>
  <c r="AL90" i="162"/>
  <c r="BS90" i="160"/>
  <c r="CG90" i="160" s="1"/>
  <c r="BT90" i="160"/>
  <c r="CH90" i="160" s="1"/>
  <c r="E90" i="159"/>
  <c r="O90" i="159"/>
  <c r="J90" i="159"/>
  <c r="AD90" i="159"/>
  <c r="Y90" i="159"/>
  <c r="T90" i="159"/>
  <c r="AB90" i="163"/>
  <c r="AC90" i="163" s="1"/>
  <c r="AG90" i="163" s="1"/>
  <c r="BW90" i="163"/>
  <c r="Z90" i="163"/>
  <c r="AA90" i="163" s="1"/>
  <c r="AQ90" i="163"/>
  <c r="AR90" i="163" s="1"/>
  <c r="AS90" i="163"/>
  <c r="BU90" i="160"/>
  <c r="CI90" i="160" s="1"/>
  <c r="G90" i="160"/>
  <c r="M90" i="163"/>
  <c r="K90" i="163"/>
  <c r="L90" i="163" s="1"/>
  <c r="AS90" i="162"/>
  <c r="AQ90" i="162"/>
  <c r="AR90" i="162" s="1"/>
  <c r="AV90" i="159"/>
  <c r="AW90" i="159" s="1"/>
  <c r="AX90" i="159"/>
  <c r="BX90" i="163"/>
  <c r="P90" i="163"/>
  <c r="Q90" i="163" s="1"/>
  <c r="R90" i="163"/>
  <c r="S90" i="163" s="1"/>
  <c r="BF90" i="163"/>
  <c r="BG90" i="163" s="1"/>
  <c r="CB90" i="163"/>
  <c r="BH90" i="163"/>
  <c r="BI90" i="163" s="1"/>
  <c r="BM90" i="163" s="1"/>
  <c r="AX90" i="162"/>
  <c r="AY90" i="162" s="1"/>
  <c r="BC90" i="162" s="1"/>
  <c r="AV90" i="162"/>
  <c r="AW90" i="162" s="1"/>
  <c r="CA90" i="162"/>
  <c r="AP90" i="159"/>
  <c r="U90" i="163"/>
  <c r="V90" i="163" s="1"/>
  <c r="W90" i="163"/>
  <c r="BK90" i="163"/>
  <c r="BL90" i="163" s="1"/>
  <c r="BZ90" i="163"/>
  <c r="AN90" i="163"/>
  <c r="AO90" i="163" s="1"/>
  <c r="AL90" i="163"/>
  <c r="BF90" i="162"/>
  <c r="BG90" i="162" s="1"/>
  <c r="CB90" i="162"/>
  <c r="BP90" i="162" s="1"/>
  <c r="CD90" i="162" s="1"/>
  <c r="BH90" i="162"/>
  <c r="BI90" i="162" s="1"/>
  <c r="BM90" i="162" s="1"/>
  <c r="AK90" i="159"/>
  <c r="H90" i="163"/>
  <c r="I90" i="163" s="1"/>
  <c r="F90" i="163"/>
  <c r="BY90" i="163"/>
  <c r="BS75" i="158"/>
  <c r="CG75" i="158" s="1"/>
  <c r="BT75" i="158"/>
  <c r="CH75" i="158" s="1"/>
  <c r="BU75" i="158"/>
  <c r="CI75" i="158" s="1"/>
  <c r="G75" i="158"/>
  <c r="AU76" i="158" s="1"/>
  <c r="CQ90" i="160" l="1"/>
  <c r="CZ75" i="158"/>
  <c r="AC64" i="79" s="1"/>
  <c r="CM90" i="160"/>
  <c r="CP90" i="160"/>
  <c r="CK75" i="158"/>
  <c r="N64" i="79" s="1"/>
  <c r="CX75" i="158"/>
  <c r="AA64" i="79" s="1"/>
  <c r="CR90" i="160"/>
  <c r="CV90" i="160"/>
  <c r="CR75" i="158"/>
  <c r="CQ75" i="158"/>
  <c r="CW90" i="160"/>
  <c r="CO90" i="160"/>
  <c r="CP75" i="158"/>
  <c r="CT75" i="158"/>
  <c r="W64" i="79" s="1"/>
  <c r="CX90" i="160"/>
  <c r="CK90" i="160"/>
  <c r="CO75" i="158"/>
  <c r="CW75" i="158"/>
  <c r="Z64" i="79" s="1"/>
  <c r="CY90" i="160"/>
  <c r="CN90" i="160"/>
  <c r="CV75" i="158"/>
  <c r="Y64" i="79" s="1"/>
  <c r="CS75" i="158"/>
  <c r="V64" i="79" s="1"/>
  <c r="CZ90" i="160"/>
  <c r="CU90" i="160"/>
  <c r="CN75" i="158"/>
  <c r="Q64" i="79" s="1"/>
  <c r="CY75" i="158"/>
  <c r="AB64" i="79" s="1"/>
  <c r="CS90" i="160"/>
  <c r="CL90" i="160"/>
  <c r="CM75" i="158"/>
  <c r="P64" i="79" s="1"/>
  <c r="CU75" i="158"/>
  <c r="X64" i="79" s="1"/>
  <c r="CT90" i="160"/>
  <c r="CL75" i="158"/>
  <c r="O64" i="79" s="1"/>
  <c r="AP91" i="160"/>
  <c r="AQ91" i="160" s="1"/>
  <c r="AR91" i="160" s="1"/>
  <c r="AK91" i="160"/>
  <c r="AN91" i="160" s="1"/>
  <c r="BT90" i="163"/>
  <c r="CH90" i="163" s="1"/>
  <c r="BS90" i="163"/>
  <c r="CG90" i="163" s="1"/>
  <c r="BU90" i="163"/>
  <c r="CI90" i="163" s="1"/>
  <c r="H90" i="159"/>
  <c r="I90" i="159" s="1"/>
  <c r="F90" i="159"/>
  <c r="BY90" i="159"/>
  <c r="AQ90" i="159"/>
  <c r="AR90" i="159" s="1"/>
  <c r="AS90" i="159"/>
  <c r="G90" i="163"/>
  <c r="BJ91" i="160"/>
  <c r="AZ91" i="160"/>
  <c r="BE91" i="160"/>
  <c r="AU91" i="160"/>
  <c r="O91" i="160"/>
  <c r="J91" i="160"/>
  <c r="AD91" i="160"/>
  <c r="T91" i="160"/>
  <c r="Y91" i="160"/>
  <c r="E91" i="160"/>
  <c r="U90" i="159"/>
  <c r="V90" i="159" s="1"/>
  <c r="W90" i="159"/>
  <c r="CB90" i="159"/>
  <c r="BH90" i="159"/>
  <c r="BI90" i="159" s="1"/>
  <c r="BM90" i="159" s="1"/>
  <c r="BF90" i="159"/>
  <c r="BG90" i="159" s="1"/>
  <c r="Z90" i="159"/>
  <c r="AA90" i="159" s="1"/>
  <c r="BW90" i="159"/>
  <c r="AB90" i="159"/>
  <c r="AC90" i="159" s="1"/>
  <c r="AG90" i="159" s="1"/>
  <c r="AM90" i="162"/>
  <c r="AD91" i="162" s="1"/>
  <c r="BC90" i="159"/>
  <c r="BA90" i="159"/>
  <c r="BB90" i="159" s="1"/>
  <c r="AL90" i="159"/>
  <c r="AM90" i="159" s="1"/>
  <c r="BZ90" i="159"/>
  <c r="AN90" i="159"/>
  <c r="AO90" i="159" s="1"/>
  <c r="AE90" i="159"/>
  <c r="AF90" i="159" s="1"/>
  <c r="BK90" i="159"/>
  <c r="BL90" i="159" s="1"/>
  <c r="M90" i="159"/>
  <c r="K90" i="159"/>
  <c r="L90" i="159" s="1"/>
  <c r="BQ90" i="162"/>
  <c r="CE90" i="162" s="1"/>
  <c r="BR90" i="162"/>
  <c r="CF90" i="162" s="1"/>
  <c r="AM90" i="163"/>
  <c r="BQ90" i="163"/>
  <c r="CE90" i="163" s="1"/>
  <c r="BP90" i="163"/>
  <c r="CD90" i="163" s="1"/>
  <c r="BR90" i="163"/>
  <c r="CF90" i="163" s="1"/>
  <c r="AY90" i="159"/>
  <c r="BX90" i="159"/>
  <c r="R90" i="159"/>
  <c r="S90" i="159" s="1"/>
  <c r="P90" i="159"/>
  <c r="Q90" i="159" s="1"/>
  <c r="BE76" i="158"/>
  <c r="BF76" i="158" s="1"/>
  <c r="BG76" i="158" s="1"/>
  <c r="BJ76" i="158"/>
  <c r="BK76" i="158" s="1"/>
  <c r="BL76" i="158" s="1"/>
  <c r="AZ76" i="158"/>
  <c r="BA76" i="158" s="1"/>
  <c r="BB76" i="158" s="1"/>
  <c r="AP76" i="158"/>
  <c r="AQ76" i="158" s="1"/>
  <c r="AR76" i="158" s="1"/>
  <c r="AK76" i="158"/>
  <c r="AX76" i="158"/>
  <c r="AV76" i="158"/>
  <c r="AW76" i="158" s="1"/>
  <c r="AO91" i="160" l="1"/>
  <c r="CR90" i="162"/>
  <c r="U79" i="79" s="1"/>
  <c r="CY90" i="162"/>
  <c r="CP90" i="162"/>
  <c r="S79" i="79" s="1"/>
  <c r="CW90" i="162"/>
  <c r="CQ90" i="162"/>
  <c r="T79" i="79" s="1"/>
  <c r="CS90" i="162"/>
  <c r="CL90" i="162"/>
  <c r="CT90" i="162"/>
  <c r="CK90" i="162"/>
  <c r="CU90" i="162"/>
  <c r="CM90" i="162"/>
  <c r="CN90" i="162"/>
  <c r="CZ90" i="162"/>
  <c r="AS91" i="160"/>
  <c r="CO90" i="162"/>
  <c r="R79" i="79" s="1"/>
  <c r="CV90" i="162"/>
  <c r="CL90" i="163"/>
  <c r="CQ90" i="163"/>
  <c r="CK90" i="163"/>
  <c r="CV90" i="163"/>
  <c r="CP90" i="163"/>
  <c r="CR90" i="163"/>
  <c r="CN90" i="163"/>
  <c r="CM90" i="163"/>
  <c r="CO90" i="163"/>
  <c r="CS90" i="163"/>
  <c r="CU90" i="163"/>
  <c r="CT90" i="163"/>
  <c r="CZ90" i="163"/>
  <c r="CW90" i="163"/>
  <c r="CX90" i="163"/>
  <c r="CY90" i="163"/>
  <c r="CX90" i="162"/>
  <c r="BZ91" i="160"/>
  <c r="AL91" i="160"/>
  <c r="AM91" i="160" s="1"/>
  <c r="J91" i="163"/>
  <c r="Y91" i="162"/>
  <c r="Z91" i="162" s="1"/>
  <c r="AA91" i="162" s="1"/>
  <c r="E91" i="162"/>
  <c r="H91" i="162" s="1"/>
  <c r="BE91" i="163"/>
  <c r="BF91" i="163" s="1"/>
  <c r="BG91" i="163" s="1"/>
  <c r="CA76" i="158"/>
  <c r="AY76" i="158"/>
  <c r="BC76" i="158" s="1"/>
  <c r="O91" i="162"/>
  <c r="P91" i="162" s="1"/>
  <c r="Q91" i="162" s="1"/>
  <c r="AD91" i="163"/>
  <c r="AE91" i="163" s="1"/>
  <c r="AF91" i="163" s="1"/>
  <c r="AP91" i="163"/>
  <c r="CB91" i="160"/>
  <c r="BP91" i="160" s="1"/>
  <c r="CD91" i="160" s="1"/>
  <c r="BF91" i="160"/>
  <c r="BG91" i="160" s="1"/>
  <c r="BH91" i="160"/>
  <c r="BI91" i="160" s="1"/>
  <c r="BM91" i="160" s="1"/>
  <c r="BJ91" i="163"/>
  <c r="F91" i="160"/>
  <c r="H91" i="160"/>
  <c r="I91" i="160" s="1"/>
  <c r="BY91" i="160"/>
  <c r="BA91" i="160"/>
  <c r="BB91" i="160" s="1"/>
  <c r="Z91" i="160"/>
  <c r="AA91" i="160" s="1"/>
  <c r="AB91" i="160"/>
  <c r="AC91" i="160" s="1"/>
  <c r="AG91" i="160" s="1"/>
  <c r="BW91" i="160"/>
  <c r="BK91" i="160"/>
  <c r="BL91" i="160" s="1"/>
  <c r="BU90" i="159"/>
  <c r="BS90" i="159"/>
  <c r="CG90" i="159" s="1"/>
  <c r="BT90" i="159"/>
  <c r="CH90" i="159" s="1"/>
  <c r="AE91" i="162"/>
  <c r="AF91" i="162" s="1"/>
  <c r="AG91" i="162"/>
  <c r="U91" i="160"/>
  <c r="V91" i="160" s="1"/>
  <c r="O91" i="163"/>
  <c r="G90" i="159"/>
  <c r="BP90" i="159"/>
  <c r="CD90" i="159" s="1"/>
  <c r="BQ90" i="159"/>
  <c r="CE90" i="159" s="1"/>
  <c r="BR90" i="159"/>
  <c r="CF90" i="159" s="1"/>
  <c r="AE91" i="160"/>
  <c r="AF91" i="160" s="1"/>
  <c r="AU91" i="163"/>
  <c r="Y91" i="163"/>
  <c r="AZ91" i="162"/>
  <c r="BJ91" i="162"/>
  <c r="BE91" i="162"/>
  <c r="AK91" i="162"/>
  <c r="AP91" i="162"/>
  <c r="AU91" i="162"/>
  <c r="K91" i="160"/>
  <c r="L91" i="160" s="1"/>
  <c r="M91" i="160"/>
  <c r="AZ91" i="163"/>
  <c r="T91" i="162"/>
  <c r="BX91" i="160"/>
  <c r="P91" i="160"/>
  <c r="Q91" i="160" s="1"/>
  <c r="R91" i="160"/>
  <c r="S91" i="160" s="1"/>
  <c r="W91" i="160" s="1"/>
  <c r="AK91" i="163"/>
  <c r="M91" i="163"/>
  <c r="K91" i="163"/>
  <c r="L91" i="163" s="1"/>
  <c r="E91" i="163"/>
  <c r="J91" i="162"/>
  <c r="CA91" i="160"/>
  <c r="BQ91" i="160" s="1"/>
  <c r="CE91" i="160" s="1"/>
  <c r="AV91" i="160"/>
  <c r="AW91" i="160" s="1"/>
  <c r="AX91" i="160"/>
  <c r="AY91" i="160" s="1"/>
  <c r="BC91" i="160" s="1"/>
  <c r="T91" i="163"/>
  <c r="BZ76" i="158"/>
  <c r="BH76" i="158"/>
  <c r="BI76" i="158" s="1"/>
  <c r="BM76" i="158" s="1"/>
  <c r="CB76" i="158"/>
  <c r="AL76" i="158"/>
  <c r="AM76" i="158" s="1"/>
  <c r="AN76" i="158"/>
  <c r="AO76" i="158" s="1"/>
  <c r="AS76" i="158" s="1"/>
  <c r="J76" i="158"/>
  <c r="F80" i="79" l="1"/>
  <c r="T91" i="159"/>
  <c r="U91" i="159" s="1"/>
  <c r="V91" i="159" s="1"/>
  <c r="CI90" i="159"/>
  <c r="CL90" i="159" s="1"/>
  <c r="J91" i="159"/>
  <c r="M91" i="159" s="1"/>
  <c r="AB91" i="162"/>
  <c r="AC91" i="162" s="1"/>
  <c r="Y91" i="159"/>
  <c r="AB91" i="159" s="1"/>
  <c r="BW91" i="162"/>
  <c r="BU91" i="162" s="1"/>
  <c r="CI91" i="162" s="1"/>
  <c r="F91" i="162"/>
  <c r="G91" i="162" s="1"/>
  <c r="BH91" i="163"/>
  <c r="R91" i="162"/>
  <c r="S91" i="162" s="1"/>
  <c r="W91" i="162" s="1"/>
  <c r="BX91" i="162"/>
  <c r="AU91" i="159"/>
  <c r="AV91" i="159" s="1"/>
  <c r="AW91" i="159" s="1"/>
  <c r="AD91" i="159"/>
  <c r="BW91" i="163"/>
  <c r="BA91" i="163"/>
  <c r="BB91" i="163" s="1"/>
  <c r="BC91" i="163"/>
  <c r="AN91" i="162"/>
  <c r="AO91" i="162" s="1"/>
  <c r="AL91" i="162"/>
  <c r="BZ91" i="162"/>
  <c r="P91" i="163"/>
  <c r="Q91" i="163" s="1"/>
  <c r="R91" i="163"/>
  <c r="S91" i="163" s="1"/>
  <c r="BX91" i="163"/>
  <c r="BU91" i="160"/>
  <c r="CI91" i="160" s="1"/>
  <c r="BH91" i="162"/>
  <c r="CB91" i="162"/>
  <c r="BP91" i="162" s="1"/>
  <c r="CD91" i="162" s="1"/>
  <c r="BF91" i="162"/>
  <c r="BG91" i="162" s="1"/>
  <c r="I91" i="162"/>
  <c r="AL91" i="163"/>
  <c r="AN91" i="163"/>
  <c r="AO91" i="163" s="1"/>
  <c r="BZ91" i="163"/>
  <c r="BK91" i="162"/>
  <c r="BL91" i="162" s="1"/>
  <c r="BI91" i="162"/>
  <c r="BM91" i="162" s="1"/>
  <c r="BT91" i="160"/>
  <c r="CH91" i="160" s="1"/>
  <c r="BS91" i="160"/>
  <c r="CG91" i="160" s="1"/>
  <c r="M91" i="162"/>
  <c r="K91" i="162"/>
  <c r="L91" i="162" s="1"/>
  <c r="K91" i="159"/>
  <c r="L91" i="159" s="1"/>
  <c r="BA91" i="162"/>
  <c r="BB91" i="162" s="1"/>
  <c r="F91" i="163"/>
  <c r="BY91" i="163"/>
  <c r="H91" i="163"/>
  <c r="I91" i="163" s="1"/>
  <c r="AB91" i="163"/>
  <c r="AC91" i="163" s="1"/>
  <c r="AG91" i="163" s="1"/>
  <c r="Z91" i="163"/>
  <c r="AA91" i="163" s="1"/>
  <c r="O91" i="159"/>
  <c r="G91" i="160"/>
  <c r="U91" i="163"/>
  <c r="V91" i="163" s="1"/>
  <c r="W91" i="163"/>
  <c r="BR91" i="160"/>
  <c r="CF91" i="160" s="1"/>
  <c r="BK91" i="163"/>
  <c r="BL91" i="163" s="1"/>
  <c r="CB91" i="163"/>
  <c r="U91" i="162"/>
  <c r="V91" i="162" s="1"/>
  <c r="AV91" i="162"/>
  <c r="AW91" i="162" s="1"/>
  <c r="CA91" i="162"/>
  <c r="AX91" i="162"/>
  <c r="AY91" i="162" s="1"/>
  <c r="BC91" i="162" s="1"/>
  <c r="J80" i="79"/>
  <c r="E91" i="159"/>
  <c r="AQ91" i="163"/>
  <c r="AR91" i="163" s="1"/>
  <c r="AS91" i="163"/>
  <c r="AQ91" i="162"/>
  <c r="AR91" i="162" s="1"/>
  <c r="AS91" i="162"/>
  <c r="AX91" i="163"/>
  <c r="AY91" i="163" s="1"/>
  <c r="AV91" i="163"/>
  <c r="AW91" i="163" s="1"/>
  <c r="CA91" i="163"/>
  <c r="AP91" i="159"/>
  <c r="AK91" i="159"/>
  <c r="AZ91" i="159"/>
  <c r="BJ91" i="159"/>
  <c r="BE91" i="159"/>
  <c r="BY91" i="162"/>
  <c r="BI91" i="163"/>
  <c r="BM91" i="163" s="1"/>
  <c r="BP76" i="158"/>
  <c r="CD76" i="158" s="1"/>
  <c r="BQ76" i="158"/>
  <c r="CE76" i="158" s="1"/>
  <c r="BR76" i="158"/>
  <c r="CF76" i="158" s="1"/>
  <c r="K76" i="158"/>
  <c r="L76" i="158" s="1"/>
  <c r="O76" i="158"/>
  <c r="H65" i="79" s="1"/>
  <c r="AD76" i="158"/>
  <c r="K65" i="79" s="1"/>
  <c r="T76" i="158"/>
  <c r="I65" i="79" s="1"/>
  <c r="Y76" i="158"/>
  <c r="G65" i="79" s="1"/>
  <c r="E76" i="158"/>
  <c r="E65" i="79" s="1"/>
  <c r="BW91" i="159" l="1"/>
  <c r="CY90" i="159"/>
  <c r="CP91" i="160"/>
  <c r="CM90" i="159"/>
  <c r="Z91" i="159"/>
  <c r="AA91" i="159" s="1"/>
  <c r="CS90" i="159"/>
  <c r="CR90" i="159"/>
  <c r="W91" i="159"/>
  <c r="CX90" i="159"/>
  <c r="CQ90" i="159"/>
  <c r="CW91" i="160"/>
  <c r="CN91" i="160"/>
  <c r="CV91" i="160"/>
  <c r="CX91" i="160"/>
  <c r="CK91" i="160"/>
  <c r="CZ90" i="159"/>
  <c r="CK90" i="159"/>
  <c r="CS91" i="160"/>
  <c r="CQ91" i="160"/>
  <c r="CT90" i="159"/>
  <c r="CP90" i="159"/>
  <c r="CT91" i="160"/>
  <c r="CL91" i="160"/>
  <c r="CU91" i="160"/>
  <c r="CV90" i="159"/>
  <c r="CO90" i="159"/>
  <c r="CY91" i="160"/>
  <c r="CR91" i="160"/>
  <c r="CW90" i="159"/>
  <c r="CN90" i="159"/>
  <c r="CZ91" i="160"/>
  <c r="CO91" i="160"/>
  <c r="CU90" i="159"/>
  <c r="CM91" i="160"/>
  <c r="L65" i="79"/>
  <c r="AX91" i="159"/>
  <c r="AE91" i="159"/>
  <c r="AF91" i="159" s="1"/>
  <c r="AC91" i="159"/>
  <c r="AG91" i="159" s="1"/>
  <c r="AP92" i="160"/>
  <c r="AQ92" i="160" s="1"/>
  <c r="AR92" i="160" s="1"/>
  <c r="BJ92" i="160"/>
  <c r="BK92" i="160" s="1"/>
  <c r="BL92" i="160" s="1"/>
  <c r="AK92" i="160"/>
  <c r="AN92" i="160" s="1"/>
  <c r="BH91" i="159"/>
  <c r="BI91" i="159" s="1"/>
  <c r="BM91" i="159" s="1"/>
  <c r="BF91" i="159"/>
  <c r="BG91" i="159" s="1"/>
  <c r="CB91" i="159"/>
  <c r="AM91" i="163"/>
  <c r="BS91" i="163"/>
  <c r="CG91" i="163" s="1"/>
  <c r="BU91" i="163"/>
  <c r="CI91" i="163" s="1"/>
  <c r="BT91" i="163"/>
  <c r="CH91" i="163" s="1"/>
  <c r="BK91" i="159"/>
  <c r="BL91" i="159" s="1"/>
  <c r="BA91" i="159"/>
  <c r="BB91" i="159" s="1"/>
  <c r="BC91" i="159"/>
  <c r="AY91" i="159"/>
  <c r="AU92" i="160"/>
  <c r="BE92" i="160"/>
  <c r="G91" i="163"/>
  <c r="P91" i="159"/>
  <c r="Q91" i="159" s="1"/>
  <c r="R91" i="159"/>
  <c r="S91" i="159" s="1"/>
  <c r="BX91" i="159"/>
  <c r="AQ91" i="159"/>
  <c r="AR91" i="159" s="1"/>
  <c r="AS91" i="159"/>
  <c r="Y92" i="160"/>
  <c r="O92" i="160"/>
  <c r="J92" i="160"/>
  <c r="E92" i="160"/>
  <c r="T92" i="160"/>
  <c r="AD92" i="160"/>
  <c r="BR91" i="162"/>
  <c r="CF91" i="162" s="1"/>
  <c r="BQ91" i="162"/>
  <c r="CE91" i="162" s="1"/>
  <c r="H91" i="159"/>
  <c r="I91" i="159" s="1"/>
  <c r="BY91" i="159"/>
  <c r="F91" i="159"/>
  <c r="BT91" i="162"/>
  <c r="CH91" i="162" s="1"/>
  <c r="BS91" i="162"/>
  <c r="CG91" i="162" s="1"/>
  <c r="BQ91" i="163"/>
  <c r="CE91" i="163" s="1"/>
  <c r="BR91" i="163"/>
  <c r="CF91" i="163" s="1"/>
  <c r="BP91" i="163"/>
  <c r="CD91" i="163" s="1"/>
  <c r="AM91" i="162"/>
  <c r="CA91" i="159"/>
  <c r="BZ91" i="159"/>
  <c r="AN91" i="159"/>
  <c r="AO91" i="159" s="1"/>
  <c r="AL91" i="159"/>
  <c r="AZ92" i="160"/>
  <c r="U76" i="158"/>
  <c r="V76" i="158" s="1"/>
  <c r="BW76" i="158"/>
  <c r="AB76" i="158"/>
  <c r="AC76" i="158" s="1"/>
  <c r="AG76" i="158" s="1"/>
  <c r="Z76" i="158"/>
  <c r="AA76" i="158" s="1"/>
  <c r="AE76" i="158"/>
  <c r="AF76" i="158" s="1"/>
  <c r="BY76" i="158"/>
  <c r="F76" i="158"/>
  <c r="H76" i="158"/>
  <c r="I76" i="158" s="1"/>
  <c r="M76" i="158" s="1"/>
  <c r="P76" i="158"/>
  <c r="Q76" i="158" s="1"/>
  <c r="R76" i="158"/>
  <c r="S76" i="158" s="1"/>
  <c r="W76" i="158" s="1"/>
  <c r="BX76" i="158"/>
  <c r="CN91" i="162" l="1"/>
  <c r="CT91" i="162"/>
  <c r="CZ91" i="162"/>
  <c r="CO91" i="162"/>
  <c r="R80" i="79" s="1"/>
  <c r="CQ91" i="162"/>
  <c r="T80" i="79" s="1"/>
  <c r="CM91" i="162"/>
  <c r="CL91" i="162"/>
  <c r="CV91" i="163"/>
  <c r="CP91" i="163"/>
  <c r="CM91" i="163"/>
  <c r="CQ91" i="163"/>
  <c r="CR91" i="163"/>
  <c r="CO91" i="163"/>
  <c r="CL91" i="163"/>
  <c r="CK91" i="163"/>
  <c r="CN91" i="163"/>
  <c r="CZ91" i="163"/>
  <c r="CU91" i="163"/>
  <c r="CS91" i="163"/>
  <c r="CT91" i="163"/>
  <c r="CX91" i="163"/>
  <c r="CY91" i="163"/>
  <c r="CW91" i="163"/>
  <c r="CY91" i="162"/>
  <c r="CP91" i="162"/>
  <c r="S80" i="79" s="1"/>
  <c r="CX91" i="162"/>
  <c r="CV91" i="162"/>
  <c r="CW91" i="162"/>
  <c r="CR91" i="162"/>
  <c r="U80" i="79" s="1"/>
  <c r="AO92" i="160"/>
  <c r="CU91" i="162"/>
  <c r="CK91" i="162"/>
  <c r="CS91" i="162"/>
  <c r="AS92" i="160"/>
  <c r="BZ92" i="160"/>
  <c r="E92" i="162"/>
  <c r="H92" i="162" s="1"/>
  <c r="AL92" i="160"/>
  <c r="AM92" i="160" s="1"/>
  <c r="J92" i="163"/>
  <c r="K92" i="163" s="1"/>
  <c r="L92" i="163" s="1"/>
  <c r="E92" i="163"/>
  <c r="H92" i="163" s="1"/>
  <c r="BE92" i="163"/>
  <c r="BH92" i="163" s="1"/>
  <c r="Y92" i="162"/>
  <c r="O92" i="163"/>
  <c r="R92" i="163" s="1"/>
  <c r="BJ92" i="162"/>
  <c r="BK92" i="162" s="1"/>
  <c r="BL92" i="162" s="1"/>
  <c r="AD92" i="162"/>
  <c r="AK92" i="162"/>
  <c r="BE92" i="162"/>
  <c r="AE92" i="160"/>
  <c r="AF92" i="160" s="1"/>
  <c r="G91" i="159"/>
  <c r="U92" i="160"/>
  <c r="V92" i="160" s="1"/>
  <c r="BA92" i="160"/>
  <c r="BB92" i="160" s="1"/>
  <c r="O92" i="162"/>
  <c r="J92" i="162"/>
  <c r="T92" i="162"/>
  <c r="BS91" i="159"/>
  <c r="CG91" i="159" s="1"/>
  <c r="BU91" i="159"/>
  <c r="CI91" i="159" s="1"/>
  <c r="BT91" i="159"/>
  <c r="CH91" i="159" s="1"/>
  <c r="F92" i="160"/>
  <c r="BY92" i="160"/>
  <c r="H92" i="160"/>
  <c r="I92" i="160" s="1"/>
  <c r="BJ92" i="163"/>
  <c r="AU92" i="163"/>
  <c r="K92" i="160"/>
  <c r="L92" i="160" s="1"/>
  <c r="M92" i="160"/>
  <c r="CB92" i="160"/>
  <c r="BP92" i="160" s="1"/>
  <c r="CD92" i="160" s="1"/>
  <c r="BH92" i="160"/>
  <c r="BI92" i="160" s="1"/>
  <c r="BM92" i="160" s="1"/>
  <c r="BF92" i="160"/>
  <c r="BG92" i="160" s="1"/>
  <c r="R92" i="160"/>
  <c r="S92" i="160" s="1"/>
  <c r="W92" i="160" s="1"/>
  <c r="P92" i="160"/>
  <c r="Q92" i="160" s="1"/>
  <c r="BX92" i="160"/>
  <c r="CA92" i="160"/>
  <c r="BR92" i="160" s="1"/>
  <c r="CF92" i="160" s="1"/>
  <c r="AX92" i="160"/>
  <c r="AY92" i="160" s="1"/>
  <c r="BC92" i="160" s="1"/>
  <c r="AV92" i="160"/>
  <c r="AW92" i="160" s="1"/>
  <c r="AM91" i="159"/>
  <c r="BQ91" i="159"/>
  <c r="CE91" i="159" s="1"/>
  <c r="BP91" i="159"/>
  <c r="CD91" i="159" s="1"/>
  <c r="BR91" i="159"/>
  <c r="CF91" i="159" s="1"/>
  <c r="AU92" i="162"/>
  <c r="AP92" i="162"/>
  <c r="Z92" i="160"/>
  <c r="AA92" i="160" s="1"/>
  <c r="AB92" i="160"/>
  <c r="AC92" i="160" s="1"/>
  <c r="AG92" i="160" s="1"/>
  <c r="BW92" i="160"/>
  <c r="AD92" i="163"/>
  <c r="Y92" i="163"/>
  <c r="T92" i="163"/>
  <c r="AP92" i="163"/>
  <c r="AK92" i="163"/>
  <c r="AZ92" i="162"/>
  <c r="AZ92" i="163"/>
  <c r="BS76" i="158"/>
  <c r="CG76" i="158" s="1"/>
  <c r="BU76" i="158"/>
  <c r="CI76" i="158" s="1"/>
  <c r="BT76" i="158"/>
  <c r="CH76" i="158" s="1"/>
  <c r="G76" i="158"/>
  <c r="BY92" i="163" l="1"/>
  <c r="CR91" i="159"/>
  <c r="CQ91" i="159"/>
  <c r="CL91" i="159"/>
  <c r="CP91" i="159"/>
  <c r="CK91" i="159"/>
  <c r="CO91" i="159"/>
  <c r="CN91" i="159"/>
  <c r="CM91" i="159"/>
  <c r="CS91" i="159"/>
  <c r="CV91" i="159"/>
  <c r="CT91" i="159"/>
  <c r="CW91" i="159"/>
  <c r="CU91" i="159"/>
  <c r="CX91" i="159"/>
  <c r="CY91" i="159"/>
  <c r="CZ91" i="159"/>
  <c r="F92" i="162"/>
  <c r="G92" i="162" s="1"/>
  <c r="I92" i="163"/>
  <c r="CZ76" i="158"/>
  <c r="AC65" i="79" s="1"/>
  <c r="CQ76" i="158"/>
  <c r="CW76" i="158"/>
  <c r="Z65" i="79" s="1"/>
  <c r="CR76" i="158"/>
  <c r="CU76" i="158"/>
  <c r="X65" i="79" s="1"/>
  <c r="CX76" i="158"/>
  <c r="AA65" i="79" s="1"/>
  <c r="CL76" i="158"/>
  <c r="O65" i="79" s="1"/>
  <c r="CV76" i="158"/>
  <c r="Y65" i="79" s="1"/>
  <c r="CM76" i="158"/>
  <c r="P65" i="79" s="1"/>
  <c r="CY76" i="158"/>
  <c r="AB65" i="79" s="1"/>
  <c r="CN76" i="158"/>
  <c r="Q65" i="79" s="1"/>
  <c r="CK76" i="158"/>
  <c r="N65" i="79" s="1"/>
  <c r="CS76" i="158"/>
  <c r="V65" i="79" s="1"/>
  <c r="CO76" i="158"/>
  <c r="CT76" i="158"/>
  <c r="W65" i="79" s="1"/>
  <c r="CP76" i="158"/>
  <c r="BY92" i="162"/>
  <c r="BF92" i="163"/>
  <c r="BG92" i="163" s="1"/>
  <c r="O92" i="159"/>
  <c r="P92" i="159" s="1"/>
  <c r="Q92" i="159" s="1"/>
  <c r="AD92" i="159"/>
  <c r="AE92" i="159" s="1"/>
  <c r="AF92" i="159" s="1"/>
  <c r="M92" i="163"/>
  <c r="F81" i="79"/>
  <c r="AB92" i="162"/>
  <c r="F92" i="163"/>
  <c r="G92" i="163" s="1"/>
  <c r="Z92" i="162"/>
  <c r="AA92" i="162" s="1"/>
  <c r="BU92" i="160"/>
  <c r="CI92" i="160" s="1"/>
  <c r="Y92" i="159"/>
  <c r="Z92" i="159" s="1"/>
  <c r="AA92" i="159" s="1"/>
  <c r="P92" i="163"/>
  <c r="Q92" i="163" s="1"/>
  <c r="J92" i="159"/>
  <c r="M92" i="159" s="1"/>
  <c r="AZ92" i="159"/>
  <c r="BC92" i="159" s="1"/>
  <c r="I92" i="162"/>
  <c r="AK92" i="159"/>
  <c r="AN92" i="159" s="1"/>
  <c r="AC92" i="162"/>
  <c r="BT92" i="160"/>
  <c r="CH92" i="160" s="1"/>
  <c r="BS92" i="160"/>
  <c r="CG92" i="160" s="1"/>
  <c r="BF92" i="162"/>
  <c r="BG92" i="162" s="1"/>
  <c r="CB92" i="162"/>
  <c r="BP92" i="162" s="1"/>
  <c r="CD92" i="162" s="1"/>
  <c r="BH92" i="162"/>
  <c r="BI92" i="162" s="1"/>
  <c r="BM92" i="162" s="1"/>
  <c r="G92" i="160"/>
  <c r="AP92" i="159"/>
  <c r="AL92" i="162"/>
  <c r="BZ92" i="162"/>
  <c r="AN92" i="162"/>
  <c r="AO92" i="162" s="1"/>
  <c r="AQ92" i="162"/>
  <c r="AR92" i="162" s="1"/>
  <c r="AS92" i="162"/>
  <c r="BJ92" i="159"/>
  <c r="BE92" i="159"/>
  <c r="E92" i="159"/>
  <c r="J81" i="79"/>
  <c r="AE92" i="162"/>
  <c r="AF92" i="162" s="1"/>
  <c r="AG92" i="162"/>
  <c r="W92" i="163"/>
  <c r="U92" i="163"/>
  <c r="V92" i="163" s="1"/>
  <c r="CA92" i="162"/>
  <c r="AX92" i="162"/>
  <c r="AY92" i="162" s="1"/>
  <c r="BC92" i="162" s="1"/>
  <c r="AV92" i="162"/>
  <c r="AW92" i="162" s="1"/>
  <c r="AV92" i="163"/>
  <c r="AW92" i="163" s="1"/>
  <c r="AX92" i="163"/>
  <c r="AY92" i="163" s="1"/>
  <c r="CA92" i="163"/>
  <c r="T92" i="159"/>
  <c r="BQ92" i="160"/>
  <c r="CE92" i="160" s="1"/>
  <c r="S92" i="163"/>
  <c r="BC92" i="163"/>
  <c r="BA92" i="163"/>
  <c r="BB92" i="163" s="1"/>
  <c r="BK92" i="163"/>
  <c r="BL92" i="163" s="1"/>
  <c r="BI92" i="163"/>
  <c r="BM92" i="163" s="1"/>
  <c r="U92" i="162"/>
  <c r="V92" i="162" s="1"/>
  <c r="BX92" i="163"/>
  <c r="BT92" i="163" s="1"/>
  <c r="CH92" i="163" s="1"/>
  <c r="AB92" i="163"/>
  <c r="AC92" i="163" s="1"/>
  <c r="AG92" i="163" s="1"/>
  <c r="BW92" i="163"/>
  <c r="Z92" i="163"/>
  <c r="AA92" i="163" s="1"/>
  <c r="AE92" i="163"/>
  <c r="AF92" i="163" s="1"/>
  <c r="M92" i="162"/>
  <c r="K92" i="162"/>
  <c r="L92" i="162" s="1"/>
  <c r="AU92" i="159"/>
  <c r="CB92" i="163"/>
  <c r="AS92" i="163"/>
  <c r="AQ92" i="163"/>
  <c r="AR92" i="163" s="1"/>
  <c r="BA92" i="162"/>
  <c r="BB92" i="162" s="1"/>
  <c r="BZ92" i="163"/>
  <c r="AN92" i="163"/>
  <c r="AO92" i="163" s="1"/>
  <c r="AL92" i="163"/>
  <c r="BX92" i="162"/>
  <c r="R92" i="162"/>
  <c r="S92" i="162" s="1"/>
  <c r="W92" i="162" s="1"/>
  <c r="P92" i="162"/>
  <c r="Q92" i="162" s="1"/>
  <c r="BW92" i="162"/>
  <c r="BU92" i="162" s="1"/>
  <c r="CI92" i="162" s="1"/>
  <c r="AK77" i="158"/>
  <c r="AN77" i="158" s="1"/>
  <c r="AZ77" i="158"/>
  <c r="BA77" i="158" s="1"/>
  <c r="BB77" i="158" s="1"/>
  <c r="AP77" i="158"/>
  <c r="AQ77" i="158" s="1"/>
  <c r="AR77" i="158" s="1"/>
  <c r="AU77" i="158"/>
  <c r="AV77" i="158" s="1"/>
  <c r="AW77" i="158" s="1"/>
  <c r="BJ77" i="158"/>
  <c r="BK77" i="158" s="1"/>
  <c r="BL77" i="158" s="1"/>
  <c r="BE77" i="158"/>
  <c r="BH77" i="158" s="1"/>
  <c r="J77" i="158"/>
  <c r="AD77" i="158"/>
  <c r="O77" i="158"/>
  <c r="H66" i="79" s="1"/>
  <c r="T77" i="158"/>
  <c r="U77" i="158" s="1"/>
  <c r="V77" i="158" s="1"/>
  <c r="E77" i="158"/>
  <c r="Y77" i="158"/>
  <c r="BT92" i="162" l="1"/>
  <c r="CH92" i="162" s="1"/>
  <c r="CX92" i="160"/>
  <c r="CV92" i="160"/>
  <c r="CK92" i="160"/>
  <c r="CW92" i="160"/>
  <c r="CU92" i="160"/>
  <c r="CY92" i="160"/>
  <c r="CL92" i="160"/>
  <c r="CS92" i="160"/>
  <c r="CM92" i="160"/>
  <c r="CZ92" i="160"/>
  <c r="CN92" i="160"/>
  <c r="CT92" i="160"/>
  <c r="CO92" i="160"/>
  <c r="CQ92" i="160"/>
  <c r="CR92" i="160"/>
  <c r="CP92" i="160"/>
  <c r="R92" i="159"/>
  <c r="S92" i="159" s="1"/>
  <c r="AL92" i="159"/>
  <c r="AM92" i="159" s="1"/>
  <c r="AB92" i="159"/>
  <c r="AC92" i="159" s="1"/>
  <c r="AG92" i="159" s="1"/>
  <c r="BW92" i="159"/>
  <c r="BI77" i="158"/>
  <c r="BM77" i="158" s="1"/>
  <c r="BA92" i="159"/>
  <c r="BB92" i="159" s="1"/>
  <c r="G66" i="79"/>
  <c r="E66" i="79"/>
  <c r="K92" i="159"/>
  <c r="L92" i="159" s="1"/>
  <c r="K66" i="79"/>
  <c r="I66" i="79"/>
  <c r="AZ93" i="160"/>
  <c r="BA93" i="160" s="1"/>
  <c r="BB93" i="160" s="1"/>
  <c r="AO77" i="158"/>
  <c r="AS77" i="158" s="1"/>
  <c r="U92" i="159"/>
  <c r="V92" i="159" s="1"/>
  <c r="W92" i="159"/>
  <c r="BS92" i="162"/>
  <c r="CG92" i="162" s="1"/>
  <c r="AO92" i="159"/>
  <c r="AS92" i="159"/>
  <c r="AQ92" i="159"/>
  <c r="Y93" i="160"/>
  <c r="AD93" i="160"/>
  <c r="E93" i="160"/>
  <c r="T93" i="160"/>
  <c r="O93" i="160"/>
  <c r="J93" i="160"/>
  <c r="F92" i="159"/>
  <c r="H92" i="159"/>
  <c r="I92" i="159" s="1"/>
  <c r="BU92" i="163"/>
  <c r="CI92" i="163" s="1"/>
  <c r="CB92" i="159"/>
  <c r="BF92" i="159"/>
  <c r="BG92" i="159" s="1"/>
  <c r="BH92" i="159"/>
  <c r="BI92" i="159" s="1"/>
  <c r="BM92" i="159" s="1"/>
  <c r="BS92" i="163"/>
  <c r="CG92" i="163" s="1"/>
  <c r="AM92" i="163"/>
  <c r="AL77" i="158"/>
  <c r="AM77" i="158" s="1"/>
  <c r="BP92" i="163"/>
  <c r="CD92" i="163" s="1"/>
  <c r="BQ92" i="163"/>
  <c r="CE92" i="163" s="1"/>
  <c r="BR92" i="163"/>
  <c r="CF92" i="163" s="1"/>
  <c r="BK92" i="159"/>
  <c r="BL92" i="159" s="1"/>
  <c r="CA92" i="159"/>
  <c r="AX92" i="159"/>
  <c r="AY92" i="159" s="1"/>
  <c r="AV92" i="159"/>
  <c r="AW92" i="159" s="1"/>
  <c r="BE93" i="160"/>
  <c r="BR92" i="162"/>
  <c r="CF92" i="162" s="1"/>
  <c r="BQ92" i="162"/>
  <c r="CE92" i="162" s="1"/>
  <c r="AP93" i="160"/>
  <c r="BX92" i="159"/>
  <c r="BZ92" i="159"/>
  <c r="AU93" i="160"/>
  <c r="AM92" i="162"/>
  <c r="BJ93" i="160"/>
  <c r="AK93" i="160"/>
  <c r="BY92" i="159"/>
  <c r="AX77" i="158"/>
  <c r="AY77" i="158" s="1"/>
  <c r="BC77" i="158" s="1"/>
  <c r="BZ77" i="158"/>
  <c r="CA77" i="158"/>
  <c r="BF77" i="158"/>
  <c r="BG77" i="158" s="1"/>
  <c r="CB77" i="158"/>
  <c r="BY77" i="158"/>
  <c r="H77" i="158"/>
  <c r="I77" i="158" s="1"/>
  <c r="M77" i="158" s="1"/>
  <c r="F77" i="158"/>
  <c r="BX77" i="158"/>
  <c r="R77" i="158"/>
  <c r="S77" i="158" s="1"/>
  <c r="W77" i="158" s="1"/>
  <c r="P77" i="158"/>
  <c r="Q77" i="158" s="1"/>
  <c r="Z77" i="158"/>
  <c r="AA77" i="158" s="1"/>
  <c r="AB77" i="158"/>
  <c r="AC77" i="158" s="1"/>
  <c r="AG77" i="158" s="1"/>
  <c r="BW77" i="158"/>
  <c r="K77" i="158"/>
  <c r="L77" i="158" s="1"/>
  <c r="AE77" i="158"/>
  <c r="AF77" i="158" s="1"/>
  <c r="CM92" i="162" l="1"/>
  <c r="CW92" i="162"/>
  <c r="CQ92" i="162"/>
  <c r="CM92" i="163"/>
  <c r="CV92" i="163"/>
  <c r="CP92" i="163"/>
  <c r="CQ92" i="163"/>
  <c r="CL92" i="163"/>
  <c r="CR92" i="163"/>
  <c r="CK92" i="163"/>
  <c r="CO92" i="163"/>
  <c r="CN92" i="163"/>
  <c r="CZ92" i="163"/>
  <c r="CU92" i="163"/>
  <c r="CS92" i="163"/>
  <c r="CT92" i="163"/>
  <c r="CX92" i="163"/>
  <c r="CW92" i="163"/>
  <c r="CY92" i="163"/>
  <c r="CX92" i="162"/>
  <c r="CK92" i="162"/>
  <c r="CU92" i="162"/>
  <c r="CN92" i="162"/>
  <c r="CS92" i="162"/>
  <c r="CO92" i="162"/>
  <c r="R81" i="79" s="1"/>
  <c r="T81" i="79"/>
  <c r="CT92" i="162"/>
  <c r="CP92" i="162"/>
  <c r="S81" i="79" s="1"/>
  <c r="CV92" i="162"/>
  <c r="CR92" i="162"/>
  <c r="U81" i="79" s="1"/>
  <c r="CZ92" i="162"/>
  <c r="CL92" i="162"/>
  <c r="CY92" i="162"/>
  <c r="L66" i="79"/>
  <c r="Y93" i="163"/>
  <c r="Z93" i="163" s="1"/>
  <c r="AA93" i="163" s="1"/>
  <c r="T93" i="163"/>
  <c r="U93" i="163" s="1"/>
  <c r="V93" i="163" s="1"/>
  <c r="E93" i="163"/>
  <c r="F93" i="163" s="1"/>
  <c r="G93" i="163" s="1"/>
  <c r="J93" i="163"/>
  <c r="M93" i="163" s="1"/>
  <c r="O93" i="163"/>
  <c r="P93" i="163" s="1"/>
  <c r="Q93" i="163" s="1"/>
  <c r="E93" i="162"/>
  <c r="AD93" i="162"/>
  <c r="J93" i="162"/>
  <c r="O93" i="162"/>
  <c r="T93" i="162"/>
  <c r="U93" i="162" s="1"/>
  <c r="V93" i="162" s="1"/>
  <c r="AZ93" i="162"/>
  <c r="AK93" i="162"/>
  <c r="U93" i="160"/>
  <c r="V93" i="160" s="1"/>
  <c r="AP93" i="162"/>
  <c r="F93" i="160"/>
  <c r="H93" i="160"/>
  <c r="I93" i="160" s="1"/>
  <c r="BY93" i="160"/>
  <c r="BJ93" i="162"/>
  <c r="BW93" i="160"/>
  <c r="AE93" i="160"/>
  <c r="AF93" i="160" s="1"/>
  <c r="AB93" i="163"/>
  <c r="AB93" i="160"/>
  <c r="AC93" i="160" s="1"/>
  <c r="AG93" i="160" s="1"/>
  <c r="Z93" i="160"/>
  <c r="AA93" i="160" s="1"/>
  <c r="AV93" i="160"/>
  <c r="AW93" i="160" s="1"/>
  <c r="AX93" i="160"/>
  <c r="AY93" i="160" s="1"/>
  <c r="BC93" i="160" s="1"/>
  <c r="CA93" i="160"/>
  <c r="BU92" i="159"/>
  <c r="CI92" i="159" s="1"/>
  <c r="BE93" i="163"/>
  <c r="BJ93" i="163"/>
  <c r="AU93" i="163"/>
  <c r="AZ93" i="163"/>
  <c r="AK93" i="163"/>
  <c r="AP93" i="163"/>
  <c r="AR92" i="159"/>
  <c r="BZ93" i="160"/>
  <c r="AL93" i="160"/>
  <c r="AM93" i="160" s="1"/>
  <c r="AN93" i="160"/>
  <c r="AO93" i="160" s="1"/>
  <c r="BR92" i="159"/>
  <c r="CF92" i="159" s="1"/>
  <c r="BP92" i="159"/>
  <c r="CD92" i="159" s="1"/>
  <c r="BQ92" i="159"/>
  <c r="CE92" i="159" s="1"/>
  <c r="AU93" i="162"/>
  <c r="BE93" i="162"/>
  <c r="G92" i="159"/>
  <c r="BS92" i="159"/>
  <c r="CG92" i="159" s="1"/>
  <c r="BT92" i="159"/>
  <c r="CH92" i="159" s="1"/>
  <c r="BK93" i="160"/>
  <c r="BL93" i="160" s="1"/>
  <c r="AQ93" i="160"/>
  <c r="AR93" i="160" s="1"/>
  <c r="AS93" i="160"/>
  <c r="M93" i="160"/>
  <c r="K93" i="160"/>
  <c r="L93" i="160" s="1"/>
  <c r="BF93" i="160"/>
  <c r="BG93" i="160" s="1"/>
  <c r="CB93" i="160"/>
  <c r="BP93" i="160" s="1"/>
  <c r="CD93" i="160" s="1"/>
  <c r="BH93" i="160"/>
  <c r="BI93" i="160" s="1"/>
  <c r="BM93" i="160" s="1"/>
  <c r="Y93" i="162"/>
  <c r="R93" i="160"/>
  <c r="S93" i="160" s="1"/>
  <c r="W93" i="160" s="1"/>
  <c r="P93" i="160"/>
  <c r="Q93" i="160" s="1"/>
  <c r="BX93" i="160"/>
  <c r="AD93" i="163"/>
  <c r="BS77" i="158"/>
  <c r="CG77" i="158" s="1"/>
  <c r="BT77" i="158"/>
  <c r="CH77" i="158" s="1"/>
  <c r="BU77" i="158"/>
  <c r="CI77" i="158" s="1"/>
  <c r="BR77" i="158"/>
  <c r="CF77" i="158" s="1"/>
  <c r="BP77" i="158"/>
  <c r="CD77" i="158" s="1"/>
  <c r="BQ77" i="158"/>
  <c r="CE77" i="158" s="1"/>
  <c r="G77" i="158"/>
  <c r="H93" i="163" l="1"/>
  <c r="CZ77" i="158"/>
  <c r="AC66" i="79" s="1"/>
  <c r="CS77" i="158"/>
  <c r="V66" i="79" s="1"/>
  <c r="CW77" i="158"/>
  <c r="Z66" i="79" s="1"/>
  <c r="CU77" i="158"/>
  <c r="X66" i="79" s="1"/>
  <c r="CX77" i="158"/>
  <c r="AA66" i="79" s="1"/>
  <c r="CV77" i="158"/>
  <c r="Y66" i="79" s="1"/>
  <c r="CQ77" i="158"/>
  <c r="CN77" i="158"/>
  <c r="Q66" i="79" s="1"/>
  <c r="CT77" i="158"/>
  <c r="W66" i="79" s="1"/>
  <c r="CP77" i="158"/>
  <c r="CR77" i="158"/>
  <c r="CK77" i="158"/>
  <c r="N66" i="79" s="1"/>
  <c r="CY77" i="158"/>
  <c r="AB66" i="79" s="1"/>
  <c r="CL77" i="158"/>
  <c r="O66" i="79" s="1"/>
  <c r="CM77" i="158"/>
  <c r="P66" i="79" s="1"/>
  <c r="CO77" i="158"/>
  <c r="CL92" i="159"/>
  <c r="CS92" i="159"/>
  <c r="CO92" i="159"/>
  <c r="CP92" i="159"/>
  <c r="CR92" i="159"/>
  <c r="CQ92" i="159"/>
  <c r="CK92" i="159"/>
  <c r="CM92" i="159"/>
  <c r="CN92" i="159"/>
  <c r="CV92" i="159"/>
  <c r="CU92" i="159"/>
  <c r="CW92" i="159"/>
  <c r="CT92" i="159"/>
  <c r="CZ92" i="159"/>
  <c r="CX92" i="159"/>
  <c r="CY92" i="159"/>
  <c r="I93" i="163"/>
  <c r="K93" i="163"/>
  <c r="L93" i="163" s="1"/>
  <c r="BX93" i="163"/>
  <c r="BY93" i="163"/>
  <c r="BT93" i="163" s="1"/>
  <c r="CH93" i="163" s="1"/>
  <c r="BU93" i="160"/>
  <c r="CI93" i="160" s="1"/>
  <c r="F82" i="79"/>
  <c r="R93" i="163"/>
  <c r="S93" i="163" s="1"/>
  <c r="W93" i="163"/>
  <c r="Y93" i="159"/>
  <c r="AB93" i="159" s="1"/>
  <c r="AZ93" i="159"/>
  <c r="BC93" i="159" s="1"/>
  <c r="J93" i="159"/>
  <c r="K93" i="159" s="1"/>
  <c r="L93" i="159" s="1"/>
  <c r="BF93" i="162"/>
  <c r="BG93" i="162" s="1"/>
  <c r="BH93" i="162"/>
  <c r="BI93" i="162" s="1"/>
  <c r="BM93" i="162" s="1"/>
  <c r="CB93" i="162"/>
  <c r="BP93" i="162" s="1"/>
  <c r="CD93" i="162" s="1"/>
  <c r="BQ93" i="160"/>
  <c r="CE93" i="160" s="1"/>
  <c r="BR93" i="160"/>
  <c r="CF93" i="160" s="1"/>
  <c r="BK93" i="163"/>
  <c r="BL93" i="163" s="1"/>
  <c r="P93" i="162"/>
  <c r="Q93" i="162" s="1"/>
  <c r="R93" i="162"/>
  <c r="S93" i="162" s="1"/>
  <c r="W93" i="162" s="1"/>
  <c r="BX93" i="162"/>
  <c r="BH93" i="163"/>
  <c r="BI93" i="163" s="1"/>
  <c r="BM93" i="163" s="1"/>
  <c r="BF93" i="163"/>
  <c r="BG93" i="163" s="1"/>
  <c r="CB93" i="163"/>
  <c r="G93" i="160"/>
  <c r="K93" i="162"/>
  <c r="L93" i="162" s="1"/>
  <c r="M93" i="162"/>
  <c r="AP93" i="159"/>
  <c r="J82" i="79"/>
  <c r="AG93" i="162"/>
  <c r="AE93" i="162"/>
  <c r="AF93" i="162" s="1"/>
  <c r="AE93" i="163"/>
  <c r="AF93" i="163" s="1"/>
  <c r="O93" i="159"/>
  <c r="AD93" i="159"/>
  <c r="T93" i="159"/>
  <c r="E93" i="159"/>
  <c r="F93" i="162"/>
  <c r="G93" i="162" s="1"/>
  <c r="BY93" i="162"/>
  <c r="H93" i="162"/>
  <c r="I93" i="162" s="1"/>
  <c r="AX93" i="162"/>
  <c r="AY93" i="162" s="1"/>
  <c r="BC93" i="162" s="1"/>
  <c r="CA93" i="162"/>
  <c r="AV93" i="162"/>
  <c r="AW93" i="162" s="1"/>
  <c r="AK78" i="158"/>
  <c r="AL78" i="158" s="1"/>
  <c r="AM78" i="158" s="1"/>
  <c r="AK93" i="159"/>
  <c r="AS93" i="163"/>
  <c r="AQ93" i="163"/>
  <c r="AR93" i="163" s="1"/>
  <c r="BW93" i="163"/>
  <c r="AC93" i="163"/>
  <c r="AG93" i="163" s="1"/>
  <c r="BK93" i="162"/>
  <c r="BL93" i="162" s="1"/>
  <c r="AQ93" i="162"/>
  <c r="AR93" i="162" s="1"/>
  <c r="AS93" i="162"/>
  <c r="AN93" i="162"/>
  <c r="AO93" i="162" s="1"/>
  <c r="AL93" i="162"/>
  <c r="AM93" i="162" s="1"/>
  <c r="BZ93" i="162"/>
  <c r="BZ93" i="163"/>
  <c r="AN93" i="163"/>
  <c r="AO93" i="163" s="1"/>
  <c r="AL93" i="163"/>
  <c r="BC93" i="163"/>
  <c r="BA93" i="163"/>
  <c r="BB93" i="163" s="1"/>
  <c r="BA93" i="162"/>
  <c r="BB93" i="162" s="1"/>
  <c r="BW93" i="162"/>
  <c r="BU93" i="162" s="1"/>
  <c r="CI93" i="162" s="1"/>
  <c r="Z93" i="162"/>
  <c r="AA93" i="162" s="1"/>
  <c r="AB93" i="162"/>
  <c r="AC93" i="162" s="1"/>
  <c r="BE93" i="159"/>
  <c r="BJ93" i="159"/>
  <c r="BK93" i="159" s="1"/>
  <c r="BL93" i="159" s="1"/>
  <c r="AU93" i="159"/>
  <c r="AX93" i="163"/>
  <c r="AY93" i="163" s="1"/>
  <c r="AV93" i="163"/>
  <c r="AW93" i="163" s="1"/>
  <c r="CA93" i="163"/>
  <c r="BT93" i="160"/>
  <c r="CH93" i="160" s="1"/>
  <c r="BS93" i="160"/>
  <c r="CG93" i="160" s="1"/>
  <c r="AU78" i="158"/>
  <c r="AX78" i="158" s="1"/>
  <c r="AP78" i="158"/>
  <c r="AQ78" i="158" s="1"/>
  <c r="AR78" i="158" s="1"/>
  <c r="BJ78" i="158"/>
  <c r="BK78" i="158" s="1"/>
  <c r="BL78" i="158" s="1"/>
  <c r="BE78" i="158"/>
  <c r="BH78" i="158" s="1"/>
  <c r="AZ78" i="158"/>
  <c r="BA78" i="158" s="1"/>
  <c r="BB78" i="158" s="1"/>
  <c r="O78" i="158"/>
  <c r="H67" i="79" s="1"/>
  <c r="AD78" i="158"/>
  <c r="J78" i="158"/>
  <c r="E78" i="158"/>
  <c r="T78" i="158"/>
  <c r="Y78" i="158"/>
  <c r="AZ94" i="160" l="1"/>
  <c r="BU93" i="163"/>
  <c r="CI93" i="163" s="1"/>
  <c r="BS93" i="163"/>
  <c r="CG93" i="163" s="1"/>
  <c r="E67" i="79"/>
  <c r="CQ93" i="160"/>
  <c r="BA93" i="159"/>
  <c r="BB93" i="159" s="1"/>
  <c r="CT93" i="160"/>
  <c r="CO93" i="160"/>
  <c r="CZ93" i="160"/>
  <c r="CU93" i="160"/>
  <c r="CY93" i="160"/>
  <c r="CM93" i="160"/>
  <c r="CS93" i="160"/>
  <c r="CR93" i="160"/>
  <c r="CK93" i="160"/>
  <c r="CP93" i="160"/>
  <c r="CL93" i="160"/>
  <c r="CV93" i="160"/>
  <c r="CW93" i="160"/>
  <c r="CN93" i="160"/>
  <c r="CX93" i="160"/>
  <c r="AN78" i="158"/>
  <c r="Z93" i="159"/>
  <c r="AA93" i="159" s="1"/>
  <c r="G67" i="79"/>
  <c r="AD94" i="160"/>
  <c r="AE94" i="160" s="1"/>
  <c r="AF94" i="160" s="1"/>
  <c r="K67" i="79"/>
  <c r="BI78" i="158"/>
  <c r="BM78" i="158" s="1"/>
  <c r="M93" i="159"/>
  <c r="I67" i="79"/>
  <c r="BA94" i="160"/>
  <c r="BB94" i="160" s="1"/>
  <c r="U93" i="159"/>
  <c r="V93" i="159" s="1"/>
  <c r="W93" i="159"/>
  <c r="J94" i="160"/>
  <c r="AC93" i="159"/>
  <c r="AG93" i="159" s="1"/>
  <c r="AE93" i="159"/>
  <c r="AF93" i="159" s="1"/>
  <c r="AP94" i="160"/>
  <c r="AK94" i="160"/>
  <c r="AU94" i="160"/>
  <c r="BJ94" i="160"/>
  <c r="BE94" i="160"/>
  <c r="AV93" i="159"/>
  <c r="AW93" i="159" s="1"/>
  <c r="AX93" i="159"/>
  <c r="AY93" i="159" s="1"/>
  <c r="BX93" i="159"/>
  <c r="R93" i="159"/>
  <c r="S93" i="159" s="1"/>
  <c r="P93" i="159"/>
  <c r="Q93" i="159" s="1"/>
  <c r="AO78" i="158"/>
  <c r="AS78" i="158" s="1"/>
  <c r="AM93" i="163"/>
  <c r="Y94" i="163" s="1"/>
  <c r="CA93" i="159"/>
  <c r="AV78" i="158"/>
  <c r="AW78" i="158" s="1"/>
  <c r="CB93" i="159"/>
  <c r="BF93" i="159"/>
  <c r="BG93" i="159" s="1"/>
  <c r="BH93" i="159"/>
  <c r="BI93" i="159" s="1"/>
  <c r="BM93" i="159" s="1"/>
  <c r="T94" i="160"/>
  <c r="BZ93" i="159"/>
  <c r="AL93" i="159"/>
  <c r="AN93" i="159"/>
  <c r="AO93" i="159" s="1"/>
  <c r="AS93" i="159"/>
  <c r="AQ93" i="159"/>
  <c r="AR93" i="159" s="1"/>
  <c r="BZ78" i="158"/>
  <c r="E94" i="160"/>
  <c r="BQ93" i="163"/>
  <c r="CE93" i="163" s="1"/>
  <c r="BR93" i="163"/>
  <c r="CF93" i="163" s="1"/>
  <c r="BP93" i="163"/>
  <c r="CD93" i="163" s="1"/>
  <c r="O94" i="160"/>
  <c r="BT93" i="162"/>
  <c r="CH93" i="162" s="1"/>
  <c r="BS93" i="162"/>
  <c r="Y94" i="160"/>
  <c r="BR93" i="162"/>
  <c r="CF93" i="162" s="1"/>
  <c r="BQ93" i="162"/>
  <c r="CE93" i="162" s="1"/>
  <c r="F93" i="159"/>
  <c r="BY93" i="159"/>
  <c r="H93" i="159"/>
  <c r="I93" i="159" s="1"/>
  <c r="BW93" i="159"/>
  <c r="BF78" i="158"/>
  <c r="BG78" i="158" s="1"/>
  <c r="AY78" i="158"/>
  <c r="BC78" i="158" s="1"/>
  <c r="CA78" i="158"/>
  <c r="CB78" i="158"/>
  <c r="H78" i="158"/>
  <c r="I78" i="158" s="1"/>
  <c r="M78" i="158" s="1"/>
  <c r="BY78" i="158"/>
  <c r="F78" i="158"/>
  <c r="AB78" i="158"/>
  <c r="AC78" i="158" s="1"/>
  <c r="AG78" i="158" s="1"/>
  <c r="Z78" i="158"/>
  <c r="AA78" i="158" s="1"/>
  <c r="BW78" i="158"/>
  <c r="AE78" i="158"/>
  <c r="AF78" i="158" s="1"/>
  <c r="U78" i="158"/>
  <c r="V78" i="158" s="1"/>
  <c r="P78" i="158"/>
  <c r="Q78" i="158" s="1"/>
  <c r="R78" i="158"/>
  <c r="S78" i="158" s="1"/>
  <c r="W78" i="158" s="1"/>
  <c r="BX78" i="158"/>
  <c r="K78" i="158"/>
  <c r="L78" i="158" s="1"/>
  <c r="BQ78" i="158" l="1"/>
  <c r="CE78" i="158" s="1"/>
  <c r="J94" i="162"/>
  <c r="K94" i="162" s="1"/>
  <c r="L94" i="162" s="1"/>
  <c r="CG93" i="162"/>
  <c r="CN93" i="162" s="1"/>
  <c r="CP93" i="163"/>
  <c r="CV93" i="163"/>
  <c r="CM93" i="163"/>
  <c r="CO93" i="163"/>
  <c r="CL93" i="163"/>
  <c r="CK93" i="163"/>
  <c r="CQ93" i="163"/>
  <c r="CN93" i="163"/>
  <c r="CR93" i="163"/>
  <c r="CS93" i="163"/>
  <c r="CZ93" i="163"/>
  <c r="CU93" i="163"/>
  <c r="CT93" i="163"/>
  <c r="CW93" i="163"/>
  <c r="CX93" i="163"/>
  <c r="CY93" i="163"/>
  <c r="CW93" i="162"/>
  <c r="CR93" i="162"/>
  <c r="U82" i="79" s="1"/>
  <c r="L67" i="79"/>
  <c r="O94" i="162"/>
  <c r="R94" i="162" s="1"/>
  <c r="AB94" i="163"/>
  <c r="Z94" i="163"/>
  <c r="AA94" i="163" s="1"/>
  <c r="AU94" i="162"/>
  <c r="AK94" i="162"/>
  <c r="BJ94" i="162"/>
  <c r="BE94" i="162"/>
  <c r="AP94" i="162"/>
  <c r="AZ94" i="162"/>
  <c r="AZ94" i="163"/>
  <c r="BJ94" i="163"/>
  <c r="AU94" i="163"/>
  <c r="BE94" i="163"/>
  <c r="AK94" i="163"/>
  <c r="AP94" i="163"/>
  <c r="J94" i="163"/>
  <c r="AX94" i="160"/>
  <c r="AY94" i="160" s="1"/>
  <c r="BC94" i="160" s="1"/>
  <c r="CA94" i="160"/>
  <c r="AV94" i="160"/>
  <c r="AW94" i="160" s="1"/>
  <c r="Z94" i="160"/>
  <c r="AA94" i="160" s="1"/>
  <c r="AB94" i="160"/>
  <c r="AC94" i="160" s="1"/>
  <c r="AG94" i="160" s="1"/>
  <c r="BW94" i="160"/>
  <c r="T94" i="163"/>
  <c r="AL94" i="160"/>
  <c r="AM94" i="160" s="1"/>
  <c r="BZ94" i="160"/>
  <c r="AN94" i="160"/>
  <c r="AO94" i="160" s="1"/>
  <c r="F94" i="160"/>
  <c r="BY94" i="160"/>
  <c r="H94" i="160"/>
  <c r="I94" i="160" s="1"/>
  <c r="AS94" i="160"/>
  <c r="AQ94" i="160"/>
  <c r="AR94" i="160" s="1"/>
  <c r="AM93" i="159"/>
  <c r="AD94" i="162"/>
  <c r="Y94" i="162"/>
  <c r="BP93" i="159"/>
  <c r="CD93" i="159" s="1"/>
  <c r="BR93" i="159"/>
  <c r="CF93" i="159" s="1"/>
  <c r="BQ93" i="159"/>
  <c r="CE93" i="159" s="1"/>
  <c r="AD94" i="163"/>
  <c r="T94" i="162"/>
  <c r="U94" i="160"/>
  <c r="V94" i="160" s="1"/>
  <c r="E94" i="162"/>
  <c r="BU93" i="159"/>
  <c r="CI93" i="159" s="1"/>
  <c r="BT93" i="159"/>
  <c r="CH93" i="159" s="1"/>
  <c r="BS93" i="159"/>
  <c r="CG93" i="159" s="1"/>
  <c r="O94" i="163"/>
  <c r="R94" i="160"/>
  <c r="S94" i="160" s="1"/>
  <c r="W94" i="160" s="1"/>
  <c r="P94" i="160"/>
  <c r="Q94" i="160" s="1"/>
  <c r="BX94" i="160"/>
  <c r="E94" i="163"/>
  <c r="BF94" i="160"/>
  <c r="BG94" i="160" s="1"/>
  <c r="BH94" i="160"/>
  <c r="BI94" i="160" s="1"/>
  <c r="BM94" i="160" s="1"/>
  <c r="CB94" i="160"/>
  <c r="BP94" i="160" s="1"/>
  <c r="CD94" i="160" s="1"/>
  <c r="G93" i="159"/>
  <c r="AZ94" i="159" s="1"/>
  <c r="BK94" i="160"/>
  <c r="BL94" i="160" s="1"/>
  <c r="K94" i="160"/>
  <c r="L94" i="160" s="1"/>
  <c r="M94" i="160"/>
  <c r="BT78" i="158"/>
  <c r="CH78" i="158" s="1"/>
  <c r="BU78" i="158"/>
  <c r="CI78" i="158" s="1"/>
  <c r="BS78" i="158"/>
  <c r="CG78" i="158" s="1"/>
  <c r="BP78" i="158"/>
  <c r="CD78" i="158" s="1"/>
  <c r="BR78" i="158"/>
  <c r="CF78" i="158" s="1"/>
  <c r="G78" i="158"/>
  <c r="BX94" i="162" l="1"/>
  <c r="M94" i="162"/>
  <c r="CU93" i="162"/>
  <c r="CX93" i="162"/>
  <c r="CP93" i="162"/>
  <c r="S82" i="79" s="1"/>
  <c r="CK93" i="162"/>
  <c r="CO93" i="162"/>
  <c r="R82" i="79" s="1"/>
  <c r="CQ93" i="162"/>
  <c r="T82" i="79" s="1"/>
  <c r="CM93" i="162"/>
  <c r="CY93" i="162"/>
  <c r="CS93" i="162"/>
  <c r="CW78" i="158"/>
  <c r="Z67" i="79" s="1"/>
  <c r="CY78" i="158"/>
  <c r="AB67" i="79" s="1"/>
  <c r="CV78" i="158"/>
  <c r="Y67" i="79" s="1"/>
  <c r="CZ78" i="158"/>
  <c r="AC67" i="79" s="1"/>
  <c r="CU78" i="158"/>
  <c r="X67" i="79" s="1"/>
  <c r="CX78" i="158"/>
  <c r="AA67" i="79" s="1"/>
  <c r="CS78" i="158"/>
  <c r="V67" i="79" s="1"/>
  <c r="CT78" i="158"/>
  <c r="W67" i="79" s="1"/>
  <c r="CL78" i="158"/>
  <c r="O67" i="79" s="1"/>
  <c r="CM78" i="158"/>
  <c r="P67" i="79" s="1"/>
  <c r="CO78" i="158"/>
  <c r="CN78" i="158"/>
  <c r="Q67" i="79" s="1"/>
  <c r="CP78" i="158"/>
  <c r="CQ78" i="158"/>
  <c r="CR78" i="158"/>
  <c r="CK78" i="158"/>
  <c r="N67" i="79" s="1"/>
  <c r="CV93" i="162"/>
  <c r="CZ93" i="162"/>
  <c r="CL93" i="159"/>
  <c r="CN93" i="159"/>
  <c r="CP93" i="159"/>
  <c r="CM93" i="159"/>
  <c r="CS93" i="159"/>
  <c r="CR93" i="159"/>
  <c r="CO93" i="159"/>
  <c r="CK93" i="159"/>
  <c r="CQ93" i="159"/>
  <c r="CU93" i="159"/>
  <c r="CW93" i="159"/>
  <c r="CT93" i="159"/>
  <c r="CV93" i="159"/>
  <c r="CY93" i="159"/>
  <c r="CZ93" i="159"/>
  <c r="CX93" i="159"/>
  <c r="CL93" i="162"/>
  <c r="CT93" i="162"/>
  <c r="F83" i="79"/>
  <c r="J94" i="159"/>
  <c r="K94" i="159" s="1"/>
  <c r="L94" i="159" s="1"/>
  <c r="P94" i="162"/>
  <c r="Q94" i="162" s="1"/>
  <c r="BJ94" i="159"/>
  <c r="BK94" i="159" s="1"/>
  <c r="BL94" i="159" s="1"/>
  <c r="AE94" i="163"/>
  <c r="AF94" i="163" s="1"/>
  <c r="Y94" i="159"/>
  <c r="U94" i="163"/>
  <c r="V94" i="163" s="1"/>
  <c r="W94" i="163"/>
  <c r="BA94" i="163"/>
  <c r="BB94" i="163" s="1"/>
  <c r="BC94" i="163"/>
  <c r="M94" i="163"/>
  <c r="K94" i="163"/>
  <c r="L94" i="163" s="1"/>
  <c r="BA94" i="162"/>
  <c r="BB94" i="162" s="1"/>
  <c r="BW94" i="163"/>
  <c r="H94" i="162"/>
  <c r="I94" i="162" s="1"/>
  <c r="F94" i="162"/>
  <c r="G94" i="162" s="1"/>
  <c r="BY94" i="162"/>
  <c r="BS94" i="160"/>
  <c r="CG94" i="160" s="1"/>
  <c r="BT94" i="160"/>
  <c r="CH94" i="160" s="1"/>
  <c r="BU94" i="160"/>
  <c r="CI94" i="160" s="1"/>
  <c r="AK94" i="159"/>
  <c r="AS94" i="162"/>
  <c r="AQ94" i="162"/>
  <c r="AR94" i="162" s="1"/>
  <c r="AC94" i="163"/>
  <c r="AG94" i="163" s="1"/>
  <c r="G94" i="160"/>
  <c r="AQ94" i="163"/>
  <c r="AR94" i="163" s="1"/>
  <c r="AS94" i="163"/>
  <c r="BH94" i="162"/>
  <c r="BI94" i="162" s="1"/>
  <c r="BM94" i="162" s="1"/>
  <c r="BF94" i="162"/>
  <c r="BG94" i="162" s="1"/>
  <c r="CB94" i="162"/>
  <c r="BP94" i="162" s="1"/>
  <c r="CD94" i="162" s="1"/>
  <c r="T94" i="159"/>
  <c r="Z94" i="162"/>
  <c r="AA94" i="162" s="1"/>
  <c r="AB94" i="162"/>
  <c r="AC94" i="162" s="1"/>
  <c r="BW94" i="162"/>
  <c r="BU94" i="162" s="1"/>
  <c r="CI94" i="162" s="1"/>
  <c r="BZ94" i="163"/>
  <c r="AN94" i="163"/>
  <c r="AO94" i="163" s="1"/>
  <c r="AL94" i="163"/>
  <c r="BK94" i="162"/>
  <c r="BL94" i="162" s="1"/>
  <c r="H94" i="163"/>
  <c r="I94" i="163" s="1"/>
  <c r="F94" i="163"/>
  <c r="G94" i="163" s="1"/>
  <c r="BY94" i="163"/>
  <c r="J83" i="79"/>
  <c r="AG94" i="162"/>
  <c r="AE94" i="162"/>
  <c r="AF94" i="162" s="1"/>
  <c r="CB94" i="163"/>
  <c r="BH94" i="163"/>
  <c r="BI94" i="163" s="1"/>
  <c r="BM94" i="163" s="1"/>
  <c r="BF94" i="163"/>
  <c r="BG94" i="163" s="1"/>
  <c r="AL94" i="162"/>
  <c r="BZ94" i="162"/>
  <c r="AN94" i="162"/>
  <c r="AO94" i="162" s="1"/>
  <c r="U94" i="162"/>
  <c r="V94" i="162" s="1"/>
  <c r="AX94" i="163"/>
  <c r="AY94" i="163" s="1"/>
  <c r="AV94" i="163"/>
  <c r="AW94" i="163" s="1"/>
  <c r="CA94" i="163"/>
  <c r="CA94" i="162"/>
  <c r="AV94" i="162"/>
  <c r="AW94" i="162" s="1"/>
  <c r="AX94" i="162"/>
  <c r="AY94" i="162" s="1"/>
  <c r="BC94" i="162" s="1"/>
  <c r="S94" i="162"/>
  <c r="W94" i="162" s="1"/>
  <c r="BC94" i="159"/>
  <c r="BA94" i="159"/>
  <c r="BB94" i="159" s="1"/>
  <c r="P94" i="163"/>
  <c r="Q94" i="163" s="1"/>
  <c r="BX94" i="163"/>
  <c r="R94" i="163"/>
  <c r="S94" i="163" s="1"/>
  <c r="AZ79" i="158"/>
  <c r="BA79" i="158" s="1"/>
  <c r="BB79" i="158" s="1"/>
  <c r="AP94" i="159"/>
  <c r="AD94" i="159"/>
  <c r="E94" i="159"/>
  <c r="BQ94" i="160"/>
  <c r="CE94" i="160" s="1"/>
  <c r="BR94" i="160"/>
  <c r="CF94" i="160" s="1"/>
  <c r="O94" i="159"/>
  <c r="AU94" i="159"/>
  <c r="CA94" i="159" s="1"/>
  <c r="BK94" i="163"/>
  <c r="BL94" i="163" s="1"/>
  <c r="BE94" i="159"/>
  <c r="AK79" i="158"/>
  <c r="AN79" i="158" s="1"/>
  <c r="BJ79" i="158"/>
  <c r="BK79" i="158" s="1"/>
  <c r="BL79" i="158" s="1"/>
  <c r="BE79" i="158"/>
  <c r="BF79" i="158" s="1"/>
  <c r="BG79" i="158" s="1"/>
  <c r="AP79" i="158"/>
  <c r="AQ79" i="158" s="1"/>
  <c r="AR79" i="158" s="1"/>
  <c r="AU79" i="158"/>
  <c r="AV79" i="158" s="1"/>
  <c r="AW79" i="158" s="1"/>
  <c r="AD79" i="158"/>
  <c r="J79" i="158"/>
  <c r="Y79" i="158"/>
  <c r="E79" i="158"/>
  <c r="T79" i="158"/>
  <c r="O79" i="158"/>
  <c r="H68" i="79" s="1"/>
  <c r="E68" i="79" l="1"/>
  <c r="CR94" i="160"/>
  <c r="CY94" i="160"/>
  <c r="CO94" i="160"/>
  <c r="CZ94" i="160"/>
  <c r="CN94" i="160"/>
  <c r="M94" i="159"/>
  <c r="CS94" i="160"/>
  <c r="CQ94" i="160"/>
  <c r="CL94" i="160"/>
  <c r="CP94" i="160"/>
  <c r="CV94" i="160"/>
  <c r="CM94" i="160"/>
  <c r="CX94" i="160"/>
  <c r="CU94" i="160"/>
  <c r="CW94" i="160"/>
  <c r="CK94" i="160"/>
  <c r="CT94" i="160"/>
  <c r="AD95" i="160"/>
  <c r="AE95" i="160" s="1"/>
  <c r="AF95" i="160" s="1"/>
  <c r="I68" i="79"/>
  <c r="G68" i="79"/>
  <c r="BJ95" i="160"/>
  <c r="BK95" i="160" s="1"/>
  <c r="BL95" i="160" s="1"/>
  <c r="AK95" i="160"/>
  <c r="AL95" i="160" s="1"/>
  <c r="AM95" i="160" s="1"/>
  <c r="BX94" i="159"/>
  <c r="P94" i="159"/>
  <c r="Q94" i="159" s="1"/>
  <c r="R94" i="159"/>
  <c r="S94" i="159" s="1"/>
  <c r="BR94" i="162"/>
  <c r="CF94" i="162" s="1"/>
  <c r="BQ94" i="162"/>
  <c r="CE94" i="162" s="1"/>
  <c r="BT94" i="162"/>
  <c r="CH94" i="162" s="1"/>
  <c r="BS94" i="162"/>
  <c r="CG94" i="162" s="1"/>
  <c r="AM94" i="162"/>
  <c r="BW94" i="159"/>
  <c r="Z94" i="159"/>
  <c r="AA94" i="159" s="1"/>
  <c r="AB94" i="159"/>
  <c r="AC94" i="159" s="1"/>
  <c r="AG94" i="159" s="1"/>
  <c r="K68" i="79"/>
  <c r="BH94" i="159"/>
  <c r="BI94" i="159" s="1"/>
  <c r="BM94" i="159" s="1"/>
  <c r="BF94" i="159"/>
  <c r="BG94" i="159" s="1"/>
  <c r="CB94" i="159"/>
  <c r="AM94" i="163"/>
  <c r="BZ94" i="159"/>
  <c r="AN94" i="159"/>
  <c r="AO94" i="159" s="1"/>
  <c r="AL94" i="159"/>
  <c r="BH79" i="158"/>
  <c r="BI79" i="158" s="1"/>
  <c r="BM79" i="158" s="1"/>
  <c r="H94" i="159"/>
  <c r="I94" i="159" s="1"/>
  <c r="F94" i="159"/>
  <c r="BY94" i="159"/>
  <c r="U94" i="159"/>
  <c r="V94" i="159" s="1"/>
  <c r="W94" i="159"/>
  <c r="CB79" i="158"/>
  <c r="AE94" i="159"/>
  <c r="AF94" i="159" s="1"/>
  <c r="BT94" i="163"/>
  <c r="CH94" i="163" s="1"/>
  <c r="BU94" i="163"/>
  <c r="CI94" i="163" s="1"/>
  <c r="BS94" i="163"/>
  <c r="CG94" i="163" s="1"/>
  <c r="BQ94" i="163"/>
  <c r="CE94" i="163" s="1"/>
  <c r="BP94" i="163"/>
  <c r="CD94" i="163" s="1"/>
  <c r="BR94" i="163"/>
  <c r="CF94" i="163" s="1"/>
  <c r="AZ95" i="160"/>
  <c r="AS94" i="159"/>
  <c r="AQ94" i="159"/>
  <c r="AR94" i="159" s="1"/>
  <c r="AU95" i="160"/>
  <c r="BE95" i="160"/>
  <c r="J95" i="160"/>
  <c r="T95" i="160"/>
  <c r="Y95" i="160"/>
  <c r="O95" i="160"/>
  <c r="E95" i="160"/>
  <c r="AX94" i="159"/>
  <c r="AY94" i="159" s="1"/>
  <c r="AV94" i="159"/>
  <c r="AW94" i="159" s="1"/>
  <c r="AP95" i="160"/>
  <c r="AO79" i="158"/>
  <c r="AS79" i="158" s="1"/>
  <c r="AL79" i="158"/>
  <c r="AM79" i="158" s="1"/>
  <c r="BZ79" i="158"/>
  <c r="CA79" i="158"/>
  <c r="AX79" i="158"/>
  <c r="AY79" i="158" s="1"/>
  <c r="BC79" i="158" s="1"/>
  <c r="F79" i="158"/>
  <c r="H79" i="158"/>
  <c r="I79" i="158" s="1"/>
  <c r="M79" i="158" s="1"/>
  <c r="BY79" i="158"/>
  <c r="Z79" i="158"/>
  <c r="AA79" i="158" s="1"/>
  <c r="BW79" i="158"/>
  <c r="AB79" i="158"/>
  <c r="AC79" i="158" s="1"/>
  <c r="AG79" i="158" s="1"/>
  <c r="R79" i="158"/>
  <c r="S79" i="158" s="1"/>
  <c r="W79" i="158" s="1"/>
  <c r="BX79" i="158"/>
  <c r="P79" i="158"/>
  <c r="Q79" i="158" s="1"/>
  <c r="K79" i="158"/>
  <c r="L79" i="158" s="1"/>
  <c r="U79" i="158"/>
  <c r="V79" i="158" s="1"/>
  <c r="AE79" i="158"/>
  <c r="AF79" i="158" s="1"/>
  <c r="CR94" i="162" l="1"/>
  <c r="U83" i="79" s="1"/>
  <c r="E95" i="162"/>
  <c r="F95" i="162" s="1"/>
  <c r="G95" i="162" s="1"/>
  <c r="Y95" i="162"/>
  <c r="CX94" i="162"/>
  <c r="CO94" i="162"/>
  <c r="R83" i="79" s="1"/>
  <c r="CW94" i="162"/>
  <c r="CZ94" i="162"/>
  <c r="CU94" i="162"/>
  <c r="CQ94" i="162"/>
  <c r="T83" i="79" s="1"/>
  <c r="CS94" i="162"/>
  <c r="CL94" i="162"/>
  <c r="J95" i="163"/>
  <c r="CT94" i="162"/>
  <c r="CN94" i="162"/>
  <c r="CM94" i="162"/>
  <c r="CP94" i="162"/>
  <c r="S83" i="79" s="1"/>
  <c r="CR94" i="163"/>
  <c r="CM94" i="163"/>
  <c r="CP94" i="163"/>
  <c r="CL94" i="163"/>
  <c r="CK94" i="163"/>
  <c r="CO94" i="163"/>
  <c r="CQ94" i="163"/>
  <c r="CV94" i="163"/>
  <c r="CN94" i="163"/>
  <c r="CU94" i="163"/>
  <c r="CT94" i="163"/>
  <c r="CZ94" i="163"/>
  <c r="CS94" i="163"/>
  <c r="CW94" i="163"/>
  <c r="CY94" i="163"/>
  <c r="CX94" i="163"/>
  <c r="CV94" i="162"/>
  <c r="CK94" i="162"/>
  <c r="CY94" i="162"/>
  <c r="L68" i="79"/>
  <c r="AP95" i="162"/>
  <c r="AQ95" i="162" s="1"/>
  <c r="AR95" i="162" s="1"/>
  <c r="AZ95" i="163"/>
  <c r="BC95" i="163" s="1"/>
  <c r="Y95" i="163"/>
  <c r="AB95" i="163" s="1"/>
  <c r="AN95" i="160"/>
  <c r="O95" i="163"/>
  <c r="P95" i="163" s="1"/>
  <c r="Q95" i="163" s="1"/>
  <c r="BE95" i="162"/>
  <c r="BF95" i="162" s="1"/>
  <c r="BG95" i="162" s="1"/>
  <c r="J95" i="162"/>
  <c r="K95" i="162" s="1"/>
  <c r="L95" i="162" s="1"/>
  <c r="AZ95" i="162"/>
  <c r="BA95" i="162" s="1"/>
  <c r="BB95" i="162" s="1"/>
  <c r="G94" i="159"/>
  <c r="R95" i="160"/>
  <c r="S95" i="160" s="1"/>
  <c r="W95" i="160" s="1"/>
  <c r="P95" i="160"/>
  <c r="Q95" i="160" s="1"/>
  <c r="AD95" i="162"/>
  <c r="BW95" i="162" s="1"/>
  <c r="BU95" i="162" s="1"/>
  <c r="CI95" i="162" s="1"/>
  <c r="Z95" i="162"/>
  <c r="AA95" i="162" s="1"/>
  <c r="AB95" i="162"/>
  <c r="BW95" i="160"/>
  <c r="AB95" i="160"/>
  <c r="AC95" i="160" s="1"/>
  <c r="AG95" i="160" s="1"/>
  <c r="Z95" i="160"/>
  <c r="AA95" i="160" s="1"/>
  <c r="AD95" i="163"/>
  <c r="AQ95" i="160"/>
  <c r="AO95" i="160"/>
  <c r="AS95" i="160"/>
  <c r="BX95" i="160"/>
  <c r="U95" i="160"/>
  <c r="V95" i="160" s="1"/>
  <c r="AU95" i="162"/>
  <c r="BJ95" i="162"/>
  <c r="K95" i="160"/>
  <c r="L95" i="160" s="1"/>
  <c r="M95" i="160"/>
  <c r="O95" i="162"/>
  <c r="F95" i="160"/>
  <c r="H95" i="160"/>
  <c r="I95" i="160" s="1"/>
  <c r="BY95" i="160"/>
  <c r="BH95" i="160"/>
  <c r="BI95" i="160" s="1"/>
  <c r="BM95" i="160" s="1"/>
  <c r="BF95" i="160"/>
  <c r="BG95" i="160" s="1"/>
  <c r="CB95" i="160"/>
  <c r="BP95" i="160" s="1"/>
  <c r="CD95" i="160" s="1"/>
  <c r="BA95" i="160"/>
  <c r="BB95" i="160" s="1"/>
  <c r="E95" i="163"/>
  <c r="AM94" i="159"/>
  <c r="T95" i="162"/>
  <c r="H95" i="162"/>
  <c r="AV95" i="160"/>
  <c r="AW95" i="160" s="1"/>
  <c r="AX95" i="160"/>
  <c r="AY95" i="160" s="1"/>
  <c r="BC95" i="160" s="1"/>
  <c r="CA95" i="160"/>
  <c r="M95" i="163"/>
  <c r="K95" i="163"/>
  <c r="L95" i="163" s="1"/>
  <c r="T95" i="163"/>
  <c r="BX95" i="163" s="1"/>
  <c r="AK95" i="162"/>
  <c r="AU95" i="163"/>
  <c r="BJ95" i="163"/>
  <c r="AK95" i="163"/>
  <c r="BE95" i="163"/>
  <c r="AP95" i="163"/>
  <c r="BU94" i="159"/>
  <c r="CI94" i="159" s="1"/>
  <c r="BT94" i="159"/>
  <c r="CH94" i="159" s="1"/>
  <c r="BS94" i="159"/>
  <c r="CG94" i="159" s="1"/>
  <c r="BP94" i="159"/>
  <c r="CD94" i="159" s="1"/>
  <c r="BQ94" i="159"/>
  <c r="CE94" i="159" s="1"/>
  <c r="BR94" i="159"/>
  <c r="CF94" i="159" s="1"/>
  <c r="BZ95" i="160"/>
  <c r="BS79" i="158"/>
  <c r="CG79" i="158" s="1"/>
  <c r="BT79" i="158"/>
  <c r="CH79" i="158" s="1"/>
  <c r="BU79" i="158"/>
  <c r="CI79" i="158" s="1"/>
  <c r="BP79" i="158"/>
  <c r="CD79" i="158" s="1"/>
  <c r="BQ79" i="158"/>
  <c r="CE79" i="158" s="1"/>
  <c r="BR79" i="158"/>
  <c r="CF79" i="158" s="1"/>
  <c r="G79" i="158"/>
  <c r="CO94" i="159" l="1"/>
  <c r="CS94" i="159"/>
  <c r="CR94" i="159"/>
  <c r="CP94" i="159"/>
  <c r="CK94" i="159"/>
  <c r="CQ94" i="159"/>
  <c r="CN94" i="159"/>
  <c r="CL94" i="159"/>
  <c r="CM94" i="159"/>
  <c r="CV94" i="159"/>
  <c r="CW94" i="159"/>
  <c r="CU94" i="159"/>
  <c r="CT94" i="159"/>
  <c r="CX94" i="159"/>
  <c r="CY94" i="159"/>
  <c r="CZ94" i="159"/>
  <c r="CS79" i="158"/>
  <c r="V68" i="79" s="1"/>
  <c r="CW79" i="158"/>
  <c r="Z68" i="79" s="1"/>
  <c r="CY79" i="158"/>
  <c r="AB68" i="79" s="1"/>
  <c r="CQ79" i="158"/>
  <c r="CZ79" i="158"/>
  <c r="AC68" i="79" s="1"/>
  <c r="CT79" i="158"/>
  <c r="W68" i="79" s="1"/>
  <c r="CO79" i="158"/>
  <c r="CN79" i="158"/>
  <c r="Q68" i="79" s="1"/>
  <c r="CR79" i="158"/>
  <c r="CU79" i="158"/>
  <c r="X68" i="79" s="1"/>
  <c r="CV79" i="158"/>
  <c r="Y68" i="79" s="1"/>
  <c r="CL79" i="158"/>
  <c r="O68" i="79" s="1"/>
  <c r="CK79" i="158"/>
  <c r="N68" i="79" s="1"/>
  <c r="CP79" i="158"/>
  <c r="CX79" i="158"/>
  <c r="AA68" i="79" s="1"/>
  <c r="CM79" i="158"/>
  <c r="P68" i="79" s="1"/>
  <c r="AS95" i="162"/>
  <c r="Z95" i="163"/>
  <c r="AA95" i="163" s="1"/>
  <c r="CB95" i="162"/>
  <c r="BP95" i="162" s="1"/>
  <c r="CD95" i="162" s="1"/>
  <c r="BH95" i="162"/>
  <c r="AC95" i="162"/>
  <c r="BA95" i="163"/>
  <c r="BB95" i="163" s="1"/>
  <c r="BI95" i="162"/>
  <c r="BM95" i="162" s="1"/>
  <c r="BY95" i="162"/>
  <c r="Y95" i="159"/>
  <c r="Z95" i="159" s="1"/>
  <c r="AA95" i="159" s="1"/>
  <c r="I95" i="162"/>
  <c r="F84" i="79"/>
  <c r="M95" i="162"/>
  <c r="R95" i="163"/>
  <c r="BJ95" i="159"/>
  <c r="BK95" i="159" s="1"/>
  <c r="BL95" i="159" s="1"/>
  <c r="BZ95" i="163"/>
  <c r="AN95" i="163"/>
  <c r="AO95" i="163" s="1"/>
  <c r="AL95" i="163"/>
  <c r="E95" i="159"/>
  <c r="AD95" i="159"/>
  <c r="T95" i="159"/>
  <c r="AQ95" i="163"/>
  <c r="AR95" i="163" s="1"/>
  <c r="AS95" i="163"/>
  <c r="F95" i="163"/>
  <c r="BY95" i="163"/>
  <c r="H95" i="163"/>
  <c r="I95" i="163" s="1"/>
  <c r="BS95" i="160"/>
  <c r="CG95" i="160" s="1"/>
  <c r="BT95" i="160"/>
  <c r="CH95" i="160" s="1"/>
  <c r="AU95" i="159"/>
  <c r="CB95" i="163"/>
  <c r="BH95" i="163"/>
  <c r="BI95" i="163" s="1"/>
  <c r="BM95" i="163" s="1"/>
  <c r="BF95" i="163"/>
  <c r="BG95" i="163" s="1"/>
  <c r="BK95" i="162"/>
  <c r="BL95" i="162" s="1"/>
  <c r="AR95" i="160"/>
  <c r="S95" i="163"/>
  <c r="AC95" i="163"/>
  <c r="AG95" i="163" s="1"/>
  <c r="CA95" i="162"/>
  <c r="AV95" i="162"/>
  <c r="AW95" i="162" s="1"/>
  <c r="AX95" i="162"/>
  <c r="AY95" i="162" s="1"/>
  <c r="BC95" i="162" s="1"/>
  <c r="AE95" i="163"/>
  <c r="AF95" i="163" s="1"/>
  <c r="BW95" i="163"/>
  <c r="BK95" i="163"/>
  <c r="BL95" i="163" s="1"/>
  <c r="BX95" i="162"/>
  <c r="P95" i="162"/>
  <c r="Q95" i="162" s="1"/>
  <c r="R95" i="162"/>
  <c r="S95" i="162" s="1"/>
  <c r="W95" i="162" s="1"/>
  <c r="AZ95" i="159"/>
  <c r="AV95" i="163"/>
  <c r="AW95" i="163" s="1"/>
  <c r="CA95" i="163"/>
  <c r="AX95" i="163"/>
  <c r="AY95" i="163" s="1"/>
  <c r="AK95" i="159"/>
  <c r="J84" i="79"/>
  <c r="AG95" i="162"/>
  <c r="AE95" i="162"/>
  <c r="AF95" i="162" s="1"/>
  <c r="AN95" i="162"/>
  <c r="AO95" i="162" s="1"/>
  <c r="AL95" i="162"/>
  <c r="BZ95" i="162"/>
  <c r="U95" i="162"/>
  <c r="V95" i="162" s="1"/>
  <c r="BE95" i="159"/>
  <c r="AP95" i="159"/>
  <c r="BR95" i="160"/>
  <c r="CF95" i="160" s="1"/>
  <c r="BQ95" i="160"/>
  <c r="CE95" i="160" s="1"/>
  <c r="G95" i="160"/>
  <c r="W95" i="163"/>
  <c r="U95" i="163"/>
  <c r="V95" i="163" s="1"/>
  <c r="J95" i="159"/>
  <c r="BU95" i="160"/>
  <c r="CI95" i="160" s="1"/>
  <c r="O95" i="159"/>
  <c r="AZ80" i="158"/>
  <c r="BA80" i="158" s="1"/>
  <c r="BB80" i="158" s="1"/>
  <c r="BJ80" i="158"/>
  <c r="BK80" i="158" s="1"/>
  <c r="BL80" i="158" s="1"/>
  <c r="AP80" i="158"/>
  <c r="AQ80" i="158" s="1"/>
  <c r="AR80" i="158" s="1"/>
  <c r="AK80" i="158"/>
  <c r="AN80" i="158" s="1"/>
  <c r="BE80" i="158"/>
  <c r="AU80" i="158"/>
  <c r="AO80" i="158" l="1"/>
  <c r="AS80" i="158" s="1"/>
  <c r="CU95" i="160"/>
  <c r="CX95" i="160"/>
  <c r="CL95" i="160"/>
  <c r="CW95" i="160"/>
  <c r="CR95" i="160"/>
  <c r="CY95" i="160"/>
  <c r="CP95" i="160"/>
  <c r="CZ95" i="160"/>
  <c r="CN95" i="160"/>
  <c r="CS95" i="160"/>
  <c r="CV95" i="160"/>
  <c r="CT95" i="160"/>
  <c r="CO95" i="160"/>
  <c r="CK95" i="160"/>
  <c r="CQ95" i="160"/>
  <c r="CM95" i="160"/>
  <c r="BT95" i="162"/>
  <c r="CH95" i="162" s="1"/>
  <c r="AK96" i="160"/>
  <c r="AL96" i="160" s="1"/>
  <c r="AM96" i="160" s="1"/>
  <c r="AB95" i="159"/>
  <c r="BW95" i="159"/>
  <c r="BJ96" i="160"/>
  <c r="BK96" i="160" s="1"/>
  <c r="BL96" i="160" s="1"/>
  <c r="BE96" i="160"/>
  <c r="BF96" i="160" s="1"/>
  <c r="BG96" i="160" s="1"/>
  <c r="AD96" i="160"/>
  <c r="AE96" i="160" s="1"/>
  <c r="AF96" i="160" s="1"/>
  <c r="AP96" i="160"/>
  <c r="AS96" i="160" s="1"/>
  <c r="T96" i="160"/>
  <c r="U96" i="160" s="1"/>
  <c r="V96" i="160" s="1"/>
  <c r="AC95" i="159"/>
  <c r="AG95" i="159" s="1"/>
  <c r="R95" i="159"/>
  <c r="P95" i="159"/>
  <c r="Q95" i="159" s="1"/>
  <c r="BX95" i="159"/>
  <c r="Y96" i="160"/>
  <c r="F95" i="159"/>
  <c r="H95" i="159"/>
  <c r="I95" i="159" s="1"/>
  <c r="BY95" i="159"/>
  <c r="J96" i="160"/>
  <c r="BS95" i="163"/>
  <c r="CG95" i="163" s="1"/>
  <c r="BU95" i="163"/>
  <c r="CI95" i="163" s="1"/>
  <c r="BT95" i="163"/>
  <c r="CH95" i="163" s="1"/>
  <c r="AL95" i="159"/>
  <c r="BZ95" i="159"/>
  <c r="AN95" i="159"/>
  <c r="AO95" i="159" s="1"/>
  <c r="G95" i="163"/>
  <c r="AM95" i="163"/>
  <c r="M95" i="159"/>
  <c r="K95" i="159"/>
  <c r="L95" i="159" s="1"/>
  <c r="E96" i="160"/>
  <c r="AX95" i="159"/>
  <c r="AY95" i="159" s="1"/>
  <c r="AV95" i="159"/>
  <c r="AW95" i="159" s="1"/>
  <c r="BR95" i="163"/>
  <c r="CF95" i="163" s="1"/>
  <c r="BQ95" i="163"/>
  <c r="CE95" i="163" s="1"/>
  <c r="BP95" i="163"/>
  <c r="CD95" i="163" s="1"/>
  <c r="AU96" i="160"/>
  <c r="O96" i="160"/>
  <c r="BS95" i="162"/>
  <c r="CG95" i="162" s="1"/>
  <c r="AQ95" i="159"/>
  <c r="AR95" i="159" s="1"/>
  <c r="AS95" i="159"/>
  <c r="BR95" i="162"/>
  <c r="CF95" i="162" s="1"/>
  <c r="BQ95" i="162"/>
  <c r="CE95" i="162" s="1"/>
  <c r="W95" i="159"/>
  <c r="S95" i="159"/>
  <c r="U95" i="159"/>
  <c r="V95" i="159" s="1"/>
  <c r="CB95" i="159"/>
  <c r="BF95" i="159"/>
  <c r="BG95" i="159" s="1"/>
  <c r="BH95" i="159"/>
  <c r="BI95" i="159" s="1"/>
  <c r="BM95" i="159" s="1"/>
  <c r="AM95" i="162"/>
  <c r="CA95" i="159"/>
  <c r="BC95" i="159"/>
  <c r="BA95" i="159"/>
  <c r="BB95" i="159" s="1"/>
  <c r="AZ96" i="160"/>
  <c r="AE95" i="159"/>
  <c r="AF95" i="159" s="1"/>
  <c r="AL80" i="158"/>
  <c r="AM80" i="158" s="1"/>
  <c r="BZ80" i="158"/>
  <c r="CA80" i="158"/>
  <c r="AV80" i="158"/>
  <c r="AW80" i="158" s="1"/>
  <c r="AX80" i="158"/>
  <c r="AY80" i="158" s="1"/>
  <c r="BC80" i="158" s="1"/>
  <c r="BH80" i="158"/>
  <c r="BI80" i="158" s="1"/>
  <c r="BM80" i="158" s="1"/>
  <c r="BF80" i="158"/>
  <c r="BG80" i="158" s="1"/>
  <c r="CB80" i="158"/>
  <c r="E80" i="158"/>
  <c r="E69" i="79" s="1"/>
  <c r="AN96" i="160" l="1"/>
  <c r="CQ95" i="162"/>
  <c r="T84" i="79" s="1"/>
  <c r="CM95" i="162"/>
  <c r="CO95" i="162"/>
  <c r="R84" i="79" s="1"/>
  <c r="CR95" i="162"/>
  <c r="U84" i="79" s="1"/>
  <c r="CN95" i="162"/>
  <c r="CX95" i="162"/>
  <c r="CP95" i="162"/>
  <c r="S84" i="79" s="1"/>
  <c r="CW95" i="162"/>
  <c r="CZ95" i="162"/>
  <c r="CY95" i="162"/>
  <c r="CV95" i="162"/>
  <c r="CQ95" i="163"/>
  <c r="CO95" i="163"/>
  <c r="CK95" i="163"/>
  <c r="CN95" i="163"/>
  <c r="CV95" i="163"/>
  <c r="CP95" i="163"/>
  <c r="CR95" i="163"/>
  <c r="CL95" i="163"/>
  <c r="CM95" i="163"/>
  <c r="CS95" i="163"/>
  <c r="CU95" i="163"/>
  <c r="CZ95" i="163"/>
  <c r="CT95" i="163"/>
  <c r="CX95" i="163"/>
  <c r="CY95" i="163"/>
  <c r="CW95" i="163"/>
  <c r="CU95" i="162"/>
  <c r="CK95" i="162"/>
  <c r="CS95" i="162"/>
  <c r="CL95" i="162"/>
  <c r="CT95" i="162"/>
  <c r="Y96" i="162"/>
  <c r="AB96" i="162" s="1"/>
  <c r="BZ96" i="160"/>
  <c r="BH96" i="160"/>
  <c r="BI96" i="160" s="1"/>
  <c r="BM96" i="160" s="1"/>
  <c r="Y96" i="163"/>
  <c r="AB96" i="163" s="1"/>
  <c r="AO96" i="160"/>
  <c r="AQ96" i="160"/>
  <c r="AR96" i="160" s="1"/>
  <c r="CB96" i="160"/>
  <c r="BP96" i="160" s="1"/>
  <c r="CD96" i="160" s="1"/>
  <c r="E96" i="163"/>
  <c r="H96" i="163" s="1"/>
  <c r="J96" i="162"/>
  <c r="K96" i="162" s="1"/>
  <c r="L96" i="162" s="1"/>
  <c r="O96" i="163"/>
  <c r="R96" i="163" s="1"/>
  <c r="BJ96" i="163"/>
  <c r="BK96" i="163" s="1"/>
  <c r="BL96" i="163" s="1"/>
  <c r="AZ96" i="163"/>
  <c r="BC96" i="163" s="1"/>
  <c r="BP95" i="159"/>
  <c r="CD95" i="159" s="1"/>
  <c r="BR95" i="159"/>
  <c r="CF95" i="159" s="1"/>
  <c r="BQ95" i="159"/>
  <c r="CE95" i="159" s="1"/>
  <c r="AP96" i="163"/>
  <c r="AM95" i="159"/>
  <c r="BU95" i="159"/>
  <c r="CI95" i="159" s="1"/>
  <c r="BT95" i="159"/>
  <c r="CH95" i="159" s="1"/>
  <c r="BS95" i="159"/>
  <c r="CG95" i="159" s="1"/>
  <c r="BA96" i="160"/>
  <c r="BB96" i="160" s="1"/>
  <c r="E96" i="162"/>
  <c r="AD96" i="162"/>
  <c r="T96" i="162"/>
  <c r="O96" i="162"/>
  <c r="AX96" i="160"/>
  <c r="AY96" i="160" s="1"/>
  <c r="BC96" i="160" s="1"/>
  <c r="AV96" i="160"/>
  <c r="AW96" i="160" s="1"/>
  <c r="CA96" i="160"/>
  <c r="J96" i="163"/>
  <c r="T96" i="163"/>
  <c r="AD96" i="163"/>
  <c r="R96" i="160"/>
  <c r="S96" i="160" s="1"/>
  <c r="W96" i="160" s="1"/>
  <c r="P96" i="160"/>
  <c r="Q96" i="160" s="1"/>
  <c r="BX96" i="160"/>
  <c r="H96" i="160"/>
  <c r="I96" i="160" s="1"/>
  <c r="F96" i="160"/>
  <c r="BY96" i="160"/>
  <c r="K96" i="160"/>
  <c r="L96" i="160" s="1"/>
  <c r="M96" i="160"/>
  <c r="G95" i="159"/>
  <c r="BE96" i="162"/>
  <c r="F85" i="79" s="1"/>
  <c r="AZ96" i="162"/>
  <c r="BJ96" i="162"/>
  <c r="AU96" i="162"/>
  <c r="AK96" i="162"/>
  <c r="AP96" i="162"/>
  <c r="AU96" i="163"/>
  <c r="AK96" i="163"/>
  <c r="BE96" i="163"/>
  <c r="Z96" i="160"/>
  <c r="AA96" i="160" s="1"/>
  <c r="BW96" i="160"/>
  <c r="AB96" i="160"/>
  <c r="AC96" i="160" s="1"/>
  <c r="AG96" i="160" s="1"/>
  <c r="BP80" i="158"/>
  <c r="CD80" i="158" s="1"/>
  <c r="BQ80" i="158"/>
  <c r="CE80" i="158" s="1"/>
  <c r="BR80" i="158"/>
  <c r="CF80" i="158" s="1"/>
  <c r="H80" i="158"/>
  <c r="F80" i="158"/>
  <c r="J80" i="158"/>
  <c r="O80" i="158"/>
  <c r="H69" i="79" s="1"/>
  <c r="AD80" i="158"/>
  <c r="K69" i="79" s="1"/>
  <c r="Y80" i="158"/>
  <c r="G69" i="79" s="1"/>
  <c r="T80" i="158"/>
  <c r="BQ96" i="160" l="1"/>
  <c r="CE96" i="160" s="1"/>
  <c r="BU96" i="160"/>
  <c r="CI96" i="160" s="1"/>
  <c r="CR95" i="159"/>
  <c r="CK95" i="159"/>
  <c r="CQ95" i="159"/>
  <c r="CN95" i="159"/>
  <c r="CP95" i="159"/>
  <c r="CM95" i="159"/>
  <c r="CS95" i="159"/>
  <c r="CO95" i="159"/>
  <c r="CL95" i="159"/>
  <c r="CV95" i="159"/>
  <c r="CT95" i="159"/>
  <c r="CU95" i="159"/>
  <c r="CW95" i="159"/>
  <c r="CX95" i="159"/>
  <c r="CY95" i="159"/>
  <c r="CZ95" i="159"/>
  <c r="L69" i="79"/>
  <c r="Z96" i="163"/>
  <c r="AA96" i="163" s="1"/>
  <c r="Z96" i="162"/>
  <c r="AA96" i="162" s="1"/>
  <c r="BW96" i="162"/>
  <c r="BU96" i="162" s="1"/>
  <c r="CI96" i="162" s="1"/>
  <c r="M96" i="162"/>
  <c r="P96" i="163"/>
  <c r="Q96" i="163" s="1"/>
  <c r="BJ96" i="159"/>
  <c r="BK96" i="159" s="1"/>
  <c r="BL96" i="159" s="1"/>
  <c r="BX96" i="163"/>
  <c r="I69" i="79"/>
  <c r="F96" i="163"/>
  <c r="G96" i="163" s="1"/>
  <c r="J96" i="159"/>
  <c r="K96" i="159" s="1"/>
  <c r="L96" i="159" s="1"/>
  <c r="AC96" i="163"/>
  <c r="AG96" i="163" s="1"/>
  <c r="BA96" i="163"/>
  <c r="BB96" i="163" s="1"/>
  <c r="AC96" i="162"/>
  <c r="G96" i="160"/>
  <c r="K96" i="163"/>
  <c r="M96" i="163"/>
  <c r="BY96" i="162"/>
  <c r="H96" i="162"/>
  <c r="I96" i="162" s="1"/>
  <c r="F96" i="162"/>
  <c r="G96" i="162" s="1"/>
  <c r="T96" i="159"/>
  <c r="AD96" i="159"/>
  <c r="BR96" i="160"/>
  <c r="CF96" i="160" s="1"/>
  <c r="AV96" i="162"/>
  <c r="AW96" i="162" s="1"/>
  <c r="CA96" i="162"/>
  <c r="AX96" i="162"/>
  <c r="AY96" i="162" s="1"/>
  <c r="BC96" i="162" s="1"/>
  <c r="AQ96" i="163"/>
  <c r="AR96" i="163" s="1"/>
  <c r="AS96" i="163"/>
  <c r="BK96" i="162"/>
  <c r="BL96" i="162" s="1"/>
  <c r="AK96" i="159"/>
  <c r="BE96" i="159"/>
  <c r="AZ96" i="159"/>
  <c r="AU96" i="159"/>
  <c r="AP96" i="159"/>
  <c r="BF96" i="163"/>
  <c r="BG96" i="163" s="1"/>
  <c r="BH96" i="163"/>
  <c r="BI96" i="163" s="1"/>
  <c r="BM96" i="163" s="1"/>
  <c r="CB96" i="163"/>
  <c r="BA96" i="162"/>
  <c r="BB96" i="162" s="1"/>
  <c r="BZ96" i="163"/>
  <c r="AN96" i="163"/>
  <c r="AO96" i="163" s="1"/>
  <c r="AL96" i="163"/>
  <c r="BH96" i="162"/>
  <c r="BI96" i="162" s="1"/>
  <c r="BM96" i="162" s="1"/>
  <c r="BF96" i="162"/>
  <c r="BG96" i="162" s="1"/>
  <c r="CB96" i="162"/>
  <c r="BP96" i="162" s="1"/>
  <c r="CD96" i="162" s="1"/>
  <c r="S96" i="163"/>
  <c r="CA96" i="163"/>
  <c r="AX96" i="163"/>
  <c r="AY96" i="163" s="1"/>
  <c r="AV96" i="163"/>
  <c r="AW96" i="163" s="1"/>
  <c r="R96" i="162"/>
  <c r="S96" i="162" s="1"/>
  <c r="W96" i="162" s="1"/>
  <c r="P96" i="162"/>
  <c r="Q96" i="162" s="1"/>
  <c r="BX96" i="162"/>
  <c r="I96" i="163"/>
  <c r="BT96" i="160"/>
  <c r="CH96" i="160" s="1"/>
  <c r="BS96" i="160"/>
  <c r="CG96" i="160" s="1"/>
  <c r="AE96" i="163"/>
  <c r="AF96" i="163" s="1"/>
  <c r="U96" i="162"/>
  <c r="V96" i="162" s="1"/>
  <c r="BY96" i="163"/>
  <c r="E96" i="159"/>
  <c r="AN96" i="162"/>
  <c r="AO96" i="162" s="1"/>
  <c r="BZ96" i="162"/>
  <c r="AL96" i="162"/>
  <c r="AS96" i="162"/>
  <c r="AQ96" i="162"/>
  <c r="AR96" i="162" s="1"/>
  <c r="U96" i="163"/>
  <c r="V96" i="163" s="1"/>
  <c r="W96" i="163"/>
  <c r="J85" i="79"/>
  <c r="AE96" i="162"/>
  <c r="AF96" i="162" s="1"/>
  <c r="AG96" i="162"/>
  <c r="BW96" i="163"/>
  <c r="Y96" i="159"/>
  <c r="O96" i="159"/>
  <c r="AB80" i="158"/>
  <c r="AC80" i="158" s="1"/>
  <c r="AG80" i="158" s="1"/>
  <c r="BW80" i="158"/>
  <c r="Z80" i="158"/>
  <c r="AA80" i="158" s="1"/>
  <c r="AE80" i="158"/>
  <c r="AF80" i="158" s="1"/>
  <c r="K80" i="158"/>
  <c r="L80" i="158" s="1"/>
  <c r="G80" i="158"/>
  <c r="R80" i="158"/>
  <c r="S80" i="158" s="1"/>
  <c r="W80" i="158" s="1"/>
  <c r="P80" i="158"/>
  <c r="Q80" i="158" s="1"/>
  <c r="I80" i="158"/>
  <c r="M80" i="158" s="1"/>
  <c r="BX80" i="158"/>
  <c r="U80" i="158"/>
  <c r="V80" i="158" s="1"/>
  <c r="BY80" i="158"/>
  <c r="CL96" i="160" l="1"/>
  <c r="CW96" i="160"/>
  <c r="CQ96" i="160"/>
  <c r="CX96" i="160"/>
  <c r="CN96" i="160"/>
  <c r="CS96" i="160"/>
  <c r="CO96" i="160"/>
  <c r="CZ96" i="160"/>
  <c r="CV96" i="160"/>
  <c r="CT96" i="160"/>
  <c r="CR96" i="160"/>
  <c r="CY96" i="160"/>
  <c r="CU96" i="160"/>
  <c r="CK96" i="160"/>
  <c r="CP96" i="160"/>
  <c r="CM96" i="160"/>
  <c r="BJ97" i="160"/>
  <c r="BK97" i="160" s="1"/>
  <c r="BL97" i="160" s="1"/>
  <c r="AZ97" i="160"/>
  <c r="BA97" i="160" s="1"/>
  <c r="BB97" i="160" s="1"/>
  <c r="M96" i="159"/>
  <c r="BS96" i="162"/>
  <c r="CG96" i="162" s="1"/>
  <c r="BE97" i="160"/>
  <c r="BF97" i="160" s="1"/>
  <c r="BG97" i="160" s="1"/>
  <c r="AK97" i="160"/>
  <c r="AL97" i="160" s="1"/>
  <c r="AM97" i="160" s="1"/>
  <c r="AP97" i="160"/>
  <c r="AQ97" i="160" s="1"/>
  <c r="AR97" i="160" s="1"/>
  <c r="BP96" i="163"/>
  <c r="CD96" i="163" s="1"/>
  <c r="BQ96" i="163"/>
  <c r="CE96" i="163" s="1"/>
  <c r="BR96" i="163"/>
  <c r="CF96" i="163" s="1"/>
  <c r="AS96" i="159"/>
  <c r="AQ96" i="159"/>
  <c r="AR96" i="159" s="1"/>
  <c r="AX96" i="159"/>
  <c r="AY96" i="159" s="1"/>
  <c r="AV96" i="159"/>
  <c r="AW96" i="159" s="1"/>
  <c r="CA96" i="159"/>
  <c r="BQ96" i="162"/>
  <c r="CE96" i="162" s="1"/>
  <c r="BR96" i="162"/>
  <c r="CF96" i="162" s="1"/>
  <c r="BA96" i="159"/>
  <c r="BB96" i="159" s="1"/>
  <c r="BC96" i="159"/>
  <c r="BT96" i="162"/>
  <c r="CB96" i="159"/>
  <c r="BH96" i="159"/>
  <c r="BI96" i="159" s="1"/>
  <c r="BM96" i="159" s="1"/>
  <c r="BF96" i="159"/>
  <c r="BG96" i="159" s="1"/>
  <c r="AM96" i="162"/>
  <c r="AB96" i="159"/>
  <c r="AC96" i="159" s="1"/>
  <c r="AG96" i="159" s="1"/>
  <c r="BW96" i="159"/>
  <c r="Z96" i="159"/>
  <c r="AA96" i="159" s="1"/>
  <c r="E97" i="160"/>
  <c r="Y97" i="160"/>
  <c r="T97" i="160"/>
  <c r="J97" i="160"/>
  <c r="O97" i="160"/>
  <c r="AD97" i="160"/>
  <c r="AL96" i="159"/>
  <c r="AN96" i="159"/>
  <c r="AO96" i="159" s="1"/>
  <c r="BZ96" i="159"/>
  <c r="AU97" i="160"/>
  <c r="F96" i="159"/>
  <c r="BY96" i="159"/>
  <c r="H96" i="159"/>
  <c r="I96" i="159" s="1"/>
  <c r="AE96" i="159"/>
  <c r="AF96" i="159" s="1"/>
  <c r="L96" i="163"/>
  <c r="BX96" i="159"/>
  <c r="R96" i="159"/>
  <c r="S96" i="159" s="1"/>
  <c r="P96" i="159"/>
  <c r="Q96" i="159" s="1"/>
  <c r="BU96" i="163"/>
  <c r="CI96" i="163" s="1"/>
  <c r="BT96" i="163"/>
  <c r="CH96" i="163" s="1"/>
  <c r="BS96" i="163"/>
  <c r="CG96" i="163" s="1"/>
  <c r="AM96" i="163"/>
  <c r="W96" i="159"/>
  <c r="U96" i="159"/>
  <c r="V96" i="159" s="1"/>
  <c r="BU80" i="158"/>
  <c r="CI80" i="158" s="1"/>
  <c r="BS80" i="158"/>
  <c r="CG80" i="158" s="1"/>
  <c r="BT80" i="158"/>
  <c r="CH80" i="158" s="1"/>
  <c r="AP81" i="158"/>
  <c r="BE81" i="158"/>
  <c r="BH81" i="158" s="1"/>
  <c r="BJ81" i="158"/>
  <c r="CK96" i="163" l="1"/>
  <c r="CL96" i="163"/>
  <c r="CV96" i="163"/>
  <c r="CN96" i="163"/>
  <c r="CR96" i="163"/>
  <c r="CO96" i="163"/>
  <c r="CQ96" i="163"/>
  <c r="CM96" i="163"/>
  <c r="CP96" i="163"/>
  <c r="CU96" i="163"/>
  <c r="CZ96" i="163"/>
  <c r="CS96" i="163"/>
  <c r="CT96" i="163"/>
  <c r="CW96" i="163"/>
  <c r="CX96" i="163"/>
  <c r="CY96" i="163"/>
  <c r="CW80" i="158"/>
  <c r="Z69" i="79" s="1"/>
  <c r="CL80" i="158"/>
  <c r="O69" i="79" s="1"/>
  <c r="CX80" i="158"/>
  <c r="AA69" i="79" s="1"/>
  <c r="CO80" i="158"/>
  <c r="CZ80" i="158"/>
  <c r="AC69" i="79" s="1"/>
  <c r="CP80" i="158"/>
  <c r="CV80" i="158"/>
  <c r="Y69" i="79" s="1"/>
  <c r="CN80" i="158"/>
  <c r="Q69" i="79" s="1"/>
  <c r="CY80" i="158"/>
  <c r="AB69" i="79" s="1"/>
  <c r="CR80" i="158"/>
  <c r="CS80" i="158"/>
  <c r="V69" i="79" s="1"/>
  <c r="CQ80" i="158"/>
  <c r="CT80" i="158"/>
  <c r="W69" i="79" s="1"/>
  <c r="CM80" i="158"/>
  <c r="P69" i="79" s="1"/>
  <c r="CU80" i="158"/>
  <c r="X69" i="79" s="1"/>
  <c r="CK80" i="158"/>
  <c r="N69" i="79" s="1"/>
  <c r="BH97" i="160"/>
  <c r="BI97" i="160" s="1"/>
  <c r="BM97" i="160" s="1"/>
  <c r="AD97" i="162"/>
  <c r="CH96" i="162"/>
  <c r="CV96" i="162" s="1"/>
  <c r="BJ97" i="162"/>
  <c r="AN97" i="160"/>
  <c r="AO97" i="160" s="1"/>
  <c r="BZ97" i="160"/>
  <c r="AS97" i="160"/>
  <c r="O97" i="162"/>
  <c r="R97" i="162" s="1"/>
  <c r="CB97" i="160"/>
  <c r="BP97" i="160" s="1"/>
  <c r="CD97" i="160" s="1"/>
  <c r="BJ97" i="163"/>
  <c r="BK97" i="163" s="1"/>
  <c r="BL97" i="163" s="1"/>
  <c r="Y97" i="162"/>
  <c r="BK97" i="162"/>
  <c r="BL97" i="162" s="1"/>
  <c r="Y97" i="163"/>
  <c r="AD97" i="163"/>
  <c r="AE97" i="163" s="1"/>
  <c r="AF97" i="163" s="1"/>
  <c r="T97" i="163"/>
  <c r="AE97" i="160"/>
  <c r="AF97" i="160" s="1"/>
  <c r="R97" i="160"/>
  <c r="S97" i="160" s="1"/>
  <c r="W97" i="160" s="1"/>
  <c r="P97" i="160"/>
  <c r="Q97" i="160" s="1"/>
  <c r="BX97" i="160"/>
  <c r="M97" i="160"/>
  <c r="K97" i="160"/>
  <c r="L97" i="160" s="1"/>
  <c r="J97" i="163"/>
  <c r="AV97" i="160"/>
  <c r="AW97" i="160" s="1"/>
  <c r="AX97" i="160"/>
  <c r="AY97" i="160" s="1"/>
  <c r="BC97" i="160" s="1"/>
  <c r="CA97" i="160"/>
  <c r="U97" i="160"/>
  <c r="V97" i="160" s="1"/>
  <c r="J97" i="162"/>
  <c r="AZ97" i="162"/>
  <c r="G96" i="159"/>
  <c r="AG97" i="162"/>
  <c r="AE97" i="162"/>
  <c r="AF97" i="162" s="1"/>
  <c r="AB97" i="160"/>
  <c r="AC97" i="160" s="1"/>
  <c r="AG97" i="160" s="1"/>
  <c r="Z97" i="160"/>
  <c r="AA97" i="160" s="1"/>
  <c r="BW97" i="160"/>
  <c r="AK97" i="163"/>
  <c r="BE97" i="163"/>
  <c r="AU97" i="163"/>
  <c r="AZ97" i="163"/>
  <c r="AP97" i="163"/>
  <c r="BQ96" i="159"/>
  <c r="CE96" i="159" s="1"/>
  <c r="BR96" i="159"/>
  <c r="CF96" i="159" s="1"/>
  <c r="BP96" i="159"/>
  <c r="CD96" i="159" s="1"/>
  <c r="H97" i="160"/>
  <c r="I97" i="160" s="1"/>
  <c r="BY97" i="160"/>
  <c r="F97" i="160"/>
  <c r="BT96" i="159"/>
  <c r="CH96" i="159" s="1"/>
  <c r="BU96" i="159"/>
  <c r="CI96" i="159" s="1"/>
  <c r="BS96" i="159"/>
  <c r="CG96" i="159" s="1"/>
  <c r="O97" i="163"/>
  <c r="E97" i="162"/>
  <c r="E97" i="163"/>
  <c r="AM96" i="159"/>
  <c r="AP97" i="162"/>
  <c r="BE97" i="162"/>
  <c r="AK97" i="162"/>
  <c r="AU97" i="162"/>
  <c r="T97" i="162"/>
  <c r="AZ81" i="158"/>
  <c r="BA81" i="158" s="1"/>
  <c r="BB81" i="158" s="1"/>
  <c r="AK81" i="158"/>
  <c r="AN81" i="158" s="1"/>
  <c r="AO81" i="158" s="1"/>
  <c r="AS81" i="158" s="1"/>
  <c r="AU81" i="158"/>
  <c r="AV81" i="158" s="1"/>
  <c r="AW81" i="158" s="1"/>
  <c r="BF81" i="158"/>
  <c r="BG81" i="158" s="1"/>
  <c r="BK81" i="158"/>
  <c r="BL81" i="158" s="1"/>
  <c r="AQ81" i="158"/>
  <c r="AR81" i="158" s="1"/>
  <c r="BI81" i="158"/>
  <c r="BM81" i="158" s="1"/>
  <c r="E81" i="158"/>
  <c r="J81" i="158"/>
  <c r="O81" i="158"/>
  <c r="H70" i="79" s="1"/>
  <c r="Y81" i="158"/>
  <c r="G70" i="79" s="1"/>
  <c r="T81" i="158"/>
  <c r="AD81" i="158"/>
  <c r="CB81" i="158"/>
  <c r="J86" i="79" l="1"/>
  <c r="CS96" i="162"/>
  <c r="CW96" i="162"/>
  <c r="BX97" i="162"/>
  <c r="BQ97" i="160"/>
  <c r="CE97" i="160" s="1"/>
  <c r="CZ96" i="162"/>
  <c r="CP96" i="162"/>
  <c r="S85" i="79" s="1"/>
  <c r="CX96" i="162"/>
  <c r="CQ96" i="162"/>
  <c r="T85" i="79" s="1"/>
  <c r="CK96" i="162"/>
  <c r="CO96" i="162"/>
  <c r="R85" i="79" s="1"/>
  <c r="CU96" i="162"/>
  <c r="CL96" i="162"/>
  <c r="CN96" i="162"/>
  <c r="CP96" i="159"/>
  <c r="CL96" i="159"/>
  <c r="CR96" i="159"/>
  <c r="CK96" i="159"/>
  <c r="CQ96" i="159"/>
  <c r="CM96" i="159"/>
  <c r="CS96" i="159"/>
  <c r="CN96" i="159"/>
  <c r="CO96" i="159"/>
  <c r="CT96" i="159"/>
  <c r="CV96" i="159"/>
  <c r="CW96" i="159"/>
  <c r="CU96" i="159"/>
  <c r="CY96" i="159"/>
  <c r="CZ96" i="159"/>
  <c r="CX96" i="159"/>
  <c r="CY96" i="162"/>
  <c r="CT96" i="162"/>
  <c r="CR96" i="162"/>
  <c r="U85" i="79" s="1"/>
  <c r="CM96" i="162"/>
  <c r="BR97" i="160"/>
  <c r="CF97" i="160" s="1"/>
  <c r="P97" i="162"/>
  <c r="Q97" i="162" s="1"/>
  <c r="F86" i="79"/>
  <c r="AK97" i="159"/>
  <c r="AN97" i="159" s="1"/>
  <c r="AB97" i="162"/>
  <c r="AC97" i="162" s="1"/>
  <c r="E70" i="79"/>
  <c r="BU97" i="160"/>
  <c r="CI97" i="160" s="1"/>
  <c r="BW97" i="162"/>
  <c r="BU97" i="162" s="1"/>
  <c r="CI97" i="162" s="1"/>
  <c r="Z97" i="162"/>
  <c r="AA97" i="162" s="1"/>
  <c r="AU97" i="159"/>
  <c r="AX97" i="159" s="1"/>
  <c r="J97" i="159"/>
  <c r="M97" i="159" s="1"/>
  <c r="I70" i="79"/>
  <c r="AZ97" i="159"/>
  <c r="BC97" i="159" s="1"/>
  <c r="BW97" i="163"/>
  <c r="AB97" i="163"/>
  <c r="AC97" i="163" s="1"/>
  <c r="AG97" i="163" s="1"/>
  <c r="Z97" i="163"/>
  <c r="AA97" i="163" s="1"/>
  <c r="E97" i="159"/>
  <c r="O97" i="159"/>
  <c r="T97" i="159"/>
  <c r="AD97" i="159"/>
  <c r="AQ97" i="163"/>
  <c r="AR97" i="163" s="1"/>
  <c r="AS97" i="163"/>
  <c r="BY97" i="163"/>
  <c r="F97" i="163"/>
  <c r="H97" i="163"/>
  <c r="I97" i="163" s="1"/>
  <c r="BC97" i="163"/>
  <c r="BA97" i="163"/>
  <c r="BB97" i="163" s="1"/>
  <c r="S97" i="162"/>
  <c r="W97" i="162" s="1"/>
  <c r="U97" i="162"/>
  <c r="V97" i="162" s="1"/>
  <c r="BY97" i="162"/>
  <c r="F97" i="162"/>
  <c r="H97" i="162"/>
  <c r="I97" i="162" s="1"/>
  <c r="G97" i="160"/>
  <c r="CA97" i="163"/>
  <c r="AX97" i="163"/>
  <c r="AY97" i="163" s="1"/>
  <c r="AV97" i="163"/>
  <c r="AW97" i="163" s="1"/>
  <c r="BJ97" i="159"/>
  <c r="CA97" i="162"/>
  <c r="AV97" i="162"/>
  <c r="AW97" i="162" s="1"/>
  <c r="AX97" i="162"/>
  <c r="AY97" i="162" s="1"/>
  <c r="BC97" i="162" s="1"/>
  <c r="BE97" i="159"/>
  <c r="BS97" i="160"/>
  <c r="CG97" i="160" s="1"/>
  <c r="BT97" i="160"/>
  <c r="CH97" i="160" s="1"/>
  <c r="BF97" i="163"/>
  <c r="BG97" i="163" s="1"/>
  <c r="CB97" i="163"/>
  <c r="BH97" i="163"/>
  <c r="BI97" i="163" s="1"/>
  <c r="BM97" i="163" s="1"/>
  <c r="AN97" i="162"/>
  <c r="AO97" i="162" s="1"/>
  <c r="BZ97" i="162"/>
  <c r="AL97" i="162"/>
  <c r="BX97" i="163"/>
  <c r="R97" i="163"/>
  <c r="S97" i="163" s="1"/>
  <c r="P97" i="163"/>
  <c r="Q97" i="163" s="1"/>
  <c r="AN97" i="163"/>
  <c r="AO97" i="163" s="1"/>
  <c r="AL97" i="163"/>
  <c r="AM97" i="163" s="1"/>
  <c r="BZ97" i="163"/>
  <c r="BA97" i="162"/>
  <c r="BB97" i="162" s="1"/>
  <c r="Y97" i="159"/>
  <c r="AX81" i="158"/>
  <c r="AY81" i="158" s="1"/>
  <c r="BC81" i="158" s="1"/>
  <c r="CB97" i="162"/>
  <c r="BP97" i="162" s="1"/>
  <c r="CD97" i="162" s="1"/>
  <c r="BH97" i="162"/>
  <c r="BI97" i="162" s="1"/>
  <c r="BM97" i="162" s="1"/>
  <c r="BF97" i="162"/>
  <c r="BG97" i="162" s="1"/>
  <c r="AP97" i="159"/>
  <c r="K97" i="162"/>
  <c r="L97" i="162" s="1"/>
  <c r="M97" i="162"/>
  <c r="M97" i="163"/>
  <c r="K97" i="163"/>
  <c r="L97" i="163" s="1"/>
  <c r="W97" i="163"/>
  <c r="U97" i="163"/>
  <c r="V97" i="163" s="1"/>
  <c r="AE81" i="158"/>
  <c r="AF81" i="158" s="1"/>
  <c r="K70" i="79"/>
  <c r="AS97" i="162"/>
  <c r="AQ97" i="162"/>
  <c r="AR97" i="162" s="1"/>
  <c r="AL81" i="158"/>
  <c r="AM81" i="158" s="1"/>
  <c r="CA81" i="158"/>
  <c r="BZ81" i="158"/>
  <c r="U81" i="158"/>
  <c r="V81" i="158" s="1"/>
  <c r="BW81" i="158"/>
  <c r="Z81" i="158"/>
  <c r="AA81" i="158" s="1"/>
  <c r="AB81" i="158"/>
  <c r="AC81" i="158" s="1"/>
  <c r="AG81" i="158" s="1"/>
  <c r="K81" i="158"/>
  <c r="L81" i="158" s="1"/>
  <c r="F81" i="158"/>
  <c r="H81" i="158"/>
  <c r="I81" i="158" s="1"/>
  <c r="M81" i="158" s="1"/>
  <c r="BY81" i="158"/>
  <c r="P81" i="158"/>
  <c r="Q81" i="158" s="1"/>
  <c r="R81" i="158"/>
  <c r="S81" i="158" s="1"/>
  <c r="W81" i="158" s="1"/>
  <c r="BX81" i="158"/>
  <c r="AL97" i="159" l="1"/>
  <c r="AM97" i="159" s="1"/>
  <c r="CU97" i="160"/>
  <c r="AU98" i="160"/>
  <c r="AV98" i="160" s="1"/>
  <c r="AW98" i="160" s="1"/>
  <c r="CX97" i="160"/>
  <c r="CR97" i="160"/>
  <c r="K97" i="159"/>
  <c r="L97" i="159" s="1"/>
  <c r="CW97" i="160"/>
  <c r="CM97" i="160"/>
  <c r="CT97" i="160"/>
  <c r="CK97" i="160"/>
  <c r="CS97" i="160"/>
  <c r="CP97" i="160"/>
  <c r="CZ97" i="160"/>
  <c r="CL97" i="160"/>
  <c r="CY97" i="160"/>
  <c r="CO97" i="160"/>
  <c r="CQ97" i="160"/>
  <c r="CV97" i="160"/>
  <c r="CN97" i="160"/>
  <c r="L70" i="79"/>
  <c r="BZ97" i="159"/>
  <c r="AY97" i="159"/>
  <c r="AV97" i="159"/>
  <c r="AW97" i="159" s="1"/>
  <c r="AK98" i="160"/>
  <c r="AL98" i="160" s="1"/>
  <c r="AM98" i="160" s="1"/>
  <c r="BA97" i="159"/>
  <c r="BB97" i="159" s="1"/>
  <c r="BJ98" i="160"/>
  <c r="BK98" i="160" s="1"/>
  <c r="BL98" i="160" s="1"/>
  <c r="CA97" i="159"/>
  <c r="BQ97" i="159" s="1"/>
  <c r="CE97" i="159" s="1"/>
  <c r="AP98" i="160"/>
  <c r="AZ98" i="160"/>
  <c r="BA98" i="160" s="1"/>
  <c r="BB98" i="160" s="1"/>
  <c r="BE98" i="160"/>
  <c r="BH98" i="160" s="1"/>
  <c r="AX98" i="160"/>
  <c r="BQ97" i="162"/>
  <c r="CE97" i="162" s="1"/>
  <c r="BR97" i="162"/>
  <c r="CF97" i="162" s="1"/>
  <c r="CB97" i="159"/>
  <c r="BF97" i="159"/>
  <c r="BG97" i="159" s="1"/>
  <c r="BH97" i="159"/>
  <c r="BI97" i="159" s="1"/>
  <c r="BM97" i="159" s="1"/>
  <c r="G97" i="162"/>
  <c r="AB97" i="159"/>
  <c r="AC97" i="159" s="1"/>
  <c r="AG97" i="159" s="1"/>
  <c r="Z97" i="159"/>
  <c r="AA97" i="159" s="1"/>
  <c r="BW97" i="159"/>
  <c r="BT97" i="162"/>
  <c r="CH97" i="162" s="1"/>
  <c r="BS97" i="162"/>
  <c r="CG97" i="162" s="1"/>
  <c r="G97" i="163"/>
  <c r="AE97" i="159"/>
  <c r="AF97" i="159" s="1"/>
  <c r="BK97" i="159"/>
  <c r="BL97" i="159" s="1"/>
  <c r="BU97" i="163"/>
  <c r="CI97" i="163" s="1"/>
  <c r="BT97" i="163"/>
  <c r="CH97" i="163" s="1"/>
  <c r="BS97" i="163"/>
  <c r="CG97" i="163" s="1"/>
  <c r="U97" i="159"/>
  <c r="V97" i="159" s="1"/>
  <c r="W97" i="159"/>
  <c r="R97" i="159"/>
  <c r="S97" i="159" s="1"/>
  <c r="BX97" i="159"/>
  <c r="P97" i="159"/>
  <c r="Q97" i="159" s="1"/>
  <c r="AO97" i="159"/>
  <c r="AQ97" i="159"/>
  <c r="AS97" i="159"/>
  <c r="BR97" i="163"/>
  <c r="CF97" i="163" s="1"/>
  <c r="BQ97" i="163"/>
  <c r="CE97" i="163" s="1"/>
  <c r="BP97" i="163"/>
  <c r="CD97" i="163" s="1"/>
  <c r="AM97" i="162"/>
  <c r="T98" i="160"/>
  <c r="AD98" i="160"/>
  <c r="J98" i="160"/>
  <c r="Y98" i="160"/>
  <c r="E98" i="160"/>
  <c r="O98" i="160"/>
  <c r="F97" i="159"/>
  <c r="BY97" i="159"/>
  <c r="H97" i="159"/>
  <c r="I97" i="159" s="1"/>
  <c r="BR81" i="158"/>
  <c r="CF81" i="158" s="1"/>
  <c r="BP81" i="158"/>
  <c r="CD81" i="158" s="1"/>
  <c r="BQ81" i="158"/>
  <c r="CE81" i="158" s="1"/>
  <c r="BS81" i="158"/>
  <c r="CG81" i="158" s="1"/>
  <c r="BT81" i="158"/>
  <c r="CH81" i="158" s="1"/>
  <c r="BU81" i="158"/>
  <c r="CI81" i="158" s="1"/>
  <c r="G81" i="158"/>
  <c r="BF98" i="160" l="1"/>
  <c r="BG98" i="160" s="1"/>
  <c r="BZ98" i="160"/>
  <c r="CL97" i="162"/>
  <c r="CW81" i="158"/>
  <c r="Z70" i="79" s="1"/>
  <c r="CS81" i="158"/>
  <c r="V70" i="79" s="1"/>
  <c r="CU81" i="158"/>
  <c r="X70" i="79" s="1"/>
  <c r="CX81" i="158"/>
  <c r="AA70" i="79" s="1"/>
  <c r="CZ81" i="158"/>
  <c r="AC70" i="79" s="1"/>
  <c r="CQ81" i="158"/>
  <c r="CT81" i="158"/>
  <c r="W70" i="79" s="1"/>
  <c r="CY81" i="158"/>
  <c r="AB70" i="79" s="1"/>
  <c r="CP81" i="158"/>
  <c r="CN81" i="158"/>
  <c r="Q70" i="79" s="1"/>
  <c r="CV81" i="158"/>
  <c r="Y70" i="79" s="1"/>
  <c r="CK81" i="158"/>
  <c r="N70" i="79" s="1"/>
  <c r="CL81" i="158"/>
  <c r="O70" i="79" s="1"/>
  <c r="CM81" i="158"/>
  <c r="P70" i="79" s="1"/>
  <c r="CO81" i="158"/>
  <c r="CR81" i="158"/>
  <c r="CW97" i="162"/>
  <c r="CN97" i="162"/>
  <c r="CX97" i="162"/>
  <c r="CM97" i="162"/>
  <c r="CS97" i="162"/>
  <c r="CR97" i="162"/>
  <c r="U86" i="79" s="1"/>
  <c r="CT97" i="162"/>
  <c r="CK97" i="162"/>
  <c r="CV97" i="163"/>
  <c r="CQ97" i="163"/>
  <c r="CR97" i="163"/>
  <c r="CN97" i="163"/>
  <c r="CL97" i="163"/>
  <c r="CP97" i="163"/>
  <c r="CO97" i="163"/>
  <c r="CM97" i="163"/>
  <c r="CK97" i="163"/>
  <c r="CS97" i="163"/>
  <c r="CU97" i="163"/>
  <c r="CZ97" i="163"/>
  <c r="CT97" i="163"/>
  <c r="CY97" i="163"/>
  <c r="CX97" i="163"/>
  <c r="CW97" i="163"/>
  <c r="CU97" i="162"/>
  <c r="CO97" i="162"/>
  <c r="R86" i="79" s="1"/>
  <c r="CQ97" i="162"/>
  <c r="T86" i="79" s="1"/>
  <c r="CZ97" i="162"/>
  <c r="CV97" i="162"/>
  <c r="CP97" i="162"/>
  <c r="S86" i="79" s="1"/>
  <c r="CY97" i="162"/>
  <c r="AN98" i="160"/>
  <c r="AO98" i="160" s="1"/>
  <c r="CB98" i="160"/>
  <c r="BP98" i="160" s="1"/>
  <c r="CD98" i="160" s="1"/>
  <c r="BP97" i="159"/>
  <c r="CD97" i="159" s="1"/>
  <c r="Y98" i="162"/>
  <c r="AB98" i="162" s="1"/>
  <c r="AS98" i="160"/>
  <c r="AP98" i="163"/>
  <c r="AS98" i="163" s="1"/>
  <c r="AZ98" i="163"/>
  <c r="BA98" i="163" s="1"/>
  <c r="BB98" i="163" s="1"/>
  <c r="AQ98" i="160"/>
  <c r="AR98" i="160" s="1"/>
  <c r="AD98" i="163"/>
  <c r="AE98" i="163" s="1"/>
  <c r="AF98" i="163" s="1"/>
  <c r="BR97" i="159"/>
  <c r="CF97" i="159" s="1"/>
  <c r="BI98" i="160"/>
  <c r="BM98" i="160" s="1"/>
  <c r="BJ98" i="162"/>
  <c r="BK98" i="162" s="1"/>
  <c r="BL98" i="162" s="1"/>
  <c r="CA98" i="160"/>
  <c r="BQ98" i="160" s="1"/>
  <c r="CE98" i="160" s="1"/>
  <c r="AY98" i="160"/>
  <c r="BC98" i="160" s="1"/>
  <c r="BJ98" i="163"/>
  <c r="BK98" i="163" s="1"/>
  <c r="BL98" i="163" s="1"/>
  <c r="AD82" i="158"/>
  <c r="AE82" i="158" s="1"/>
  <c r="AF82" i="158" s="1"/>
  <c r="AD98" i="162"/>
  <c r="AG98" i="162" s="1"/>
  <c r="U98" i="160"/>
  <c r="V98" i="160" s="1"/>
  <c r="Y98" i="163"/>
  <c r="T98" i="163"/>
  <c r="O98" i="163"/>
  <c r="E98" i="163"/>
  <c r="E98" i="162"/>
  <c r="T98" i="162"/>
  <c r="AR97" i="159"/>
  <c r="BE98" i="162"/>
  <c r="AP98" i="162"/>
  <c r="AK98" i="162"/>
  <c r="AZ98" i="162"/>
  <c r="AU98" i="162"/>
  <c r="R98" i="160"/>
  <c r="S98" i="160" s="1"/>
  <c r="W98" i="160" s="1"/>
  <c r="P98" i="160"/>
  <c r="Q98" i="160" s="1"/>
  <c r="BX98" i="160"/>
  <c r="AU98" i="163"/>
  <c r="AK98" i="163"/>
  <c r="BE98" i="163"/>
  <c r="G97" i="159"/>
  <c r="O98" i="162"/>
  <c r="J98" i="162"/>
  <c r="BW98" i="160"/>
  <c r="AB98" i="160"/>
  <c r="AC98" i="160" s="1"/>
  <c r="AG98" i="160" s="1"/>
  <c r="Z98" i="160"/>
  <c r="AA98" i="160" s="1"/>
  <c r="BR98" i="160"/>
  <c r="CF98" i="160" s="1"/>
  <c r="BT97" i="159"/>
  <c r="CH97" i="159" s="1"/>
  <c r="BU97" i="159"/>
  <c r="CI97" i="159" s="1"/>
  <c r="BS97" i="159"/>
  <c r="CG97" i="159" s="1"/>
  <c r="H98" i="160"/>
  <c r="I98" i="160" s="1"/>
  <c r="F98" i="160"/>
  <c r="BY98" i="160"/>
  <c r="K98" i="160"/>
  <c r="L98" i="160" s="1"/>
  <c r="M98" i="160"/>
  <c r="AE98" i="160"/>
  <c r="AF98" i="160" s="1"/>
  <c r="J98" i="163"/>
  <c r="AZ82" i="158"/>
  <c r="BA82" i="158" s="1"/>
  <c r="BB82" i="158" s="1"/>
  <c r="BE82" i="158"/>
  <c r="BH82" i="158" s="1"/>
  <c r="AK82" i="158"/>
  <c r="AN82" i="158" s="1"/>
  <c r="AU82" i="158"/>
  <c r="AV82" i="158" s="1"/>
  <c r="AW82" i="158" s="1"/>
  <c r="AP82" i="158"/>
  <c r="AQ82" i="158" s="1"/>
  <c r="AR82" i="158" s="1"/>
  <c r="BJ82" i="158"/>
  <c r="O82" i="158"/>
  <c r="H71" i="79" s="1"/>
  <c r="J82" i="158"/>
  <c r="Y82" i="158"/>
  <c r="T82" i="158"/>
  <c r="E82" i="158"/>
  <c r="E71" i="79" s="1"/>
  <c r="F87" i="79" l="1"/>
  <c r="AE98" i="162"/>
  <c r="AF98" i="162" s="1"/>
  <c r="CK97" i="159"/>
  <c r="CQ97" i="159"/>
  <c r="CN97" i="159"/>
  <c r="CR97" i="159"/>
  <c r="CP97" i="159"/>
  <c r="CL97" i="159"/>
  <c r="CO97" i="159"/>
  <c r="CM97" i="159"/>
  <c r="CS97" i="159"/>
  <c r="CU97" i="159"/>
  <c r="CW97" i="159"/>
  <c r="CV97" i="159"/>
  <c r="CT97" i="159"/>
  <c r="CX97" i="159"/>
  <c r="CZ97" i="159"/>
  <c r="CY97" i="159"/>
  <c r="AU98" i="159"/>
  <c r="AX98" i="159" s="1"/>
  <c r="AQ98" i="163"/>
  <c r="AR98" i="163" s="1"/>
  <c r="Z98" i="162"/>
  <c r="AA98" i="162" s="1"/>
  <c r="BJ98" i="159"/>
  <c r="BK98" i="159" s="1"/>
  <c r="BL98" i="159" s="1"/>
  <c r="G71" i="79"/>
  <c r="BC98" i="163"/>
  <c r="AK98" i="159"/>
  <c r="AN98" i="159" s="1"/>
  <c r="BW98" i="162"/>
  <c r="BU98" i="162" s="1"/>
  <c r="CI98" i="162" s="1"/>
  <c r="AC98" i="162"/>
  <c r="J87" i="79"/>
  <c r="T98" i="159"/>
  <c r="W98" i="159" s="1"/>
  <c r="O98" i="159"/>
  <c r="AZ98" i="159"/>
  <c r="BC98" i="159" s="1"/>
  <c r="E98" i="159"/>
  <c r="CB98" i="162"/>
  <c r="BP98" i="162" s="1"/>
  <c r="CD98" i="162" s="1"/>
  <c r="BH98" i="162"/>
  <c r="BI98" i="162" s="1"/>
  <c r="BM98" i="162" s="1"/>
  <c r="BF98" i="162"/>
  <c r="BG98" i="162" s="1"/>
  <c r="H98" i="163"/>
  <c r="I98" i="163" s="1"/>
  <c r="F98" i="163"/>
  <c r="BY98" i="163"/>
  <c r="J98" i="159"/>
  <c r="P98" i="163"/>
  <c r="Q98" i="163" s="1"/>
  <c r="BX98" i="163"/>
  <c r="R98" i="163"/>
  <c r="S98" i="163" s="1"/>
  <c r="BS98" i="160"/>
  <c r="CG98" i="160" s="1"/>
  <c r="BT98" i="160"/>
  <c r="CH98" i="160" s="1"/>
  <c r="U98" i="163"/>
  <c r="V98" i="163" s="1"/>
  <c r="W98" i="163"/>
  <c r="AD98" i="159"/>
  <c r="G98" i="160"/>
  <c r="AP99" i="160" s="1"/>
  <c r="Y98" i="159"/>
  <c r="I71" i="79"/>
  <c r="M98" i="163"/>
  <c r="K98" i="163"/>
  <c r="L98" i="163" s="1"/>
  <c r="BH98" i="163"/>
  <c r="BI98" i="163" s="1"/>
  <c r="BM98" i="163" s="1"/>
  <c r="BF98" i="163"/>
  <c r="BG98" i="163" s="1"/>
  <c r="CB98" i="163"/>
  <c r="CA98" i="162"/>
  <c r="AX98" i="162"/>
  <c r="AY98" i="162" s="1"/>
  <c r="BC98" i="162" s="1"/>
  <c r="AV98" i="162"/>
  <c r="AW98" i="162" s="1"/>
  <c r="CB82" i="158"/>
  <c r="BU98" i="160"/>
  <c r="CI98" i="160" s="1"/>
  <c r="AN98" i="163"/>
  <c r="AO98" i="163" s="1"/>
  <c r="AL98" i="163"/>
  <c r="BZ98" i="163"/>
  <c r="BA98" i="162"/>
  <c r="BB98" i="162" s="1"/>
  <c r="K98" i="162"/>
  <c r="L98" i="162" s="1"/>
  <c r="M98" i="162"/>
  <c r="AX98" i="163"/>
  <c r="AY98" i="163" s="1"/>
  <c r="AV98" i="163"/>
  <c r="AW98" i="163" s="1"/>
  <c r="CA98" i="163"/>
  <c r="BZ98" i="162"/>
  <c r="AN98" i="162"/>
  <c r="AO98" i="162" s="1"/>
  <c r="AL98" i="162"/>
  <c r="U98" i="162"/>
  <c r="V98" i="162" s="1"/>
  <c r="AB98" i="163"/>
  <c r="AC98" i="163" s="1"/>
  <c r="AG98" i="163" s="1"/>
  <c r="BW98" i="163"/>
  <c r="Z98" i="163"/>
  <c r="AA98" i="163" s="1"/>
  <c r="R98" i="162"/>
  <c r="S98" i="162" s="1"/>
  <c r="W98" i="162" s="1"/>
  <c r="P98" i="162"/>
  <c r="Q98" i="162" s="1"/>
  <c r="BX98" i="162"/>
  <c r="AQ98" i="162"/>
  <c r="AR98" i="162" s="1"/>
  <c r="AS98" i="162"/>
  <c r="F98" i="162"/>
  <c r="BY98" i="162"/>
  <c r="H98" i="162"/>
  <c r="I98" i="162" s="1"/>
  <c r="AP98" i="159"/>
  <c r="K71" i="79"/>
  <c r="BE98" i="159"/>
  <c r="AL82" i="158"/>
  <c r="AM82" i="158" s="1"/>
  <c r="BZ82" i="158"/>
  <c r="AO82" i="158"/>
  <c r="AS82" i="158" s="1"/>
  <c r="BF82" i="158"/>
  <c r="BG82" i="158" s="1"/>
  <c r="BK82" i="158"/>
  <c r="BL82" i="158" s="1"/>
  <c r="BI82" i="158"/>
  <c r="BM82" i="158" s="1"/>
  <c r="CA82" i="158"/>
  <c r="AX82" i="158"/>
  <c r="AY82" i="158" s="1"/>
  <c r="BC82" i="158" s="1"/>
  <c r="U82" i="158"/>
  <c r="V82" i="158" s="1"/>
  <c r="P82" i="158"/>
  <c r="Q82" i="158" s="1"/>
  <c r="R82" i="158"/>
  <c r="S82" i="158" s="1"/>
  <c r="W82" i="158" s="1"/>
  <c r="BX82" i="158"/>
  <c r="AB82" i="158"/>
  <c r="AC82" i="158" s="1"/>
  <c r="AG82" i="158" s="1"/>
  <c r="BW82" i="158"/>
  <c r="Z82" i="158"/>
  <c r="AA82" i="158" s="1"/>
  <c r="K82" i="158"/>
  <c r="L82" i="158" s="1"/>
  <c r="H82" i="158"/>
  <c r="I82" i="158" s="1"/>
  <c r="M82" i="158" s="1"/>
  <c r="F82" i="158"/>
  <c r="BY82" i="158"/>
  <c r="AV98" i="159" l="1"/>
  <c r="AW98" i="159" s="1"/>
  <c r="BZ98" i="159"/>
  <c r="CM98" i="160"/>
  <c r="CX98" i="160"/>
  <c r="CV98" i="160"/>
  <c r="CZ98" i="160"/>
  <c r="CL98" i="160"/>
  <c r="CY98" i="160"/>
  <c r="CO98" i="160"/>
  <c r="CS98" i="160"/>
  <c r="CQ98" i="160"/>
  <c r="CT98" i="160"/>
  <c r="CR98" i="160"/>
  <c r="CN98" i="160"/>
  <c r="CK98" i="160"/>
  <c r="CP98" i="160"/>
  <c r="CU98" i="160"/>
  <c r="CW98" i="160"/>
  <c r="L71" i="79"/>
  <c r="AL98" i="159"/>
  <c r="AM98" i="159" s="1"/>
  <c r="BX98" i="159"/>
  <c r="U98" i="159"/>
  <c r="V98" i="159" s="1"/>
  <c r="R98" i="159"/>
  <c r="S98" i="159" s="1"/>
  <c r="AY98" i="159"/>
  <c r="P98" i="159"/>
  <c r="Q98" i="159" s="1"/>
  <c r="CA98" i="159"/>
  <c r="BP98" i="159" s="1"/>
  <c r="CD98" i="159" s="1"/>
  <c r="BA98" i="159"/>
  <c r="BB98" i="159" s="1"/>
  <c r="BE99" i="160"/>
  <c r="BF99" i="160" s="1"/>
  <c r="BG99" i="160" s="1"/>
  <c r="BJ99" i="160"/>
  <c r="BK99" i="160" s="1"/>
  <c r="BL99" i="160" s="1"/>
  <c r="AU99" i="160"/>
  <c r="AX99" i="160" s="1"/>
  <c r="AZ99" i="160"/>
  <c r="BA99" i="160" s="1"/>
  <c r="BB99" i="160" s="1"/>
  <c r="AK99" i="160"/>
  <c r="BZ99" i="160" s="1"/>
  <c r="AM98" i="163"/>
  <c r="AB98" i="159"/>
  <c r="AC98" i="159" s="1"/>
  <c r="AG98" i="159" s="1"/>
  <c r="Z98" i="159"/>
  <c r="AA98" i="159" s="1"/>
  <c r="BW98" i="159"/>
  <c r="AE98" i="159"/>
  <c r="AF98" i="159" s="1"/>
  <c r="J99" i="160"/>
  <c r="AD99" i="160"/>
  <c r="Y99" i="160"/>
  <c r="E99" i="160"/>
  <c r="T99" i="160"/>
  <c r="O99" i="160"/>
  <c r="AO98" i="159"/>
  <c r="AM98" i="162"/>
  <c r="G98" i="162"/>
  <c r="BQ98" i="162"/>
  <c r="CE98" i="162" s="1"/>
  <c r="BR98" i="162"/>
  <c r="CF98" i="162" s="1"/>
  <c r="BS98" i="162"/>
  <c r="CG98" i="162" s="1"/>
  <c r="BT98" i="162"/>
  <c r="CH98" i="162" s="1"/>
  <c r="BF98" i="159"/>
  <c r="BG98" i="159" s="1"/>
  <c r="CB98" i="159"/>
  <c r="BH98" i="159"/>
  <c r="BI98" i="159" s="1"/>
  <c r="BM98" i="159" s="1"/>
  <c r="BT98" i="163"/>
  <c r="CH98" i="163" s="1"/>
  <c r="BS98" i="163"/>
  <c r="CG98" i="163" s="1"/>
  <c r="BU98" i="163"/>
  <c r="CI98" i="163" s="1"/>
  <c r="G98" i="163"/>
  <c r="AQ98" i="159"/>
  <c r="AR98" i="159" s="1"/>
  <c r="AS98" i="159"/>
  <c r="AQ99" i="160"/>
  <c r="AR99" i="160" s="1"/>
  <c r="AS99" i="160"/>
  <c r="M98" i="159"/>
  <c r="K98" i="159"/>
  <c r="L98" i="159" s="1"/>
  <c r="F98" i="159"/>
  <c r="BY98" i="159"/>
  <c r="H98" i="159"/>
  <c r="I98" i="159" s="1"/>
  <c r="BP98" i="163"/>
  <c r="CD98" i="163" s="1"/>
  <c r="BR98" i="163"/>
  <c r="CF98" i="163" s="1"/>
  <c r="BQ98" i="163"/>
  <c r="CE98" i="163" s="1"/>
  <c r="BT82" i="158"/>
  <c r="CH82" i="158" s="1"/>
  <c r="BU82" i="158"/>
  <c r="CI82" i="158" s="1"/>
  <c r="BS82" i="158"/>
  <c r="CG82" i="158" s="1"/>
  <c r="BQ82" i="158"/>
  <c r="CE82" i="158" s="1"/>
  <c r="BR82" i="158"/>
  <c r="CF82" i="158" s="1"/>
  <c r="BP82" i="158"/>
  <c r="CD82" i="158" s="1"/>
  <c r="G82" i="158"/>
  <c r="AY99" i="160" l="1"/>
  <c r="BC99" i="160" s="1"/>
  <c r="CL98" i="162"/>
  <c r="CM98" i="162"/>
  <c r="CN98" i="162"/>
  <c r="CQ98" i="162"/>
  <c r="T87" i="79" s="1"/>
  <c r="CO98" i="162"/>
  <c r="R87" i="79" s="1"/>
  <c r="CW82" i="158"/>
  <c r="Z71" i="79" s="1"/>
  <c r="CY82" i="158"/>
  <c r="AB71" i="79" s="1"/>
  <c r="CV82" i="158"/>
  <c r="Y71" i="79" s="1"/>
  <c r="CX82" i="158"/>
  <c r="AA71" i="79" s="1"/>
  <c r="CU82" i="158"/>
  <c r="X71" i="79" s="1"/>
  <c r="CZ82" i="158"/>
  <c r="AC71" i="79" s="1"/>
  <c r="CS82" i="158"/>
  <c r="V71" i="79" s="1"/>
  <c r="CT82" i="158"/>
  <c r="W71" i="79" s="1"/>
  <c r="CO82" i="158"/>
  <c r="CL82" i="158"/>
  <c r="O71" i="79" s="1"/>
  <c r="CP82" i="158"/>
  <c r="CQ82" i="158"/>
  <c r="CN82" i="158"/>
  <c r="Q71" i="79" s="1"/>
  <c r="CR82" i="158"/>
  <c r="CK82" i="158"/>
  <c r="N71" i="79" s="1"/>
  <c r="CM82" i="158"/>
  <c r="P71" i="79" s="1"/>
  <c r="CV98" i="163"/>
  <c r="CP98" i="163"/>
  <c r="CK98" i="163"/>
  <c r="CL98" i="163"/>
  <c r="CN98" i="163"/>
  <c r="CO98" i="163"/>
  <c r="CQ98" i="163"/>
  <c r="CM98" i="163"/>
  <c r="CR98" i="163"/>
  <c r="CU98" i="163"/>
  <c r="CS98" i="163"/>
  <c r="CZ98" i="163"/>
  <c r="CT98" i="163"/>
  <c r="CY98" i="163"/>
  <c r="CX98" i="163"/>
  <c r="CW98" i="163"/>
  <c r="CY98" i="162"/>
  <c r="CV98" i="162"/>
  <c r="CX98" i="162"/>
  <c r="CZ98" i="162"/>
  <c r="CW98" i="162"/>
  <c r="CR98" i="162"/>
  <c r="U87" i="79" s="1"/>
  <c r="CS98" i="162"/>
  <c r="CP98" i="162"/>
  <c r="S87" i="79" s="1"/>
  <c r="CU98" i="162"/>
  <c r="CK98" i="162"/>
  <c r="CT98" i="162"/>
  <c r="BJ99" i="162"/>
  <c r="BK99" i="162" s="1"/>
  <c r="BL99" i="162" s="1"/>
  <c r="BR98" i="159"/>
  <c r="CF98" i="159" s="1"/>
  <c r="BQ98" i="159"/>
  <c r="CE98" i="159" s="1"/>
  <c r="BJ99" i="163"/>
  <c r="BK99" i="163" s="1"/>
  <c r="BL99" i="163" s="1"/>
  <c r="CA99" i="160"/>
  <c r="BQ99" i="160" s="1"/>
  <c r="CE99" i="160" s="1"/>
  <c r="AL99" i="160"/>
  <c r="AM99" i="160" s="1"/>
  <c r="T99" i="162"/>
  <c r="U99" i="162" s="1"/>
  <c r="V99" i="162" s="1"/>
  <c r="BH99" i="160"/>
  <c r="BI99" i="160" s="1"/>
  <c r="BM99" i="160" s="1"/>
  <c r="AN99" i="160"/>
  <c r="AO99" i="160" s="1"/>
  <c r="AV99" i="160"/>
  <c r="AW99" i="160" s="1"/>
  <c r="CB99" i="160"/>
  <c r="BP99" i="160" s="1"/>
  <c r="CD99" i="160" s="1"/>
  <c r="BE99" i="162"/>
  <c r="BH99" i="162" s="1"/>
  <c r="AP99" i="163"/>
  <c r="AS99" i="163" s="1"/>
  <c r="E99" i="162"/>
  <c r="F99" i="162" s="1"/>
  <c r="G99" i="162" s="1"/>
  <c r="AD99" i="162"/>
  <c r="AE99" i="162" s="1"/>
  <c r="AF99" i="162" s="1"/>
  <c r="O99" i="163"/>
  <c r="R99" i="163" s="1"/>
  <c r="T99" i="163"/>
  <c r="U99" i="163" s="1"/>
  <c r="V99" i="163" s="1"/>
  <c r="AZ99" i="163"/>
  <c r="R99" i="160"/>
  <c r="S99" i="160" s="1"/>
  <c r="W99" i="160" s="1"/>
  <c r="BX99" i="160"/>
  <c r="P99" i="160"/>
  <c r="Q99" i="160" s="1"/>
  <c r="Y99" i="163"/>
  <c r="U99" i="160"/>
  <c r="V99" i="160" s="1"/>
  <c r="AD99" i="163"/>
  <c r="H99" i="160"/>
  <c r="I99" i="160" s="1"/>
  <c r="F99" i="160"/>
  <c r="BY99" i="160"/>
  <c r="AP99" i="162"/>
  <c r="AK99" i="162"/>
  <c r="Z99" i="160"/>
  <c r="AA99" i="160" s="1"/>
  <c r="AB99" i="160"/>
  <c r="AC99" i="160" s="1"/>
  <c r="AG99" i="160" s="1"/>
  <c r="BW99" i="160"/>
  <c r="E83" i="158"/>
  <c r="H83" i="158" s="1"/>
  <c r="AK99" i="163"/>
  <c r="AU99" i="163"/>
  <c r="BE99" i="163"/>
  <c r="BT98" i="159"/>
  <c r="CH98" i="159" s="1"/>
  <c r="BU98" i="159"/>
  <c r="CI98" i="159" s="1"/>
  <c r="BS98" i="159"/>
  <c r="CG98" i="159" s="1"/>
  <c r="G98" i="159"/>
  <c r="J99" i="163"/>
  <c r="Y99" i="162"/>
  <c r="AE99" i="160"/>
  <c r="AF99" i="160" s="1"/>
  <c r="AU99" i="162"/>
  <c r="K99" i="160"/>
  <c r="L99" i="160" s="1"/>
  <c r="M99" i="160"/>
  <c r="BJ83" i="158"/>
  <c r="BK83" i="158" s="1"/>
  <c r="BL83" i="158" s="1"/>
  <c r="AZ99" i="162"/>
  <c r="E99" i="163"/>
  <c r="O99" i="162"/>
  <c r="J99" i="162"/>
  <c r="AZ83" i="158"/>
  <c r="BA83" i="158" s="1"/>
  <c r="BB83" i="158" s="1"/>
  <c r="BE83" i="158"/>
  <c r="BF83" i="158" s="1"/>
  <c r="BG83" i="158" s="1"/>
  <c r="AP83" i="158"/>
  <c r="AQ83" i="158" s="1"/>
  <c r="AR83" i="158" s="1"/>
  <c r="AU83" i="158"/>
  <c r="AX83" i="158" s="1"/>
  <c r="AK83" i="158"/>
  <c r="AL83" i="158" s="1"/>
  <c r="AM83" i="158" s="1"/>
  <c r="J83" i="158"/>
  <c r="O83" i="158"/>
  <c r="H72" i="79" s="1"/>
  <c r="T83" i="158"/>
  <c r="U83" i="158" s="1"/>
  <c r="V83" i="158" s="1"/>
  <c r="Y83" i="158"/>
  <c r="AD83" i="158"/>
  <c r="F88" i="79" l="1"/>
  <c r="BR99" i="160"/>
  <c r="CF99" i="160" s="1"/>
  <c r="BM99" i="162"/>
  <c r="CR98" i="159"/>
  <c r="AK99" i="159"/>
  <c r="CB99" i="162"/>
  <c r="BP99" i="162" s="1"/>
  <c r="CD99" i="162" s="1"/>
  <c r="CW98" i="159"/>
  <c r="CM98" i="159"/>
  <c r="CT98" i="159"/>
  <c r="CL98" i="159"/>
  <c r="CN98" i="159"/>
  <c r="CS98" i="159"/>
  <c r="CY98" i="159"/>
  <c r="CO98" i="159"/>
  <c r="CZ98" i="159"/>
  <c r="CQ98" i="159"/>
  <c r="CX98" i="159"/>
  <c r="CK98" i="159"/>
  <c r="CU98" i="159"/>
  <c r="CP98" i="159"/>
  <c r="CV98" i="159"/>
  <c r="K72" i="79"/>
  <c r="BF99" i="162"/>
  <c r="BG99" i="162" s="1"/>
  <c r="BI99" i="162"/>
  <c r="J88" i="79"/>
  <c r="S99" i="163"/>
  <c r="H99" i="162"/>
  <c r="I99" i="162" s="1"/>
  <c r="G72" i="79"/>
  <c r="BX99" i="163"/>
  <c r="F83" i="158"/>
  <c r="G83" i="158" s="1"/>
  <c r="E72" i="79"/>
  <c r="P99" i="163"/>
  <c r="Q99" i="163" s="1"/>
  <c r="AG99" i="162"/>
  <c r="AQ99" i="163"/>
  <c r="AR99" i="163" s="1"/>
  <c r="W99" i="163"/>
  <c r="AN99" i="159"/>
  <c r="AL99" i="159"/>
  <c r="AM99" i="159" s="1"/>
  <c r="K99" i="162"/>
  <c r="M99" i="162"/>
  <c r="P99" i="162"/>
  <c r="Q99" i="162" s="1"/>
  <c r="BX99" i="162"/>
  <c r="R99" i="162"/>
  <c r="S99" i="162" s="1"/>
  <c r="W99" i="162" s="1"/>
  <c r="BJ99" i="159"/>
  <c r="BE99" i="159"/>
  <c r="BZ99" i="162"/>
  <c r="AL99" i="162"/>
  <c r="AN99" i="162"/>
  <c r="AO99" i="162" s="1"/>
  <c r="AB99" i="163"/>
  <c r="AC99" i="163" s="1"/>
  <c r="AG99" i="163" s="1"/>
  <c r="BW99" i="163"/>
  <c r="Z99" i="163"/>
  <c r="AA99" i="163" s="1"/>
  <c r="H99" i="163"/>
  <c r="I99" i="163" s="1"/>
  <c r="F99" i="163"/>
  <c r="BY99" i="163"/>
  <c r="AV99" i="162"/>
  <c r="AW99" i="162" s="1"/>
  <c r="AX99" i="162"/>
  <c r="AY99" i="162" s="1"/>
  <c r="BC99" i="162" s="1"/>
  <c r="CA99" i="162"/>
  <c r="BW99" i="162"/>
  <c r="BU99" i="162" s="1"/>
  <c r="CI99" i="162" s="1"/>
  <c r="Z99" i="162"/>
  <c r="AA99" i="162" s="1"/>
  <c r="AB99" i="162"/>
  <c r="AC99" i="162" s="1"/>
  <c r="J99" i="159"/>
  <c r="O99" i="159"/>
  <c r="T99" i="159"/>
  <c r="E99" i="159"/>
  <c r="AQ99" i="162"/>
  <c r="AR99" i="162" s="1"/>
  <c r="AS99" i="162"/>
  <c r="BA99" i="162"/>
  <c r="BB99" i="162" s="1"/>
  <c r="K99" i="163"/>
  <c r="L99" i="163" s="1"/>
  <c r="M99" i="163"/>
  <c r="BY99" i="162"/>
  <c r="AP99" i="159"/>
  <c r="BF99" i="163"/>
  <c r="BG99" i="163" s="1"/>
  <c r="CB99" i="163"/>
  <c r="BH99" i="163"/>
  <c r="BI99" i="163" s="1"/>
  <c r="BM99" i="163" s="1"/>
  <c r="AD99" i="159"/>
  <c r="AE99" i="163"/>
  <c r="AF99" i="163" s="1"/>
  <c r="Y99" i="159"/>
  <c r="AZ99" i="159"/>
  <c r="AV99" i="163"/>
  <c r="AW99" i="163" s="1"/>
  <c r="AX99" i="163"/>
  <c r="AY99" i="163" s="1"/>
  <c r="CA99" i="163"/>
  <c r="BU99" i="160"/>
  <c r="CI99" i="160" s="1"/>
  <c r="BS99" i="160"/>
  <c r="CG99" i="160" s="1"/>
  <c r="BT99" i="160"/>
  <c r="CH99" i="160" s="1"/>
  <c r="BA99" i="163"/>
  <c r="BB99" i="163" s="1"/>
  <c r="BC99" i="163"/>
  <c r="I72" i="79"/>
  <c r="AU99" i="159"/>
  <c r="AL99" i="163"/>
  <c r="BZ99" i="163"/>
  <c r="AN99" i="163"/>
  <c r="AO99" i="163" s="1"/>
  <c r="G99" i="160"/>
  <c r="AU100" i="160" s="1"/>
  <c r="AY83" i="158"/>
  <c r="BC83" i="158" s="1"/>
  <c r="CA83" i="158"/>
  <c r="AV83" i="158"/>
  <c r="AW83" i="158" s="1"/>
  <c r="CB83" i="158"/>
  <c r="BH83" i="158"/>
  <c r="BI83" i="158" s="1"/>
  <c r="BM83" i="158" s="1"/>
  <c r="BZ83" i="158"/>
  <c r="AN83" i="158"/>
  <c r="AO83" i="158" s="1"/>
  <c r="AS83" i="158" s="1"/>
  <c r="R83" i="158"/>
  <c r="S83" i="158" s="1"/>
  <c r="W83" i="158" s="1"/>
  <c r="P83" i="158"/>
  <c r="Q83" i="158" s="1"/>
  <c r="BX83" i="158"/>
  <c r="K83" i="158"/>
  <c r="I83" i="158"/>
  <c r="M83" i="158" s="1"/>
  <c r="AE83" i="158"/>
  <c r="AF83" i="158" s="1"/>
  <c r="BY83" i="158"/>
  <c r="Z83" i="158"/>
  <c r="AA83" i="158" s="1"/>
  <c r="AB83" i="158"/>
  <c r="AC83" i="158" s="1"/>
  <c r="AG83" i="158" s="1"/>
  <c r="BW83" i="158"/>
  <c r="CU99" i="160" l="1"/>
  <c r="AZ100" i="160"/>
  <c r="CX99" i="160"/>
  <c r="CN99" i="160"/>
  <c r="CW99" i="160"/>
  <c r="CV99" i="160"/>
  <c r="CY99" i="160"/>
  <c r="CR99" i="160"/>
  <c r="CT99" i="160"/>
  <c r="CQ99" i="160"/>
  <c r="CS99" i="160"/>
  <c r="CL99" i="160"/>
  <c r="CZ99" i="160"/>
  <c r="CO99" i="160"/>
  <c r="CM99" i="160"/>
  <c r="CP99" i="160"/>
  <c r="CK99" i="160"/>
  <c r="L72" i="79"/>
  <c r="BJ100" i="160"/>
  <c r="AP100" i="160"/>
  <c r="AQ100" i="160" s="1"/>
  <c r="AR100" i="160" s="1"/>
  <c r="AK100" i="160"/>
  <c r="AN100" i="160" s="1"/>
  <c r="AO100" i="160" s="1"/>
  <c r="BE100" i="160"/>
  <c r="BH100" i="160" s="1"/>
  <c r="AV100" i="160"/>
  <c r="AW100" i="160" s="1"/>
  <c r="AX100" i="160"/>
  <c r="AY100" i="160" s="1"/>
  <c r="BC100" i="160" s="1"/>
  <c r="CA100" i="160"/>
  <c r="BR99" i="163"/>
  <c r="CF99" i="163" s="1"/>
  <c r="BQ99" i="163"/>
  <c r="CE99" i="163" s="1"/>
  <c r="BP99" i="163"/>
  <c r="CD99" i="163" s="1"/>
  <c r="J100" i="160"/>
  <c r="T100" i="160"/>
  <c r="E100" i="160"/>
  <c r="Y100" i="160"/>
  <c r="O100" i="160"/>
  <c r="AD100" i="160"/>
  <c r="AO99" i="159"/>
  <c r="AQ99" i="159"/>
  <c r="AR99" i="159" s="1"/>
  <c r="AS99" i="159"/>
  <c r="BU99" i="163"/>
  <c r="CI99" i="163" s="1"/>
  <c r="BT99" i="163"/>
  <c r="CH99" i="163" s="1"/>
  <c r="BS99" i="163"/>
  <c r="CG99" i="163" s="1"/>
  <c r="AM99" i="162"/>
  <c r="AM99" i="163"/>
  <c r="BS99" i="162"/>
  <c r="CG99" i="162" s="1"/>
  <c r="BT99" i="162"/>
  <c r="CH99" i="162" s="1"/>
  <c r="G99" i="163"/>
  <c r="BR99" i="162"/>
  <c r="CF99" i="162" s="1"/>
  <c r="BQ99" i="162"/>
  <c r="CE99" i="162" s="1"/>
  <c r="F99" i="159"/>
  <c r="BY99" i="159"/>
  <c r="H99" i="159"/>
  <c r="I99" i="159" s="1"/>
  <c r="BH99" i="159"/>
  <c r="BI99" i="159" s="1"/>
  <c r="BM99" i="159" s="1"/>
  <c r="BF99" i="159"/>
  <c r="BG99" i="159" s="1"/>
  <c r="CB99" i="159"/>
  <c r="L99" i="162"/>
  <c r="U99" i="159"/>
  <c r="V99" i="159" s="1"/>
  <c r="W99" i="159"/>
  <c r="BK99" i="159"/>
  <c r="BL99" i="159" s="1"/>
  <c r="BK100" i="160"/>
  <c r="BL100" i="160" s="1"/>
  <c r="BX99" i="159"/>
  <c r="R99" i="159"/>
  <c r="S99" i="159" s="1"/>
  <c r="P99" i="159"/>
  <c r="Q99" i="159" s="1"/>
  <c r="BA100" i="160"/>
  <c r="BB100" i="160" s="1"/>
  <c r="M99" i="159"/>
  <c r="K99" i="159"/>
  <c r="L99" i="159" s="1"/>
  <c r="BZ99" i="159"/>
  <c r="AX99" i="159"/>
  <c r="AY99" i="159" s="1"/>
  <c r="AV99" i="159"/>
  <c r="AW99" i="159" s="1"/>
  <c r="CA99" i="159"/>
  <c r="BA99" i="159"/>
  <c r="BB99" i="159" s="1"/>
  <c r="BC99" i="159"/>
  <c r="AE99" i="159"/>
  <c r="AF99" i="159" s="1"/>
  <c r="AB99" i="159"/>
  <c r="AC99" i="159" s="1"/>
  <c r="AG99" i="159" s="1"/>
  <c r="BW99" i="159"/>
  <c r="Z99" i="159"/>
  <c r="AA99" i="159" s="1"/>
  <c r="BP83" i="158"/>
  <c r="CD83" i="158" s="1"/>
  <c r="BQ83" i="158"/>
  <c r="CE83" i="158" s="1"/>
  <c r="BR83" i="158"/>
  <c r="CF83" i="158" s="1"/>
  <c r="BS83" i="158"/>
  <c r="CG83" i="158" s="1"/>
  <c r="BT83" i="158"/>
  <c r="CH83" i="158" s="1"/>
  <c r="BU83" i="158"/>
  <c r="CI83" i="158" s="1"/>
  <c r="L83" i="158"/>
  <c r="AS100" i="160" l="1"/>
  <c r="BI100" i="160"/>
  <c r="BM100" i="160" s="1"/>
  <c r="CB100" i="160"/>
  <c r="BP100" i="160" s="1"/>
  <c r="CD100" i="160" s="1"/>
  <c r="BZ100" i="160"/>
  <c r="CM99" i="163"/>
  <c r="CV99" i="163"/>
  <c r="CP99" i="163"/>
  <c r="CO99" i="163"/>
  <c r="CQ99" i="163"/>
  <c r="CK99" i="163"/>
  <c r="CR99" i="163"/>
  <c r="CL99" i="163"/>
  <c r="CN99" i="163"/>
  <c r="CU99" i="163"/>
  <c r="CT99" i="163"/>
  <c r="CS99" i="163"/>
  <c r="CZ99" i="163"/>
  <c r="CY99" i="163"/>
  <c r="CW99" i="163"/>
  <c r="CX99" i="163"/>
  <c r="CW83" i="158"/>
  <c r="Z72" i="79" s="1"/>
  <c r="CX83" i="158"/>
  <c r="AA72" i="79" s="1"/>
  <c r="CS83" i="158"/>
  <c r="V72" i="79" s="1"/>
  <c r="CT83" i="158"/>
  <c r="W72" i="79" s="1"/>
  <c r="CQ83" i="158"/>
  <c r="CY83" i="158"/>
  <c r="AB72" i="79" s="1"/>
  <c r="CZ83" i="158"/>
  <c r="AC72" i="79" s="1"/>
  <c r="CU83" i="158"/>
  <c r="X72" i="79" s="1"/>
  <c r="CR83" i="158"/>
  <c r="CN83" i="158"/>
  <c r="Q72" i="79" s="1"/>
  <c r="CV83" i="158"/>
  <c r="Y72" i="79" s="1"/>
  <c r="CL83" i="158"/>
  <c r="O72" i="79" s="1"/>
  <c r="CK83" i="158"/>
  <c r="N72" i="79" s="1"/>
  <c r="CO83" i="158"/>
  <c r="CP83" i="158"/>
  <c r="CM83" i="158"/>
  <c r="P72" i="79" s="1"/>
  <c r="CP99" i="162"/>
  <c r="S88" i="79" s="1"/>
  <c r="CO99" i="162"/>
  <c r="R88" i="79" s="1"/>
  <c r="CK99" i="162"/>
  <c r="CR99" i="162"/>
  <c r="U88" i="79" s="1"/>
  <c r="CZ99" i="162"/>
  <c r="CU99" i="162"/>
  <c r="CL99" i="162"/>
  <c r="CT99" i="162"/>
  <c r="CQ99" i="162"/>
  <c r="T88" i="79" s="1"/>
  <c r="CS99" i="162"/>
  <c r="CV99" i="162"/>
  <c r="CY99" i="162"/>
  <c r="CM99" i="162"/>
  <c r="CW99" i="162"/>
  <c r="CN99" i="162"/>
  <c r="CX99" i="162"/>
  <c r="Y100" i="162"/>
  <c r="AB100" i="162" s="1"/>
  <c r="AL100" i="160"/>
  <c r="AM100" i="160" s="1"/>
  <c r="BE100" i="162"/>
  <c r="F89" i="79" s="1"/>
  <c r="O100" i="162"/>
  <c r="P100" i="162" s="1"/>
  <c r="Q100" i="162" s="1"/>
  <c r="BF100" i="160"/>
  <c r="BG100" i="160" s="1"/>
  <c r="AP100" i="163"/>
  <c r="AQ100" i="163" s="1"/>
  <c r="AR100" i="163" s="1"/>
  <c r="BJ100" i="163"/>
  <c r="BK100" i="163" s="1"/>
  <c r="BL100" i="163" s="1"/>
  <c r="E100" i="163"/>
  <c r="F100" i="163" s="1"/>
  <c r="G100" i="163" s="1"/>
  <c r="E100" i="162"/>
  <c r="F100" i="162" s="1"/>
  <c r="G100" i="162" s="1"/>
  <c r="T100" i="162"/>
  <c r="AK100" i="162"/>
  <c r="AN100" i="162" s="1"/>
  <c r="BJ100" i="162"/>
  <c r="Y100" i="163"/>
  <c r="J100" i="163"/>
  <c r="AD100" i="163"/>
  <c r="P100" i="160"/>
  <c r="Q100" i="160" s="1"/>
  <c r="R100" i="160"/>
  <c r="S100" i="160" s="1"/>
  <c r="W100" i="160" s="1"/>
  <c r="BX100" i="160"/>
  <c r="BT99" i="159"/>
  <c r="CH99" i="159" s="1"/>
  <c r="BU99" i="159"/>
  <c r="CI99" i="159" s="1"/>
  <c r="BS99" i="159"/>
  <c r="CG99" i="159" s="1"/>
  <c r="AB100" i="160"/>
  <c r="Z100" i="160"/>
  <c r="AA100" i="160" s="1"/>
  <c r="BW100" i="160"/>
  <c r="F100" i="160"/>
  <c r="BY100" i="160"/>
  <c r="H100" i="160"/>
  <c r="I100" i="160" s="1"/>
  <c r="AK100" i="163"/>
  <c r="AZ100" i="163"/>
  <c r="BE100" i="163"/>
  <c r="AU100" i="163"/>
  <c r="U100" i="160"/>
  <c r="V100" i="160" s="1"/>
  <c r="Z100" i="162"/>
  <c r="AA100" i="162" s="1"/>
  <c r="K100" i="160"/>
  <c r="L100" i="160" s="1"/>
  <c r="M100" i="160"/>
  <c r="AP100" i="162"/>
  <c r="AZ100" i="162"/>
  <c r="AU100" i="162"/>
  <c r="BP99" i="159"/>
  <c r="CD99" i="159" s="1"/>
  <c r="BQ99" i="159"/>
  <c r="CE99" i="159" s="1"/>
  <c r="BR99" i="159"/>
  <c r="CF99" i="159" s="1"/>
  <c r="AD100" i="162"/>
  <c r="BW100" i="162" s="1"/>
  <c r="BU100" i="162" s="1"/>
  <c r="CI100" i="162" s="1"/>
  <c r="G99" i="159"/>
  <c r="BQ100" i="160"/>
  <c r="CE100" i="160" s="1"/>
  <c r="BR100" i="160"/>
  <c r="CF100" i="160" s="1"/>
  <c r="O100" i="163"/>
  <c r="T84" i="158"/>
  <c r="U84" i="158" s="1"/>
  <c r="V84" i="158" s="1"/>
  <c r="T100" i="163"/>
  <c r="J100" i="162"/>
  <c r="AC100" i="160"/>
  <c r="AG100" i="160" s="1"/>
  <c r="AE100" i="160"/>
  <c r="AF100" i="160" s="1"/>
  <c r="AP84" i="158"/>
  <c r="AQ84" i="158" s="1"/>
  <c r="AR84" i="158" s="1"/>
  <c r="BE84" i="158"/>
  <c r="AU84" i="158"/>
  <c r="AV84" i="158" s="1"/>
  <c r="AW84" i="158" s="1"/>
  <c r="AK84" i="158"/>
  <c r="AZ84" i="158"/>
  <c r="BA84" i="158" s="1"/>
  <c r="BB84" i="158" s="1"/>
  <c r="BJ84" i="158"/>
  <c r="BK84" i="158" s="1"/>
  <c r="BL84" i="158" s="1"/>
  <c r="E84" i="158"/>
  <c r="AD84" i="158"/>
  <c r="J84" i="158"/>
  <c r="Y84" i="158"/>
  <c r="O84" i="158"/>
  <c r="H73" i="79" s="1"/>
  <c r="R100" i="162" l="1"/>
  <c r="AS100" i="163"/>
  <c r="I73" i="79"/>
  <c r="BF100" i="162"/>
  <c r="BG100" i="162" s="1"/>
  <c r="CQ99" i="159"/>
  <c r="CP99" i="159"/>
  <c r="CS99" i="159"/>
  <c r="CO99" i="159"/>
  <c r="CM99" i="159"/>
  <c r="CL99" i="159"/>
  <c r="CN99" i="159"/>
  <c r="CK99" i="159"/>
  <c r="CR99" i="159"/>
  <c r="CV99" i="159"/>
  <c r="CT99" i="159"/>
  <c r="CW99" i="159"/>
  <c r="CU99" i="159"/>
  <c r="CY99" i="159"/>
  <c r="CZ99" i="159"/>
  <c r="CX99" i="159"/>
  <c r="BH100" i="162"/>
  <c r="BS100" i="160"/>
  <c r="CG100" i="160" s="1"/>
  <c r="G73" i="79"/>
  <c r="S100" i="162"/>
  <c r="W100" i="162" s="1"/>
  <c r="E73" i="79"/>
  <c r="H100" i="163"/>
  <c r="BY100" i="162"/>
  <c r="BX100" i="162"/>
  <c r="AK100" i="159"/>
  <c r="AL100" i="159" s="1"/>
  <c r="AM100" i="159" s="1"/>
  <c r="AX84" i="158"/>
  <c r="AY84" i="158" s="1"/>
  <c r="BC84" i="158" s="1"/>
  <c r="U100" i="162"/>
  <c r="V100" i="162" s="1"/>
  <c r="H100" i="162"/>
  <c r="I100" i="162" s="1"/>
  <c r="AP100" i="159"/>
  <c r="AS100" i="159" s="1"/>
  <c r="AL100" i="162"/>
  <c r="AM100" i="162" s="1"/>
  <c r="AC100" i="162"/>
  <c r="BK100" i="162"/>
  <c r="BL100" i="162" s="1"/>
  <c r="BI100" i="162"/>
  <c r="BM100" i="162" s="1"/>
  <c r="CA84" i="158"/>
  <c r="CA100" i="163"/>
  <c r="AX100" i="163"/>
  <c r="AY100" i="163" s="1"/>
  <c r="AV100" i="163"/>
  <c r="AW100" i="163" s="1"/>
  <c r="G100" i="160"/>
  <c r="AU101" i="160" s="1"/>
  <c r="BH100" i="163"/>
  <c r="BI100" i="163" s="1"/>
  <c r="BM100" i="163" s="1"/>
  <c r="BF100" i="163"/>
  <c r="BG100" i="163" s="1"/>
  <c r="CB100" i="163"/>
  <c r="E100" i="159"/>
  <c r="T100" i="159"/>
  <c r="J100" i="159"/>
  <c r="O100" i="159"/>
  <c r="AD100" i="159"/>
  <c r="BT100" i="160"/>
  <c r="CH100" i="160" s="1"/>
  <c r="BJ100" i="159"/>
  <c r="AU100" i="159"/>
  <c r="AV100" i="162"/>
  <c r="AW100" i="162" s="1"/>
  <c r="AX100" i="162"/>
  <c r="AY100" i="162" s="1"/>
  <c r="BC100" i="162" s="1"/>
  <c r="CA100" i="162"/>
  <c r="BA100" i="163"/>
  <c r="BB100" i="163" s="1"/>
  <c r="BC100" i="163"/>
  <c r="AZ100" i="159"/>
  <c r="K100" i="162"/>
  <c r="L100" i="162" s="1"/>
  <c r="M100" i="162"/>
  <c r="BA100" i="162"/>
  <c r="BB100" i="162" s="1"/>
  <c r="BZ100" i="163"/>
  <c r="AN100" i="163"/>
  <c r="AO100" i="163" s="1"/>
  <c r="AL100" i="163"/>
  <c r="Y100" i="159"/>
  <c r="W100" i="163"/>
  <c r="U100" i="163"/>
  <c r="V100" i="163" s="1"/>
  <c r="AQ100" i="162"/>
  <c r="AS100" i="162"/>
  <c r="BE100" i="159"/>
  <c r="BU100" i="160"/>
  <c r="CI100" i="160" s="1"/>
  <c r="AE100" i="163"/>
  <c r="AF100" i="163" s="1"/>
  <c r="K73" i="79"/>
  <c r="M100" i="163"/>
  <c r="K100" i="163"/>
  <c r="I100" i="163"/>
  <c r="BZ100" i="162"/>
  <c r="R100" i="163"/>
  <c r="S100" i="163" s="1"/>
  <c r="BX100" i="163"/>
  <c r="P100" i="163"/>
  <c r="Q100" i="163" s="1"/>
  <c r="J89" i="79"/>
  <c r="AE100" i="162"/>
  <c r="AF100" i="162" s="1"/>
  <c r="AG100" i="162"/>
  <c r="CB100" i="162"/>
  <c r="BP100" i="162" s="1"/>
  <c r="CD100" i="162" s="1"/>
  <c r="Z100" i="163"/>
  <c r="AA100" i="163" s="1"/>
  <c r="AB100" i="163"/>
  <c r="AC100" i="163" s="1"/>
  <c r="AG100" i="163" s="1"/>
  <c r="BW100" i="163"/>
  <c r="AO100" i="162"/>
  <c r="BY100" i="163"/>
  <c r="BZ84" i="158"/>
  <c r="AN84" i="158"/>
  <c r="AO84" i="158" s="1"/>
  <c r="AS84" i="158" s="1"/>
  <c r="AL84" i="158"/>
  <c r="AM84" i="158" s="1"/>
  <c r="CB84" i="158"/>
  <c r="BF84" i="158"/>
  <c r="BG84" i="158" s="1"/>
  <c r="BH84" i="158"/>
  <c r="BI84" i="158" s="1"/>
  <c r="BM84" i="158" s="1"/>
  <c r="K84" i="158"/>
  <c r="L84" i="158" s="1"/>
  <c r="AE84" i="158"/>
  <c r="AF84" i="158" s="1"/>
  <c r="AB84" i="158"/>
  <c r="AC84" i="158" s="1"/>
  <c r="AG84" i="158" s="1"/>
  <c r="Z84" i="158"/>
  <c r="AA84" i="158" s="1"/>
  <c r="BW84" i="158"/>
  <c r="P84" i="158"/>
  <c r="Q84" i="158" s="1"/>
  <c r="R84" i="158"/>
  <c r="S84" i="158" s="1"/>
  <c r="W84" i="158" s="1"/>
  <c r="BX84" i="158"/>
  <c r="BY84" i="158"/>
  <c r="F84" i="158"/>
  <c r="H84" i="158"/>
  <c r="I84" i="158" s="1"/>
  <c r="M84" i="158" s="1"/>
  <c r="CP100" i="160" l="1"/>
  <c r="CU100" i="160"/>
  <c r="CQ100" i="160"/>
  <c r="CK100" i="160"/>
  <c r="CS100" i="160"/>
  <c r="CV100" i="160"/>
  <c r="CR100" i="160"/>
  <c r="CZ100" i="160"/>
  <c r="CY100" i="160"/>
  <c r="CO100" i="160"/>
  <c r="CN100" i="160"/>
  <c r="CT100" i="160"/>
  <c r="CX100" i="160"/>
  <c r="CM100" i="160"/>
  <c r="BT100" i="162"/>
  <c r="CH100" i="162" s="1"/>
  <c r="CL100" i="160"/>
  <c r="CW100" i="160"/>
  <c r="L73" i="79"/>
  <c r="BS100" i="162"/>
  <c r="CG100" i="162" s="1"/>
  <c r="AN100" i="159"/>
  <c r="AO100" i="159" s="1"/>
  <c r="J101" i="160"/>
  <c r="M101" i="160" s="1"/>
  <c r="BZ100" i="159"/>
  <c r="Y101" i="160"/>
  <c r="AB101" i="160" s="1"/>
  <c r="BP84" i="158"/>
  <c r="CD84" i="158" s="1"/>
  <c r="E101" i="160"/>
  <c r="BU100" i="163"/>
  <c r="CI100" i="163" s="1"/>
  <c r="T101" i="160"/>
  <c r="U101" i="160" s="1"/>
  <c r="V101" i="160" s="1"/>
  <c r="AQ100" i="159"/>
  <c r="AR100" i="159" s="1"/>
  <c r="AZ101" i="160"/>
  <c r="CA101" i="160" s="1"/>
  <c r="AX101" i="160"/>
  <c r="AV101" i="160"/>
  <c r="AW101" i="160" s="1"/>
  <c r="L100" i="163"/>
  <c r="BR100" i="163"/>
  <c r="CF100" i="163" s="1"/>
  <c r="BQ100" i="163"/>
  <c r="CE100" i="163" s="1"/>
  <c r="BP100" i="163"/>
  <c r="CD100" i="163" s="1"/>
  <c r="AV100" i="159"/>
  <c r="AW100" i="159" s="1"/>
  <c r="AX100" i="159"/>
  <c r="AY100" i="159" s="1"/>
  <c r="CA100" i="159"/>
  <c r="BQ100" i="159" s="1"/>
  <c r="CE100" i="159" s="1"/>
  <c r="H100" i="159"/>
  <c r="I100" i="159" s="1"/>
  <c r="F100" i="159"/>
  <c r="BY100" i="159"/>
  <c r="BK100" i="159"/>
  <c r="BL100" i="159" s="1"/>
  <c r="O101" i="160"/>
  <c r="AD101" i="160"/>
  <c r="BJ101" i="160"/>
  <c r="BF100" i="159"/>
  <c r="BG100" i="159" s="1"/>
  <c r="BH100" i="159"/>
  <c r="BI100" i="159" s="1"/>
  <c r="BM100" i="159" s="1"/>
  <c r="CB100" i="159"/>
  <c r="AB100" i="159"/>
  <c r="AC100" i="159" s="1"/>
  <c r="AG100" i="159" s="1"/>
  <c r="BW100" i="159"/>
  <c r="Z100" i="159"/>
  <c r="AA100" i="159" s="1"/>
  <c r="AE100" i="159"/>
  <c r="AF100" i="159" s="1"/>
  <c r="BE101" i="160"/>
  <c r="BS100" i="163"/>
  <c r="CG100" i="163" s="1"/>
  <c r="BT100" i="163"/>
  <c r="CH100" i="163" s="1"/>
  <c r="BQ100" i="162"/>
  <c r="CE100" i="162" s="1"/>
  <c r="BR100" i="162"/>
  <c r="CF100" i="162" s="1"/>
  <c r="R100" i="159"/>
  <c r="S100" i="159" s="1"/>
  <c r="P100" i="159"/>
  <c r="Q100" i="159" s="1"/>
  <c r="BX100" i="159"/>
  <c r="AP101" i="160"/>
  <c r="K101" i="160"/>
  <c r="L101" i="160" s="1"/>
  <c r="AM100" i="163"/>
  <c r="K100" i="159"/>
  <c r="L100" i="159" s="1"/>
  <c r="M100" i="159"/>
  <c r="AK101" i="160"/>
  <c r="AR100" i="162"/>
  <c r="BC100" i="159"/>
  <c r="BA100" i="159"/>
  <c r="BB100" i="159" s="1"/>
  <c r="W100" i="159"/>
  <c r="U100" i="159"/>
  <c r="V100" i="159" s="1"/>
  <c r="BR84" i="158"/>
  <c r="CF84" i="158" s="1"/>
  <c r="BQ84" i="158"/>
  <c r="CE84" i="158" s="1"/>
  <c r="BU84" i="158"/>
  <c r="CI84" i="158" s="1"/>
  <c r="BS84" i="158"/>
  <c r="CG84" i="158" s="1"/>
  <c r="BT84" i="158"/>
  <c r="CH84" i="158" s="1"/>
  <c r="G84" i="158"/>
  <c r="Z101" i="160" l="1"/>
  <c r="AA101" i="160" s="1"/>
  <c r="CQ100" i="162"/>
  <c r="T89" i="79" s="1"/>
  <c r="AD101" i="162"/>
  <c r="AG101" i="162" s="1"/>
  <c r="CT100" i="162"/>
  <c r="CO100" i="162"/>
  <c r="CW84" i="158"/>
  <c r="Z73" i="79" s="1"/>
  <c r="CZ84" i="158"/>
  <c r="AC73" i="79" s="1"/>
  <c r="CV84" i="158"/>
  <c r="Y73" i="79" s="1"/>
  <c r="CS84" i="158"/>
  <c r="V73" i="79" s="1"/>
  <c r="CX84" i="158"/>
  <c r="AA73" i="79" s="1"/>
  <c r="CY84" i="158"/>
  <c r="AB73" i="79" s="1"/>
  <c r="CU84" i="158"/>
  <c r="X73" i="79" s="1"/>
  <c r="CP84" i="158"/>
  <c r="CL84" i="158"/>
  <c r="O73" i="79" s="1"/>
  <c r="CQ84" i="158"/>
  <c r="CR84" i="158"/>
  <c r="CN84" i="158"/>
  <c r="Q73" i="79" s="1"/>
  <c r="CO84" i="158"/>
  <c r="CK84" i="158"/>
  <c r="N73" i="79" s="1"/>
  <c r="CT84" i="158"/>
  <c r="W73" i="79" s="1"/>
  <c r="CM84" i="158"/>
  <c r="P73" i="79" s="1"/>
  <c r="CN100" i="162"/>
  <c r="CV100" i="162"/>
  <c r="CK100" i="162"/>
  <c r="CM100" i="162"/>
  <c r="CY100" i="162"/>
  <c r="CL100" i="162"/>
  <c r="CV100" i="163"/>
  <c r="CP100" i="163"/>
  <c r="CK100" i="163"/>
  <c r="CR100" i="163"/>
  <c r="CO100" i="163"/>
  <c r="CQ100" i="163"/>
  <c r="CM100" i="163"/>
  <c r="CN100" i="163"/>
  <c r="CZ100" i="163"/>
  <c r="CU100" i="163"/>
  <c r="CS100" i="163"/>
  <c r="CT100" i="163"/>
  <c r="CX100" i="163"/>
  <c r="CY100" i="163"/>
  <c r="CW100" i="163"/>
  <c r="CX100" i="162"/>
  <c r="CR100" i="162"/>
  <c r="U89" i="79" s="1"/>
  <c r="CW100" i="162"/>
  <c r="CP100" i="162"/>
  <c r="S89" i="79" s="1"/>
  <c r="CL100" i="163"/>
  <c r="CU100" i="162"/>
  <c r="CZ100" i="162"/>
  <c r="R89" i="79"/>
  <c r="BY101" i="160"/>
  <c r="CS100" i="162"/>
  <c r="BR100" i="159"/>
  <c r="CF100" i="159" s="1"/>
  <c r="BP100" i="159"/>
  <c r="CD100" i="159" s="1"/>
  <c r="J101" i="162"/>
  <c r="M101" i="162" s="1"/>
  <c r="H101" i="160"/>
  <c r="I101" i="160" s="1"/>
  <c r="F101" i="160"/>
  <c r="G101" i="160" s="1"/>
  <c r="BE101" i="163"/>
  <c r="BF101" i="163" s="1"/>
  <c r="BG101" i="163" s="1"/>
  <c r="BA101" i="160"/>
  <c r="BB101" i="160" s="1"/>
  <c r="AY101" i="160"/>
  <c r="BC101" i="160" s="1"/>
  <c r="E101" i="162"/>
  <c r="H101" i="162" s="1"/>
  <c r="AK101" i="163"/>
  <c r="AL101" i="163" s="1"/>
  <c r="AM101" i="163" s="1"/>
  <c r="Y101" i="162"/>
  <c r="E101" i="163"/>
  <c r="F101" i="163" s="1"/>
  <c r="G101" i="163" s="1"/>
  <c r="AZ101" i="163"/>
  <c r="BC101" i="163" s="1"/>
  <c r="BU100" i="159"/>
  <c r="CI100" i="159" s="1"/>
  <c r="BT100" i="159"/>
  <c r="CH100" i="159" s="1"/>
  <c r="BS100" i="159"/>
  <c r="CG100" i="159" s="1"/>
  <c r="BK101" i="160"/>
  <c r="BL101" i="160" s="1"/>
  <c r="G100" i="159"/>
  <c r="AS101" i="160"/>
  <c r="AQ101" i="160"/>
  <c r="AR101" i="160" s="1"/>
  <c r="AE101" i="160"/>
  <c r="AF101" i="160" s="1"/>
  <c r="AC101" i="160"/>
  <c r="AG101" i="160" s="1"/>
  <c r="T101" i="162"/>
  <c r="AU101" i="163"/>
  <c r="BJ101" i="163"/>
  <c r="BX101" i="160"/>
  <c r="BS101" i="160" s="1"/>
  <c r="CG101" i="160" s="1"/>
  <c r="R101" i="160"/>
  <c r="S101" i="160" s="1"/>
  <c r="W101" i="160" s="1"/>
  <c r="P101" i="160"/>
  <c r="Q101" i="160" s="1"/>
  <c r="AP101" i="163"/>
  <c r="BW101" i="160"/>
  <c r="AP101" i="162"/>
  <c r="AU101" i="162"/>
  <c r="AK101" i="162"/>
  <c r="BE101" i="162"/>
  <c r="AZ101" i="162"/>
  <c r="BJ101" i="162"/>
  <c r="CB101" i="160"/>
  <c r="BP101" i="160" s="1"/>
  <c r="CD101" i="160" s="1"/>
  <c r="BF101" i="160"/>
  <c r="BG101" i="160" s="1"/>
  <c r="BH101" i="160"/>
  <c r="BI101" i="160" s="1"/>
  <c r="BM101" i="160" s="1"/>
  <c r="AL101" i="160"/>
  <c r="BZ101" i="160"/>
  <c r="AN101" i="160"/>
  <c r="AO101" i="160" s="1"/>
  <c r="AD101" i="163"/>
  <c r="Y101" i="163"/>
  <c r="J101" i="163"/>
  <c r="T101" i="163"/>
  <c r="O101" i="163"/>
  <c r="O101" i="162"/>
  <c r="AZ85" i="158"/>
  <c r="BA85" i="158" s="1"/>
  <c r="BB85" i="158" s="1"/>
  <c r="BJ85" i="158"/>
  <c r="BK85" i="158" s="1"/>
  <c r="BL85" i="158" s="1"/>
  <c r="AP85" i="158"/>
  <c r="AQ85" i="158" s="1"/>
  <c r="AR85" i="158" s="1"/>
  <c r="BE85" i="158"/>
  <c r="BF85" i="158" s="1"/>
  <c r="BG85" i="158" s="1"/>
  <c r="J85" i="158"/>
  <c r="AK85" i="158"/>
  <c r="E85" i="158"/>
  <c r="AU85" i="158"/>
  <c r="K101" i="162" l="1"/>
  <c r="L101" i="162" s="1"/>
  <c r="J90" i="79"/>
  <c r="BZ101" i="163"/>
  <c r="AE101" i="162"/>
  <c r="AF101" i="162" s="1"/>
  <c r="BE101" i="159"/>
  <c r="AN101" i="163"/>
  <c r="AO101" i="163" s="1"/>
  <c r="CN100" i="159"/>
  <c r="CR100" i="159"/>
  <c r="CL100" i="159"/>
  <c r="CQ100" i="159"/>
  <c r="CS100" i="159"/>
  <c r="CO100" i="159"/>
  <c r="CP100" i="159"/>
  <c r="CK100" i="159"/>
  <c r="CM100" i="159"/>
  <c r="CV100" i="159"/>
  <c r="CT100" i="159"/>
  <c r="CW100" i="159"/>
  <c r="CU100" i="159"/>
  <c r="CX100" i="159"/>
  <c r="CY100" i="159"/>
  <c r="CZ100" i="159"/>
  <c r="AP101" i="159"/>
  <c r="AS101" i="159" s="1"/>
  <c r="AU101" i="159"/>
  <c r="AV101" i="159" s="1"/>
  <c r="AW101" i="159" s="1"/>
  <c r="AK101" i="159"/>
  <c r="BH101" i="163"/>
  <c r="BI101" i="163" s="1"/>
  <c r="BM101" i="163" s="1"/>
  <c r="AZ101" i="159"/>
  <c r="BC101" i="159" s="1"/>
  <c r="BJ101" i="159"/>
  <c r="BK101" i="159" s="1"/>
  <c r="BL101" i="159" s="1"/>
  <c r="CB101" i="163"/>
  <c r="I101" i="162"/>
  <c r="F101" i="162"/>
  <c r="G101" i="162" s="1"/>
  <c r="BY101" i="162"/>
  <c r="Z101" i="162"/>
  <c r="AA101" i="162" s="1"/>
  <c r="F90" i="79"/>
  <c r="E74" i="79"/>
  <c r="AB101" i="162"/>
  <c r="AC101" i="162" s="1"/>
  <c r="BW101" i="162"/>
  <c r="BU101" i="162" s="1"/>
  <c r="CI101" i="162" s="1"/>
  <c r="BA101" i="163"/>
  <c r="BB101" i="163" s="1"/>
  <c r="H101" i="163"/>
  <c r="I101" i="163" s="1"/>
  <c r="M101" i="163"/>
  <c r="K101" i="163"/>
  <c r="U101" i="162"/>
  <c r="V101" i="162" s="1"/>
  <c r="BT101" i="160"/>
  <c r="CH101" i="160" s="1"/>
  <c r="BY101" i="163"/>
  <c r="BW101" i="163"/>
  <c r="AB101" i="163"/>
  <c r="AC101" i="163" s="1"/>
  <c r="AG101" i="163" s="1"/>
  <c r="Z101" i="163"/>
  <c r="AA101" i="163" s="1"/>
  <c r="BI101" i="162"/>
  <c r="BM101" i="162" s="1"/>
  <c r="BK101" i="162"/>
  <c r="BL101" i="162" s="1"/>
  <c r="AE101" i="163"/>
  <c r="AF101" i="163" s="1"/>
  <c r="BA101" i="162"/>
  <c r="BB101" i="162" s="1"/>
  <c r="CB101" i="162"/>
  <c r="BP101" i="162" s="1"/>
  <c r="CD101" i="162" s="1"/>
  <c r="BF101" i="162"/>
  <c r="BG101" i="162" s="1"/>
  <c r="BH101" i="162"/>
  <c r="BU101" i="160"/>
  <c r="CI101" i="160" s="1"/>
  <c r="BH101" i="159"/>
  <c r="BF101" i="159"/>
  <c r="BG101" i="159" s="1"/>
  <c r="BZ101" i="162"/>
  <c r="AL101" i="162"/>
  <c r="AN101" i="162"/>
  <c r="AO101" i="162" s="1"/>
  <c r="AS101" i="163"/>
  <c r="AQ101" i="163"/>
  <c r="AR101" i="163" s="1"/>
  <c r="BR101" i="160"/>
  <c r="CF101" i="160" s="1"/>
  <c r="BQ101" i="160"/>
  <c r="CE101" i="160" s="1"/>
  <c r="AX101" i="162"/>
  <c r="AY101" i="162" s="1"/>
  <c r="BC101" i="162" s="1"/>
  <c r="CA101" i="162"/>
  <c r="AV101" i="162"/>
  <c r="AW101" i="162" s="1"/>
  <c r="BK101" i="163"/>
  <c r="BL101" i="163" s="1"/>
  <c r="AD101" i="159"/>
  <c r="E101" i="159"/>
  <c r="O101" i="159"/>
  <c r="T101" i="159"/>
  <c r="J101" i="159"/>
  <c r="Y101" i="159"/>
  <c r="R101" i="162"/>
  <c r="S101" i="162" s="1"/>
  <c r="W101" i="162" s="1"/>
  <c r="P101" i="162"/>
  <c r="Q101" i="162" s="1"/>
  <c r="BX101" i="162"/>
  <c r="AS101" i="162"/>
  <c r="AQ101" i="162"/>
  <c r="AR101" i="162" s="1"/>
  <c r="P101" i="163"/>
  <c r="Q101" i="163" s="1"/>
  <c r="R101" i="163"/>
  <c r="S101" i="163" s="1"/>
  <c r="BX101" i="163"/>
  <c r="AM101" i="160"/>
  <c r="W101" i="163"/>
  <c r="U101" i="163"/>
  <c r="V101" i="163" s="1"/>
  <c r="CA101" i="163"/>
  <c r="AX101" i="163"/>
  <c r="AY101" i="163" s="1"/>
  <c r="AV101" i="163"/>
  <c r="AW101" i="163" s="1"/>
  <c r="CB85" i="158"/>
  <c r="BH85" i="158"/>
  <c r="BI85" i="158" s="1"/>
  <c r="BM85" i="158" s="1"/>
  <c r="O85" i="158"/>
  <c r="H74" i="79" s="1"/>
  <c r="K85" i="158"/>
  <c r="L85" i="158" s="1"/>
  <c r="AL85" i="158"/>
  <c r="AM85" i="158" s="1"/>
  <c r="BZ85" i="158"/>
  <c r="AN85" i="158"/>
  <c r="AO85" i="158" s="1"/>
  <c r="AS85" i="158" s="1"/>
  <c r="AD85" i="158"/>
  <c r="K74" i="79" s="1"/>
  <c r="CA85" i="158"/>
  <c r="AV85" i="158"/>
  <c r="AW85" i="158" s="1"/>
  <c r="AX85" i="158"/>
  <c r="AY85" i="158" s="1"/>
  <c r="BC85" i="158" s="1"/>
  <c r="Y85" i="158"/>
  <c r="G74" i="79" s="1"/>
  <c r="H85" i="158"/>
  <c r="I85" i="158" s="1"/>
  <c r="M85" i="158" s="1"/>
  <c r="F85" i="158"/>
  <c r="BY85" i="158"/>
  <c r="T85" i="158"/>
  <c r="I74" i="79" s="1"/>
  <c r="BA101" i="159" l="1"/>
  <c r="BB101" i="159" s="1"/>
  <c r="CQ101" i="160"/>
  <c r="BQ101" i="163"/>
  <c r="CE101" i="163" s="1"/>
  <c r="CB101" i="159"/>
  <c r="AQ101" i="159"/>
  <c r="AR101" i="159" s="1"/>
  <c r="BZ101" i="159"/>
  <c r="BP101" i="159" s="1"/>
  <c r="CD101" i="159" s="1"/>
  <c r="CA101" i="159"/>
  <c r="AX101" i="159"/>
  <c r="AY101" i="159" s="1"/>
  <c r="CX101" i="160"/>
  <c r="CV101" i="160"/>
  <c r="CW101" i="160"/>
  <c r="CK101" i="160"/>
  <c r="CZ101" i="160"/>
  <c r="CN101" i="160"/>
  <c r="CT101" i="160"/>
  <c r="CM101" i="160"/>
  <c r="AN101" i="159"/>
  <c r="AO101" i="159" s="1"/>
  <c r="CS101" i="160"/>
  <c r="CP101" i="160"/>
  <c r="AL101" i="159"/>
  <c r="AM101" i="159" s="1"/>
  <c r="CY101" i="160"/>
  <c r="CU101" i="160"/>
  <c r="CO101" i="160"/>
  <c r="CR101" i="160"/>
  <c r="CL101" i="160"/>
  <c r="L74" i="79"/>
  <c r="BI101" i="159"/>
  <c r="BM101" i="159" s="1"/>
  <c r="BS101" i="162"/>
  <c r="CG101" i="162" s="1"/>
  <c r="O102" i="160"/>
  <c r="R102" i="160" s="1"/>
  <c r="BR101" i="159"/>
  <c r="CF101" i="159" s="1"/>
  <c r="BQ101" i="159"/>
  <c r="CE101" i="159" s="1"/>
  <c r="BY101" i="159"/>
  <c r="M101" i="159"/>
  <c r="K101" i="159"/>
  <c r="L101" i="159" s="1"/>
  <c r="BE102" i="160"/>
  <c r="AU102" i="160"/>
  <c r="AZ102" i="160"/>
  <c r="AK102" i="160"/>
  <c r="BJ102" i="160"/>
  <c r="AP102" i="160"/>
  <c r="U101" i="159"/>
  <c r="V101" i="159" s="1"/>
  <c r="W101" i="159"/>
  <c r="P101" i="159"/>
  <c r="Q101" i="159" s="1"/>
  <c r="R101" i="159"/>
  <c r="S101" i="159" s="1"/>
  <c r="BX101" i="159"/>
  <c r="H101" i="159"/>
  <c r="I101" i="159" s="1"/>
  <c r="F101" i="159"/>
  <c r="AD102" i="160"/>
  <c r="E102" i="160"/>
  <c r="AE101" i="159"/>
  <c r="AF101" i="159" s="1"/>
  <c r="BT101" i="162"/>
  <c r="CH101" i="162" s="1"/>
  <c r="AM101" i="162"/>
  <c r="L101" i="163"/>
  <c r="J102" i="160"/>
  <c r="BQ101" i="162"/>
  <c r="CE101" i="162" s="1"/>
  <c r="BR101" i="162"/>
  <c r="CF101" i="162" s="1"/>
  <c r="BR101" i="163"/>
  <c r="CF101" i="163" s="1"/>
  <c r="T102" i="160"/>
  <c r="BP101" i="163"/>
  <c r="CD101" i="163" s="1"/>
  <c r="Y102" i="160"/>
  <c r="BW101" i="159"/>
  <c r="AB101" i="159"/>
  <c r="AC101" i="159" s="1"/>
  <c r="AG101" i="159" s="1"/>
  <c r="Z101" i="159"/>
  <c r="AA101" i="159" s="1"/>
  <c r="BU101" i="163"/>
  <c r="CI101" i="163" s="1"/>
  <c r="BT101" i="163"/>
  <c r="CH101" i="163" s="1"/>
  <c r="BS101" i="163"/>
  <c r="CG101" i="163" s="1"/>
  <c r="BR85" i="158"/>
  <c r="CF85" i="158" s="1"/>
  <c r="BP85" i="158"/>
  <c r="CD85" i="158" s="1"/>
  <c r="BQ85" i="158"/>
  <c r="CE85" i="158" s="1"/>
  <c r="G85" i="158"/>
  <c r="Z85" i="158"/>
  <c r="AA85" i="158" s="1"/>
  <c r="BW85" i="158"/>
  <c r="AB85" i="158"/>
  <c r="AC85" i="158" s="1"/>
  <c r="AG85" i="158" s="1"/>
  <c r="U85" i="158"/>
  <c r="V85" i="158" s="1"/>
  <c r="AE85" i="158"/>
  <c r="AF85" i="158" s="1"/>
  <c r="R85" i="158"/>
  <c r="S85" i="158" s="1"/>
  <c r="W85" i="158" s="1"/>
  <c r="BX85" i="158"/>
  <c r="BS85" i="158" s="1"/>
  <c r="CG85" i="158" s="1"/>
  <c r="P85" i="158"/>
  <c r="Q85" i="158" s="1"/>
  <c r="AD102" i="162" l="1"/>
  <c r="BX102" i="160"/>
  <c r="CN101" i="162"/>
  <c r="CS101" i="162"/>
  <c r="CR101" i="162"/>
  <c r="U90" i="79" s="1"/>
  <c r="CT101" i="162"/>
  <c r="CO101" i="162"/>
  <c r="R90" i="79" s="1"/>
  <c r="CU101" i="162"/>
  <c r="CZ101" i="162"/>
  <c r="CK101" i="162"/>
  <c r="CL101" i="162"/>
  <c r="CP101" i="162"/>
  <c r="S90" i="79" s="1"/>
  <c r="CQ101" i="162"/>
  <c r="T90" i="79" s="1"/>
  <c r="CV101" i="163"/>
  <c r="CL101" i="163"/>
  <c r="CO101" i="163"/>
  <c r="CM101" i="163"/>
  <c r="CK101" i="163"/>
  <c r="CR101" i="163"/>
  <c r="CP101" i="163"/>
  <c r="CN101" i="163"/>
  <c r="CQ101" i="163"/>
  <c r="CU101" i="163"/>
  <c r="CT101" i="163"/>
  <c r="CS101" i="163"/>
  <c r="CZ101" i="163"/>
  <c r="CX101" i="163"/>
  <c r="CW101" i="163"/>
  <c r="CY101" i="163"/>
  <c r="CX101" i="162"/>
  <c r="CM101" i="162"/>
  <c r="CY101" i="162"/>
  <c r="CV101" i="162"/>
  <c r="CW101" i="162"/>
  <c r="E102" i="162"/>
  <c r="H102" i="162" s="1"/>
  <c r="AK102" i="163"/>
  <c r="AL102" i="163" s="1"/>
  <c r="AM102" i="163" s="1"/>
  <c r="Y102" i="162"/>
  <c r="AB102" i="162" s="1"/>
  <c r="BE102" i="163"/>
  <c r="BH102" i="163" s="1"/>
  <c r="O102" i="162"/>
  <c r="P102" i="162" s="1"/>
  <c r="Q102" i="162" s="1"/>
  <c r="BT101" i="159"/>
  <c r="CH101" i="159" s="1"/>
  <c r="P102" i="160"/>
  <c r="Q102" i="160" s="1"/>
  <c r="AZ102" i="163"/>
  <c r="BC102" i="163" s="1"/>
  <c r="AE102" i="160"/>
  <c r="AF102" i="160" s="1"/>
  <c r="BA102" i="160"/>
  <c r="BB102" i="160" s="1"/>
  <c r="CA102" i="160"/>
  <c r="AV102" i="160"/>
  <c r="AW102" i="160" s="1"/>
  <c r="AX102" i="160"/>
  <c r="AY102" i="160" s="1"/>
  <c r="BC102" i="160" s="1"/>
  <c r="AE102" i="162"/>
  <c r="AF102" i="162" s="1"/>
  <c r="AG102" i="162"/>
  <c r="G101" i="159"/>
  <c r="AU102" i="159" s="1"/>
  <c r="CB102" i="160"/>
  <c r="BP102" i="160" s="1"/>
  <c r="CD102" i="160" s="1"/>
  <c r="BF102" i="160"/>
  <c r="BG102" i="160" s="1"/>
  <c r="BH102" i="160"/>
  <c r="BI102" i="160" s="1"/>
  <c r="BM102" i="160" s="1"/>
  <c r="AU102" i="162"/>
  <c r="BE102" i="162"/>
  <c r="AK102" i="162"/>
  <c r="BJ102" i="162"/>
  <c r="AZ102" i="162"/>
  <c r="AP102" i="162"/>
  <c r="K102" i="160"/>
  <c r="L102" i="160" s="1"/>
  <c r="M102" i="160"/>
  <c r="BW102" i="160"/>
  <c r="BU102" i="160" s="1"/>
  <c r="CI102" i="160" s="1"/>
  <c r="Z102" i="160"/>
  <c r="AA102" i="160" s="1"/>
  <c r="AB102" i="160"/>
  <c r="AC102" i="160" s="1"/>
  <c r="AG102" i="160" s="1"/>
  <c r="AQ102" i="160"/>
  <c r="AR102" i="160" s="1"/>
  <c r="AS102" i="160"/>
  <c r="T102" i="163"/>
  <c r="E102" i="163"/>
  <c r="J102" i="163"/>
  <c r="Y102" i="163"/>
  <c r="AD102" i="163"/>
  <c r="O102" i="163"/>
  <c r="U102" i="160"/>
  <c r="V102" i="160" s="1"/>
  <c r="AP102" i="163"/>
  <c r="AU102" i="163"/>
  <c r="BJ102" i="163"/>
  <c r="BK102" i="160"/>
  <c r="BL102" i="160" s="1"/>
  <c r="S102" i="160"/>
  <c r="W102" i="160" s="1"/>
  <c r="J102" i="162"/>
  <c r="BY102" i="160"/>
  <c r="F102" i="160"/>
  <c r="G102" i="160" s="1"/>
  <c r="H102" i="160"/>
  <c r="I102" i="160" s="1"/>
  <c r="AN102" i="160"/>
  <c r="AO102" i="160" s="1"/>
  <c r="BZ102" i="160"/>
  <c r="AL102" i="160"/>
  <c r="BS101" i="159"/>
  <c r="CG101" i="159" s="1"/>
  <c r="BU101" i="159"/>
  <c r="CI101" i="159" s="1"/>
  <c r="T102" i="162"/>
  <c r="BU85" i="158"/>
  <c r="CI85" i="158" s="1"/>
  <c r="BT85" i="158"/>
  <c r="CH85" i="158" s="1"/>
  <c r="AU86" i="158"/>
  <c r="AV86" i="158" s="1"/>
  <c r="AW86" i="158" s="1"/>
  <c r="AK86" i="158"/>
  <c r="AP86" i="158"/>
  <c r="BE86" i="158"/>
  <c r="BJ86" i="158"/>
  <c r="AZ86" i="158"/>
  <c r="CB102" i="163" l="1"/>
  <c r="BF102" i="163"/>
  <c r="BG102" i="163" s="1"/>
  <c r="R102" i="162"/>
  <c r="CQ85" i="158"/>
  <c r="CL101" i="159"/>
  <c r="F102" i="162"/>
  <c r="G102" i="162" s="1"/>
  <c r="BW102" i="162"/>
  <c r="BU102" i="162" s="1"/>
  <c r="CI102" i="162" s="1"/>
  <c r="CL85" i="158"/>
  <c r="O74" i="79" s="1"/>
  <c r="CZ85" i="158"/>
  <c r="AC74" i="79" s="1"/>
  <c r="CZ101" i="159"/>
  <c r="CR101" i="159"/>
  <c r="BX102" i="162"/>
  <c r="CK85" i="158"/>
  <c r="N74" i="79" s="1"/>
  <c r="CV85" i="158"/>
  <c r="Y74" i="79" s="1"/>
  <c r="CT101" i="159"/>
  <c r="CK101" i="159"/>
  <c r="CO85" i="158"/>
  <c r="CU85" i="158"/>
  <c r="X74" i="79" s="1"/>
  <c r="CV101" i="159"/>
  <c r="CO101" i="159"/>
  <c r="CP85" i="158"/>
  <c r="CS85" i="158"/>
  <c r="V74" i="79" s="1"/>
  <c r="CW101" i="159"/>
  <c r="CS101" i="159"/>
  <c r="CW85" i="158"/>
  <c r="Z74" i="79" s="1"/>
  <c r="CY85" i="158"/>
  <c r="AB74" i="79" s="1"/>
  <c r="CU101" i="159"/>
  <c r="CQ101" i="159"/>
  <c r="AC102" i="162"/>
  <c r="CN85" i="158"/>
  <c r="Q74" i="79" s="1"/>
  <c r="CX85" i="158"/>
  <c r="AA74" i="79" s="1"/>
  <c r="CN101" i="159"/>
  <c r="CP101" i="159"/>
  <c r="CR85" i="158"/>
  <c r="CT85" i="158"/>
  <c r="W74" i="79" s="1"/>
  <c r="CY101" i="159"/>
  <c r="CM101" i="159"/>
  <c r="CM85" i="158"/>
  <c r="P74" i="79" s="1"/>
  <c r="CX101" i="159"/>
  <c r="Z102" i="162"/>
  <c r="AA102" i="162" s="1"/>
  <c r="AN102" i="163"/>
  <c r="AO102" i="163" s="1"/>
  <c r="AK102" i="159"/>
  <c r="AN102" i="159" s="1"/>
  <c r="AP102" i="159"/>
  <c r="AS102" i="159" s="1"/>
  <c r="BE102" i="159"/>
  <c r="BA102" i="163"/>
  <c r="BB102" i="163" s="1"/>
  <c r="AV102" i="159"/>
  <c r="AW102" i="159" s="1"/>
  <c r="AX102" i="159"/>
  <c r="W102" i="163"/>
  <c r="U102" i="163"/>
  <c r="V102" i="163" s="1"/>
  <c r="CA102" i="162"/>
  <c r="AV102" i="162"/>
  <c r="AW102" i="162" s="1"/>
  <c r="AX102" i="162"/>
  <c r="AY102" i="162" s="1"/>
  <c r="BC102" i="162" s="1"/>
  <c r="Y102" i="159"/>
  <c r="AD102" i="159"/>
  <c r="O102" i="159"/>
  <c r="J102" i="159"/>
  <c r="T102" i="159"/>
  <c r="E102" i="159"/>
  <c r="BS102" i="160"/>
  <c r="CG102" i="160" s="1"/>
  <c r="BT102" i="160"/>
  <c r="CH102" i="160" s="1"/>
  <c r="BI102" i="163"/>
  <c r="BM102" i="163" s="1"/>
  <c r="M102" i="162"/>
  <c r="K102" i="162"/>
  <c r="L102" i="162" s="1"/>
  <c r="AM102" i="160"/>
  <c r="BX102" i="163"/>
  <c r="P102" i="163"/>
  <c r="Q102" i="163" s="1"/>
  <c r="R102" i="163"/>
  <c r="S102" i="163" s="1"/>
  <c r="AQ102" i="162"/>
  <c r="AR102" i="162" s="1"/>
  <c r="AS102" i="162"/>
  <c r="BQ102" i="160"/>
  <c r="CE102" i="160" s="1"/>
  <c r="BR102" i="160"/>
  <c r="AE102" i="163"/>
  <c r="AF102" i="163" s="1"/>
  <c r="BA102" i="162"/>
  <c r="BB102" i="162" s="1"/>
  <c r="AB102" i="163"/>
  <c r="AC102" i="163" s="1"/>
  <c r="AG102" i="163" s="1"/>
  <c r="BW102" i="163"/>
  <c r="Z102" i="163"/>
  <c r="AA102" i="163" s="1"/>
  <c r="S102" i="162"/>
  <c r="W102" i="162" s="1"/>
  <c r="BK102" i="162"/>
  <c r="BL102" i="162" s="1"/>
  <c r="AZ102" i="159"/>
  <c r="BY102" i="162"/>
  <c r="AQ102" i="163"/>
  <c r="AR102" i="163" s="1"/>
  <c r="AS102" i="163"/>
  <c r="BK102" i="163"/>
  <c r="BL102" i="163" s="1"/>
  <c r="M102" i="163"/>
  <c r="K102" i="163"/>
  <c r="L102" i="163" s="1"/>
  <c r="AN102" i="162"/>
  <c r="AO102" i="162" s="1"/>
  <c r="BZ102" i="162"/>
  <c r="AL102" i="162"/>
  <c r="BJ102" i="159"/>
  <c r="I102" i="162"/>
  <c r="BZ102" i="163"/>
  <c r="U102" i="162"/>
  <c r="V102" i="162" s="1"/>
  <c r="CA102" i="163"/>
  <c r="AX102" i="163"/>
  <c r="AY102" i="163" s="1"/>
  <c r="AV102" i="163"/>
  <c r="AW102" i="163" s="1"/>
  <c r="F102" i="163"/>
  <c r="H102" i="163"/>
  <c r="I102" i="163" s="1"/>
  <c r="BY102" i="163"/>
  <c r="CB102" i="162"/>
  <c r="BP102" i="162" s="1"/>
  <c r="CD102" i="162" s="1"/>
  <c r="BF102" i="162"/>
  <c r="BG102" i="162" s="1"/>
  <c r="BH102" i="162"/>
  <c r="BI102" i="162" s="1"/>
  <c r="BM102" i="162" s="1"/>
  <c r="AX86" i="158"/>
  <c r="AY86" i="158" s="1"/>
  <c r="BC86" i="158" s="1"/>
  <c r="E86" i="158"/>
  <c r="E75" i="79" s="1"/>
  <c r="BK86" i="158"/>
  <c r="BL86" i="158" s="1"/>
  <c r="BF86" i="158"/>
  <c r="BG86" i="158" s="1"/>
  <c r="CB86" i="158"/>
  <c r="BH86" i="158"/>
  <c r="BI86" i="158" s="1"/>
  <c r="BM86" i="158" s="1"/>
  <c r="AD86" i="158"/>
  <c r="K75" i="79" s="1"/>
  <c r="BA86" i="158"/>
  <c r="BB86" i="158" s="1"/>
  <c r="BZ86" i="158"/>
  <c r="AL86" i="158"/>
  <c r="AM86" i="158" s="1"/>
  <c r="AN86" i="158"/>
  <c r="AO86" i="158" s="1"/>
  <c r="AS86" i="158" s="1"/>
  <c r="CA86" i="158"/>
  <c r="AQ86" i="158"/>
  <c r="AR86" i="158" s="1"/>
  <c r="BF102" i="159" l="1"/>
  <c r="BG102" i="159" s="1"/>
  <c r="BH102" i="159"/>
  <c r="AO102" i="159"/>
  <c r="BZ102" i="159"/>
  <c r="CB102" i="159"/>
  <c r="AL102" i="159"/>
  <c r="AM102" i="159" s="1"/>
  <c r="AZ103" i="160"/>
  <c r="BA103" i="160" s="1"/>
  <c r="BB103" i="160" s="1"/>
  <c r="CF102" i="160"/>
  <c r="CM102" i="160" s="1"/>
  <c r="L75" i="79"/>
  <c r="BJ103" i="160"/>
  <c r="O103" i="160"/>
  <c r="P103" i="160" s="1"/>
  <c r="Q103" i="160" s="1"/>
  <c r="AQ102" i="159"/>
  <c r="AR102" i="159" s="1"/>
  <c r="BE103" i="160"/>
  <c r="BH103" i="160" s="1"/>
  <c r="AK103" i="160"/>
  <c r="AN103" i="160" s="1"/>
  <c r="J103" i="160"/>
  <c r="K103" i="160" s="1"/>
  <c r="L103" i="160" s="1"/>
  <c r="E103" i="160"/>
  <c r="H103" i="160" s="1"/>
  <c r="CA102" i="159"/>
  <c r="BC102" i="159"/>
  <c r="AY102" i="159"/>
  <c r="BA102" i="159"/>
  <c r="BB102" i="159" s="1"/>
  <c r="AD103" i="160"/>
  <c r="AU103" i="160"/>
  <c r="AM102" i="162"/>
  <c r="Y103" i="160"/>
  <c r="T103" i="160"/>
  <c r="BY102" i="159"/>
  <c r="F102" i="159"/>
  <c r="H102" i="159"/>
  <c r="I102" i="159" s="1"/>
  <c r="BQ102" i="162"/>
  <c r="CE102" i="162" s="1"/>
  <c r="BR102" i="162"/>
  <c r="CF102" i="162" s="1"/>
  <c r="U102" i="159"/>
  <c r="V102" i="159" s="1"/>
  <c r="W102" i="159"/>
  <c r="BI102" i="159"/>
  <c r="BM102" i="159" s="1"/>
  <c r="M102" i="159"/>
  <c r="K102" i="159"/>
  <c r="L102" i="159" s="1"/>
  <c r="R102" i="159"/>
  <c r="S102" i="159" s="1"/>
  <c r="P102" i="159"/>
  <c r="Q102" i="159" s="1"/>
  <c r="BX102" i="159"/>
  <c r="BQ102" i="163"/>
  <c r="CE102" i="163" s="1"/>
  <c r="BP102" i="163"/>
  <c r="CD102" i="163" s="1"/>
  <c r="BR102" i="163"/>
  <c r="CF102" i="163" s="1"/>
  <c r="AE102" i="159"/>
  <c r="AF102" i="159" s="1"/>
  <c r="BT102" i="163"/>
  <c r="CH102" i="163" s="1"/>
  <c r="BS102" i="163"/>
  <c r="CG102" i="163" s="1"/>
  <c r="BU102" i="163"/>
  <c r="CI102" i="163" s="1"/>
  <c r="G102" i="163"/>
  <c r="AP103" i="160"/>
  <c r="Z102" i="159"/>
  <c r="AA102" i="159" s="1"/>
  <c r="AB102" i="159"/>
  <c r="AC102" i="159" s="1"/>
  <c r="AG102" i="159" s="1"/>
  <c r="BW102" i="159"/>
  <c r="BK102" i="159"/>
  <c r="BL102" i="159" s="1"/>
  <c r="BS102" i="162"/>
  <c r="CG102" i="162" s="1"/>
  <c r="BT102" i="162"/>
  <c r="CH102" i="162" s="1"/>
  <c r="BQ86" i="158"/>
  <c r="CE86" i="158" s="1"/>
  <c r="BR86" i="158"/>
  <c r="CF86" i="158" s="1"/>
  <c r="BP86" i="158"/>
  <c r="CD86" i="158" s="1"/>
  <c r="O86" i="158"/>
  <c r="H75" i="79" s="1"/>
  <c r="Y86" i="158"/>
  <c r="G75" i="79" s="1"/>
  <c r="H86" i="158"/>
  <c r="F86" i="158"/>
  <c r="AE86" i="158"/>
  <c r="AF86" i="158" s="1"/>
  <c r="J86" i="158"/>
  <c r="T86" i="158"/>
  <c r="AL103" i="160" l="1"/>
  <c r="AM103" i="160" s="1"/>
  <c r="BF103" i="160"/>
  <c r="BG103" i="160" s="1"/>
  <c r="CB103" i="160"/>
  <c r="BP103" i="160" s="1"/>
  <c r="CD103" i="160" s="1"/>
  <c r="CR102" i="160"/>
  <c r="CV102" i="162"/>
  <c r="BI103" i="160"/>
  <c r="BM103" i="160" s="1"/>
  <c r="BK103" i="160"/>
  <c r="BL103" i="160" s="1"/>
  <c r="BQ102" i="159"/>
  <c r="CE102" i="159" s="1"/>
  <c r="M103" i="160"/>
  <c r="I103" i="160"/>
  <c r="CZ102" i="160"/>
  <c r="CS102" i="162"/>
  <c r="CL102" i="162"/>
  <c r="CT102" i="162"/>
  <c r="CK102" i="162"/>
  <c r="CO102" i="160"/>
  <c r="CS102" i="160"/>
  <c r="CY102" i="160"/>
  <c r="CU102" i="162"/>
  <c r="CN102" i="162"/>
  <c r="CK102" i="160"/>
  <c r="CM102" i="162"/>
  <c r="CR102" i="162"/>
  <c r="CV102" i="160"/>
  <c r="CP102" i="163"/>
  <c r="CQ102" i="163"/>
  <c r="CR102" i="163"/>
  <c r="CL102" i="163"/>
  <c r="CO102" i="163"/>
  <c r="CN102" i="163"/>
  <c r="CM102" i="163"/>
  <c r="CK102" i="163"/>
  <c r="CV102" i="163"/>
  <c r="CU102" i="163"/>
  <c r="CZ102" i="163"/>
  <c r="CS102" i="163"/>
  <c r="CT102" i="163"/>
  <c r="CX102" i="163"/>
  <c r="CW102" i="163"/>
  <c r="CY102" i="163"/>
  <c r="CX102" i="160"/>
  <c r="CZ102" i="162"/>
  <c r="CP102" i="162"/>
  <c r="CL102" i="160"/>
  <c r="CY102" i="162"/>
  <c r="CQ102" i="162"/>
  <c r="CQ102" i="160"/>
  <c r="CN102" i="160"/>
  <c r="CX102" i="162"/>
  <c r="CO102" i="162"/>
  <c r="CW102" i="160"/>
  <c r="CT102" i="160"/>
  <c r="CW102" i="162"/>
  <c r="CU102" i="160"/>
  <c r="CP102" i="160"/>
  <c r="BY103" i="160"/>
  <c r="F103" i="160"/>
  <c r="G103" i="160" s="1"/>
  <c r="R103" i="160"/>
  <c r="AU103" i="162"/>
  <c r="AX103" i="162" s="1"/>
  <c r="BR102" i="159"/>
  <c r="CF102" i="159" s="1"/>
  <c r="AD103" i="162"/>
  <c r="AG103" i="162" s="1"/>
  <c r="Y103" i="162"/>
  <c r="AB103" i="162" s="1"/>
  <c r="BE103" i="163"/>
  <c r="BF103" i="163" s="1"/>
  <c r="BG103" i="163" s="1"/>
  <c r="G102" i="159"/>
  <c r="AX103" i="160"/>
  <c r="AY103" i="160" s="1"/>
  <c r="BC103" i="160" s="1"/>
  <c r="CA103" i="160"/>
  <c r="AV103" i="160"/>
  <c r="AW103" i="160" s="1"/>
  <c r="O103" i="163"/>
  <c r="Y103" i="163"/>
  <c r="J103" i="163"/>
  <c r="E103" i="163"/>
  <c r="BU102" i="159"/>
  <c r="CI102" i="159" s="1"/>
  <c r="BT102" i="159"/>
  <c r="CH102" i="159" s="1"/>
  <c r="BS102" i="159"/>
  <c r="CG102" i="159" s="1"/>
  <c r="AE103" i="160"/>
  <c r="AF103" i="160" s="1"/>
  <c r="AS103" i="160"/>
  <c r="AQ103" i="160"/>
  <c r="AD103" i="163"/>
  <c r="U103" i="160"/>
  <c r="V103" i="160" s="1"/>
  <c r="AV103" i="162"/>
  <c r="AW103" i="162" s="1"/>
  <c r="T103" i="162"/>
  <c r="BW103" i="160"/>
  <c r="Z103" i="160"/>
  <c r="AA103" i="160" s="1"/>
  <c r="AB103" i="160"/>
  <c r="AC103" i="160" s="1"/>
  <c r="AG103" i="160" s="1"/>
  <c r="BX103" i="160"/>
  <c r="AZ103" i="163"/>
  <c r="O103" i="162"/>
  <c r="AO103" i="160"/>
  <c r="S103" i="160"/>
  <c r="W103" i="160" s="1"/>
  <c r="J103" i="162"/>
  <c r="AK103" i="163"/>
  <c r="BP102" i="159"/>
  <c r="CD102" i="159" s="1"/>
  <c r="T103" i="163"/>
  <c r="BZ103" i="160"/>
  <c r="BY86" i="158"/>
  <c r="I75" i="79"/>
  <c r="AU103" i="163"/>
  <c r="AP103" i="163"/>
  <c r="BJ103" i="163"/>
  <c r="BE103" i="162"/>
  <c r="AP103" i="162"/>
  <c r="AZ103" i="162"/>
  <c r="CA103" i="162" s="1"/>
  <c r="BJ103" i="162"/>
  <c r="AK103" i="162"/>
  <c r="E103" i="162"/>
  <c r="G86" i="158"/>
  <c r="BW86" i="158"/>
  <c r="Z86" i="158"/>
  <c r="AA86" i="158" s="1"/>
  <c r="AB86" i="158"/>
  <c r="AC86" i="158" s="1"/>
  <c r="AG86" i="158" s="1"/>
  <c r="R86" i="158"/>
  <c r="S86" i="158" s="1"/>
  <c r="W86" i="158" s="1"/>
  <c r="BX86" i="158"/>
  <c r="BT86" i="158" s="1"/>
  <c r="CH86" i="158" s="1"/>
  <c r="P86" i="158"/>
  <c r="Q86" i="158" s="1"/>
  <c r="K86" i="158"/>
  <c r="L86" i="158" s="1"/>
  <c r="I86" i="158"/>
  <c r="M86" i="158" s="1"/>
  <c r="U86" i="158"/>
  <c r="V86" i="158" s="1"/>
  <c r="BT103" i="160" l="1"/>
  <c r="CH103" i="160" s="1"/>
  <c r="CN102" i="159"/>
  <c r="CO102" i="159"/>
  <c r="CP102" i="159"/>
  <c r="CK102" i="159"/>
  <c r="CR102" i="159"/>
  <c r="CQ102" i="159"/>
  <c r="CM102" i="159"/>
  <c r="CL102" i="159"/>
  <c r="CS102" i="159"/>
  <c r="CT102" i="159"/>
  <c r="CW102" i="159"/>
  <c r="CU102" i="159"/>
  <c r="CV102" i="159"/>
  <c r="CX102" i="159"/>
  <c r="CY102" i="159"/>
  <c r="CZ102" i="159"/>
  <c r="AC103" i="162"/>
  <c r="AE103" i="162"/>
  <c r="AF103" i="162" s="1"/>
  <c r="Z103" i="162"/>
  <c r="AA103" i="162" s="1"/>
  <c r="BS103" i="160"/>
  <c r="CG103" i="160" s="1"/>
  <c r="BW103" i="162"/>
  <c r="BU103" i="162" s="1"/>
  <c r="CI103" i="162" s="1"/>
  <c r="AU103" i="159"/>
  <c r="AV103" i="159" s="1"/>
  <c r="AW103" i="159" s="1"/>
  <c r="AY103" i="162"/>
  <c r="BC103" i="162" s="1"/>
  <c r="BH103" i="163"/>
  <c r="BI103" i="163" s="1"/>
  <c r="BM103" i="163" s="1"/>
  <c r="CB103" i="162"/>
  <c r="BP103" i="162" s="1"/>
  <c r="CD103" i="162" s="1"/>
  <c r="BH103" i="162"/>
  <c r="BI103" i="162" s="1"/>
  <c r="BM103" i="162" s="1"/>
  <c r="BF103" i="162"/>
  <c r="BG103" i="162" s="1"/>
  <c r="W103" i="163"/>
  <c r="U103" i="163"/>
  <c r="V103" i="163" s="1"/>
  <c r="H103" i="163"/>
  <c r="I103" i="163" s="1"/>
  <c r="BY103" i="163"/>
  <c r="F103" i="163"/>
  <c r="AP103" i="159"/>
  <c r="BC103" i="163"/>
  <c r="BA103" i="163"/>
  <c r="BB103" i="163" s="1"/>
  <c r="AR103" i="160"/>
  <c r="K103" i="163"/>
  <c r="L103" i="163" s="1"/>
  <c r="M103" i="163"/>
  <c r="AK103" i="159"/>
  <c r="BZ103" i="163"/>
  <c r="AN103" i="163"/>
  <c r="AO103" i="163" s="1"/>
  <c r="AL103" i="163"/>
  <c r="AM103" i="163" s="1"/>
  <c r="Z103" i="163"/>
  <c r="AA103" i="163" s="1"/>
  <c r="BW103" i="163"/>
  <c r="AB103" i="163"/>
  <c r="AC103" i="163" s="1"/>
  <c r="AG103" i="163" s="1"/>
  <c r="BE103" i="159"/>
  <c r="BY103" i="162"/>
  <c r="F103" i="162"/>
  <c r="H103" i="162"/>
  <c r="I103" i="162" s="1"/>
  <c r="M103" i="162"/>
  <c r="K103" i="162"/>
  <c r="L103" i="162" s="1"/>
  <c r="P103" i="163"/>
  <c r="Q103" i="163" s="1"/>
  <c r="BX103" i="163"/>
  <c r="R103" i="163"/>
  <c r="S103" i="163" s="1"/>
  <c r="BK103" i="163"/>
  <c r="BL103" i="163" s="1"/>
  <c r="AL103" i="162"/>
  <c r="BZ103" i="162"/>
  <c r="AN103" i="162"/>
  <c r="AO103" i="162" s="1"/>
  <c r="AV103" i="163"/>
  <c r="AW103" i="163" s="1"/>
  <c r="CA103" i="163"/>
  <c r="AX103" i="163"/>
  <c r="AY103" i="163" s="1"/>
  <c r="AZ103" i="159"/>
  <c r="BJ103" i="159"/>
  <c r="BK103" i="162"/>
  <c r="BL103" i="162" s="1"/>
  <c r="Y103" i="159"/>
  <c r="T103" i="159"/>
  <c r="E103" i="159"/>
  <c r="J103" i="159"/>
  <c r="O103" i="159"/>
  <c r="AD103" i="159"/>
  <c r="BA103" i="162"/>
  <c r="BB103" i="162" s="1"/>
  <c r="BX103" i="162"/>
  <c r="R103" i="162"/>
  <c r="S103" i="162" s="1"/>
  <c r="W103" i="162" s="1"/>
  <c r="P103" i="162"/>
  <c r="Q103" i="162" s="1"/>
  <c r="BU103" i="160"/>
  <c r="CI103" i="160" s="1"/>
  <c r="AQ103" i="163"/>
  <c r="AR103" i="163" s="1"/>
  <c r="AS103" i="163"/>
  <c r="AS103" i="162"/>
  <c r="AQ103" i="162"/>
  <c r="AR103" i="162" s="1"/>
  <c r="BQ103" i="160"/>
  <c r="CE103" i="160" s="1"/>
  <c r="BR103" i="160"/>
  <c r="CF103" i="160" s="1"/>
  <c r="U103" i="162"/>
  <c r="V103" i="162" s="1"/>
  <c r="AE103" i="163"/>
  <c r="AF103" i="163" s="1"/>
  <c r="CB103" i="163"/>
  <c r="BS86" i="158"/>
  <c r="CG86" i="158" s="1"/>
  <c r="BU86" i="158"/>
  <c r="CI86" i="158" s="1"/>
  <c r="BE87" i="158"/>
  <c r="BF87" i="158" s="1"/>
  <c r="BG87" i="158" s="1"/>
  <c r="BJ87" i="158"/>
  <c r="BK87" i="158" s="1"/>
  <c r="BL87" i="158" s="1"/>
  <c r="AZ87" i="158"/>
  <c r="BA87" i="158" s="1"/>
  <c r="BB87" i="158" s="1"/>
  <c r="AK87" i="158"/>
  <c r="AP87" i="158"/>
  <c r="AU87" i="158"/>
  <c r="AX103" i="159" l="1"/>
  <c r="CU103" i="160"/>
  <c r="CT103" i="160"/>
  <c r="CX103" i="160"/>
  <c r="CN103" i="160"/>
  <c r="CZ103" i="160"/>
  <c r="CQ103" i="160"/>
  <c r="CW103" i="160"/>
  <c r="CL103" i="160"/>
  <c r="CR103" i="160"/>
  <c r="CV103" i="160"/>
  <c r="CP103" i="160"/>
  <c r="CK103" i="160"/>
  <c r="CS103" i="160"/>
  <c r="CM103" i="160"/>
  <c r="CO103" i="160"/>
  <c r="CY103" i="160"/>
  <c r="CW86" i="158"/>
  <c r="Z75" i="79" s="1"/>
  <c r="CY86" i="158"/>
  <c r="AB75" i="79" s="1"/>
  <c r="CV86" i="158"/>
  <c r="Y75" i="79" s="1"/>
  <c r="CQ86" i="158"/>
  <c r="CX86" i="158"/>
  <c r="AA75" i="79" s="1"/>
  <c r="CU86" i="158"/>
  <c r="X75" i="79" s="1"/>
  <c r="CR86" i="158"/>
  <c r="CZ86" i="158"/>
  <c r="AC75" i="79" s="1"/>
  <c r="CN86" i="158"/>
  <c r="Q75" i="79" s="1"/>
  <c r="CT86" i="158"/>
  <c r="W75" i="79" s="1"/>
  <c r="CM86" i="158"/>
  <c r="P75" i="79" s="1"/>
  <c r="CS86" i="158"/>
  <c r="V75" i="79" s="1"/>
  <c r="CK86" i="158"/>
  <c r="N75" i="79" s="1"/>
  <c r="CO86" i="158"/>
  <c r="CP86" i="158"/>
  <c r="CL86" i="158"/>
  <c r="O75" i="79" s="1"/>
  <c r="Y104" i="160"/>
  <c r="AB104" i="160" s="1"/>
  <c r="T104" i="160"/>
  <c r="U104" i="160" s="1"/>
  <c r="V104" i="160" s="1"/>
  <c r="BE104" i="160"/>
  <c r="BJ104" i="160"/>
  <c r="AU104" i="160"/>
  <c r="AK104" i="160"/>
  <c r="AZ104" i="160"/>
  <c r="AP104" i="160"/>
  <c r="O104" i="160"/>
  <c r="AS103" i="159"/>
  <c r="AQ103" i="159"/>
  <c r="AR103" i="159" s="1"/>
  <c r="AE103" i="159"/>
  <c r="AF103" i="159" s="1"/>
  <c r="J104" i="160"/>
  <c r="BX103" i="159"/>
  <c r="R103" i="159"/>
  <c r="S103" i="159" s="1"/>
  <c r="P103" i="159"/>
  <c r="Q103" i="159" s="1"/>
  <c r="BK103" i="159"/>
  <c r="BL103" i="159" s="1"/>
  <c r="BR103" i="162"/>
  <c r="CF103" i="162" s="1"/>
  <c r="BQ103" i="162"/>
  <c r="CE103" i="162" s="1"/>
  <c r="AD104" i="160"/>
  <c r="G103" i="162"/>
  <c r="E104" i="160"/>
  <c r="G103" i="163"/>
  <c r="M103" i="159"/>
  <c r="K103" i="159"/>
  <c r="L103" i="159" s="1"/>
  <c r="BC103" i="159"/>
  <c r="BA103" i="159"/>
  <c r="BB103" i="159" s="1"/>
  <c r="AM103" i="162"/>
  <c r="BS103" i="162"/>
  <c r="CG103" i="162" s="1"/>
  <c r="BT103" i="162"/>
  <c r="CH103" i="162" s="1"/>
  <c r="BS103" i="163"/>
  <c r="CG103" i="163" s="1"/>
  <c r="BT103" i="163"/>
  <c r="CH103" i="163" s="1"/>
  <c r="BU103" i="163"/>
  <c r="CI103" i="163" s="1"/>
  <c r="F103" i="159"/>
  <c r="H103" i="159"/>
  <c r="I103" i="159" s="1"/>
  <c r="BY103" i="159"/>
  <c r="BH103" i="159"/>
  <c r="BI103" i="159" s="1"/>
  <c r="BM103" i="159" s="1"/>
  <c r="BF103" i="159"/>
  <c r="BG103" i="159" s="1"/>
  <c r="CB103" i="159"/>
  <c r="BP103" i="163"/>
  <c r="CD103" i="163" s="1"/>
  <c r="BQ103" i="163"/>
  <c r="CE103" i="163" s="1"/>
  <c r="BR103" i="163"/>
  <c r="CF103" i="163" s="1"/>
  <c r="W103" i="159"/>
  <c r="U103" i="159"/>
  <c r="V103" i="159" s="1"/>
  <c r="AL103" i="159"/>
  <c r="AM103" i="159" s="1"/>
  <c r="BZ103" i="159"/>
  <c r="AN103" i="159"/>
  <c r="AO103" i="159" s="1"/>
  <c r="CA103" i="159"/>
  <c r="BW103" i="159"/>
  <c r="AB103" i="159"/>
  <c r="AC103" i="159" s="1"/>
  <c r="AG103" i="159" s="1"/>
  <c r="Z103" i="159"/>
  <c r="AA103" i="159" s="1"/>
  <c r="AY103" i="159"/>
  <c r="E87" i="158"/>
  <c r="E76" i="79" s="1"/>
  <c r="BH87" i="158"/>
  <c r="BI87" i="158" s="1"/>
  <c r="BM87" i="158" s="1"/>
  <c r="AD87" i="158"/>
  <c r="CB87" i="158"/>
  <c r="Y87" i="158"/>
  <c r="G76" i="79" s="1"/>
  <c r="J87" i="158"/>
  <c r="AQ87" i="158"/>
  <c r="AR87" i="158" s="1"/>
  <c r="O87" i="158"/>
  <c r="H76" i="79" s="1"/>
  <c r="T87" i="158"/>
  <c r="AV87" i="158"/>
  <c r="AW87" i="158" s="1"/>
  <c r="CA87" i="158"/>
  <c r="AX87" i="158"/>
  <c r="AY87" i="158" s="1"/>
  <c r="BC87" i="158" s="1"/>
  <c r="AN87" i="158"/>
  <c r="AO87" i="158" s="1"/>
  <c r="AS87" i="158" s="1"/>
  <c r="BZ87" i="158"/>
  <c r="AL87" i="158"/>
  <c r="AM87" i="158" s="1"/>
  <c r="T104" i="163" l="1"/>
  <c r="U104" i="163" s="1"/>
  <c r="V104" i="163" s="1"/>
  <c r="CL103" i="162"/>
  <c r="CR103" i="162"/>
  <c r="Z104" i="160"/>
  <c r="AA104" i="160" s="1"/>
  <c r="CU103" i="162"/>
  <c r="CX103" i="162"/>
  <c r="CP103" i="162"/>
  <c r="CV103" i="163"/>
  <c r="CO103" i="163"/>
  <c r="CN103" i="163"/>
  <c r="CQ103" i="163"/>
  <c r="CM103" i="163"/>
  <c r="CK103" i="163"/>
  <c r="CP103" i="163"/>
  <c r="CL103" i="163"/>
  <c r="CR103" i="163"/>
  <c r="CT103" i="163"/>
  <c r="CZ103" i="163"/>
  <c r="CU103" i="163"/>
  <c r="CS103" i="163"/>
  <c r="CX103" i="163"/>
  <c r="CW103" i="163"/>
  <c r="CY103" i="163"/>
  <c r="CW103" i="162"/>
  <c r="CK103" i="162"/>
  <c r="CY103" i="162"/>
  <c r="CZ103" i="162"/>
  <c r="CS103" i="162"/>
  <c r="CN103" i="162"/>
  <c r="CT103" i="162"/>
  <c r="CO103" i="162"/>
  <c r="CQ103" i="162"/>
  <c r="CV103" i="162"/>
  <c r="CM103" i="162"/>
  <c r="J104" i="163"/>
  <c r="K104" i="163" s="1"/>
  <c r="L104" i="163" s="1"/>
  <c r="AU104" i="162"/>
  <c r="AV104" i="162" s="1"/>
  <c r="AW104" i="162" s="1"/>
  <c r="AD104" i="162"/>
  <c r="AE104" i="162" s="1"/>
  <c r="AF104" i="162" s="1"/>
  <c r="E104" i="163"/>
  <c r="H104" i="163" s="1"/>
  <c r="BE104" i="163"/>
  <c r="BF104" i="163" s="1"/>
  <c r="BG104" i="163" s="1"/>
  <c r="I76" i="79"/>
  <c r="O104" i="163"/>
  <c r="R104" i="163" s="1"/>
  <c r="Y104" i="163"/>
  <c r="AB104" i="163" s="1"/>
  <c r="BF104" i="160"/>
  <c r="BG104" i="160" s="1"/>
  <c r="BH104" i="160"/>
  <c r="BI104" i="160" s="1"/>
  <c r="BM104" i="160" s="1"/>
  <c r="CB104" i="160"/>
  <c r="BP104" i="160" s="1"/>
  <c r="CD104" i="160" s="1"/>
  <c r="AZ104" i="163"/>
  <c r="BR103" i="159"/>
  <c r="CF103" i="159" s="1"/>
  <c r="BQ103" i="159"/>
  <c r="CE103" i="159" s="1"/>
  <c r="BP103" i="159"/>
  <c r="CD103" i="159" s="1"/>
  <c r="K104" i="160"/>
  <c r="L104" i="160" s="1"/>
  <c r="M104" i="160"/>
  <c r="P104" i="160"/>
  <c r="Q104" i="160" s="1"/>
  <c r="R104" i="160"/>
  <c r="S104" i="160" s="1"/>
  <c r="W104" i="160" s="1"/>
  <c r="BX104" i="160"/>
  <c r="BT103" i="159"/>
  <c r="CH103" i="159" s="1"/>
  <c r="BS103" i="159"/>
  <c r="CG103" i="159" s="1"/>
  <c r="BU103" i="159"/>
  <c r="CI103" i="159" s="1"/>
  <c r="Y104" i="162"/>
  <c r="T104" i="162"/>
  <c r="J104" i="162"/>
  <c r="O104" i="162"/>
  <c r="E104" i="162"/>
  <c r="AP104" i="163"/>
  <c r="BJ104" i="163"/>
  <c r="AU104" i="163"/>
  <c r="AK104" i="163"/>
  <c r="AQ104" i="160"/>
  <c r="AR104" i="160" s="1"/>
  <c r="AS104" i="160"/>
  <c r="BE104" i="162"/>
  <c r="AE87" i="158"/>
  <c r="AF87" i="158" s="1"/>
  <c r="K76" i="79"/>
  <c r="G103" i="159"/>
  <c r="H104" i="160"/>
  <c r="I104" i="160" s="1"/>
  <c r="BY104" i="160"/>
  <c r="F104" i="160"/>
  <c r="G104" i="160" s="1"/>
  <c r="BA104" i="160"/>
  <c r="BB104" i="160" s="1"/>
  <c r="BZ104" i="160"/>
  <c r="AN104" i="160"/>
  <c r="AO104" i="160" s="1"/>
  <c r="AL104" i="160"/>
  <c r="AZ104" i="162"/>
  <c r="AP104" i="162"/>
  <c r="AK104" i="162"/>
  <c r="BJ104" i="162"/>
  <c r="AX104" i="160"/>
  <c r="AY104" i="160" s="1"/>
  <c r="BC104" i="160" s="1"/>
  <c r="AV104" i="160"/>
  <c r="AW104" i="160" s="1"/>
  <c r="CA104" i="160"/>
  <c r="AC104" i="160"/>
  <c r="AG104" i="160" s="1"/>
  <c r="AD104" i="163"/>
  <c r="AE104" i="160"/>
  <c r="AF104" i="160" s="1"/>
  <c r="BK104" i="160"/>
  <c r="BL104" i="160" s="1"/>
  <c r="BW104" i="160"/>
  <c r="BP87" i="158"/>
  <c r="CD87" i="158" s="1"/>
  <c r="BQ87" i="158"/>
  <c r="CE87" i="158" s="1"/>
  <c r="BR87" i="158"/>
  <c r="CF87" i="158" s="1"/>
  <c r="F87" i="158"/>
  <c r="G87" i="158" s="1"/>
  <c r="H87" i="158"/>
  <c r="I87" i="158" s="1"/>
  <c r="M87" i="158" s="1"/>
  <c r="K87" i="158"/>
  <c r="L87" i="158" s="1"/>
  <c r="Z87" i="158"/>
  <c r="AA87" i="158" s="1"/>
  <c r="BW87" i="158"/>
  <c r="AB87" i="158"/>
  <c r="AC87" i="158" s="1"/>
  <c r="AG87" i="158" s="1"/>
  <c r="U87" i="158"/>
  <c r="V87" i="158" s="1"/>
  <c r="R87" i="158"/>
  <c r="S87" i="158" s="1"/>
  <c r="W87" i="158" s="1"/>
  <c r="P87" i="158"/>
  <c r="Q87" i="158" s="1"/>
  <c r="BX87" i="158"/>
  <c r="BY87" i="158"/>
  <c r="W104" i="163" l="1"/>
  <c r="S104" i="163"/>
  <c r="AC104" i="162"/>
  <c r="AG104" i="162"/>
  <c r="CB104" i="163"/>
  <c r="CL103" i="159"/>
  <c r="CM103" i="159"/>
  <c r="CS103" i="159"/>
  <c r="CO103" i="159"/>
  <c r="CK103" i="159"/>
  <c r="CP103" i="159"/>
  <c r="CR103" i="159"/>
  <c r="CQ103" i="159"/>
  <c r="CN103" i="159"/>
  <c r="CT103" i="159"/>
  <c r="CU103" i="159"/>
  <c r="CW103" i="159"/>
  <c r="CV103" i="159"/>
  <c r="CY103" i="159"/>
  <c r="CZ103" i="159"/>
  <c r="CX103" i="159"/>
  <c r="L76" i="79"/>
  <c r="O104" i="159"/>
  <c r="P104" i="159" s="1"/>
  <c r="Q104" i="159" s="1"/>
  <c r="T104" i="159"/>
  <c r="U104" i="159" s="1"/>
  <c r="V104" i="159" s="1"/>
  <c r="AD104" i="159"/>
  <c r="AE104" i="159" s="1"/>
  <c r="AF104" i="159" s="1"/>
  <c r="J104" i="159"/>
  <c r="M104" i="159" s="1"/>
  <c r="AX104" i="162"/>
  <c r="M104" i="163"/>
  <c r="I104" i="163"/>
  <c r="P104" i="163"/>
  <c r="Q104" i="163" s="1"/>
  <c r="BY104" i="163"/>
  <c r="BX104" i="163"/>
  <c r="F104" i="163"/>
  <c r="G104" i="163" s="1"/>
  <c r="Z104" i="163"/>
  <c r="AA104" i="163" s="1"/>
  <c r="BW104" i="163"/>
  <c r="Y104" i="159"/>
  <c r="Z104" i="159" s="1"/>
  <c r="AA104" i="159" s="1"/>
  <c r="AP104" i="159"/>
  <c r="AQ104" i="159" s="1"/>
  <c r="AR104" i="159" s="1"/>
  <c r="BH104" i="163"/>
  <c r="BI104" i="163" s="1"/>
  <c r="BM104" i="163" s="1"/>
  <c r="BU104" i="160"/>
  <c r="CI104" i="160" s="1"/>
  <c r="AU104" i="159"/>
  <c r="AV104" i="159" s="1"/>
  <c r="AW104" i="159" s="1"/>
  <c r="BA104" i="162"/>
  <c r="BB104" i="162" s="1"/>
  <c r="H104" i="162"/>
  <c r="I104" i="162" s="1"/>
  <c r="F104" i="162"/>
  <c r="BY104" i="162"/>
  <c r="BJ104" i="159"/>
  <c r="AK104" i="159"/>
  <c r="P104" i="162"/>
  <c r="Q104" i="162" s="1"/>
  <c r="R104" i="162"/>
  <c r="S104" i="162" s="1"/>
  <c r="BX104" i="162"/>
  <c r="AM104" i="160"/>
  <c r="AC104" i="163"/>
  <c r="AG104" i="163" s="1"/>
  <c r="K104" i="162"/>
  <c r="L104" i="162" s="1"/>
  <c r="M104" i="162"/>
  <c r="W104" i="162"/>
  <c r="U104" i="162"/>
  <c r="V104" i="162" s="1"/>
  <c r="AE104" i="163"/>
  <c r="AF104" i="163" s="1"/>
  <c r="BR104" i="160"/>
  <c r="CF104" i="160" s="1"/>
  <c r="BQ104" i="160"/>
  <c r="AN104" i="163"/>
  <c r="AO104" i="163" s="1"/>
  <c r="AL104" i="163"/>
  <c r="BZ104" i="163"/>
  <c r="AB104" i="162"/>
  <c r="Z104" i="162"/>
  <c r="AA104" i="162" s="1"/>
  <c r="BW104" i="162"/>
  <c r="BU104" i="162" s="1"/>
  <c r="CI104" i="162" s="1"/>
  <c r="BK104" i="162"/>
  <c r="BL104" i="162" s="1"/>
  <c r="BS104" i="160"/>
  <c r="CG104" i="160" s="1"/>
  <c r="BT104" i="160"/>
  <c r="CH104" i="160" s="1"/>
  <c r="AX104" i="163"/>
  <c r="AY104" i="163" s="1"/>
  <c r="AV104" i="163"/>
  <c r="AW104" i="163" s="1"/>
  <c r="CA104" i="163"/>
  <c r="AY104" i="162"/>
  <c r="BC104" i="162" s="1"/>
  <c r="AL104" i="162"/>
  <c r="AN104" i="162"/>
  <c r="AO104" i="162" s="1"/>
  <c r="BZ104" i="162"/>
  <c r="BE104" i="159"/>
  <c r="BK104" i="163"/>
  <c r="BL104" i="163" s="1"/>
  <c r="E104" i="159"/>
  <c r="CA104" i="162"/>
  <c r="AS104" i="162"/>
  <c r="AQ104" i="162"/>
  <c r="AR104" i="162" s="1"/>
  <c r="AZ104" i="159"/>
  <c r="BF104" i="162"/>
  <c r="BG104" i="162" s="1"/>
  <c r="CB104" i="162"/>
  <c r="BP104" i="162" s="1"/>
  <c r="CD104" i="162" s="1"/>
  <c r="BH104" i="162"/>
  <c r="BI104" i="162" s="1"/>
  <c r="BM104" i="162" s="1"/>
  <c r="AS104" i="163"/>
  <c r="AQ104" i="163"/>
  <c r="AR104" i="163" s="1"/>
  <c r="BC104" i="163"/>
  <c r="BA104" i="163"/>
  <c r="BB104" i="163" s="1"/>
  <c r="BS87" i="158"/>
  <c r="CG87" i="158" s="1"/>
  <c r="BT87" i="158"/>
  <c r="CH87" i="158" s="1"/>
  <c r="BU87" i="158"/>
  <c r="CI87" i="158" s="1"/>
  <c r="AU88" i="158"/>
  <c r="BJ88" i="158"/>
  <c r="BK88" i="158" s="1"/>
  <c r="BL88" i="158" s="1"/>
  <c r="AK88" i="158"/>
  <c r="CZ87" i="158" l="1"/>
  <c r="AC76" i="79" s="1"/>
  <c r="K104" i="159"/>
  <c r="L104" i="159" s="1"/>
  <c r="R104" i="159"/>
  <c r="W104" i="159"/>
  <c r="CO87" i="158"/>
  <c r="BX104" i="159"/>
  <c r="CW87" i="158"/>
  <c r="Z76" i="79" s="1"/>
  <c r="CV87" i="158"/>
  <c r="Y76" i="79" s="1"/>
  <c r="S104" i="159"/>
  <c r="CY87" i="158"/>
  <c r="AB76" i="79" s="1"/>
  <c r="CM87" i="158"/>
  <c r="P76" i="79" s="1"/>
  <c r="CU87" i="158"/>
  <c r="X76" i="79" s="1"/>
  <c r="CR87" i="158"/>
  <c r="CT87" i="158"/>
  <c r="W76" i="79" s="1"/>
  <c r="CK87" i="158"/>
  <c r="N76" i="79" s="1"/>
  <c r="CX87" i="158"/>
  <c r="AA76" i="79" s="1"/>
  <c r="BE105" i="160"/>
  <c r="BH105" i="160" s="1"/>
  <c r="CE104" i="160"/>
  <c r="CP87" i="158"/>
  <c r="CQ87" i="158"/>
  <c r="CL87" i="158"/>
  <c r="O76" i="79" s="1"/>
  <c r="CS87" i="158"/>
  <c r="V76" i="79" s="1"/>
  <c r="CN87" i="158"/>
  <c r="Q76" i="79" s="1"/>
  <c r="BS104" i="163"/>
  <c r="CG104" i="163" s="1"/>
  <c r="BT104" i="163"/>
  <c r="CH104" i="163" s="1"/>
  <c r="BU104" i="163"/>
  <c r="CI104" i="163" s="1"/>
  <c r="AS104" i="159"/>
  <c r="BW104" i="159"/>
  <c r="AB104" i="159"/>
  <c r="AC104" i="159" s="1"/>
  <c r="AG104" i="159" s="1"/>
  <c r="AX104" i="159"/>
  <c r="Y105" i="160"/>
  <c r="Z105" i="160" s="1"/>
  <c r="AA105" i="160" s="1"/>
  <c r="BK104" i="159"/>
  <c r="BL104" i="159" s="1"/>
  <c r="AM104" i="162"/>
  <c r="BR104" i="163"/>
  <c r="CF104" i="163" s="1"/>
  <c r="BQ104" i="163"/>
  <c r="CE104" i="163" s="1"/>
  <c r="BP104" i="163"/>
  <c r="CD104" i="163" s="1"/>
  <c r="AD105" i="160"/>
  <c r="BF105" i="160"/>
  <c r="BG105" i="160" s="1"/>
  <c r="AM104" i="163"/>
  <c r="BT104" i="162"/>
  <c r="CH104" i="162" s="1"/>
  <c r="BS104" i="162"/>
  <c r="CG104" i="162" s="1"/>
  <c r="J105" i="160"/>
  <c r="G104" i="162"/>
  <c r="BF104" i="159"/>
  <c r="BG104" i="159" s="1"/>
  <c r="BH104" i="159"/>
  <c r="BI104" i="159" s="1"/>
  <c r="BM104" i="159" s="1"/>
  <c r="CB104" i="159"/>
  <c r="BJ105" i="160"/>
  <c r="AK105" i="160"/>
  <c r="AU105" i="160"/>
  <c r="AP105" i="160"/>
  <c r="CA104" i="159"/>
  <c r="BC104" i="159"/>
  <c r="BA104" i="159"/>
  <c r="BB104" i="159" s="1"/>
  <c r="AY104" i="159"/>
  <c r="F104" i="159"/>
  <c r="H104" i="159"/>
  <c r="I104" i="159" s="1"/>
  <c r="BY104" i="159"/>
  <c r="E105" i="160"/>
  <c r="AZ105" i="160"/>
  <c r="BR104" i="162"/>
  <c r="CF104" i="162" s="1"/>
  <c r="BQ104" i="162"/>
  <c r="CE104" i="162" s="1"/>
  <c r="T105" i="160"/>
  <c r="BZ104" i="159"/>
  <c r="AN104" i="159"/>
  <c r="AO104" i="159" s="1"/>
  <c r="AL104" i="159"/>
  <c r="O105" i="160"/>
  <c r="BE88" i="158"/>
  <c r="BF88" i="158" s="1"/>
  <c r="BG88" i="158" s="1"/>
  <c r="AZ88" i="158"/>
  <c r="BA88" i="158" s="1"/>
  <c r="BB88" i="158" s="1"/>
  <c r="AP88" i="158"/>
  <c r="BZ88" i="158" s="1"/>
  <c r="AV88" i="158"/>
  <c r="AW88" i="158" s="1"/>
  <c r="AX88" i="158"/>
  <c r="AL88" i="158"/>
  <c r="AM88" i="158" s="1"/>
  <c r="AN88" i="158"/>
  <c r="AD88" i="158"/>
  <c r="Y105" i="163" l="1"/>
  <c r="AB105" i="163" s="1"/>
  <c r="CM104" i="162"/>
  <c r="CU104" i="162"/>
  <c r="CQ104" i="162"/>
  <c r="CV104" i="160"/>
  <c r="CP104" i="160"/>
  <c r="CN104" i="160"/>
  <c r="CR104" i="160"/>
  <c r="CZ104" i="160"/>
  <c r="CM104" i="160"/>
  <c r="CT104" i="160"/>
  <c r="CU104" i="160"/>
  <c r="CS104" i="160"/>
  <c r="CQ104" i="160"/>
  <c r="CY104" i="160"/>
  <c r="CO104" i="160"/>
  <c r="CL104" i="160"/>
  <c r="CW104" i="160"/>
  <c r="CK104" i="160"/>
  <c r="CX104" i="160"/>
  <c r="CM104" i="163"/>
  <c r="CV104" i="163"/>
  <c r="CL104" i="163"/>
  <c r="CQ104" i="163"/>
  <c r="CN104" i="163"/>
  <c r="CR104" i="163"/>
  <c r="CK104" i="163"/>
  <c r="CP104" i="163"/>
  <c r="CO104" i="163"/>
  <c r="CZ104" i="163"/>
  <c r="CU104" i="163"/>
  <c r="CT104" i="163"/>
  <c r="CS104" i="163"/>
  <c r="CY104" i="163"/>
  <c r="CW104" i="163"/>
  <c r="CX104" i="163"/>
  <c r="CS104" i="162"/>
  <c r="CN104" i="162"/>
  <c r="CK104" i="162"/>
  <c r="CO104" i="162"/>
  <c r="CL104" i="162"/>
  <c r="CV104" i="162"/>
  <c r="CW104" i="162"/>
  <c r="CZ104" i="162"/>
  <c r="CY104" i="162"/>
  <c r="CR104" i="162"/>
  <c r="CX104" i="162"/>
  <c r="CP104" i="162"/>
  <c r="CT104" i="162"/>
  <c r="J105" i="163"/>
  <c r="M105" i="163" s="1"/>
  <c r="J105" i="162"/>
  <c r="M105" i="162" s="1"/>
  <c r="AD105" i="163"/>
  <c r="O105" i="162"/>
  <c r="P105" i="162" s="1"/>
  <c r="Q105" i="162" s="1"/>
  <c r="Y105" i="162"/>
  <c r="AB105" i="162" s="1"/>
  <c r="AB105" i="160"/>
  <c r="AC105" i="160" s="1"/>
  <c r="AG105" i="160" s="1"/>
  <c r="AU105" i="162"/>
  <c r="AV105" i="162" s="1"/>
  <c r="AW105" i="162" s="1"/>
  <c r="E105" i="163"/>
  <c r="H105" i="163" s="1"/>
  <c r="T105" i="163"/>
  <c r="U105" i="163" s="1"/>
  <c r="V105" i="163" s="1"/>
  <c r="AD105" i="162"/>
  <c r="AE105" i="162" s="1"/>
  <c r="AF105" i="162" s="1"/>
  <c r="O105" i="163"/>
  <c r="P105" i="163" s="1"/>
  <c r="Q105" i="163" s="1"/>
  <c r="AM104" i="159"/>
  <c r="AE105" i="160"/>
  <c r="AF105" i="160" s="1"/>
  <c r="T105" i="162"/>
  <c r="AN105" i="160"/>
  <c r="AO105" i="160" s="1"/>
  <c r="AL105" i="160"/>
  <c r="BZ105" i="160"/>
  <c r="AK105" i="162"/>
  <c r="BE105" i="162"/>
  <c r="AP105" i="162"/>
  <c r="BJ105" i="162"/>
  <c r="G104" i="159"/>
  <c r="BW105" i="160"/>
  <c r="AV105" i="160"/>
  <c r="AW105" i="160" s="1"/>
  <c r="AX105" i="160"/>
  <c r="AY105" i="160" s="1"/>
  <c r="BC105" i="160" s="1"/>
  <c r="R105" i="160"/>
  <c r="S105" i="160" s="1"/>
  <c r="W105" i="160" s="1"/>
  <c r="BX105" i="160"/>
  <c r="P105" i="160"/>
  <c r="Q105" i="160" s="1"/>
  <c r="AP105" i="163"/>
  <c r="AU105" i="163"/>
  <c r="AZ105" i="163"/>
  <c r="BJ105" i="163"/>
  <c r="BE105" i="163"/>
  <c r="AK105" i="163"/>
  <c r="U105" i="160"/>
  <c r="V105" i="160" s="1"/>
  <c r="BI105" i="160"/>
  <c r="BM105" i="160" s="1"/>
  <c r="BK105" i="160"/>
  <c r="BL105" i="160" s="1"/>
  <c r="CA105" i="160"/>
  <c r="BA105" i="160"/>
  <c r="BB105" i="160" s="1"/>
  <c r="M105" i="160"/>
  <c r="K105" i="160"/>
  <c r="L105" i="160" s="1"/>
  <c r="AS105" i="160"/>
  <c r="AQ105" i="160"/>
  <c r="AR105" i="160" s="1"/>
  <c r="BR104" i="159"/>
  <c r="CF104" i="159" s="1"/>
  <c r="BP104" i="159"/>
  <c r="CD104" i="159" s="1"/>
  <c r="BQ104" i="159"/>
  <c r="CE104" i="159" s="1"/>
  <c r="BT104" i="159"/>
  <c r="CH104" i="159" s="1"/>
  <c r="BU104" i="159"/>
  <c r="CI104" i="159" s="1"/>
  <c r="BS104" i="159"/>
  <c r="CG104" i="159" s="1"/>
  <c r="K77" i="79"/>
  <c r="AZ105" i="162"/>
  <c r="H105" i="160"/>
  <c r="I105" i="160" s="1"/>
  <c r="F105" i="160"/>
  <c r="BY105" i="160"/>
  <c r="CB105" i="160"/>
  <c r="BP105" i="160" s="1"/>
  <c r="CD105" i="160" s="1"/>
  <c r="E105" i="162"/>
  <c r="AY88" i="158"/>
  <c r="BC88" i="158" s="1"/>
  <c r="CA88" i="158"/>
  <c r="BP88" i="158" s="1"/>
  <c r="CD88" i="158" s="1"/>
  <c r="AQ88" i="158"/>
  <c r="AR88" i="158" s="1"/>
  <c r="AO88" i="158"/>
  <c r="AS88" i="158" s="1"/>
  <c r="CB88" i="158"/>
  <c r="BH88" i="158"/>
  <c r="BI88" i="158" s="1"/>
  <c r="BM88" i="158" s="1"/>
  <c r="Y88" i="158"/>
  <c r="G77" i="79" s="1"/>
  <c r="T88" i="158"/>
  <c r="J88" i="158"/>
  <c r="AE88" i="158"/>
  <c r="AF88" i="158" s="1"/>
  <c r="E88" i="158"/>
  <c r="E77" i="79" s="1"/>
  <c r="O88" i="158"/>
  <c r="H77" i="79" s="1"/>
  <c r="BX105" i="162" l="1"/>
  <c r="Z105" i="163"/>
  <c r="AA105" i="163" s="1"/>
  <c r="K105" i="163"/>
  <c r="L105" i="163" s="1"/>
  <c r="I105" i="163"/>
  <c r="BW105" i="163"/>
  <c r="R105" i="162"/>
  <c r="BS105" i="160"/>
  <c r="CG105" i="160" s="1"/>
  <c r="Z105" i="162"/>
  <c r="AA105" i="162" s="1"/>
  <c r="AE105" i="163"/>
  <c r="AF105" i="163" s="1"/>
  <c r="K105" i="162"/>
  <c r="L105" i="162" s="1"/>
  <c r="CR104" i="159"/>
  <c r="CL104" i="159"/>
  <c r="CP104" i="159"/>
  <c r="CQ104" i="159"/>
  <c r="CK104" i="159"/>
  <c r="CO104" i="159"/>
  <c r="CN104" i="159"/>
  <c r="CM104" i="159"/>
  <c r="CS104" i="159"/>
  <c r="CT104" i="159"/>
  <c r="CV104" i="159"/>
  <c r="CW104" i="159"/>
  <c r="CU104" i="159"/>
  <c r="CY104" i="159"/>
  <c r="CZ104" i="159"/>
  <c r="CX104" i="159"/>
  <c r="AC105" i="163"/>
  <c r="AG105" i="163" s="1"/>
  <c r="L77" i="79"/>
  <c r="AC105" i="162"/>
  <c r="BW105" i="162"/>
  <c r="BU105" i="162" s="1"/>
  <c r="CI105" i="162" s="1"/>
  <c r="AU105" i="159"/>
  <c r="AV105" i="159" s="1"/>
  <c r="AW105" i="159" s="1"/>
  <c r="F105" i="163"/>
  <c r="G105" i="163" s="1"/>
  <c r="AX105" i="162"/>
  <c r="AY105" i="162" s="1"/>
  <c r="BC105" i="162" s="1"/>
  <c r="W105" i="163"/>
  <c r="BY105" i="163"/>
  <c r="BX105" i="163"/>
  <c r="AG105" i="162"/>
  <c r="R105" i="163"/>
  <c r="S105" i="163" s="1"/>
  <c r="J105" i="159"/>
  <c r="K105" i="159" s="1"/>
  <c r="L105" i="159" s="1"/>
  <c r="BR88" i="158"/>
  <c r="CF88" i="158" s="1"/>
  <c r="BK105" i="163"/>
  <c r="BL105" i="163" s="1"/>
  <c r="BE105" i="159"/>
  <c r="BZ105" i="162"/>
  <c r="AN105" i="162"/>
  <c r="AO105" i="162" s="1"/>
  <c r="AL105" i="162"/>
  <c r="BA105" i="163"/>
  <c r="BB105" i="163" s="1"/>
  <c r="BC105" i="163"/>
  <c r="AZ105" i="159"/>
  <c r="G105" i="160"/>
  <c r="CA105" i="163"/>
  <c r="AX105" i="163"/>
  <c r="AY105" i="163" s="1"/>
  <c r="AV105" i="163"/>
  <c r="AW105" i="163" s="1"/>
  <c r="BT105" i="160"/>
  <c r="CH105" i="160" s="1"/>
  <c r="BR105" i="160"/>
  <c r="CF105" i="160" s="1"/>
  <c r="BQ105" i="160"/>
  <c r="CE105" i="160" s="1"/>
  <c r="O105" i="159"/>
  <c r="AS105" i="163"/>
  <c r="AQ105" i="163"/>
  <c r="AR105" i="163" s="1"/>
  <c r="AM105" i="160"/>
  <c r="AD105" i="159"/>
  <c r="BJ105" i="159"/>
  <c r="I77" i="79"/>
  <c r="AK105" i="159"/>
  <c r="T105" i="159"/>
  <c r="BA105" i="162"/>
  <c r="BB105" i="162" s="1"/>
  <c r="BK105" i="162"/>
  <c r="BL105" i="162" s="1"/>
  <c r="U105" i="162"/>
  <c r="V105" i="162" s="1"/>
  <c r="S105" i="162"/>
  <c r="W105" i="162" s="1"/>
  <c r="CA105" i="162"/>
  <c r="Y105" i="159"/>
  <c r="H105" i="162"/>
  <c r="I105" i="162" s="1"/>
  <c r="F105" i="162"/>
  <c r="BY105" i="162"/>
  <c r="BZ105" i="163"/>
  <c r="AN105" i="163"/>
  <c r="AO105" i="163" s="1"/>
  <c r="AL105" i="163"/>
  <c r="AS105" i="162"/>
  <c r="AQ105" i="162"/>
  <c r="AR105" i="162" s="1"/>
  <c r="BF105" i="163"/>
  <c r="BG105" i="163" s="1"/>
  <c r="CB105" i="163"/>
  <c r="BH105" i="163"/>
  <c r="BI105" i="163" s="1"/>
  <c r="BM105" i="163" s="1"/>
  <c r="BU105" i="160"/>
  <c r="CI105" i="160" s="1"/>
  <c r="AP105" i="159"/>
  <c r="BF105" i="162"/>
  <c r="BG105" i="162" s="1"/>
  <c r="CB105" i="162"/>
  <c r="BP105" i="162" s="1"/>
  <c r="CD105" i="162" s="1"/>
  <c r="BH105" i="162"/>
  <c r="BI105" i="162" s="1"/>
  <c r="BM105" i="162" s="1"/>
  <c r="E105" i="159"/>
  <c r="BQ88" i="158"/>
  <c r="CE88" i="158" s="1"/>
  <c r="BX88" i="158"/>
  <c r="P88" i="158"/>
  <c r="Q88" i="158" s="1"/>
  <c r="R88" i="158"/>
  <c r="S88" i="158" s="1"/>
  <c r="W88" i="158" s="1"/>
  <c r="H88" i="158"/>
  <c r="I88" i="158" s="1"/>
  <c r="M88" i="158" s="1"/>
  <c r="BY88" i="158"/>
  <c r="F88" i="158"/>
  <c r="K88" i="158"/>
  <c r="L88" i="158" s="1"/>
  <c r="U88" i="158"/>
  <c r="V88" i="158" s="1"/>
  <c r="BW88" i="158"/>
  <c r="AB88" i="158"/>
  <c r="AC88" i="158" s="1"/>
  <c r="AG88" i="158" s="1"/>
  <c r="Z88" i="158"/>
  <c r="AA88" i="158" s="1"/>
  <c r="BS105" i="163" l="1"/>
  <c r="CG105" i="163" s="1"/>
  <c r="CU105" i="160"/>
  <c r="AX105" i="159"/>
  <c r="CX105" i="160"/>
  <c r="CO105" i="160"/>
  <c r="CW105" i="160"/>
  <c r="CM105" i="160"/>
  <c r="CZ105" i="160"/>
  <c r="CN105" i="160"/>
  <c r="CT105" i="160"/>
  <c r="CV105" i="160"/>
  <c r="CS105" i="160"/>
  <c r="CL105" i="160"/>
  <c r="CY105" i="160"/>
  <c r="CP105" i="160"/>
  <c r="CK105" i="160"/>
  <c r="CR105" i="160"/>
  <c r="CQ105" i="160"/>
  <c r="BU105" i="163"/>
  <c r="CI105" i="163" s="1"/>
  <c r="BT105" i="163"/>
  <c r="CH105" i="163" s="1"/>
  <c r="O106" i="160"/>
  <c r="P106" i="160" s="1"/>
  <c r="Q106" i="160" s="1"/>
  <c r="M105" i="159"/>
  <c r="BJ106" i="160"/>
  <c r="BK106" i="160" s="1"/>
  <c r="BL106" i="160" s="1"/>
  <c r="AK106" i="160"/>
  <c r="AN106" i="160" s="1"/>
  <c r="AP106" i="160"/>
  <c r="AS106" i="160" s="1"/>
  <c r="AD106" i="160"/>
  <c r="AE106" i="160" s="1"/>
  <c r="AF106" i="160" s="1"/>
  <c r="AZ106" i="160"/>
  <c r="BA106" i="160" s="1"/>
  <c r="BB106" i="160" s="1"/>
  <c r="AM105" i="163"/>
  <c r="AM105" i="162"/>
  <c r="W105" i="159"/>
  <c r="U105" i="159"/>
  <c r="V105" i="159" s="1"/>
  <c r="P105" i="159"/>
  <c r="Q105" i="159" s="1"/>
  <c r="BX105" i="159"/>
  <c r="R105" i="159"/>
  <c r="S105" i="159" s="1"/>
  <c r="BE106" i="160"/>
  <c r="BP105" i="163"/>
  <c r="CD105" i="163" s="1"/>
  <c r="BR105" i="163"/>
  <c r="CF105" i="163" s="1"/>
  <c r="BQ105" i="163"/>
  <c r="CE105" i="163" s="1"/>
  <c r="AU106" i="160"/>
  <c r="BR105" i="162"/>
  <c r="CF105" i="162" s="1"/>
  <c r="BQ105" i="162"/>
  <c r="CE105" i="162" s="1"/>
  <c r="Y106" i="160"/>
  <c r="BA105" i="159"/>
  <c r="BB105" i="159" s="1"/>
  <c r="BC105" i="159"/>
  <c r="CB105" i="159"/>
  <c r="BF105" i="159"/>
  <c r="BG105" i="159" s="1"/>
  <c r="BH105" i="159"/>
  <c r="BI105" i="159" s="1"/>
  <c r="BM105" i="159" s="1"/>
  <c r="AS105" i="159"/>
  <c r="AQ105" i="159"/>
  <c r="AR105" i="159" s="1"/>
  <c r="BS105" i="162"/>
  <c r="CG105" i="162" s="1"/>
  <c r="BT105" i="162"/>
  <c r="CH105" i="162" s="1"/>
  <c r="BZ105" i="159"/>
  <c r="AL105" i="159"/>
  <c r="AN105" i="159"/>
  <c r="AO105" i="159" s="1"/>
  <c r="T106" i="160"/>
  <c r="J106" i="160"/>
  <c r="E106" i="160"/>
  <c r="G105" i="162"/>
  <c r="F105" i="159"/>
  <c r="BY105" i="159"/>
  <c r="H105" i="159"/>
  <c r="I105" i="159" s="1"/>
  <c r="BK105" i="159"/>
  <c r="BL105" i="159" s="1"/>
  <c r="CA105" i="159"/>
  <c r="Z105" i="159"/>
  <c r="AA105" i="159" s="1"/>
  <c r="AB105" i="159"/>
  <c r="AC105" i="159" s="1"/>
  <c r="AG105" i="159" s="1"/>
  <c r="BW105" i="159"/>
  <c r="AE105" i="159"/>
  <c r="AF105" i="159" s="1"/>
  <c r="AY105" i="159"/>
  <c r="BU88" i="158"/>
  <c r="CI88" i="158" s="1"/>
  <c r="BS88" i="158"/>
  <c r="CG88" i="158" s="1"/>
  <c r="BT88" i="158"/>
  <c r="CH88" i="158" s="1"/>
  <c r="G88" i="158"/>
  <c r="BJ89" i="158" s="1"/>
  <c r="BX106" i="160" l="1"/>
  <c r="R106" i="160"/>
  <c r="CW88" i="158"/>
  <c r="Z77" i="79" s="1"/>
  <c r="CO105" i="162"/>
  <c r="T106" i="163"/>
  <c r="CX88" i="158"/>
  <c r="AA77" i="79" s="1"/>
  <c r="CY88" i="158"/>
  <c r="AB77" i="79" s="1"/>
  <c r="CQ105" i="162"/>
  <c r="CV105" i="162"/>
  <c r="CP88" i="158"/>
  <c r="CR88" i="158"/>
  <c r="CZ88" i="158"/>
  <c r="AC77" i="79" s="1"/>
  <c r="CQ88" i="158"/>
  <c r="CP105" i="162"/>
  <c r="CR105" i="162"/>
  <c r="CO88" i="158"/>
  <c r="CY105" i="162"/>
  <c r="CZ105" i="162"/>
  <c r="CP105" i="163"/>
  <c r="CO105" i="163"/>
  <c r="CQ105" i="163"/>
  <c r="CV105" i="163"/>
  <c r="CR105" i="163"/>
  <c r="CL105" i="163"/>
  <c r="CN105" i="163"/>
  <c r="CM105" i="163"/>
  <c r="CK105" i="163"/>
  <c r="CU105" i="163"/>
  <c r="CZ105" i="163"/>
  <c r="CS105" i="163"/>
  <c r="CT105" i="163"/>
  <c r="CW105" i="163"/>
  <c r="CX105" i="163"/>
  <c r="CY105" i="163"/>
  <c r="CX105" i="162"/>
  <c r="CL105" i="162"/>
  <c r="CV88" i="158"/>
  <c r="Y77" i="79" s="1"/>
  <c r="CS88" i="158"/>
  <c r="V77" i="79" s="1"/>
  <c r="CW105" i="162"/>
  <c r="CM105" i="162"/>
  <c r="CU88" i="158"/>
  <c r="X77" i="79" s="1"/>
  <c r="CT88" i="158"/>
  <c r="W77" i="79" s="1"/>
  <c r="O106" i="163"/>
  <c r="BX106" i="163" s="1"/>
  <c r="CL88" i="158"/>
  <c r="O77" i="79" s="1"/>
  <c r="CN88" i="158"/>
  <c r="Q77" i="79" s="1"/>
  <c r="CS105" i="162"/>
  <c r="CK105" i="162"/>
  <c r="CM88" i="158"/>
  <c r="P77" i="79" s="1"/>
  <c r="CK88" i="158"/>
  <c r="N77" i="79" s="1"/>
  <c r="E106" i="163"/>
  <c r="F106" i="163" s="1"/>
  <c r="G106" i="163" s="1"/>
  <c r="CT105" i="162"/>
  <c r="CN105" i="162"/>
  <c r="J106" i="163"/>
  <c r="K106" i="163" s="1"/>
  <c r="L106" i="163" s="1"/>
  <c r="CU105" i="162"/>
  <c r="AO106" i="160"/>
  <c r="AZ106" i="162"/>
  <c r="BA106" i="162" s="1"/>
  <c r="BB106" i="162" s="1"/>
  <c r="Y106" i="163"/>
  <c r="AB106" i="163" s="1"/>
  <c r="AD106" i="163"/>
  <c r="BZ106" i="160"/>
  <c r="AL106" i="160"/>
  <c r="AM106" i="160" s="1"/>
  <c r="AQ106" i="160"/>
  <c r="AR106" i="160" s="1"/>
  <c r="S106" i="160"/>
  <c r="W106" i="160" s="1"/>
  <c r="BJ106" i="162"/>
  <c r="BK106" i="162" s="1"/>
  <c r="BL106" i="162" s="1"/>
  <c r="AB106" i="160"/>
  <c r="AC106" i="160" s="1"/>
  <c r="AG106" i="160" s="1"/>
  <c r="BW106" i="160"/>
  <c r="BU106" i="160" s="1"/>
  <c r="CI106" i="160" s="1"/>
  <c r="Z106" i="160"/>
  <c r="AA106" i="160" s="1"/>
  <c r="Y106" i="162"/>
  <c r="T106" i="162"/>
  <c r="E106" i="162"/>
  <c r="AM105" i="159"/>
  <c r="AK106" i="163"/>
  <c r="BE106" i="163"/>
  <c r="AU106" i="163"/>
  <c r="AP106" i="163"/>
  <c r="BJ106" i="163"/>
  <c r="AZ106" i="163"/>
  <c r="W106" i="163"/>
  <c r="U106" i="163"/>
  <c r="V106" i="163" s="1"/>
  <c r="P106" i="163"/>
  <c r="Q106" i="163" s="1"/>
  <c r="R106" i="163"/>
  <c r="S106" i="163" s="1"/>
  <c r="BQ105" i="159"/>
  <c r="CE105" i="159" s="1"/>
  <c r="BR105" i="159"/>
  <c r="CF105" i="159" s="1"/>
  <c r="BP105" i="159"/>
  <c r="CD105" i="159" s="1"/>
  <c r="Z106" i="163"/>
  <c r="AA106" i="163" s="1"/>
  <c r="BY106" i="160"/>
  <c r="F106" i="160"/>
  <c r="H106" i="160"/>
  <c r="I106" i="160" s="1"/>
  <c r="AP106" i="162"/>
  <c r="BH106" i="160"/>
  <c r="BI106" i="160" s="1"/>
  <c r="BM106" i="160" s="1"/>
  <c r="BF106" i="160"/>
  <c r="BG106" i="160" s="1"/>
  <c r="CB106" i="160"/>
  <c r="BP106" i="160" s="1"/>
  <c r="CD106" i="160" s="1"/>
  <c r="AD106" i="162"/>
  <c r="BT105" i="159"/>
  <c r="CH105" i="159" s="1"/>
  <c r="BU105" i="159"/>
  <c r="CI105" i="159" s="1"/>
  <c r="BS105" i="159"/>
  <c r="CG105" i="159" s="1"/>
  <c r="G105" i="159"/>
  <c r="K106" i="160"/>
  <c r="L106" i="160" s="1"/>
  <c r="M106" i="160"/>
  <c r="O106" i="162"/>
  <c r="M106" i="163"/>
  <c r="AK106" i="162"/>
  <c r="AU106" i="162"/>
  <c r="U106" i="160"/>
  <c r="V106" i="160" s="1"/>
  <c r="AX106" i="160"/>
  <c r="AY106" i="160" s="1"/>
  <c r="BC106" i="160" s="1"/>
  <c r="CA106" i="160"/>
  <c r="AV106" i="160"/>
  <c r="AW106" i="160" s="1"/>
  <c r="J106" i="162"/>
  <c r="BE106" i="162"/>
  <c r="AP89" i="158"/>
  <c r="AQ89" i="158" s="1"/>
  <c r="AR89" i="158" s="1"/>
  <c r="AU89" i="158"/>
  <c r="AZ89" i="158"/>
  <c r="BA89" i="158" s="1"/>
  <c r="BB89" i="158" s="1"/>
  <c r="AK89" i="158"/>
  <c r="AL89" i="158" s="1"/>
  <c r="AM89" i="158" s="1"/>
  <c r="BK89" i="158"/>
  <c r="BL89" i="158" s="1"/>
  <c r="BE89" i="158"/>
  <c r="Y89" i="158"/>
  <c r="BW106" i="163" l="1"/>
  <c r="BR106" i="160"/>
  <c r="CF106" i="160" s="1"/>
  <c r="AC106" i="163"/>
  <c r="AG106" i="163" s="1"/>
  <c r="H106" i="163"/>
  <c r="I106" i="163" s="1"/>
  <c r="AE106" i="163"/>
  <c r="AF106" i="163" s="1"/>
  <c r="BY106" i="163"/>
  <c r="BT106" i="163" s="1"/>
  <c r="CH106" i="163" s="1"/>
  <c r="CM105" i="159"/>
  <c r="CN105" i="159"/>
  <c r="CR105" i="159"/>
  <c r="CS105" i="159"/>
  <c r="CO105" i="159"/>
  <c r="CP105" i="159"/>
  <c r="CQ105" i="159"/>
  <c r="CK105" i="159"/>
  <c r="CL105" i="159"/>
  <c r="CW105" i="159"/>
  <c r="CV105" i="159"/>
  <c r="CT105" i="159"/>
  <c r="CU105" i="159"/>
  <c r="CX105" i="159"/>
  <c r="CY105" i="159"/>
  <c r="CZ105" i="159"/>
  <c r="AP106" i="159"/>
  <c r="AS106" i="159" s="1"/>
  <c r="AD106" i="159"/>
  <c r="AE106" i="159" s="1"/>
  <c r="AF106" i="159" s="1"/>
  <c r="G78" i="79"/>
  <c r="E106" i="159"/>
  <c r="J106" i="159"/>
  <c r="M106" i="159" s="1"/>
  <c r="O106" i="159"/>
  <c r="P106" i="159" s="1"/>
  <c r="Q106" i="159" s="1"/>
  <c r="BQ106" i="160"/>
  <c r="CE106" i="160" s="1"/>
  <c r="AU106" i="159"/>
  <c r="AV106" i="159" s="1"/>
  <c r="AW106" i="159" s="1"/>
  <c r="AX106" i="162"/>
  <c r="AY106" i="162" s="1"/>
  <c r="BC106" i="162" s="1"/>
  <c r="AV106" i="162"/>
  <c r="AW106" i="162" s="1"/>
  <c r="CA106" i="162"/>
  <c r="BS106" i="160"/>
  <c r="CG106" i="160" s="1"/>
  <c r="BT106" i="160"/>
  <c r="CH106" i="160" s="1"/>
  <c r="CA106" i="163"/>
  <c r="AX106" i="163"/>
  <c r="AY106" i="163" s="1"/>
  <c r="AV106" i="163"/>
  <c r="AW106" i="163" s="1"/>
  <c r="AL106" i="162"/>
  <c r="AM106" i="162" s="1"/>
  <c r="AN106" i="162"/>
  <c r="AO106" i="162" s="1"/>
  <c r="BZ106" i="162"/>
  <c r="T106" i="159"/>
  <c r="CB106" i="163"/>
  <c r="BH106" i="163"/>
  <c r="BI106" i="163" s="1"/>
  <c r="BM106" i="163" s="1"/>
  <c r="BF106" i="163"/>
  <c r="BG106" i="163" s="1"/>
  <c r="BZ106" i="163"/>
  <c r="AL106" i="163"/>
  <c r="AN106" i="163"/>
  <c r="AO106" i="163" s="1"/>
  <c r="AQ106" i="162"/>
  <c r="AR106" i="162" s="1"/>
  <c r="AS106" i="162"/>
  <c r="Y106" i="159"/>
  <c r="BF106" i="162"/>
  <c r="BG106" i="162" s="1"/>
  <c r="CB106" i="162"/>
  <c r="BP106" i="162" s="1"/>
  <c r="CD106" i="162" s="1"/>
  <c r="BH106" i="162"/>
  <c r="BI106" i="162" s="1"/>
  <c r="BM106" i="162" s="1"/>
  <c r="BC106" i="163"/>
  <c r="BA106" i="163"/>
  <c r="BB106" i="163" s="1"/>
  <c r="F106" i="162"/>
  <c r="BY106" i="162"/>
  <c r="H106" i="162"/>
  <c r="I106" i="162" s="1"/>
  <c r="K106" i="162"/>
  <c r="L106" i="162" s="1"/>
  <c r="M106" i="162"/>
  <c r="CA89" i="158"/>
  <c r="BK106" i="163"/>
  <c r="BL106" i="163" s="1"/>
  <c r="U106" i="162"/>
  <c r="V106" i="162" s="1"/>
  <c r="BX106" i="162"/>
  <c r="P106" i="162"/>
  <c r="Q106" i="162" s="1"/>
  <c r="R106" i="162"/>
  <c r="S106" i="162" s="1"/>
  <c r="W106" i="162" s="1"/>
  <c r="AK106" i="159"/>
  <c r="AZ106" i="159"/>
  <c r="BE106" i="159"/>
  <c r="BJ106" i="159"/>
  <c r="AE106" i="162"/>
  <c r="AF106" i="162" s="1"/>
  <c r="AC106" i="162"/>
  <c r="AG106" i="162"/>
  <c r="G106" i="160"/>
  <c r="AQ106" i="163"/>
  <c r="AR106" i="163" s="1"/>
  <c r="AS106" i="163"/>
  <c r="Z106" i="162"/>
  <c r="AA106" i="162" s="1"/>
  <c r="AB106" i="162"/>
  <c r="BW106" i="162"/>
  <c r="BU106" i="162" s="1"/>
  <c r="CI106" i="162" s="1"/>
  <c r="AV89" i="158"/>
  <c r="AW89" i="158" s="1"/>
  <c r="AX89" i="158"/>
  <c r="AY89" i="158" s="1"/>
  <c r="BC89" i="158" s="1"/>
  <c r="BZ89" i="158"/>
  <c r="AN89" i="158"/>
  <c r="AO89" i="158" s="1"/>
  <c r="AS89" i="158" s="1"/>
  <c r="AD89" i="158"/>
  <c r="E89" i="158"/>
  <c r="E78" i="79" s="1"/>
  <c r="BH89" i="158"/>
  <c r="BI89" i="158" s="1"/>
  <c r="BM89" i="158" s="1"/>
  <c r="CB89" i="158"/>
  <c r="BF89" i="158"/>
  <c r="BG89" i="158" s="1"/>
  <c r="O89" i="158"/>
  <c r="H78" i="79" s="1"/>
  <c r="J89" i="158"/>
  <c r="AB89" i="158"/>
  <c r="Z89" i="158"/>
  <c r="AA89" i="158" s="1"/>
  <c r="T89" i="158"/>
  <c r="BU106" i="163" l="1"/>
  <c r="CI106" i="163" s="1"/>
  <c r="BS106" i="163"/>
  <c r="CG106" i="163" s="1"/>
  <c r="AQ106" i="159"/>
  <c r="AR106" i="159" s="1"/>
  <c r="CU106" i="160"/>
  <c r="CX106" i="160"/>
  <c r="CL106" i="160"/>
  <c r="CW106" i="160"/>
  <c r="CV106" i="160"/>
  <c r="CY106" i="160"/>
  <c r="CM106" i="160"/>
  <c r="CS106" i="160"/>
  <c r="CK106" i="160"/>
  <c r="CZ106" i="160"/>
  <c r="CP106" i="160"/>
  <c r="CT106" i="160"/>
  <c r="CO106" i="160"/>
  <c r="CN106" i="160"/>
  <c r="CR106" i="160"/>
  <c r="CQ106" i="160"/>
  <c r="AK107" i="160"/>
  <c r="AN107" i="160" s="1"/>
  <c r="BY106" i="159"/>
  <c r="F106" i="159"/>
  <c r="G106" i="159" s="1"/>
  <c r="AZ107" i="160"/>
  <c r="H106" i="159"/>
  <c r="I106" i="159" s="1"/>
  <c r="K106" i="159"/>
  <c r="L106" i="159" s="1"/>
  <c r="BJ107" i="160"/>
  <c r="BK107" i="160" s="1"/>
  <c r="BL107" i="160" s="1"/>
  <c r="R106" i="159"/>
  <c r="S106" i="159" s="1"/>
  <c r="AX106" i="159"/>
  <c r="BX106" i="159"/>
  <c r="AP107" i="160"/>
  <c r="AS107" i="160" s="1"/>
  <c r="BR106" i="162"/>
  <c r="CF106" i="162" s="1"/>
  <c r="BQ106" i="162"/>
  <c r="CE106" i="162" s="1"/>
  <c r="AD107" i="160"/>
  <c r="O107" i="160"/>
  <c r="T107" i="160"/>
  <c r="E107" i="160"/>
  <c r="J107" i="160"/>
  <c r="Y107" i="160"/>
  <c r="BA107" i="160"/>
  <c r="BB107" i="160" s="1"/>
  <c r="BK106" i="159"/>
  <c r="BL106" i="159" s="1"/>
  <c r="AM106" i="163"/>
  <c r="O107" i="163" s="1"/>
  <c r="BF106" i="159"/>
  <c r="BG106" i="159" s="1"/>
  <c r="CB106" i="159"/>
  <c r="BH106" i="159"/>
  <c r="BI106" i="159" s="1"/>
  <c r="BM106" i="159" s="1"/>
  <c r="BR106" i="163"/>
  <c r="CF106" i="163" s="1"/>
  <c r="BP106" i="163"/>
  <c r="CD106" i="163" s="1"/>
  <c r="BQ106" i="163"/>
  <c r="CE106" i="163" s="1"/>
  <c r="AL107" i="160"/>
  <c r="AM107" i="160" s="1"/>
  <c r="BC106" i="159"/>
  <c r="AY106" i="159"/>
  <c r="BA106" i="159"/>
  <c r="BB106" i="159" s="1"/>
  <c r="BS106" i="162"/>
  <c r="CG106" i="162" s="1"/>
  <c r="BT106" i="162"/>
  <c r="CH106" i="162" s="1"/>
  <c r="U106" i="159"/>
  <c r="V106" i="159" s="1"/>
  <c r="W106" i="159"/>
  <c r="CA106" i="159"/>
  <c r="AN106" i="159"/>
  <c r="AO106" i="159" s="1"/>
  <c r="BZ106" i="159"/>
  <c r="AL106" i="159"/>
  <c r="G106" i="162"/>
  <c r="AB106" i="159"/>
  <c r="AC106" i="159" s="1"/>
  <c r="AG106" i="159" s="1"/>
  <c r="BW106" i="159"/>
  <c r="Z106" i="159"/>
  <c r="AA106" i="159" s="1"/>
  <c r="BW89" i="158"/>
  <c r="K78" i="79"/>
  <c r="AU107" i="160"/>
  <c r="BE107" i="160"/>
  <c r="I78" i="79"/>
  <c r="BR89" i="158"/>
  <c r="CF89" i="158" s="1"/>
  <c r="BP89" i="158"/>
  <c r="CD89" i="158" s="1"/>
  <c r="BQ89" i="158"/>
  <c r="CE89" i="158" s="1"/>
  <c r="H89" i="158"/>
  <c r="I89" i="158" s="1"/>
  <c r="M89" i="158" s="1"/>
  <c r="F89" i="158"/>
  <c r="BY89" i="158"/>
  <c r="U89" i="158"/>
  <c r="V89" i="158" s="1"/>
  <c r="AC89" i="158"/>
  <c r="AG89" i="158" s="1"/>
  <c r="AE89" i="158"/>
  <c r="AF89" i="158" s="1"/>
  <c r="K89" i="158"/>
  <c r="L89" i="158" s="1"/>
  <c r="P89" i="158"/>
  <c r="Q89" i="158" s="1"/>
  <c r="BX89" i="158"/>
  <c r="R89" i="158"/>
  <c r="S89" i="158" s="1"/>
  <c r="W89" i="158" s="1"/>
  <c r="BT106" i="159" l="1"/>
  <c r="CH106" i="159" s="1"/>
  <c r="CM106" i="162"/>
  <c r="CP106" i="162"/>
  <c r="CK106" i="162"/>
  <c r="CN106" i="162"/>
  <c r="CV106" i="162"/>
  <c r="CW106" i="162"/>
  <c r="CZ106" i="162"/>
  <c r="CY106" i="162"/>
  <c r="CL106" i="162"/>
  <c r="CX106" i="162"/>
  <c r="CQ106" i="162"/>
  <c r="CT106" i="162"/>
  <c r="CO106" i="162"/>
  <c r="CM106" i="163"/>
  <c r="CO106" i="163"/>
  <c r="CL106" i="163"/>
  <c r="CK106" i="163"/>
  <c r="CN106" i="163"/>
  <c r="CV106" i="163"/>
  <c r="CQ106" i="163"/>
  <c r="CR106" i="163"/>
  <c r="CP106" i="163"/>
  <c r="CZ106" i="163"/>
  <c r="CT106" i="163"/>
  <c r="CU106" i="163"/>
  <c r="CS106" i="163"/>
  <c r="CX106" i="163"/>
  <c r="CY106" i="163"/>
  <c r="CW106" i="163"/>
  <c r="CU106" i="162"/>
  <c r="CR106" i="162"/>
  <c r="AZ107" i="162"/>
  <c r="BA107" i="162" s="1"/>
  <c r="BB107" i="162" s="1"/>
  <c r="CS106" i="162"/>
  <c r="L78" i="79"/>
  <c r="BS106" i="159"/>
  <c r="CG106" i="159" s="1"/>
  <c r="BU106" i="159"/>
  <c r="CI106" i="159" s="1"/>
  <c r="AQ107" i="160"/>
  <c r="AR107" i="160" s="1"/>
  <c r="AO107" i="160"/>
  <c r="BZ107" i="160"/>
  <c r="BJ107" i="162"/>
  <c r="BK107" i="162" s="1"/>
  <c r="BL107" i="162" s="1"/>
  <c r="AK107" i="162"/>
  <c r="AL107" i="162" s="1"/>
  <c r="AM107" i="162" s="1"/>
  <c r="J107" i="162"/>
  <c r="M107" i="162" s="1"/>
  <c r="O107" i="162"/>
  <c r="P107" i="162" s="1"/>
  <c r="Q107" i="162" s="1"/>
  <c r="BP106" i="159"/>
  <c r="CD106" i="159" s="1"/>
  <c r="BQ106" i="159"/>
  <c r="CE106" i="159" s="1"/>
  <c r="BR106" i="159"/>
  <c r="CF106" i="159" s="1"/>
  <c r="P107" i="163"/>
  <c r="Q107" i="163" s="1"/>
  <c r="R107" i="163"/>
  <c r="BW107" i="160"/>
  <c r="Z107" i="160"/>
  <c r="AA107" i="160" s="1"/>
  <c r="AB107" i="160"/>
  <c r="AC107" i="160" s="1"/>
  <c r="AG107" i="160" s="1"/>
  <c r="M107" i="160"/>
  <c r="K107" i="160"/>
  <c r="L107" i="160" s="1"/>
  <c r="AZ107" i="163"/>
  <c r="AP107" i="163"/>
  <c r="BJ107" i="163"/>
  <c r="AU107" i="163"/>
  <c r="BE107" i="163"/>
  <c r="AK107" i="163"/>
  <c r="BY107" i="160"/>
  <c r="F107" i="160"/>
  <c r="H107" i="160"/>
  <c r="I107" i="160" s="1"/>
  <c r="E107" i="163"/>
  <c r="U107" i="160"/>
  <c r="V107" i="160" s="1"/>
  <c r="CB107" i="160"/>
  <c r="BP107" i="160" s="1"/>
  <c r="CD107" i="160" s="1"/>
  <c r="BH107" i="160"/>
  <c r="BI107" i="160" s="1"/>
  <c r="BM107" i="160" s="1"/>
  <c r="BF107" i="160"/>
  <c r="BG107" i="160" s="1"/>
  <c r="T107" i="163"/>
  <c r="BX107" i="160"/>
  <c r="R107" i="160"/>
  <c r="S107" i="160" s="1"/>
  <c r="W107" i="160" s="1"/>
  <c r="P107" i="160"/>
  <c r="Q107" i="160" s="1"/>
  <c r="CA107" i="160"/>
  <c r="AV107" i="160"/>
  <c r="AW107" i="160" s="1"/>
  <c r="AX107" i="160"/>
  <c r="AY107" i="160" s="1"/>
  <c r="BC107" i="160" s="1"/>
  <c r="AP107" i="162"/>
  <c r="BE107" i="162"/>
  <c r="J107" i="163"/>
  <c r="AE107" i="160"/>
  <c r="AF107" i="160" s="1"/>
  <c r="AU107" i="162"/>
  <c r="Y107" i="163"/>
  <c r="AM106" i="159"/>
  <c r="Y107" i="162"/>
  <c r="AD107" i="162"/>
  <c r="E107" i="162"/>
  <c r="T107" i="162"/>
  <c r="AD107" i="163"/>
  <c r="BU89" i="158"/>
  <c r="CI89" i="158" s="1"/>
  <c r="BS89" i="158"/>
  <c r="CG89" i="158" s="1"/>
  <c r="BT89" i="158"/>
  <c r="CH89" i="158" s="1"/>
  <c r="G89" i="158"/>
  <c r="AZ90" i="158" s="1"/>
  <c r="BX107" i="162" l="1"/>
  <c r="AD107" i="159"/>
  <c r="CX89" i="158"/>
  <c r="AA78" i="79" s="1"/>
  <c r="BQ107" i="160"/>
  <c r="CE107" i="160" s="1"/>
  <c r="CM89" i="158"/>
  <c r="P78" i="79" s="1"/>
  <c r="CT89" i="158"/>
  <c r="W78" i="79" s="1"/>
  <c r="CL89" i="158"/>
  <c r="O78" i="79" s="1"/>
  <c r="CQ89" i="158"/>
  <c r="CK89" i="158"/>
  <c r="N78" i="79" s="1"/>
  <c r="CW89" i="158"/>
  <c r="Z78" i="79" s="1"/>
  <c r="CP106" i="159"/>
  <c r="CK106" i="159"/>
  <c r="CO106" i="159"/>
  <c r="CR106" i="159"/>
  <c r="CM106" i="159"/>
  <c r="CN106" i="159"/>
  <c r="CS106" i="159"/>
  <c r="CL106" i="159"/>
  <c r="CQ106" i="159"/>
  <c r="CW106" i="159"/>
  <c r="CU106" i="159"/>
  <c r="CV106" i="159"/>
  <c r="CT106" i="159"/>
  <c r="CZ106" i="159"/>
  <c r="CY106" i="159"/>
  <c r="CX106" i="159"/>
  <c r="CR89" i="158"/>
  <c r="CU89" i="158"/>
  <c r="X78" i="79" s="1"/>
  <c r="CP89" i="158"/>
  <c r="CY89" i="158"/>
  <c r="AB78" i="79" s="1"/>
  <c r="CO89" i="158"/>
  <c r="CS89" i="158"/>
  <c r="V78" i="79" s="1"/>
  <c r="CV89" i="158"/>
  <c r="Y78" i="79" s="1"/>
  <c r="CZ89" i="158"/>
  <c r="AC78" i="79" s="1"/>
  <c r="CN89" i="158"/>
  <c r="Q78" i="79" s="1"/>
  <c r="K107" i="162"/>
  <c r="L107" i="162" s="1"/>
  <c r="AN107" i="162"/>
  <c r="AO107" i="162" s="1"/>
  <c r="R107" i="162"/>
  <c r="S107" i="162" s="1"/>
  <c r="W107" i="162" s="1"/>
  <c r="J107" i="159"/>
  <c r="K107" i="159" s="1"/>
  <c r="L107" i="159" s="1"/>
  <c r="O107" i="159"/>
  <c r="R107" i="159" s="1"/>
  <c r="E107" i="159"/>
  <c r="H107" i="159" s="1"/>
  <c r="BR107" i="160"/>
  <c r="CF107" i="160" s="1"/>
  <c r="BH107" i="162"/>
  <c r="BI107" i="162" s="1"/>
  <c r="BM107" i="162" s="1"/>
  <c r="BF107" i="162"/>
  <c r="BG107" i="162" s="1"/>
  <c r="CB107" i="162"/>
  <c r="BP107" i="162" s="1"/>
  <c r="CD107" i="162" s="1"/>
  <c r="AL107" i="163"/>
  <c r="BZ107" i="163"/>
  <c r="AN107" i="163"/>
  <c r="AO107" i="163" s="1"/>
  <c r="BU107" i="160"/>
  <c r="CI107" i="160" s="1"/>
  <c r="AX107" i="162"/>
  <c r="AY107" i="162" s="1"/>
  <c r="BC107" i="162" s="1"/>
  <c r="AV107" i="162"/>
  <c r="AW107" i="162" s="1"/>
  <c r="CA107" i="162"/>
  <c r="BY107" i="163"/>
  <c r="H107" i="163"/>
  <c r="I107" i="163" s="1"/>
  <c r="F107" i="163"/>
  <c r="G107" i="163" s="1"/>
  <c r="BF107" i="163"/>
  <c r="BG107" i="163" s="1"/>
  <c r="CB107" i="163"/>
  <c r="BH107" i="163"/>
  <c r="BI107" i="163" s="1"/>
  <c r="BM107" i="163" s="1"/>
  <c r="AG107" i="162"/>
  <c r="AE107" i="162"/>
  <c r="AF107" i="162" s="1"/>
  <c r="BX107" i="163"/>
  <c r="W107" i="163"/>
  <c r="S107" i="163"/>
  <c r="U107" i="163"/>
  <c r="V107" i="163" s="1"/>
  <c r="CA107" i="163"/>
  <c r="AX107" i="163"/>
  <c r="AY107" i="163" s="1"/>
  <c r="AV107" i="163"/>
  <c r="AW107" i="163" s="1"/>
  <c r="BK107" i="163"/>
  <c r="BL107" i="163" s="1"/>
  <c r="H107" i="162"/>
  <c r="I107" i="162" s="1"/>
  <c r="F107" i="162"/>
  <c r="BY107" i="162"/>
  <c r="AQ107" i="163"/>
  <c r="AR107" i="163" s="1"/>
  <c r="AS107" i="163"/>
  <c r="AP107" i="159"/>
  <c r="AU107" i="159"/>
  <c r="AK107" i="159"/>
  <c r="BE107" i="159"/>
  <c r="BJ107" i="159"/>
  <c r="AZ107" i="159"/>
  <c r="AQ107" i="162"/>
  <c r="AS107" i="162"/>
  <c r="AE107" i="159"/>
  <c r="AF107" i="159" s="1"/>
  <c r="BZ107" i="162"/>
  <c r="BA107" i="163"/>
  <c r="BB107" i="163" s="1"/>
  <c r="BC107" i="163"/>
  <c r="Z107" i="162"/>
  <c r="AA107" i="162" s="1"/>
  <c r="BW107" i="162"/>
  <c r="BU107" i="162" s="1"/>
  <c r="CI107" i="162" s="1"/>
  <c r="AB107" i="162"/>
  <c r="AC107" i="162" s="1"/>
  <c r="AB107" i="163"/>
  <c r="AC107" i="163" s="1"/>
  <c r="AG107" i="163" s="1"/>
  <c r="Z107" i="163"/>
  <c r="AA107" i="163" s="1"/>
  <c r="BW107" i="163"/>
  <c r="G107" i="160"/>
  <c r="AE107" i="163"/>
  <c r="AF107" i="163" s="1"/>
  <c r="U107" i="162"/>
  <c r="V107" i="162" s="1"/>
  <c r="Y107" i="159"/>
  <c r="T107" i="159"/>
  <c r="M107" i="163"/>
  <c r="K107" i="163"/>
  <c r="L107" i="163" s="1"/>
  <c r="BS107" i="160"/>
  <c r="CG107" i="160" s="1"/>
  <c r="BT107" i="160"/>
  <c r="CH107" i="160" s="1"/>
  <c r="AP90" i="158"/>
  <c r="AQ90" i="158" s="1"/>
  <c r="AR90" i="158" s="1"/>
  <c r="BJ90" i="158"/>
  <c r="BK90" i="158" s="1"/>
  <c r="BL90" i="158" s="1"/>
  <c r="O90" i="158"/>
  <c r="H79" i="79" s="1"/>
  <c r="BA90" i="158"/>
  <c r="BB90" i="158" s="1"/>
  <c r="AK90" i="158"/>
  <c r="BE90" i="158"/>
  <c r="AU90" i="158"/>
  <c r="CK107" i="160" l="1"/>
  <c r="BY107" i="159"/>
  <c r="CT107" i="160"/>
  <c r="CM107" i="160"/>
  <c r="I107" i="159"/>
  <c r="CZ107" i="160"/>
  <c r="CQ107" i="160"/>
  <c r="CY107" i="160"/>
  <c r="CN107" i="160"/>
  <c r="CS107" i="160"/>
  <c r="CU107" i="160"/>
  <c r="CR107" i="160"/>
  <c r="CO107" i="160"/>
  <c r="CL107" i="160"/>
  <c r="CV107" i="160"/>
  <c r="CW107" i="160"/>
  <c r="CP107" i="160"/>
  <c r="BX107" i="159"/>
  <c r="CX107" i="160"/>
  <c r="M107" i="159"/>
  <c r="F107" i="159"/>
  <c r="G107" i="159" s="1"/>
  <c r="P107" i="159"/>
  <c r="Q107" i="159" s="1"/>
  <c r="BJ108" i="160"/>
  <c r="BK108" i="160" s="1"/>
  <c r="BL108" i="160" s="1"/>
  <c r="BR107" i="162"/>
  <c r="CF107" i="162" s="1"/>
  <c r="BQ107" i="162"/>
  <c r="CE107" i="162" s="1"/>
  <c r="BF107" i="159"/>
  <c r="BG107" i="159" s="1"/>
  <c r="BH107" i="159"/>
  <c r="BI107" i="159" s="1"/>
  <c r="BM107" i="159" s="1"/>
  <c r="CB107" i="159"/>
  <c r="BE108" i="160"/>
  <c r="AU108" i="160"/>
  <c r="BZ107" i="159"/>
  <c r="AL107" i="159"/>
  <c r="AN107" i="159"/>
  <c r="AO107" i="159" s="1"/>
  <c r="AX107" i="159"/>
  <c r="AY107" i="159" s="1"/>
  <c r="AV107" i="159"/>
  <c r="AW107" i="159" s="1"/>
  <c r="CA107" i="159"/>
  <c r="BS107" i="163"/>
  <c r="CG107" i="163" s="1"/>
  <c r="BT107" i="163"/>
  <c r="CH107" i="163" s="1"/>
  <c r="BU107" i="163"/>
  <c r="BR107" i="163"/>
  <c r="CF107" i="163" s="1"/>
  <c r="BQ107" i="163"/>
  <c r="CE107" i="163" s="1"/>
  <c r="BP107" i="163"/>
  <c r="CD107" i="163" s="1"/>
  <c r="T108" i="160"/>
  <c r="J108" i="160"/>
  <c r="O108" i="160"/>
  <c r="Y108" i="160"/>
  <c r="AD108" i="160"/>
  <c r="E108" i="160"/>
  <c r="AQ107" i="159"/>
  <c r="AR107" i="159" s="1"/>
  <c r="AS107" i="159"/>
  <c r="AM107" i="163"/>
  <c r="BT107" i="162"/>
  <c r="CH107" i="162" s="1"/>
  <c r="BS107" i="162"/>
  <c r="CG107" i="162" s="1"/>
  <c r="AZ108" i="160"/>
  <c r="AR107" i="162"/>
  <c r="G107" i="162"/>
  <c r="S107" i="159"/>
  <c r="W107" i="159"/>
  <c r="U107" i="159"/>
  <c r="V107" i="159" s="1"/>
  <c r="AP108" i="160"/>
  <c r="BC107" i="159"/>
  <c r="BA107" i="159"/>
  <c r="BB107" i="159" s="1"/>
  <c r="BW107" i="159"/>
  <c r="Z107" i="159"/>
  <c r="AA107" i="159" s="1"/>
  <c r="AB107" i="159"/>
  <c r="AC107" i="159" s="1"/>
  <c r="AG107" i="159" s="1"/>
  <c r="AK108" i="160"/>
  <c r="BK107" i="159"/>
  <c r="BL107" i="159" s="1"/>
  <c r="CB90" i="158"/>
  <c r="BF90" i="158"/>
  <c r="BG90" i="158" s="1"/>
  <c r="BH90" i="158"/>
  <c r="BI90" i="158" s="1"/>
  <c r="BM90" i="158" s="1"/>
  <c r="Y90" i="158"/>
  <c r="G79" i="79" s="1"/>
  <c r="T90" i="158"/>
  <c r="CA90" i="158"/>
  <c r="AV90" i="158"/>
  <c r="AW90" i="158" s="1"/>
  <c r="AX90" i="158"/>
  <c r="AY90" i="158" s="1"/>
  <c r="BC90" i="158" s="1"/>
  <c r="AN90" i="158"/>
  <c r="AO90" i="158" s="1"/>
  <c r="AS90" i="158" s="1"/>
  <c r="AL90" i="158"/>
  <c r="AM90" i="158" s="1"/>
  <c r="BZ90" i="158"/>
  <c r="AD90" i="158"/>
  <c r="K79" i="79" s="1"/>
  <c r="R90" i="158"/>
  <c r="P90" i="158"/>
  <c r="Q90" i="158" s="1"/>
  <c r="E90" i="158"/>
  <c r="E79" i="79" s="1"/>
  <c r="J90" i="158"/>
  <c r="BT107" i="159" l="1"/>
  <c r="CH107" i="159" s="1"/>
  <c r="BU107" i="159"/>
  <c r="CI107" i="159" s="1"/>
  <c r="BS107" i="159"/>
  <c r="CG107" i="159" s="1"/>
  <c r="CM107" i="162"/>
  <c r="CU107" i="162"/>
  <c r="CO107" i="162"/>
  <c r="CS107" i="162"/>
  <c r="CZ107" i="162"/>
  <c r="CR107" i="162"/>
  <c r="CP107" i="162"/>
  <c r="CQ107" i="162"/>
  <c r="CK107" i="162"/>
  <c r="CY107" i="162"/>
  <c r="CN107" i="162"/>
  <c r="CX107" i="162"/>
  <c r="CL107" i="162"/>
  <c r="E108" i="163"/>
  <c r="H108" i="163" s="1"/>
  <c r="CI107" i="163"/>
  <c r="CO107" i="163" s="1"/>
  <c r="CW107" i="162"/>
  <c r="CV107" i="162"/>
  <c r="CT107" i="162"/>
  <c r="L79" i="79"/>
  <c r="O108" i="163"/>
  <c r="P108" i="163" s="1"/>
  <c r="Q108" i="163" s="1"/>
  <c r="BE108" i="163"/>
  <c r="CB108" i="163" s="1"/>
  <c r="AP108" i="162"/>
  <c r="AP108" i="163"/>
  <c r="AQ108" i="163" s="1"/>
  <c r="AR108" i="163" s="1"/>
  <c r="I79" i="79"/>
  <c r="BJ108" i="163"/>
  <c r="BK108" i="163" s="1"/>
  <c r="BL108" i="163" s="1"/>
  <c r="AU108" i="163"/>
  <c r="AX108" i="163" s="1"/>
  <c r="AZ108" i="163"/>
  <c r="BC108" i="163" s="1"/>
  <c r="AD108" i="162"/>
  <c r="AG108" i="162" s="1"/>
  <c r="AK108" i="162"/>
  <c r="AL108" i="162" s="1"/>
  <c r="AM108" i="162" s="1"/>
  <c r="AK108" i="163"/>
  <c r="AU108" i="162"/>
  <c r="AX108" i="162" s="1"/>
  <c r="Y108" i="162"/>
  <c r="E108" i="162"/>
  <c r="O108" i="162"/>
  <c r="T108" i="162"/>
  <c r="P108" i="160"/>
  <c r="Q108" i="160" s="1"/>
  <c r="BX108" i="160"/>
  <c r="R108" i="160"/>
  <c r="S108" i="160" s="1"/>
  <c r="M108" i="160"/>
  <c r="K108" i="160"/>
  <c r="L108" i="160" s="1"/>
  <c r="BA108" i="160"/>
  <c r="BB108" i="160" s="1"/>
  <c r="W108" i="160"/>
  <c r="U108" i="160"/>
  <c r="V108" i="160" s="1"/>
  <c r="AM107" i="159"/>
  <c r="BJ108" i="162"/>
  <c r="BQ107" i="159"/>
  <c r="CE107" i="159" s="1"/>
  <c r="BR107" i="159"/>
  <c r="CF107" i="159" s="1"/>
  <c r="BP107" i="159"/>
  <c r="CD107" i="159" s="1"/>
  <c r="AZ108" i="162"/>
  <c r="CA108" i="160"/>
  <c r="AV108" i="160"/>
  <c r="AW108" i="160" s="1"/>
  <c r="AX108" i="160"/>
  <c r="AY108" i="160" s="1"/>
  <c r="BC108" i="160" s="1"/>
  <c r="AS108" i="163"/>
  <c r="BY108" i="160"/>
  <c r="H108" i="160"/>
  <c r="I108" i="160" s="1"/>
  <c r="F108" i="160"/>
  <c r="BH108" i="160"/>
  <c r="BI108" i="160" s="1"/>
  <c r="BM108" i="160" s="1"/>
  <c r="BF108" i="160"/>
  <c r="BG108" i="160" s="1"/>
  <c r="CB108" i="160"/>
  <c r="BP108" i="160" s="1"/>
  <c r="CD108" i="160" s="1"/>
  <c r="AN108" i="160"/>
  <c r="AO108" i="160" s="1"/>
  <c r="AL108" i="160"/>
  <c r="AM108" i="160" s="1"/>
  <c r="BZ108" i="160"/>
  <c r="AS108" i="162"/>
  <c r="AQ108" i="162"/>
  <c r="AR108" i="162" s="1"/>
  <c r="AE108" i="160"/>
  <c r="AF108" i="160" s="1"/>
  <c r="AQ108" i="160"/>
  <c r="AR108" i="160" s="1"/>
  <c r="AS108" i="160"/>
  <c r="J108" i="162"/>
  <c r="T108" i="163"/>
  <c r="AD108" i="163"/>
  <c r="AE108" i="163" s="1"/>
  <c r="AF108" i="163" s="1"/>
  <c r="J108" i="163"/>
  <c r="Y108" i="163"/>
  <c r="BW108" i="160"/>
  <c r="AB108" i="160"/>
  <c r="AC108" i="160" s="1"/>
  <c r="AG108" i="160" s="1"/>
  <c r="Z108" i="160"/>
  <c r="AA108" i="160" s="1"/>
  <c r="BE108" i="162"/>
  <c r="BQ90" i="158"/>
  <c r="CE90" i="158" s="1"/>
  <c r="BR90" i="158"/>
  <c r="CF90" i="158" s="1"/>
  <c r="BP90" i="158"/>
  <c r="CD90" i="158" s="1"/>
  <c r="U90" i="158"/>
  <c r="V90" i="158" s="1"/>
  <c r="AB90" i="158"/>
  <c r="AC90" i="158" s="1"/>
  <c r="AG90" i="158" s="1"/>
  <c r="BW90" i="158"/>
  <c r="Z90" i="158"/>
  <c r="AA90" i="158" s="1"/>
  <c r="AE90" i="158"/>
  <c r="AF90" i="158" s="1"/>
  <c r="BX90" i="158"/>
  <c r="H90" i="158"/>
  <c r="I90" i="158" s="1"/>
  <c r="M90" i="158" s="1"/>
  <c r="BY90" i="158"/>
  <c r="F90" i="158"/>
  <c r="K90" i="158"/>
  <c r="L90" i="158" s="1"/>
  <c r="S90" i="158"/>
  <c r="W90" i="158" s="1"/>
  <c r="E108" i="159" l="1"/>
  <c r="BH108" i="163"/>
  <c r="BI108" i="163" s="1"/>
  <c r="BM108" i="163" s="1"/>
  <c r="BF108" i="163"/>
  <c r="BG108" i="163" s="1"/>
  <c r="BZ108" i="163"/>
  <c r="BY108" i="163"/>
  <c r="F108" i="163"/>
  <c r="G108" i="163" s="1"/>
  <c r="R108" i="163"/>
  <c r="S108" i="163" s="1"/>
  <c r="CS107" i="159"/>
  <c r="CO107" i="159"/>
  <c r="CK107" i="159"/>
  <c r="CN107" i="159"/>
  <c r="CP107" i="159"/>
  <c r="CM107" i="159"/>
  <c r="CQ107" i="159"/>
  <c r="CL107" i="159"/>
  <c r="CR107" i="159"/>
  <c r="CV107" i="159"/>
  <c r="CU107" i="159"/>
  <c r="CW107" i="159"/>
  <c r="CT107" i="159"/>
  <c r="CZ107" i="159"/>
  <c r="CX107" i="159"/>
  <c r="CY107" i="159"/>
  <c r="CX107" i="163"/>
  <c r="CN107" i="163"/>
  <c r="CY107" i="163"/>
  <c r="CL107" i="163"/>
  <c r="CW107" i="163"/>
  <c r="CQ107" i="163"/>
  <c r="CZ107" i="163"/>
  <c r="CV107" i="163"/>
  <c r="CT107" i="163"/>
  <c r="CK107" i="163"/>
  <c r="CU107" i="163"/>
  <c r="CM107" i="163"/>
  <c r="CS107" i="163"/>
  <c r="CP107" i="163"/>
  <c r="CR107" i="163"/>
  <c r="AV108" i="163"/>
  <c r="AW108" i="163" s="1"/>
  <c r="AY108" i="163"/>
  <c r="CA108" i="163"/>
  <c r="AE108" i="162"/>
  <c r="AF108" i="162" s="1"/>
  <c r="BA108" i="163"/>
  <c r="BB108" i="163" s="1"/>
  <c r="AN108" i="162"/>
  <c r="AO108" i="162" s="1"/>
  <c r="BZ108" i="162"/>
  <c r="BU108" i="160"/>
  <c r="CI108" i="160" s="1"/>
  <c r="AC108" i="162"/>
  <c r="J108" i="159"/>
  <c r="BY108" i="159" s="1"/>
  <c r="AV108" i="162"/>
  <c r="AW108" i="162" s="1"/>
  <c r="AL108" i="163"/>
  <c r="AM108" i="163" s="1"/>
  <c r="AN108" i="163"/>
  <c r="AO108" i="163" s="1"/>
  <c r="CA108" i="162"/>
  <c r="F108" i="159"/>
  <c r="G108" i="159" s="1"/>
  <c r="H108" i="159"/>
  <c r="K108" i="162"/>
  <c r="L108" i="162" s="1"/>
  <c r="M108" i="162"/>
  <c r="T108" i="159"/>
  <c r="Y108" i="159"/>
  <c r="W108" i="163"/>
  <c r="U108" i="163"/>
  <c r="V108" i="163" s="1"/>
  <c r="BA108" i="162"/>
  <c r="BB108" i="162" s="1"/>
  <c r="AY108" i="162"/>
  <c r="BC108" i="162" s="1"/>
  <c r="BQ108" i="160"/>
  <c r="CE108" i="160" s="1"/>
  <c r="BR108" i="160"/>
  <c r="CF108" i="160" s="1"/>
  <c r="G108" i="160"/>
  <c r="U108" i="162"/>
  <c r="V108" i="162" s="1"/>
  <c r="W108" i="162"/>
  <c r="BE108" i="159"/>
  <c r="AU108" i="159"/>
  <c r="BJ108" i="159"/>
  <c r="AZ108" i="159"/>
  <c r="AP108" i="159"/>
  <c r="AK108" i="159"/>
  <c r="BX108" i="162"/>
  <c r="R108" i="162"/>
  <c r="S108" i="162" s="1"/>
  <c r="P108" i="162"/>
  <c r="Q108" i="162" s="1"/>
  <c r="BF108" i="162"/>
  <c r="BG108" i="162" s="1"/>
  <c r="CB108" i="162"/>
  <c r="BP108" i="162" s="1"/>
  <c r="CD108" i="162" s="1"/>
  <c r="BH108" i="162"/>
  <c r="BI108" i="162" s="1"/>
  <c r="BM108" i="162" s="1"/>
  <c r="AB108" i="163"/>
  <c r="AC108" i="163" s="1"/>
  <c r="AG108" i="163" s="1"/>
  <c r="BW108" i="163"/>
  <c r="Z108" i="163"/>
  <c r="AA108" i="163" s="1"/>
  <c r="BX108" i="163"/>
  <c r="BS108" i="160"/>
  <c r="CG108" i="160" s="1"/>
  <c r="BT108" i="160"/>
  <c r="CH108" i="160" s="1"/>
  <c r="O108" i="159"/>
  <c r="BY108" i="162"/>
  <c r="H108" i="162"/>
  <c r="I108" i="162" s="1"/>
  <c r="F108" i="162"/>
  <c r="K108" i="163"/>
  <c r="M108" i="163"/>
  <c r="I108" i="163"/>
  <c r="BK108" i="162"/>
  <c r="BL108" i="162" s="1"/>
  <c r="AD108" i="159"/>
  <c r="AB108" i="162"/>
  <c r="Z108" i="162"/>
  <c r="AA108" i="162" s="1"/>
  <c r="BW108" i="162"/>
  <c r="BU108" i="162" s="1"/>
  <c r="CI108" i="162" s="1"/>
  <c r="BT90" i="158"/>
  <c r="CH90" i="158" s="1"/>
  <c r="BS90" i="158"/>
  <c r="CG90" i="158" s="1"/>
  <c r="BU90" i="158"/>
  <c r="CI90" i="158" s="1"/>
  <c r="G90" i="158"/>
  <c r="BJ91" i="158" s="1"/>
  <c r="BQ108" i="163" l="1"/>
  <c r="CE108" i="163" s="1"/>
  <c r="BU108" i="163"/>
  <c r="CI108" i="163" s="1"/>
  <c r="CY90" i="158"/>
  <c r="AB79" i="79" s="1"/>
  <c r="BQ108" i="162"/>
  <c r="CE108" i="162" s="1"/>
  <c r="BR108" i="163"/>
  <c r="CF108" i="163" s="1"/>
  <c r="BP108" i="163"/>
  <c r="CD108" i="163" s="1"/>
  <c r="CU108" i="160"/>
  <c r="CO90" i="158"/>
  <c r="CU90" i="158"/>
  <c r="X79" i="79" s="1"/>
  <c r="CX108" i="160"/>
  <c r="CM108" i="160"/>
  <c r="CN90" i="158"/>
  <c r="Q79" i="79" s="1"/>
  <c r="CX90" i="158"/>
  <c r="AA79" i="79" s="1"/>
  <c r="CW108" i="160"/>
  <c r="CK108" i="160"/>
  <c r="CL90" i="158"/>
  <c r="O79" i="79" s="1"/>
  <c r="CV90" i="158"/>
  <c r="Y79" i="79" s="1"/>
  <c r="CS108" i="160"/>
  <c r="CV108" i="160"/>
  <c r="CQ90" i="158"/>
  <c r="CW90" i="158"/>
  <c r="Z79" i="79" s="1"/>
  <c r="CT108" i="160"/>
  <c r="CR108" i="160"/>
  <c r="CM90" i="158"/>
  <c r="P79" i="79" s="1"/>
  <c r="CT90" i="158"/>
  <c r="W79" i="79" s="1"/>
  <c r="CZ108" i="160"/>
  <c r="CO108" i="160"/>
  <c r="CK90" i="158"/>
  <c r="N79" i="79" s="1"/>
  <c r="CZ90" i="158"/>
  <c r="AC79" i="79" s="1"/>
  <c r="CY108" i="160"/>
  <c r="CQ108" i="160"/>
  <c r="CR90" i="158"/>
  <c r="CS90" i="158"/>
  <c r="V79" i="79" s="1"/>
  <c r="CL108" i="160"/>
  <c r="CP108" i="160"/>
  <c r="CP90" i="158"/>
  <c r="CN108" i="160"/>
  <c r="BR108" i="162"/>
  <c r="CF108" i="162" s="1"/>
  <c r="BJ109" i="160"/>
  <c r="BK109" i="160" s="1"/>
  <c r="BL109" i="160" s="1"/>
  <c r="I108" i="159"/>
  <c r="K108" i="159"/>
  <c r="L108" i="159" s="1"/>
  <c r="M108" i="159"/>
  <c r="E109" i="160"/>
  <c r="F109" i="160" s="1"/>
  <c r="G109" i="160" s="1"/>
  <c r="AU109" i="160"/>
  <c r="AV109" i="160" s="1"/>
  <c r="AW109" i="160" s="1"/>
  <c r="AZ109" i="160"/>
  <c r="BA109" i="160" s="1"/>
  <c r="BB109" i="160" s="1"/>
  <c r="BE109" i="160"/>
  <c r="BF109" i="160" s="1"/>
  <c r="BG109" i="160" s="1"/>
  <c r="CB108" i="159"/>
  <c r="BF108" i="159"/>
  <c r="BG108" i="159" s="1"/>
  <c r="BH108" i="159"/>
  <c r="BI108" i="159" s="1"/>
  <c r="BM108" i="159" s="1"/>
  <c r="T109" i="160"/>
  <c r="W108" i="159"/>
  <c r="U108" i="159"/>
  <c r="V108" i="159" s="1"/>
  <c r="BX108" i="159"/>
  <c r="BU108" i="159" s="1"/>
  <c r="CI108" i="159" s="1"/>
  <c r="R108" i="159"/>
  <c r="S108" i="159" s="1"/>
  <c r="P108" i="159"/>
  <c r="Q108" i="159" s="1"/>
  <c r="O109" i="160"/>
  <c r="AE108" i="159"/>
  <c r="AF108" i="159" s="1"/>
  <c r="BZ108" i="159"/>
  <c r="AL108" i="159"/>
  <c r="AN108" i="159"/>
  <c r="AO108" i="159" s="1"/>
  <c r="Y109" i="160"/>
  <c r="AK109" i="160"/>
  <c r="AP109" i="160"/>
  <c r="AD109" i="160"/>
  <c r="AS108" i="159"/>
  <c r="AQ108" i="159"/>
  <c r="AR108" i="159" s="1"/>
  <c r="J109" i="160"/>
  <c r="BY109" i="160" s="1"/>
  <c r="L108" i="163"/>
  <c r="G108" i="162"/>
  <c r="BA108" i="159"/>
  <c r="BB108" i="159" s="1"/>
  <c r="BC108" i="159"/>
  <c r="BS108" i="163"/>
  <c r="CG108" i="163" s="1"/>
  <c r="BK108" i="159"/>
  <c r="BL108" i="159" s="1"/>
  <c r="BT108" i="163"/>
  <c r="CH108" i="163" s="1"/>
  <c r="BS108" i="162"/>
  <c r="CG108" i="162" s="1"/>
  <c r="BT108" i="162"/>
  <c r="CH108" i="162" s="1"/>
  <c r="CA108" i="159"/>
  <c r="AX108" i="159"/>
  <c r="AY108" i="159" s="1"/>
  <c r="AV108" i="159"/>
  <c r="AW108" i="159" s="1"/>
  <c r="AB108" i="159"/>
  <c r="AC108" i="159" s="1"/>
  <c r="AG108" i="159" s="1"/>
  <c r="Z108" i="159"/>
  <c r="AA108" i="159" s="1"/>
  <c r="BW108" i="159"/>
  <c r="AZ91" i="158"/>
  <c r="BA91" i="158" s="1"/>
  <c r="BB91" i="158" s="1"/>
  <c r="AU91" i="158"/>
  <c r="AV91" i="158" s="1"/>
  <c r="AW91" i="158" s="1"/>
  <c r="AP91" i="158"/>
  <c r="AQ91" i="158" s="1"/>
  <c r="AR91" i="158" s="1"/>
  <c r="Y91" i="158"/>
  <c r="BE91" i="158"/>
  <c r="BH91" i="158" s="1"/>
  <c r="BI91" i="158" s="1"/>
  <c r="BM91" i="158" s="1"/>
  <c r="AK91" i="158"/>
  <c r="AN91" i="158" s="1"/>
  <c r="BK91" i="158"/>
  <c r="BL91" i="158" s="1"/>
  <c r="O91" i="158"/>
  <c r="H80" i="79" s="1"/>
  <c r="J91" i="158"/>
  <c r="T91" i="158"/>
  <c r="E91" i="158"/>
  <c r="AD91" i="158"/>
  <c r="AK109" i="163" l="1"/>
  <c r="CV108" i="163"/>
  <c r="CK108" i="162"/>
  <c r="AK109" i="162"/>
  <c r="CT108" i="162"/>
  <c r="CV108" i="162"/>
  <c r="CX108" i="163"/>
  <c r="CN108" i="163"/>
  <c r="CS108" i="162"/>
  <c r="CQ108" i="162"/>
  <c r="CW108" i="163"/>
  <c r="CR108" i="163"/>
  <c r="CO108" i="162"/>
  <c r="CZ108" i="162"/>
  <c r="CY108" i="163"/>
  <c r="CK108" i="163"/>
  <c r="CL108" i="162"/>
  <c r="CP108" i="162"/>
  <c r="CU108" i="163"/>
  <c r="CL108" i="163"/>
  <c r="CX108" i="162"/>
  <c r="CR108" i="162"/>
  <c r="CT108" i="163"/>
  <c r="CQ108" i="163"/>
  <c r="CW108" i="162"/>
  <c r="CM108" i="162"/>
  <c r="CZ108" i="163"/>
  <c r="CP108" i="163"/>
  <c r="CY108" i="162"/>
  <c r="CN108" i="162"/>
  <c r="CS108" i="163"/>
  <c r="CM108" i="163"/>
  <c r="CU108" i="162"/>
  <c r="CO108" i="163"/>
  <c r="CA109" i="160"/>
  <c r="AX109" i="160"/>
  <c r="AY109" i="160" s="1"/>
  <c r="BC109" i="160" s="1"/>
  <c r="H109" i="160"/>
  <c r="I109" i="160" s="1"/>
  <c r="E80" i="79"/>
  <c r="CB109" i="160"/>
  <c r="BP109" i="160" s="1"/>
  <c r="CD109" i="160" s="1"/>
  <c r="BH109" i="160"/>
  <c r="BI109" i="160" s="1"/>
  <c r="BM109" i="160" s="1"/>
  <c r="K80" i="79"/>
  <c r="G80" i="79"/>
  <c r="AP109" i="163"/>
  <c r="AS109" i="163" s="1"/>
  <c r="AP109" i="162"/>
  <c r="AQ109" i="162" s="1"/>
  <c r="AR109" i="162" s="1"/>
  <c r="AO91" i="158"/>
  <c r="AS91" i="158" s="1"/>
  <c r="AU109" i="162"/>
  <c r="AX109" i="162" s="1"/>
  <c r="AZ109" i="163"/>
  <c r="BC109" i="163" s="1"/>
  <c r="AX91" i="158"/>
  <c r="AY91" i="158" s="1"/>
  <c r="BC91" i="158" s="1"/>
  <c r="BE109" i="163"/>
  <c r="BH109" i="163" s="1"/>
  <c r="AL109" i="163"/>
  <c r="AM109" i="163" s="1"/>
  <c r="AN109" i="163"/>
  <c r="BJ109" i="163"/>
  <c r="AM108" i="159"/>
  <c r="O109" i="162"/>
  <c r="Y109" i="162"/>
  <c r="T109" i="162"/>
  <c r="E109" i="162"/>
  <c r="AD109" i="162"/>
  <c r="J109" i="162"/>
  <c r="AU109" i="163"/>
  <c r="BP108" i="159"/>
  <c r="CD108" i="159" s="1"/>
  <c r="BQ108" i="159"/>
  <c r="CE108" i="159" s="1"/>
  <c r="BR108" i="159"/>
  <c r="CF108" i="159" s="1"/>
  <c r="AE109" i="160"/>
  <c r="AF109" i="160" s="1"/>
  <c r="U109" i="160"/>
  <c r="V109" i="160" s="1"/>
  <c r="AS109" i="160"/>
  <c r="AQ109" i="160"/>
  <c r="AR109" i="160" s="1"/>
  <c r="BT108" i="159"/>
  <c r="CH108" i="159" s="1"/>
  <c r="AN109" i="160"/>
  <c r="AO109" i="160" s="1"/>
  <c r="BZ109" i="160"/>
  <c r="AL109" i="160"/>
  <c r="BS108" i="159"/>
  <c r="CG108" i="159" s="1"/>
  <c r="O109" i="163"/>
  <c r="AD109" i="163"/>
  <c r="Y109" i="163"/>
  <c r="T109" i="163"/>
  <c r="J109" i="163"/>
  <c r="E109" i="163"/>
  <c r="AL109" i="162"/>
  <c r="AM109" i="162" s="1"/>
  <c r="AN109" i="162"/>
  <c r="K109" i="160"/>
  <c r="M109" i="160"/>
  <c r="Z109" i="160"/>
  <c r="AA109" i="160" s="1"/>
  <c r="AB109" i="160"/>
  <c r="AC109" i="160" s="1"/>
  <c r="AG109" i="160" s="1"/>
  <c r="BW109" i="160"/>
  <c r="I80" i="79"/>
  <c r="BJ109" i="162"/>
  <c r="BE109" i="162"/>
  <c r="BX109" i="160"/>
  <c r="BS109" i="160" s="1"/>
  <c r="CG109" i="160" s="1"/>
  <c r="R109" i="160"/>
  <c r="S109" i="160" s="1"/>
  <c r="W109" i="160" s="1"/>
  <c r="P109" i="160"/>
  <c r="Q109" i="160" s="1"/>
  <c r="AZ109" i="162"/>
  <c r="CA91" i="158"/>
  <c r="AL91" i="158"/>
  <c r="AM91" i="158" s="1"/>
  <c r="CB91" i="158"/>
  <c r="BF91" i="158"/>
  <c r="BG91" i="158" s="1"/>
  <c r="BZ91" i="158"/>
  <c r="AB91" i="158"/>
  <c r="AC91" i="158" s="1"/>
  <c r="AG91" i="158" s="1"/>
  <c r="Z91" i="158"/>
  <c r="AA91" i="158" s="1"/>
  <c r="BW91" i="158"/>
  <c r="P91" i="158"/>
  <c r="Q91" i="158" s="1"/>
  <c r="R91" i="158"/>
  <c r="S91" i="158" s="1"/>
  <c r="W91" i="158" s="1"/>
  <c r="BX91" i="158"/>
  <c r="U91" i="158"/>
  <c r="V91" i="158" s="1"/>
  <c r="K91" i="158"/>
  <c r="L91" i="158" s="1"/>
  <c r="H91" i="158"/>
  <c r="I91" i="158" s="1"/>
  <c r="M91" i="158" s="1"/>
  <c r="BY91" i="158"/>
  <c r="F91" i="158"/>
  <c r="AE91" i="158"/>
  <c r="AF91" i="158" s="1"/>
  <c r="BA109" i="163" l="1"/>
  <c r="BB109" i="163" s="1"/>
  <c r="BZ109" i="163"/>
  <c r="CQ108" i="159"/>
  <c r="CO108" i="159"/>
  <c r="CS108" i="159"/>
  <c r="CP108" i="159"/>
  <c r="CL108" i="159"/>
  <c r="CN108" i="159"/>
  <c r="CR108" i="159"/>
  <c r="CK108" i="159"/>
  <c r="CM108" i="159"/>
  <c r="CW108" i="159"/>
  <c r="CV108" i="159"/>
  <c r="CU108" i="159"/>
  <c r="CT108" i="159"/>
  <c r="CY108" i="159"/>
  <c r="CZ108" i="159"/>
  <c r="CX108" i="159"/>
  <c r="L80" i="79"/>
  <c r="BF109" i="163"/>
  <c r="BG109" i="163" s="1"/>
  <c r="AO109" i="163"/>
  <c r="AS109" i="162"/>
  <c r="E109" i="159"/>
  <c r="H109" i="159" s="1"/>
  <c r="BZ109" i="162"/>
  <c r="AQ109" i="163"/>
  <c r="AR109" i="163" s="1"/>
  <c r="CA109" i="162"/>
  <c r="AV109" i="162"/>
  <c r="AW109" i="162" s="1"/>
  <c r="AO109" i="162"/>
  <c r="T109" i="159"/>
  <c r="W109" i="159" s="1"/>
  <c r="AD109" i="159"/>
  <c r="AE109" i="159" s="1"/>
  <c r="AF109" i="159" s="1"/>
  <c r="AB109" i="163"/>
  <c r="AC109" i="163" s="1"/>
  <c r="AG109" i="163" s="1"/>
  <c r="BW109" i="163"/>
  <c r="Z109" i="163"/>
  <c r="AA109" i="163" s="1"/>
  <c r="BX109" i="162"/>
  <c r="R109" i="162"/>
  <c r="S109" i="162" s="1"/>
  <c r="W109" i="162" s="1"/>
  <c r="P109" i="162"/>
  <c r="Q109" i="162" s="1"/>
  <c r="BI109" i="163"/>
  <c r="BM109" i="163" s="1"/>
  <c r="BK109" i="163"/>
  <c r="BL109" i="163" s="1"/>
  <c r="AE109" i="163"/>
  <c r="AF109" i="163" s="1"/>
  <c r="O109" i="159"/>
  <c r="BA109" i="162"/>
  <c r="BB109" i="162" s="1"/>
  <c r="BX109" i="163"/>
  <c r="R109" i="163"/>
  <c r="S109" i="163" s="1"/>
  <c r="P109" i="163"/>
  <c r="Q109" i="163" s="1"/>
  <c r="AX109" i="163"/>
  <c r="AY109" i="163" s="1"/>
  <c r="CA109" i="163"/>
  <c r="BQ109" i="163" s="1"/>
  <c r="CE109" i="163" s="1"/>
  <c r="AV109" i="163"/>
  <c r="AW109" i="163" s="1"/>
  <c r="J109" i="159"/>
  <c r="BT109" i="160"/>
  <c r="CH109" i="160" s="1"/>
  <c r="BU109" i="160"/>
  <c r="CI109" i="160" s="1"/>
  <c r="AY109" i="162"/>
  <c r="BC109" i="162" s="1"/>
  <c r="K109" i="162"/>
  <c r="L109" i="162" s="1"/>
  <c r="M109" i="162"/>
  <c r="L109" i="160"/>
  <c r="AE109" i="162"/>
  <c r="AF109" i="162" s="1"/>
  <c r="AG109" i="162"/>
  <c r="Y109" i="159"/>
  <c r="F109" i="163"/>
  <c r="H109" i="163"/>
  <c r="I109" i="163" s="1"/>
  <c r="BY109" i="163"/>
  <c r="AM109" i="160"/>
  <c r="CB109" i="163"/>
  <c r="F109" i="162"/>
  <c r="BY109" i="162"/>
  <c r="H109" i="162"/>
  <c r="I109" i="162" s="1"/>
  <c r="CB109" i="162"/>
  <c r="BP109" i="162" s="1"/>
  <c r="CD109" i="162" s="1"/>
  <c r="BF109" i="162"/>
  <c r="BG109" i="162" s="1"/>
  <c r="BH109" i="162"/>
  <c r="BI109" i="162" s="1"/>
  <c r="BM109" i="162" s="1"/>
  <c r="M109" i="163"/>
  <c r="K109" i="163"/>
  <c r="L109" i="163" s="1"/>
  <c r="BQ109" i="160"/>
  <c r="CE109" i="160" s="1"/>
  <c r="BR109" i="160"/>
  <c r="CF109" i="160" s="1"/>
  <c r="U109" i="162"/>
  <c r="V109" i="162" s="1"/>
  <c r="BK109" i="162"/>
  <c r="BL109" i="162" s="1"/>
  <c r="W109" i="163"/>
  <c r="U109" i="163"/>
  <c r="V109" i="163" s="1"/>
  <c r="AK109" i="159"/>
  <c r="AP109" i="159"/>
  <c r="AU109" i="159"/>
  <c r="BE109" i="159"/>
  <c r="AZ109" i="159"/>
  <c r="BJ109" i="159"/>
  <c r="Z109" i="162"/>
  <c r="AA109" i="162" s="1"/>
  <c r="AB109" i="162"/>
  <c r="AC109" i="162" s="1"/>
  <c r="BW109" i="162"/>
  <c r="BU109" i="162" s="1"/>
  <c r="CI109" i="162" s="1"/>
  <c r="BS91" i="158"/>
  <c r="CG91" i="158" s="1"/>
  <c r="BT91" i="158"/>
  <c r="CH91" i="158" s="1"/>
  <c r="BU91" i="158"/>
  <c r="CI91" i="158" s="1"/>
  <c r="BP91" i="158"/>
  <c r="CD91" i="158" s="1"/>
  <c r="BQ91" i="158"/>
  <c r="CE91" i="158" s="1"/>
  <c r="BR91" i="158"/>
  <c r="CF91" i="158" s="1"/>
  <c r="G91" i="158"/>
  <c r="F109" i="159" l="1"/>
  <c r="G109" i="159" s="1"/>
  <c r="BQ109" i="162"/>
  <c r="CE109" i="162" s="1"/>
  <c r="CU109" i="160"/>
  <c r="CX109" i="160"/>
  <c r="CN109" i="160"/>
  <c r="CW109" i="160"/>
  <c r="CO109" i="160"/>
  <c r="CY109" i="160"/>
  <c r="CK109" i="160"/>
  <c r="CZ109" i="160"/>
  <c r="CP109" i="160"/>
  <c r="CT109" i="160"/>
  <c r="CV109" i="160"/>
  <c r="CY91" i="158"/>
  <c r="AB80" i="79" s="1"/>
  <c r="CS91" i="158"/>
  <c r="V80" i="79" s="1"/>
  <c r="CX91" i="158"/>
  <c r="AA80" i="79" s="1"/>
  <c r="CZ91" i="158"/>
  <c r="AC80" i="79" s="1"/>
  <c r="CQ91" i="158"/>
  <c r="CW91" i="158"/>
  <c r="Z80" i="79" s="1"/>
  <c r="CT91" i="158"/>
  <c r="W80" i="79" s="1"/>
  <c r="CN91" i="158"/>
  <c r="Q80" i="79" s="1"/>
  <c r="CO91" i="158"/>
  <c r="CP91" i="158"/>
  <c r="CU91" i="158"/>
  <c r="X80" i="79" s="1"/>
  <c r="CR91" i="158"/>
  <c r="CL91" i="158"/>
  <c r="O80" i="79" s="1"/>
  <c r="CV91" i="158"/>
  <c r="Y80" i="79" s="1"/>
  <c r="CK91" i="158"/>
  <c r="N80" i="79" s="1"/>
  <c r="CM91" i="158"/>
  <c r="P80" i="79" s="1"/>
  <c r="CS109" i="160"/>
  <c r="CR109" i="160"/>
  <c r="CL109" i="160"/>
  <c r="CQ109" i="160"/>
  <c r="CM109" i="160"/>
  <c r="BR109" i="162"/>
  <c r="CF109" i="162" s="1"/>
  <c r="BR109" i="163"/>
  <c r="CF109" i="163" s="1"/>
  <c r="U109" i="159"/>
  <c r="V109" i="159" s="1"/>
  <c r="T110" i="160"/>
  <c r="W110" i="160" s="1"/>
  <c r="BJ110" i="160"/>
  <c r="BK110" i="160" s="1"/>
  <c r="BL110" i="160" s="1"/>
  <c r="E110" i="160"/>
  <c r="H110" i="160" s="1"/>
  <c r="BE110" i="160"/>
  <c r="BF110" i="160" s="1"/>
  <c r="BG110" i="160" s="1"/>
  <c r="AP110" i="160"/>
  <c r="AQ110" i="160" s="1"/>
  <c r="AR110" i="160" s="1"/>
  <c r="BT109" i="162"/>
  <c r="CH109" i="162" s="1"/>
  <c r="BS109" i="162"/>
  <c r="CG109" i="162" s="1"/>
  <c r="M109" i="159"/>
  <c r="K109" i="159"/>
  <c r="L109" i="159" s="1"/>
  <c r="BZ109" i="159"/>
  <c r="AL109" i="159"/>
  <c r="AN109" i="159"/>
  <c r="AO109" i="159" s="1"/>
  <c r="G109" i="162"/>
  <c r="G109" i="163"/>
  <c r="AS109" i="159"/>
  <c r="AQ109" i="159"/>
  <c r="AR109" i="159" s="1"/>
  <c r="AK110" i="160"/>
  <c r="P109" i="159"/>
  <c r="Q109" i="159" s="1"/>
  <c r="R109" i="159"/>
  <c r="S109" i="159" s="1"/>
  <c r="BX109" i="159"/>
  <c r="BK109" i="159"/>
  <c r="BL109" i="159" s="1"/>
  <c r="BP109" i="163"/>
  <c r="BC109" i="159"/>
  <c r="BA109" i="159"/>
  <c r="BB109" i="159" s="1"/>
  <c r="AD110" i="160"/>
  <c r="J110" i="160"/>
  <c r="O110" i="160"/>
  <c r="Y110" i="160"/>
  <c r="AZ110" i="160"/>
  <c r="BY109" i="159"/>
  <c r="BH109" i="159"/>
  <c r="BI109" i="159" s="1"/>
  <c r="BM109" i="159" s="1"/>
  <c r="CB109" i="159"/>
  <c r="BF109" i="159"/>
  <c r="BG109" i="159" s="1"/>
  <c r="Z109" i="159"/>
  <c r="AA109" i="159" s="1"/>
  <c r="AB109" i="159"/>
  <c r="AC109" i="159" s="1"/>
  <c r="AG109" i="159" s="1"/>
  <c r="BW109" i="159"/>
  <c r="AU110" i="160"/>
  <c r="BJ110" i="163"/>
  <c r="I109" i="159"/>
  <c r="CA109" i="159"/>
  <c r="AV109" i="159"/>
  <c r="AW109" i="159" s="1"/>
  <c r="AX109" i="159"/>
  <c r="AY109" i="159" s="1"/>
  <c r="BU109" i="163"/>
  <c r="CI109" i="163" s="1"/>
  <c r="BT109" i="163"/>
  <c r="CH109" i="163" s="1"/>
  <c r="BS109" i="163"/>
  <c r="CG109" i="163" s="1"/>
  <c r="AK92" i="158"/>
  <c r="AN92" i="158" s="1"/>
  <c r="AU92" i="158"/>
  <c r="BE92" i="158"/>
  <c r="BH92" i="158" s="1"/>
  <c r="AZ92" i="158"/>
  <c r="BA92" i="158" s="1"/>
  <c r="BB92" i="158" s="1"/>
  <c r="AP92" i="158"/>
  <c r="AQ92" i="158" s="1"/>
  <c r="AR92" i="158" s="1"/>
  <c r="BJ92" i="158"/>
  <c r="AD92" i="158"/>
  <c r="CQ109" i="162" l="1"/>
  <c r="CM109" i="162"/>
  <c r="AP110" i="162"/>
  <c r="BE110" i="162"/>
  <c r="CV109" i="162"/>
  <c r="CT109" i="162"/>
  <c r="CL109" i="162"/>
  <c r="CY109" i="162"/>
  <c r="CZ109" i="162"/>
  <c r="U110" i="160"/>
  <c r="V110" i="160" s="1"/>
  <c r="CW109" i="162"/>
  <c r="CO109" i="162"/>
  <c r="CX109" i="162"/>
  <c r="CR109" i="162"/>
  <c r="CS109" i="162"/>
  <c r="CP109" i="162"/>
  <c r="CU109" i="162"/>
  <c r="CK109" i="162"/>
  <c r="AZ110" i="163"/>
  <c r="BA110" i="163" s="1"/>
  <c r="BB110" i="163" s="1"/>
  <c r="CD109" i="163"/>
  <c r="CN109" i="162"/>
  <c r="F110" i="160"/>
  <c r="G110" i="160" s="1"/>
  <c r="BY110" i="160"/>
  <c r="BH110" i="160"/>
  <c r="BI110" i="160" s="1"/>
  <c r="BM110" i="160" s="1"/>
  <c r="K81" i="79"/>
  <c r="CB110" i="160"/>
  <c r="BP110" i="160" s="1"/>
  <c r="CD110" i="160" s="1"/>
  <c r="BJ110" i="162"/>
  <c r="BK110" i="162" s="1"/>
  <c r="BL110" i="162" s="1"/>
  <c r="AS110" i="160"/>
  <c r="CB92" i="158"/>
  <c r="BE110" i="163"/>
  <c r="BF110" i="163" s="1"/>
  <c r="BG110" i="163" s="1"/>
  <c r="AU110" i="163"/>
  <c r="AV110" i="163" s="1"/>
  <c r="AW110" i="163" s="1"/>
  <c r="AQ110" i="162"/>
  <c r="AR110" i="162" s="1"/>
  <c r="AS110" i="162"/>
  <c r="BC110" i="163"/>
  <c r="P110" i="160"/>
  <c r="Q110" i="160" s="1"/>
  <c r="R110" i="160"/>
  <c r="S110" i="160" s="1"/>
  <c r="BX110" i="160"/>
  <c r="AP110" i="163"/>
  <c r="M110" i="160"/>
  <c r="K110" i="160"/>
  <c r="L110" i="160" s="1"/>
  <c r="AE110" i="160"/>
  <c r="AF110" i="160" s="1"/>
  <c r="I110" i="160"/>
  <c r="AN110" i="160"/>
  <c r="AO110" i="160" s="1"/>
  <c r="AL110" i="160"/>
  <c r="BZ110" i="160"/>
  <c r="AK110" i="163"/>
  <c r="Y110" i="163"/>
  <c r="E110" i="163"/>
  <c r="O110" i="163"/>
  <c r="AD110" i="163"/>
  <c r="J110" i="163"/>
  <c r="T110" i="163"/>
  <c r="AD110" i="162"/>
  <c r="T110" i="162"/>
  <c r="E110" i="162"/>
  <c r="Y110" i="162"/>
  <c r="J110" i="162"/>
  <c r="O110" i="162"/>
  <c r="BK110" i="163"/>
  <c r="BL110" i="163" s="1"/>
  <c r="AL92" i="158"/>
  <c r="AM92" i="158" s="1"/>
  <c r="AV110" i="160"/>
  <c r="AW110" i="160" s="1"/>
  <c r="AX110" i="160"/>
  <c r="AY110" i="160" s="1"/>
  <c r="BC110" i="160" s="1"/>
  <c r="CA110" i="160"/>
  <c r="BS109" i="159"/>
  <c r="CG109" i="159" s="1"/>
  <c r="BT109" i="159"/>
  <c r="CH109" i="159" s="1"/>
  <c r="BU109" i="159"/>
  <c r="CI109" i="159" s="1"/>
  <c r="AU110" i="162"/>
  <c r="BF110" i="162"/>
  <c r="BG110" i="162" s="1"/>
  <c r="BH110" i="162"/>
  <c r="BA110" i="160"/>
  <c r="BB110" i="160" s="1"/>
  <c r="AZ110" i="162"/>
  <c r="AK110" i="162"/>
  <c r="AM109" i="159"/>
  <c r="BW110" i="160"/>
  <c r="AB110" i="160"/>
  <c r="AC110" i="160" s="1"/>
  <c r="AG110" i="160" s="1"/>
  <c r="Z110" i="160"/>
  <c r="AA110" i="160" s="1"/>
  <c r="BP109" i="159"/>
  <c r="CD109" i="159" s="1"/>
  <c r="BQ109" i="159"/>
  <c r="CE109" i="159" s="1"/>
  <c r="BR109" i="159"/>
  <c r="CF109" i="159" s="1"/>
  <c r="AO92" i="158"/>
  <c r="AS92" i="158" s="1"/>
  <c r="CA92" i="158"/>
  <c r="AX92" i="158"/>
  <c r="AY92" i="158" s="1"/>
  <c r="BC92" i="158" s="1"/>
  <c r="AV92" i="158"/>
  <c r="AW92" i="158" s="1"/>
  <c r="BF92" i="158"/>
  <c r="BG92" i="158" s="1"/>
  <c r="BZ92" i="158"/>
  <c r="BK92" i="158"/>
  <c r="BL92" i="158" s="1"/>
  <c r="BI92" i="158"/>
  <c r="BM92" i="158" s="1"/>
  <c r="AE92" i="158"/>
  <c r="AF92" i="158" s="1"/>
  <c r="O92" i="158"/>
  <c r="H81" i="79" s="1"/>
  <c r="Y92" i="158"/>
  <c r="G81" i="79" s="1"/>
  <c r="E92" i="158"/>
  <c r="E81" i="79" s="1"/>
  <c r="T92" i="158"/>
  <c r="J92" i="158"/>
  <c r="BT110" i="160" l="1"/>
  <c r="CH110" i="160" s="1"/>
  <c r="CR109" i="159"/>
  <c r="CM109" i="159"/>
  <c r="CO109" i="159"/>
  <c r="CQ109" i="159"/>
  <c r="CP109" i="159"/>
  <c r="CS109" i="159"/>
  <c r="CN109" i="159"/>
  <c r="CL109" i="159"/>
  <c r="CK109" i="159"/>
  <c r="CV109" i="159"/>
  <c r="CU109" i="159"/>
  <c r="CW109" i="159"/>
  <c r="CT109" i="159"/>
  <c r="CX109" i="159"/>
  <c r="CY109" i="159"/>
  <c r="CZ109" i="159"/>
  <c r="CP109" i="163"/>
  <c r="CQ109" i="163"/>
  <c r="CK109" i="163"/>
  <c r="CV109" i="163"/>
  <c r="CO109" i="163"/>
  <c r="CR109" i="163"/>
  <c r="CN109" i="163"/>
  <c r="CM109" i="163"/>
  <c r="CL109" i="163"/>
  <c r="CZ109" i="163"/>
  <c r="CT109" i="163"/>
  <c r="CS109" i="163"/>
  <c r="CU109" i="163"/>
  <c r="CX109" i="163"/>
  <c r="CW109" i="163"/>
  <c r="CY109" i="163"/>
  <c r="L81" i="79"/>
  <c r="BI110" i="162"/>
  <c r="BM110" i="162" s="1"/>
  <c r="CB110" i="162"/>
  <c r="BP110" i="162" s="1"/>
  <c r="CD110" i="162" s="1"/>
  <c r="BU110" i="160"/>
  <c r="CI110" i="160" s="1"/>
  <c r="AK110" i="159"/>
  <c r="AL110" i="159" s="1"/>
  <c r="AM110" i="159" s="1"/>
  <c r="BH110" i="163"/>
  <c r="BI110" i="163" s="1"/>
  <c r="BM110" i="163" s="1"/>
  <c r="CB110" i="163"/>
  <c r="AX110" i="163"/>
  <c r="AY110" i="163" s="1"/>
  <c r="BS110" i="160"/>
  <c r="CG110" i="160" s="1"/>
  <c r="CA110" i="163"/>
  <c r="AU110" i="159"/>
  <c r="AV110" i="159" s="1"/>
  <c r="AW110" i="159" s="1"/>
  <c r="O110" i="159"/>
  <c r="Y110" i="159"/>
  <c r="J110" i="159"/>
  <c r="AL110" i="163"/>
  <c r="AM110" i="163" s="1"/>
  <c r="BZ110" i="163"/>
  <c r="AN110" i="163"/>
  <c r="AO110" i="163" s="1"/>
  <c r="AQ110" i="163"/>
  <c r="AR110" i="163" s="1"/>
  <c r="AS110" i="163"/>
  <c r="AN110" i="162"/>
  <c r="AO110" i="162" s="1"/>
  <c r="AL110" i="162"/>
  <c r="AM110" i="162" s="1"/>
  <c r="BZ110" i="162"/>
  <c r="BX110" i="162"/>
  <c r="P110" i="162"/>
  <c r="Q110" i="162" s="1"/>
  <c r="R110" i="162"/>
  <c r="S110" i="162" s="1"/>
  <c r="W110" i="162" s="1"/>
  <c r="CA110" i="162"/>
  <c r="AV110" i="162"/>
  <c r="AW110" i="162" s="1"/>
  <c r="AX110" i="162"/>
  <c r="AY110" i="162" s="1"/>
  <c r="BC110" i="162" s="1"/>
  <c r="M110" i="162"/>
  <c r="K110" i="162"/>
  <c r="L110" i="162" s="1"/>
  <c r="U110" i="163"/>
  <c r="V110" i="163" s="1"/>
  <c r="W110" i="163"/>
  <c r="BR110" i="160"/>
  <c r="CF110" i="160" s="1"/>
  <c r="BQ110" i="160"/>
  <c r="CE110" i="160" s="1"/>
  <c r="Z110" i="162"/>
  <c r="AA110" i="162" s="1"/>
  <c r="BW110" i="162"/>
  <c r="BU110" i="162" s="1"/>
  <c r="CI110" i="162" s="1"/>
  <c r="AB110" i="162"/>
  <c r="K110" i="163"/>
  <c r="L110" i="163" s="1"/>
  <c r="M110" i="163"/>
  <c r="AM110" i="160"/>
  <c r="F110" i="162"/>
  <c r="BY110" i="162"/>
  <c r="H110" i="162"/>
  <c r="I110" i="162" s="1"/>
  <c r="AE110" i="163"/>
  <c r="AF110" i="163" s="1"/>
  <c r="AP110" i="159"/>
  <c r="BE110" i="159"/>
  <c r="T110" i="159"/>
  <c r="BJ110" i="159"/>
  <c r="U110" i="162"/>
  <c r="V110" i="162" s="1"/>
  <c r="P110" i="163"/>
  <c r="Q110" i="163" s="1"/>
  <c r="BX110" i="163"/>
  <c r="R110" i="163"/>
  <c r="S110" i="163" s="1"/>
  <c r="BA110" i="162"/>
  <c r="BB110" i="162" s="1"/>
  <c r="E110" i="159"/>
  <c r="AZ110" i="159"/>
  <c r="AE110" i="162"/>
  <c r="AF110" i="162" s="1"/>
  <c r="AG110" i="162"/>
  <c r="AC110" i="162"/>
  <c r="BY110" i="163"/>
  <c r="H110" i="163"/>
  <c r="I110" i="163" s="1"/>
  <c r="F110" i="163"/>
  <c r="K92" i="158"/>
  <c r="L92" i="158" s="1"/>
  <c r="I81" i="79"/>
  <c r="AD110" i="159"/>
  <c r="BW110" i="163"/>
  <c r="AB110" i="163"/>
  <c r="AC110" i="163" s="1"/>
  <c r="AG110" i="163" s="1"/>
  <c r="Z110" i="163"/>
  <c r="AA110" i="163" s="1"/>
  <c r="BP92" i="158"/>
  <c r="CD92" i="158" s="1"/>
  <c r="BQ92" i="158"/>
  <c r="CE92" i="158" s="1"/>
  <c r="BR92" i="158"/>
  <c r="CF92" i="158" s="1"/>
  <c r="R92" i="158"/>
  <c r="S92" i="158" s="1"/>
  <c r="W92" i="158" s="1"/>
  <c r="P92" i="158"/>
  <c r="Q92" i="158" s="1"/>
  <c r="BX92" i="158"/>
  <c r="F92" i="158"/>
  <c r="H92" i="158"/>
  <c r="I92" i="158" s="1"/>
  <c r="M92" i="158" s="1"/>
  <c r="BY92" i="158"/>
  <c r="U92" i="158"/>
  <c r="V92" i="158" s="1"/>
  <c r="BW92" i="158"/>
  <c r="Z92" i="158"/>
  <c r="AA92" i="158" s="1"/>
  <c r="AB92" i="158"/>
  <c r="AC92" i="158" s="1"/>
  <c r="AG92" i="158" s="1"/>
  <c r="CK110" i="160" l="1"/>
  <c r="CU110" i="160"/>
  <c r="CV110" i="160"/>
  <c r="CW110" i="160"/>
  <c r="CX110" i="160"/>
  <c r="CL110" i="160"/>
  <c r="CM110" i="160"/>
  <c r="CY110" i="160"/>
  <c r="CP110" i="160"/>
  <c r="CS110" i="160"/>
  <c r="CQ110" i="160"/>
  <c r="CT110" i="160"/>
  <c r="CO110" i="160"/>
  <c r="CZ110" i="160"/>
  <c r="CN110" i="160"/>
  <c r="CR110" i="160"/>
  <c r="J111" i="160"/>
  <c r="BE111" i="160"/>
  <c r="BH111" i="160" s="1"/>
  <c r="AN110" i="159"/>
  <c r="AX110" i="159"/>
  <c r="AY110" i="159" s="1"/>
  <c r="AD111" i="160"/>
  <c r="AE111" i="160" s="1"/>
  <c r="AF111" i="160" s="1"/>
  <c r="E111" i="160"/>
  <c r="H111" i="160" s="1"/>
  <c r="AU111" i="160"/>
  <c r="BJ111" i="160"/>
  <c r="AZ111" i="160"/>
  <c r="AK111" i="160"/>
  <c r="AP111" i="160"/>
  <c r="BR110" i="163"/>
  <c r="CF110" i="163" s="1"/>
  <c r="BQ110" i="163"/>
  <c r="CE110" i="163" s="1"/>
  <c r="BP110" i="163"/>
  <c r="CD110" i="163" s="1"/>
  <c r="BC110" i="159"/>
  <c r="BA110" i="159"/>
  <c r="BB110" i="159" s="1"/>
  <c r="H110" i="159"/>
  <c r="I110" i="159" s="1"/>
  <c r="F110" i="159"/>
  <c r="BY110" i="159"/>
  <c r="M110" i="159"/>
  <c r="K110" i="159"/>
  <c r="L110" i="159" s="1"/>
  <c r="BK110" i="159"/>
  <c r="BL110" i="159" s="1"/>
  <c r="AB110" i="159"/>
  <c r="AC110" i="159" s="1"/>
  <c r="Z110" i="159"/>
  <c r="AA110" i="159" s="1"/>
  <c r="BW110" i="159"/>
  <c r="W110" i="159"/>
  <c r="U110" i="159"/>
  <c r="V110" i="159" s="1"/>
  <c r="BS110" i="162"/>
  <c r="CG110" i="162" s="1"/>
  <c r="BT110" i="162"/>
  <c r="CH110" i="162" s="1"/>
  <c r="BX110" i="159"/>
  <c r="P110" i="159"/>
  <c r="Q110" i="159" s="1"/>
  <c r="R110" i="159"/>
  <c r="S110" i="159" s="1"/>
  <c r="CB110" i="159"/>
  <c r="BH110" i="159"/>
  <c r="BI110" i="159" s="1"/>
  <c r="BM110" i="159" s="1"/>
  <c r="BF110" i="159"/>
  <c r="BG110" i="159" s="1"/>
  <c r="G110" i="162"/>
  <c r="AO110" i="159"/>
  <c r="AQ110" i="159"/>
  <c r="AR110" i="159" s="1"/>
  <c r="AS110" i="159"/>
  <c r="AG110" i="159"/>
  <c r="AE110" i="159"/>
  <c r="AF110" i="159" s="1"/>
  <c r="G110" i="163"/>
  <c r="BT110" i="163"/>
  <c r="CH110" i="163" s="1"/>
  <c r="BU110" i="163"/>
  <c r="CI110" i="163" s="1"/>
  <c r="BS110" i="163"/>
  <c r="CG110" i="163" s="1"/>
  <c r="CA110" i="159"/>
  <c r="M111" i="160"/>
  <c r="K111" i="160"/>
  <c r="L111" i="160" s="1"/>
  <c r="T111" i="160"/>
  <c r="Y111" i="160"/>
  <c r="O111" i="160"/>
  <c r="BQ110" i="162"/>
  <c r="CE110" i="162" s="1"/>
  <c r="BR110" i="162"/>
  <c r="CF110" i="162" s="1"/>
  <c r="BZ110" i="159"/>
  <c r="BU92" i="158"/>
  <c r="CI92" i="158" s="1"/>
  <c r="BS92" i="158"/>
  <c r="CG92" i="158" s="1"/>
  <c r="BT92" i="158"/>
  <c r="CH92" i="158" s="1"/>
  <c r="G92" i="158"/>
  <c r="AZ93" i="158" s="1"/>
  <c r="CR110" i="162" l="1"/>
  <c r="CM110" i="162"/>
  <c r="CO110" i="162"/>
  <c r="CX92" i="158"/>
  <c r="AA81" i="79" s="1"/>
  <c r="CU110" i="162"/>
  <c r="CN110" i="162"/>
  <c r="CX110" i="162"/>
  <c r="CQ110" i="162"/>
  <c r="CQ92" i="158"/>
  <c r="CR92" i="158"/>
  <c r="CY110" i="162"/>
  <c r="CL110" i="162"/>
  <c r="CM92" i="158"/>
  <c r="P81" i="79" s="1"/>
  <c r="CU92" i="158"/>
  <c r="X81" i="79" s="1"/>
  <c r="CL92" i="158"/>
  <c r="O81" i="79" s="1"/>
  <c r="CQ110" i="163"/>
  <c r="CK110" i="163"/>
  <c r="CN110" i="163"/>
  <c r="CV110" i="163"/>
  <c r="CM110" i="163"/>
  <c r="CR110" i="163"/>
  <c r="CP110" i="163"/>
  <c r="CO110" i="163"/>
  <c r="CL110" i="163"/>
  <c r="CU110" i="163"/>
  <c r="CS110" i="163"/>
  <c r="CT110" i="163"/>
  <c r="CZ110" i="163"/>
  <c r="CY110" i="163"/>
  <c r="CX110" i="163"/>
  <c r="CW110" i="163"/>
  <c r="AG111" i="160"/>
  <c r="CW110" i="162"/>
  <c r="CV110" i="162"/>
  <c r="CK92" i="158"/>
  <c r="N81" i="79" s="1"/>
  <c r="CT92" i="158"/>
  <c r="W81" i="79" s="1"/>
  <c r="CW92" i="158"/>
  <c r="Z81" i="79" s="1"/>
  <c r="I111" i="160"/>
  <c r="CS110" i="162"/>
  <c r="CK110" i="162"/>
  <c r="CP92" i="158"/>
  <c r="CS92" i="158"/>
  <c r="V81" i="79" s="1"/>
  <c r="CT110" i="162"/>
  <c r="CZ110" i="162"/>
  <c r="CO92" i="158"/>
  <c r="CY92" i="158"/>
  <c r="AB81" i="79" s="1"/>
  <c r="CN92" i="158"/>
  <c r="Q81" i="79" s="1"/>
  <c r="CV92" i="158"/>
  <c r="Y81" i="79" s="1"/>
  <c r="CP110" i="162"/>
  <c r="CZ92" i="158"/>
  <c r="AC81" i="79" s="1"/>
  <c r="BY111" i="160"/>
  <c r="F111" i="160"/>
  <c r="G111" i="160" s="1"/>
  <c r="AK111" i="163"/>
  <c r="AL111" i="163" s="1"/>
  <c r="AM111" i="163" s="1"/>
  <c r="BF111" i="160"/>
  <c r="BG111" i="160" s="1"/>
  <c r="AP111" i="162"/>
  <c r="AS111" i="162" s="1"/>
  <c r="BJ111" i="162"/>
  <c r="BK111" i="162" s="1"/>
  <c r="BL111" i="162" s="1"/>
  <c r="BE111" i="163"/>
  <c r="BH111" i="163" s="1"/>
  <c r="AU111" i="162"/>
  <c r="AX111" i="162" s="1"/>
  <c r="AP111" i="163"/>
  <c r="AK111" i="162"/>
  <c r="AN111" i="162" s="1"/>
  <c r="AZ111" i="163"/>
  <c r="BC111" i="163" s="1"/>
  <c r="AU111" i="163"/>
  <c r="BJ111" i="163"/>
  <c r="BK111" i="163" s="1"/>
  <c r="BL111" i="163" s="1"/>
  <c r="BW111" i="160"/>
  <c r="AB111" i="160"/>
  <c r="AC111" i="160" s="1"/>
  <c r="Z111" i="160"/>
  <c r="AA111" i="160" s="1"/>
  <c r="AL111" i="160"/>
  <c r="BZ111" i="160"/>
  <c r="AN111" i="160"/>
  <c r="AO111" i="160" s="1"/>
  <c r="BA111" i="160"/>
  <c r="BB111" i="160" s="1"/>
  <c r="BI111" i="160"/>
  <c r="BM111" i="160" s="1"/>
  <c r="BK111" i="160"/>
  <c r="BL111" i="160" s="1"/>
  <c r="AV111" i="160"/>
  <c r="AW111" i="160" s="1"/>
  <c r="CA111" i="160"/>
  <c r="AX111" i="160"/>
  <c r="AY111" i="160" s="1"/>
  <c r="BC111" i="160" s="1"/>
  <c r="BE111" i="162"/>
  <c r="BQ110" i="159"/>
  <c r="CE110" i="159" s="1"/>
  <c r="BP110" i="159"/>
  <c r="CD110" i="159" s="1"/>
  <c r="BR110" i="159"/>
  <c r="CF110" i="159" s="1"/>
  <c r="AD111" i="162"/>
  <c r="Y111" i="162"/>
  <c r="O111" i="162"/>
  <c r="E111" i="162"/>
  <c r="T111" i="162"/>
  <c r="BS110" i="159"/>
  <c r="CG110" i="159" s="1"/>
  <c r="BT110" i="159"/>
  <c r="CH110" i="159" s="1"/>
  <c r="BU110" i="159"/>
  <c r="CI110" i="159" s="1"/>
  <c r="AD111" i="163"/>
  <c r="O111" i="163"/>
  <c r="Y111" i="163"/>
  <c r="T111" i="163"/>
  <c r="E111" i="163"/>
  <c r="J111" i="163"/>
  <c r="AZ111" i="162"/>
  <c r="G110" i="159"/>
  <c r="J111" i="162"/>
  <c r="U111" i="160"/>
  <c r="V111" i="160" s="1"/>
  <c r="BX111" i="160"/>
  <c r="BS111" i="160" s="1"/>
  <c r="CG111" i="160" s="1"/>
  <c r="P111" i="160"/>
  <c r="Q111" i="160" s="1"/>
  <c r="R111" i="160"/>
  <c r="S111" i="160" s="1"/>
  <c r="W111" i="160" s="1"/>
  <c r="CB111" i="160"/>
  <c r="BP111" i="160" s="1"/>
  <c r="CD111" i="160" s="1"/>
  <c r="AQ111" i="160"/>
  <c r="AR111" i="160" s="1"/>
  <c r="AS111" i="160"/>
  <c r="BE93" i="158"/>
  <c r="BJ93" i="158"/>
  <c r="BK93" i="158" s="1"/>
  <c r="BL93" i="158" s="1"/>
  <c r="AK93" i="158"/>
  <c r="AL93" i="158" s="1"/>
  <c r="AM93" i="158" s="1"/>
  <c r="AP93" i="158"/>
  <c r="BA93" i="158"/>
  <c r="BB93" i="158" s="1"/>
  <c r="AU93" i="158"/>
  <c r="J93" i="158"/>
  <c r="AL111" i="162" l="1"/>
  <c r="AM111" i="162" s="1"/>
  <c r="CK110" i="159"/>
  <c r="CL110" i="159"/>
  <c r="CS110" i="159"/>
  <c r="CQ110" i="159"/>
  <c r="CN110" i="159"/>
  <c r="CO110" i="159"/>
  <c r="CP110" i="159"/>
  <c r="CM110" i="159"/>
  <c r="CR110" i="159"/>
  <c r="CU110" i="159"/>
  <c r="CV110" i="159"/>
  <c r="CT110" i="159"/>
  <c r="CW110" i="159"/>
  <c r="CX110" i="159"/>
  <c r="CY110" i="159"/>
  <c r="CZ110" i="159"/>
  <c r="AQ111" i="162"/>
  <c r="AR111" i="162" s="1"/>
  <c r="AN111" i="163"/>
  <c r="AO111" i="163" s="1"/>
  <c r="BF111" i="163"/>
  <c r="BG111" i="163" s="1"/>
  <c r="AU111" i="159"/>
  <c r="AX111" i="159" s="1"/>
  <c r="AD111" i="159"/>
  <c r="AE111" i="159" s="1"/>
  <c r="AF111" i="159" s="1"/>
  <c r="AV111" i="162"/>
  <c r="AW111" i="162" s="1"/>
  <c r="AO111" i="162"/>
  <c r="BZ111" i="163"/>
  <c r="BI111" i="162"/>
  <c r="BM111" i="162" s="1"/>
  <c r="CA111" i="163"/>
  <c r="BA111" i="163"/>
  <c r="BB111" i="163" s="1"/>
  <c r="AQ111" i="163"/>
  <c r="AR111" i="163" s="1"/>
  <c r="AS111" i="163"/>
  <c r="T111" i="159"/>
  <c r="W111" i="159" s="1"/>
  <c r="BZ111" i="162"/>
  <c r="BM111" i="163"/>
  <c r="BI111" i="163"/>
  <c r="CB111" i="163"/>
  <c r="O111" i="159"/>
  <c r="P111" i="159" s="1"/>
  <c r="Q111" i="159" s="1"/>
  <c r="AX111" i="163"/>
  <c r="AY111" i="163" s="1"/>
  <c r="AV111" i="163"/>
  <c r="AW111" i="163" s="1"/>
  <c r="BA111" i="162"/>
  <c r="BB111" i="162" s="1"/>
  <c r="P111" i="162"/>
  <c r="Q111" i="162" s="1"/>
  <c r="BX111" i="162"/>
  <c r="R111" i="162"/>
  <c r="S111" i="162" s="1"/>
  <c r="W111" i="162" s="1"/>
  <c r="BU111" i="160"/>
  <c r="CI111" i="160" s="1"/>
  <c r="Z111" i="162"/>
  <c r="AA111" i="162" s="1"/>
  <c r="BW111" i="162"/>
  <c r="BU111" i="162" s="1"/>
  <c r="CI111" i="162" s="1"/>
  <c r="AB111" i="162"/>
  <c r="AC111" i="162" s="1"/>
  <c r="BQ111" i="160"/>
  <c r="CE111" i="160" s="1"/>
  <c r="BR111" i="160"/>
  <c r="CF111" i="160" s="1"/>
  <c r="K111" i="163"/>
  <c r="L111" i="163" s="1"/>
  <c r="M111" i="163"/>
  <c r="AG111" i="162"/>
  <c r="AE111" i="162"/>
  <c r="AF111" i="162" s="1"/>
  <c r="E111" i="159"/>
  <c r="AM111" i="160"/>
  <c r="BY111" i="163"/>
  <c r="F111" i="163"/>
  <c r="H111" i="163"/>
  <c r="I111" i="163" s="1"/>
  <c r="J111" i="159"/>
  <c r="M111" i="162"/>
  <c r="K111" i="162"/>
  <c r="L111" i="162" s="1"/>
  <c r="W111" i="163"/>
  <c r="U111" i="163"/>
  <c r="V111" i="163" s="1"/>
  <c r="BH111" i="162"/>
  <c r="BF111" i="162"/>
  <c r="BG111" i="162" s="1"/>
  <c r="CB111" i="162"/>
  <c r="BP111" i="162" s="1"/>
  <c r="CD111" i="162" s="1"/>
  <c r="Y111" i="159"/>
  <c r="Z111" i="163"/>
  <c r="AA111" i="163" s="1"/>
  <c r="AB111" i="163"/>
  <c r="AC111" i="163" s="1"/>
  <c r="AG111" i="163" s="1"/>
  <c r="BW111" i="163"/>
  <c r="BT111" i="160"/>
  <c r="CH111" i="160" s="1"/>
  <c r="AK111" i="159"/>
  <c r="BE111" i="159"/>
  <c r="AP111" i="159"/>
  <c r="BJ111" i="159"/>
  <c r="AZ111" i="159"/>
  <c r="R111" i="163"/>
  <c r="S111" i="163" s="1"/>
  <c r="BX111" i="163"/>
  <c r="P111" i="163"/>
  <c r="Q111" i="163" s="1"/>
  <c r="U111" i="162"/>
  <c r="V111" i="162" s="1"/>
  <c r="CA111" i="162"/>
  <c r="AE111" i="163"/>
  <c r="AF111" i="163" s="1"/>
  <c r="F111" i="162"/>
  <c r="BY111" i="162"/>
  <c r="H111" i="162"/>
  <c r="I111" i="162" s="1"/>
  <c r="AY111" i="162"/>
  <c r="BC111" i="162" s="1"/>
  <c r="BZ93" i="158"/>
  <c r="BF93" i="158"/>
  <c r="BG93" i="158" s="1"/>
  <c r="BH93" i="158"/>
  <c r="BI93" i="158" s="1"/>
  <c r="BM93" i="158" s="1"/>
  <c r="CB93" i="158"/>
  <c r="AQ93" i="158"/>
  <c r="AR93" i="158" s="1"/>
  <c r="AN93" i="158"/>
  <c r="AO93" i="158" s="1"/>
  <c r="AS93" i="158" s="1"/>
  <c r="T93" i="158"/>
  <c r="I82" i="79" s="1"/>
  <c r="Y93" i="158"/>
  <c r="G82" i="79" s="1"/>
  <c r="CA93" i="158"/>
  <c r="AV93" i="158"/>
  <c r="AW93" i="158" s="1"/>
  <c r="AX93" i="158"/>
  <c r="AY93" i="158" s="1"/>
  <c r="BC93" i="158" s="1"/>
  <c r="O93" i="158"/>
  <c r="H82" i="79" s="1"/>
  <c r="K93" i="158"/>
  <c r="L93" i="158" s="1"/>
  <c r="AD93" i="158"/>
  <c r="K82" i="79" s="1"/>
  <c r="E93" i="158"/>
  <c r="E82" i="79" s="1"/>
  <c r="CL111" i="160" l="1"/>
  <c r="CW111" i="160"/>
  <c r="AV111" i="159"/>
  <c r="AW111" i="159" s="1"/>
  <c r="CY111" i="160"/>
  <c r="AG111" i="159"/>
  <c r="CN111" i="160"/>
  <c r="CR111" i="160"/>
  <c r="CZ111" i="160"/>
  <c r="CK111" i="160"/>
  <c r="CS111" i="160"/>
  <c r="CP111" i="160"/>
  <c r="CT111" i="160"/>
  <c r="CU111" i="160"/>
  <c r="CV111" i="160"/>
  <c r="CQ111" i="160"/>
  <c r="CM111" i="160"/>
  <c r="CO111" i="160"/>
  <c r="CX111" i="160"/>
  <c r="L82" i="79"/>
  <c r="BR111" i="163"/>
  <c r="CF111" i="163" s="1"/>
  <c r="BP111" i="163"/>
  <c r="CD111" i="163" s="1"/>
  <c r="BQ111" i="163"/>
  <c r="CE111" i="163" s="1"/>
  <c r="U111" i="159"/>
  <c r="V111" i="159" s="1"/>
  <c r="AD112" i="160"/>
  <c r="AE112" i="160" s="1"/>
  <c r="AF112" i="160" s="1"/>
  <c r="BQ111" i="162"/>
  <c r="CE111" i="162" s="1"/>
  <c r="Y112" i="160"/>
  <c r="AB112" i="160" s="1"/>
  <c r="R111" i="159"/>
  <c r="S111" i="159" s="1"/>
  <c r="BX111" i="159"/>
  <c r="CB111" i="159"/>
  <c r="BH111" i="159"/>
  <c r="BI111" i="159" s="1"/>
  <c r="BF111" i="159"/>
  <c r="BG111" i="159" s="1"/>
  <c r="H111" i="159"/>
  <c r="I111" i="159" s="1"/>
  <c r="F111" i="159"/>
  <c r="G111" i="159" s="1"/>
  <c r="BY111" i="159"/>
  <c r="AY111" i="159"/>
  <c r="AN111" i="159"/>
  <c r="AO111" i="159" s="1"/>
  <c r="AL111" i="159"/>
  <c r="BT111" i="162"/>
  <c r="CH111" i="162" s="1"/>
  <c r="BS111" i="162"/>
  <c r="CG111" i="162" s="1"/>
  <c r="AB111" i="159"/>
  <c r="AC111" i="159" s="1"/>
  <c r="Z111" i="159"/>
  <c r="AA111" i="159" s="1"/>
  <c r="BW111" i="159"/>
  <c r="G111" i="163"/>
  <c r="G111" i="162"/>
  <c r="BT111" i="163"/>
  <c r="CH111" i="163" s="1"/>
  <c r="BU111" i="163"/>
  <c r="CI111" i="163" s="1"/>
  <c r="BS111" i="163"/>
  <c r="CG111" i="163" s="1"/>
  <c r="J112" i="160"/>
  <c r="BA111" i="159"/>
  <c r="BB111" i="159" s="1"/>
  <c r="BC111" i="159"/>
  <c r="K111" i="159"/>
  <c r="L111" i="159" s="1"/>
  <c r="M111" i="159"/>
  <c r="E112" i="160"/>
  <c r="BK111" i="159"/>
  <c r="BL111" i="159" s="1"/>
  <c r="BM111" i="159"/>
  <c r="BR111" i="162"/>
  <c r="CF111" i="162" s="1"/>
  <c r="CA111" i="159"/>
  <c r="BZ111" i="159"/>
  <c r="AS111" i="159"/>
  <c r="AQ111" i="159"/>
  <c r="AR111" i="159" s="1"/>
  <c r="O112" i="160"/>
  <c r="T112" i="160"/>
  <c r="AK112" i="160"/>
  <c r="AU112" i="160"/>
  <c r="AP112" i="160"/>
  <c r="BE112" i="160"/>
  <c r="AZ112" i="160"/>
  <c r="BJ112" i="160"/>
  <c r="BR93" i="158"/>
  <c r="CF93" i="158" s="1"/>
  <c r="BP93" i="158"/>
  <c r="CD93" i="158" s="1"/>
  <c r="BQ93" i="158"/>
  <c r="CE93" i="158" s="1"/>
  <c r="AB93" i="158"/>
  <c r="AC93" i="158" s="1"/>
  <c r="AG93" i="158" s="1"/>
  <c r="Z93" i="158"/>
  <c r="AA93" i="158" s="1"/>
  <c r="BW93" i="158"/>
  <c r="BY93" i="158"/>
  <c r="F93" i="158"/>
  <c r="H93" i="158"/>
  <c r="I93" i="158" s="1"/>
  <c r="M93" i="158" s="1"/>
  <c r="U93" i="158"/>
  <c r="V93" i="158" s="1"/>
  <c r="AE93" i="158"/>
  <c r="AF93" i="158" s="1"/>
  <c r="R93" i="158"/>
  <c r="S93" i="158" s="1"/>
  <c r="W93" i="158" s="1"/>
  <c r="P93" i="158"/>
  <c r="Q93" i="158" s="1"/>
  <c r="BX93" i="158"/>
  <c r="CR111" i="162" l="1"/>
  <c r="CX111" i="162"/>
  <c r="CV111" i="162"/>
  <c r="CZ111" i="162"/>
  <c r="CW111" i="162"/>
  <c r="AC112" i="160"/>
  <c r="CT111" i="162"/>
  <c r="CL111" i="162"/>
  <c r="AU112" i="163"/>
  <c r="CU111" i="162"/>
  <c r="CP111" i="162"/>
  <c r="CS111" i="162"/>
  <c r="CN111" i="162"/>
  <c r="CQ111" i="162"/>
  <c r="CO111" i="162"/>
  <c r="CM111" i="162"/>
  <c r="CK111" i="162"/>
  <c r="CP111" i="163"/>
  <c r="CV111" i="163"/>
  <c r="CK111" i="163"/>
  <c r="CM111" i="163"/>
  <c r="CL111" i="163"/>
  <c r="CN111" i="163"/>
  <c r="CQ111" i="163"/>
  <c r="CR111" i="163"/>
  <c r="CO111" i="163"/>
  <c r="CT111" i="163"/>
  <c r="CS111" i="163"/>
  <c r="CZ111" i="163"/>
  <c r="CU111" i="163"/>
  <c r="CX111" i="163"/>
  <c r="CY111" i="163"/>
  <c r="CW111" i="163"/>
  <c r="CY111" i="162"/>
  <c r="AG112" i="160"/>
  <c r="BW112" i="160"/>
  <c r="BJ112" i="162"/>
  <c r="BK112" i="162" s="1"/>
  <c r="BL112" i="162" s="1"/>
  <c r="Z112" i="160"/>
  <c r="AA112" i="160" s="1"/>
  <c r="BE112" i="162"/>
  <c r="BH112" i="162" s="1"/>
  <c r="AK112" i="162"/>
  <c r="AL112" i="162" s="1"/>
  <c r="AM112" i="162" s="1"/>
  <c r="AX112" i="163"/>
  <c r="AV112" i="163"/>
  <c r="AW112" i="163" s="1"/>
  <c r="U112" i="160"/>
  <c r="V112" i="160" s="1"/>
  <c r="AU112" i="162"/>
  <c r="BJ112" i="163"/>
  <c r="R112" i="160"/>
  <c r="S112" i="160" s="1"/>
  <c r="W112" i="160" s="1"/>
  <c r="P112" i="160"/>
  <c r="Q112" i="160" s="1"/>
  <c r="BX112" i="160"/>
  <c r="BU112" i="160" s="1"/>
  <c r="CI112" i="160" s="1"/>
  <c r="AM111" i="159"/>
  <c r="BK112" i="160"/>
  <c r="BL112" i="160" s="1"/>
  <c r="BA112" i="160"/>
  <c r="BB112" i="160" s="1"/>
  <c r="AZ112" i="163"/>
  <c r="CA112" i="163" s="1"/>
  <c r="CB112" i="160"/>
  <c r="BP112" i="160" s="1"/>
  <c r="CD112" i="160" s="1"/>
  <c r="BF112" i="160"/>
  <c r="BG112" i="160" s="1"/>
  <c r="BH112" i="160"/>
  <c r="BI112" i="160" s="1"/>
  <c r="BM112" i="160" s="1"/>
  <c r="AZ112" i="162"/>
  <c r="AP112" i="163"/>
  <c r="AS112" i="160"/>
  <c r="AQ112" i="160"/>
  <c r="AR112" i="160" s="1"/>
  <c r="BY112" i="160"/>
  <c r="F112" i="160"/>
  <c r="G112" i="160" s="1"/>
  <c r="H112" i="160"/>
  <c r="I112" i="160" s="1"/>
  <c r="M112" i="160"/>
  <c r="K112" i="160"/>
  <c r="L112" i="160" s="1"/>
  <c r="BE112" i="163"/>
  <c r="BT111" i="159"/>
  <c r="CH111" i="159" s="1"/>
  <c r="BU111" i="159"/>
  <c r="CI111" i="159" s="1"/>
  <c r="BS111" i="159"/>
  <c r="CG111" i="159" s="1"/>
  <c r="CA112" i="160"/>
  <c r="AV112" i="160"/>
  <c r="AW112" i="160" s="1"/>
  <c r="AX112" i="160"/>
  <c r="AY112" i="160" s="1"/>
  <c r="BC112" i="160" s="1"/>
  <c r="BR111" i="159"/>
  <c r="CF111" i="159" s="1"/>
  <c r="BQ111" i="159"/>
  <c r="CE111" i="159" s="1"/>
  <c r="BP111" i="159"/>
  <c r="CD111" i="159" s="1"/>
  <c r="T112" i="163"/>
  <c r="O112" i="163"/>
  <c r="Y112" i="163"/>
  <c r="J112" i="163"/>
  <c r="AD112" i="163"/>
  <c r="E112" i="163"/>
  <c r="AP112" i="162"/>
  <c r="AK112" i="163"/>
  <c r="T112" i="162"/>
  <c r="O112" i="162"/>
  <c r="J112" i="162"/>
  <c r="E112" i="162"/>
  <c r="Y112" i="162"/>
  <c r="AD112" i="162"/>
  <c r="BZ112" i="160"/>
  <c r="AN112" i="160"/>
  <c r="AO112" i="160" s="1"/>
  <c r="AL112" i="160"/>
  <c r="BS93" i="158"/>
  <c r="CG93" i="158" s="1"/>
  <c r="BT93" i="158"/>
  <c r="CH93" i="158" s="1"/>
  <c r="BU93" i="158"/>
  <c r="CI93" i="158" s="1"/>
  <c r="G93" i="158"/>
  <c r="BE94" i="158" s="1"/>
  <c r="CQ93" i="158" l="1"/>
  <c r="CT93" i="158"/>
  <c r="W82" i="79" s="1"/>
  <c r="BI112" i="162"/>
  <c r="BM112" i="162" s="1"/>
  <c r="CY93" i="158"/>
  <c r="AB82" i="79" s="1"/>
  <c r="CS93" i="158"/>
  <c r="V82" i="79" s="1"/>
  <c r="CW93" i="158"/>
  <c r="Z82" i="79" s="1"/>
  <c r="CN111" i="159"/>
  <c r="CL111" i="159"/>
  <c r="CP111" i="159"/>
  <c r="CQ111" i="159"/>
  <c r="CM111" i="159"/>
  <c r="CR111" i="159"/>
  <c r="CO111" i="159"/>
  <c r="CS111" i="159"/>
  <c r="CK111" i="159"/>
  <c r="CT111" i="159"/>
  <c r="CW111" i="159"/>
  <c r="CU111" i="159"/>
  <c r="CV111" i="159"/>
  <c r="CY111" i="159"/>
  <c r="CX111" i="159"/>
  <c r="CZ111" i="159"/>
  <c r="CR93" i="158"/>
  <c r="CZ93" i="158"/>
  <c r="AC82" i="79" s="1"/>
  <c r="CN93" i="158"/>
  <c r="Q82" i="79" s="1"/>
  <c r="CP93" i="158"/>
  <c r="CX93" i="158"/>
  <c r="AA82" i="79" s="1"/>
  <c r="BF112" i="162"/>
  <c r="BG112" i="162" s="1"/>
  <c r="CO93" i="158"/>
  <c r="CV93" i="158"/>
  <c r="Y82" i="79" s="1"/>
  <c r="CM93" i="158"/>
  <c r="P82" i="79" s="1"/>
  <c r="CU93" i="158"/>
  <c r="X82" i="79" s="1"/>
  <c r="CK93" i="158"/>
  <c r="N82" i="79" s="1"/>
  <c r="CL93" i="158"/>
  <c r="O82" i="79" s="1"/>
  <c r="BZ112" i="162"/>
  <c r="CB112" i="162"/>
  <c r="BP112" i="162" s="1"/>
  <c r="CD112" i="162" s="1"/>
  <c r="BE112" i="159"/>
  <c r="BF112" i="159" s="1"/>
  <c r="BG112" i="159" s="1"/>
  <c r="T112" i="159"/>
  <c r="W112" i="159" s="1"/>
  <c r="AN112" i="162"/>
  <c r="J112" i="159"/>
  <c r="M112" i="159" s="1"/>
  <c r="AG112" i="162"/>
  <c r="AE112" i="162"/>
  <c r="AF112" i="162" s="1"/>
  <c r="AC112" i="162"/>
  <c r="F112" i="163"/>
  <c r="G112" i="163" s="1"/>
  <c r="H112" i="163"/>
  <c r="I112" i="163" s="1"/>
  <c r="BY112" i="163"/>
  <c r="BT112" i="160"/>
  <c r="CH112" i="160" s="1"/>
  <c r="BS112" i="160"/>
  <c r="CG112" i="160" s="1"/>
  <c r="Y112" i="159"/>
  <c r="AE112" i="163"/>
  <c r="AF112" i="163" s="1"/>
  <c r="BJ112" i="159"/>
  <c r="AP112" i="159"/>
  <c r="AZ112" i="159"/>
  <c r="BF112" i="163"/>
  <c r="BG112" i="163" s="1"/>
  <c r="BH112" i="163"/>
  <c r="BI112" i="163" s="1"/>
  <c r="AK112" i="159"/>
  <c r="K112" i="163"/>
  <c r="L112" i="163" s="1"/>
  <c r="M112" i="163"/>
  <c r="CB112" i="163"/>
  <c r="BM112" i="163"/>
  <c r="BK112" i="163"/>
  <c r="BL112" i="163" s="1"/>
  <c r="BW112" i="163"/>
  <c r="Z112" i="163"/>
  <c r="AA112" i="163" s="1"/>
  <c r="AB112" i="163"/>
  <c r="AC112" i="163" s="1"/>
  <c r="AG112" i="163" s="1"/>
  <c r="AV112" i="162"/>
  <c r="AW112" i="162" s="1"/>
  <c r="CA112" i="162"/>
  <c r="BQ112" i="162" s="1"/>
  <c r="CE112" i="162" s="1"/>
  <c r="AX112" i="162"/>
  <c r="AY112" i="162" s="1"/>
  <c r="BC112" i="162" s="1"/>
  <c r="M112" i="162"/>
  <c r="K112" i="162"/>
  <c r="L112" i="162" s="1"/>
  <c r="AM112" i="160"/>
  <c r="P112" i="163"/>
  <c r="Q112" i="163" s="1"/>
  <c r="R112" i="163"/>
  <c r="S112" i="163" s="1"/>
  <c r="BX112" i="163"/>
  <c r="BC112" i="163"/>
  <c r="BA112" i="163"/>
  <c r="BB112" i="163" s="1"/>
  <c r="AY112" i="163"/>
  <c r="O112" i="159"/>
  <c r="AO112" i="162"/>
  <c r="Z112" i="162"/>
  <c r="AA112" i="162" s="1"/>
  <c r="BW112" i="162"/>
  <c r="BU112" i="162" s="1"/>
  <c r="CI112" i="162" s="1"/>
  <c r="AB112" i="162"/>
  <c r="BX112" i="162"/>
  <c r="P112" i="162"/>
  <c r="Q112" i="162" s="1"/>
  <c r="R112" i="162"/>
  <c r="S112" i="162" s="1"/>
  <c r="W112" i="162" s="1"/>
  <c r="U112" i="162"/>
  <c r="V112" i="162" s="1"/>
  <c r="W112" i="163"/>
  <c r="U112" i="163"/>
  <c r="V112" i="163" s="1"/>
  <c r="E112" i="159"/>
  <c r="AD112" i="159"/>
  <c r="BR112" i="160"/>
  <c r="CF112" i="160" s="1"/>
  <c r="BQ112" i="160"/>
  <c r="CE112" i="160" s="1"/>
  <c r="BZ112" i="163"/>
  <c r="AN112" i="163"/>
  <c r="AO112" i="163" s="1"/>
  <c r="AL112" i="163"/>
  <c r="AM112" i="163" s="1"/>
  <c r="AQ112" i="163"/>
  <c r="AR112" i="163" s="1"/>
  <c r="AS112" i="163"/>
  <c r="H112" i="162"/>
  <c r="I112" i="162" s="1"/>
  <c r="F112" i="162"/>
  <c r="BY112" i="162"/>
  <c r="AU112" i="159"/>
  <c r="AS112" i="162"/>
  <c r="AQ112" i="162"/>
  <c r="AR112" i="162" s="1"/>
  <c r="BA112" i="162"/>
  <c r="BB112" i="162" s="1"/>
  <c r="AP94" i="158"/>
  <c r="AQ94" i="158" s="1"/>
  <c r="AR94" i="158" s="1"/>
  <c r="AK94" i="158"/>
  <c r="AL94" i="158" s="1"/>
  <c r="AM94" i="158" s="1"/>
  <c r="AZ94" i="158"/>
  <c r="BA94" i="158" s="1"/>
  <c r="BB94" i="158" s="1"/>
  <c r="BJ94" i="158"/>
  <c r="BK94" i="158" s="1"/>
  <c r="BL94" i="158" s="1"/>
  <c r="BF94" i="158"/>
  <c r="BG94" i="158" s="1"/>
  <c r="BH94" i="158"/>
  <c r="AU94" i="158"/>
  <c r="U112" i="159" l="1"/>
  <c r="V112" i="159" s="1"/>
  <c r="CV112" i="160"/>
  <c r="CK112" i="160"/>
  <c r="CL112" i="160"/>
  <c r="CY112" i="160"/>
  <c r="CT112" i="160"/>
  <c r="CR112" i="160"/>
  <c r="CZ112" i="160"/>
  <c r="CS112" i="160"/>
  <c r="CQ112" i="160"/>
  <c r="CM112" i="160"/>
  <c r="CU112" i="160"/>
  <c r="CP112" i="160"/>
  <c r="CO112" i="160"/>
  <c r="CX112" i="160"/>
  <c r="CN112" i="160"/>
  <c r="CW112" i="160"/>
  <c r="BH112" i="159"/>
  <c r="BI112" i="159" s="1"/>
  <c r="BM112" i="159" s="1"/>
  <c r="J113" i="160"/>
  <c r="M113" i="160" s="1"/>
  <c r="BE113" i="160"/>
  <c r="BF113" i="160" s="1"/>
  <c r="BG113" i="160" s="1"/>
  <c r="K112" i="159"/>
  <c r="L112" i="159" s="1"/>
  <c r="BR112" i="162"/>
  <c r="CF112" i="162" s="1"/>
  <c r="E113" i="160"/>
  <c r="H113" i="160" s="1"/>
  <c r="Y113" i="160"/>
  <c r="AD113" i="160"/>
  <c r="AE113" i="160" s="1"/>
  <c r="AF113" i="160" s="1"/>
  <c r="AZ113" i="160"/>
  <c r="BW112" i="159"/>
  <c r="Z112" i="159"/>
  <c r="AA112" i="159" s="1"/>
  <c r="AB112" i="159"/>
  <c r="AC112" i="159" s="1"/>
  <c r="AX112" i="159"/>
  <c r="AY112" i="159" s="1"/>
  <c r="AV112" i="159"/>
  <c r="AW112" i="159" s="1"/>
  <c r="CA112" i="159"/>
  <c r="AG112" i="159"/>
  <c r="AE112" i="159"/>
  <c r="AF112" i="159" s="1"/>
  <c r="BA112" i="159"/>
  <c r="BB112" i="159" s="1"/>
  <c r="BC112" i="159"/>
  <c r="AK113" i="160"/>
  <c r="AU113" i="160"/>
  <c r="F112" i="159"/>
  <c r="H112" i="159"/>
  <c r="I112" i="159" s="1"/>
  <c r="BY112" i="159"/>
  <c r="AS112" i="159"/>
  <c r="AQ112" i="159"/>
  <c r="AR112" i="159" s="1"/>
  <c r="T113" i="160"/>
  <c r="AN112" i="159"/>
  <c r="AO112" i="159" s="1"/>
  <c r="BZ112" i="159"/>
  <c r="AL112" i="159"/>
  <c r="BK112" i="159"/>
  <c r="BL112" i="159" s="1"/>
  <c r="BS112" i="163"/>
  <c r="CG112" i="163" s="1"/>
  <c r="BT112" i="163"/>
  <c r="CH112" i="163" s="1"/>
  <c r="BU112" i="163"/>
  <c r="CI112" i="163" s="1"/>
  <c r="G112" i="162"/>
  <c r="O113" i="160"/>
  <c r="BJ113" i="160"/>
  <c r="BT112" i="162"/>
  <c r="CH112" i="162" s="1"/>
  <c r="BS112" i="162"/>
  <c r="CG112" i="162" s="1"/>
  <c r="AN94" i="158"/>
  <c r="AO94" i="158" s="1"/>
  <c r="AS94" i="158" s="1"/>
  <c r="BR112" i="163"/>
  <c r="CF112" i="163" s="1"/>
  <c r="BQ112" i="163"/>
  <c r="CE112" i="163" s="1"/>
  <c r="BP112" i="163"/>
  <c r="CD112" i="163" s="1"/>
  <c r="P112" i="159"/>
  <c r="Q112" i="159" s="1"/>
  <c r="BX112" i="159"/>
  <c r="R112" i="159"/>
  <c r="S112" i="159" s="1"/>
  <c r="AP113" i="160"/>
  <c r="CB112" i="159"/>
  <c r="CB94" i="158"/>
  <c r="BI94" i="158"/>
  <c r="BM94" i="158" s="1"/>
  <c r="BZ94" i="158"/>
  <c r="E94" i="158"/>
  <c r="E83" i="79" s="1"/>
  <c r="J94" i="158"/>
  <c r="T94" i="158"/>
  <c r="O94" i="158"/>
  <c r="H83" i="79" s="1"/>
  <c r="AD94" i="158"/>
  <c r="K83" i="79" s="1"/>
  <c r="CA94" i="158"/>
  <c r="AV94" i="158"/>
  <c r="AW94" i="158" s="1"/>
  <c r="AX94" i="158"/>
  <c r="AY94" i="158" s="1"/>
  <c r="BC94" i="158" s="1"/>
  <c r="Y94" i="158"/>
  <c r="G83" i="79" s="1"/>
  <c r="CR112" i="162" l="1"/>
  <c r="CK112" i="162"/>
  <c r="CV112" i="162"/>
  <c r="CL112" i="162"/>
  <c r="CX112" i="162"/>
  <c r="CZ112" i="162"/>
  <c r="CO112" i="162"/>
  <c r="CW112" i="162"/>
  <c r="CM112" i="162"/>
  <c r="CY112" i="162"/>
  <c r="CQ112" i="162"/>
  <c r="CP112" i="163"/>
  <c r="CR112" i="163"/>
  <c r="CO112" i="163"/>
  <c r="CQ112" i="163"/>
  <c r="CM112" i="163"/>
  <c r="CL112" i="163"/>
  <c r="CV112" i="163"/>
  <c r="CK112" i="163"/>
  <c r="CN112" i="163"/>
  <c r="CZ112" i="163"/>
  <c r="CU112" i="163"/>
  <c r="CT112" i="163"/>
  <c r="CS112" i="163"/>
  <c r="CY112" i="163"/>
  <c r="CX112" i="163"/>
  <c r="CW112" i="163"/>
  <c r="K113" i="160"/>
  <c r="L113" i="160" s="1"/>
  <c r="I113" i="160"/>
  <c r="CS112" i="162"/>
  <c r="CN112" i="162"/>
  <c r="CU112" i="162"/>
  <c r="CP112" i="162"/>
  <c r="CT112" i="162"/>
  <c r="L83" i="79"/>
  <c r="BY113" i="160"/>
  <c r="F113" i="160"/>
  <c r="G113" i="160" s="1"/>
  <c r="I83" i="79"/>
  <c r="BJ113" i="162"/>
  <c r="BK113" i="162" s="1"/>
  <c r="BL113" i="162" s="1"/>
  <c r="BH113" i="160"/>
  <c r="BI113" i="160" s="1"/>
  <c r="BM113" i="160" s="1"/>
  <c r="E113" i="163"/>
  <c r="F113" i="163" s="1"/>
  <c r="G113" i="163" s="1"/>
  <c r="BW113" i="160"/>
  <c r="T113" i="163"/>
  <c r="U113" i="163" s="1"/>
  <c r="V113" i="163" s="1"/>
  <c r="AB113" i="160"/>
  <c r="AC113" i="160" s="1"/>
  <c r="AG113" i="160" s="1"/>
  <c r="Z113" i="160"/>
  <c r="AA113" i="160" s="1"/>
  <c r="J113" i="162"/>
  <c r="M113" i="162" s="1"/>
  <c r="Y113" i="163"/>
  <c r="AB113" i="163" s="1"/>
  <c r="BS112" i="159"/>
  <c r="CG112" i="159" s="1"/>
  <c r="BU112" i="159"/>
  <c r="CI112" i="159" s="1"/>
  <c r="BT112" i="159"/>
  <c r="CH112" i="159" s="1"/>
  <c r="AZ113" i="162"/>
  <c r="AU113" i="162"/>
  <c r="AP113" i="162"/>
  <c r="J113" i="163"/>
  <c r="AM112" i="159"/>
  <c r="AD113" i="163"/>
  <c r="AE113" i="163" s="1"/>
  <c r="AF113" i="163" s="1"/>
  <c r="BQ112" i="159"/>
  <c r="CE112" i="159" s="1"/>
  <c r="BR112" i="159"/>
  <c r="CF112" i="159" s="1"/>
  <c r="BP112" i="159"/>
  <c r="CD112" i="159" s="1"/>
  <c r="G112" i="159"/>
  <c r="AD113" i="162"/>
  <c r="Y113" i="162"/>
  <c r="BK113" i="160"/>
  <c r="BL113" i="160" s="1"/>
  <c r="E113" i="162"/>
  <c r="BA113" i="160"/>
  <c r="BB113" i="160" s="1"/>
  <c r="P113" i="160"/>
  <c r="Q113" i="160" s="1"/>
  <c r="BX113" i="160"/>
  <c r="BS113" i="160" s="1"/>
  <c r="CG113" i="160" s="1"/>
  <c r="R113" i="160"/>
  <c r="S113" i="160" s="1"/>
  <c r="U113" i="160"/>
  <c r="V113" i="160" s="1"/>
  <c r="W113" i="160"/>
  <c r="AX113" i="160"/>
  <c r="AY113" i="160" s="1"/>
  <c r="BC113" i="160" s="1"/>
  <c r="AV113" i="160"/>
  <c r="AW113" i="160" s="1"/>
  <c r="CA113" i="160"/>
  <c r="AU113" i="163"/>
  <c r="O113" i="163"/>
  <c r="AN113" i="160"/>
  <c r="AO113" i="160" s="1"/>
  <c r="AL113" i="160"/>
  <c r="BZ113" i="160"/>
  <c r="T113" i="162"/>
  <c r="BJ113" i="163"/>
  <c r="AK113" i="163"/>
  <c r="AP113" i="163"/>
  <c r="BE113" i="163"/>
  <c r="AZ113" i="163"/>
  <c r="BE113" i="162"/>
  <c r="O113" i="162"/>
  <c r="CB113" i="160"/>
  <c r="BP113" i="160" s="1"/>
  <c r="CD113" i="160" s="1"/>
  <c r="AQ113" i="160"/>
  <c r="AR113" i="160" s="1"/>
  <c r="AS113" i="160"/>
  <c r="AK113" i="162"/>
  <c r="BT113" i="160"/>
  <c r="CH113" i="160" s="1"/>
  <c r="BQ94" i="158"/>
  <c r="CE94" i="158" s="1"/>
  <c r="BR94" i="158"/>
  <c r="CF94" i="158" s="1"/>
  <c r="BP94" i="158"/>
  <c r="CD94" i="158" s="1"/>
  <c r="AE94" i="158"/>
  <c r="AF94" i="158" s="1"/>
  <c r="P94" i="158"/>
  <c r="Q94" i="158" s="1"/>
  <c r="BX94" i="158"/>
  <c r="R94" i="158"/>
  <c r="S94" i="158" s="1"/>
  <c r="W94" i="158" s="1"/>
  <c r="U94" i="158"/>
  <c r="V94" i="158" s="1"/>
  <c r="BW94" i="158"/>
  <c r="Z94" i="158"/>
  <c r="AA94" i="158" s="1"/>
  <c r="AB94" i="158"/>
  <c r="AC94" i="158" s="1"/>
  <c r="AG94" i="158" s="1"/>
  <c r="K94" i="158"/>
  <c r="L94" i="158" s="1"/>
  <c r="BY94" i="158"/>
  <c r="F94" i="158"/>
  <c r="H94" i="158"/>
  <c r="I94" i="158" s="1"/>
  <c r="M94" i="158" s="1"/>
  <c r="CS112" i="159" l="1"/>
  <c r="CM112" i="159"/>
  <c r="CO112" i="159"/>
  <c r="CL112" i="159"/>
  <c r="CK112" i="159"/>
  <c r="CR112" i="159"/>
  <c r="CN112" i="159"/>
  <c r="CP112" i="159"/>
  <c r="CQ112" i="159"/>
  <c r="CT112" i="159"/>
  <c r="CW112" i="159"/>
  <c r="CV112" i="159"/>
  <c r="CU112" i="159"/>
  <c r="CY112" i="159"/>
  <c r="CZ112" i="159"/>
  <c r="CX112" i="159"/>
  <c r="BY113" i="163"/>
  <c r="H113" i="163"/>
  <c r="I113" i="163" s="1"/>
  <c r="Y113" i="159"/>
  <c r="AB113" i="159" s="1"/>
  <c r="E113" i="159"/>
  <c r="F113" i="159" s="1"/>
  <c r="G113" i="159" s="1"/>
  <c r="W113" i="163"/>
  <c r="AD113" i="159"/>
  <c r="AG113" i="159" s="1"/>
  <c r="K113" i="162"/>
  <c r="L113" i="162" s="1"/>
  <c r="T113" i="159"/>
  <c r="U113" i="159" s="1"/>
  <c r="V113" i="159" s="1"/>
  <c r="Z113" i="163"/>
  <c r="AA113" i="163" s="1"/>
  <c r="AZ113" i="159"/>
  <c r="BC113" i="159" s="1"/>
  <c r="AU113" i="159"/>
  <c r="BJ113" i="159"/>
  <c r="BK113" i="159" s="1"/>
  <c r="BL113" i="159" s="1"/>
  <c r="J113" i="159"/>
  <c r="M113" i="159" s="1"/>
  <c r="BE113" i="159"/>
  <c r="BH113" i="159" s="1"/>
  <c r="O113" i="159"/>
  <c r="AN113" i="162"/>
  <c r="AO113" i="162" s="1"/>
  <c r="BZ113" i="162"/>
  <c r="AL113" i="162"/>
  <c r="BH113" i="162"/>
  <c r="BI113" i="162" s="1"/>
  <c r="BM113" i="162" s="1"/>
  <c r="BF113" i="162"/>
  <c r="BG113" i="162" s="1"/>
  <c r="CB113" i="162"/>
  <c r="BP113" i="162" s="1"/>
  <c r="CD113" i="162" s="1"/>
  <c r="BC113" i="163"/>
  <c r="BA113" i="163"/>
  <c r="BB113" i="163" s="1"/>
  <c r="BQ113" i="160"/>
  <c r="CE113" i="160" s="1"/>
  <c r="BR113" i="160"/>
  <c r="CF113" i="160" s="1"/>
  <c r="Z113" i="162"/>
  <c r="AA113" i="162" s="1"/>
  <c r="BW113" i="162"/>
  <c r="BU113" i="162" s="1"/>
  <c r="CI113" i="162" s="1"/>
  <c r="AB113" i="162"/>
  <c r="AC113" i="162" s="1"/>
  <c r="BF113" i="163"/>
  <c r="BG113" i="163" s="1"/>
  <c r="BH113" i="163"/>
  <c r="BI113" i="163" s="1"/>
  <c r="CB113" i="163"/>
  <c r="AM113" i="160"/>
  <c r="AG113" i="162"/>
  <c r="AE113" i="162"/>
  <c r="AF113" i="162" s="1"/>
  <c r="AS113" i="162"/>
  <c r="AQ113" i="162"/>
  <c r="AR113" i="162" s="1"/>
  <c r="AQ113" i="163"/>
  <c r="AR113" i="163" s="1"/>
  <c r="AS113" i="163"/>
  <c r="AX113" i="162"/>
  <c r="AY113" i="162" s="1"/>
  <c r="BC113" i="162" s="1"/>
  <c r="CA113" i="162"/>
  <c r="AV113" i="162"/>
  <c r="AW113" i="162" s="1"/>
  <c r="AN113" i="163"/>
  <c r="AO113" i="163" s="1"/>
  <c r="BZ113" i="163"/>
  <c r="AL113" i="163"/>
  <c r="BX113" i="163"/>
  <c r="R113" i="163"/>
  <c r="S113" i="163" s="1"/>
  <c r="P113" i="163"/>
  <c r="Q113" i="163" s="1"/>
  <c r="BA113" i="162"/>
  <c r="BB113" i="162" s="1"/>
  <c r="BM113" i="163"/>
  <c r="BK113" i="163"/>
  <c r="BL113" i="163" s="1"/>
  <c r="AV113" i="163"/>
  <c r="AW113" i="163" s="1"/>
  <c r="AX113" i="163"/>
  <c r="AY113" i="163" s="1"/>
  <c r="CA113" i="163"/>
  <c r="AP113" i="159"/>
  <c r="AK113" i="159"/>
  <c r="M113" i="163"/>
  <c r="K113" i="163"/>
  <c r="L113" i="163" s="1"/>
  <c r="BU113" i="160"/>
  <c r="CI113" i="160" s="1"/>
  <c r="BW113" i="163"/>
  <c r="R113" i="162"/>
  <c r="S113" i="162" s="1"/>
  <c r="W113" i="162" s="1"/>
  <c r="BX113" i="162"/>
  <c r="P113" i="162"/>
  <c r="Q113" i="162" s="1"/>
  <c r="U113" i="162"/>
  <c r="V113" i="162" s="1"/>
  <c r="H113" i="162"/>
  <c r="I113" i="162" s="1"/>
  <c r="BY113" i="162"/>
  <c r="F113" i="162"/>
  <c r="AC113" i="163"/>
  <c r="AG113" i="163" s="1"/>
  <c r="BT94" i="158"/>
  <c r="CH94" i="158" s="1"/>
  <c r="BS94" i="158"/>
  <c r="CG94" i="158" s="1"/>
  <c r="BU94" i="158"/>
  <c r="CI94" i="158" s="1"/>
  <c r="G94" i="158"/>
  <c r="BJ95" i="158" s="1"/>
  <c r="AC113" i="159" l="1"/>
  <c r="CU113" i="160"/>
  <c r="CW94" i="158"/>
  <c r="Z83" i="79" s="1"/>
  <c r="CT94" i="158"/>
  <c r="W83" i="79" s="1"/>
  <c r="CL94" i="158"/>
  <c r="O83" i="79" s="1"/>
  <c r="CK94" i="158"/>
  <c r="N83" i="79" s="1"/>
  <c r="CX113" i="160"/>
  <c r="CL113" i="160"/>
  <c r="CR94" i="158"/>
  <c r="CX94" i="158"/>
  <c r="AA83" i="79" s="1"/>
  <c r="CN113" i="160"/>
  <c r="CP113" i="160"/>
  <c r="BS113" i="163"/>
  <c r="CG113" i="163" s="1"/>
  <c r="CY113" i="160"/>
  <c r="CO113" i="160"/>
  <c r="CM94" i="158"/>
  <c r="P83" i="79" s="1"/>
  <c r="CU94" i="158"/>
  <c r="X83" i="79" s="1"/>
  <c r="CW113" i="160"/>
  <c r="CS94" i="158"/>
  <c r="V83" i="79" s="1"/>
  <c r="H113" i="159"/>
  <c r="I113" i="159" s="1"/>
  <c r="CT113" i="160"/>
  <c r="CQ113" i="160"/>
  <c r="CP94" i="158"/>
  <c r="CZ94" i="158"/>
  <c r="AC83" i="79" s="1"/>
  <c r="CS113" i="160"/>
  <c r="CR113" i="160"/>
  <c r="CQ94" i="158"/>
  <c r="CV94" i="158"/>
  <c r="Y83" i="79" s="1"/>
  <c r="CZ113" i="160"/>
  <c r="CV113" i="160"/>
  <c r="CN94" i="158"/>
  <c r="Q83" i="79" s="1"/>
  <c r="CY94" i="158"/>
  <c r="AB83" i="79" s="1"/>
  <c r="CK113" i="160"/>
  <c r="CM113" i="160"/>
  <c r="CO94" i="158"/>
  <c r="BW113" i="159"/>
  <c r="Z113" i="159"/>
  <c r="AA113" i="159" s="1"/>
  <c r="AE113" i="159"/>
  <c r="AF113" i="159" s="1"/>
  <c r="W113" i="159"/>
  <c r="CA113" i="159"/>
  <c r="BA113" i="159"/>
  <c r="BB113" i="159" s="1"/>
  <c r="BF113" i="159"/>
  <c r="BG113" i="159" s="1"/>
  <c r="BY113" i="159"/>
  <c r="T114" i="160"/>
  <c r="U114" i="160" s="1"/>
  <c r="V114" i="160" s="1"/>
  <c r="AV113" i="159"/>
  <c r="AW113" i="159" s="1"/>
  <c r="K113" i="159"/>
  <c r="L113" i="159" s="1"/>
  <c r="AX113" i="159"/>
  <c r="AY113" i="159" s="1"/>
  <c r="BI113" i="159"/>
  <c r="BM113" i="159" s="1"/>
  <c r="CB113" i="159"/>
  <c r="AM113" i="162"/>
  <c r="BR113" i="162"/>
  <c r="CF113" i="162" s="1"/>
  <c r="BQ113" i="162"/>
  <c r="CE113" i="162" s="1"/>
  <c r="AD114" i="160"/>
  <c r="J114" i="160"/>
  <c r="BX113" i="159"/>
  <c r="R113" i="159"/>
  <c r="S113" i="159" s="1"/>
  <c r="P113" i="159"/>
  <c r="Q113" i="159" s="1"/>
  <c r="BR113" i="163"/>
  <c r="CF113" i="163" s="1"/>
  <c r="BQ113" i="163"/>
  <c r="CE113" i="163" s="1"/>
  <c r="BP113" i="163"/>
  <c r="CD113" i="163" s="1"/>
  <c r="E114" i="160"/>
  <c r="BT113" i="163"/>
  <c r="CH113" i="163" s="1"/>
  <c r="BS113" i="162"/>
  <c r="CG113" i="162" s="1"/>
  <c r="BT113" i="162"/>
  <c r="CH113" i="162" s="1"/>
  <c r="AM113" i="163"/>
  <c r="O114" i="160"/>
  <c r="Y114" i="160"/>
  <c r="BE114" i="160"/>
  <c r="AZ114" i="160"/>
  <c r="AP114" i="160"/>
  <c r="AK114" i="160"/>
  <c r="BJ114" i="160"/>
  <c r="AU114" i="160"/>
  <c r="BU113" i="163"/>
  <c r="CI113" i="163" s="1"/>
  <c r="BZ113" i="159"/>
  <c r="AN113" i="159"/>
  <c r="AO113" i="159" s="1"/>
  <c r="AL113" i="159"/>
  <c r="G113" i="162"/>
  <c r="AS113" i="159"/>
  <c r="AQ113" i="159"/>
  <c r="AR113" i="159" s="1"/>
  <c r="BE95" i="158"/>
  <c r="BH95" i="158" s="1"/>
  <c r="BI95" i="158" s="1"/>
  <c r="BM95" i="158" s="1"/>
  <c r="AP95" i="158"/>
  <c r="AQ95" i="158" s="1"/>
  <c r="AR95" i="158" s="1"/>
  <c r="AZ95" i="158"/>
  <c r="BA95" i="158" s="1"/>
  <c r="BB95" i="158" s="1"/>
  <c r="AK95" i="158"/>
  <c r="AL95" i="158" s="1"/>
  <c r="AM95" i="158" s="1"/>
  <c r="BK95" i="158"/>
  <c r="BL95" i="158" s="1"/>
  <c r="AU95" i="158"/>
  <c r="CY113" i="162" l="1"/>
  <c r="CR113" i="162"/>
  <c r="CU113" i="162"/>
  <c r="CK113" i="162"/>
  <c r="CT113" i="162"/>
  <c r="CN113" i="162"/>
  <c r="CS113" i="162"/>
  <c r="CM113" i="162"/>
  <c r="CO113" i="162"/>
  <c r="CQ113" i="162"/>
  <c r="CV113" i="162"/>
  <c r="CP113" i="162"/>
  <c r="CZ113" i="162"/>
  <c r="CX113" i="162"/>
  <c r="CL113" i="162"/>
  <c r="CN113" i="163"/>
  <c r="CL113" i="163"/>
  <c r="CO113" i="163"/>
  <c r="CK113" i="163"/>
  <c r="CM113" i="163"/>
  <c r="CR113" i="163"/>
  <c r="CP113" i="163"/>
  <c r="CQ113" i="163"/>
  <c r="CV113" i="163"/>
  <c r="CS113" i="163"/>
  <c r="CZ113" i="163"/>
  <c r="CU113" i="163"/>
  <c r="CT113" i="163"/>
  <c r="CY113" i="163"/>
  <c r="CX113" i="163"/>
  <c r="CW113" i="163"/>
  <c r="CW113" i="162"/>
  <c r="AZ114" i="163"/>
  <c r="BC114" i="163" s="1"/>
  <c r="BT113" i="159"/>
  <c r="CH113" i="159" s="1"/>
  <c r="BU113" i="159"/>
  <c r="CI113" i="159" s="1"/>
  <c r="AU114" i="162"/>
  <c r="AX114" i="162" s="1"/>
  <c r="BS113" i="159"/>
  <c r="CG113" i="159" s="1"/>
  <c r="CB95" i="158"/>
  <c r="AP114" i="163"/>
  <c r="AS114" i="163" s="1"/>
  <c r="BF95" i="158"/>
  <c r="BG95" i="158" s="1"/>
  <c r="BJ114" i="163"/>
  <c r="BM114" i="163" s="1"/>
  <c r="J114" i="162"/>
  <c r="K114" i="162" s="1"/>
  <c r="L114" i="162" s="1"/>
  <c r="O114" i="163"/>
  <c r="P114" i="163" s="1"/>
  <c r="Q114" i="163" s="1"/>
  <c r="AK114" i="162"/>
  <c r="AN114" i="162" s="1"/>
  <c r="BE114" i="163"/>
  <c r="BF114" i="163" s="1"/>
  <c r="BG114" i="163" s="1"/>
  <c r="E114" i="163"/>
  <c r="F114" i="163" s="1"/>
  <c r="G114" i="163" s="1"/>
  <c r="AM113" i="159"/>
  <c r="BW114" i="160"/>
  <c r="AG114" i="160"/>
  <c r="AE114" i="160"/>
  <c r="AF114" i="160" s="1"/>
  <c r="CB114" i="160"/>
  <c r="BP114" i="160" s="1"/>
  <c r="CD114" i="160" s="1"/>
  <c r="BF114" i="160"/>
  <c r="BG114" i="160" s="1"/>
  <c r="BH114" i="160"/>
  <c r="BI114" i="160" s="1"/>
  <c r="BM114" i="160" s="1"/>
  <c r="BQ113" i="159"/>
  <c r="CE113" i="159" s="1"/>
  <c r="BP113" i="159"/>
  <c r="CD113" i="159" s="1"/>
  <c r="BR113" i="159"/>
  <c r="CF113" i="159" s="1"/>
  <c r="Z114" i="160"/>
  <c r="AA114" i="160" s="1"/>
  <c r="AB114" i="160"/>
  <c r="AC114" i="160" s="1"/>
  <c r="BX114" i="160"/>
  <c r="P114" i="160"/>
  <c r="Q114" i="160" s="1"/>
  <c r="R114" i="160"/>
  <c r="S114" i="160" s="1"/>
  <c r="W114" i="160" s="1"/>
  <c r="H114" i="160"/>
  <c r="I114" i="160" s="1"/>
  <c r="F114" i="160"/>
  <c r="G114" i="160" s="1"/>
  <c r="BY114" i="160"/>
  <c r="BA114" i="160"/>
  <c r="BB114" i="160" s="1"/>
  <c r="BJ114" i="162"/>
  <c r="CA114" i="160"/>
  <c r="AX114" i="160"/>
  <c r="AY114" i="160" s="1"/>
  <c r="BC114" i="160" s="1"/>
  <c r="AV114" i="160"/>
  <c r="AW114" i="160" s="1"/>
  <c r="T114" i="163"/>
  <c r="AP114" i="162"/>
  <c r="BK114" i="160"/>
  <c r="BL114" i="160" s="1"/>
  <c r="Y114" i="163"/>
  <c r="AL114" i="160"/>
  <c r="AM114" i="160" s="1"/>
  <c r="BZ114" i="160"/>
  <c r="AN114" i="160"/>
  <c r="AO114" i="160" s="1"/>
  <c r="AK114" i="163"/>
  <c r="AU114" i="163"/>
  <c r="BE114" i="162"/>
  <c r="AD114" i="162"/>
  <c r="T114" i="162"/>
  <c r="E114" i="162"/>
  <c r="Y114" i="162"/>
  <c r="O114" i="162"/>
  <c r="AS114" i="160"/>
  <c r="AQ114" i="160"/>
  <c r="AR114" i="160" s="1"/>
  <c r="AD114" i="163"/>
  <c r="J114" i="163"/>
  <c r="AZ114" i="162"/>
  <c r="M114" i="160"/>
  <c r="K114" i="160"/>
  <c r="L114" i="160" s="1"/>
  <c r="AN95" i="158"/>
  <c r="AO95" i="158" s="1"/>
  <c r="AS95" i="158" s="1"/>
  <c r="BZ95" i="158"/>
  <c r="O95" i="158"/>
  <c r="H84" i="79" s="1"/>
  <c r="J95" i="158"/>
  <c r="AV95" i="158"/>
  <c r="AW95" i="158" s="1"/>
  <c r="CA95" i="158"/>
  <c r="AX95" i="158"/>
  <c r="AY95" i="158" s="1"/>
  <c r="BC95" i="158" s="1"/>
  <c r="T95" i="158"/>
  <c r="AD95" i="158"/>
  <c r="K84" i="79" s="1"/>
  <c r="E95" i="158"/>
  <c r="E84" i="79" s="1"/>
  <c r="Y95" i="158"/>
  <c r="G84" i="79" s="1"/>
  <c r="AV114" i="162" l="1"/>
  <c r="AW114" i="162" s="1"/>
  <c r="AQ114" i="163"/>
  <c r="AR114" i="163" s="1"/>
  <c r="BA114" i="163"/>
  <c r="BB114" i="163" s="1"/>
  <c r="BK114" i="163"/>
  <c r="BL114" i="163" s="1"/>
  <c r="CR113" i="159"/>
  <c r="CK113" i="159"/>
  <c r="CL113" i="159"/>
  <c r="CO113" i="159"/>
  <c r="CQ113" i="159"/>
  <c r="CN113" i="159"/>
  <c r="CP113" i="159"/>
  <c r="CM113" i="159"/>
  <c r="CS113" i="159"/>
  <c r="CW113" i="159"/>
  <c r="CT113" i="159"/>
  <c r="CU113" i="159"/>
  <c r="CV113" i="159"/>
  <c r="CX113" i="159"/>
  <c r="CY113" i="159"/>
  <c r="CZ113" i="159"/>
  <c r="L84" i="79"/>
  <c r="J114" i="159"/>
  <c r="K114" i="159" s="1"/>
  <c r="L114" i="159" s="1"/>
  <c r="BH114" i="163"/>
  <c r="BI114" i="163" s="1"/>
  <c r="R114" i="163"/>
  <c r="S114" i="163" s="1"/>
  <c r="CB114" i="163"/>
  <c r="AL114" i="162"/>
  <c r="AM114" i="162" s="1"/>
  <c r="M114" i="162"/>
  <c r="BY114" i="163"/>
  <c r="H114" i="163"/>
  <c r="I114" i="163" s="1"/>
  <c r="I84" i="79"/>
  <c r="BF114" i="162"/>
  <c r="BG114" i="162" s="1"/>
  <c r="BH114" i="162"/>
  <c r="BI114" i="162" s="1"/>
  <c r="BM114" i="162" s="1"/>
  <c r="CB114" i="162"/>
  <c r="BP114" i="162" s="1"/>
  <c r="CD114" i="162" s="1"/>
  <c r="W114" i="163"/>
  <c r="U114" i="163"/>
  <c r="V114" i="163" s="1"/>
  <c r="O114" i="159"/>
  <c r="AO114" i="162"/>
  <c r="CA114" i="163"/>
  <c r="AX114" i="163"/>
  <c r="AY114" i="163" s="1"/>
  <c r="AV114" i="163"/>
  <c r="AW114" i="163" s="1"/>
  <c r="BS114" i="160"/>
  <c r="CG114" i="160" s="1"/>
  <c r="BT114" i="160"/>
  <c r="CH114" i="160" s="1"/>
  <c r="AE114" i="162"/>
  <c r="AF114" i="162" s="1"/>
  <c r="AG114" i="162"/>
  <c r="AN114" i="163"/>
  <c r="AO114" i="163" s="1"/>
  <c r="AL114" i="163"/>
  <c r="BZ114" i="163"/>
  <c r="AD114" i="159"/>
  <c r="R114" i="162"/>
  <c r="S114" i="162" s="1"/>
  <c r="W114" i="162" s="1"/>
  <c r="P114" i="162"/>
  <c r="Q114" i="162" s="1"/>
  <c r="BX114" i="162"/>
  <c r="E114" i="159"/>
  <c r="AQ114" i="162"/>
  <c r="AR114" i="162" s="1"/>
  <c r="AS114" i="162"/>
  <c r="BA114" i="162"/>
  <c r="BB114" i="162" s="1"/>
  <c r="BW114" i="162"/>
  <c r="BU114" i="162" s="1"/>
  <c r="CI114" i="162" s="1"/>
  <c r="AB114" i="162"/>
  <c r="AC114" i="162" s="1"/>
  <c r="Z114" i="162"/>
  <c r="AA114" i="162" s="1"/>
  <c r="Z114" i="163"/>
  <c r="AA114" i="163" s="1"/>
  <c r="BW114" i="163"/>
  <c r="AB114" i="163"/>
  <c r="AC114" i="163" s="1"/>
  <c r="AG114" i="163" s="1"/>
  <c r="AZ114" i="159"/>
  <c r="AK114" i="159"/>
  <c r="AP114" i="159"/>
  <c r="AU114" i="159"/>
  <c r="BE114" i="159"/>
  <c r="BJ114" i="159"/>
  <c r="BU114" i="160"/>
  <c r="CI114" i="160" s="1"/>
  <c r="T114" i="159"/>
  <c r="CA114" i="162"/>
  <c r="K114" i="163"/>
  <c r="M114" i="163"/>
  <c r="H114" i="162"/>
  <c r="I114" i="162" s="1"/>
  <c r="F114" i="162"/>
  <c r="BY114" i="162"/>
  <c r="BQ114" i="160"/>
  <c r="CE114" i="160" s="1"/>
  <c r="BR114" i="160"/>
  <c r="CF114" i="160" s="1"/>
  <c r="BK114" i="162"/>
  <c r="BL114" i="162" s="1"/>
  <c r="Y114" i="159"/>
  <c r="AE114" i="163"/>
  <c r="AF114" i="163" s="1"/>
  <c r="U114" i="162"/>
  <c r="V114" i="162" s="1"/>
  <c r="BZ114" i="162"/>
  <c r="BX114" i="163"/>
  <c r="AY114" i="162"/>
  <c r="BC114" i="162" s="1"/>
  <c r="BP95" i="158"/>
  <c r="CD95" i="158" s="1"/>
  <c r="BQ95" i="158"/>
  <c r="CE95" i="158" s="1"/>
  <c r="BR95" i="158"/>
  <c r="CF95" i="158" s="1"/>
  <c r="U95" i="158"/>
  <c r="V95" i="158" s="1"/>
  <c r="AE95" i="158"/>
  <c r="AF95" i="158" s="1"/>
  <c r="Z95" i="158"/>
  <c r="AA95" i="158" s="1"/>
  <c r="AB95" i="158"/>
  <c r="AC95" i="158" s="1"/>
  <c r="AG95" i="158" s="1"/>
  <c r="BW95" i="158"/>
  <c r="K95" i="158"/>
  <c r="L95" i="158" s="1"/>
  <c r="BY95" i="158"/>
  <c r="H95" i="158"/>
  <c r="I95" i="158" s="1"/>
  <c r="M95" i="158" s="1"/>
  <c r="F95" i="158"/>
  <c r="P95" i="158"/>
  <c r="Q95" i="158" s="1"/>
  <c r="BX95" i="158"/>
  <c r="R95" i="158"/>
  <c r="S95" i="158" s="1"/>
  <c r="W95" i="158" s="1"/>
  <c r="M114" i="159" l="1"/>
  <c r="CN114" i="160"/>
  <c r="CP114" i="160"/>
  <c r="CW114" i="160"/>
  <c r="CR114" i="160"/>
  <c r="CY114" i="160"/>
  <c r="CO114" i="160"/>
  <c r="CX114" i="160"/>
  <c r="CT114" i="160"/>
  <c r="CV114" i="160"/>
  <c r="CS114" i="160"/>
  <c r="CQ114" i="160"/>
  <c r="CZ114" i="160"/>
  <c r="CM114" i="160"/>
  <c r="CK114" i="160"/>
  <c r="CU114" i="160"/>
  <c r="CL114" i="160"/>
  <c r="AU115" i="160"/>
  <c r="AX115" i="160" s="1"/>
  <c r="BU114" i="163"/>
  <c r="CI114" i="163" s="1"/>
  <c r="BJ115" i="160"/>
  <c r="BK115" i="160" s="1"/>
  <c r="BL115" i="160" s="1"/>
  <c r="AZ115" i="160"/>
  <c r="T115" i="160"/>
  <c r="U115" i="160" s="1"/>
  <c r="V115" i="160" s="1"/>
  <c r="BQ114" i="162"/>
  <c r="CE114" i="162" s="1"/>
  <c r="BR114" i="162"/>
  <c r="CF114" i="162" s="1"/>
  <c r="BK114" i="159"/>
  <c r="BL114" i="159" s="1"/>
  <c r="J115" i="160"/>
  <c r="R114" i="159"/>
  <c r="S114" i="159" s="1"/>
  <c r="BX114" i="159"/>
  <c r="P114" i="159"/>
  <c r="Q114" i="159" s="1"/>
  <c r="CB114" i="159"/>
  <c r="BF114" i="159"/>
  <c r="BG114" i="159" s="1"/>
  <c r="BH114" i="159"/>
  <c r="BI114" i="159" s="1"/>
  <c r="BM114" i="159" s="1"/>
  <c r="E115" i="160"/>
  <c r="BT114" i="162"/>
  <c r="CH114" i="162" s="1"/>
  <c r="BS114" i="162"/>
  <c r="AV114" i="159"/>
  <c r="AW114" i="159" s="1"/>
  <c r="CA114" i="159"/>
  <c r="AX114" i="159"/>
  <c r="AY114" i="159" s="1"/>
  <c r="AS114" i="159"/>
  <c r="AQ114" i="159"/>
  <c r="AR114" i="159" s="1"/>
  <c r="AE114" i="159"/>
  <c r="AF114" i="159" s="1"/>
  <c r="AG114" i="159"/>
  <c r="Z114" i="159"/>
  <c r="AA114" i="159" s="1"/>
  <c r="BW114" i="159"/>
  <c r="AB114" i="159"/>
  <c r="AC114" i="159" s="1"/>
  <c r="G114" i="162"/>
  <c r="BE115" i="160"/>
  <c r="AP115" i="160"/>
  <c r="L114" i="163"/>
  <c r="AN114" i="159"/>
  <c r="AO114" i="159" s="1"/>
  <c r="AL114" i="159"/>
  <c r="BZ114" i="159"/>
  <c r="BS114" i="163"/>
  <c r="CG114" i="163" s="1"/>
  <c r="BA114" i="159"/>
  <c r="BB114" i="159" s="1"/>
  <c r="BC114" i="159"/>
  <c r="F114" i="159"/>
  <c r="G114" i="159" s="1"/>
  <c r="H114" i="159"/>
  <c r="I114" i="159" s="1"/>
  <c r="BY114" i="159"/>
  <c r="BP114" i="163"/>
  <c r="CD114" i="163" s="1"/>
  <c r="BQ114" i="163"/>
  <c r="CE114" i="163" s="1"/>
  <c r="AD115" i="160"/>
  <c r="BR114" i="163"/>
  <c r="CF114" i="163" s="1"/>
  <c r="BT114" i="163"/>
  <c r="CH114" i="163" s="1"/>
  <c r="U114" i="159"/>
  <c r="V114" i="159" s="1"/>
  <c r="W114" i="159"/>
  <c r="O115" i="160"/>
  <c r="AK115" i="160"/>
  <c r="AM114" i="163"/>
  <c r="Y115" i="160"/>
  <c r="BS95" i="158"/>
  <c r="CG95" i="158" s="1"/>
  <c r="BT95" i="158"/>
  <c r="CH95" i="158" s="1"/>
  <c r="BU95" i="158"/>
  <c r="CI95" i="158" s="1"/>
  <c r="G95" i="158"/>
  <c r="AV115" i="160" l="1"/>
  <c r="AW115" i="160" s="1"/>
  <c r="CA115" i="160"/>
  <c r="CU95" i="158"/>
  <c r="X84" i="79" s="1"/>
  <c r="AZ115" i="162"/>
  <c r="AY115" i="160"/>
  <c r="BC115" i="160" s="1"/>
  <c r="BA115" i="160"/>
  <c r="BB115" i="160" s="1"/>
  <c r="CZ95" i="158"/>
  <c r="AC84" i="79" s="1"/>
  <c r="CY95" i="158"/>
  <c r="AB84" i="79" s="1"/>
  <c r="CR95" i="158"/>
  <c r="CX95" i="158"/>
  <c r="AA84" i="79" s="1"/>
  <c r="CB115" i="160"/>
  <c r="BP115" i="160" s="1"/>
  <c r="CD115" i="160" s="1"/>
  <c r="CO95" i="158"/>
  <c r="CS95" i="158"/>
  <c r="V84" i="79" s="1"/>
  <c r="CP95" i="158"/>
  <c r="CT95" i="158"/>
  <c r="W84" i="79" s="1"/>
  <c r="CL95" i="158"/>
  <c r="O84" i="79" s="1"/>
  <c r="CV95" i="158"/>
  <c r="Y84" i="79" s="1"/>
  <c r="CN95" i="158"/>
  <c r="Q84" i="79" s="1"/>
  <c r="CW95" i="158"/>
  <c r="Z84" i="79" s="1"/>
  <c r="AD115" i="162"/>
  <c r="AG115" i="162" s="1"/>
  <c r="CG114" i="162"/>
  <c r="CW114" i="162" s="1"/>
  <c r="CM95" i="158"/>
  <c r="P84" i="79" s="1"/>
  <c r="CQ95" i="158"/>
  <c r="CL114" i="163"/>
  <c r="CM114" i="163"/>
  <c r="CV114" i="163"/>
  <c r="CP114" i="163"/>
  <c r="CK114" i="163"/>
  <c r="CN114" i="163"/>
  <c r="CQ114" i="163"/>
  <c r="CO114" i="163"/>
  <c r="CR114" i="163"/>
  <c r="CU114" i="163"/>
  <c r="CS114" i="163"/>
  <c r="CT114" i="163"/>
  <c r="CZ114" i="163"/>
  <c r="CY114" i="163"/>
  <c r="CW114" i="163"/>
  <c r="CX114" i="163"/>
  <c r="CK95" i="158"/>
  <c r="N84" i="79" s="1"/>
  <c r="E115" i="162"/>
  <c r="H115" i="162" s="1"/>
  <c r="J115" i="162"/>
  <c r="M115" i="162" s="1"/>
  <c r="E115" i="163"/>
  <c r="H115" i="163" s="1"/>
  <c r="O115" i="163"/>
  <c r="R115" i="163" s="1"/>
  <c r="BE115" i="163"/>
  <c r="BF115" i="163" s="1"/>
  <c r="BG115" i="163" s="1"/>
  <c r="AP115" i="163"/>
  <c r="AQ115" i="163" s="1"/>
  <c r="AR115" i="163" s="1"/>
  <c r="AU115" i="162"/>
  <c r="AV115" i="162" s="1"/>
  <c r="AW115" i="162" s="1"/>
  <c r="AK115" i="162"/>
  <c r="AL115" i="162" s="1"/>
  <c r="AM115" i="162" s="1"/>
  <c r="AM114" i="159"/>
  <c r="AE115" i="162"/>
  <c r="AF115" i="162" s="1"/>
  <c r="F115" i="160"/>
  <c r="H115" i="160"/>
  <c r="I115" i="160" s="1"/>
  <c r="BY115" i="160"/>
  <c r="BA115" i="162"/>
  <c r="BB115" i="162" s="1"/>
  <c r="BS114" i="159"/>
  <c r="CG114" i="159" s="1"/>
  <c r="BT114" i="159"/>
  <c r="CH114" i="159" s="1"/>
  <c r="BU114" i="159"/>
  <c r="CI114" i="159" s="1"/>
  <c r="K115" i="160"/>
  <c r="L115" i="160" s="1"/>
  <c r="M115" i="160"/>
  <c r="AZ115" i="163"/>
  <c r="BR114" i="159"/>
  <c r="CF114" i="159" s="1"/>
  <c r="BP114" i="159"/>
  <c r="CD114" i="159" s="1"/>
  <c r="BQ114" i="159"/>
  <c r="CE114" i="159" s="1"/>
  <c r="AD115" i="163"/>
  <c r="T115" i="163"/>
  <c r="J115" i="163"/>
  <c r="Y115" i="163"/>
  <c r="BE115" i="162"/>
  <c r="AK115" i="163"/>
  <c r="BJ115" i="163"/>
  <c r="CB115" i="163" s="1"/>
  <c r="Z115" i="160"/>
  <c r="AA115" i="160" s="1"/>
  <c r="AB115" i="160"/>
  <c r="AL115" i="160"/>
  <c r="BZ115" i="160"/>
  <c r="BQ115" i="160" s="1"/>
  <c r="CE115" i="160" s="1"/>
  <c r="AN115" i="160"/>
  <c r="AO115" i="160" s="1"/>
  <c r="AQ115" i="160"/>
  <c r="AR115" i="160" s="1"/>
  <c r="AS115" i="160"/>
  <c r="O115" i="162"/>
  <c r="Y115" i="162"/>
  <c r="AC115" i="162" s="1"/>
  <c r="T115" i="162"/>
  <c r="BJ115" i="162"/>
  <c r="AU115" i="163"/>
  <c r="BX115" i="160"/>
  <c r="R115" i="160"/>
  <c r="S115" i="160" s="1"/>
  <c r="W115" i="160" s="1"/>
  <c r="P115" i="160"/>
  <c r="Q115" i="160" s="1"/>
  <c r="BW115" i="160"/>
  <c r="AE115" i="160"/>
  <c r="AF115" i="160" s="1"/>
  <c r="AC115" i="160"/>
  <c r="AG115" i="160" s="1"/>
  <c r="BH115" i="160"/>
  <c r="BI115" i="160" s="1"/>
  <c r="BM115" i="160" s="1"/>
  <c r="BF115" i="160"/>
  <c r="BG115" i="160" s="1"/>
  <c r="AP115" i="162"/>
  <c r="AK96" i="158"/>
  <c r="AL96" i="158" s="1"/>
  <c r="AM96" i="158" s="1"/>
  <c r="AU96" i="158"/>
  <c r="AX96" i="158" s="1"/>
  <c r="BJ96" i="158"/>
  <c r="BK96" i="158" s="1"/>
  <c r="BL96" i="158" s="1"/>
  <c r="BE96" i="158"/>
  <c r="BH96" i="158" s="1"/>
  <c r="AZ96" i="158"/>
  <c r="BA96" i="158" s="1"/>
  <c r="BB96" i="158" s="1"/>
  <c r="AP96" i="158"/>
  <c r="AQ96" i="158" s="1"/>
  <c r="AR96" i="158" s="1"/>
  <c r="O96" i="158"/>
  <c r="H85" i="79" s="1"/>
  <c r="CN114" i="162" l="1"/>
  <c r="CY114" i="162"/>
  <c r="I115" i="162"/>
  <c r="F115" i="162"/>
  <c r="G115" i="162" s="1"/>
  <c r="K115" i="162"/>
  <c r="L115" i="162" s="1"/>
  <c r="BY115" i="162"/>
  <c r="CO114" i="162"/>
  <c r="CK114" i="159"/>
  <c r="CL114" i="159"/>
  <c r="CM114" i="159"/>
  <c r="CR114" i="159"/>
  <c r="CQ114" i="159"/>
  <c r="CP114" i="159"/>
  <c r="CO114" i="159"/>
  <c r="CS114" i="159"/>
  <c r="CN114" i="159"/>
  <c r="CW114" i="159"/>
  <c r="CV114" i="159"/>
  <c r="CT114" i="159"/>
  <c r="CU114" i="159"/>
  <c r="CX114" i="159"/>
  <c r="CY114" i="159"/>
  <c r="CZ114" i="159"/>
  <c r="CP114" i="162"/>
  <c r="CL114" i="162"/>
  <c r="CT114" i="162"/>
  <c r="CV114" i="162"/>
  <c r="CZ114" i="162"/>
  <c r="P115" i="163"/>
  <c r="Q115" i="163" s="1"/>
  <c r="CM114" i="162"/>
  <c r="CX114" i="162"/>
  <c r="CK114" i="162"/>
  <c r="CQ114" i="162"/>
  <c r="BX115" i="163"/>
  <c r="CU114" i="162"/>
  <c r="CS114" i="162"/>
  <c r="CR114" i="162"/>
  <c r="BY115" i="163"/>
  <c r="BU115" i="163" s="1"/>
  <c r="CI115" i="163" s="1"/>
  <c r="F115" i="163"/>
  <c r="G115" i="163" s="1"/>
  <c r="AS115" i="163"/>
  <c r="BI96" i="158"/>
  <c r="BM96" i="158" s="1"/>
  <c r="CA115" i="162"/>
  <c r="AX115" i="162"/>
  <c r="AY115" i="162" s="1"/>
  <c r="BC115" i="162" s="1"/>
  <c r="BH115" i="163"/>
  <c r="BI115" i="163" s="1"/>
  <c r="BJ115" i="159"/>
  <c r="BK115" i="159" s="1"/>
  <c r="BL115" i="159" s="1"/>
  <c r="AD115" i="159"/>
  <c r="AE115" i="159" s="1"/>
  <c r="AF115" i="159" s="1"/>
  <c r="O115" i="159"/>
  <c r="R115" i="159" s="1"/>
  <c r="E115" i="159"/>
  <c r="H115" i="159" s="1"/>
  <c r="Y115" i="159"/>
  <c r="Z115" i="159" s="1"/>
  <c r="AA115" i="159" s="1"/>
  <c r="J115" i="159"/>
  <c r="M115" i="159" s="1"/>
  <c r="AN115" i="162"/>
  <c r="AO115" i="162" s="1"/>
  <c r="AB115" i="163"/>
  <c r="AC115" i="163" s="1"/>
  <c r="AG115" i="163" s="1"/>
  <c r="Z115" i="163"/>
  <c r="AA115" i="163" s="1"/>
  <c r="BW115" i="163"/>
  <c r="I115" i="163"/>
  <c r="AS115" i="162"/>
  <c r="AQ115" i="162"/>
  <c r="M115" i="163"/>
  <c r="K115" i="163"/>
  <c r="S115" i="163"/>
  <c r="AN96" i="158"/>
  <c r="AO96" i="158" s="1"/>
  <c r="AS96" i="158" s="1"/>
  <c r="U115" i="163"/>
  <c r="V115" i="163" s="1"/>
  <c r="W115" i="163"/>
  <c r="BS115" i="160"/>
  <c r="CG115" i="160" s="1"/>
  <c r="BT115" i="160"/>
  <c r="CH115" i="160" s="1"/>
  <c r="BF115" i="162"/>
  <c r="BG115" i="162" s="1"/>
  <c r="BH115" i="162"/>
  <c r="BI115" i="162" s="1"/>
  <c r="BM115" i="162" s="1"/>
  <c r="CB115" i="162"/>
  <c r="BP115" i="162" s="1"/>
  <c r="CD115" i="162" s="1"/>
  <c r="CA115" i="163"/>
  <c r="AV115" i="163"/>
  <c r="AW115" i="163" s="1"/>
  <c r="AX115" i="163"/>
  <c r="AY115" i="163" s="1"/>
  <c r="AE115" i="163"/>
  <c r="AF115" i="163" s="1"/>
  <c r="BZ115" i="162"/>
  <c r="BS115" i="163"/>
  <c r="CG115" i="163" s="1"/>
  <c r="BK115" i="162"/>
  <c r="BL115" i="162" s="1"/>
  <c r="BK115" i="163"/>
  <c r="BL115" i="163" s="1"/>
  <c r="BM115" i="163"/>
  <c r="AK115" i="159"/>
  <c r="AZ115" i="159"/>
  <c r="BE115" i="159"/>
  <c r="AU115" i="159"/>
  <c r="G115" i="160"/>
  <c r="AM115" i="160"/>
  <c r="U115" i="162"/>
  <c r="V115" i="162" s="1"/>
  <c r="AN115" i="163"/>
  <c r="AO115" i="163" s="1"/>
  <c r="AL115" i="163"/>
  <c r="BZ115" i="163"/>
  <c r="BA115" i="163"/>
  <c r="BB115" i="163" s="1"/>
  <c r="BC115" i="163"/>
  <c r="BR115" i="160"/>
  <c r="CF115" i="160" s="1"/>
  <c r="BX115" i="162"/>
  <c r="BT115" i="162" s="1"/>
  <c r="CH115" i="162" s="1"/>
  <c r="P115" i="162"/>
  <c r="Q115" i="162" s="1"/>
  <c r="R115" i="162"/>
  <c r="S115" i="162" s="1"/>
  <c r="W115" i="162" s="1"/>
  <c r="BU115" i="160"/>
  <c r="CI115" i="160" s="1"/>
  <c r="AB115" i="162"/>
  <c r="BW115" i="162"/>
  <c r="BU115" i="162" s="1"/>
  <c r="CI115" i="162" s="1"/>
  <c r="Z115" i="162"/>
  <c r="AA115" i="162" s="1"/>
  <c r="AP115" i="159"/>
  <c r="T115" i="159"/>
  <c r="AV96" i="158"/>
  <c r="AW96" i="158" s="1"/>
  <c r="CB96" i="158"/>
  <c r="BF96" i="158"/>
  <c r="BG96" i="158" s="1"/>
  <c r="CA96" i="158"/>
  <c r="BZ96" i="158"/>
  <c r="AY96" i="158"/>
  <c r="BC96" i="158" s="1"/>
  <c r="T96" i="158"/>
  <c r="Y96" i="158"/>
  <c r="G85" i="79" s="1"/>
  <c r="E96" i="158"/>
  <c r="E85" i="79" s="1"/>
  <c r="AD96" i="158"/>
  <c r="K85" i="79" s="1"/>
  <c r="R96" i="158"/>
  <c r="P96" i="158"/>
  <c r="Q96" i="158" s="1"/>
  <c r="J96" i="158"/>
  <c r="BT115" i="163" l="1"/>
  <c r="CH115" i="163" s="1"/>
  <c r="AG115" i="159"/>
  <c r="CU115" i="160"/>
  <c r="CX115" i="160"/>
  <c r="CN115" i="160"/>
  <c r="CW115" i="160"/>
  <c r="CP115" i="160"/>
  <c r="CY115" i="160"/>
  <c r="CL115" i="160"/>
  <c r="CT115" i="160"/>
  <c r="CR115" i="160"/>
  <c r="CZ115" i="160"/>
  <c r="CO115" i="160"/>
  <c r="CS115" i="160"/>
  <c r="CK115" i="160"/>
  <c r="CM115" i="160"/>
  <c r="CV115" i="160"/>
  <c r="CQ115" i="160"/>
  <c r="L85" i="79"/>
  <c r="P115" i="159"/>
  <c r="Q115" i="159" s="1"/>
  <c r="I85" i="79"/>
  <c r="BM115" i="159"/>
  <c r="I115" i="159"/>
  <c r="F115" i="159"/>
  <c r="G115" i="159" s="1"/>
  <c r="AZ116" i="160"/>
  <c r="BA116" i="160" s="1"/>
  <c r="BB116" i="160" s="1"/>
  <c r="AU116" i="160"/>
  <c r="AX116" i="160" s="1"/>
  <c r="BY115" i="159"/>
  <c r="K115" i="159"/>
  <c r="L115" i="159" s="1"/>
  <c r="AB115" i="159"/>
  <c r="AC115" i="159" s="1"/>
  <c r="BW115" i="159"/>
  <c r="E116" i="160"/>
  <c r="F116" i="160" s="1"/>
  <c r="G116" i="160" s="1"/>
  <c r="BS115" i="162"/>
  <c r="CG115" i="162" s="1"/>
  <c r="J116" i="160"/>
  <c r="BJ116" i="160"/>
  <c r="BK116" i="160" s="1"/>
  <c r="BL116" i="160" s="1"/>
  <c r="T116" i="160"/>
  <c r="AX115" i="159"/>
  <c r="AY115" i="159" s="1"/>
  <c r="AV115" i="159"/>
  <c r="AW115" i="159" s="1"/>
  <c r="CA115" i="159"/>
  <c r="AD116" i="160"/>
  <c r="AQ115" i="159"/>
  <c r="AR115" i="159" s="1"/>
  <c r="AS115" i="159"/>
  <c r="CB115" i="159"/>
  <c r="BH115" i="159"/>
  <c r="BI115" i="159" s="1"/>
  <c r="BF115" i="159"/>
  <c r="BG115" i="159" s="1"/>
  <c r="L115" i="163"/>
  <c r="BA115" i="159"/>
  <c r="BB115" i="159" s="1"/>
  <c r="BC115" i="159"/>
  <c r="S115" i="159"/>
  <c r="O116" i="160"/>
  <c r="U115" i="159"/>
  <c r="V115" i="159" s="1"/>
  <c r="W115" i="159"/>
  <c r="BZ115" i="159"/>
  <c r="AN115" i="159"/>
  <c r="AO115" i="159" s="1"/>
  <c r="AL115" i="159"/>
  <c r="Y116" i="160"/>
  <c r="BR115" i="162"/>
  <c r="CF115" i="162" s="1"/>
  <c r="BQ115" i="162"/>
  <c r="CE115" i="162" s="1"/>
  <c r="BQ115" i="163"/>
  <c r="CE115" i="163" s="1"/>
  <c r="BP115" i="163"/>
  <c r="CD115" i="163" s="1"/>
  <c r="AM115" i="163"/>
  <c r="T116" i="163" s="1"/>
  <c r="E116" i="163"/>
  <c r="BR115" i="163"/>
  <c r="CF115" i="163" s="1"/>
  <c r="BX115" i="159"/>
  <c r="AR115" i="162"/>
  <c r="AK116" i="160"/>
  <c r="BE116" i="160"/>
  <c r="AP116" i="160"/>
  <c r="BP96" i="158"/>
  <c r="CD96" i="158" s="1"/>
  <c r="BR96" i="158"/>
  <c r="CF96" i="158" s="1"/>
  <c r="BQ96" i="158"/>
  <c r="CE96" i="158" s="1"/>
  <c r="AE96" i="158"/>
  <c r="AF96" i="158" s="1"/>
  <c r="H96" i="158"/>
  <c r="I96" i="158" s="1"/>
  <c r="M96" i="158" s="1"/>
  <c r="BY96" i="158"/>
  <c r="F96" i="158"/>
  <c r="Z96" i="158"/>
  <c r="AA96" i="158" s="1"/>
  <c r="BW96" i="158"/>
  <c r="AB96" i="158"/>
  <c r="AC96" i="158" s="1"/>
  <c r="AG96" i="158" s="1"/>
  <c r="BX96" i="158"/>
  <c r="U96" i="158"/>
  <c r="V96" i="158" s="1"/>
  <c r="S96" i="158"/>
  <c r="W96" i="158" s="1"/>
  <c r="K96" i="158"/>
  <c r="L96" i="158" s="1"/>
  <c r="Y116" i="162" l="1"/>
  <c r="CP115" i="162"/>
  <c r="AY116" i="160"/>
  <c r="BC116" i="160" s="1"/>
  <c r="CO115" i="162"/>
  <c r="CQ115" i="162"/>
  <c r="CV115" i="162"/>
  <c r="CK115" i="162"/>
  <c r="CY115" i="162"/>
  <c r="CL115" i="162"/>
  <c r="CX115" i="162"/>
  <c r="CM115" i="162"/>
  <c r="CQ115" i="163"/>
  <c r="CV115" i="163"/>
  <c r="CN115" i="163"/>
  <c r="CM115" i="163"/>
  <c r="CL115" i="163"/>
  <c r="CP115" i="163"/>
  <c r="CR115" i="163"/>
  <c r="CK115" i="163"/>
  <c r="CO115" i="163"/>
  <c r="CS115" i="163"/>
  <c r="CT115" i="163"/>
  <c r="CZ115" i="163"/>
  <c r="CU115" i="163"/>
  <c r="CW115" i="163"/>
  <c r="CY115" i="163"/>
  <c r="CX115" i="163"/>
  <c r="CW115" i="162"/>
  <c r="CN115" i="162"/>
  <c r="CT115" i="162"/>
  <c r="CR115" i="162"/>
  <c r="CU115" i="162"/>
  <c r="CZ115" i="162"/>
  <c r="CS115" i="162"/>
  <c r="BS115" i="159"/>
  <c r="CG115" i="159" s="1"/>
  <c r="CA116" i="160"/>
  <c r="AV116" i="160"/>
  <c r="AW116" i="160" s="1"/>
  <c r="BY116" i="160"/>
  <c r="H116" i="160"/>
  <c r="I116" i="160" s="1"/>
  <c r="K116" i="160"/>
  <c r="L116" i="160" s="1"/>
  <c r="M116" i="160"/>
  <c r="E116" i="162"/>
  <c r="H116" i="162" s="1"/>
  <c r="BT115" i="159"/>
  <c r="CH115" i="159" s="1"/>
  <c r="BE116" i="163"/>
  <c r="BF116" i="163" s="1"/>
  <c r="BG116" i="163" s="1"/>
  <c r="AD116" i="162"/>
  <c r="BW116" i="162" s="1"/>
  <c r="BU116" i="162" s="1"/>
  <c r="CI116" i="162" s="1"/>
  <c r="Z116" i="162"/>
  <c r="AA116" i="162" s="1"/>
  <c r="AB116" i="162"/>
  <c r="BU115" i="159"/>
  <c r="CI115" i="159" s="1"/>
  <c r="P116" i="160"/>
  <c r="Q116" i="160" s="1"/>
  <c r="R116" i="160"/>
  <c r="S116" i="160" s="1"/>
  <c r="W116" i="160" s="1"/>
  <c r="AZ116" i="162"/>
  <c r="AU116" i="162"/>
  <c r="AK116" i="162"/>
  <c r="AP116" i="162"/>
  <c r="BE116" i="162"/>
  <c r="BJ116" i="162"/>
  <c r="AD116" i="163"/>
  <c r="AS116" i="160"/>
  <c r="AQ116" i="160"/>
  <c r="AR116" i="160" s="1"/>
  <c r="AP116" i="163"/>
  <c r="BJ116" i="163"/>
  <c r="AZ116" i="163"/>
  <c r="AU116" i="163"/>
  <c r="AK116" i="163"/>
  <c r="BX116" i="160"/>
  <c r="U116" i="160"/>
  <c r="V116" i="160" s="1"/>
  <c r="BW116" i="160"/>
  <c r="AB116" i="160"/>
  <c r="AC116" i="160" s="1"/>
  <c r="AG116" i="160" s="1"/>
  <c r="Z116" i="160"/>
  <c r="AA116" i="160" s="1"/>
  <c r="AE116" i="160"/>
  <c r="AF116" i="160" s="1"/>
  <c r="O116" i="162"/>
  <c r="BF116" i="160"/>
  <c r="BG116" i="160" s="1"/>
  <c r="CB116" i="160"/>
  <c r="BP116" i="160" s="1"/>
  <c r="CD116" i="160" s="1"/>
  <c r="BH116" i="160"/>
  <c r="BI116" i="160" s="1"/>
  <c r="BM116" i="160" s="1"/>
  <c r="BZ116" i="160"/>
  <c r="AN116" i="160"/>
  <c r="AO116" i="160" s="1"/>
  <c r="AL116" i="160"/>
  <c r="O116" i="163"/>
  <c r="J116" i="163"/>
  <c r="BY116" i="163" s="1"/>
  <c r="BR115" i="159"/>
  <c r="CF115" i="159" s="1"/>
  <c r="BP115" i="159"/>
  <c r="CD115" i="159" s="1"/>
  <c r="U116" i="163"/>
  <c r="V116" i="163" s="1"/>
  <c r="W116" i="163"/>
  <c r="AM115" i="159"/>
  <c r="BQ115" i="159"/>
  <c r="CE115" i="159" s="1"/>
  <c r="Y116" i="163"/>
  <c r="H116" i="163"/>
  <c r="F116" i="163"/>
  <c r="G116" i="163" s="1"/>
  <c r="T116" i="162"/>
  <c r="J116" i="162"/>
  <c r="BU96" i="158"/>
  <c r="CI96" i="158" s="1"/>
  <c r="BS96" i="158"/>
  <c r="CG96" i="158" s="1"/>
  <c r="BT96" i="158"/>
  <c r="CH96" i="158" s="1"/>
  <c r="G96" i="158"/>
  <c r="CZ96" i="158" l="1"/>
  <c r="AC85" i="79" s="1"/>
  <c r="CO96" i="158"/>
  <c r="CX96" i="158"/>
  <c r="AA85" i="79" s="1"/>
  <c r="CL96" i="158"/>
  <c r="O85" i="79" s="1"/>
  <c r="CW96" i="158"/>
  <c r="Z85" i="79" s="1"/>
  <c r="CK96" i="158"/>
  <c r="N85" i="79" s="1"/>
  <c r="CS96" i="158"/>
  <c r="V85" i="79" s="1"/>
  <c r="CK115" i="159"/>
  <c r="CP115" i="159"/>
  <c r="CS115" i="159"/>
  <c r="CO115" i="159"/>
  <c r="CR115" i="159"/>
  <c r="CQ115" i="159"/>
  <c r="CN115" i="159"/>
  <c r="CL115" i="159"/>
  <c r="CM115" i="159"/>
  <c r="CW115" i="159"/>
  <c r="CU115" i="159"/>
  <c r="CT115" i="159"/>
  <c r="CV115" i="159"/>
  <c r="CX115" i="159"/>
  <c r="CZ115" i="159"/>
  <c r="CY115" i="159"/>
  <c r="BS116" i="160"/>
  <c r="CG116" i="160" s="1"/>
  <c r="CM96" i="158"/>
  <c r="P85" i="79" s="1"/>
  <c r="CU96" i="158"/>
  <c r="X85" i="79" s="1"/>
  <c r="CR96" i="158"/>
  <c r="CT96" i="158"/>
  <c r="W85" i="79" s="1"/>
  <c r="CQ96" i="158"/>
  <c r="CY96" i="158"/>
  <c r="AB85" i="79" s="1"/>
  <c r="CN96" i="158"/>
  <c r="Q85" i="79" s="1"/>
  <c r="CV96" i="158"/>
  <c r="Y85" i="79" s="1"/>
  <c r="CP96" i="158"/>
  <c r="F116" i="162"/>
  <c r="G116" i="162" s="1"/>
  <c r="BT116" i="160"/>
  <c r="CH116" i="160" s="1"/>
  <c r="T116" i="159"/>
  <c r="U116" i="159" s="1"/>
  <c r="V116" i="159" s="1"/>
  <c r="AG116" i="162"/>
  <c r="BU116" i="160"/>
  <c r="CI116" i="160" s="1"/>
  <c r="AE116" i="162"/>
  <c r="AF116" i="162" s="1"/>
  <c r="AC116" i="162"/>
  <c r="BH116" i="163"/>
  <c r="BI116" i="163" s="1"/>
  <c r="M116" i="162"/>
  <c r="K116" i="162"/>
  <c r="L116" i="162" s="1"/>
  <c r="AV116" i="163"/>
  <c r="AW116" i="163" s="1"/>
  <c r="AX116" i="163"/>
  <c r="AY116" i="163" s="1"/>
  <c r="CA116" i="163"/>
  <c r="BY116" i="162"/>
  <c r="CA116" i="162"/>
  <c r="AV116" i="162"/>
  <c r="AW116" i="162" s="1"/>
  <c r="AX116" i="162"/>
  <c r="AY116" i="162" s="1"/>
  <c r="BC116" i="162" s="1"/>
  <c r="BZ116" i="163"/>
  <c r="AN116" i="163"/>
  <c r="AO116" i="163" s="1"/>
  <c r="AL116" i="163"/>
  <c r="BC116" i="163"/>
  <c r="BA116" i="163"/>
  <c r="BB116" i="163" s="1"/>
  <c r="I116" i="162"/>
  <c r="BA116" i="162"/>
  <c r="BB116" i="162" s="1"/>
  <c r="BX116" i="163"/>
  <c r="BS116" i="163" s="1"/>
  <c r="CG116" i="163" s="1"/>
  <c r="R116" i="163"/>
  <c r="S116" i="163" s="1"/>
  <c r="P116" i="163"/>
  <c r="Q116" i="163" s="1"/>
  <c r="U116" i="162"/>
  <c r="V116" i="162" s="1"/>
  <c r="E116" i="159"/>
  <c r="CB116" i="163"/>
  <c r="BM116" i="163"/>
  <c r="BK116" i="163"/>
  <c r="BL116" i="163" s="1"/>
  <c r="BZ116" i="162"/>
  <c r="AN116" i="162"/>
  <c r="AO116" i="162" s="1"/>
  <c r="AL116" i="162"/>
  <c r="BQ116" i="160"/>
  <c r="CE116" i="160" s="1"/>
  <c r="BR116" i="160"/>
  <c r="CF116" i="160" s="1"/>
  <c r="AS116" i="163"/>
  <c r="AQ116" i="163"/>
  <c r="AR116" i="163" s="1"/>
  <c r="AE116" i="163"/>
  <c r="AF116" i="163" s="1"/>
  <c r="AM116" i="160"/>
  <c r="O116" i="159"/>
  <c r="J116" i="159"/>
  <c r="AK116" i="159"/>
  <c r="BE116" i="159"/>
  <c r="BJ116" i="159"/>
  <c r="AZ116" i="159"/>
  <c r="AU116" i="159"/>
  <c r="AP116" i="159"/>
  <c r="BK116" i="162"/>
  <c r="BL116" i="162" s="1"/>
  <c r="M116" i="163"/>
  <c r="K116" i="163"/>
  <c r="L116" i="163" s="1"/>
  <c r="I116" i="163"/>
  <c r="CB116" i="162"/>
  <c r="BP116" i="162" s="1"/>
  <c r="CD116" i="162" s="1"/>
  <c r="BH116" i="162"/>
  <c r="BI116" i="162" s="1"/>
  <c r="BM116" i="162" s="1"/>
  <c r="BF116" i="162"/>
  <c r="BG116" i="162" s="1"/>
  <c r="BX116" i="162"/>
  <c r="P116" i="162"/>
  <c r="Q116" i="162" s="1"/>
  <c r="R116" i="162"/>
  <c r="S116" i="162" s="1"/>
  <c r="W116" i="162" s="1"/>
  <c r="Y116" i="159"/>
  <c r="AB116" i="163"/>
  <c r="AC116" i="163" s="1"/>
  <c r="AG116" i="163" s="1"/>
  <c r="Z116" i="163"/>
  <c r="AA116" i="163" s="1"/>
  <c r="BW116" i="163"/>
  <c r="AD116" i="159"/>
  <c r="AS116" i="162"/>
  <c r="AQ116" i="162"/>
  <c r="AR116" i="162" s="1"/>
  <c r="AP97" i="158"/>
  <c r="AQ97" i="158" s="1"/>
  <c r="AR97" i="158" s="1"/>
  <c r="BJ97" i="158"/>
  <c r="BK97" i="158" s="1"/>
  <c r="BL97" i="158" s="1"/>
  <c r="AU97" i="158"/>
  <c r="AV97" i="158" s="1"/>
  <c r="AW97" i="158" s="1"/>
  <c r="AZ97" i="158"/>
  <c r="BA97" i="158" s="1"/>
  <c r="BB97" i="158" s="1"/>
  <c r="AK97" i="158"/>
  <c r="AL97" i="158" s="1"/>
  <c r="AM97" i="158" s="1"/>
  <c r="BE97" i="158"/>
  <c r="T97" i="158"/>
  <c r="CK116" i="160" l="1"/>
  <c r="CP116" i="160"/>
  <c r="CR116" i="160"/>
  <c r="CU116" i="160"/>
  <c r="CV116" i="160"/>
  <c r="CX116" i="160"/>
  <c r="CM116" i="160"/>
  <c r="CW116" i="160"/>
  <c r="CN116" i="160"/>
  <c r="CS116" i="160"/>
  <c r="CO116" i="160"/>
  <c r="CZ116" i="160"/>
  <c r="CL116" i="160"/>
  <c r="CY116" i="160"/>
  <c r="CQ116" i="160"/>
  <c r="CT116" i="160"/>
  <c r="T117" i="160"/>
  <c r="U117" i="160" s="1"/>
  <c r="V117" i="160" s="1"/>
  <c r="W116" i="159"/>
  <c r="BT116" i="163"/>
  <c r="CH116" i="163" s="1"/>
  <c r="BU116" i="163"/>
  <c r="CI116" i="163" s="1"/>
  <c r="E117" i="160"/>
  <c r="H117" i="160" s="1"/>
  <c r="AD117" i="160"/>
  <c r="AE117" i="160" s="1"/>
  <c r="AF117" i="160" s="1"/>
  <c r="O117" i="160"/>
  <c r="Y117" i="160"/>
  <c r="BW117" i="160" s="1"/>
  <c r="J117" i="160"/>
  <c r="K117" i="160" s="1"/>
  <c r="L117" i="160" s="1"/>
  <c r="P116" i="159"/>
  <c r="Q116" i="159" s="1"/>
  <c r="BX116" i="159"/>
  <c r="R116" i="159"/>
  <c r="S116" i="159" s="1"/>
  <c r="BQ116" i="162"/>
  <c r="CE116" i="162" s="1"/>
  <c r="BR116" i="162"/>
  <c r="H116" i="159"/>
  <c r="I116" i="159" s="1"/>
  <c r="F116" i="159"/>
  <c r="G116" i="159" s="1"/>
  <c r="BY116" i="159"/>
  <c r="AS116" i="159"/>
  <c r="AQ116" i="159"/>
  <c r="AR116" i="159" s="1"/>
  <c r="BA116" i="159"/>
  <c r="BB116" i="159" s="1"/>
  <c r="BC116" i="159"/>
  <c r="BK116" i="159"/>
  <c r="BL116" i="159" s="1"/>
  <c r="AU117" i="160"/>
  <c r="AZ117" i="160"/>
  <c r="AK117" i="160"/>
  <c r="AP117" i="160"/>
  <c r="BE117" i="160"/>
  <c r="BJ117" i="160"/>
  <c r="AE116" i="159"/>
  <c r="AF116" i="159" s="1"/>
  <c r="AG116" i="159"/>
  <c r="CB116" i="159"/>
  <c r="BH116" i="159"/>
  <c r="BI116" i="159" s="1"/>
  <c r="BM116" i="159" s="1"/>
  <c r="BF116" i="159"/>
  <c r="BG116" i="159" s="1"/>
  <c r="BT116" i="162"/>
  <c r="CH116" i="162" s="1"/>
  <c r="BS116" i="162"/>
  <c r="CG116" i="162" s="1"/>
  <c r="AV116" i="159"/>
  <c r="AW116" i="159" s="1"/>
  <c r="CA116" i="159"/>
  <c r="AX116" i="159"/>
  <c r="AY116" i="159" s="1"/>
  <c r="AB116" i="159"/>
  <c r="AC116" i="159" s="1"/>
  <c r="BW116" i="159"/>
  <c r="Z116" i="159"/>
  <c r="AA116" i="159" s="1"/>
  <c r="BZ116" i="159"/>
  <c r="AN116" i="159"/>
  <c r="AO116" i="159" s="1"/>
  <c r="AL116" i="159"/>
  <c r="AM116" i="163"/>
  <c r="T117" i="163" s="1"/>
  <c r="BR116" i="163"/>
  <c r="CF116" i="163" s="1"/>
  <c r="BP116" i="163"/>
  <c r="CD116" i="163" s="1"/>
  <c r="K116" i="159"/>
  <c r="L116" i="159" s="1"/>
  <c r="M116" i="159"/>
  <c r="AM116" i="162"/>
  <c r="BQ116" i="163"/>
  <c r="CE116" i="163" s="1"/>
  <c r="AX97" i="158"/>
  <c r="AY97" i="158" s="1"/>
  <c r="BC97" i="158" s="1"/>
  <c r="CA97" i="158"/>
  <c r="BZ97" i="158"/>
  <c r="AN97" i="158"/>
  <c r="AO97" i="158" s="1"/>
  <c r="AS97" i="158" s="1"/>
  <c r="AD97" i="158"/>
  <c r="K86" i="79" s="1"/>
  <c r="O97" i="158"/>
  <c r="H86" i="79" s="1"/>
  <c r="Y97" i="158"/>
  <c r="G86" i="79" s="1"/>
  <c r="U97" i="158"/>
  <c r="V97" i="158" s="1"/>
  <c r="BH97" i="158"/>
  <c r="BI97" i="158" s="1"/>
  <c r="BM97" i="158" s="1"/>
  <c r="BF97" i="158"/>
  <c r="BG97" i="158" s="1"/>
  <c r="CB97" i="158"/>
  <c r="J97" i="158"/>
  <c r="I86" i="79" s="1"/>
  <c r="E97" i="158"/>
  <c r="E86" i="79" s="1"/>
  <c r="W117" i="160" l="1"/>
  <c r="BX117" i="160"/>
  <c r="AK117" i="162"/>
  <c r="CF116" i="162"/>
  <c r="CQ116" i="162" s="1"/>
  <c r="CP116" i="163"/>
  <c r="CR116" i="163"/>
  <c r="CM116" i="163"/>
  <c r="CV116" i="163"/>
  <c r="CO116" i="163"/>
  <c r="CK116" i="163"/>
  <c r="CL116" i="163"/>
  <c r="CN116" i="163"/>
  <c r="CQ116" i="163"/>
  <c r="CT116" i="163"/>
  <c r="CU116" i="163"/>
  <c r="CS116" i="163"/>
  <c r="CZ116" i="163"/>
  <c r="CX116" i="163"/>
  <c r="CW116" i="163"/>
  <c r="CY116" i="163"/>
  <c r="CT116" i="162"/>
  <c r="L86" i="79"/>
  <c r="E117" i="163"/>
  <c r="F117" i="163" s="1"/>
  <c r="G117" i="163" s="1"/>
  <c r="BU117" i="160"/>
  <c r="CI117" i="160" s="1"/>
  <c r="F117" i="160"/>
  <c r="G117" i="160" s="1"/>
  <c r="AB117" i="160"/>
  <c r="AC117" i="160" s="1"/>
  <c r="AG117" i="160" s="1"/>
  <c r="AU117" i="163"/>
  <c r="AV117" i="163" s="1"/>
  <c r="AW117" i="163" s="1"/>
  <c r="Z117" i="160"/>
  <c r="AA117" i="160" s="1"/>
  <c r="P117" i="160"/>
  <c r="Q117" i="160" s="1"/>
  <c r="R117" i="160"/>
  <c r="S117" i="160" s="1"/>
  <c r="AD117" i="162"/>
  <c r="AG117" i="162" s="1"/>
  <c r="AK117" i="163"/>
  <c r="AL117" i="163" s="1"/>
  <c r="AM117" i="163" s="1"/>
  <c r="M117" i="160"/>
  <c r="BY117" i="160"/>
  <c r="I117" i="160"/>
  <c r="BK117" i="160"/>
  <c r="BL117" i="160" s="1"/>
  <c r="BH117" i="160"/>
  <c r="BI117" i="160" s="1"/>
  <c r="BM117" i="160" s="1"/>
  <c r="CB117" i="160"/>
  <c r="BP117" i="160" s="1"/>
  <c r="CD117" i="160" s="1"/>
  <c r="BF117" i="160"/>
  <c r="BG117" i="160" s="1"/>
  <c r="BJ117" i="163"/>
  <c r="BU116" i="159"/>
  <c r="CI116" i="159" s="1"/>
  <c r="BS116" i="159"/>
  <c r="CG116" i="159" s="1"/>
  <c r="BT116" i="159"/>
  <c r="CH116" i="159" s="1"/>
  <c r="AQ117" i="160"/>
  <c r="AR117" i="160" s="1"/>
  <c r="AS117" i="160"/>
  <c r="BP116" i="159"/>
  <c r="CD116" i="159" s="1"/>
  <c r="BQ116" i="159"/>
  <c r="CE116" i="159" s="1"/>
  <c r="BR116" i="159"/>
  <c r="CF116" i="159" s="1"/>
  <c r="AN117" i="160"/>
  <c r="AO117" i="160" s="1"/>
  <c r="BZ117" i="160"/>
  <c r="AL117" i="160"/>
  <c r="AP117" i="162"/>
  <c r="BZ117" i="162" s="1"/>
  <c r="BJ117" i="162"/>
  <c r="BE117" i="162"/>
  <c r="AU117" i="162"/>
  <c r="AZ117" i="162"/>
  <c r="AM116" i="159"/>
  <c r="W117" i="163"/>
  <c r="U117" i="163"/>
  <c r="V117" i="163" s="1"/>
  <c r="BA117" i="160"/>
  <c r="BB117" i="160" s="1"/>
  <c r="AZ117" i="163"/>
  <c r="CA117" i="163" s="1"/>
  <c r="CA117" i="160"/>
  <c r="AX117" i="160"/>
  <c r="AY117" i="160" s="1"/>
  <c r="BC117" i="160" s="1"/>
  <c r="AV117" i="160"/>
  <c r="AW117" i="160" s="1"/>
  <c r="BS117" i="160"/>
  <c r="CG117" i="160" s="1"/>
  <c r="BT117" i="160"/>
  <c r="CH117" i="160" s="1"/>
  <c r="J117" i="162"/>
  <c r="O117" i="162"/>
  <c r="T117" i="162"/>
  <c r="Y117" i="162"/>
  <c r="AP117" i="163"/>
  <c r="AD117" i="163"/>
  <c r="J117" i="163"/>
  <c r="Y117" i="163"/>
  <c r="O117" i="163"/>
  <c r="BE117" i="163"/>
  <c r="E117" i="162"/>
  <c r="AL117" i="162"/>
  <c r="AM117" i="162" s="1"/>
  <c r="AN117" i="162"/>
  <c r="BR97" i="158"/>
  <c r="CF97" i="158" s="1"/>
  <c r="BP97" i="158"/>
  <c r="CD97" i="158" s="1"/>
  <c r="BQ97" i="158"/>
  <c r="CE97" i="158" s="1"/>
  <c r="BW97" i="158"/>
  <c r="AB97" i="158"/>
  <c r="AC97" i="158" s="1"/>
  <c r="AG97" i="158" s="1"/>
  <c r="Z97" i="158"/>
  <c r="AA97" i="158" s="1"/>
  <c r="BY97" i="158"/>
  <c r="H97" i="158"/>
  <c r="I97" i="158" s="1"/>
  <c r="M97" i="158" s="1"/>
  <c r="F97" i="158"/>
  <c r="BX97" i="158"/>
  <c r="P97" i="158"/>
  <c r="Q97" i="158" s="1"/>
  <c r="R97" i="158"/>
  <c r="S97" i="158" s="1"/>
  <c r="W97" i="158" s="1"/>
  <c r="K97" i="158"/>
  <c r="L97" i="158" s="1"/>
  <c r="AE97" i="158"/>
  <c r="AF97" i="158" s="1"/>
  <c r="H117" i="163" l="1"/>
  <c r="CX116" i="162"/>
  <c r="BY117" i="163"/>
  <c r="CK116" i="162"/>
  <c r="CR116" i="162"/>
  <c r="CV116" i="162"/>
  <c r="CW116" i="162"/>
  <c r="CO116" i="162"/>
  <c r="CO116" i="159"/>
  <c r="CS116" i="159"/>
  <c r="CL116" i="159"/>
  <c r="CM116" i="159"/>
  <c r="CP116" i="159"/>
  <c r="CR116" i="159"/>
  <c r="CQ116" i="159"/>
  <c r="CK116" i="159"/>
  <c r="CN116" i="159"/>
  <c r="CT116" i="159"/>
  <c r="CU116" i="159"/>
  <c r="CW116" i="159"/>
  <c r="CV116" i="159"/>
  <c r="CY116" i="159"/>
  <c r="CX116" i="159"/>
  <c r="CZ116" i="159"/>
  <c r="CS116" i="162"/>
  <c r="CY116" i="162"/>
  <c r="CM116" i="162"/>
  <c r="CZ116" i="162"/>
  <c r="CN116" i="162"/>
  <c r="CU116" i="162"/>
  <c r="CL116" i="162"/>
  <c r="CP116" i="162"/>
  <c r="AO117" i="162"/>
  <c r="AX117" i="163"/>
  <c r="AY117" i="163" s="1"/>
  <c r="AZ117" i="159"/>
  <c r="BC117" i="159" s="1"/>
  <c r="AN117" i="163"/>
  <c r="AO117" i="163" s="1"/>
  <c r="AE117" i="162"/>
  <c r="AF117" i="162" s="1"/>
  <c r="BJ117" i="159"/>
  <c r="BM117" i="159" s="1"/>
  <c r="T117" i="159"/>
  <c r="U117" i="159" s="1"/>
  <c r="V117" i="159" s="1"/>
  <c r="E117" i="159"/>
  <c r="F117" i="159" s="1"/>
  <c r="G117" i="159" s="1"/>
  <c r="AD117" i="159"/>
  <c r="AG117" i="159" s="1"/>
  <c r="J117" i="159"/>
  <c r="M117" i="159" s="1"/>
  <c r="AP117" i="159"/>
  <c r="AS117" i="159" s="1"/>
  <c r="BW117" i="162"/>
  <c r="BU117" i="162" s="1"/>
  <c r="CI117" i="162" s="1"/>
  <c r="Z117" i="162"/>
  <c r="AA117" i="162" s="1"/>
  <c r="AB117" i="162"/>
  <c r="AC117" i="162" s="1"/>
  <c r="H117" i="162"/>
  <c r="I117" i="162" s="1"/>
  <c r="F117" i="162"/>
  <c r="BY117" i="162"/>
  <c r="U117" i="162"/>
  <c r="V117" i="162" s="1"/>
  <c r="W117" i="162"/>
  <c r="BQ117" i="160"/>
  <c r="CE117" i="160" s="1"/>
  <c r="BR117" i="160"/>
  <c r="CF117" i="160" s="1"/>
  <c r="BK117" i="163"/>
  <c r="BL117" i="163" s="1"/>
  <c r="BM117" i="163"/>
  <c r="BX117" i="162"/>
  <c r="P117" i="162"/>
  <c r="Q117" i="162" s="1"/>
  <c r="R117" i="162"/>
  <c r="S117" i="162" s="1"/>
  <c r="BA117" i="162"/>
  <c r="BB117" i="162" s="1"/>
  <c r="R117" i="163"/>
  <c r="S117" i="163" s="1"/>
  <c r="BX117" i="163"/>
  <c r="BU117" i="163" s="1"/>
  <c r="CI117" i="163" s="1"/>
  <c r="P117" i="163"/>
  <c r="Q117" i="163" s="1"/>
  <c r="K117" i="162"/>
  <c r="L117" i="162" s="1"/>
  <c r="M117" i="162"/>
  <c r="AX117" i="162"/>
  <c r="AY117" i="162" s="1"/>
  <c r="BC117" i="162" s="1"/>
  <c r="CA117" i="162"/>
  <c r="BQ117" i="162" s="1"/>
  <c r="CE117" i="162" s="1"/>
  <c r="AV117" i="162"/>
  <c r="AW117" i="162" s="1"/>
  <c r="AU117" i="159"/>
  <c r="AK117" i="159"/>
  <c r="BE117" i="159"/>
  <c r="BK117" i="159"/>
  <c r="BL117" i="159" s="1"/>
  <c r="BW117" i="163"/>
  <c r="AB117" i="163"/>
  <c r="AC117" i="163" s="1"/>
  <c r="AG117" i="163" s="1"/>
  <c r="Z117" i="163"/>
  <c r="AA117" i="163" s="1"/>
  <c r="Y117" i="159"/>
  <c r="BH117" i="162"/>
  <c r="BI117" i="162" s="1"/>
  <c r="BM117" i="162" s="1"/>
  <c r="BF117" i="162"/>
  <c r="BG117" i="162" s="1"/>
  <c r="CB117" i="162"/>
  <c r="BP117" i="162" s="1"/>
  <c r="CD117" i="162" s="1"/>
  <c r="AM117" i="160"/>
  <c r="O118" i="160" s="1"/>
  <c r="M117" i="163"/>
  <c r="K117" i="163"/>
  <c r="L117" i="163" s="1"/>
  <c r="I117" i="163"/>
  <c r="BK117" i="162"/>
  <c r="BL117" i="162" s="1"/>
  <c r="AE117" i="163"/>
  <c r="AF117" i="163" s="1"/>
  <c r="AS117" i="162"/>
  <c r="AQ117" i="162"/>
  <c r="AR117" i="162" s="1"/>
  <c r="BF117" i="163"/>
  <c r="BG117" i="163" s="1"/>
  <c r="BH117" i="163"/>
  <c r="BI117" i="163" s="1"/>
  <c r="CB117" i="163"/>
  <c r="AS117" i="163"/>
  <c r="AQ117" i="163"/>
  <c r="BA117" i="163"/>
  <c r="BB117" i="163" s="1"/>
  <c r="BC117" i="163"/>
  <c r="BZ117" i="163"/>
  <c r="O117" i="159"/>
  <c r="BS97" i="158"/>
  <c r="CG97" i="158" s="1"/>
  <c r="BT97" i="158"/>
  <c r="CH97" i="158" s="1"/>
  <c r="BU97" i="158"/>
  <c r="CI97" i="158" s="1"/>
  <c r="G97" i="158"/>
  <c r="BE98" i="158" s="1"/>
  <c r="CL117" i="160" l="1"/>
  <c r="CY97" i="158"/>
  <c r="AB86" i="79" s="1"/>
  <c r="BA117" i="159"/>
  <c r="BB117" i="159" s="1"/>
  <c r="CL97" i="158"/>
  <c r="O86" i="79" s="1"/>
  <c r="CQ97" i="158"/>
  <c r="CS117" i="160"/>
  <c r="CM117" i="160"/>
  <c r="CR97" i="158"/>
  <c r="CU97" i="158"/>
  <c r="X86" i="79" s="1"/>
  <c r="CY117" i="160"/>
  <c r="CN117" i="160"/>
  <c r="CK97" i="158"/>
  <c r="N86" i="79" s="1"/>
  <c r="CX97" i="158"/>
  <c r="AA86" i="79" s="1"/>
  <c r="CZ117" i="160"/>
  <c r="CO117" i="160"/>
  <c r="CV97" i="158"/>
  <c r="Y86" i="79" s="1"/>
  <c r="CS97" i="158"/>
  <c r="V86" i="79" s="1"/>
  <c r="CT117" i="160"/>
  <c r="CP117" i="160"/>
  <c r="CP97" i="158"/>
  <c r="CW97" i="158"/>
  <c r="Z86" i="79" s="1"/>
  <c r="CK117" i="160"/>
  <c r="CQ117" i="160"/>
  <c r="CN97" i="158"/>
  <c r="Q86" i="79" s="1"/>
  <c r="CT97" i="158"/>
  <c r="W86" i="79" s="1"/>
  <c r="CV117" i="160"/>
  <c r="CU117" i="160"/>
  <c r="CM97" i="158"/>
  <c r="P86" i="79" s="1"/>
  <c r="CZ97" i="158"/>
  <c r="AC86" i="79" s="1"/>
  <c r="CX117" i="160"/>
  <c r="CR117" i="160"/>
  <c r="CO97" i="158"/>
  <c r="CW117" i="160"/>
  <c r="H117" i="159"/>
  <c r="I117" i="159" s="1"/>
  <c r="W117" i="159"/>
  <c r="BY117" i="159"/>
  <c r="AE117" i="159"/>
  <c r="AF117" i="159" s="1"/>
  <c r="AQ117" i="159"/>
  <c r="AR117" i="159" s="1"/>
  <c r="K117" i="159"/>
  <c r="L117" i="159" s="1"/>
  <c r="T118" i="160"/>
  <c r="BX118" i="160" s="1"/>
  <c r="E118" i="160"/>
  <c r="F118" i="160" s="1"/>
  <c r="G118" i="160" s="1"/>
  <c r="BR117" i="162"/>
  <c r="CF117" i="162" s="1"/>
  <c r="Y118" i="160"/>
  <c r="Z118" i="160" s="1"/>
  <c r="AA118" i="160" s="1"/>
  <c r="AD118" i="160"/>
  <c r="AE118" i="160" s="1"/>
  <c r="AF118" i="160" s="1"/>
  <c r="J118" i="160"/>
  <c r="K118" i="160" s="1"/>
  <c r="L118" i="160" s="1"/>
  <c r="R118" i="160"/>
  <c r="P118" i="160"/>
  <c r="Q118" i="160" s="1"/>
  <c r="AL117" i="159"/>
  <c r="BZ117" i="159"/>
  <c r="AN117" i="159"/>
  <c r="AO117" i="159" s="1"/>
  <c r="AX117" i="159"/>
  <c r="AY117" i="159" s="1"/>
  <c r="AV117" i="159"/>
  <c r="AW117" i="159" s="1"/>
  <c r="CA117" i="159"/>
  <c r="Z117" i="159"/>
  <c r="AA117" i="159" s="1"/>
  <c r="AB117" i="159"/>
  <c r="AC117" i="159" s="1"/>
  <c r="BW117" i="159"/>
  <c r="AK118" i="160"/>
  <c r="BJ118" i="160"/>
  <c r="AP118" i="160"/>
  <c r="AU118" i="160"/>
  <c r="BE118" i="160"/>
  <c r="AZ118" i="160"/>
  <c r="BA118" i="160" s="1"/>
  <c r="BB118" i="160" s="1"/>
  <c r="BT117" i="163"/>
  <c r="CH117" i="163" s="1"/>
  <c r="BX117" i="159"/>
  <c r="BU117" i="159" s="1"/>
  <c r="CI117" i="159" s="1"/>
  <c r="P117" i="159"/>
  <c r="Q117" i="159" s="1"/>
  <c r="R117" i="159"/>
  <c r="S117" i="159" s="1"/>
  <c r="BQ117" i="163"/>
  <c r="CE117" i="163" s="1"/>
  <c r="BR117" i="163"/>
  <c r="CF117" i="163" s="1"/>
  <c r="BP117" i="163"/>
  <c r="CD117" i="163" s="1"/>
  <c r="BS117" i="162"/>
  <c r="CG117" i="162" s="1"/>
  <c r="BT117" i="162"/>
  <c r="CH117" i="162" s="1"/>
  <c r="BS117" i="163"/>
  <c r="CG117" i="163" s="1"/>
  <c r="AR117" i="163"/>
  <c r="AB118" i="160"/>
  <c r="BH117" i="159"/>
  <c r="BI117" i="159" s="1"/>
  <c r="BF117" i="159"/>
  <c r="BG117" i="159" s="1"/>
  <c r="CB117" i="159"/>
  <c r="G117" i="162"/>
  <c r="AP98" i="158"/>
  <c r="AQ98" i="158" s="1"/>
  <c r="AR98" i="158" s="1"/>
  <c r="BJ98" i="158"/>
  <c r="BK98" i="158" s="1"/>
  <c r="BL98" i="158" s="1"/>
  <c r="AZ98" i="158"/>
  <c r="BA98" i="158" s="1"/>
  <c r="BB98" i="158" s="1"/>
  <c r="AK98" i="158"/>
  <c r="BF98" i="158"/>
  <c r="BG98" i="158" s="1"/>
  <c r="BH98" i="158"/>
  <c r="AU98" i="158"/>
  <c r="Y98" i="158"/>
  <c r="AC118" i="160" l="1"/>
  <c r="AG118" i="160" s="1"/>
  <c r="CN117" i="162"/>
  <c r="CU117" i="162"/>
  <c r="CP117" i="162"/>
  <c r="CS117" i="162"/>
  <c r="CL117" i="162"/>
  <c r="CR117" i="162"/>
  <c r="CQ117" i="162"/>
  <c r="CK117" i="162"/>
  <c r="CZ117" i="162"/>
  <c r="CX117" i="162"/>
  <c r="CO117" i="162"/>
  <c r="CV117" i="163"/>
  <c r="CL117" i="163"/>
  <c r="CO117" i="163"/>
  <c r="CR117" i="163"/>
  <c r="CK117" i="163"/>
  <c r="CP117" i="163"/>
  <c r="CN117" i="163"/>
  <c r="CQ117" i="163"/>
  <c r="CM117" i="163"/>
  <c r="CT117" i="163"/>
  <c r="CS117" i="163"/>
  <c r="CZ117" i="163"/>
  <c r="CU117" i="163"/>
  <c r="CY117" i="163"/>
  <c r="CW117" i="163"/>
  <c r="CX117" i="163"/>
  <c r="CW117" i="162"/>
  <c r="CV117" i="162"/>
  <c r="CY117" i="162"/>
  <c r="CM117" i="162"/>
  <c r="CT117" i="162"/>
  <c r="U118" i="160"/>
  <c r="V118" i="160" s="1"/>
  <c r="S118" i="160"/>
  <c r="W118" i="160" s="1"/>
  <c r="H118" i="160"/>
  <c r="I118" i="160" s="1"/>
  <c r="G87" i="79"/>
  <c r="AK118" i="162"/>
  <c r="AL118" i="162" s="1"/>
  <c r="AM118" i="162" s="1"/>
  <c r="BW118" i="160"/>
  <c r="BU118" i="160" s="1"/>
  <c r="CI118" i="160" s="1"/>
  <c r="T118" i="163"/>
  <c r="W118" i="163" s="1"/>
  <c r="T118" i="162"/>
  <c r="U118" i="162" s="1"/>
  <c r="V118" i="162" s="1"/>
  <c r="AU118" i="163"/>
  <c r="AX118" i="163" s="1"/>
  <c r="BY118" i="160"/>
  <c r="BT118" i="160" s="1"/>
  <c r="CH118" i="160" s="1"/>
  <c r="M118" i="160"/>
  <c r="O118" i="163"/>
  <c r="R118" i="163" s="1"/>
  <c r="BK118" i="160"/>
  <c r="BL118" i="160" s="1"/>
  <c r="AM117" i="159"/>
  <c r="J118" i="162"/>
  <c r="AL118" i="160"/>
  <c r="BZ118" i="160"/>
  <c r="AN118" i="160"/>
  <c r="AO118" i="160" s="1"/>
  <c r="AS118" i="160"/>
  <c r="AQ118" i="160"/>
  <c r="AR118" i="160" s="1"/>
  <c r="BR117" i="159"/>
  <c r="CF117" i="159" s="1"/>
  <c r="BP117" i="159"/>
  <c r="CD117" i="159" s="1"/>
  <c r="BT117" i="159"/>
  <c r="CH117" i="159" s="1"/>
  <c r="AD118" i="162"/>
  <c r="O118" i="162"/>
  <c r="BS117" i="159"/>
  <c r="CG117" i="159" s="1"/>
  <c r="E118" i="163"/>
  <c r="E118" i="162"/>
  <c r="Y118" i="162"/>
  <c r="BJ118" i="162"/>
  <c r="AP118" i="162"/>
  <c r="AZ118" i="162"/>
  <c r="AU118" i="162"/>
  <c r="BE118" i="162"/>
  <c r="AK118" i="163"/>
  <c r="AP118" i="163"/>
  <c r="AZ118" i="163"/>
  <c r="J118" i="163"/>
  <c r="AD118" i="163"/>
  <c r="BH118" i="160"/>
  <c r="BI118" i="160" s="1"/>
  <c r="BM118" i="160" s="1"/>
  <c r="BF118" i="160"/>
  <c r="BG118" i="160" s="1"/>
  <c r="CB118" i="160"/>
  <c r="BP118" i="160" s="1"/>
  <c r="CD118" i="160" s="1"/>
  <c r="Y118" i="163"/>
  <c r="BE118" i="163"/>
  <c r="CA118" i="160"/>
  <c r="AX118" i="160"/>
  <c r="AY118" i="160" s="1"/>
  <c r="BC118" i="160" s="1"/>
  <c r="AV118" i="160"/>
  <c r="AW118" i="160" s="1"/>
  <c r="BJ118" i="163"/>
  <c r="BQ117" i="159"/>
  <c r="CE117" i="159" s="1"/>
  <c r="BZ98" i="158"/>
  <c r="AN98" i="158"/>
  <c r="AO98" i="158" s="1"/>
  <c r="AS98" i="158" s="1"/>
  <c r="AL98" i="158"/>
  <c r="AM98" i="158" s="1"/>
  <c r="BI98" i="158"/>
  <c r="BM98" i="158" s="1"/>
  <c r="CB98" i="158"/>
  <c r="E98" i="158"/>
  <c r="E87" i="79" s="1"/>
  <c r="CA98" i="158"/>
  <c r="AX98" i="158"/>
  <c r="AY98" i="158" s="1"/>
  <c r="BC98" i="158" s="1"/>
  <c r="AV98" i="158"/>
  <c r="AW98" i="158" s="1"/>
  <c r="O98" i="158"/>
  <c r="H87" i="79" s="1"/>
  <c r="J98" i="158"/>
  <c r="T98" i="158"/>
  <c r="U98" i="158" s="1"/>
  <c r="V98" i="158" s="1"/>
  <c r="AD98" i="158"/>
  <c r="AB98" i="158"/>
  <c r="Z98" i="158"/>
  <c r="AA98" i="158" s="1"/>
  <c r="AN118" i="162" l="1"/>
  <c r="BS118" i="160"/>
  <c r="CG118" i="160" s="1"/>
  <c r="CO117" i="159"/>
  <c r="CQ117" i="159"/>
  <c r="CP117" i="159"/>
  <c r="CL117" i="159"/>
  <c r="CS117" i="159"/>
  <c r="CK117" i="159"/>
  <c r="CM117" i="159"/>
  <c r="CN117" i="159"/>
  <c r="CR117" i="159"/>
  <c r="CV117" i="159"/>
  <c r="CU117" i="159"/>
  <c r="CW117" i="159"/>
  <c r="CT117" i="159"/>
  <c r="CY117" i="159"/>
  <c r="CZ117" i="159"/>
  <c r="CX117" i="159"/>
  <c r="U118" i="163"/>
  <c r="V118" i="163" s="1"/>
  <c r="BZ118" i="162"/>
  <c r="S118" i="163"/>
  <c r="CA118" i="163"/>
  <c r="I87" i="79"/>
  <c r="P118" i="163"/>
  <c r="Q118" i="163" s="1"/>
  <c r="AV118" i="163"/>
  <c r="AW118" i="163" s="1"/>
  <c r="BX118" i="163"/>
  <c r="J118" i="159"/>
  <c r="K118" i="159" s="1"/>
  <c r="L118" i="159" s="1"/>
  <c r="AM118" i="160"/>
  <c r="Y119" i="160" s="1"/>
  <c r="F118" i="163"/>
  <c r="H118" i="163"/>
  <c r="I118" i="163" s="1"/>
  <c r="AZ118" i="159"/>
  <c r="BE118" i="159"/>
  <c r="AK118" i="159"/>
  <c r="AU118" i="159"/>
  <c r="AP118" i="159"/>
  <c r="BJ118" i="159"/>
  <c r="K118" i="162"/>
  <c r="L118" i="162" s="1"/>
  <c r="M118" i="162"/>
  <c r="AE118" i="163"/>
  <c r="AF118" i="163" s="1"/>
  <c r="CB118" i="162"/>
  <c r="BP118" i="162" s="1"/>
  <c r="CD118" i="162" s="1"/>
  <c r="BH118" i="162"/>
  <c r="BI118" i="162" s="1"/>
  <c r="BM118" i="162" s="1"/>
  <c r="BF118" i="162"/>
  <c r="BG118" i="162" s="1"/>
  <c r="E118" i="159"/>
  <c r="BY118" i="163"/>
  <c r="M118" i="163"/>
  <c r="K118" i="163"/>
  <c r="L118" i="163" s="1"/>
  <c r="AV118" i="162"/>
  <c r="AW118" i="162" s="1"/>
  <c r="CA118" i="162"/>
  <c r="BQ118" i="162" s="1"/>
  <c r="CE118" i="162" s="1"/>
  <c r="AX118" i="162"/>
  <c r="AY118" i="162" s="1"/>
  <c r="BC118" i="162" s="1"/>
  <c r="T118" i="159"/>
  <c r="BF118" i="163"/>
  <c r="BG118" i="163" s="1"/>
  <c r="BH118" i="163"/>
  <c r="BI118" i="163" s="1"/>
  <c r="CB118" i="163"/>
  <c r="BC118" i="163"/>
  <c r="BA118" i="163"/>
  <c r="BB118" i="163" s="1"/>
  <c r="AY118" i="163"/>
  <c r="BA118" i="162"/>
  <c r="BB118" i="162" s="1"/>
  <c r="AD118" i="159"/>
  <c r="AO118" i="162"/>
  <c r="AQ118" i="163"/>
  <c r="AR118" i="163" s="1"/>
  <c r="AS118" i="163"/>
  <c r="AQ118" i="162"/>
  <c r="AR118" i="162" s="1"/>
  <c r="AS118" i="162"/>
  <c r="R118" i="162"/>
  <c r="S118" i="162" s="1"/>
  <c r="W118" i="162" s="1"/>
  <c r="P118" i="162"/>
  <c r="Q118" i="162" s="1"/>
  <c r="BX118" i="162"/>
  <c r="H118" i="162"/>
  <c r="I118" i="162" s="1"/>
  <c r="BY118" i="162"/>
  <c r="F118" i="162"/>
  <c r="AL118" i="163"/>
  <c r="BZ118" i="163"/>
  <c r="AN118" i="163"/>
  <c r="AO118" i="163" s="1"/>
  <c r="BK118" i="162"/>
  <c r="BL118" i="162" s="1"/>
  <c r="AE118" i="162"/>
  <c r="AF118" i="162" s="1"/>
  <c r="AG118" i="162"/>
  <c r="O118" i="159"/>
  <c r="Y118" i="159"/>
  <c r="BW98" i="158"/>
  <c r="K87" i="79"/>
  <c r="AB118" i="163"/>
  <c r="AC118" i="163" s="1"/>
  <c r="AG118" i="163" s="1"/>
  <c r="Z118" i="163"/>
  <c r="AA118" i="163" s="1"/>
  <c r="BW118" i="163"/>
  <c r="BK118" i="163"/>
  <c r="BL118" i="163" s="1"/>
  <c r="BM118" i="163"/>
  <c r="BW118" i="162"/>
  <c r="BU118" i="162" s="1"/>
  <c r="CI118" i="162" s="1"/>
  <c r="Z118" i="162"/>
  <c r="AA118" i="162" s="1"/>
  <c r="AB118" i="162"/>
  <c r="AC118" i="162" s="1"/>
  <c r="BR118" i="160"/>
  <c r="CF118" i="160" s="1"/>
  <c r="BQ118" i="160"/>
  <c r="CE118" i="160" s="1"/>
  <c r="BQ98" i="158"/>
  <c r="CE98" i="158" s="1"/>
  <c r="BR98" i="158"/>
  <c r="CF98" i="158" s="1"/>
  <c r="BP98" i="158"/>
  <c r="CD98" i="158" s="1"/>
  <c r="K98" i="158"/>
  <c r="L98" i="158" s="1"/>
  <c r="R98" i="158"/>
  <c r="S98" i="158" s="1"/>
  <c r="W98" i="158" s="1"/>
  <c r="BX98" i="158"/>
  <c r="P98" i="158"/>
  <c r="Q98" i="158" s="1"/>
  <c r="AE98" i="158"/>
  <c r="AF98" i="158" s="1"/>
  <c r="AC98" i="158"/>
  <c r="AG98" i="158" s="1"/>
  <c r="F98" i="158"/>
  <c r="H98" i="158"/>
  <c r="I98" i="158" s="1"/>
  <c r="M98" i="158" s="1"/>
  <c r="BY98" i="158"/>
  <c r="CV118" i="160" l="1"/>
  <c r="CX118" i="160"/>
  <c r="CR118" i="160"/>
  <c r="CW118" i="160"/>
  <c r="CM118" i="160"/>
  <c r="CZ118" i="160"/>
  <c r="CK118" i="160"/>
  <c r="CT118" i="160"/>
  <c r="CU118" i="160"/>
  <c r="CS118" i="160"/>
  <c r="CN118" i="160"/>
  <c r="CY118" i="160"/>
  <c r="CQ118" i="160"/>
  <c r="CP118" i="160"/>
  <c r="CO118" i="160"/>
  <c r="CL118" i="160"/>
  <c r="L87" i="79"/>
  <c r="J119" i="160"/>
  <c r="K119" i="160" s="1"/>
  <c r="L119" i="160" s="1"/>
  <c r="BT118" i="163"/>
  <c r="CH118" i="163" s="1"/>
  <c r="E119" i="160"/>
  <c r="M118" i="159"/>
  <c r="Z119" i="160"/>
  <c r="AA119" i="160" s="1"/>
  <c r="AB119" i="160"/>
  <c r="BY118" i="159"/>
  <c r="F118" i="159"/>
  <c r="G118" i="159" s="1"/>
  <c r="H118" i="159"/>
  <c r="I118" i="159" s="1"/>
  <c r="BA118" i="159"/>
  <c r="BB118" i="159" s="1"/>
  <c r="BC118" i="159"/>
  <c r="O119" i="160"/>
  <c r="G118" i="162"/>
  <c r="AG118" i="159"/>
  <c r="AE118" i="159"/>
  <c r="AF118" i="159" s="1"/>
  <c r="AM118" i="163"/>
  <c r="BT118" i="162"/>
  <c r="CH118" i="162" s="1"/>
  <c r="BS118" i="162"/>
  <c r="CG118" i="162" s="1"/>
  <c r="BR118" i="162"/>
  <c r="CB118" i="159"/>
  <c r="BF118" i="159"/>
  <c r="BG118" i="159" s="1"/>
  <c r="BH118" i="159"/>
  <c r="BI118" i="159" s="1"/>
  <c r="BM118" i="159" s="1"/>
  <c r="BK118" i="159"/>
  <c r="BL118" i="159" s="1"/>
  <c r="G118" i="163"/>
  <c r="AS118" i="159"/>
  <c r="AQ118" i="159"/>
  <c r="AR118" i="159" s="1"/>
  <c r="T119" i="160"/>
  <c r="Z118" i="159"/>
  <c r="AA118" i="159" s="1"/>
  <c r="AB118" i="159"/>
  <c r="AC118" i="159" s="1"/>
  <c r="BW118" i="159"/>
  <c r="AX118" i="159"/>
  <c r="AY118" i="159" s="1"/>
  <c r="CA118" i="159"/>
  <c r="AV118" i="159"/>
  <c r="AW118" i="159" s="1"/>
  <c r="AD119" i="160"/>
  <c r="BW119" i="160" s="1"/>
  <c r="BU118" i="163"/>
  <c r="CI118" i="163" s="1"/>
  <c r="BS118" i="163"/>
  <c r="CG118" i="163" s="1"/>
  <c r="AZ119" i="160"/>
  <c r="BJ119" i="160"/>
  <c r="BE119" i="160"/>
  <c r="AK119" i="160"/>
  <c r="AU119" i="160"/>
  <c r="AP119" i="160"/>
  <c r="R118" i="159"/>
  <c r="P118" i="159"/>
  <c r="Q118" i="159" s="1"/>
  <c r="BX118" i="159"/>
  <c r="BQ118" i="163"/>
  <c r="CE118" i="163" s="1"/>
  <c r="BR118" i="163"/>
  <c r="CF118" i="163" s="1"/>
  <c r="BP118" i="163"/>
  <c r="CD118" i="163" s="1"/>
  <c r="W118" i="159"/>
  <c r="U118" i="159"/>
  <c r="V118" i="159" s="1"/>
  <c r="S118" i="159"/>
  <c r="AN118" i="159"/>
  <c r="AO118" i="159" s="1"/>
  <c r="BZ118" i="159"/>
  <c r="AL118" i="159"/>
  <c r="BT98" i="158"/>
  <c r="CH98" i="158" s="1"/>
  <c r="BS98" i="158"/>
  <c r="CG98" i="158" s="1"/>
  <c r="BU98" i="158"/>
  <c r="CI98" i="158" s="1"/>
  <c r="G98" i="158"/>
  <c r="BJ99" i="158" s="1"/>
  <c r="M119" i="160" l="1"/>
  <c r="BY119" i="160"/>
  <c r="F119" i="160"/>
  <c r="G119" i="160" s="1"/>
  <c r="CT98" i="158"/>
  <c r="W87" i="79" s="1"/>
  <c r="CQ98" i="158"/>
  <c r="CY98" i="158"/>
  <c r="AB87" i="79" s="1"/>
  <c r="AK119" i="162"/>
  <c r="AN119" i="162" s="1"/>
  <c r="CF118" i="162"/>
  <c r="CP98" i="158"/>
  <c r="CV98" i="158"/>
  <c r="Y87" i="79" s="1"/>
  <c r="CS98" i="158"/>
  <c r="V87" i="79" s="1"/>
  <c r="CZ98" i="158"/>
  <c r="AC87" i="79" s="1"/>
  <c r="CL98" i="158"/>
  <c r="O87" i="79" s="1"/>
  <c r="CX98" i="158"/>
  <c r="AA87" i="79" s="1"/>
  <c r="CK98" i="158"/>
  <c r="N87" i="79" s="1"/>
  <c r="CO98" i="158"/>
  <c r="CN118" i="163"/>
  <c r="CV118" i="163"/>
  <c r="CP118" i="163"/>
  <c r="CO118" i="163"/>
  <c r="CK118" i="163"/>
  <c r="CL118" i="163"/>
  <c r="CR118" i="163"/>
  <c r="CQ118" i="163"/>
  <c r="CM118" i="163"/>
  <c r="CU118" i="163"/>
  <c r="CS118" i="163"/>
  <c r="CT118" i="163"/>
  <c r="CZ118" i="163"/>
  <c r="CY118" i="163"/>
  <c r="CW118" i="163"/>
  <c r="CX118" i="163"/>
  <c r="CM98" i="158"/>
  <c r="P87" i="79" s="1"/>
  <c r="CW98" i="158"/>
  <c r="Z87" i="79" s="1"/>
  <c r="H119" i="160"/>
  <c r="I119" i="160" s="1"/>
  <c r="CR98" i="158"/>
  <c r="CU98" i="158"/>
  <c r="X87" i="79" s="1"/>
  <c r="CN98" i="158"/>
  <c r="Q87" i="79" s="1"/>
  <c r="BJ119" i="162"/>
  <c r="BK119" i="162" s="1"/>
  <c r="BL119" i="162" s="1"/>
  <c r="J119" i="163"/>
  <c r="K119" i="163" s="1"/>
  <c r="L119" i="163" s="1"/>
  <c r="AU119" i="163"/>
  <c r="AV119" i="163" s="1"/>
  <c r="AW119" i="163" s="1"/>
  <c r="T119" i="162"/>
  <c r="U119" i="162" s="1"/>
  <c r="V119" i="162" s="1"/>
  <c r="AX119" i="163"/>
  <c r="BH119" i="160"/>
  <c r="BI119" i="160" s="1"/>
  <c r="BM119" i="160" s="1"/>
  <c r="BF119" i="160"/>
  <c r="BG119" i="160" s="1"/>
  <c r="CB119" i="160"/>
  <c r="BP119" i="160" s="1"/>
  <c r="CD119" i="160" s="1"/>
  <c r="AL119" i="162"/>
  <c r="AM119" i="162" s="1"/>
  <c r="BS118" i="159"/>
  <c r="CG118" i="159" s="1"/>
  <c r="BU118" i="159"/>
  <c r="CI118" i="159" s="1"/>
  <c r="BT118" i="159"/>
  <c r="CH118" i="159" s="1"/>
  <c r="BA119" i="160"/>
  <c r="BB119" i="160" s="1"/>
  <c r="AD119" i="163"/>
  <c r="AZ119" i="163"/>
  <c r="AP119" i="163"/>
  <c r="AK119" i="163"/>
  <c r="BJ119" i="163"/>
  <c r="BE119" i="163"/>
  <c r="O119" i="163"/>
  <c r="AU119" i="162"/>
  <c r="E119" i="163"/>
  <c r="AN119" i="160"/>
  <c r="AO119" i="160" s="1"/>
  <c r="AL119" i="160"/>
  <c r="BZ119" i="160"/>
  <c r="J119" i="162"/>
  <c r="T119" i="163"/>
  <c r="BX119" i="160"/>
  <c r="BU119" i="160" s="1"/>
  <c r="CI119" i="160" s="1"/>
  <c r="P119" i="160"/>
  <c r="Q119" i="160" s="1"/>
  <c r="R119" i="160"/>
  <c r="S119" i="160" s="1"/>
  <c r="BK119" i="160"/>
  <c r="BL119" i="160" s="1"/>
  <c r="O119" i="162"/>
  <c r="Y119" i="163"/>
  <c r="AM118" i="159"/>
  <c r="AE119" i="160"/>
  <c r="AF119" i="160" s="1"/>
  <c r="W119" i="160"/>
  <c r="U119" i="160"/>
  <c r="V119" i="160" s="1"/>
  <c r="BE119" i="162"/>
  <c r="AC119" i="160"/>
  <c r="AG119" i="160" s="1"/>
  <c r="AD119" i="162"/>
  <c r="Y119" i="162"/>
  <c r="E119" i="162"/>
  <c r="AQ119" i="160"/>
  <c r="AR119" i="160" s="1"/>
  <c r="AS119" i="160"/>
  <c r="BR118" i="159"/>
  <c r="CF118" i="159" s="1"/>
  <c r="BQ118" i="159"/>
  <c r="CE118" i="159" s="1"/>
  <c r="BP118" i="159"/>
  <c r="CD118" i="159" s="1"/>
  <c r="AV119" i="160"/>
  <c r="AW119" i="160" s="1"/>
  <c r="CA119" i="160"/>
  <c r="AX119" i="160"/>
  <c r="AY119" i="160" s="1"/>
  <c r="BC119" i="160" s="1"/>
  <c r="AZ119" i="162"/>
  <c r="AP119" i="162"/>
  <c r="AZ99" i="158"/>
  <c r="BA99" i="158" s="1"/>
  <c r="BB99" i="158" s="1"/>
  <c r="BE99" i="158"/>
  <c r="CB99" i="158" s="1"/>
  <c r="AK99" i="158"/>
  <c r="AN99" i="158" s="1"/>
  <c r="AP99" i="158"/>
  <c r="AQ99" i="158" s="1"/>
  <c r="AR99" i="158" s="1"/>
  <c r="BK99" i="158"/>
  <c r="BL99" i="158" s="1"/>
  <c r="AU99" i="158"/>
  <c r="T99" i="158"/>
  <c r="BZ119" i="162" l="1"/>
  <c r="M119" i="163"/>
  <c r="CP118" i="159"/>
  <c r="CQ118" i="159"/>
  <c r="CO118" i="159"/>
  <c r="CK118" i="159"/>
  <c r="CL118" i="159"/>
  <c r="CS118" i="159"/>
  <c r="CM118" i="159"/>
  <c r="CR118" i="159"/>
  <c r="CN118" i="159"/>
  <c r="CV118" i="159"/>
  <c r="CT118" i="159"/>
  <c r="CW118" i="159"/>
  <c r="CU118" i="159"/>
  <c r="CY118" i="159"/>
  <c r="CZ118" i="159"/>
  <c r="CX118" i="159"/>
  <c r="CO118" i="162"/>
  <c r="CS118" i="162"/>
  <c r="CN118" i="162"/>
  <c r="CY118" i="162"/>
  <c r="CZ118" i="162"/>
  <c r="CW118" i="162"/>
  <c r="CR118" i="162"/>
  <c r="CX118" i="162"/>
  <c r="CP118" i="162"/>
  <c r="CM118" i="162"/>
  <c r="CV118" i="162"/>
  <c r="CQ118" i="162"/>
  <c r="CL118" i="162"/>
  <c r="CT118" i="162"/>
  <c r="CK118" i="162"/>
  <c r="CU118" i="162"/>
  <c r="BS119" i="160"/>
  <c r="CG119" i="160" s="1"/>
  <c r="BT119" i="160"/>
  <c r="CH119" i="160" s="1"/>
  <c r="AZ119" i="159"/>
  <c r="BA119" i="159" s="1"/>
  <c r="BB119" i="159" s="1"/>
  <c r="AP119" i="159"/>
  <c r="AQ119" i="159" s="1"/>
  <c r="AR119" i="159" s="1"/>
  <c r="Y119" i="159"/>
  <c r="Z119" i="159" s="1"/>
  <c r="AA119" i="159" s="1"/>
  <c r="BF119" i="162"/>
  <c r="BG119" i="162" s="1"/>
  <c r="BH119" i="162"/>
  <c r="BI119" i="162" s="1"/>
  <c r="BM119" i="162" s="1"/>
  <c r="CB119" i="162"/>
  <c r="BP119" i="162" s="1"/>
  <c r="CD119" i="162" s="1"/>
  <c r="BE119" i="159"/>
  <c r="AU119" i="159"/>
  <c r="BQ119" i="160"/>
  <c r="CE119" i="160" s="1"/>
  <c r="BR119" i="160"/>
  <c r="CF119" i="160" s="1"/>
  <c r="AN119" i="163"/>
  <c r="AO119" i="163" s="1"/>
  <c r="AL119" i="163"/>
  <c r="BZ119" i="163"/>
  <c r="E119" i="159"/>
  <c r="Z119" i="163"/>
  <c r="AA119" i="163" s="1"/>
  <c r="AB119" i="163"/>
  <c r="AC119" i="163" s="1"/>
  <c r="AG119" i="163" s="1"/>
  <c r="AM119" i="160"/>
  <c r="Y120" i="160" s="1"/>
  <c r="AQ119" i="163"/>
  <c r="AR119" i="163" s="1"/>
  <c r="AS119" i="163"/>
  <c r="R119" i="162"/>
  <c r="S119" i="162" s="1"/>
  <c r="W119" i="162" s="1"/>
  <c r="P119" i="162"/>
  <c r="Q119" i="162" s="1"/>
  <c r="BX119" i="162"/>
  <c r="BA119" i="163"/>
  <c r="BB119" i="163" s="1"/>
  <c r="BC119" i="163"/>
  <c r="AO119" i="162"/>
  <c r="AK119" i="159"/>
  <c r="BJ119" i="159"/>
  <c r="BY119" i="162"/>
  <c r="F119" i="162"/>
  <c r="H119" i="162"/>
  <c r="I119" i="162" s="1"/>
  <c r="F119" i="163"/>
  <c r="H119" i="163"/>
  <c r="I119" i="163" s="1"/>
  <c r="BY119" i="163"/>
  <c r="BW119" i="163"/>
  <c r="AE119" i="163"/>
  <c r="AF119" i="163" s="1"/>
  <c r="T119" i="159"/>
  <c r="O119" i="159"/>
  <c r="AD119" i="159"/>
  <c r="BW119" i="162"/>
  <c r="BU119" i="162" s="1"/>
  <c r="CI119" i="162" s="1"/>
  <c r="AB119" i="162"/>
  <c r="AC119" i="162" s="1"/>
  <c r="Z119" i="162"/>
  <c r="AA119" i="162" s="1"/>
  <c r="CA119" i="162"/>
  <c r="BQ119" i="162" s="1"/>
  <c r="CE119" i="162" s="1"/>
  <c r="AX119" i="162"/>
  <c r="AY119" i="162" s="1"/>
  <c r="BC119" i="162" s="1"/>
  <c r="AV119" i="162"/>
  <c r="AW119" i="162" s="1"/>
  <c r="AS119" i="162"/>
  <c r="AQ119" i="162"/>
  <c r="AR119" i="162" s="1"/>
  <c r="AG119" i="162"/>
  <c r="AE119" i="162"/>
  <c r="AF119" i="162" s="1"/>
  <c r="U119" i="163"/>
  <c r="V119" i="163" s="1"/>
  <c r="W119" i="163"/>
  <c r="BX119" i="163"/>
  <c r="P119" i="163"/>
  <c r="Q119" i="163" s="1"/>
  <c r="R119" i="163"/>
  <c r="S119" i="163" s="1"/>
  <c r="AY119" i="163"/>
  <c r="CB119" i="163"/>
  <c r="BM119" i="163"/>
  <c r="BK119" i="163"/>
  <c r="BL119" i="163" s="1"/>
  <c r="AL99" i="158"/>
  <c r="AM99" i="158" s="1"/>
  <c r="BA119" i="162"/>
  <c r="BB119" i="162" s="1"/>
  <c r="J119" i="159"/>
  <c r="K119" i="162"/>
  <c r="L119" i="162" s="1"/>
  <c r="M119" i="162"/>
  <c r="BH119" i="163"/>
  <c r="BI119" i="163" s="1"/>
  <c r="BF119" i="163"/>
  <c r="BG119" i="163" s="1"/>
  <c r="CA119" i="163"/>
  <c r="BH99" i="158"/>
  <c r="BI99" i="158" s="1"/>
  <c r="BM99" i="158" s="1"/>
  <c r="BF99" i="158"/>
  <c r="BG99" i="158" s="1"/>
  <c r="AO99" i="158"/>
  <c r="AS99" i="158" s="1"/>
  <c r="BZ99" i="158"/>
  <c r="O99" i="158"/>
  <c r="H88" i="79" s="1"/>
  <c r="E99" i="158"/>
  <c r="E88" i="79" s="1"/>
  <c r="AD99" i="158"/>
  <c r="K88" i="79" s="1"/>
  <c r="J99" i="158"/>
  <c r="Y99" i="158"/>
  <c r="G88" i="79" s="1"/>
  <c r="CA99" i="158"/>
  <c r="AX99" i="158"/>
  <c r="AY99" i="158" s="1"/>
  <c r="BC99" i="158" s="1"/>
  <c r="AV99" i="158"/>
  <c r="AW99" i="158" s="1"/>
  <c r="U99" i="158"/>
  <c r="V99" i="158" s="1"/>
  <c r="CV119" i="160" l="1"/>
  <c r="CX119" i="160"/>
  <c r="CQ119" i="160"/>
  <c r="CW119" i="160"/>
  <c r="CL119" i="160"/>
  <c r="CT119" i="160"/>
  <c r="CR119" i="160"/>
  <c r="CS119" i="160"/>
  <c r="CO119" i="160"/>
  <c r="CY119" i="160"/>
  <c r="CP119" i="160"/>
  <c r="CZ119" i="160"/>
  <c r="CK119" i="160"/>
  <c r="BC119" i="159"/>
  <c r="CN119" i="160"/>
  <c r="CU119" i="160"/>
  <c r="AD120" i="160"/>
  <c r="BW120" i="160" s="1"/>
  <c r="CM119" i="160"/>
  <c r="L88" i="79"/>
  <c r="AS119" i="159"/>
  <c r="AB119" i="159"/>
  <c r="AC119" i="159" s="1"/>
  <c r="H119" i="159"/>
  <c r="I119" i="159" s="1"/>
  <c r="F119" i="159"/>
  <c r="BY119" i="159"/>
  <c r="AE119" i="159"/>
  <c r="AF119" i="159" s="1"/>
  <c r="AG119" i="159"/>
  <c r="BT119" i="163"/>
  <c r="CH119" i="163" s="1"/>
  <c r="BS119" i="163"/>
  <c r="CG119" i="163" s="1"/>
  <c r="BU119" i="163"/>
  <c r="CI119" i="163" s="1"/>
  <c r="AN119" i="159"/>
  <c r="AO119" i="159" s="1"/>
  <c r="AL119" i="159"/>
  <c r="BZ119" i="159"/>
  <c r="O120" i="160"/>
  <c r="T120" i="160"/>
  <c r="AB120" i="160"/>
  <c r="AC120" i="160" s="1"/>
  <c r="AG120" i="160" s="1"/>
  <c r="Z120" i="160"/>
  <c r="AA120" i="160" s="1"/>
  <c r="R119" i="159"/>
  <c r="S119" i="159" s="1"/>
  <c r="BX119" i="159"/>
  <c r="P119" i="159"/>
  <c r="Q119" i="159" s="1"/>
  <c r="BR119" i="163"/>
  <c r="CF119" i="163" s="1"/>
  <c r="BQ119" i="163"/>
  <c r="CE119" i="163" s="1"/>
  <c r="BP119" i="163"/>
  <c r="CD119" i="163" s="1"/>
  <c r="BF119" i="159"/>
  <c r="BG119" i="159" s="1"/>
  <c r="BH119" i="159"/>
  <c r="BI119" i="159" s="1"/>
  <c r="BM119" i="159" s="1"/>
  <c r="CB119" i="159"/>
  <c r="U119" i="159"/>
  <c r="V119" i="159" s="1"/>
  <c r="W119" i="159"/>
  <c r="G119" i="163"/>
  <c r="AM119" i="163"/>
  <c r="K99" i="158"/>
  <c r="L99" i="158" s="1"/>
  <c r="I88" i="79"/>
  <c r="BK119" i="159"/>
  <c r="BL119" i="159" s="1"/>
  <c r="BJ120" i="160"/>
  <c r="AK120" i="160"/>
  <c r="AZ120" i="160"/>
  <c r="AU120" i="160"/>
  <c r="BE120" i="160"/>
  <c r="AP120" i="160"/>
  <c r="BR119" i="162"/>
  <c r="CF119" i="162" s="1"/>
  <c r="BW119" i="159"/>
  <c r="M119" i="159"/>
  <c r="K119" i="159"/>
  <c r="L119" i="159" s="1"/>
  <c r="G119" i="162"/>
  <c r="E120" i="160"/>
  <c r="BS119" i="162"/>
  <c r="CG119" i="162" s="1"/>
  <c r="BT119" i="162"/>
  <c r="CH119" i="162" s="1"/>
  <c r="J120" i="160"/>
  <c r="AX119" i="159"/>
  <c r="AY119" i="159" s="1"/>
  <c r="CA119" i="159"/>
  <c r="AV119" i="159"/>
  <c r="AW119" i="159" s="1"/>
  <c r="BP99" i="158"/>
  <c r="CD99" i="158" s="1"/>
  <c r="BQ99" i="158"/>
  <c r="CE99" i="158" s="1"/>
  <c r="BR99" i="158"/>
  <c r="CF99" i="158" s="1"/>
  <c r="Z99" i="158"/>
  <c r="AA99" i="158" s="1"/>
  <c r="BW99" i="158"/>
  <c r="AB99" i="158"/>
  <c r="AC99" i="158" s="1"/>
  <c r="AG99" i="158" s="1"/>
  <c r="AE99" i="158"/>
  <c r="AF99" i="158" s="1"/>
  <c r="F99" i="158"/>
  <c r="BY99" i="158"/>
  <c r="H99" i="158"/>
  <c r="I99" i="158" s="1"/>
  <c r="M99" i="158" s="1"/>
  <c r="P99" i="158"/>
  <c r="Q99" i="158" s="1"/>
  <c r="R99" i="158"/>
  <c r="S99" i="158" s="1"/>
  <c r="W99" i="158" s="1"/>
  <c r="BX99" i="158"/>
  <c r="AE120" i="160" l="1"/>
  <c r="AF120" i="160" s="1"/>
  <c r="AK120" i="162"/>
  <c r="CL119" i="162"/>
  <c r="CM119" i="162"/>
  <c r="CR119" i="162"/>
  <c r="CP119" i="162"/>
  <c r="CV119" i="162"/>
  <c r="CX119" i="162"/>
  <c r="CQ119" i="162"/>
  <c r="CY119" i="162"/>
  <c r="CZ119" i="162"/>
  <c r="CW119" i="162"/>
  <c r="CN119" i="162"/>
  <c r="CQ119" i="163"/>
  <c r="CK119" i="163"/>
  <c r="CL119" i="163"/>
  <c r="CV119" i="163"/>
  <c r="CR119" i="163"/>
  <c r="CP119" i="163"/>
  <c r="CM119" i="163"/>
  <c r="CO119" i="163"/>
  <c r="CN119" i="163"/>
  <c r="CU119" i="163"/>
  <c r="CS119" i="163"/>
  <c r="CT119" i="163"/>
  <c r="CZ119" i="163"/>
  <c r="CX119" i="163"/>
  <c r="CY119" i="163"/>
  <c r="CW119" i="163"/>
  <c r="CT119" i="162"/>
  <c r="CO119" i="162"/>
  <c r="CU119" i="162"/>
  <c r="CK119" i="162"/>
  <c r="CS119" i="162"/>
  <c r="J120" i="163"/>
  <c r="M120" i="163" s="1"/>
  <c r="AU120" i="163"/>
  <c r="AV120" i="163" s="1"/>
  <c r="AW120" i="163" s="1"/>
  <c r="Y120" i="163"/>
  <c r="Z120" i="163" s="1"/>
  <c r="AA120" i="163" s="1"/>
  <c r="Y120" i="162"/>
  <c r="Z120" i="162" s="1"/>
  <c r="AA120" i="162" s="1"/>
  <c r="AD120" i="163"/>
  <c r="BJ120" i="162"/>
  <c r="BK120" i="162" s="1"/>
  <c r="BL120" i="162" s="1"/>
  <c r="AN120" i="162"/>
  <c r="AL120" i="162"/>
  <c r="AM120" i="162" s="1"/>
  <c r="AL120" i="160"/>
  <c r="AN120" i="160"/>
  <c r="AO120" i="160" s="1"/>
  <c r="BZ120" i="160"/>
  <c r="BJ120" i="163"/>
  <c r="BE120" i="163"/>
  <c r="AM119" i="159"/>
  <c r="H120" i="160"/>
  <c r="I120" i="160" s="1"/>
  <c r="F120" i="160"/>
  <c r="G120" i="160" s="1"/>
  <c r="BY120" i="160"/>
  <c r="CB120" i="160"/>
  <c r="BP120" i="160" s="1"/>
  <c r="CD120" i="160" s="1"/>
  <c r="BK120" i="160"/>
  <c r="BL120" i="160" s="1"/>
  <c r="BU119" i="159"/>
  <c r="CI119" i="159" s="1"/>
  <c r="BS119" i="159"/>
  <c r="CG119" i="159" s="1"/>
  <c r="BT119" i="159"/>
  <c r="CH119" i="159" s="1"/>
  <c r="O120" i="162"/>
  <c r="G119" i="159"/>
  <c r="T120" i="162"/>
  <c r="AD120" i="162"/>
  <c r="BP119" i="159"/>
  <c r="CD119" i="159" s="1"/>
  <c r="BR119" i="159"/>
  <c r="CF119" i="159" s="1"/>
  <c r="BQ119" i="159"/>
  <c r="CE119" i="159" s="1"/>
  <c r="AK120" i="163"/>
  <c r="BA120" i="160"/>
  <c r="BB120" i="160" s="1"/>
  <c r="AS120" i="160"/>
  <c r="AQ120" i="160"/>
  <c r="AR120" i="160" s="1"/>
  <c r="U120" i="160"/>
  <c r="V120" i="160" s="1"/>
  <c r="BF120" i="160"/>
  <c r="BG120" i="160" s="1"/>
  <c r="BH120" i="160"/>
  <c r="BI120" i="160" s="1"/>
  <c r="BM120" i="160" s="1"/>
  <c r="O120" i="163"/>
  <c r="T120" i="163"/>
  <c r="E120" i="163"/>
  <c r="R120" i="160"/>
  <c r="S120" i="160" s="1"/>
  <c r="W120" i="160" s="1"/>
  <c r="P120" i="160"/>
  <c r="Q120" i="160" s="1"/>
  <c r="BX120" i="160"/>
  <c r="BU120" i="160" s="1"/>
  <c r="CI120" i="160" s="1"/>
  <c r="AP120" i="163"/>
  <c r="K120" i="160"/>
  <c r="L120" i="160" s="1"/>
  <c r="M120" i="160"/>
  <c r="AZ120" i="162"/>
  <c r="AU120" i="162"/>
  <c r="AP120" i="162"/>
  <c r="BZ120" i="162" s="1"/>
  <c r="BE120" i="162"/>
  <c r="CA120" i="160"/>
  <c r="AX120" i="160"/>
  <c r="AY120" i="160" s="1"/>
  <c r="BC120" i="160" s="1"/>
  <c r="AV120" i="160"/>
  <c r="AW120" i="160" s="1"/>
  <c r="E120" i="162"/>
  <c r="AZ120" i="163"/>
  <c r="CA120" i="163" s="1"/>
  <c r="J120" i="162"/>
  <c r="BS99" i="158"/>
  <c r="CG99" i="158" s="1"/>
  <c r="BT99" i="158"/>
  <c r="CH99" i="158" s="1"/>
  <c r="BU99" i="158"/>
  <c r="CI99" i="158" s="1"/>
  <c r="G99" i="158"/>
  <c r="AZ100" i="158" s="1"/>
  <c r="BW120" i="163" l="1"/>
  <c r="K120" i="163"/>
  <c r="L120" i="163" s="1"/>
  <c r="CW99" i="158"/>
  <c r="Z88" i="79" s="1"/>
  <c r="CP119" i="159"/>
  <c r="CN119" i="159"/>
  <c r="CL119" i="159"/>
  <c r="CR119" i="159"/>
  <c r="CS119" i="159"/>
  <c r="CO119" i="159"/>
  <c r="CQ119" i="159"/>
  <c r="CK119" i="159"/>
  <c r="CM119" i="159"/>
  <c r="CW119" i="159"/>
  <c r="CU119" i="159"/>
  <c r="CV119" i="159"/>
  <c r="CT119" i="159"/>
  <c r="CX119" i="159"/>
  <c r="CY119" i="159"/>
  <c r="CZ119" i="159"/>
  <c r="CY99" i="158"/>
  <c r="AB88" i="79" s="1"/>
  <c r="CR99" i="158"/>
  <c r="CN99" i="158"/>
  <c r="Q88" i="79" s="1"/>
  <c r="CV99" i="158"/>
  <c r="Y88" i="79" s="1"/>
  <c r="CM99" i="158"/>
  <c r="P88" i="79" s="1"/>
  <c r="CU99" i="158"/>
  <c r="X88" i="79" s="1"/>
  <c r="AB120" i="162"/>
  <c r="CL99" i="158"/>
  <c r="O88" i="79" s="1"/>
  <c r="CQ99" i="158"/>
  <c r="CP99" i="158"/>
  <c r="CZ99" i="158"/>
  <c r="AC88" i="79" s="1"/>
  <c r="CK99" i="158"/>
  <c r="N88" i="79" s="1"/>
  <c r="CX99" i="158"/>
  <c r="AA88" i="79" s="1"/>
  <c r="CO99" i="158"/>
  <c r="CS99" i="158"/>
  <c r="V88" i="79" s="1"/>
  <c r="CT99" i="158"/>
  <c r="W88" i="79" s="1"/>
  <c r="O120" i="159"/>
  <c r="P120" i="159" s="1"/>
  <c r="Q120" i="159" s="1"/>
  <c r="AX120" i="163"/>
  <c r="AD120" i="159"/>
  <c r="AG120" i="159" s="1"/>
  <c r="AE120" i="163"/>
  <c r="AF120" i="163" s="1"/>
  <c r="AB120" i="163"/>
  <c r="AC120" i="163" s="1"/>
  <c r="AG120" i="163" s="1"/>
  <c r="E120" i="159"/>
  <c r="F120" i="159" s="1"/>
  <c r="G120" i="159" s="1"/>
  <c r="Y120" i="159"/>
  <c r="AB120" i="159" s="1"/>
  <c r="P120" i="162"/>
  <c r="Q120" i="162" s="1"/>
  <c r="BX120" i="162"/>
  <c r="R120" i="162"/>
  <c r="S120" i="162" s="1"/>
  <c r="BT120" i="160"/>
  <c r="CH120" i="160" s="1"/>
  <c r="BS120" i="160"/>
  <c r="CG120" i="160" s="1"/>
  <c r="BY120" i="163"/>
  <c r="F120" i="163"/>
  <c r="H120" i="163"/>
  <c r="I120" i="163" s="1"/>
  <c r="J120" i="159"/>
  <c r="T120" i="159"/>
  <c r="BX120" i="159" s="1"/>
  <c r="BY120" i="162"/>
  <c r="H120" i="162"/>
  <c r="I120" i="162" s="1"/>
  <c r="F120" i="162"/>
  <c r="U120" i="163"/>
  <c r="V120" i="163" s="1"/>
  <c r="W120" i="163"/>
  <c r="BE120" i="159"/>
  <c r="BJ120" i="159"/>
  <c r="AU120" i="159"/>
  <c r="BX120" i="163"/>
  <c r="P120" i="163"/>
  <c r="Q120" i="163" s="1"/>
  <c r="R120" i="163"/>
  <c r="S120" i="163" s="1"/>
  <c r="AE120" i="162"/>
  <c r="AF120" i="162" s="1"/>
  <c r="AC120" i="162"/>
  <c r="AG120" i="162"/>
  <c r="BH120" i="163"/>
  <c r="BI120" i="163" s="1"/>
  <c r="BF120" i="163"/>
  <c r="BG120" i="163" s="1"/>
  <c r="CB120" i="163"/>
  <c r="M120" i="162"/>
  <c r="K120" i="162"/>
  <c r="L120" i="162" s="1"/>
  <c r="U120" i="162"/>
  <c r="V120" i="162" s="1"/>
  <c r="W120" i="162"/>
  <c r="AY120" i="163"/>
  <c r="BK120" i="163"/>
  <c r="BL120" i="163" s="1"/>
  <c r="BM120" i="163"/>
  <c r="BW120" i="162"/>
  <c r="BU120" i="162" s="1"/>
  <c r="CI120" i="162" s="1"/>
  <c r="BA120" i="162"/>
  <c r="BB120" i="162" s="1"/>
  <c r="AM120" i="160"/>
  <c r="BH120" i="162"/>
  <c r="BI120" i="162" s="1"/>
  <c r="BM120" i="162" s="1"/>
  <c r="BF120" i="162"/>
  <c r="BG120" i="162" s="1"/>
  <c r="CB120" i="162"/>
  <c r="BP120" i="162" s="1"/>
  <c r="CD120" i="162" s="1"/>
  <c r="AK120" i="159"/>
  <c r="AS120" i="162"/>
  <c r="AQ120" i="162"/>
  <c r="AZ120" i="159"/>
  <c r="BQ120" i="160"/>
  <c r="CE120" i="160" s="1"/>
  <c r="BR120" i="160"/>
  <c r="AS120" i="163"/>
  <c r="AQ120" i="163"/>
  <c r="AR120" i="163" s="1"/>
  <c r="BA120" i="163"/>
  <c r="BB120" i="163" s="1"/>
  <c r="BC120" i="163"/>
  <c r="CA120" i="162"/>
  <c r="BR120" i="162" s="1"/>
  <c r="CF120" i="162" s="1"/>
  <c r="AV120" i="162"/>
  <c r="AW120" i="162" s="1"/>
  <c r="AX120" i="162"/>
  <c r="AY120" i="162" s="1"/>
  <c r="BC120" i="162" s="1"/>
  <c r="BZ120" i="163"/>
  <c r="AL120" i="163"/>
  <c r="AN120" i="163"/>
  <c r="AO120" i="163" s="1"/>
  <c r="AP120" i="159"/>
  <c r="AO120" i="162"/>
  <c r="AK100" i="158"/>
  <c r="AL100" i="158" s="1"/>
  <c r="AM100" i="158" s="1"/>
  <c r="BE100" i="158"/>
  <c r="BF100" i="158" s="1"/>
  <c r="BG100" i="158" s="1"/>
  <c r="AU100" i="158"/>
  <c r="CA100" i="158" s="1"/>
  <c r="AP100" i="158"/>
  <c r="BJ100" i="158"/>
  <c r="BK100" i="158" s="1"/>
  <c r="BL100" i="158" s="1"/>
  <c r="J100" i="158"/>
  <c r="BA100" i="158"/>
  <c r="BB100" i="158" s="1"/>
  <c r="AE120" i="159" l="1"/>
  <c r="AF120" i="159" s="1"/>
  <c r="R120" i="159"/>
  <c r="AC120" i="159"/>
  <c r="BY120" i="159"/>
  <c r="BU120" i="159" s="1"/>
  <c r="CI120" i="159" s="1"/>
  <c r="AZ121" i="160"/>
  <c r="BA121" i="160" s="1"/>
  <c r="BB121" i="160" s="1"/>
  <c r="CF120" i="160"/>
  <c r="CV120" i="160" s="1"/>
  <c r="S120" i="159"/>
  <c r="H120" i="159"/>
  <c r="I120" i="159" s="1"/>
  <c r="Y121" i="160"/>
  <c r="Z121" i="160" s="1"/>
  <c r="AA121" i="160" s="1"/>
  <c r="Z120" i="159"/>
  <c r="AA120" i="159" s="1"/>
  <c r="O121" i="160"/>
  <c r="BW120" i="159"/>
  <c r="BE121" i="160"/>
  <c r="BH121" i="160" s="1"/>
  <c r="AD121" i="160"/>
  <c r="AE121" i="160" s="1"/>
  <c r="AF121" i="160" s="1"/>
  <c r="BQ120" i="162"/>
  <c r="CE120" i="162" s="1"/>
  <c r="T121" i="160"/>
  <c r="U121" i="160" s="1"/>
  <c r="V121" i="160" s="1"/>
  <c r="BA120" i="159"/>
  <c r="BB120" i="159" s="1"/>
  <c r="BC120" i="159"/>
  <c r="AX120" i="159"/>
  <c r="AY120" i="159" s="1"/>
  <c r="AV120" i="159"/>
  <c r="AW120" i="159" s="1"/>
  <c r="CA120" i="159"/>
  <c r="AP121" i="160"/>
  <c r="BK120" i="159"/>
  <c r="BL120" i="159" s="1"/>
  <c r="G120" i="162"/>
  <c r="G120" i="163"/>
  <c r="J121" i="160"/>
  <c r="BH120" i="159"/>
  <c r="BI120" i="159" s="1"/>
  <c r="BM120" i="159" s="1"/>
  <c r="BF120" i="159"/>
  <c r="BG120" i="159" s="1"/>
  <c r="CB120" i="159"/>
  <c r="BU120" i="163"/>
  <c r="CI120" i="163" s="1"/>
  <c r="BS120" i="163"/>
  <c r="CG120" i="163" s="1"/>
  <c r="BT120" i="163"/>
  <c r="CH120" i="163" s="1"/>
  <c r="E121" i="160"/>
  <c r="K100" i="158"/>
  <c r="L100" i="158" s="1"/>
  <c r="BS120" i="162"/>
  <c r="CG120" i="162" s="1"/>
  <c r="BT120" i="162"/>
  <c r="CH120" i="162" s="1"/>
  <c r="AR120" i="162"/>
  <c r="AB121" i="160"/>
  <c r="U120" i="159"/>
  <c r="V120" i="159" s="1"/>
  <c r="W120" i="159"/>
  <c r="AM120" i="163"/>
  <c r="M120" i="159"/>
  <c r="K120" i="159"/>
  <c r="L120" i="159" s="1"/>
  <c r="AQ120" i="159"/>
  <c r="AR120" i="159" s="1"/>
  <c r="AS120" i="159"/>
  <c r="BR120" i="163"/>
  <c r="CF120" i="163" s="1"/>
  <c r="BQ120" i="163"/>
  <c r="CE120" i="163" s="1"/>
  <c r="BP120" i="163"/>
  <c r="CD120" i="163" s="1"/>
  <c r="AU121" i="160"/>
  <c r="BZ120" i="159"/>
  <c r="AN120" i="159"/>
  <c r="AO120" i="159" s="1"/>
  <c r="AL120" i="159"/>
  <c r="BJ121" i="160"/>
  <c r="AK121" i="160"/>
  <c r="AX100" i="158"/>
  <c r="AY100" i="158" s="1"/>
  <c r="BC100" i="158" s="1"/>
  <c r="AV100" i="158"/>
  <c r="AW100" i="158" s="1"/>
  <c r="BH100" i="158"/>
  <c r="BI100" i="158" s="1"/>
  <c r="BM100" i="158" s="1"/>
  <c r="AN100" i="158"/>
  <c r="AO100" i="158" s="1"/>
  <c r="AS100" i="158" s="1"/>
  <c r="BZ100" i="158"/>
  <c r="CB100" i="158"/>
  <c r="AQ100" i="158"/>
  <c r="AR100" i="158" s="1"/>
  <c r="Y100" i="158"/>
  <c r="G89" i="79" s="1"/>
  <c r="E100" i="158"/>
  <c r="E89" i="79" s="1"/>
  <c r="O100" i="158"/>
  <c r="H89" i="79" s="1"/>
  <c r="AD100" i="158"/>
  <c r="K89" i="79" s="1"/>
  <c r="T100" i="158"/>
  <c r="U100" i="158" s="1"/>
  <c r="V100" i="158" s="1"/>
  <c r="BT120" i="159" l="1"/>
  <c r="CH120" i="159" s="1"/>
  <c r="BS120" i="159"/>
  <c r="CG120" i="159" s="1"/>
  <c r="CU120" i="162"/>
  <c r="CV120" i="162"/>
  <c r="CX120" i="162"/>
  <c r="CN120" i="162"/>
  <c r="CZ120" i="160"/>
  <c r="CY120" i="160"/>
  <c r="BX121" i="160"/>
  <c r="CW120" i="162"/>
  <c r="CK120" i="162"/>
  <c r="CK120" i="160"/>
  <c r="CQ120" i="160"/>
  <c r="CT120" i="162"/>
  <c r="CR120" i="162"/>
  <c r="CS120" i="160"/>
  <c r="CX120" i="160"/>
  <c r="CZ120" i="162"/>
  <c r="CO120" i="160"/>
  <c r="CS120" i="162"/>
  <c r="CP120" i="162"/>
  <c r="CW120" i="160"/>
  <c r="CQ120" i="163"/>
  <c r="CN120" i="163"/>
  <c r="CR120" i="163"/>
  <c r="CV120" i="163"/>
  <c r="CP120" i="163"/>
  <c r="CO120" i="163"/>
  <c r="CM120" i="163"/>
  <c r="CK120" i="163"/>
  <c r="CL120" i="163"/>
  <c r="CU120" i="163"/>
  <c r="CT120" i="163"/>
  <c r="CS120" i="163"/>
  <c r="CZ120" i="163"/>
  <c r="CX120" i="163"/>
  <c r="CY120" i="163"/>
  <c r="CW120" i="163"/>
  <c r="CQ120" i="162"/>
  <c r="CL120" i="162"/>
  <c r="CU120" i="160"/>
  <c r="CL120" i="160"/>
  <c r="CP120" i="160"/>
  <c r="CM120" i="162"/>
  <c r="CO120" i="162"/>
  <c r="CT120" i="160"/>
  <c r="CM120" i="160"/>
  <c r="P121" i="160"/>
  <c r="Q121" i="160" s="1"/>
  <c r="CY120" i="162"/>
  <c r="CR120" i="160"/>
  <c r="CN120" i="160"/>
  <c r="L89" i="79"/>
  <c r="Y121" i="162"/>
  <c r="AB121" i="162" s="1"/>
  <c r="R121" i="160"/>
  <c r="S121" i="160" s="1"/>
  <c r="W121" i="160" s="1"/>
  <c r="AZ121" i="162"/>
  <c r="BA121" i="162" s="1"/>
  <c r="BB121" i="162" s="1"/>
  <c r="BW121" i="160"/>
  <c r="J121" i="162"/>
  <c r="M121" i="162" s="1"/>
  <c r="AK121" i="162"/>
  <c r="AN121" i="162" s="1"/>
  <c r="AC121" i="160"/>
  <c r="AG121" i="160" s="1"/>
  <c r="O121" i="162"/>
  <c r="P121" i="162" s="1"/>
  <c r="Q121" i="162" s="1"/>
  <c r="BJ121" i="162"/>
  <c r="BK121" i="162" s="1"/>
  <c r="BL121" i="162" s="1"/>
  <c r="BF121" i="160"/>
  <c r="BG121" i="160" s="1"/>
  <c r="J121" i="163"/>
  <c r="AU121" i="163"/>
  <c r="AX121" i="163" s="1"/>
  <c r="Y121" i="163"/>
  <c r="Z121" i="163" s="1"/>
  <c r="AA121" i="163" s="1"/>
  <c r="E121" i="163"/>
  <c r="F121" i="163" s="1"/>
  <c r="G121" i="163" s="1"/>
  <c r="BE121" i="163"/>
  <c r="BF121" i="163" s="1"/>
  <c r="BG121" i="163" s="1"/>
  <c r="I89" i="79"/>
  <c r="K121" i="160"/>
  <c r="L121" i="160" s="1"/>
  <c r="M121" i="160"/>
  <c r="AS121" i="160"/>
  <c r="AQ121" i="160"/>
  <c r="AR121" i="160" s="1"/>
  <c r="CA121" i="160"/>
  <c r="AV121" i="160"/>
  <c r="AW121" i="160" s="1"/>
  <c r="AX121" i="160"/>
  <c r="AY121" i="160" s="1"/>
  <c r="BC121" i="160" s="1"/>
  <c r="BK121" i="160"/>
  <c r="BL121" i="160" s="1"/>
  <c r="AD121" i="162"/>
  <c r="T121" i="162"/>
  <c r="F121" i="160"/>
  <c r="H121" i="160"/>
  <c r="I121" i="160" s="1"/>
  <c r="BY121" i="160"/>
  <c r="AP121" i="163"/>
  <c r="AZ121" i="163"/>
  <c r="AK121" i="163"/>
  <c r="BJ121" i="163"/>
  <c r="O121" i="163"/>
  <c r="AM120" i="159"/>
  <c r="J121" i="159" s="1"/>
  <c r="AL121" i="160"/>
  <c r="AN121" i="160"/>
  <c r="AO121" i="160" s="1"/>
  <c r="BZ121" i="160"/>
  <c r="E121" i="162"/>
  <c r="T121" i="163"/>
  <c r="AU121" i="162"/>
  <c r="BE121" i="162"/>
  <c r="AP121" i="162"/>
  <c r="BZ121" i="162" s="1"/>
  <c r="BI121" i="160"/>
  <c r="BM121" i="160" s="1"/>
  <c r="BP120" i="159"/>
  <c r="CD120" i="159" s="1"/>
  <c r="BR120" i="159"/>
  <c r="CF120" i="159" s="1"/>
  <c r="BQ120" i="159"/>
  <c r="CE120" i="159" s="1"/>
  <c r="AD121" i="163"/>
  <c r="CB121" i="160"/>
  <c r="BP121" i="160" s="1"/>
  <c r="CD121" i="160" s="1"/>
  <c r="BP100" i="158"/>
  <c r="CD100" i="158" s="1"/>
  <c r="BQ100" i="158"/>
  <c r="CE100" i="158" s="1"/>
  <c r="BR100" i="158"/>
  <c r="CF100" i="158" s="1"/>
  <c r="R100" i="158"/>
  <c r="S100" i="158" s="1"/>
  <c r="W100" i="158" s="1"/>
  <c r="P100" i="158"/>
  <c r="Q100" i="158" s="1"/>
  <c r="BX100" i="158"/>
  <c r="F100" i="158"/>
  <c r="H100" i="158"/>
  <c r="I100" i="158" s="1"/>
  <c r="M100" i="158" s="1"/>
  <c r="BY100" i="158"/>
  <c r="AE100" i="158"/>
  <c r="AF100" i="158" s="1"/>
  <c r="Z100" i="158"/>
  <c r="AA100" i="158" s="1"/>
  <c r="AB100" i="158"/>
  <c r="AC100" i="158" s="1"/>
  <c r="AG100" i="158" s="1"/>
  <c r="BW100" i="158"/>
  <c r="Z121" i="162" l="1"/>
  <c r="AA121" i="162" s="1"/>
  <c r="BU121" i="160"/>
  <c r="CI121" i="160" s="1"/>
  <c r="K121" i="162"/>
  <c r="L121" i="162" s="1"/>
  <c r="AL121" i="162"/>
  <c r="AM121" i="162" s="1"/>
  <c r="CQ120" i="159"/>
  <c r="CS120" i="159"/>
  <c r="CL120" i="159"/>
  <c r="CP120" i="159"/>
  <c r="CK120" i="159"/>
  <c r="CN120" i="159"/>
  <c r="CR120" i="159"/>
  <c r="CM120" i="159"/>
  <c r="CO120" i="159"/>
  <c r="CU120" i="159"/>
  <c r="CW120" i="159"/>
  <c r="CV120" i="159"/>
  <c r="CT120" i="159"/>
  <c r="CX120" i="159"/>
  <c r="CY120" i="159"/>
  <c r="CZ120" i="159"/>
  <c r="BX121" i="162"/>
  <c r="AB121" i="163"/>
  <c r="R121" i="162"/>
  <c r="BH121" i="163"/>
  <c r="BI121" i="163" s="1"/>
  <c r="H121" i="163"/>
  <c r="I121" i="163" s="1"/>
  <c r="BY121" i="163"/>
  <c r="M121" i="163"/>
  <c r="K121" i="163"/>
  <c r="L121" i="163" s="1"/>
  <c r="AP121" i="159"/>
  <c r="AS121" i="159" s="1"/>
  <c r="AV121" i="163"/>
  <c r="AW121" i="163" s="1"/>
  <c r="BJ121" i="159"/>
  <c r="BK121" i="159" s="1"/>
  <c r="BL121" i="159" s="1"/>
  <c r="AZ121" i="159"/>
  <c r="BC121" i="159" s="1"/>
  <c r="BC121" i="163"/>
  <c r="BA121" i="163"/>
  <c r="BB121" i="163" s="1"/>
  <c r="F121" i="162"/>
  <c r="BY121" i="162"/>
  <c r="H121" i="162"/>
  <c r="I121" i="162" s="1"/>
  <c r="AK121" i="159"/>
  <c r="AQ121" i="163"/>
  <c r="AR121" i="163" s="1"/>
  <c r="AS121" i="163"/>
  <c r="S121" i="162"/>
  <c r="BS121" i="160"/>
  <c r="CG121" i="160" s="1"/>
  <c r="BT121" i="160"/>
  <c r="CH121" i="160" s="1"/>
  <c r="BE121" i="159"/>
  <c r="AU121" i="159"/>
  <c r="AM121" i="160"/>
  <c r="BW121" i="163"/>
  <c r="AC121" i="163"/>
  <c r="AE121" i="163"/>
  <c r="AF121" i="163" s="1"/>
  <c r="AG121" i="163"/>
  <c r="G121" i="160"/>
  <c r="M121" i="159"/>
  <c r="K121" i="159"/>
  <c r="L121" i="159" s="1"/>
  <c r="AQ121" i="162"/>
  <c r="AO121" i="162"/>
  <c r="AS121" i="162"/>
  <c r="O121" i="159"/>
  <c r="BX121" i="163"/>
  <c r="R121" i="163"/>
  <c r="S121" i="163" s="1"/>
  <c r="P121" i="163"/>
  <c r="Q121" i="163" s="1"/>
  <c r="U121" i="162"/>
  <c r="V121" i="162" s="1"/>
  <c r="W121" i="162"/>
  <c r="CA121" i="163"/>
  <c r="CB121" i="162"/>
  <c r="BP121" i="162" s="1"/>
  <c r="CD121" i="162" s="1"/>
  <c r="BH121" i="162"/>
  <c r="BI121" i="162" s="1"/>
  <c r="BM121" i="162" s="1"/>
  <c r="BF121" i="162"/>
  <c r="BG121" i="162" s="1"/>
  <c r="BR121" i="160"/>
  <c r="CF121" i="160" s="1"/>
  <c r="BQ121" i="160"/>
  <c r="CE121" i="160" s="1"/>
  <c r="AD121" i="159"/>
  <c r="CB121" i="163"/>
  <c r="BM121" i="163"/>
  <c r="BK121" i="163"/>
  <c r="BL121" i="163" s="1"/>
  <c r="AG121" i="162"/>
  <c r="AE121" i="162"/>
  <c r="AF121" i="162" s="1"/>
  <c r="BW121" i="162"/>
  <c r="BU121" i="162" s="1"/>
  <c r="CI121" i="162" s="1"/>
  <c r="AY121" i="163"/>
  <c r="W121" i="163"/>
  <c r="U121" i="163"/>
  <c r="V121" i="163" s="1"/>
  <c r="CA121" i="162"/>
  <c r="BQ121" i="162" s="1"/>
  <c r="CE121" i="162" s="1"/>
  <c r="AX121" i="162"/>
  <c r="AY121" i="162" s="1"/>
  <c r="BC121" i="162" s="1"/>
  <c r="AV121" i="162"/>
  <c r="AW121" i="162" s="1"/>
  <c r="Y121" i="159"/>
  <c r="E121" i="159"/>
  <c r="AL121" i="163"/>
  <c r="AN121" i="163"/>
  <c r="AO121" i="163" s="1"/>
  <c r="BZ121" i="163"/>
  <c r="AC121" i="162"/>
  <c r="T121" i="159"/>
  <c r="BU100" i="158"/>
  <c r="CI100" i="158" s="1"/>
  <c r="BS100" i="158"/>
  <c r="CG100" i="158" s="1"/>
  <c r="BT100" i="158"/>
  <c r="CH100" i="158" s="1"/>
  <c r="G100" i="158"/>
  <c r="BE101" i="158" s="1"/>
  <c r="AQ121" i="159" l="1"/>
  <c r="AR121" i="159" s="1"/>
  <c r="CX100" i="158"/>
  <c r="AA89" i="79" s="1"/>
  <c r="CV121" i="160"/>
  <c r="CW121" i="160"/>
  <c r="CL121" i="160"/>
  <c r="CM100" i="158"/>
  <c r="P89" i="79" s="1"/>
  <c r="CP100" i="158"/>
  <c r="CX121" i="160"/>
  <c r="CP121" i="160"/>
  <c r="CK100" i="158"/>
  <c r="N89" i="79" s="1"/>
  <c r="CY100" i="158"/>
  <c r="AB89" i="79" s="1"/>
  <c r="CY121" i="160"/>
  <c r="CM121" i="160"/>
  <c r="CO100" i="158"/>
  <c r="CT100" i="158"/>
  <c r="W89" i="79" s="1"/>
  <c r="CS121" i="160"/>
  <c r="CK121" i="160"/>
  <c r="CU100" i="158"/>
  <c r="X89" i="79" s="1"/>
  <c r="CS100" i="158"/>
  <c r="V89" i="79" s="1"/>
  <c r="CZ121" i="160"/>
  <c r="CN121" i="160"/>
  <c r="CN100" i="158"/>
  <c r="Q89" i="79" s="1"/>
  <c r="CW100" i="158"/>
  <c r="Z89" i="79" s="1"/>
  <c r="CT121" i="160"/>
  <c r="CU121" i="160"/>
  <c r="CR100" i="158"/>
  <c r="CV100" i="158"/>
  <c r="Y89" i="79" s="1"/>
  <c r="CO121" i="160"/>
  <c r="CR121" i="160"/>
  <c r="CQ100" i="158"/>
  <c r="CZ100" i="158"/>
  <c r="AC89" i="79" s="1"/>
  <c r="CQ121" i="160"/>
  <c r="CL100" i="158"/>
  <c r="O89" i="79" s="1"/>
  <c r="BS121" i="163"/>
  <c r="CG121" i="163" s="1"/>
  <c r="AD122" i="160"/>
  <c r="AE122" i="160" s="1"/>
  <c r="AF122" i="160" s="1"/>
  <c r="AU122" i="160"/>
  <c r="AX122" i="160" s="1"/>
  <c r="BA121" i="159"/>
  <c r="BB121" i="159" s="1"/>
  <c r="BR121" i="162"/>
  <c r="CF121" i="162" s="1"/>
  <c r="BR121" i="163"/>
  <c r="CF121" i="163" s="1"/>
  <c r="T122" i="160"/>
  <c r="U122" i="160" s="1"/>
  <c r="V122" i="160" s="1"/>
  <c r="O122" i="160"/>
  <c r="R122" i="160" s="1"/>
  <c r="E122" i="160"/>
  <c r="F122" i="160" s="1"/>
  <c r="G122" i="160" s="1"/>
  <c r="BE122" i="160"/>
  <c r="BH122" i="160" s="1"/>
  <c r="J122" i="160"/>
  <c r="M122" i="160" s="1"/>
  <c r="Y122" i="160"/>
  <c r="AB122" i="160" s="1"/>
  <c r="AZ122" i="160"/>
  <c r="BA122" i="160" s="1"/>
  <c r="BB122" i="160" s="1"/>
  <c r="CB121" i="159"/>
  <c r="BF121" i="159"/>
  <c r="BG121" i="159" s="1"/>
  <c r="BH121" i="159"/>
  <c r="BI121" i="159" s="1"/>
  <c r="BM121" i="159" s="1"/>
  <c r="AN121" i="159"/>
  <c r="AO121" i="159" s="1"/>
  <c r="AL121" i="159"/>
  <c r="BZ121" i="159"/>
  <c r="BP121" i="163"/>
  <c r="CD121" i="163" s="1"/>
  <c r="BQ121" i="163"/>
  <c r="CE121" i="163" s="1"/>
  <c r="AR121" i="162"/>
  <c r="BT121" i="163"/>
  <c r="CH121" i="163" s="1"/>
  <c r="BU121" i="163"/>
  <c r="CI121" i="163" s="1"/>
  <c r="BS121" i="162"/>
  <c r="CG121" i="162" s="1"/>
  <c r="BT121" i="162"/>
  <c r="CH121" i="162" s="1"/>
  <c r="AX121" i="159"/>
  <c r="AY121" i="159" s="1"/>
  <c r="CA121" i="159"/>
  <c r="AV121" i="159"/>
  <c r="AW121" i="159" s="1"/>
  <c r="AK122" i="160"/>
  <c r="AP122" i="160"/>
  <c r="BJ122" i="160"/>
  <c r="G121" i="162"/>
  <c r="AM121" i="163"/>
  <c r="F121" i="159"/>
  <c r="H121" i="159"/>
  <c r="I121" i="159" s="1"/>
  <c r="BY121" i="159"/>
  <c r="Z121" i="159"/>
  <c r="AA121" i="159" s="1"/>
  <c r="BW121" i="159"/>
  <c r="AB121" i="159"/>
  <c r="AC121" i="159" s="1"/>
  <c r="R121" i="159"/>
  <c r="S121" i="159" s="1"/>
  <c r="P121" i="159"/>
  <c r="Q121" i="159" s="1"/>
  <c r="BX121" i="159"/>
  <c r="W121" i="159"/>
  <c r="U121" i="159"/>
  <c r="V121" i="159" s="1"/>
  <c r="AG121" i="159"/>
  <c r="AE121" i="159"/>
  <c r="AF121" i="159" s="1"/>
  <c r="AP101" i="158"/>
  <c r="AQ101" i="158" s="1"/>
  <c r="AR101" i="158" s="1"/>
  <c r="BJ101" i="158"/>
  <c r="BK101" i="158" s="1"/>
  <c r="BL101" i="158" s="1"/>
  <c r="AU101" i="158"/>
  <c r="AZ101" i="158"/>
  <c r="BA101" i="158" s="1"/>
  <c r="BB101" i="158" s="1"/>
  <c r="BH101" i="158"/>
  <c r="BF101" i="158"/>
  <c r="BG101" i="158" s="1"/>
  <c r="AK101" i="158"/>
  <c r="T101" i="158"/>
  <c r="U101" i="158" s="1"/>
  <c r="V101" i="158" s="1"/>
  <c r="S122" i="160" l="1"/>
  <c r="W122" i="160" s="1"/>
  <c r="AV122" i="160"/>
  <c r="AW122" i="160" s="1"/>
  <c r="CA122" i="160"/>
  <c r="CP121" i="162"/>
  <c r="AK122" i="162"/>
  <c r="AL122" i="162" s="1"/>
  <c r="AM122" i="162" s="1"/>
  <c r="CX121" i="162"/>
  <c r="CV121" i="162"/>
  <c r="CW121" i="162"/>
  <c r="CZ121" i="162"/>
  <c r="CY121" i="162"/>
  <c r="CO121" i="162"/>
  <c r="CV121" i="163"/>
  <c r="CR121" i="163"/>
  <c r="CM121" i="163"/>
  <c r="CN121" i="163"/>
  <c r="CL121" i="163"/>
  <c r="CQ121" i="163"/>
  <c r="CP121" i="163"/>
  <c r="CK121" i="163"/>
  <c r="CO121" i="163"/>
  <c r="CZ121" i="163"/>
  <c r="CS121" i="163"/>
  <c r="CT121" i="163"/>
  <c r="CU121" i="163"/>
  <c r="CY121" i="163"/>
  <c r="CW121" i="163"/>
  <c r="CX121" i="163"/>
  <c r="CU121" i="162"/>
  <c r="CL121" i="162"/>
  <c r="CT121" i="162"/>
  <c r="CN121" i="162"/>
  <c r="CS121" i="162"/>
  <c r="CK121" i="162"/>
  <c r="CQ121" i="162"/>
  <c r="CR121" i="162"/>
  <c r="CM121" i="162"/>
  <c r="H122" i="160"/>
  <c r="I122" i="160" s="1"/>
  <c r="AY122" i="160"/>
  <c r="BC122" i="160" s="1"/>
  <c r="K122" i="160"/>
  <c r="L122" i="160" s="1"/>
  <c r="BY122" i="160"/>
  <c r="O122" i="163"/>
  <c r="R122" i="163" s="1"/>
  <c r="BX122" i="160"/>
  <c r="AZ122" i="162"/>
  <c r="BA122" i="162" s="1"/>
  <c r="BB122" i="162" s="1"/>
  <c r="P122" i="160"/>
  <c r="Q122" i="160" s="1"/>
  <c r="E122" i="162"/>
  <c r="H122" i="162" s="1"/>
  <c r="CB122" i="160"/>
  <c r="BP122" i="160" s="1"/>
  <c r="CD122" i="160" s="1"/>
  <c r="AD122" i="163"/>
  <c r="AE122" i="163" s="1"/>
  <c r="AF122" i="163" s="1"/>
  <c r="O122" i="162"/>
  <c r="P122" i="162" s="1"/>
  <c r="Q122" i="162" s="1"/>
  <c r="BF122" i="160"/>
  <c r="BG122" i="160" s="1"/>
  <c r="BW122" i="160"/>
  <c r="BU122" i="160" s="1"/>
  <c r="CI122" i="160" s="1"/>
  <c r="T122" i="162"/>
  <c r="U122" i="162" s="1"/>
  <c r="V122" i="162" s="1"/>
  <c r="AC122" i="160"/>
  <c r="AG122" i="160" s="1"/>
  <c r="Z122" i="160"/>
  <c r="AA122" i="160" s="1"/>
  <c r="J122" i="162"/>
  <c r="AK122" i="163"/>
  <c r="AL122" i="163" s="1"/>
  <c r="AM122" i="163" s="1"/>
  <c r="P122" i="163"/>
  <c r="Q122" i="163" s="1"/>
  <c r="AL122" i="160"/>
  <c r="BZ122" i="160"/>
  <c r="AN122" i="160"/>
  <c r="AO122" i="160" s="1"/>
  <c r="J122" i="163"/>
  <c r="Y122" i="163"/>
  <c r="BJ122" i="163"/>
  <c r="BP121" i="159"/>
  <c r="CD121" i="159" s="1"/>
  <c r="BQ121" i="159"/>
  <c r="CE121" i="159" s="1"/>
  <c r="BR121" i="159"/>
  <c r="CF121" i="159" s="1"/>
  <c r="T122" i="163"/>
  <c r="BE122" i="163"/>
  <c r="E122" i="163"/>
  <c r="AM121" i="159"/>
  <c r="G121" i="159"/>
  <c r="BI101" i="158"/>
  <c r="BM101" i="158" s="1"/>
  <c r="AP122" i="163"/>
  <c r="BK122" i="160"/>
  <c r="BL122" i="160" s="1"/>
  <c r="BI122" i="160"/>
  <c r="BM122" i="160" s="1"/>
  <c r="AD122" i="162"/>
  <c r="Y122" i="162"/>
  <c r="AP122" i="162"/>
  <c r="AU122" i="162"/>
  <c r="BE122" i="162"/>
  <c r="AU122" i="163"/>
  <c r="BS121" i="159"/>
  <c r="CG121" i="159" s="1"/>
  <c r="BU121" i="159"/>
  <c r="CI121" i="159" s="1"/>
  <c r="BT121" i="159"/>
  <c r="CH121" i="159" s="1"/>
  <c r="BJ122" i="162"/>
  <c r="AS122" i="160"/>
  <c r="AQ122" i="160"/>
  <c r="AR122" i="160" s="1"/>
  <c r="AZ122" i="163"/>
  <c r="CB101" i="158"/>
  <c r="CA101" i="158"/>
  <c r="AX101" i="158"/>
  <c r="AY101" i="158" s="1"/>
  <c r="BC101" i="158" s="1"/>
  <c r="AV101" i="158"/>
  <c r="AW101" i="158" s="1"/>
  <c r="O101" i="158"/>
  <c r="H90" i="79" s="1"/>
  <c r="AD101" i="158"/>
  <c r="Y101" i="158"/>
  <c r="G90" i="79" s="1"/>
  <c r="J101" i="158"/>
  <c r="AN101" i="158"/>
  <c r="AO101" i="158" s="1"/>
  <c r="AS101" i="158" s="1"/>
  <c r="AL101" i="158"/>
  <c r="AM101" i="158" s="1"/>
  <c r="BZ101" i="158"/>
  <c r="E101" i="158"/>
  <c r="E90" i="79" s="1"/>
  <c r="AN122" i="162" l="1"/>
  <c r="AG122" i="163"/>
  <c r="AN122" i="163"/>
  <c r="BT122" i="160"/>
  <c r="CH122" i="160" s="1"/>
  <c r="CS121" i="159"/>
  <c r="CP121" i="159"/>
  <c r="CL121" i="159"/>
  <c r="CK121" i="159"/>
  <c r="CM121" i="159"/>
  <c r="CR121" i="159"/>
  <c r="CQ121" i="159"/>
  <c r="CN121" i="159"/>
  <c r="CO121" i="159"/>
  <c r="CW121" i="159"/>
  <c r="CV121" i="159"/>
  <c r="CU121" i="159"/>
  <c r="CT121" i="159"/>
  <c r="CY121" i="159"/>
  <c r="CZ121" i="159"/>
  <c r="CX121" i="159"/>
  <c r="BZ122" i="163"/>
  <c r="R122" i="162"/>
  <c r="S122" i="162" s="1"/>
  <c r="W122" i="162" s="1"/>
  <c r="F122" i="162"/>
  <c r="G122" i="162" s="1"/>
  <c r="AK122" i="159"/>
  <c r="AL122" i="159" s="1"/>
  <c r="AM122" i="159" s="1"/>
  <c r="BS122" i="160"/>
  <c r="CG122" i="160" s="1"/>
  <c r="BY122" i="162"/>
  <c r="BX122" i="162"/>
  <c r="M122" i="162"/>
  <c r="K122" i="162"/>
  <c r="L122" i="162" s="1"/>
  <c r="O122" i="159"/>
  <c r="R122" i="159" s="1"/>
  <c r="I122" i="162"/>
  <c r="BE122" i="159"/>
  <c r="BH122" i="159" s="1"/>
  <c r="AE101" i="158"/>
  <c r="AF101" i="158" s="1"/>
  <c r="K90" i="79"/>
  <c r="AP122" i="159"/>
  <c r="CB122" i="163"/>
  <c r="BH122" i="163"/>
  <c r="BI122" i="163" s="1"/>
  <c r="BF122" i="163"/>
  <c r="BG122" i="163" s="1"/>
  <c r="BM122" i="163"/>
  <c r="BK122" i="163"/>
  <c r="BL122" i="163" s="1"/>
  <c r="AS122" i="162"/>
  <c r="AQ122" i="162"/>
  <c r="AR122" i="162" s="1"/>
  <c r="AS122" i="163"/>
  <c r="AQ122" i="163"/>
  <c r="AO122" i="163"/>
  <c r="BJ122" i="159"/>
  <c r="J122" i="159"/>
  <c r="AB122" i="163"/>
  <c r="AC122" i="163" s="1"/>
  <c r="BW122" i="163"/>
  <c r="Z122" i="163"/>
  <c r="AA122" i="163" s="1"/>
  <c r="BQ122" i="160"/>
  <c r="CE122" i="160" s="1"/>
  <c r="BR122" i="160"/>
  <c r="CF122" i="160" s="1"/>
  <c r="BK122" i="162"/>
  <c r="BL122" i="162" s="1"/>
  <c r="AZ122" i="159"/>
  <c r="E122" i="159"/>
  <c r="AD122" i="159"/>
  <c r="T122" i="159"/>
  <c r="Y122" i="159"/>
  <c r="AM122" i="160"/>
  <c r="W122" i="163"/>
  <c r="U122" i="163"/>
  <c r="V122" i="163" s="1"/>
  <c r="S122" i="163"/>
  <c r="AU122" i="159"/>
  <c r="BX122" i="163"/>
  <c r="AB122" i="162"/>
  <c r="AC122" i="162" s="1"/>
  <c r="Z122" i="162"/>
  <c r="AA122" i="162" s="1"/>
  <c r="BW122" i="162"/>
  <c r="BU122" i="162" s="1"/>
  <c r="CI122" i="162" s="1"/>
  <c r="F122" i="163"/>
  <c r="H122" i="163"/>
  <c r="I122" i="163" s="1"/>
  <c r="BY122" i="163"/>
  <c r="AX122" i="162"/>
  <c r="AY122" i="162" s="1"/>
  <c r="BC122" i="162" s="1"/>
  <c r="AV122" i="162"/>
  <c r="AW122" i="162" s="1"/>
  <c r="CA122" i="162"/>
  <c r="K101" i="158"/>
  <c r="L101" i="158" s="1"/>
  <c r="I90" i="79"/>
  <c r="BC122" i="163"/>
  <c r="BA122" i="163"/>
  <c r="BB122" i="163" s="1"/>
  <c r="AX122" i="163"/>
  <c r="AY122" i="163" s="1"/>
  <c r="CA122" i="163"/>
  <c r="AV122" i="163"/>
  <c r="AW122" i="163" s="1"/>
  <c r="AE122" i="162"/>
  <c r="AF122" i="162" s="1"/>
  <c r="AG122" i="162"/>
  <c r="AO122" i="162"/>
  <c r="CB122" i="162"/>
  <c r="BP122" i="162" s="1"/>
  <c r="CD122" i="162" s="1"/>
  <c r="BH122" i="162"/>
  <c r="BI122" i="162" s="1"/>
  <c r="BM122" i="162" s="1"/>
  <c r="BF122" i="162"/>
  <c r="BG122" i="162" s="1"/>
  <c r="K122" i="163"/>
  <c r="L122" i="163" s="1"/>
  <c r="M122" i="163"/>
  <c r="BZ122" i="162"/>
  <c r="BR101" i="158"/>
  <c r="CF101" i="158" s="1"/>
  <c r="BP101" i="158"/>
  <c r="CD101" i="158" s="1"/>
  <c r="BQ101" i="158"/>
  <c r="CE101" i="158" s="1"/>
  <c r="BW101" i="158"/>
  <c r="AB101" i="158"/>
  <c r="AC101" i="158" s="1"/>
  <c r="AG101" i="158" s="1"/>
  <c r="Z101" i="158"/>
  <c r="AA101" i="158" s="1"/>
  <c r="F101" i="158"/>
  <c r="BY101" i="158"/>
  <c r="H101" i="158"/>
  <c r="I101" i="158" s="1"/>
  <c r="M101" i="158" s="1"/>
  <c r="BX101" i="158"/>
  <c r="P101" i="158"/>
  <c r="Q101" i="158" s="1"/>
  <c r="R101" i="158"/>
  <c r="S101" i="158" s="1"/>
  <c r="W101" i="158" s="1"/>
  <c r="BS122" i="162" l="1"/>
  <c r="CG122" i="162" s="1"/>
  <c r="CO122" i="160"/>
  <c r="BQ122" i="163"/>
  <c r="CE122" i="163" s="1"/>
  <c r="CX122" i="160"/>
  <c r="CP122" i="160"/>
  <c r="CW122" i="160"/>
  <c r="CK122" i="160"/>
  <c r="CT122" i="160"/>
  <c r="CN122" i="160"/>
  <c r="CZ122" i="160"/>
  <c r="CL122" i="160"/>
  <c r="CY122" i="160"/>
  <c r="CU122" i="160"/>
  <c r="CS122" i="160"/>
  <c r="CV122" i="160"/>
  <c r="CM122" i="160"/>
  <c r="CQ122" i="160"/>
  <c r="CR122" i="160"/>
  <c r="L90" i="79"/>
  <c r="BT122" i="162"/>
  <c r="CH122" i="162" s="1"/>
  <c r="Y123" i="160"/>
  <c r="Z123" i="160" s="1"/>
  <c r="AA123" i="160" s="1"/>
  <c r="AD123" i="160"/>
  <c r="AE123" i="160" s="1"/>
  <c r="AF123" i="160" s="1"/>
  <c r="E123" i="160"/>
  <c r="F123" i="160" s="1"/>
  <c r="G123" i="160" s="1"/>
  <c r="AN122" i="159"/>
  <c r="AO122" i="159" s="1"/>
  <c r="CB122" i="159"/>
  <c r="BX122" i="159"/>
  <c r="P122" i="159"/>
  <c r="Q122" i="159" s="1"/>
  <c r="E123" i="162"/>
  <c r="H123" i="162" s="1"/>
  <c r="T123" i="160"/>
  <c r="U123" i="160" s="1"/>
  <c r="V123" i="160" s="1"/>
  <c r="BF122" i="159"/>
  <c r="BG122" i="159" s="1"/>
  <c r="T123" i="162"/>
  <c r="U123" i="162" s="1"/>
  <c r="V123" i="162" s="1"/>
  <c r="O123" i="160"/>
  <c r="R123" i="160" s="1"/>
  <c r="J123" i="160"/>
  <c r="AE122" i="159"/>
  <c r="AF122" i="159" s="1"/>
  <c r="AG122" i="159"/>
  <c r="AR122" i="163"/>
  <c r="BI122" i="159"/>
  <c r="BM122" i="159" s="1"/>
  <c r="G122" i="163"/>
  <c r="BY122" i="159"/>
  <c r="H122" i="159"/>
  <c r="I122" i="159" s="1"/>
  <c r="F122" i="159"/>
  <c r="BS122" i="163"/>
  <c r="CG122" i="163" s="1"/>
  <c r="BU122" i="163"/>
  <c r="CI122" i="163" s="1"/>
  <c r="BT122" i="163"/>
  <c r="CH122" i="163" s="1"/>
  <c r="O123" i="162"/>
  <c r="BA122" i="159"/>
  <c r="BB122" i="159" s="1"/>
  <c r="BC122" i="159"/>
  <c r="AD123" i="162"/>
  <c r="BR122" i="163"/>
  <c r="CF122" i="163" s="1"/>
  <c r="S122" i="159"/>
  <c r="W122" i="159"/>
  <c r="U122" i="159"/>
  <c r="V122" i="159" s="1"/>
  <c r="BP122" i="163"/>
  <c r="CD122" i="163" s="1"/>
  <c r="K122" i="159"/>
  <c r="L122" i="159" s="1"/>
  <c r="M122" i="159"/>
  <c r="AQ122" i="159"/>
  <c r="AS122" i="159"/>
  <c r="CA122" i="159"/>
  <c r="AX122" i="159"/>
  <c r="AY122" i="159" s="1"/>
  <c r="AV122" i="159"/>
  <c r="AW122" i="159" s="1"/>
  <c r="BR122" i="162"/>
  <c r="CF122" i="162" s="1"/>
  <c r="BQ122" i="162"/>
  <c r="CE122" i="162" s="1"/>
  <c r="BJ123" i="160"/>
  <c r="AP123" i="160"/>
  <c r="AK123" i="160"/>
  <c r="AU123" i="160"/>
  <c r="AZ123" i="160"/>
  <c r="BE123" i="160"/>
  <c r="BK122" i="159"/>
  <c r="BL122" i="159" s="1"/>
  <c r="BZ122" i="159"/>
  <c r="AB122" i="159"/>
  <c r="AC122" i="159" s="1"/>
  <c r="Z122" i="159"/>
  <c r="AA122" i="159" s="1"/>
  <c r="BW122" i="159"/>
  <c r="BS101" i="158"/>
  <c r="CG101" i="158" s="1"/>
  <c r="BT101" i="158"/>
  <c r="CH101" i="158" s="1"/>
  <c r="BU101" i="158"/>
  <c r="CI101" i="158" s="1"/>
  <c r="G101" i="158"/>
  <c r="BE102" i="158" s="1"/>
  <c r="Y123" i="162" l="1"/>
  <c r="J123" i="162"/>
  <c r="K123" i="162" s="1"/>
  <c r="L123" i="162" s="1"/>
  <c r="W123" i="160"/>
  <c r="CV122" i="162"/>
  <c r="CY101" i="158"/>
  <c r="AB90" i="79" s="1"/>
  <c r="CV122" i="163"/>
  <c r="CQ122" i="163"/>
  <c r="CM122" i="163"/>
  <c r="CK122" i="163"/>
  <c r="CR122" i="163"/>
  <c r="CL122" i="163"/>
  <c r="CO122" i="163"/>
  <c r="CP122" i="163"/>
  <c r="CN122" i="163"/>
  <c r="CU122" i="163"/>
  <c r="CT122" i="163"/>
  <c r="CZ122" i="163"/>
  <c r="CS122" i="163"/>
  <c r="CW122" i="163"/>
  <c r="CY122" i="163"/>
  <c r="CX122" i="163"/>
  <c r="CN101" i="158"/>
  <c r="Q90" i="79" s="1"/>
  <c r="CU101" i="158"/>
  <c r="X90" i="79" s="1"/>
  <c r="CU122" i="162"/>
  <c r="CM122" i="162"/>
  <c r="H123" i="160"/>
  <c r="BY123" i="160"/>
  <c r="CP101" i="158"/>
  <c r="CX101" i="158"/>
  <c r="AA90" i="79" s="1"/>
  <c r="CQ122" i="162"/>
  <c r="CK122" i="162"/>
  <c r="CK101" i="158"/>
  <c r="N90" i="79" s="1"/>
  <c r="CZ101" i="158"/>
  <c r="AC90" i="79" s="1"/>
  <c r="CR122" i="162"/>
  <c r="CZ122" i="162"/>
  <c r="CO101" i="158"/>
  <c r="CS101" i="158"/>
  <c r="V90" i="79" s="1"/>
  <c r="CY122" i="162"/>
  <c r="CN122" i="162"/>
  <c r="CT101" i="158"/>
  <c r="W90" i="79" s="1"/>
  <c r="CW101" i="158"/>
  <c r="Z90" i="79" s="1"/>
  <c r="CX122" i="162"/>
  <c r="CP122" i="162"/>
  <c r="BW123" i="160"/>
  <c r="CL101" i="158"/>
  <c r="O90" i="79" s="1"/>
  <c r="CR101" i="158"/>
  <c r="CW122" i="162"/>
  <c r="CO122" i="162"/>
  <c r="AB123" i="160"/>
  <c r="AC123" i="160" s="1"/>
  <c r="AG123" i="160" s="1"/>
  <c r="CM101" i="158"/>
  <c r="P90" i="79" s="1"/>
  <c r="CV101" i="158"/>
  <c r="Y90" i="79" s="1"/>
  <c r="CT122" i="162"/>
  <c r="CL122" i="162"/>
  <c r="CQ101" i="158"/>
  <c r="CS122" i="162"/>
  <c r="M123" i="162"/>
  <c r="I123" i="162"/>
  <c r="BX123" i="160"/>
  <c r="BY123" i="162"/>
  <c r="F123" i="162"/>
  <c r="G123" i="162" s="1"/>
  <c r="S123" i="160"/>
  <c r="M123" i="160"/>
  <c r="K123" i="160"/>
  <c r="L123" i="160" s="1"/>
  <c r="P123" i="160"/>
  <c r="Q123" i="160" s="1"/>
  <c r="I123" i="160"/>
  <c r="AZ123" i="163"/>
  <c r="BC123" i="163" s="1"/>
  <c r="O123" i="163"/>
  <c r="P123" i="163" s="1"/>
  <c r="Q123" i="163" s="1"/>
  <c r="BE123" i="163"/>
  <c r="BF123" i="163" s="1"/>
  <c r="BG123" i="163" s="1"/>
  <c r="AP123" i="163"/>
  <c r="AQ123" i="163" s="1"/>
  <c r="AR123" i="163" s="1"/>
  <c r="BJ123" i="163"/>
  <c r="BM123" i="163" s="1"/>
  <c r="AU123" i="163"/>
  <c r="AV123" i="163" s="1"/>
  <c r="AW123" i="163" s="1"/>
  <c r="BH123" i="160"/>
  <c r="BI123" i="160" s="1"/>
  <c r="BM123" i="160" s="1"/>
  <c r="CB123" i="160"/>
  <c r="BP123" i="160" s="1"/>
  <c r="CD123" i="160" s="1"/>
  <c r="BF123" i="160"/>
  <c r="BG123" i="160" s="1"/>
  <c r="BA123" i="160"/>
  <c r="BB123" i="160" s="1"/>
  <c r="AG123" i="162"/>
  <c r="AE123" i="162"/>
  <c r="AF123" i="162" s="1"/>
  <c r="E123" i="163"/>
  <c r="AD123" i="163"/>
  <c r="J123" i="163"/>
  <c r="Y123" i="163"/>
  <c r="T123" i="163"/>
  <c r="AV123" i="160"/>
  <c r="AW123" i="160" s="1"/>
  <c r="CA123" i="160"/>
  <c r="AX123" i="160"/>
  <c r="AY123" i="160" s="1"/>
  <c r="BC123" i="160" s="1"/>
  <c r="BU122" i="159"/>
  <c r="CI122" i="159" s="1"/>
  <c r="BS122" i="159"/>
  <c r="CG122" i="159" s="1"/>
  <c r="BT122" i="159"/>
  <c r="CH122" i="159" s="1"/>
  <c r="BZ123" i="160"/>
  <c r="AL123" i="160"/>
  <c r="AN123" i="160"/>
  <c r="AO123" i="160" s="1"/>
  <c r="AK123" i="162"/>
  <c r="AZ123" i="162"/>
  <c r="BE123" i="162"/>
  <c r="BJ123" i="162"/>
  <c r="AP123" i="162"/>
  <c r="AU123" i="162"/>
  <c r="AR122" i="159"/>
  <c r="P123" i="162"/>
  <c r="Q123" i="162" s="1"/>
  <c r="R123" i="162"/>
  <c r="S123" i="162" s="1"/>
  <c r="W123" i="162" s="1"/>
  <c r="BX123" i="162"/>
  <c r="G122" i="159"/>
  <c r="AS123" i="160"/>
  <c r="AQ123" i="160"/>
  <c r="AR123" i="160" s="1"/>
  <c r="AB123" i="162"/>
  <c r="AC123" i="162" s="1"/>
  <c r="BW123" i="162"/>
  <c r="BU123" i="162" s="1"/>
  <c r="CI123" i="162" s="1"/>
  <c r="Z123" i="162"/>
  <c r="AA123" i="162" s="1"/>
  <c r="BK123" i="160"/>
  <c r="BL123" i="160" s="1"/>
  <c r="AK123" i="163"/>
  <c r="BQ122" i="159"/>
  <c r="CE122" i="159" s="1"/>
  <c r="BP122" i="159"/>
  <c r="CD122" i="159" s="1"/>
  <c r="BR122" i="159"/>
  <c r="CF122" i="159" s="1"/>
  <c r="BU123" i="160"/>
  <c r="CI123" i="160" s="1"/>
  <c r="AP102" i="158"/>
  <c r="AQ102" i="158" s="1"/>
  <c r="AR102" i="158" s="1"/>
  <c r="AU102" i="158"/>
  <c r="AX102" i="158" s="1"/>
  <c r="AK102" i="158"/>
  <c r="AL102" i="158" s="1"/>
  <c r="AM102" i="158" s="1"/>
  <c r="AZ102" i="158"/>
  <c r="BA102" i="158" s="1"/>
  <c r="BB102" i="158" s="1"/>
  <c r="BJ102" i="158"/>
  <c r="BK102" i="158" s="1"/>
  <c r="BL102" i="158" s="1"/>
  <c r="J102" i="158"/>
  <c r="K102" i="158" s="1"/>
  <c r="L102" i="158" s="1"/>
  <c r="BH102" i="158"/>
  <c r="BF102" i="158"/>
  <c r="BG102" i="158" s="1"/>
  <c r="BS123" i="160" l="1"/>
  <c r="CG123" i="160" s="1"/>
  <c r="R123" i="163"/>
  <c r="S123" i="163" s="1"/>
  <c r="BA123" i="163"/>
  <c r="BB123" i="163" s="1"/>
  <c r="BT123" i="160"/>
  <c r="CH123" i="160" s="1"/>
  <c r="CQ122" i="159"/>
  <c r="CM122" i="159"/>
  <c r="CO122" i="159"/>
  <c r="CS122" i="159"/>
  <c r="CK122" i="159"/>
  <c r="CL122" i="159"/>
  <c r="CR122" i="159"/>
  <c r="CP122" i="159"/>
  <c r="CN122" i="159"/>
  <c r="CT122" i="159"/>
  <c r="CU122" i="159"/>
  <c r="CW122" i="159"/>
  <c r="CV122" i="159"/>
  <c r="CY122" i="159"/>
  <c r="CZ122" i="159"/>
  <c r="CX122" i="159"/>
  <c r="BX123" i="163"/>
  <c r="BS123" i="162"/>
  <c r="CG123" i="162" s="1"/>
  <c r="BK123" i="163"/>
  <c r="BL123" i="163" s="1"/>
  <c r="AS123" i="163"/>
  <c r="CA123" i="163"/>
  <c r="T123" i="159"/>
  <c r="W123" i="159" s="1"/>
  <c r="BH123" i="163"/>
  <c r="BI123" i="163" s="1"/>
  <c r="AX123" i="163"/>
  <c r="AY123" i="163" s="1"/>
  <c r="CB123" i="163"/>
  <c r="O123" i="159"/>
  <c r="P123" i="159" s="1"/>
  <c r="Q123" i="159" s="1"/>
  <c r="E123" i="159"/>
  <c r="H123" i="159" s="1"/>
  <c r="BJ123" i="159"/>
  <c r="BK123" i="159" s="1"/>
  <c r="BL123" i="159" s="1"/>
  <c r="AU123" i="159"/>
  <c r="AX123" i="159" s="1"/>
  <c r="BE123" i="159"/>
  <c r="U123" i="163"/>
  <c r="V123" i="163" s="1"/>
  <c r="W123" i="163"/>
  <c r="AZ123" i="159"/>
  <c r="AK123" i="159"/>
  <c r="Y123" i="159"/>
  <c r="Z123" i="163"/>
  <c r="AA123" i="163" s="1"/>
  <c r="AB123" i="163"/>
  <c r="AC123" i="163" s="1"/>
  <c r="AG123" i="163" s="1"/>
  <c r="BW123" i="163"/>
  <c r="AP123" i="159"/>
  <c r="AN123" i="163"/>
  <c r="AO123" i="163" s="1"/>
  <c r="AL123" i="163"/>
  <c r="BZ123" i="163"/>
  <c r="AV123" i="162"/>
  <c r="AW123" i="162" s="1"/>
  <c r="CA123" i="162"/>
  <c r="AX123" i="162"/>
  <c r="AY123" i="162" s="1"/>
  <c r="BC123" i="162" s="1"/>
  <c r="AM123" i="160"/>
  <c r="M123" i="163"/>
  <c r="K123" i="163"/>
  <c r="L123" i="163" s="1"/>
  <c r="BZ123" i="162"/>
  <c r="AN123" i="162"/>
  <c r="AO123" i="162" s="1"/>
  <c r="AL123" i="162"/>
  <c r="AQ123" i="162"/>
  <c r="AR123" i="162" s="1"/>
  <c r="AS123" i="162"/>
  <c r="BQ123" i="160"/>
  <c r="CE123" i="160" s="1"/>
  <c r="BR123" i="160"/>
  <c r="CF123" i="160" s="1"/>
  <c r="AE123" i="163"/>
  <c r="AF123" i="163" s="1"/>
  <c r="BA123" i="162"/>
  <c r="BB123" i="162" s="1"/>
  <c r="BK123" i="162"/>
  <c r="BL123" i="162" s="1"/>
  <c r="BT123" i="162"/>
  <c r="CH123" i="162" s="1"/>
  <c r="BY123" i="163"/>
  <c r="H123" i="163"/>
  <c r="I123" i="163" s="1"/>
  <c r="F123" i="163"/>
  <c r="AV102" i="158"/>
  <c r="AW102" i="158" s="1"/>
  <c r="J123" i="159"/>
  <c r="CB123" i="162"/>
  <c r="BP123" i="162" s="1"/>
  <c r="CD123" i="162" s="1"/>
  <c r="BF123" i="162"/>
  <c r="BG123" i="162" s="1"/>
  <c r="BH123" i="162"/>
  <c r="BI123" i="162" s="1"/>
  <c r="BM123" i="162" s="1"/>
  <c r="AD123" i="159"/>
  <c r="CA102" i="158"/>
  <c r="AN102" i="158"/>
  <c r="AO102" i="158" s="1"/>
  <c r="AS102" i="158" s="1"/>
  <c r="BI102" i="158"/>
  <c r="BM102" i="158" s="1"/>
  <c r="BZ102" i="158"/>
  <c r="AY102" i="158"/>
  <c r="BC102" i="158" s="1"/>
  <c r="CB102" i="158"/>
  <c r="T102" i="158"/>
  <c r="O102" i="158"/>
  <c r="AD102" i="158"/>
  <c r="AE102" i="158" s="1"/>
  <c r="AF102" i="158" s="1"/>
  <c r="E102" i="158"/>
  <c r="Y102" i="158"/>
  <c r="J124" i="160" l="1"/>
  <c r="U123" i="159"/>
  <c r="V123" i="159" s="1"/>
  <c r="CK123" i="160"/>
  <c r="CT123" i="160"/>
  <c r="CP123" i="160"/>
  <c r="CZ123" i="160"/>
  <c r="CM123" i="160"/>
  <c r="CS123" i="160"/>
  <c r="CL123" i="160"/>
  <c r="CY123" i="160"/>
  <c r="CO123" i="160"/>
  <c r="CQ123" i="160"/>
  <c r="CV123" i="160"/>
  <c r="CN123" i="160"/>
  <c r="CU123" i="160"/>
  <c r="CX123" i="160"/>
  <c r="CR123" i="160"/>
  <c r="CW123" i="160"/>
  <c r="BX123" i="159"/>
  <c r="R123" i="159"/>
  <c r="S123" i="159" s="1"/>
  <c r="E124" i="160"/>
  <c r="BY124" i="160" s="1"/>
  <c r="AV123" i="159"/>
  <c r="AW123" i="159" s="1"/>
  <c r="F123" i="159"/>
  <c r="G123" i="159" s="1"/>
  <c r="K124" i="160"/>
  <c r="L124" i="160" s="1"/>
  <c r="M124" i="160"/>
  <c r="K123" i="159"/>
  <c r="M123" i="159"/>
  <c r="Y124" i="160"/>
  <c r="BC123" i="159"/>
  <c r="BA123" i="159"/>
  <c r="BB123" i="159" s="1"/>
  <c r="AS123" i="159"/>
  <c r="AQ123" i="159"/>
  <c r="AR123" i="159" s="1"/>
  <c r="AY123" i="159"/>
  <c r="AN123" i="159"/>
  <c r="AO123" i="159" s="1"/>
  <c r="AL123" i="159"/>
  <c r="BZ123" i="159"/>
  <c r="G123" i="163"/>
  <c r="AD124" i="160"/>
  <c r="AM123" i="163"/>
  <c r="CA123" i="159"/>
  <c r="AM123" i="162"/>
  <c r="AD124" i="162" s="1"/>
  <c r="T124" i="160"/>
  <c r="O124" i="160"/>
  <c r="CB123" i="159"/>
  <c r="BF123" i="159"/>
  <c r="BG123" i="159" s="1"/>
  <c r="BH123" i="159"/>
  <c r="BI123" i="159" s="1"/>
  <c r="BM123" i="159" s="1"/>
  <c r="BY123" i="159"/>
  <c r="Z123" i="159"/>
  <c r="AA123" i="159" s="1"/>
  <c r="BW123" i="159"/>
  <c r="AB123" i="159"/>
  <c r="AC123" i="159" s="1"/>
  <c r="AE123" i="159"/>
  <c r="AF123" i="159" s="1"/>
  <c r="AG123" i="159"/>
  <c r="BT123" i="163"/>
  <c r="CH123" i="163" s="1"/>
  <c r="BS123" i="163"/>
  <c r="CG123" i="163" s="1"/>
  <c r="BU123" i="163"/>
  <c r="CI123" i="163" s="1"/>
  <c r="AP124" i="160"/>
  <c r="BE124" i="160"/>
  <c r="AU124" i="160"/>
  <c r="BJ124" i="160"/>
  <c r="AZ124" i="160"/>
  <c r="AK124" i="160"/>
  <c r="BR123" i="162"/>
  <c r="CF123" i="162" s="1"/>
  <c r="BQ123" i="162"/>
  <c r="CE123" i="162" s="1"/>
  <c r="BP123" i="163"/>
  <c r="CD123" i="163" s="1"/>
  <c r="BQ123" i="163"/>
  <c r="CE123" i="163" s="1"/>
  <c r="BR123" i="163"/>
  <c r="CF123" i="163" s="1"/>
  <c r="I123" i="159"/>
  <c r="BQ102" i="158"/>
  <c r="CE102" i="158" s="1"/>
  <c r="BR102" i="158"/>
  <c r="CF102" i="158" s="1"/>
  <c r="BP102" i="158"/>
  <c r="CD102" i="158" s="1"/>
  <c r="BY102" i="158"/>
  <c r="H102" i="158"/>
  <c r="I102" i="158" s="1"/>
  <c r="M102" i="158" s="1"/>
  <c r="F102" i="158"/>
  <c r="BW102" i="158"/>
  <c r="AB102" i="158"/>
  <c r="AC102" i="158" s="1"/>
  <c r="AG102" i="158" s="1"/>
  <c r="Z102" i="158"/>
  <c r="AA102" i="158" s="1"/>
  <c r="R102" i="158"/>
  <c r="S102" i="158" s="1"/>
  <c r="W102" i="158" s="1"/>
  <c r="P102" i="158"/>
  <c r="Q102" i="158" s="1"/>
  <c r="BX102" i="158"/>
  <c r="U102" i="158"/>
  <c r="V102" i="158" s="1"/>
  <c r="CZ123" i="162" l="1"/>
  <c r="CV123" i="162"/>
  <c r="CQ123" i="162"/>
  <c r="CM123" i="162"/>
  <c r="CO123" i="162"/>
  <c r="CW123" i="162"/>
  <c r="CR123" i="162"/>
  <c r="CY123" i="162"/>
  <c r="CN123" i="162"/>
  <c r="CQ123" i="163"/>
  <c r="CV123" i="163"/>
  <c r="CO123" i="163"/>
  <c r="CL123" i="163"/>
  <c r="CM123" i="163"/>
  <c r="CN123" i="163"/>
  <c r="CR123" i="163"/>
  <c r="CK123" i="163"/>
  <c r="CP123" i="163"/>
  <c r="CS123" i="163"/>
  <c r="CT123" i="163"/>
  <c r="CZ123" i="163"/>
  <c r="CU123" i="163"/>
  <c r="CY123" i="163"/>
  <c r="CX123" i="163"/>
  <c r="CW123" i="163"/>
  <c r="CX123" i="162"/>
  <c r="CK123" i="162"/>
  <c r="CS123" i="162"/>
  <c r="CP123" i="162"/>
  <c r="CT123" i="162"/>
  <c r="CL123" i="162"/>
  <c r="CU123" i="162"/>
  <c r="F124" i="160"/>
  <c r="G124" i="160" s="1"/>
  <c r="H124" i="160"/>
  <c r="I124" i="160" s="1"/>
  <c r="BE124" i="163"/>
  <c r="BH124" i="163" s="1"/>
  <c r="E124" i="163"/>
  <c r="F124" i="163" s="1"/>
  <c r="G124" i="163" s="1"/>
  <c r="T124" i="163"/>
  <c r="W124" i="163" s="1"/>
  <c r="AZ124" i="163"/>
  <c r="BA124" i="163" s="1"/>
  <c r="BB124" i="163" s="1"/>
  <c r="O124" i="163"/>
  <c r="R124" i="163" s="1"/>
  <c r="AK124" i="163"/>
  <c r="AN124" i="163" s="1"/>
  <c r="BK124" i="160"/>
  <c r="BL124" i="160" s="1"/>
  <c r="Z124" i="160"/>
  <c r="AA124" i="160" s="1"/>
  <c r="AB124" i="160"/>
  <c r="AC124" i="160" s="1"/>
  <c r="AG124" i="160" s="1"/>
  <c r="AP124" i="163"/>
  <c r="U124" i="160"/>
  <c r="V124" i="160" s="1"/>
  <c r="BJ124" i="163"/>
  <c r="AQ124" i="160"/>
  <c r="AR124" i="160" s="1"/>
  <c r="AS124" i="160"/>
  <c r="Y124" i="162"/>
  <c r="AC124" i="162" s="1"/>
  <c r="J124" i="163"/>
  <c r="L123" i="159"/>
  <c r="O124" i="162"/>
  <c r="BW124" i="160"/>
  <c r="AE124" i="160"/>
  <c r="AF124" i="160" s="1"/>
  <c r="Y124" i="163"/>
  <c r="AG124" i="162"/>
  <c r="AE124" i="162"/>
  <c r="AF124" i="162" s="1"/>
  <c r="AZ124" i="162"/>
  <c r="BE124" i="162"/>
  <c r="AP124" i="162"/>
  <c r="AK124" i="162"/>
  <c r="AU124" i="162"/>
  <c r="BJ124" i="162"/>
  <c r="BX124" i="160"/>
  <c r="R124" i="160"/>
  <c r="S124" i="160" s="1"/>
  <c r="W124" i="160" s="1"/>
  <c r="P124" i="160"/>
  <c r="Q124" i="160" s="1"/>
  <c r="E124" i="162"/>
  <c r="AD124" i="163"/>
  <c r="BR123" i="159"/>
  <c r="CF123" i="159" s="1"/>
  <c r="BQ123" i="159"/>
  <c r="CE123" i="159" s="1"/>
  <c r="BP123" i="159"/>
  <c r="CD123" i="159" s="1"/>
  <c r="AN124" i="160"/>
  <c r="AO124" i="160" s="1"/>
  <c r="BZ124" i="160"/>
  <c r="AL124" i="160"/>
  <c r="J124" i="162"/>
  <c r="AU124" i="163"/>
  <c r="AM123" i="159"/>
  <c r="AX124" i="160"/>
  <c r="AY124" i="160" s="1"/>
  <c r="BC124" i="160" s="1"/>
  <c r="CA124" i="160"/>
  <c r="AV124" i="160"/>
  <c r="AW124" i="160" s="1"/>
  <c r="BH124" i="160"/>
  <c r="BI124" i="160" s="1"/>
  <c r="BM124" i="160" s="1"/>
  <c r="BF124" i="160"/>
  <c r="BG124" i="160" s="1"/>
  <c r="CB124" i="160"/>
  <c r="BP124" i="160" s="1"/>
  <c r="CD124" i="160" s="1"/>
  <c r="BA124" i="160"/>
  <c r="BB124" i="160" s="1"/>
  <c r="BS123" i="159"/>
  <c r="CG123" i="159" s="1"/>
  <c r="BU123" i="159"/>
  <c r="CI123" i="159" s="1"/>
  <c r="BT123" i="159"/>
  <c r="CH123" i="159" s="1"/>
  <c r="T124" i="162"/>
  <c r="BT102" i="158"/>
  <c r="CH102" i="158" s="1"/>
  <c r="BU102" i="158"/>
  <c r="CI102" i="158" s="1"/>
  <c r="BS102" i="158"/>
  <c r="CG102" i="158" s="1"/>
  <c r="G102" i="158"/>
  <c r="AK103" i="158" s="1"/>
  <c r="H124" i="163" l="1"/>
  <c r="BY124" i="163"/>
  <c r="BF124" i="163"/>
  <c r="BG124" i="163" s="1"/>
  <c r="CY102" i="158"/>
  <c r="S124" i="163"/>
  <c r="CM102" i="158"/>
  <c r="CT102" i="158"/>
  <c r="CL102" i="158"/>
  <c r="CK102" i="158"/>
  <c r="CW102" i="158"/>
  <c r="CX102" i="158"/>
  <c r="CN102" i="158"/>
  <c r="CU102" i="158"/>
  <c r="CR102" i="158"/>
  <c r="CV102" i="158"/>
  <c r="CM123" i="159"/>
  <c r="CR123" i="159"/>
  <c r="CQ123" i="159"/>
  <c r="CL123" i="159"/>
  <c r="CS123" i="159"/>
  <c r="CO123" i="159"/>
  <c r="CK123" i="159"/>
  <c r="CN123" i="159"/>
  <c r="CP123" i="159"/>
  <c r="CU123" i="159"/>
  <c r="CV123" i="159"/>
  <c r="CT123" i="159"/>
  <c r="CW123" i="159"/>
  <c r="CY123" i="159"/>
  <c r="CZ123" i="159"/>
  <c r="CX123" i="159"/>
  <c r="CQ102" i="158"/>
  <c r="CZ102" i="158"/>
  <c r="CO102" i="158"/>
  <c r="CP102" i="158"/>
  <c r="CS102" i="158"/>
  <c r="BX124" i="163"/>
  <c r="BS124" i="163" s="1"/>
  <c r="CG124" i="163" s="1"/>
  <c r="BU124" i="160"/>
  <c r="CI124" i="160" s="1"/>
  <c r="U124" i="163"/>
  <c r="V124" i="163" s="1"/>
  <c r="AU124" i="159"/>
  <c r="AV124" i="159" s="1"/>
  <c r="AW124" i="159" s="1"/>
  <c r="BC124" i="163"/>
  <c r="P124" i="163"/>
  <c r="Q124" i="163" s="1"/>
  <c r="BT124" i="160"/>
  <c r="CH124" i="160" s="1"/>
  <c r="BS124" i="160"/>
  <c r="CG124" i="160" s="1"/>
  <c r="AL124" i="163"/>
  <c r="AM124" i="163" s="1"/>
  <c r="AO124" i="163"/>
  <c r="T124" i="159"/>
  <c r="W124" i="159" s="1"/>
  <c r="AZ124" i="159"/>
  <c r="BC124" i="159" s="1"/>
  <c r="O124" i="159"/>
  <c r="P124" i="159" s="1"/>
  <c r="Q124" i="159" s="1"/>
  <c r="AV124" i="163"/>
  <c r="AW124" i="163" s="1"/>
  <c r="AX124" i="163"/>
  <c r="AY124" i="163" s="1"/>
  <c r="CA124" i="163"/>
  <c r="AX124" i="162"/>
  <c r="AY124" i="162" s="1"/>
  <c r="BC124" i="162" s="1"/>
  <c r="AV124" i="162"/>
  <c r="AW124" i="162" s="1"/>
  <c r="CA124" i="162"/>
  <c r="BW124" i="162"/>
  <c r="BU124" i="162" s="1"/>
  <c r="CI124" i="162" s="1"/>
  <c r="Z124" i="162"/>
  <c r="AA124" i="162" s="1"/>
  <c r="AB124" i="162"/>
  <c r="AS124" i="163"/>
  <c r="AQ124" i="163"/>
  <c r="BK124" i="163"/>
  <c r="BL124" i="163" s="1"/>
  <c r="BM124" i="163"/>
  <c r="K124" i="163"/>
  <c r="M124" i="163"/>
  <c r="I124" i="163"/>
  <c r="AS124" i="162"/>
  <c r="AQ124" i="162"/>
  <c r="AR124" i="162" s="1"/>
  <c r="BQ124" i="160"/>
  <c r="CE124" i="160" s="1"/>
  <c r="BR124" i="160"/>
  <c r="CF124" i="160" s="1"/>
  <c r="CB124" i="163"/>
  <c r="CB124" i="162"/>
  <c r="BP124" i="162" s="1"/>
  <c r="CD124" i="162" s="1"/>
  <c r="BH124" i="162"/>
  <c r="BI124" i="162" s="1"/>
  <c r="BM124" i="162" s="1"/>
  <c r="BF124" i="162"/>
  <c r="BG124" i="162" s="1"/>
  <c r="BZ124" i="163"/>
  <c r="BK124" i="162"/>
  <c r="BL124" i="162" s="1"/>
  <c r="AB124" i="163"/>
  <c r="AC124" i="163" s="1"/>
  <c r="AG124" i="163" s="1"/>
  <c r="Z124" i="163"/>
  <c r="AA124" i="163" s="1"/>
  <c r="BW124" i="163"/>
  <c r="F124" i="162"/>
  <c r="G124" i="162" s="1"/>
  <c r="BY124" i="162"/>
  <c r="H124" i="162"/>
  <c r="I124" i="162" s="1"/>
  <c r="E124" i="159"/>
  <c r="BA124" i="162"/>
  <c r="BB124" i="162" s="1"/>
  <c r="K124" i="162"/>
  <c r="L124" i="162" s="1"/>
  <c r="M124" i="162"/>
  <c r="BZ124" i="162"/>
  <c r="AN124" i="162"/>
  <c r="AO124" i="162" s="1"/>
  <c r="AL124" i="162"/>
  <c r="U124" i="162"/>
  <c r="V124" i="162" s="1"/>
  <c r="W124" i="162"/>
  <c r="AM124" i="160"/>
  <c r="BJ124" i="159"/>
  <c r="AP124" i="159"/>
  <c r="AK124" i="159"/>
  <c r="BE124" i="159"/>
  <c r="AE124" i="163"/>
  <c r="AF124" i="163" s="1"/>
  <c r="BI124" i="163"/>
  <c r="AD124" i="159"/>
  <c r="J124" i="159"/>
  <c r="Y124" i="159"/>
  <c r="R124" i="162"/>
  <c r="S124" i="162" s="1"/>
  <c r="BX124" i="162"/>
  <c r="P124" i="162"/>
  <c r="Q124" i="162" s="1"/>
  <c r="BJ103" i="158"/>
  <c r="BK103" i="158" s="1"/>
  <c r="BL103" i="158" s="1"/>
  <c r="AP103" i="158"/>
  <c r="AQ103" i="158" s="1"/>
  <c r="AR103" i="158" s="1"/>
  <c r="AZ103" i="158"/>
  <c r="BA103" i="158" s="1"/>
  <c r="BB103" i="158" s="1"/>
  <c r="AN103" i="158"/>
  <c r="AL103" i="158"/>
  <c r="AM103" i="158" s="1"/>
  <c r="AU103" i="158"/>
  <c r="AD103" i="158"/>
  <c r="AE103" i="158" s="1"/>
  <c r="AF103" i="158" s="1"/>
  <c r="BE103" i="158"/>
  <c r="CK124" i="160" l="1"/>
  <c r="BT124" i="163"/>
  <c r="CH124" i="163" s="1"/>
  <c r="CL124" i="160"/>
  <c r="CX124" i="160"/>
  <c r="CY124" i="160"/>
  <c r="CU124" i="160"/>
  <c r="CT124" i="160"/>
  <c r="CR124" i="160"/>
  <c r="CM124" i="160"/>
  <c r="CO124" i="160"/>
  <c r="BU124" i="163"/>
  <c r="CI124" i="163" s="1"/>
  <c r="CN124" i="160"/>
  <c r="CQ124" i="160"/>
  <c r="CW124" i="160"/>
  <c r="CP124" i="160"/>
  <c r="CZ124" i="160"/>
  <c r="CV124" i="160"/>
  <c r="CS124" i="160"/>
  <c r="T125" i="160"/>
  <c r="U125" i="160" s="1"/>
  <c r="V125" i="160" s="1"/>
  <c r="AX124" i="159"/>
  <c r="AY124" i="159" s="1"/>
  <c r="J125" i="160"/>
  <c r="M125" i="160" s="1"/>
  <c r="U124" i="159"/>
  <c r="V124" i="159" s="1"/>
  <c r="CA124" i="159"/>
  <c r="Y125" i="160"/>
  <c r="Z125" i="160" s="1"/>
  <c r="AA125" i="160" s="1"/>
  <c r="BA124" i="159"/>
  <c r="BB124" i="159" s="1"/>
  <c r="BX124" i="159"/>
  <c r="R124" i="159"/>
  <c r="S124" i="159" s="1"/>
  <c r="AD125" i="160"/>
  <c r="AE125" i="160" s="1"/>
  <c r="AF125" i="160" s="1"/>
  <c r="AM124" i="162"/>
  <c r="AR124" i="163"/>
  <c r="AG124" i="159"/>
  <c r="AE124" i="159"/>
  <c r="AF124" i="159" s="1"/>
  <c r="F124" i="159"/>
  <c r="H124" i="159"/>
  <c r="I124" i="159" s="1"/>
  <c r="BY124" i="159"/>
  <c r="BZ124" i="159"/>
  <c r="AL124" i="159"/>
  <c r="AN124" i="159"/>
  <c r="AO124" i="159" s="1"/>
  <c r="E125" i="160"/>
  <c r="BR124" i="162"/>
  <c r="BQ124" i="162"/>
  <c r="CE124" i="162" s="1"/>
  <c r="O125" i="160"/>
  <c r="AB124" i="159"/>
  <c r="AC124" i="159" s="1"/>
  <c r="Z124" i="159"/>
  <c r="AA124" i="159" s="1"/>
  <c r="BW124" i="159"/>
  <c r="AQ124" i="159"/>
  <c r="AR124" i="159" s="1"/>
  <c r="AS124" i="159"/>
  <c r="CB124" i="159"/>
  <c r="BH124" i="159"/>
  <c r="BI124" i="159" s="1"/>
  <c r="BF124" i="159"/>
  <c r="BG124" i="159" s="1"/>
  <c r="M124" i="159"/>
  <c r="K124" i="159"/>
  <c r="L124" i="159" s="1"/>
  <c r="BM124" i="159"/>
  <c r="BK124" i="159"/>
  <c r="BL124" i="159" s="1"/>
  <c r="BS124" i="162"/>
  <c r="CG124" i="162" s="1"/>
  <c r="BT124" i="162"/>
  <c r="CH124" i="162" s="1"/>
  <c r="BR124" i="163"/>
  <c r="CF124" i="163" s="1"/>
  <c r="BQ124" i="163"/>
  <c r="CE124" i="163" s="1"/>
  <c r="BP124" i="163"/>
  <c r="CD124" i="163" s="1"/>
  <c r="BJ125" i="160"/>
  <c r="AZ125" i="160"/>
  <c r="AP125" i="160"/>
  <c r="AK125" i="160"/>
  <c r="BE125" i="160"/>
  <c r="AU125" i="160"/>
  <c r="L124" i="163"/>
  <c r="BZ103" i="158"/>
  <c r="AO103" i="158"/>
  <c r="AS103" i="158" s="1"/>
  <c r="E103" i="158"/>
  <c r="T103" i="158"/>
  <c r="BF103" i="158"/>
  <c r="BG103" i="158" s="1"/>
  <c r="CB103" i="158"/>
  <c r="BH103" i="158"/>
  <c r="BI103" i="158" s="1"/>
  <c r="BM103" i="158" s="1"/>
  <c r="Y103" i="158"/>
  <c r="O103" i="158"/>
  <c r="AV103" i="158"/>
  <c r="AW103" i="158" s="1"/>
  <c r="CA103" i="158"/>
  <c r="AX103" i="158"/>
  <c r="AY103" i="158" s="1"/>
  <c r="BC103" i="158" s="1"/>
  <c r="J103" i="158"/>
  <c r="K103" i="158" s="1"/>
  <c r="L103" i="158" s="1"/>
  <c r="K125" i="160" l="1"/>
  <c r="L125" i="160" s="1"/>
  <c r="BP103" i="158"/>
  <c r="CD103" i="158" s="1"/>
  <c r="E125" i="163"/>
  <c r="H125" i="163" s="1"/>
  <c r="CP124" i="163"/>
  <c r="CV124" i="163"/>
  <c r="CR124" i="163"/>
  <c r="CK124" i="163"/>
  <c r="CL124" i="163"/>
  <c r="CO124" i="163"/>
  <c r="CN124" i="163"/>
  <c r="CQ124" i="163"/>
  <c r="CM124" i="163"/>
  <c r="CS124" i="163"/>
  <c r="CT124" i="163"/>
  <c r="CU124" i="163"/>
  <c r="CZ124" i="163"/>
  <c r="CY124" i="163"/>
  <c r="CW124" i="163"/>
  <c r="CX124" i="163"/>
  <c r="BJ125" i="162"/>
  <c r="BM125" i="162" s="1"/>
  <c r="CF124" i="162"/>
  <c r="CQ124" i="162" s="1"/>
  <c r="AB125" i="160"/>
  <c r="AC125" i="160" s="1"/>
  <c r="AG125" i="160" s="1"/>
  <c r="BE125" i="162"/>
  <c r="BH125" i="162" s="1"/>
  <c r="T125" i="163"/>
  <c r="W125" i="163" s="1"/>
  <c r="AZ125" i="162"/>
  <c r="BA125" i="162" s="1"/>
  <c r="BB125" i="162" s="1"/>
  <c r="BE125" i="163"/>
  <c r="BH125" i="163" s="1"/>
  <c r="BW125" i="160"/>
  <c r="AD125" i="162"/>
  <c r="AG125" i="162" s="1"/>
  <c r="AK125" i="162"/>
  <c r="AU125" i="162"/>
  <c r="AV125" i="162" s="1"/>
  <c r="AW125" i="162" s="1"/>
  <c r="AP125" i="162"/>
  <c r="AS125" i="162" s="1"/>
  <c r="BY125" i="160"/>
  <c r="F125" i="160"/>
  <c r="G125" i="160" s="1"/>
  <c r="H125" i="160"/>
  <c r="I125" i="160" s="1"/>
  <c r="AP125" i="163"/>
  <c r="AZ125" i="163"/>
  <c r="AU125" i="163"/>
  <c r="BJ125" i="163"/>
  <c r="J125" i="162"/>
  <c r="CA125" i="160"/>
  <c r="AV125" i="160"/>
  <c r="AW125" i="160" s="1"/>
  <c r="AX125" i="160"/>
  <c r="AY125" i="160" s="1"/>
  <c r="BC125" i="160" s="1"/>
  <c r="Y125" i="162"/>
  <c r="BX125" i="160"/>
  <c r="R125" i="160"/>
  <c r="S125" i="160" s="1"/>
  <c r="W125" i="160" s="1"/>
  <c r="P125" i="160"/>
  <c r="Q125" i="160" s="1"/>
  <c r="AM124" i="159"/>
  <c r="BF125" i="160"/>
  <c r="BG125" i="160" s="1"/>
  <c r="BH125" i="160"/>
  <c r="BI125" i="160" s="1"/>
  <c r="BM125" i="160" s="1"/>
  <c r="CB125" i="160"/>
  <c r="BP125" i="160" s="1"/>
  <c r="CD125" i="160" s="1"/>
  <c r="BK125" i="162"/>
  <c r="BL125" i="162" s="1"/>
  <c r="BQ124" i="159"/>
  <c r="CE124" i="159" s="1"/>
  <c r="BR124" i="159"/>
  <c r="CF124" i="159" s="1"/>
  <c r="BP124" i="159"/>
  <c r="CD124" i="159" s="1"/>
  <c r="AL125" i="160"/>
  <c r="AN125" i="160"/>
  <c r="AO125" i="160" s="1"/>
  <c r="BZ125" i="160"/>
  <c r="AQ125" i="160"/>
  <c r="AR125" i="160" s="1"/>
  <c r="AS125" i="160"/>
  <c r="T125" i="162"/>
  <c r="E125" i="162"/>
  <c r="Y125" i="163"/>
  <c r="AD125" i="163"/>
  <c r="J125" i="163"/>
  <c r="O125" i="163"/>
  <c r="BA125" i="160"/>
  <c r="BB125" i="160" s="1"/>
  <c r="BT124" i="159"/>
  <c r="CH124" i="159" s="1"/>
  <c r="BS124" i="159"/>
  <c r="CG124" i="159" s="1"/>
  <c r="BU124" i="159"/>
  <c r="CI124" i="159" s="1"/>
  <c r="G124" i="159"/>
  <c r="AK125" i="163"/>
  <c r="BK125" i="160"/>
  <c r="BL125" i="160" s="1"/>
  <c r="O125" i="162"/>
  <c r="BR103" i="158"/>
  <c r="CF103" i="158" s="1"/>
  <c r="BQ103" i="158"/>
  <c r="CE103" i="158" s="1"/>
  <c r="U103" i="158"/>
  <c r="V103" i="158" s="1"/>
  <c r="R103" i="158"/>
  <c r="S103" i="158" s="1"/>
  <c r="W103" i="158" s="1"/>
  <c r="P103" i="158"/>
  <c r="Q103" i="158" s="1"/>
  <c r="BX103" i="158"/>
  <c r="AB103" i="158"/>
  <c r="AC103" i="158" s="1"/>
  <c r="AG103" i="158" s="1"/>
  <c r="BW103" i="158"/>
  <c r="Z103" i="158"/>
  <c r="AA103" i="158" s="1"/>
  <c r="BY103" i="158"/>
  <c r="H103" i="158"/>
  <c r="I103" i="158" s="1"/>
  <c r="M103" i="158" s="1"/>
  <c r="F103" i="158"/>
  <c r="AQ125" i="162" l="1"/>
  <c r="AR125" i="162" s="1"/>
  <c r="CN124" i="162"/>
  <c r="BF125" i="162"/>
  <c r="BG125" i="162" s="1"/>
  <c r="CP124" i="162"/>
  <c r="CL124" i="162"/>
  <c r="CB125" i="163"/>
  <c r="CZ124" i="162"/>
  <c r="U125" i="163"/>
  <c r="V125" i="163" s="1"/>
  <c r="CO124" i="162"/>
  <c r="BY125" i="163"/>
  <c r="F125" i="163"/>
  <c r="G125" i="163" s="1"/>
  <c r="CU124" i="162"/>
  <c r="CR124" i="162"/>
  <c r="BI125" i="162"/>
  <c r="BI125" i="163"/>
  <c r="BF125" i="163"/>
  <c r="BG125" i="163" s="1"/>
  <c r="CB125" i="162"/>
  <c r="BP125" i="162" s="1"/>
  <c r="CD125" i="162" s="1"/>
  <c r="CW124" i="162"/>
  <c r="CS124" i="159"/>
  <c r="CL124" i="159"/>
  <c r="CP124" i="159"/>
  <c r="CM124" i="159"/>
  <c r="CR124" i="159"/>
  <c r="CO124" i="159"/>
  <c r="CQ124" i="159"/>
  <c r="CK124" i="159"/>
  <c r="CN124" i="159"/>
  <c r="CW124" i="159"/>
  <c r="CV124" i="159"/>
  <c r="CT124" i="159"/>
  <c r="CU124" i="159"/>
  <c r="CX124" i="159"/>
  <c r="CY124" i="159"/>
  <c r="CZ124" i="159"/>
  <c r="BZ125" i="162"/>
  <c r="CV124" i="162"/>
  <c r="CX124" i="162"/>
  <c r="CM124" i="162"/>
  <c r="CK124" i="162"/>
  <c r="CY124" i="162"/>
  <c r="CT124" i="162"/>
  <c r="CS124" i="162"/>
  <c r="BU125" i="160"/>
  <c r="CI125" i="160" s="1"/>
  <c r="AP125" i="159"/>
  <c r="AQ125" i="159" s="1"/>
  <c r="AR125" i="159" s="1"/>
  <c r="AN125" i="162"/>
  <c r="AO125" i="162" s="1"/>
  <c r="AL125" i="162"/>
  <c r="AM125" i="162" s="1"/>
  <c r="AC125" i="162"/>
  <c r="CA125" i="162"/>
  <c r="T125" i="159"/>
  <c r="U125" i="159" s="1"/>
  <c r="V125" i="159" s="1"/>
  <c r="AX125" i="162"/>
  <c r="AY125" i="162" s="1"/>
  <c r="BC125" i="162" s="1"/>
  <c r="AE125" i="162"/>
  <c r="AF125" i="162" s="1"/>
  <c r="E125" i="159"/>
  <c r="F125" i="159" s="1"/>
  <c r="G125" i="159" s="1"/>
  <c r="AE125" i="163"/>
  <c r="AF125" i="163" s="1"/>
  <c r="AD125" i="159"/>
  <c r="Y125" i="159"/>
  <c r="J125" i="159"/>
  <c r="BM125" i="163"/>
  <c r="BK125" i="163"/>
  <c r="BL125" i="163" s="1"/>
  <c r="P125" i="162"/>
  <c r="Q125" i="162" s="1"/>
  <c r="BX125" i="162"/>
  <c r="R125" i="162"/>
  <c r="S125" i="162" s="1"/>
  <c r="W125" i="162" s="1"/>
  <c r="AM125" i="160"/>
  <c r="Z125" i="163"/>
  <c r="AA125" i="163" s="1"/>
  <c r="BW125" i="163"/>
  <c r="AB125" i="163"/>
  <c r="AC125" i="163" s="1"/>
  <c r="AG125" i="163" s="1"/>
  <c r="BJ125" i="159"/>
  <c r="AV125" i="163"/>
  <c r="AW125" i="163" s="1"/>
  <c r="AX125" i="163"/>
  <c r="AY125" i="163" s="1"/>
  <c r="CA125" i="163"/>
  <c r="U125" i="162"/>
  <c r="V125" i="162" s="1"/>
  <c r="BT125" i="160"/>
  <c r="CH125" i="160" s="1"/>
  <c r="BS125" i="160"/>
  <c r="CG125" i="160" s="1"/>
  <c r="BA125" i="163"/>
  <c r="BB125" i="163" s="1"/>
  <c r="BC125" i="163"/>
  <c r="M125" i="162"/>
  <c r="K125" i="162"/>
  <c r="L125" i="162" s="1"/>
  <c r="H125" i="162"/>
  <c r="I125" i="162" s="1"/>
  <c r="F125" i="162"/>
  <c r="BY125" i="162"/>
  <c r="BE125" i="159"/>
  <c r="AS125" i="163"/>
  <c r="AQ125" i="163"/>
  <c r="AR125" i="163" s="1"/>
  <c r="AL125" i="163"/>
  <c r="AN125" i="163"/>
  <c r="AO125" i="163" s="1"/>
  <c r="BZ125" i="163"/>
  <c r="AU125" i="159"/>
  <c r="BQ125" i="160"/>
  <c r="CE125" i="160" s="1"/>
  <c r="BR125" i="160"/>
  <c r="CF125" i="160" s="1"/>
  <c r="I125" i="163"/>
  <c r="BW125" i="162"/>
  <c r="BU125" i="162" s="1"/>
  <c r="CI125" i="162" s="1"/>
  <c r="AB125" i="162"/>
  <c r="Z125" i="162"/>
  <c r="AA125" i="162" s="1"/>
  <c r="K125" i="163"/>
  <c r="M125" i="163"/>
  <c r="AZ125" i="159"/>
  <c r="P125" i="163"/>
  <c r="Q125" i="163" s="1"/>
  <c r="R125" i="163"/>
  <c r="S125" i="163" s="1"/>
  <c r="BX125" i="163"/>
  <c r="O125" i="159"/>
  <c r="AK125" i="159"/>
  <c r="BS103" i="158"/>
  <c r="CG103" i="158" s="1"/>
  <c r="BT103" i="158"/>
  <c r="CH103" i="158" s="1"/>
  <c r="BU103" i="158"/>
  <c r="CI103" i="158" s="1"/>
  <c r="G103" i="158"/>
  <c r="AU104" i="158" s="1"/>
  <c r="BS125" i="163" l="1"/>
  <c r="CG125" i="163" s="1"/>
  <c r="BQ125" i="162"/>
  <c r="CE125" i="162" s="1"/>
  <c r="BR125" i="162"/>
  <c r="CF125" i="162" s="1"/>
  <c r="AS125" i="159"/>
  <c r="CN125" i="160"/>
  <c r="CZ103" i="158"/>
  <c r="CL103" i="158"/>
  <c r="CZ125" i="160"/>
  <c r="CV125" i="160"/>
  <c r="CP103" i="158"/>
  <c r="CY125" i="160"/>
  <c r="CP125" i="160"/>
  <c r="CV103" i="158"/>
  <c r="CS125" i="160"/>
  <c r="CU125" i="160"/>
  <c r="CN103" i="158"/>
  <c r="CT103" i="158"/>
  <c r="CL125" i="160"/>
  <c r="CQ125" i="160"/>
  <c r="CY103" i="158"/>
  <c r="CM103" i="158"/>
  <c r="CK125" i="160"/>
  <c r="CO125" i="160"/>
  <c r="CW103" i="158"/>
  <c r="CO103" i="158"/>
  <c r="CW125" i="160"/>
  <c r="CR125" i="160"/>
  <c r="CR103" i="158"/>
  <c r="CX103" i="158"/>
  <c r="CX125" i="160"/>
  <c r="CM125" i="160"/>
  <c r="CU103" i="158"/>
  <c r="CK103" i="158"/>
  <c r="CT125" i="160"/>
  <c r="CQ103" i="158"/>
  <c r="CS103" i="158"/>
  <c r="W125" i="159"/>
  <c r="E126" i="160"/>
  <c r="F126" i="160" s="1"/>
  <c r="G126" i="160" s="1"/>
  <c r="H125" i="159"/>
  <c r="I125" i="159" s="1"/>
  <c r="BY125" i="159"/>
  <c r="T126" i="160"/>
  <c r="U126" i="160" s="1"/>
  <c r="V126" i="160" s="1"/>
  <c r="J126" i="160"/>
  <c r="M126" i="160" s="1"/>
  <c r="AD126" i="160"/>
  <c r="AE126" i="160" s="1"/>
  <c r="AF126" i="160" s="1"/>
  <c r="BR125" i="163"/>
  <c r="CF125" i="163" s="1"/>
  <c r="BP125" i="163"/>
  <c r="CD125" i="163" s="1"/>
  <c r="BQ125" i="163"/>
  <c r="CE125" i="163" s="1"/>
  <c r="AE125" i="159"/>
  <c r="AF125" i="159" s="1"/>
  <c r="AG125" i="159"/>
  <c r="BF125" i="159"/>
  <c r="BG125" i="159" s="1"/>
  <c r="CB125" i="159"/>
  <c r="BH125" i="159"/>
  <c r="BI125" i="159" s="1"/>
  <c r="BM125" i="159" s="1"/>
  <c r="AM125" i="163"/>
  <c r="BA125" i="159"/>
  <c r="BB125" i="159" s="1"/>
  <c r="BC125" i="159"/>
  <c r="AU126" i="160"/>
  <c r="AZ126" i="160"/>
  <c r="BJ126" i="160"/>
  <c r="AK126" i="160"/>
  <c r="BE126" i="160"/>
  <c r="AP126" i="160"/>
  <c r="BT125" i="162"/>
  <c r="CH125" i="162" s="1"/>
  <c r="BS125" i="162"/>
  <c r="CG125" i="162" s="1"/>
  <c r="O126" i="160"/>
  <c r="AB125" i="159"/>
  <c r="AC125" i="159" s="1"/>
  <c r="BW125" i="159"/>
  <c r="Z125" i="159"/>
  <c r="AA125" i="159" s="1"/>
  <c r="BZ125" i="159"/>
  <c r="AN125" i="159"/>
  <c r="AO125" i="159" s="1"/>
  <c r="AL125" i="159"/>
  <c r="G125" i="162"/>
  <c r="AK126" i="162" s="1"/>
  <c r="Y126" i="160"/>
  <c r="P125" i="159"/>
  <c r="Q125" i="159" s="1"/>
  <c r="BX125" i="159"/>
  <c r="R125" i="159"/>
  <c r="S125" i="159" s="1"/>
  <c r="AX125" i="159"/>
  <c r="AY125" i="159" s="1"/>
  <c r="AV125" i="159"/>
  <c r="AW125" i="159" s="1"/>
  <c r="CA125" i="159"/>
  <c r="BK125" i="159"/>
  <c r="BL125" i="159" s="1"/>
  <c r="BT125" i="163"/>
  <c r="CH125" i="163" s="1"/>
  <c r="BU125" i="163"/>
  <c r="CI125" i="163" s="1"/>
  <c r="L125" i="163"/>
  <c r="H126" i="160"/>
  <c r="K125" i="159"/>
  <c r="L125" i="159" s="1"/>
  <c r="M125" i="159"/>
  <c r="AK104" i="158"/>
  <c r="AP104" i="158"/>
  <c r="AQ104" i="158" s="1"/>
  <c r="AR104" i="158" s="1"/>
  <c r="BJ104" i="158"/>
  <c r="BK104" i="158" s="1"/>
  <c r="BL104" i="158" s="1"/>
  <c r="AZ104" i="158"/>
  <c r="BA104" i="158" s="1"/>
  <c r="BB104" i="158" s="1"/>
  <c r="BE104" i="158"/>
  <c r="BF104" i="158" s="1"/>
  <c r="BG104" i="158" s="1"/>
  <c r="AD104" i="158"/>
  <c r="AV104" i="158"/>
  <c r="AW104" i="158" s="1"/>
  <c r="AX104" i="158"/>
  <c r="AU126" i="162" l="1"/>
  <c r="BT125" i="159"/>
  <c r="CH125" i="159" s="1"/>
  <c r="AP126" i="162"/>
  <c r="AQ126" i="162" s="1"/>
  <c r="AR126" i="162" s="1"/>
  <c r="CV125" i="162"/>
  <c r="CR125" i="162"/>
  <c r="CK125" i="162"/>
  <c r="CY125" i="162"/>
  <c r="CL125" i="162"/>
  <c r="CQ125" i="162"/>
  <c r="CM125" i="162"/>
  <c r="CT125" i="162"/>
  <c r="CW125" i="162"/>
  <c r="CZ125" i="162"/>
  <c r="CV125" i="163"/>
  <c r="CP125" i="163"/>
  <c r="CO125" i="163"/>
  <c r="CN125" i="163"/>
  <c r="CQ125" i="163"/>
  <c r="CM125" i="163"/>
  <c r="CK125" i="163"/>
  <c r="CR125" i="163"/>
  <c r="CL125" i="163"/>
  <c r="CZ125" i="163"/>
  <c r="CS125" i="163"/>
  <c r="CU125" i="163"/>
  <c r="CT125" i="163"/>
  <c r="CY125" i="163"/>
  <c r="CW125" i="163"/>
  <c r="CX125" i="163"/>
  <c r="CU125" i="162"/>
  <c r="CO125" i="162"/>
  <c r="CP125" i="162"/>
  <c r="CX125" i="162"/>
  <c r="CN125" i="162"/>
  <c r="CS125" i="162"/>
  <c r="BY126" i="160"/>
  <c r="I126" i="160"/>
  <c r="K126" i="160"/>
  <c r="L126" i="160" s="1"/>
  <c r="BZ104" i="158"/>
  <c r="BJ126" i="162"/>
  <c r="BK126" i="162" s="1"/>
  <c r="BL126" i="162" s="1"/>
  <c r="AZ126" i="162"/>
  <c r="CA126" i="162" s="1"/>
  <c r="AL104" i="158"/>
  <c r="AM104" i="158" s="1"/>
  <c r="AD126" i="163"/>
  <c r="AG126" i="163" s="1"/>
  <c r="J126" i="163"/>
  <c r="K126" i="163" s="1"/>
  <c r="L126" i="163" s="1"/>
  <c r="O126" i="163"/>
  <c r="R126" i="163" s="1"/>
  <c r="AP126" i="163"/>
  <c r="AQ126" i="163" s="1"/>
  <c r="AR126" i="163" s="1"/>
  <c r="BE126" i="162"/>
  <c r="BF126" i="162" s="1"/>
  <c r="BG126" i="162" s="1"/>
  <c r="AN104" i="158"/>
  <c r="AO104" i="158" s="1"/>
  <c r="AS104" i="158" s="1"/>
  <c r="E126" i="163"/>
  <c r="F126" i="163" s="1"/>
  <c r="G126" i="163" s="1"/>
  <c r="Y126" i="163"/>
  <c r="BR125" i="159"/>
  <c r="CF125" i="159" s="1"/>
  <c r="BQ125" i="159"/>
  <c r="CE125" i="159" s="1"/>
  <c r="BP125" i="159"/>
  <c r="CD125" i="159" s="1"/>
  <c r="T126" i="163"/>
  <c r="AS126" i="160"/>
  <c r="AQ126" i="160"/>
  <c r="AR126" i="160" s="1"/>
  <c r="AL126" i="162"/>
  <c r="AM126" i="162" s="1"/>
  <c r="AN126" i="162"/>
  <c r="CB126" i="160"/>
  <c r="BP126" i="160" s="1"/>
  <c r="CD126" i="160" s="1"/>
  <c r="BH126" i="160"/>
  <c r="BI126" i="160" s="1"/>
  <c r="BM126" i="160" s="1"/>
  <c r="BF126" i="160"/>
  <c r="BG126" i="160" s="1"/>
  <c r="AV126" i="162"/>
  <c r="AW126" i="162" s="1"/>
  <c r="AX126" i="162"/>
  <c r="AL126" i="160"/>
  <c r="AN126" i="160"/>
  <c r="AO126" i="160" s="1"/>
  <c r="BZ126" i="160"/>
  <c r="AZ126" i="163"/>
  <c r="AK126" i="163"/>
  <c r="AU126" i="163"/>
  <c r="J126" i="162"/>
  <c r="Y126" i="162"/>
  <c r="T126" i="162"/>
  <c r="O126" i="162"/>
  <c r="E126" i="162"/>
  <c r="AD126" i="162"/>
  <c r="BK126" i="160"/>
  <c r="BL126" i="160" s="1"/>
  <c r="BS125" i="159"/>
  <c r="CG125" i="159" s="1"/>
  <c r="BJ126" i="163"/>
  <c r="AB126" i="160"/>
  <c r="AC126" i="160" s="1"/>
  <c r="AG126" i="160" s="1"/>
  <c r="Z126" i="160"/>
  <c r="AA126" i="160" s="1"/>
  <c r="BW126" i="160"/>
  <c r="BA126" i="160"/>
  <c r="BB126" i="160" s="1"/>
  <c r="BU125" i="159"/>
  <c r="CI125" i="159" s="1"/>
  <c r="BE126" i="163"/>
  <c r="AM125" i="159"/>
  <c r="BX126" i="160"/>
  <c r="R126" i="160"/>
  <c r="S126" i="160" s="1"/>
  <c r="W126" i="160" s="1"/>
  <c r="P126" i="160"/>
  <c r="Q126" i="160" s="1"/>
  <c r="CA126" i="160"/>
  <c r="AV126" i="160"/>
  <c r="AW126" i="160" s="1"/>
  <c r="AX126" i="160"/>
  <c r="AY126" i="160" s="1"/>
  <c r="BC126" i="160" s="1"/>
  <c r="AY104" i="158"/>
  <c r="BC104" i="158" s="1"/>
  <c r="CA104" i="158"/>
  <c r="BP104" i="158" s="1"/>
  <c r="CD104" i="158" s="1"/>
  <c r="BH104" i="158"/>
  <c r="BI104" i="158" s="1"/>
  <c r="BM104" i="158" s="1"/>
  <c r="CB104" i="158"/>
  <c r="AE104" i="158"/>
  <c r="AF104" i="158" s="1"/>
  <c r="J104" i="158"/>
  <c r="K104" i="158" s="1"/>
  <c r="L104" i="158" s="1"/>
  <c r="Y104" i="158"/>
  <c r="BW104" i="158" s="1"/>
  <c r="T104" i="158"/>
  <c r="U104" i="158" s="1"/>
  <c r="V104" i="158" s="1"/>
  <c r="E104" i="158"/>
  <c r="O104" i="158"/>
  <c r="BZ126" i="162" l="1"/>
  <c r="AS126" i="162"/>
  <c r="CB126" i="162"/>
  <c r="BP126" i="162" s="1"/>
  <c r="CD126" i="162" s="1"/>
  <c r="AO126" i="162"/>
  <c r="BT126" i="160"/>
  <c r="CH126" i="160" s="1"/>
  <c r="AY126" i="162"/>
  <c r="BC126" i="162" s="1"/>
  <c r="CN125" i="159"/>
  <c r="CS125" i="159"/>
  <c r="CO125" i="159"/>
  <c r="CQ125" i="159"/>
  <c r="CR125" i="159"/>
  <c r="CL125" i="159"/>
  <c r="CM125" i="159"/>
  <c r="CP125" i="159"/>
  <c r="CK125" i="159"/>
  <c r="CU125" i="159"/>
  <c r="CT125" i="159"/>
  <c r="CV125" i="159"/>
  <c r="CW125" i="159"/>
  <c r="CX125" i="159"/>
  <c r="CY125" i="159"/>
  <c r="CZ125" i="159"/>
  <c r="BA126" i="162"/>
  <c r="BB126" i="162" s="1"/>
  <c r="M126" i="163"/>
  <c r="AU126" i="159"/>
  <c r="AX126" i="159" s="1"/>
  <c r="P126" i="163"/>
  <c r="Q126" i="163" s="1"/>
  <c r="AE126" i="163"/>
  <c r="AF126" i="163" s="1"/>
  <c r="E126" i="159"/>
  <c r="F126" i="159" s="1"/>
  <c r="G126" i="159" s="1"/>
  <c r="AD126" i="159"/>
  <c r="AG126" i="159" s="1"/>
  <c r="BH126" i="162"/>
  <c r="BI126" i="162" s="1"/>
  <c r="BM126" i="162" s="1"/>
  <c r="BS126" i="160"/>
  <c r="CG126" i="160" s="1"/>
  <c r="T126" i="159"/>
  <c r="W126" i="159" s="1"/>
  <c r="H126" i="163"/>
  <c r="I126" i="163" s="1"/>
  <c r="BE126" i="159"/>
  <c r="BY126" i="163"/>
  <c r="BJ126" i="159"/>
  <c r="BK126" i="159" s="1"/>
  <c r="BL126" i="159" s="1"/>
  <c r="AS126" i="163"/>
  <c r="CB126" i="163"/>
  <c r="BF126" i="163"/>
  <c r="BG126" i="163" s="1"/>
  <c r="BH126" i="163"/>
  <c r="BI126" i="163" s="1"/>
  <c r="M126" i="162"/>
  <c r="K126" i="162"/>
  <c r="L126" i="162" s="1"/>
  <c r="AZ126" i="159"/>
  <c r="BM126" i="163"/>
  <c r="BK126" i="163"/>
  <c r="BL126" i="163" s="1"/>
  <c r="AP126" i="159"/>
  <c r="AX126" i="163"/>
  <c r="AY126" i="163" s="1"/>
  <c r="AV126" i="163"/>
  <c r="AW126" i="163" s="1"/>
  <c r="CA126" i="163"/>
  <c r="Z126" i="162"/>
  <c r="AA126" i="162" s="1"/>
  <c r="AB126" i="162"/>
  <c r="BW126" i="162"/>
  <c r="BU126" i="162" s="1"/>
  <c r="CI126" i="162" s="1"/>
  <c r="AN126" i="163"/>
  <c r="AO126" i="163" s="1"/>
  <c r="BZ126" i="163"/>
  <c r="AL126" i="163"/>
  <c r="AG126" i="162"/>
  <c r="AE126" i="162"/>
  <c r="AF126" i="162" s="1"/>
  <c r="AC126" i="162"/>
  <c r="BC126" i="163"/>
  <c r="BA126" i="163"/>
  <c r="BB126" i="163" s="1"/>
  <c r="AM126" i="160"/>
  <c r="BQ126" i="162"/>
  <c r="CE126" i="162" s="1"/>
  <c r="BR126" i="162"/>
  <c r="CF126" i="162" s="1"/>
  <c r="J126" i="159"/>
  <c r="Y126" i="159"/>
  <c r="O126" i="159"/>
  <c r="AK126" i="159"/>
  <c r="BY126" i="162"/>
  <c r="H126" i="162"/>
  <c r="I126" i="162" s="1"/>
  <c r="F126" i="162"/>
  <c r="S126" i="163"/>
  <c r="W126" i="163"/>
  <c r="U126" i="163"/>
  <c r="V126" i="163" s="1"/>
  <c r="R126" i="162"/>
  <c r="S126" i="162" s="1"/>
  <c r="BX126" i="162"/>
  <c r="P126" i="162"/>
  <c r="Q126" i="162" s="1"/>
  <c r="BQ126" i="160"/>
  <c r="CE126" i="160" s="1"/>
  <c r="BR126" i="160"/>
  <c r="CF126" i="160" s="1"/>
  <c r="BX126" i="163"/>
  <c r="BW126" i="163"/>
  <c r="Z126" i="163"/>
  <c r="AA126" i="163" s="1"/>
  <c r="AB126" i="163"/>
  <c r="AC126" i="163" s="1"/>
  <c r="BU126" i="160"/>
  <c r="CI126" i="160" s="1"/>
  <c r="U126" i="162"/>
  <c r="V126" i="162" s="1"/>
  <c r="W126" i="162"/>
  <c r="BR104" i="158"/>
  <c r="CF104" i="158" s="1"/>
  <c r="BQ104" i="158"/>
  <c r="CE104" i="158" s="1"/>
  <c r="H104" i="158"/>
  <c r="I104" i="158" s="1"/>
  <c r="M104" i="158" s="1"/>
  <c r="BY104" i="158"/>
  <c r="F104" i="158"/>
  <c r="Z104" i="158"/>
  <c r="AA104" i="158" s="1"/>
  <c r="AB104" i="158"/>
  <c r="AC104" i="158" s="1"/>
  <c r="AG104" i="158" s="1"/>
  <c r="R104" i="158"/>
  <c r="S104" i="158" s="1"/>
  <c r="W104" i="158" s="1"/>
  <c r="P104" i="158"/>
  <c r="Q104" i="158" s="1"/>
  <c r="BX104" i="158"/>
  <c r="CA126" i="159" l="1"/>
  <c r="CM126" i="160"/>
  <c r="AV126" i="159"/>
  <c r="AW126" i="159" s="1"/>
  <c r="CO126" i="160"/>
  <c r="CX126" i="160"/>
  <c r="CK126" i="160"/>
  <c r="CV126" i="160"/>
  <c r="CW126" i="160"/>
  <c r="CN126" i="160"/>
  <c r="CY126" i="160"/>
  <c r="CQ126" i="160"/>
  <c r="CT126" i="160"/>
  <c r="CL126" i="160"/>
  <c r="CZ126" i="160"/>
  <c r="CR126" i="160"/>
  <c r="CS126" i="160"/>
  <c r="CU126" i="160"/>
  <c r="CP126" i="160"/>
  <c r="BU126" i="163"/>
  <c r="CI126" i="163" s="1"/>
  <c r="BY126" i="159"/>
  <c r="AD127" i="160"/>
  <c r="AE127" i="160" s="1"/>
  <c r="AF127" i="160" s="1"/>
  <c r="AE126" i="159"/>
  <c r="AF126" i="159" s="1"/>
  <c r="H126" i="159"/>
  <c r="I126" i="159" s="1"/>
  <c r="CB126" i="159"/>
  <c r="J127" i="160"/>
  <c r="K127" i="160" s="1"/>
  <c r="L127" i="160" s="1"/>
  <c r="BF126" i="159"/>
  <c r="BG126" i="159" s="1"/>
  <c r="U126" i="159"/>
  <c r="V126" i="159" s="1"/>
  <c r="E127" i="160"/>
  <c r="F127" i="160" s="1"/>
  <c r="G127" i="160" s="1"/>
  <c r="T127" i="160"/>
  <c r="W127" i="160" s="1"/>
  <c r="O127" i="160"/>
  <c r="P127" i="160" s="1"/>
  <c r="Q127" i="160" s="1"/>
  <c r="Y127" i="160"/>
  <c r="BH126" i="159"/>
  <c r="BI126" i="159" s="1"/>
  <c r="BM126" i="159" s="1"/>
  <c r="P126" i="159"/>
  <c r="Q126" i="159" s="1"/>
  <c r="BX126" i="159"/>
  <c r="R126" i="159"/>
  <c r="S126" i="159" s="1"/>
  <c r="AN126" i="159"/>
  <c r="AO126" i="159" s="1"/>
  <c r="AL126" i="159"/>
  <c r="BZ126" i="159"/>
  <c r="BC126" i="159"/>
  <c r="BA126" i="159"/>
  <c r="BB126" i="159" s="1"/>
  <c r="BT126" i="162"/>
  <c r="CH126" i="162" s="1"/>
  <c r="BS126" i="162"/>
  <c r="CG126" i="162" s="1"/>
  <c r="BQ126" i="163"/>
  <c r="CE126" i="163" s="1"/>
  <c r="BP126" i="163"/>
  <c r="CD126" i="163" s="1"/>
  <c r="BR126" i="163"/>
  <c r="CF126" i="163" s="1"/>
  <c r="AQ126" i="159"/>
  <c r="AR126" i="159" s="1"/>
  <c r="AS126" i="159"/>
  <c r="BT126" i="163"/>
  <c r="CH126" i="163" s="1"/>
  <c r="BS126" i="163"/>
  <c r="CG126" i="163" s="1"/>
  <c r="M126" i="159"/>
  <c r="K126" i="159"/>
  <c r="L126" i="159" s="1"/>
  <c r="AU127" i="160"/>
  <c r="BE127" i="160"/>
  <c r="AK127" i="160"/>
  <c r="AZ127" i="160"/>
  <c r="BA127" i="160" s="1"/>
  <c r="BB127" i="160" s="1"/>
  <c r="BJ127" i="160"/>
  <c r="AP127" i="160"/>
  <c r="G126" i="162"/>
  <c r="BE127" i="162" s="1"/>
  <c r="AB126" i="159"/>
  <c r="AC126" i="159" s="1"/>
  <c r="BW126" i="159"/>
  <c r="Z126" i="159"/>
  <c r="AA126" i="159" s="1"/>
  <c r="AY126" i="159"/>
  <c r="AM126" i="163"/>
  <c r="BU104" i="158"/>
  <c r="CI104" i="158" s="1"/>
  <c r="BT104" i="158"/>
  <c r="CH104" i="158" s="1"/>
  <c r="BS104" i="158"/>
  <c r="CG104" i="158" s="1"/>
  <c r="G104" i="158"/>
  <c r="AP105" i="158" s="1"/>
  <c r="AQ105" i="158" s="1"/>
  <c r="AR105" i="158" s="1"/>
  <c r="BU126" i="159" l="1"/>
  <c r="CI126" i="159" s="1"/>
  <c r="CO126" i="162"/>
  <c r="CM104" i="158"/>
  <c r="CV126" i="163"/>
  <c r="CQ126" i="163"/>
  <c r="CM126" i="163"/>
  <c r="CR126" i="163"/>
  <c r="CK126" i="163"/>
  <c r="CP126" i="163"/>
  <c r="CO126" i="163"/>
  <c r="CN126" i="163"/>
  <c r="CL126" i="163"/>
  <c r="CS126" i="163"/>
  <c r="CU126" i="163"/>
  <c r="CT126" i="163"/>
  <c r="CZ126" i="163"/>
  <c r="CX126" i="163"/>
  <c r="CW126" i="163"/>
  <c r="CY126" i="163"/>
  <c r="CV104" i="158"/>
  <c r="CP126" i="162"/>
  <c r="CU126" i="162"/>
  <c r="CS104" i="158"/>
  <c r="CQ104" i="158"/>
  <c r="CT126" i="162"/>
  <c r="CY104" i="158"/>
  <c r="CK104" i="158"/>
  <c r="CZ126" i="162"/>
  <c r="CO104" i="158"/>
  <c r="CL126" i="162"/>
  <c r="CS126" i="162"/>
  <c r="CW104" i="158"/>
  <c r="CM126" i="162"/>
  <c r="CX126" i="162"/>
  <c r="CL104" i="158"/>
  <c r="CR126" i="162"/>
  <c r="CW126" i="162"/>
  <c r="CX104" i="158"/>
  <c r="CP104" i="158"/>
  <c r="CN126" i="162"/>
  <c r="CU104" i="158"/>
  <c r="CV126" i="162"/>
  <c r="CT104" i="158"/>
  <c r="CN104" i="158"/>
  <c r="CY126" i="162"/>
  <c r="CQ126" i="162"/>
  <c r="CK126" i="162"/>
  <c r="CR104" i="158"/>
  <c r="CZ104" i="158"/>
  <c r="R127" i="160"/>
  <c r="S127" i="160" s="1"/>
  <c r="M127" i="160"/>
  <c r="BW127" i="160"/>
  <c r="BX127" i="160"/>
  <c r="E127" i="163"/>
  <c r="AB127" i="160"/>
  <c r="AC127" i="160" s="1"/>
  <c r="AG127" i="160" s="1"/>
  <c r="U127" i="160"/>
  <c r="V127" i="160" s="1"/>
  <c r="BJ127" i="162"/>
  <c r="BK127" i="162" s="1"/>
  <c r="BL127" i="162" s="1"/>
  <c r="Z127" i="160"/>
  <c r="AA127" i="160" s="1"/>
  <c r="BY127" i="160"/>
  <c r="J127" i="163"/>
  <c r="K127" i="163" s="1"/>
  <c r="L127" i="163" s="1"/>
  <c r="BT126" i="159"/>
  <c r="CH126" i="159" s="1"/>
  <c r="H127" i="160"/>
  <c r="I127" i="160" s="1"/>
  <c r="AP127" i="162"/>
  <c r="AQ127" i="162" s="1"/>
  <c r="AR127" i="162" s="1"/>
  <c r="BS126" i="159"/>
  <c r="CG126" i="159" s="1"/>
  <c r="BH127" i="162"/>
  <c r="BF127" i="162"/>
  <c r="BG127" i="162" s="1"/>
  <c r="CB127" i="160"/>
  <c r="BP127" i="160" s="1"/>
  <c r="CD127" i="160" s="1"/>
  <c r="BF127" i="160"/>
  <c r="BG127" i="160" s="1"/>
  <c r="BH127" i="160"/>
  <c r="BI127" i="160" s="1"/>
  <c r="BM127" i="160" s="1"/>
  <c r="AX127" i="160"/>
  <c r="AY127" i="160" s="1"/>
  <c r="BC127" i="160" s="1"/>
  <c r="AV127" i="160"/>
  <c r="AW127" i="160" s="1"/>
  <c r="CA127" i="160"/>
  <c r="O127" i="162"/>
  <c r="E127" i="162"/>
  <c r="J127" i="162"/>
  <c r="Y127" i="162"/>
  <c r="T127" i="162"/>
  <c r="AD127" i="162"/>
  <c r="AZ127" i="162"/>
  <c r="BR126" i="159"/>
  <c r="CF126" i="159" s="1"/>
  <c r="BP126" i="159"/>
  <c r="CD126" i="159" s="1"/>
  <c r="BQ126" i="159"/>
  <c r="CE126" i="159" s="1"/>
  <c r="AM126" i="159"/>
  <c r="AS127" i="160"/>
  <c r="AQ127" i="160"/>
  <c r="AR127" i="160" s="1"/>
  <c r="AU127" i="162"/>
  <c r="BK127" i="160"/>
  <c r="BL127" i="160" s="1"/>
  <c r="T127" i="163"/>
  <c r="Y127" i="163"/>
  <c r="BJ127" i="163"/>
  <c r="AZ127" i="163"/>
  <c r="BE127" i="163"/>
  <c r="AK127" i="163"/>
  <c r="AU127" i="163"/>
  <c r="AP127" i="163"/>
  <c r="O127" i="163"/>
  <c r="AK127" i="162"/>
  <c r="AD127" i="163"/>
  <c r="AL127" i="160"/>
  <c r="AN127" i="160"/>
  <c r="AO127" i="160" s="1"/>
  <c r="BZ127" i="160"/>
  <c r="AZ105" i="158"/>
  <c r="BA105" i="158" s="1"/>
  <c r="BB105" i="158" s="1"/>
  <c r="BE105" i="158"/>
  <c r="BH105" i="158" s="1"/>
  <c r="BJ105" i="158"/>
  <c r="BK105" i="158" s="1"/>
  <c r="BL105" i="158" s="1"/>
  <c r="AK105" i="158"/>
  <c r="E105" i="158"/>
  <c r="AU105" i="158"/>
  <c r="BY127" i="163" l="1"/>
  <c r="F127" i="163"/>
  <c r="G127" i="163" s="1"/>
  <c r="CO126" i="159"/>
  <c r="CS126" i="159"/>
  <c r="CR126" i="159"/>
  <c r="CP126" i="159"/>
  <c r="CK126" i="159"/>
  <c r="CL126" i="159"/>
  <c r="CN126" i="159"/>
  <c r="CQ126" i="159"/>
  <c r="CM126" i="159"/>
  <c r="CW126" i="159"/>
  <c r="CV126" i="159"/>
  <c r="CU126" i="159"/>
  <c r="CT126" i="159"/>
  <c r="CY126" i="159"/>
  <c r="CZ126" i="159"/>
  <c r="CX126" i="159"/>
  <c r="BS127" i="160"/>
  <c r="CG127" i="160" s="1"/>
  <c r="BU127" i="160"/>
  <c r="CI127" i="160" s="1"/>
  <c r="H127" i="163"/>
  <c r="I127" i="163" s="1"/>
  <c r="BT127" i="160"/>
  <c r="CH127" i="160" s="1"/>
  <c r="BI127" i="162"/>
  <c r="BM127" i="162" s="1"/>
  <c r="AS127" i="162"/>
  <c r="M127" i="163"/>
  <c r="CB127" i="162"/>
  <c r="BP127" i="162" s="1"/>
  <c r="CD127" i="162" s="1"/>
  <c r="E127" i="159"/>
  <c r="F127" i="159" s="1"/>
  <c r="G127" i="159" s="1"/>
  <c r="AP127" i="159"/>
  <c r="AS127" i="159" s="1"/>
  <c r="AD127" i="159"/>
  <c r="AE127" i="159" s="1"/>
  <c r="AF127" i="159" s="1"/>
  <c r="BA127" i="162"/>
  <c r="BB127" i="162" s="1"/>
  <c r="AL127" i="162"/>
  <c r="AM127" i="162" s="1"/>
  <c r="BZ127" i="162"/>
  <c r="AN127" i="162"/>
  <c r="AO127" i="162" s="1"/>
  <c r="AU127" i="159"/>
  <c r="AX127" i="162"/>
  <c r="AY127" i="162" s="1"/>
  <c r="BC127" i="162" s="1"/>
  <c r="CA127" i="162"/>
  <c r="AV127" i="162"/>
  <c r="AW127" i="162" s="1"/>
  <c r="AK127" i="159"/>
  <c r="AS127" i="163"/>
  <c r="AQ127" i="163"/>
  <c r="AR127" i="163" s="1"/>
  <c r="Z127" i="163"/>
  <c r="AA127" i="163" s="1"/>
  <c r="BW127" i="163"/>
  <c r="AB127" i="163"/>
  <c r="AC127" i="163" s="1"/>
  <c r="AG127" i="163" s="1"/>
  <c r="BE127" i="159"/>
  <c r="AE127" i="162"/>
  <c r="AF127" i="162" s="1"/>
  <c r="AG127" i="162"/>
  <c r="AM127" i="160"/>
  <c r="O127" i="159"/>
  <c r="Y127" i="159"/>
  <c r="J127" i="159"/>
  <c r="AX127" i="163"/>
  <c r="AY127" i="163" s="1"/>
  <c r="AV127" i="163"/>
  <c r="AW127" i="163" s="1"/>
  <c r="CA127" i="163"/>
  <c r="U127" i="163"/>
  <c r="V127" i="163" s="1"/>
  <c r="W127" i="163"/>
  <c r="W127" i="162"/>
  <c r="U127" i="162"/>
  <c r="V127" i="162" s="1"/>
  <c r="P127" i="162"/>
  <c r="Q127" i="162" s="1"/>
  <c r="R127" i="162"/>
  <c r="S127" i="162" s="1"/>
  <c r="BX127" i="162"/>
  <c r="BX127" i="163"/>
  <c r="BS127" i="163" s="1"/>
  <c r="CG127" i="163" s="1"/>
  <c r="R127" i="163"/>
  <c r="S127" i="163" s="1"/>
  <c r="P127" i="163"/>
  <c r="Q127" i="163" s="1"/>
  <c r="BZ127" i="163"/>
  <c r="AL127" i="163"/>
  <c r="AN127" i="163"/>
  <c r="AO127" i="163" s="1"/>
  <c r="AB127" i="162"/>
  <c r="AC127" i="162" s="1"/>
  <c r="BW127" i="162"/>
  <c r="BU127" i="162" s="1"/>
  <c r="CI127" i="162" s="1"/>
  <c r="Z127" i="162"/>
  <c r="AA127" i="162" s="1"/>
  <c r="AE127" i="163"/>
  <c r="AF127" i="163" s="1"/>
  <c r="AZ127" i="159"/>
  <c r="BR127" i="160"/>
  <c r="CF127" i="160" s="1"/>
  <c r="BQ127" i="160"/>
  <c r="CE127" i="160" s="1"/>
  <c r="BH127" i="163"/>
  <c r="BI127" i="163" s="1"/>
  <c r="CB127" i="163"/>
  <c r="BF127" i="163"/>
  <c r="BG127" i="163" s="1"/>
  <c r="M127" i="162"/>
  <c r="K127" i="162"/>
  <c r="L127" i="162" s="1"/>
  <c r="BM127" i="163"/>
  <c r="BK127" i="163"/>
  <c r="BL127" i="163" s="1"/>
  <c r="BC127" i="163"/>
  <c r="BA127" i="163"/>
  <c r="BB127" i="163" s="1"/>
  <c r="BJ127" i="159"/>
  <c r="T127" i="159"/>
  <c r="BY127" i="162"/>
  <c r="F127" i="162"/>
  <c r="H127" i="162"/>
  <c r="I127" i="162" s="1"/>
  <c r="BI105" i="158"/>
  <c r="BM105" i="158" s="1"/>
  <c r="BF105" i="158"/>
  <c r="BG105" i="158" s="1"/>
  <c r="CB105" i="158"/>
  <c r="Y105" i="158"/>
  <c r="O105" i="158"/>
  <c r="H105" i="158"/>
  <c r="F105" i="158"/>
  <c r="T105" i="158"/>
  <c r="U105" i="158" s="1"/>
  <c r="V105" i="158" s="1"/>
  <c r="AX105" i="158"/>
  <c r="AY105" i="158" s="1"/>
  <c r="BC105" i="158" s="1"/>
  <c r="AV105" i="158"/>
  <c r="AW105" i="158" s="1"/>
  <c r="CA105" i="158"/>
  <c r="AD105" i="158"/>
  <c r="AL105" i="158"/>
  <c r="AM105" i="158" s="1"/>
  <c r="AN105" i="158"/>
  <c r="AO105" i="158" s="1"/>
  <c r="AS105" i="158" s="1"/>
  <c r="BZ105" i="158"/>
  <c r="J105" i="158"/>
  <c r="CU127" i="160" l="1"/>
  <c r="AD128" i="160"/>
  <c r="AE128" i="160" s="1"/>
  <c r="AF128" i="160" s="1"/>
  <c r="CX127" i="160"/>
  <c r="CV127" i="160"/>
  <c r="CW127" i="160"/>
  <c r="CK127" i="160"/>
  <c r="CY127" i="160"/>
  <c r="CP127" i="160"/>
  <c r="CS127" i="160"/>
  <c r="CM127" i="160"/>
  <c r="CT127" i="160"/>
  <c r="CL127" i="160"/>
  <c r="CZ127" i="160"/>
  <c r="CQ127" i="160"/>
  <c r="CO127" i="160"/>
  <c r="CR127" i="160"/>
  <c r="CN127" i="160"/>
  <c r="Y128" i="160"/>
  <c r="AB128" i="160" s="1"/>
  <c r="AC128" i="160" s="1"/>
  <c r="AG128" i="160" s="1"/>
  <c r="H127" i="159"/>
  <c r="I127" i="159" s="1"/>
  <c r="AQ127" i="159"/>
  <c r="AR127" i="159" s="1"/>
  <c r="T128" i="160"/>
  <c r="U128" i="160" s="1"/>
  <c r="V128" i="160" s="1"/>
  <c r="O128" i="160"/>
  <c r="E128" i="160"/>
  <c r="F128" i="160" s="1"/>
  <c r="G128" i="160" s="1"/>
  <c r="AG127" i="159"/>
  <c r="J128" i="160"/>
  <c r="M127" i="159"/>
  <c r="K127" i="159"/>
  <c r="BF127" i="159"/>
  <c r="BG127" i="159" s="1"/>
  <c r="BH127" i="159"/>
  <c r="BI127" i="159" s="1"/>
  <c r="BM127" i="159" s="1"/>
  <c r="CB127" i="159"/>
  <c r="AV127" i="159"/>
  <c r="AW127" i="159" s="1"/>
  <c r="AX127" i="159"/>
  <c r="AY127" i="159" s="1"/>
  <c r="CA127" i="159"/>
  <c r="BW127" i="159"/>
  <c r="AB127" i="159"/>
  <c r="AC127" i="159" s="1"/>
  <c r="Z127" i="159"/>
  <c r="AA127" i="159" s="1"/>
  <c r="G127" i="162"/>
  <c r="R127" i="159"/>
  <c r="S127" i="159" s="1"/>
  <c r="P127" i="159"/>
  <c r="Q127" i="159" s="1"/>
  <c r="BX127" i="159"/>
  <c r="BC127" i="159"/>
  <c r="BA127" i="159"/>
  <c r="BB127" i="159" s="1"/>
  <c r="BW128" i="160"/>
  <c r="AN127" i="159"/>
  <c r="AO127" i="159" s="1"/>
  <c r="AL127" i="159"/>
  <c r="BZ127" i="159"/>
  <c r="BQ127" i="162"/>
  <c r="CE127" i="162" s="1"/>
  <c r="BR127" i="162"/>
  <c r="CF127" i="162" s="1"/>
  <c r="BT127" i="162"/>
  <c r="CH127" i="162" s="1"/>
  <c r="BS127" i="162"/>
  <c r="CG127" i="162" s="1"/>
  <c r="BK127" i="159"/>
  <c r="BL127" i="159" s="1"/>
  <c r="AM127" i="163"/>
  <c r="BU127" i="163"/>
  <c r="CI127" i="163" s="1"/>
  <c r="AZ128" i="160"/>
  <c r="AU128" i="160"/>
  <c r="BJ128" i="160"/>
  <c r="BE128" i="160"/>
  <c r="AK128" i="160"/>
  <c r="AP128" i="160"/>
  <c r="W127" i="159"/>
  <c r="U127" i="159"/>
  <c r="V127" i="159" s="1"/>
  <c r="BT127" i="163"/>
  <c r="CH127" i="163" s="1"/>
  <c r="BP127" i="163"/>
  <c r="CD127" i="163" s="1"/>
  <c r="BQ127" i="163"/>
  <c r="CE127" i="163" s="1"/>
  <c r="BR127" i="163"/>
  <c r="CF127" i="163" s="1"/>
  <c r="BY127" i="159"/>
  <c r="BR105" i="158"/>
  <c r="CF105" i="158" s="1"/>
  <c r="BP105" i="158"/>
  <c r="CD105" i="158" s="1"/>
  <c r="BQ105" i="158"/>
  <c r="CE105" i="158" s="1"/>
  <c r="G105" i="158"/>
  <c r="I105" i="158"/>
  <c r="M105" i="158" s="1"/>
  <c r="BX105" i="158"/>
  <c r="P105" i="158"/>
  <c r="Q105" i="158" s="1"/>
  <c r="R105" i="158"/>
  <c r="S105" i="158" s="1"/>
  <c r="W105" i="158" s="1"/>
  <c r="BY105" i="158"/>
  <c r="K105" i="158"/>
  <c r="L105" i="158" s="1"/>
  <c r="AE105" i="158"/>
  <c r="AF105" i="158" s="1"/>
  <c r="BW105" i="158"/>
  <c r="Z105" i="158"/>
  <c r="AA105" i="158" s="1"/>
  <c r="AB105" i="158"/>
  <c r="AC105" i="158" s="1"/>
  <c r="AG105" i="158" s="1"/>
  <c r="BY128" i="160" l="1"/>
  <c r="CN127" i="162"/>
  <c r="BX128" i="160"/>
  <c r="Z128" i="160"/>
  <c r="AA128" i="160" s="1"/>
  <c r="CY127" i="162"/>
  <c r="CR127" i="162"/>
  <c r="CW127" i="162"/>
  <c r="CP127" i="162"/>
  <c r="CX127" i="162"/>
  <c r="CK127" i="162"/>
  <c r="CU127" i="162"/>
  <c r="CV127" i="162"/>
  <c r="CS127" i="162"/>
  <c r="CQ127" i="162"/>
  <c r="CT127" i="162"/>
  <c r="CO127" i="162"/>
  <c r="CM127" i="163"/>
  <c r="CP127" i="163"/>
  <c r="CR127" i="163"/>
  <c r="CL127" i="163"/>
  <c r="CV127" i="163"/>
  <c r="CQ127" i="163"/>
  <c r="CK127" i="163"/>
  <c r="CN127" i="163"/>
  <c r="CO127" i="163"/>
  <c r="CT127" i="163"/>
  <c r="CZ127" i="163"/>
  <c r="CU127" i="163"/>
  <c r="CS127" i="163"/>
  <c r="CY127" i="163"/>
  <c r="CX127" i="163"/>
  <c r="CW127" i="163"/>
  <c r="CM127" i="162"/>
  <c r="CL127" i="162"/>
  <c r="CZ127" i="162"/>
  <c r="P128" i="160"/>
  <c r="Q128" i="160" s="1"/>
  <c r="AD128" i="162"/>
  <c r="AE128" i="162" s="1"/>
  <c r="AF128" i="162" s="1"/>
  <c r="R128" i="160"/>
  <c r="S128" i="160" s="1"/>
  <c r="W128" i="160" s="1"/>
  <c r="AZ128" i="162"/>
  <c r="BA128" i="162" s="1"/>
  <c r="BB128" i="162" s="1"/>
  <c r="M128" i="160"/>
  <c r="K128" i="160"/>
  <c r="L128" i="160" s="1"/>
  <c r="BU128" i="160"/>
  <c r="CI128" i="160" s="1"/>
  <c r="H128" i="160"/>
  <c r="I128" i="160" s="1"/>
  <c r="BJ128" i="162"/>
  <c r="BK128" i="162" s="1"/>
  <c r="BL128" i="162" s="1"/>
  <c r="AP128" i="162"/>
  <c r="AS128" i="162" s="1"/>
  <c r="BE128" i="162"/>
  <c r="BF128" i="162" s="1"/>
  <c r="BG128" i="162" s="1"/>
  <c r="AU128" i="162"/>
  <c r="CA128" i="162" s="1"/>
  <c r="AK128" i="162"/>
  <c r="AM127" i="159"/>
  <c r="BA128" i="160"/>
  <c r="BB128" i="160" s="1"/>
  <c r="AD128" i="163"/>
  <c r="O128" i="163"/>
  <c r="Y128" i="163"/>
  <c r="T128" i="163"/>
  <c r="BQ127" i="159"/>
  <c r="CE127" i="159" s="1"/>
  <c r="BR127" i="159"/>
  <c r="CF127" i="159" s="1"/>
  <c r="BP127" i="159"/>
  <c r="CD127" i="159" s="1"/>
  <c r="BT128" i="160"/>
  <c r="CH128" i="160" s="1"/>
  <c r="BS128" i="160"/>
  <c r="CG128" i="160" s="1"/>
  <c r="AL128" i="160"/>
  <c r="BZ128" i="160"/>
  <c r="AN128" i="160"/>
  <c r="AO128" i="160" s="1"/>
  <c r="T128" i="162"/>
  <c r="E128" i="162"/>
  <c r="Y128" i="162"/>
  <c r="O128" i="162"/>
  <c r="J128" i="162"/>
  <c r="BS127" i="159"/>
  <c r="CG127" i="159" s="1"/>
  <c r="BT127" i="159"/>
  <c r="CH127" i="159" s="1"/>
  <c r="AQ128" i="160"/>
  <c r="AR128" i="160" s="1"/>
  <c r="AS128" i="160"/>
  <c r="BF128" i="160"/>
  <c r="BG128" i="160" s="1"/>
  <c r="CB128" i="160"/>
  <c r="BP128" i="160" s="1"/>
  <c r="CD128" i="160" s="1"/>
  <c r="BH128" i="160"/>
  <c r="BI128" i="160" s="1"/>
  <c r="BM128" i="160" s="1"/>
  <c r="L127" i="159"/>
  <c r="BK128" i="160"/>
  <c r="BL128" i="160" s="1"/>
  <c r="J128" i="163"/>
  <c r="BU127" i="159"/>
  <c r="CI127" i="159" s="1"/>
  <c r="AQ128" i="162"/>
  <c r="AR128" i="162" s="1"/>
  <c r="BJ128" i="163"/>
  <c r="AP128" i="163"/>
  <c r="BE128" i="163"/>
  <c r="AZ128" i="163"/>
  <c r="AU128" i="163"/>
  <c r="AK128" i="163"/>
  <c r="AV128" i="160"/>
  <c r="AW128" i="160" s="1"/>
  <c r="AX128" i="160"/>
  <c r="AY128" i="160" s="1"/>
  <c r="BC128" i="160" s="1"/>
  <c r="CA128" i="160"/>
  <c r="E128" i="163"/>
  <c r="BS105" i="158"/>
  <c r="CG105" i="158" s="1"/>
  <c r="BT105" i="158"/>
  <c r="CH105" i="158" s="1"/>
  <c r="BU105" i="158"/>
  <c r="CI105" i="158" s="1"/>
  <c r="BE106" i="158"/>
  <c r="AK106" i="158"/>
  <c r="AN106" i="158" s="1"/>
  <c r="BJ106" i="158"/>
  <c r="BK106" i="158" s="1"/>
  <c r="BL106" i="158" s="1"/>
  <c r="AU106" i="158"/>
  <c r="AV106" i="158" s="1"/>
  <c r="AW106" i="158" s="1"/>
  <c r="AP106" i="158"/>
  <c r="AQ106" i="158" s="1"/>
  <c r="AR106" i="158" s="1"/>
  <c r="AZ106" i="158"/>
  <c r="BI128" i="162" l="1"/>
  <c r="BM128" i="162" s="1"/>
  <c r="AG128" i="162"/>
  <c r="CR105" i="158"/>
  <c r="AC128" i="162"/>
  <c r="CM105" i="158"/>
  <c r="CV105" i="158"/>
  <c r="CL105" i="158"/>
  <c r="CY105" i="158"/>
  <c r="CP105" i="158"/>
  <c r="CX105" i="158"/>
  <c r="CO105" i="158"/>
  <c r="CU105" i="158"/>
  <c r="CK105" i="158"/>
  <c r="CS105" i="158"/>
  <c r="CT105" i="158"/>
  <c r="CW105" i="158"/>
  <c r="CQ105" i="158"/>
  <c r="CZ105" i="158"/>
  <c r="CR127" i="159"/>
  <c r="CL127" i="159"/>
  <c r="CQ127" i="159"/>
  <c r="CM127" i="159"/>
  <c r="CN127" i="159"/>
  <c r="CO127" i="159"/>
  <c r="CK127" i="159"/>
  <c r="CP127" i="159"/>
  <c r="CS127" i="159"/>
  <c r="CV127" i="159"/>
  <c r="CT127" i="159"/>
  <c r="CW127" i="159"/>
  <c r="CU127" i="159"/>
  <c r="CY127" i="159"/>
  <c r="CZ127" i="159"/>
  <c r="CX127" i="159"/>
  <c r="CN105" i="158"/>
  <c r="AV128" i="162"/>
  <c r="AW128" i="162" s="1"/>
  <c r="AX128" i="162"/>
  <c r="AY128" i="162" s="1"/>
  <c r="BC128" i="162" s="1"/>
  <c r="CB128" i="162"/>
  <c r="BP128" i="162" s="1"/>
  <c r="CD128" i="162" s="1"/>
  <c r="BZ128" i="162"/>
  <c r="BQ128" i="162" s="1"/>
  <c r="CE128" i="162" s="1"/>
  <c r="T128" i="159"/>
  <c r="U128" i="159" s="1"/>
  <c r="V128" i="159" s="1"/>
  <c r="BH128" i="162"/>
  <c r="AN128" i="162"/>
  <c r="AO128" i="162" s="1"/>
  <c r="AL128" i="162"/>
  <c r="AM128" i="162" s="1"/>
  <c r="AD128" i="159"/>
  <c r="AE128" i="159" s="1"/>
  <c r="AF128" i="159" s="1"/>
  <c r="AB128" i="163"/>
  <c r="AC128" i="163" s="1"/>
  <c r="AG128" i="163" s="1"/>
  <c r="Z128" i="163"/>
  <c r="AA128" i="163" s="1"/>
  <c r="BW128" i="163"/>
  <c r="U128" i="162"/>
  <c r="V128" i="162" s="1"/>
  <c r="AM128" i="160"/>
  <c r="T129" i="160" s="1"/>
  <c r="U129" i="160" s="1"/>
  <c r="V129" i="160" s="1"/>
  <c r="BX128" i="163"/>
  <c r="P128" i="163"/>
  <c r="Q128" i="163" s="1"/>
  <c r="R128" i="163"/>
  <c r="S128" i="163" s="1"/>
  <c r="W128" i="163"/>
  <c r="U128" i="163"/>
  <c r="V128" i="163" s="1"/>
  <c r="AX128" i="163"/>
  <c r="AY128" i="163" s="1"/>
  <c r="AV128" i="163"/>
  <c r="AW128" i="163" s="1"/>
  <c r="CA128" i="163"/>
  <c r="AE128" i="163"/>
  <c r="AF128" i="163" s="1"/>
  <c r="Z128" i="162"/>
  <c r="AA128" i="162" s="1"/>
  <c r="AB128" i="162"/>
  <c r="BW128" i="162"/>
  <c r="BU128" i="162" s="1"/>
  <c r="CI128" i="162" s="1"/>
  <c r="BY128" i="163"/>
  <c r="H128" i="163"/>
  <c r="I128" i="163" s="1"/>
  <c r="F128" i="163"/>
  <c r="G128" i="163" s="1"/>
  <c r="BA128" i="163"/>
  <c r="BB128" i="163" s="1"/>
  <c r="BC128" i="163"/>
  <c r="K128" i="163"/>
  <c r="L128" i="163" s="1"/>
  <c r="M128" i="163"/>
  <c r="J128" i="159"/>
  <c r="BQ128" i="160"/>
  <c r="CE128" i="160" s="1"/>
  <c r="BR128" i="160"/>
  <c r="CF128" i="160" s="1"/>
  <c r="CB128" i="163"/>
  <c r="BH128" i="163"/>
  <c r="BI128" i="163" s="1"/>
  <c r="BF128" i="163"/>
  <c r="BG128" i="163" s="1"/>
  <c r="Y128" i="159"/>
  <c r="E128" i="159"/>
  <c r="BE128" i="159"/>
  <c r="AU128" i="159"/>
  <c r="AZ128" i="159"/>
  <c r="BJ128" i="159"/>
  <c r="AK128" i="159"/>
  <c r="BY128" i="162"/>
  <c r="H128" i="162"/>
  <c r="I128" i="162" s="1"/>
  <c r="F128" i="162"/>
  <c r="AS128" i="163"/>
  <c r="AQ128" i="163"/>
  <c r="AR128" i="163" s="1"/>
  <c r="K128" i="162"/>
  <c r="L128" i="162" s="1"/>
  <c r="M128" i="162"/>
  <c r="BZ128" i="163"/>
  <c r="AL128" i="163"/>
  <c r="AM128" i="163" s="1"/>
  <c r="AN128" i="163"/>
  <c r="AO128" i="163" s="1"/>
  <c r="BM128" i="163"/>
  <c r="BK128" i="163"/>
  <c r="BL128" i="163" s="1"/>
  <c r="AP128" i="159"/>
  <c r="R128" i="162"/>
  <c r="S128" i="162" s="1"/>
  <c r="W128" i="162" s="1"/>
  <c r="P128" i="162"/>
  <c r="Q128" i="162" s="1"/>
  <c r="BX128" i="162"/>
  <c r="O128" i="159"/>
  <c r="BR128" i="162"/>
  <c r="CF128" i="162" s="1"/>
  <c r="AX106" i="158"/>
  <c r="AY106" i="158" s="1"/>
  <c r="BC106" i="158" s="1"/>
  <c r="AL106" i="158"/>
  <c r="AM106" i="158" s="1"/>
  <c r="T106" i="158"/>
  <c r="U106" i="158" s="1"/>
  <c r="V106" i="158" s="1"/>
  <c r="E106" i="158"/>
  <c r="O106" i="158"/>
  <c r="AD106" i="158"/>
  <c r="AE106" i="158" s="1"/>
  <c r="AF106" i="158" s="1"/>
  <c r="J106" i="158"/>
  <c r="K106" i="158" s="1"/>
  <c r="L106" i="158" s="1"/>
  <c r="Y106" i="158"/>
  <c r="BA106" i="158"/>
  <c r="BB106" i="158" s="1"/>
  <c r="CA106" i="158"/>
  <c r="BF106" i="158"/>
  <c r="BG106" i="158" s="1"/>
  <c r="CB106" i="158"/>
  <c r="BH106" i="158"/>
  <c r="BI106" i="158" s="1"/>
  <c r="BM106" i="158" s="1"/>
  <c r="BZ106" i="158"/>
  <c r="AO106" i="158"/>
  <c r="AS106" i="158" s="1"/>
  <c r="CN128" i="160" l="1"/>
  <c r="CM128" i="160"/>
  <c r="CK128" i="160"/>
  <c r="CP128" i="160"/>
  <c r="CL128" i="160"/>
  <c r="CW128" i="160"/>
  <c r="CO128" i="160"/>
  <c r="CX128" i="160"/>
  <c r="CQ128" i="160"/>
  <c r="CZ128" i="160"/>
  <c r="CU128" i="160"/>
  <c r="CS128" i="160"/>
  <c r="CV128" i="160"/>
  <c r="CY128" i="160"/>
  <c r="CR128" i="160"/>
  <c r="CT128" i="160"/>
  <c r="W128" i="159"/>
  <c r="AD129" i="160"/>
  <c r="O129" i="160"/>
  <c r="P129" i="160" s="1"/>
  <c r="Q129" i="160" s="1"/>
  <c r="E129" i="160"/>
  <c r="J129" i="160"/>
  <c r="K129" i="160" s="1"/>
  <c r="L129" i="160" s="1"/>
  <c r="Y129" i="160"/>
  <c r="BW129" i="160" s="1"/>
  <c r="AG128" i="159"/>
  <c r="AX128" i="159"/>
  <c r="AY128" i="159" s="1"/>
  <c r="AV128" i="159"/>
  <c r="AW128" i="159" s="1"/>
  <c r="CA128" i="159"/>
  <c r="BP128" i="163"/>
  <c r="CD128" i="163" s="1"/>
  <c r="BQ128" i="163"/>
  <c r="CE128" i="163" s="1"/>
  <c r="BR128" i="163"/>
  <c r="CF128" i="163" s="1"/>
  <c r="CB128" i="159"/>
  <c r="BF128" i="159"/>
  <c r="BG128" i="159" s="1"/>
  <c r="BH128" i="159"/>
  <c r="BI128" i="159" s="1"/>
  <c r="BM128" i="159" s="1"/>
  <c r="AZ129" i="160"/>
  <c r="AK129" i="160"/>
  <c r="AP129" i="160"/>
  <c r="BJ129" i="160"/>
  <c r="AU129" i="160"/>
  <c r="BE129" i="160"/>
  <c r="BY128" i="159"/>
  <c r="F128" i="159"/>
  <c r="G128" i="159" s="1"/>
  <c r="H128" i="159"/>
  <c r="I128" i="159" s="1"/>
  <c r="AE129" i="160"/>
  <c r="AF129" i="160" s="1"/>
  <c r="Z128" i="159"/>
  <c r="AA128" i="159" s="1"/>
  <c r="BW128" i="159"/>
  <c r="AB128" i="159"/>
  <c r="AC128" i="159" s="1"/>
  <c r="BC128" i="159"/>
  <c r="BA128" i="159"/>
  <c r="BB128" i="159" s="1"/>
  <c r="BT128" i="162"/>
  <c r="CH128" i="162" s="1"/>
  <c r="BS128" i="162"/>
  <c r="CG128" i="162" s="1"/>
  <c r="M128" i="159"/>
  <c r="K128" i="159"/>
  <c r="L128" i="159" s="1"/>
  <c r="BX129" i="160"/>
  <c r="H129" i="160"/>
  <c r="F129" i="160"/>
  <c r="G129" i="160" s="1"/>
  <c r="BX128" i="159"/>
  <c r="R128" i="159"/>
  <c r="S128" i="159" s="1"/>
  <c r="P128" i="159"/>
  <c r="Q128" i="159" s="1"/>
  <c r="AN128" i="159"/>
  <c r="AO128" i="159" s="1"/>
  <c r="BZ128" i="159"/>
  <c r="AL128" i="159"/>
  <c r="AQ128" i="159"/>
  <c r="AR128" i="159" s="1"/>
  <c r="AS128" i="159"/>
  <c r="G128" i="162"/>
  <c r="AZ129" i="162" s="1"/>
  <c r="BK128" i="159"/>
  <c r="BL128" i="159" s="1"/>
  <c r="BU128" i="163"/>
  <c r="CI128" i="163" s="1"/>
  <c r="BT128" i="163"/>
  <c r="CH128" i="163" s="1"/>
  <c r="BS128" i="163"/>
  <c r="CG128" i="163" s="1"/>
  <c r="BQ106" i="158"/>
  <c r="CE106" i="158" s="1"/>
  <c r="BR106" i="158"/>
  <c r="CF106" i="158" s="1"/>
  <c r="BP106" i="158"/>
  <c r="CD106" i="158" s="1"/>
  <c r="BW106" i="158"/>
  <c r="Z106" i="158"/>
  <c r="AA106" i="158" s="1"/>
  <c r="AB106" i="158"/>
  <c r="AC106" i="158" s="1"/>
  <c r="AG106" i="158" s="1"/>
  <c r="P106" i="158"/>
  <c r="Q106" i="158" s="1"/>
  <c r="R106" i="158"/>
  <c r="S106" i="158" s="1"/>
  <c r="W106" i="158" s="1"/>
  <c r="BX106" i="158"/>
  <c r="H106" i="158"/>
  <c r="I106" i="158" s="1"/>
  <c r="M106" i="158" s="1"/>
  <c r="F106" i="158"/>
  <c r="BY106" i="158"/>
  <c r="R129" i="160" l="1"/>
  <c r="S129" i="160" s="1"/>
  <c r="W129" i="160" s="1"/>
  <c r="CK128" i="162"/>
  <c r="CU128" i="162"/>
  <c r="CO128" i="162"/>
  <c r="CT128" i="162"/>
  <c r="CV128" i="162"/>
  <c r="CM128" i="162"/>
  <c r="CR128" i="162"/>
  <c r="CN128" i="162"/>
  <c r="CL128" i="162"/>
  <c r="CY128" i="162"/>
  <c r="CQ128" i="162"/>
  <c r="CW128" i="162"/>
  <c r="CP128" i="162"/>
  <c r="CP128" i="163"/>
  <c r="CV128" i="163"/>
  <c r="CM128" i="163"/>
  <c r="CO128" i="163"/>
  <c r="CQ128" i="163"/>
  <c r="CK128" i="163"/>
  <c r="CL128" i="163"/>
  <c r="CN128" i="163"/>
  <c r="CR128" i="163"/>
  <c r="CS128" i="163"/>
  <c r="CT128" i="163"/>
  <c r="CU128" i="163"/>
  <c r="CZ128" i="163"/>
  <c r="CX128" i="163"/>
  <c r="CY128" i="163"/>
  <c r="CW128" i="163"/>
  <c r="CX128" i="162"/>
  <c r="CZ128" i="162"/>
  <c r="CS128" i="162"/>
  <c r="BY129" i="160"/>
  <c r="I129" i="160"/>
  <c r="AB129" i="160"/>
  <c r="AC129" i="160" s="1"/>
  <c r="AG129" i="160" s="1"/>
  <c r="Z129" i="160"/>
  <c r="AA129" i="160" s="1"/>
  <c r="M129" i="160"/>
  <c r="BE129" i="163"/>
  <c r="BH129" i="163" s="1"/>
  <c r="AU129" i="163"/>
  <c r="AV129" i="163" s="1"/>
  <c r="AW129" i="163" s="1"/>
  <c r="AK129" i="163"/>
  <c r="AL129" i="163" s="1"/>
  <c r="AM129" i="163" s="1"/>
  <c r="AP129" i="163"/>
  <c r="AS129" i="163" s="1"/>
  <c r="O129" i="163"/>
  <c r="R129" i="163" s="1"/>
  <c r="BJ129" i="163"/>
  <c r="BM129" i="163" s="1"/>
  <c r="BA129" i="162"/>
  <c r="BB129" i="162" s="1"/>
  <c r="BA129" i="160"/>
  <c r="BB129" i="160" s="1"/>
  <c r="BE129" i="162"/>
  <c r="BT128" i="159"/>
  <c r="CH128" i="159" s="1"/>
  <c r="BS128" i="159"/>
  <c r="CG128" i="159" s="1"/>
  <c r="BU128" i="159"/>
  <c r="CI128" i="159" s="1"/>
  <c r="AZ129" i="163"/>
  <c r="AP129" i="162"/>
  <c r="CB129" i="160"/>
  <c r="BP129" i="160" s="1"/>
  <c r="CD129" i="160" s="1"/>
  <c r="BF129" i="160"/>
  <c r="BG129" i="160" s="1"/>
  <c r="BH129" i="160"/>
  <c r="BI129" i="160" s="1"/>
  <c r="BM129" i="160" s="1"/>
  <c r="BU129" i="160"/>
  <c r="CI129" i="160" s="1"/>
  <c r="AD129" i="162"/>
  <c r="T129" i="162"/>
  <c r="O129" i="162"/>
  <c r="J129" i="162"/>
  <c r="Y129" i="162"/>
  <c r="E129" i="162"/>
  <c r="CA129" i="160"/>
  <c r="AX129" i="160"/>
  <c r="AY129" i="160" s="1"/>
  <c r="BC129" i="160" s="1"/>
  <c r="AV129" i="160"/>
  <c r="AW129" i="160" s="1"/>
  <c r="BJ129" i="162"/>
  <c r="J129" i="163"/>
  <c r="BK129" i="160"/>
  <c r="BL129" i="160" s="1"/>
  <c r="T129" i="163"/>
  <c r="Y129" i="163"/>
  <c r="BR128" i="159"/>
  <c r="CF128" i="159" s="1"/>
  <c r="BQ128" i="159"/>
  <c r="CE128" i="159" s="1"/>
  <c r="BP128" i="159"/>
  <c r="CD128" i="159" s="1"/>
  <c r="BT129" i="160"/>
  <c r="CH129" i="160" s="1"/>
  <c r="BS129" i="160"/>
  <c r="CG129" i="160" s="1"/>
  <c r="AK129" i="162"/>
  <c r="AD129" i="163"/>
  <c r="AS129" i="160"/>
  <c r="AQ129" i="160"/>
  <c r="AR129" i="160" s="1"/>
  <c r="AU129" i="162"/>
  <c r="AM128" i="159"/>
  <c r="E129" i="163"/>
  <c r="AN129" i="160"/>
  <c r="AO129" i="160" s="1"/>
  <c r="BZ129" i="160"/>
  <c r="AL129" i="160"/>
  <c r="BT106" i="158"/>
  <c r="CH106" i="158" s="1"/>
  <c r="BU106" i="158"/>
  <c r="CI106" i="158" s="1"/>
  <c r="BS106" i="158"/>
  <c r="CG106" i="158" s="1"/>
  <c r="CT106" i="158" s="1"/>
  <c r="G106" i="158"/>
  <c r="AZ107" i="158" s="1"/>
  <c r="BA107" i="158" s="1"/>
  <c r="BB107" i="158" s="1"/>
  <c r="CO106" i="158" l="1"/>
  <c r="CS106" i="158"/>
  <c r="CP128" i="159"/>
  <c r="CL128" i="159"/>
  <c r="CK128" i="159"/>
  <c r="CR128" i="159"/>
  <c r="CN128" i="159"/>
  <c r="CQ128" i="159"/>
  <c r="CM128" i="159"/>
  <c r="CO128" i="159"/>
  <c r="CS128" i="159"/>
  <c r="CW128" i="159"/>
  <c r="CV128" i="159"/>
  <c r="CT128" i="159"/>
  <c r="CU128" i="159"/>
  <c r="CX128" i="159"/>
  <c r="CY128" i="159"/>
  <c r="CZ128" i="159"/>
  <c r="CN106" i="158"/>
  <c r="CW106" i="158"/>
  <c r="CR106" i="158"/>
  <c r="CY106" i="158"/>
  <c r="CQ106" i="158"/>
  <c r="CV106" i="158"/>
  <c r="CU106" i="158"/>
  <c r="CZ106" i="158"/>
  <c r="CL106" i="158"/>
  <c r="CX106" i="158"/>
  <c r="CM106" i="158"/>
  <c r="CP106" i="158"/>
  <c r="CK106" i="158"/>
  <c r="BZ129" i="163"/>
  <c r="BQ129" i="163" s="1"/>
  <c r="CE129" i="163" s="1"/>
  <c r="E129" i="159"/>
  <c r="H129" i="159" s="1"/>
  <c r="CA129" i="163"/>
  <c r="AN129" i="163"/>
  <c r="AO129" i="163" s="1"/>
  <c r="AX129" i="163"/>
  <c r="AY129" i="163" s="1"/>
  <c r="AK107" i="158"/>
  <c r="AN107" i="158" s="1"/>
  <c r="BF129" i="163"/>
  <c r="BG129" i="163" s="1"/>
  <c r="BK129" i="163"/>
  <c r="BL129" i="163" s="1"/>
  <c r="AQ129" i="163"/>
  <c r="AR129" i="163" s="1"/>
  <c r="CB129" i="163"/>
  <c r="P129" i="163"/>
  <c r="Q129" i="163" s="1"/>
  <c r="BI129" i="163"/>
  <c r="AU107" i="158"/>
  <c r="AX107" i="158" s="1"/>
  <c r="AY107" i="158" s="1"/>
  <c r="BC107" i="158" s="1"/>
  <c r="AZ129" i="159"/>
  <c r="BA129" i="159" s="1"/>
  <c r="BB129" i="159" s="1"/>
  <c r="AD129" i="159"/>
  <c r="AG129" i="159" s="1"/>
  <c r="M129" i="163"/>
  <c r="K129" i="163"/>
  <c r="L129" i="163" s="1"/>
  <c r="R129" i="162"/>
  <c r="S129" i="162" s="1"/>
  <c r="W129" i="162" s="1"/>
  <c r="P129" i="162"/>
  <c r="Q129" i="162" s="1"/>
  <c r="BX129" i="162"/>
  <c r="BR129" i="160"/>
  <c r="CF129" i="160" s="1"/>
  <c r="BQ129" i="160"/>
  <c r="CE129" i="160" s="1"/>
  <c r="U129" i="162"/>
  <c r="V129" i="162" s="1"/>
  <c r="AE129" i="163"/>
  <c r="AF129" i="163" s="1"/>
  <c r="AP129" i="159"/>
  <c r="AG129" i="162"/>
  <c r="AE129" i="162"/>
  <c r="AF129" i="162" s="1"/>
  <c r="AQ129" i="162"/>
  <c r="AR129" i="162" s="1"/>
  <c r="AS129" i="162"/>
  <c r="AV129" i="162"/>
  <c r="AW129" i="162" s="1"/>
  <c r="AX129" i="162"/>
  <c r="AY129" i="162" s="1"/>
  <c r="BC129" i="162" s="1"/>
  <c r="CA129" i="162"/>
  <c r="BR129" i="163"/>
  <c r="CF129" i="163" s="1"/>
  <c r="AK129" i="159"/>
  <c r="BW129" i="163"/>
  <c r="AB129" i="163"/>
  <c r="AC129" i="163" s="1"/>
  <c r="AG129" i="163" s="1"/>
  <c r="Z129" i="163"/>
  <c r="AA129" i="163" s="1"/>
  <c r="AU129" i="159"/>
  <c r="BA129" i="163"/>
  <c r="BB129" i="163" s="1"/>
  <c r="BC129" i="163"/>
  <c r="BW129" i="162"/>
  <c r="BU129" i="162" s="1"/>
  <c r="CI129" i="162" s="1"/>
  <c r="AB129" i="162"/>
  <c r="AC129" i="162" s="1"/>
  <c r="Z129" i="162"/>
  <c r="AA129" i="162" s="1"/>
  <c r="K129" i="162"/>
  <c r="L129" i="162" s="1"/>
  <c r="M129" i="162"/>
  <c r="AM129" i="160"/>
  <c r="T130" i="160" s="1"/>
  <c r="H129" i="163"/>
  <c r="I129" i="163" s="1"/>
  <c r="F129" i="163"/>
  <c r="BY129" i="163"/>
  <c r="BZ129" i="162"/>
  <c r="AN129" i="162"/>
  <c r="AO129" i="162" s="1"/>
  <c r="AL129" i="162"/>
  <c r="AM129" i="162" s="1"/>
  <c r="BX129" i="163"/>
  <c r="S129" i="163"/>
  <c r="W129" i="163"/>
  <c r="U129" i="163"/>
  <c r="V129" i="163" s="1"/>
  <c r="CB129" i="162"/>
  <c r="BP129" i="162" s="1"/>
  <c r="CD129" i="162" s="1"/>
  <c r="BF129" i="162"/>
  <c r="BG129" i="162" s="1"/>
  <c r="BH129" i="162"/>
  <c r="BI129" i="162" s="1"/>
  <c r="BM129" i="162" s="1"/>
  <c r="J129" i="159"/>
  <c r="O129" i="159"/>
  <c r="Y129" i="159"/>
  <c r="BK129" i="162"/>
  <c r="BL129" i="162" s="1"/>
  <c r="E107" i="158"/>
  <c r="F107" i="158" s="1"/>
  <c r="T129" i="159"/>
  <c r="BE129" i="159"/>
  <c r="BJ129" i="159"/>
  <c r="BY129" i="162"/>
  <c r="H129" i="162"/>
  <c r="I129" i="162" s="1"/>
  <c r="F129" i="162"/>
  <c r="BJ107" i="158"/>
  <c r="AP107" i="158"/>
  <c r="AQ107" i="158" s="1"/>
  <c r="AR107" i="158" s="1"/>
  <c r="BE107" i="158"/>
  <c r="BH107" i="158" s="1"/>
  <c r="AV107" i="158"/>
  <c r="AW107" i="158" s="1"/>
  <c r="T107" i="158"/>
  <c r="U107" i="158" s="1"/>
  <c r="V107" i="158" s="1"/>
  <c r="J107" i="158"/>
  <c r="O107" i="158"/>
  <c r="Y107" i="158"/>
  <c r="AD107" i="158"/>
  <c r="AE107" i="158" s="1"/>
  <c r="AF107" i="158" s="1"/>
  <c r="CM129" i="160" l="1"/>
  <c r="AL107" i="158"/>
  <c r="AM107" i="158" s="1"/>
  <c r="F129" i="159"/>
  <c r="G129" i="159" s="1"/>
  <c r="BP129" i="163"/>
  <c r="CD129" i="163" s="1"/>
  <c r="CZ129" i="160"/>
  <c r="CN129" i="160"/>
  <c r="CY129" i="160"/>
  <c r="CQ129" i="160"/>
  <c r="CS129" i="160"/>
  <c r="CR129" i="160"/>
  <c r="CT129" i="160"/>
  <c r="CP129" i="160"/>
  <c r="CL129" i="160"/>
  <c r="CV129" i="160"/>
  <c r="CO129" i="160"/>
  <c r="CU129" i="160"/>
  <c r="CX129" i="160"/>
  <c r="CK129" i="160"/>
  <c r="CW129" i="160"/>
  <c r="CA107" i="158"/>
  <c r="BC129" i="159"/>
  <c r="O130" i="160"/>
  <c r="P130" i="160" s="1"/>
  <c r="Q130" i="160" s="1"/>
  <c r="AD130" i="160"/>
  <c r="AE130" i="160" s="1"/>
  <c r="AF130" i="160" s="1"/>
  <c r="AE129" i="159"/>
  <c r="AF129" i="159" s="1"/>
  <c r="Y130" i="160"/>
  <c r="Z130" i="160" s="1"/>
  <c r="AA130" i="160" s="1"/>
  <c r="J130" i="160"/>
  <c r="M130" i="160" s="1"/>
  <c r="M129" i="159"/>
  <c r="K129" i="159"/>
  <c r="BH129" i="159"/>
  <c r="BI129" i="159" s="1"/>
  <c r="BM129" i="159" s="1"/>
  <c r="BF129" i="159"/>
  <c r="BG129" i="159" s="1"/>
  <c r="CB129" i="159"/>
  <c r="CA129" i="159"/>
  <c r="AV129" i="159"/>
  <c r="AW129" i="159" s="1"/>
  <c r="AX129" i="159"/>
  <c r="AY129" i="159" s="1"/>
  <c r="BQ129" i="162"/>
  <c r="CE129" i="162" s="1"/>
  <c r="BR129" i="162"/>
  <c r="CF129" i="162" s="1"/>
  <c r="U129" i="159"/>
  <c r="V129" i="159" s="1"/>
  <c r="W129" i="159"/>
  <c r="G129" i="162"/>
  <c r="E130" i="160"/>
  <c r="H107" i="158"/>
  <c r="I107" i="158" s="1"/>
  <c r="M107" i="158" s="1"/>
  <c r="BT129" i="162"/>
  <c r="CH129" i="162" s="1"/>
  <c r="BS129" i="162"/>
  <c r="CG129" i="162" s="1"/>
  <c r="Z129" i="159"/>
  <c r="AA129" i="159" s="1"/>
  <c r="AB129" i="159"/>
  <c r="AC129" i="159" s="1"/>
  <c r="BW129" i="159"/>
  <c r="BT129" i="163"/>
  <c r="CH129" i="163" s="1"/>
  <c r="BS129" i="163"/>
  <c r="CG129" i="163" s="1"/>
  <c r="BU129" i="163"/>
  <c r="CI129" i="163" s="1"/>
  <c r="U130" i="160"/>
  <c r="V130" i="160" s="1"/>
  <c r="AN129" i="159"/>
  <c r="AO129" i="159" s="1"/>
  <c r="BZ129" i="159"/>
  <c r="AL129" i="159"/>
  <c r="BY129" i="159"/>
  <c r="BX130" i="160"/>
  <c r="R130" i="160"/>
  <c r="S130" i="160" s="1"/>
  <c r="W130" i="160" s="1"/>
  <c r="BK129" i="159"/>
  <c r="BL129" i="159" s="1"/>
  <c r="P129" i="159"/>
  <c r="Q129" i="159" s="1"/>
  <c r="R129" i="159"/>
  <c r="S129" i="159" s="1"/>
  <c r="BX129" i="159"/>
  <c r="G129" i="163"/>
  <c r="AZ130" i="163" s="1"/>
  <c r="AS129" i="159"/>
  <c r="AQ129" i="159"/>
  <c r="AR129" i="159" s="1"/>
  <c r="BE130" i="160"/>
  <c r="AU130" i="160"/>
  <c r="BJ130" i="160"/>
  <c r="AK130" i="160"/>
  <c r="AP130" i="160"/>
  <c r="AZ130" i="160"/>
  <c r="I129" i="159"/>
  <c r="AO107" i="158"/>
  <c r="AS107" i="158" s="1"/>
  <c r="BZ107" i="158"/>
  <c r="BF107" i="158"/>
  <c r="BG107" i="158" s="1"/>
  <c r="CB107" i="158"/>
  <c r="BI107" i="158"/>
  <c r="BM107" i="158" s="1"/>
  <c r="BK107" i="158"/>
  <c r="BL107" i="158" s="1"/>
  <c r="AB107" i="158"/>
  <c r="AC107" i="158" s="1"/>
  <c r="AG107" i="158" s="1"/>
  <c r="BW107" i="158"/>
  <c r="Z107" i="158"/>
  <c r="AA107" i="158" s="1"/>
  <c r="R107" i="158"/>
  <c r="S107" i="158" s="1"/>
  <c r="W107" i="158" s="1"/>
  <c r="BX107" i="158"/>
  <c r="P107" i="158"/>
  <c r="Q107" i="158" s="1"/>
  <c r="K107" i="158"/>
  <c r="L107" i="158" s="1"/>
  <c r="BY107" i="158"/>
  <c r="G107" i="158"/>
  <c r="CQ129" i="162" l="1"/>
  <c r="CM129" i="163"/>
  <c r="CY129" i="163"/>
  <c r="CL129" i="163"/>
  <c r="CX129" i="162"/>
  <c r="CK129" i="162"/>
  <c r="CZ129" i="163"/>
  <c r="CN129" i="163"/>
  <c r="CT129" i="162"/>
  <c r="CV129" i="162"/>
  <c r="CT129" i="163"/>
  <c r="CR129" i="163"/>
  <c r="CU129" i="162"/>
  <c r="CN129" i="162"/>
  <c r="CU129" i="163"/>
  <c r="CP129" i="163"/>
  <c r="CS129" i="162"/>
  <c r="CO129" i="162"/>
  <c r="CS129" i="163"/>
  <c r="CK129" i="163"/>
  <c r="CP129" i="162"/>
  <c r="CR129" i="162"/>
  <c r="CQ129" i="163"/>
  <c r="CV129" i="163"/>
  <c r="CM129" i="162"/>
  <c r="CZ129" i="162"/>
  <c r="CX129" i="163"/>
  <c r="CO129" i="163"/>
  <c r="CW129" i="162"/>
  <c r="CL129" i="162"/>
  <c r="CW129" i="163"/>
  <c r="CY129" i="162"/>
  <c r="E130" i="162"/>
  <c r="J130" i="162"/>
  <c r="M130" i="162" s="1"/>
  <c r="AZ130" i="162"/>
  <c r="BA130" i="162" s="1"/>
  <c r="BB130" i="162" s="1"/>
  <c r="AD130" i="162"/>
  <c r="AG130" i="162" s="1"/>
  <c r="AB130" i="160"/>
  <c r="AC130" i="160" s="1"/>
  <c r="AG130" i="160" s="1"/>
  <c r="K130" i="160"/>
  <c r="L130" i="160" s="1"/>
  <c r="BW130" i="160"/>
  <c r="BU130" i="160" s="1"/>
  <c r="CI130" i="160" s="1"/>
  <c r="AP130" i="163"/>
  <c r="AS130" i="163" s="1"/>
  <c r="BE130" i="163"/>
  <c r="BY130" i="160"/>
  <c r="BS130" i="160" s="1"/>
  <c r="CG130" i="160" s="1"/>
  <c r="H130" i="160"/>
  <c r="I130" i="160" s="1"/>
  <c r="F130" i="160"/>
  <c r="G130" i="160" s="1"/>
  <c r="AQ130" i="160"/>
  <c r="AR130" i="160" s="1"/>
  <c r="AS130" i="160"/>
  <c r="AM129" i="159"/>
  <c r="AN130" i="160"/>
  <c r="AO130" i="160" s="1"/>
  <c r="AL130" i="160"/>
  <c r="BZ130" i="160"/>
  <c r="BP129" i="159"/>
  <c r="CD129" i="159" s="1"/>
  <c r="BR129" i="159"/>
  <c r="CF129" i="159" s="1"/>
  <c r="BQ129" i="159"/>
  <c r="CE129" i="159" s="1"/>
  <c r="BE130" i="162"/>
  <c r="AP130" i="162"/>
  <c r="AU130" i="162"/>
  <c r="AK130" i="162"/>
  <c r="BC130" i="163"/>
  <c r="BA130" i="163"/>
  <c r="BB130" i="163" s="1"/>
  <c r="BK130" i="160"/>
  <c r="BL130" i="160" s="1"/>
  <c r="AK130" i="163"/>
  <c r="BY130" i="162"/>
  <c r="H130" i="162"/>
  <c r="I130" i="162" s="1"/>
  <c r="F130" i="162"/>
  <c r="G130" i="162" s="1"/>
  <c r="L129" i="159"/>
  <c r="AD130" i="163"/>
  <c r="E130" i="163"/>
  <c r="Y130" i="163"/>
  <c r="T130" i="163"/>
  <c r="J130" i="163"/>
  <c r="O130" i="163"/>
  <c r="AV130" i="160"/>
  <c r="AW130" i="160" s="1"/>
  <c r="AX130" i="160"/>
  <c r="AY130" i="160" s="1"/>
  <c r="BC130" i="160" s="1"/>
  <c r="CA130" i="160"/>
  <c r="AU130" i="163"/>
  <c r="Y130" i="162"/>
  <c r="O130" i="162"/>
  <c r="BH130" i="163"/>
  <c r="BF130" i="163"/>
  <c r="BG130" i="163" s="1"/>
  <c r="BT129" i="159"/>
  <c r="CH129" i="159" s="1"/>
  <c r="BS129" i="159"/>
  <c r="CG129" i="159" s="1"/>
  <c r="BU129" i="159"/>
  <c r="CI129" i="159" s="1"/>
  <c r="BA130" i="160"/>
  <c r="BB130" i="160" s="1"/>
  <c r="CB130" i="160"/>
  <c r="BP130" i="160" s="1"/>
  <c r="CD130" i="160" s="1"/>
  <c r="BH130" i="160"/>
  <c r="BI130" i="160" s="1"/>
  <c r="BM130" i="160" s="1"/>
  <c r="BF130" i="160"/>
  <c r="BG130" i="160" s="1"/>
  <c r="BJ130" i="163"/>
  <c r="CB130" i="163" s="1"/>
  <c r="T130" i="162"/>
  <c r="BJ130" i="162"/>
  <c r="BS107" i="158"/>
  <c r="CG107" i="158" s="1"/>
  <c r="BT107" i="158"/>
  <c r="CH107" i="158" s="1"/>
  <c r="BU107" i="158"/>
  <c r="CI107" i="158" s="1"/>
  <c r="BP107" i="158"/>
  <c r="CD107" i="158" s="1"/>
  <c r="BQ107" i="158"/>
  <c r="CE107" i="158" s="1"/>
  <c r="BR107" i="158"/>
  <c r="CF107" i="158" s="1"/>
  <c r="CS129" i="159" l="1"/>
  <c r="CK129" i="159"/>
  <c r="CN129" i="159"/>
  <c r="CO129" i="159"/>
  <c r="CP129" i="159"/>
  <c r="CR129" i="159"/>
  <c r="CL129" i="159"/>
  <c r="CQ129" i="159"/>
  <c r="CM129" i="159"/>
  <c r="CU129" i="159"/>
  <c r="CV129" i="159"/>
  <c r="CW129" i="159"/>
  <c r="CT129" i="159"/>
  <c r="CX129" i="159"/>
  <c r="CY129" i="159"/>
  <c r="CZ129" i="159"/>
  <c r="CW107" i="158"/>
  <c r="CS107" i="158"/>
  <c r="CY107" i="158"/>
  <c r="CU107" i="158"/>
  <c r="CZ107" i="158"/>
  <c r="CV107" i="158"/>
  <c r="CR107" i="158"/>
  <c r="CX107" i="158"/>
  <c r="CT107" i="158"/>
  <c r="CP107" i="158"/>
  <c r="CO107" i="158"/>
  <c r="CK107" i="158"/>
  <c r="CN107" i="158"/>
  <c r="CQ107" i="158"/>
  <c r="CL107" i="158"/>
  <c r="CM107" i="158"/>
  <c r="K130" i="162"/>
  <c r="L130" i="162" s="1"/>
  <c r="AE130" i="162"/>
  <c r="AF130" i="162" s="1"/>
  <c r="AQ130" i="163"/>
  <c r="AR130" i="163" s="1"/>
  <c r="AD130" i="159"/>
  <c r="T130" i="159"/>
  <c r="W130" i="159" s="1"/>
  <c r="E130" i="159"/>
  <c r="F130" i="159" s="1"/>
  <c r="G130" i="159" s="1"/>
  <c r="AK108" i="158"/>
  <c r="AN108" i="158" s="1"/>
  <c r="AZ130" i="159"/>
  <c r="BC130" i="159" s="1"/>
  <c r="J130" i="159"/>
  <c r="M130" i="159" s="1"/>
  <c r="AE130" i="163"/>
  <c r="AF130" i="163" s="1"/>
  <c r="BJ130" i="159"/>
  <c r="AK130" i="159"/>
  <c r="BE130" i="159"/>
  <c r="AP130" i="159"/>
  <c r="R130" i="163"/>
  <c r="S130" i="163" s="1"/>
  <c r="BX130" i="163"/>
  <c r="P130" i="163"/>
  <c r="Q130" i="163" s="1"/>
  <c r="BX130" i="162"/>
  <c r="R130" i="162"/>
  <c r="S130" i="162" s="1"/>
  <c r="W130" i="162" s="1"/>
  <c r="P130" i="162"/>
  <c r="Q130" i="162" s="1"/>
  <c r="K130" i="163"/>
  <c r="L130" i="163" s="1"/>
  <c r="M130" i="163"/>
  <c r="AQ130" i="162"/>
  <c r="AR130" i="162" s="1"/>
  <c r="AS130" i="162"/>
  <c r="Y130" i="159"/>
  <c r="O130" i="159"/>
  <c r="BK130" i="162"/>
  <c r="BL130" i="162" s="1"/>
  <c r="U130" i="162"/>
  <c r="V130" i="162" s="1"/>
  <c r="AU130" i="159"/>
  <c r="BW130" i="162"/>
  <c r="BU130" i="162" s="1"/>
  <c r="CI130" i="162" s="1"/>
  <c r="AB130" i="162"/>
  <c r="Z130" i="162"/>
  <c r="AA130" i="162" s="1"/>
  <c r="W130" i="163"/>
  <c r="U130" i="163"/>
  <c r="V130" i="163" s="1"/>
  <c r="BH130" i="162"/>
  <c r="BI130" i="162" s="1"/>
  <c r="BM130" i="162" s="1"/>
  <c r="BF130" i="162"/>
  <c r="BG130" i="162" s="1"/>
  <c r="CB130" i="162"/>
  <c r="BP130" i="162" s="1"/>
  <c r="CD130" i="162" s="1"/>
  <c r="BR130" i="160"/>
  <c r="CF130" i="160" s="1"/>
  <c r="BQ130" i="160"/>
  <c r="CE130" i="160" s="1"/>
  <c r="AC130" i="162"/>
  <c r="BZ130" i="162"/>
  <c r="AN130" i="162"/>
  <c r="AO130" i="162" s="1"/>
  <c r="AL130" i="162"/>
  <c r="AE130" i="159"/>
  <c r="AF130" i="159" s="1"/>
  <c r="AG130" i="159"/>
  <c r="BT130" i="160"/>
  <c r="CH130" i="160" s="1"/>
  <c r="AX130" i="163"/>
  <c r="AY130" i="163" s="1"/>
  <c r="AV130" i="163"/>
  <c r="AW130" i="163" s="1"/>
  <c r="CA130" i="163"/>
  <c r="BW130" i="163"/>
  <c r="AB130" i="163"/>
  <c r="AC130" i="163" s="1"/>
  <c r="AG130" i="163" s="1"/>
  <c r="Z130" i="163"/>
  <c r="AA130" i="163" s="1"/>
  <c r="BS130" i="162"/>
  <c r="CG130" i="162" s="1"/>
  <c r="BT130" i="162"/>
  <c r="CH130" i="162" s="1"/>
  <c r="AM130" i="160"/>
  <c r="CA130" i="162"/>
  <c r="AX130" i="162"/>
  <c r="AY130" i="162" s="1"/>
  <c r="BC130" i="162" s="1"/>
  <c r="AV130" i="162"/>
  <c r="AW130" i="162" s="1"/>
  <c r="BK130" i="163"/>
  <c r="BL130" i="163" s="1"/>
  <c r="BI130" i="163"/>
  <c r="BM130" i="163"/>
  <c r="BY130" i="163"/>
  <c r="F130" i="163"/>
  <c r="H130" i="163"/>
  <c r="I130" i="163" s="1"/>
  <c r="AL130" i="163"/>
  <c r="AM130" i="163" s="1"/>
  <c r="AN130" i="163"/>
  <c r="AO130" i="163" s="1"/>
  <c r="BZ130" i="163"/>
  <c r="AZ108" i="158"/>
  <c r="BA108" i="158" s="1"/>
  <c r="BB108" i="158" s="1"/>
  <c r="BJ108" i="158"/>
  <c r="BK108" i="158" s="1"/>
  <c r="BL108" i="158" s="1"/>
  <c r="AP108" i="158"/>
  <c r="AQ108" i="158" s="1"/>
  <c r="AR108" i="158" s="1"/>
  <c r="BE108" i="158"/>
  <c r="AU108" i="158"/>
  <c r="AD108" i="158"/>
  <c r="AE108" i="158" s="1"/>
  <c r="AF108" i="158" s="1"/>
  <c r="E108" i="158"/>
  <c r="CO130" i="160" l="1"/>
  <c r="CX130" i="160"/>
  <c r="CN130" i="160"/>
  <c r="CW130" i="160"/>
  <c r="CL130" i="160"/>
  <c r="CY130" i="160"/>
  <c r="CP130" i="160"/>
  <c r="CT130" i="160"/>
  <c r="CR130" i="160"/>
  <c r="CS130" i="160"/>
  <c r="CU130" i="160"/>
  <c r="CZ130" i="160"/>
  <c r="CV130" i="160"/>
  <c r="CK130" i="160"/>
  <c r="CQ130" i="160"/>
  <c r="CM130" i="160"/>
  <c r="AL108" i="158"/>
  <c r="AM108" i="158" s="1"/>
  <c r="U130" i="159"/>
  <c r="V130" i="159" s="1"/>
  <c r="H130" i="159"/>
  <c r="I130" i="159" s="1"/>
  <c r="BA130" i="159"/>
  <c r="BB130" i="159" s="1"/>
  <c r="Y131" i="160"/>
  <c r="AB131" i="160" s="1"/>
  <c r="AP131" i="160"/>
  <c r="AQ131" i="160" s="1"/>
  <c r="AR131" i="160" s="1"/>
  <c r="BY130" i="159"/>
  <c r="K130" i="159"/>
  <c r="L130" i="159" s="1"/>
  <c r="E131" i="160"/>
  <c r="H131" i="160" s="1"/>
  <c r="AU131" i="160"/>
  <c r="AV131" i="160" s="1"/>
  <c r="AW131" i="160" s="1"/>
  <c r="AO108" i="158"/>
  <c r="AS108" i="158" s="1"/>
  <c r="J131" i="160"/>
  <c r="M131" i="160" s="1"/>
  <c r="T131" i="160"/>
  <c r="U131" i="160" s="1"/>
  <c r="V131" i="160" s="1"/>
  <c r="AK131" i="160"/>
  <c r="AN131" i="160" s="1"/>
  <c r="AO131" i="160" s="1"/>
  <c r="BW130" i="159"/>
  <c r="AB130" i="159"/>
  <c r="AC130" i="159" s="1"/>
  <c r="Z130" i="159"/>
  <c r="AA130" i="159" s="1"/>
  <c r="BR130" i="163"/>
  <c r="CF130" i="163" s="1"/>
  <c r="BP130" i="163"/>
  <c r="CD130" i="163" s="1"/>
  <c r="BQ130" i="163"/>
  <c r="CE130" i="163" s="1"/>
  <c r="BJ131" i="160"/>
  <c r="AL130" i="159"/>
  <c r="BZ130" i="159"/>
  <c r="AN130" i="159"/>
  <c r="AO130" i="159" s="1"/>
  <c r="G130" i="163"/>
  <c r="BU130" i="163"/>
  <c r="CI130" i="163" s="1"/>
  <c r="BS130" i="163"/>
  <c r="CG130" i="163" s="1"/>
  <c r="BT130" i="163"/>
  <c r="CH130" i="163" s="1"/>
  <c r="BK130" i="159"/>
  <c r="BL130" i="159" s="1"/>
  <c r="AX130" i="159"/>
  <c r="AY130" i="159" s="1"/>
  <c r="CA130" i="159"/>
  <c r="AV130" i="159"/>
  <c r="AW130" i="159" s="1"/>
  <c r="CA108" i="158"/>
  <c r="AM130" i="162"/>
  <c r="AD131" i="162" s="1"/>
  <c r="AZ131" i="160"/>
  <c r="AD131" i="160"/>
  <c r="BE131" i="160"/>
  <c r="AS130" i="159"/>
  <c r="AQ130" i="159"/>
  <c r="AR130" i="159" s="1"/>
  <c r="BH130" i="159"/>
  <c r="BI130" i="159" s="1"/>
  <c r="BM130" i="159" s="1"/>
  <c r="CB130" i="159"/>
  <c r="BF130" i="159"/>
  <c r="BG130" i="159" s="1"/>
  <c r="O131" i="160"/>
  <c r="BQ130" i="162"/>
  <c r="CE130" i="162" s="1"/>
  <c r="BR130" i="162"/>
  <c r="CF130" i="162" s="1"/>
  <c r="R130" i="159"/>
  <c r="S130" i="159" s="1"/>
  <c r="P130" i="159"/>
  <c r="Q130" i="159" s="1"/>
  <c r="BX130" i="159"/>
  <c r="CB108" i="158"/>
  <c r="BZ108" i="158"/>
  <c r="AV108" i="158"/>
  <c r="AW108" i="158" s="1"/>
  <c r="BF108" i="158"/>
  <c r="BG108" i="158" s="1"/>
  <c r="BH108" i="158"/>
  <c r="BI108" i="158" s="1"/>
  <c r="BM108" i="158" s="1"/>
  <c r="AX108" i="158"/>
  <c r="AY108" i="158" s="1"/>
  <c r="BC108" i="158" s="1"/>
  <c r="J108" i="158"/>
  <c r="BY108" i="158" s="1"/>
  <c r="F108" i="158"/>
  <c r="H108" i="158"/>
  <c r="O108" i="158"/>
  <c r="T108" i="158"/>
  <c r="U108" i="158" s="1"/>
  <c r="V108" i="158" s="1"/>
  <c r="Y108" i="158"/>
  <c r="CK130" i="162" l="1"/>
  <c r="CR130" i="162"/>
  <c r="CL130" i="162"/>
  <c r="CZ130" i="162"/>
  <c r="CO130" i="162"/>
  <c r="CX130" i="162"/>
  <c r="CV130" i="162"/>
  <c r="CW130" i="162"/>
  <c r="CN130" i="162"/>
  <c r="CY130" i="162"/>
  <c r="CQ130" i="162"/>
  <c r="CP130" i="163"/>
  <c r="CM130" i="163"/>
  <c r="CR130" i="163"/>
  <c r="CO130" i="163"/>
  <c r="CN130" i="163"/>
  <c r="CK130" i="163"/>
  <c r="CL130" i="163"/>
  <c r="CV130" i="163"/>
  <c r="CQ130" i="163"/>
  <c r="CU130" i="163"/>
  <c r="CT130" i="163"/>
  <c r="CZ130" i="163"/>
  <c r="CS130" i="163"/>
  <c r="CY130" i="163"/>
  <c r="CX130" i="163"/>
  <c r="CW130" i="163"/>
  <c r="CU130" i="162"/>
  <c r="CP130" i="162"/>
  <c r="CS130" i="162"/>
  <c r="CM130" i="162"/>
  <c r="CT130" i="162"/>
  <c r="BT130" i="159"/>
  <c r="CH130" i="159" s="1"/>
  <c r="AS131" i="160"/>
  <c r="Z131" i="160"/>
  <c r="AA131" i="160" s="1"/>
  <c r="CA131" i="160"/>
  <c r="F131" i="160"/>
  <c r="G131" i="160" s="1"/>
  <c r="K131" i="160"/>
  <c r="L131" i="160" s="1"/>
  <c r="BY131" i="160"/>
  <c r="I131" i="160"/>
  <c r="J131" i="162"/>
  <c r="M131" i="162" s="1"/>
  <c r="AX131" i="160"/>
  <c r="AY131" i="160" s="1"/>
  <c r="BC131" i="160" s="1"/>
  <c r="E131" i="162"/>
  <c r="BE131" i="163"/>
  <c r="BH131" i="163" s="1"/>
  <c r="E131" i="163"/>
  <c r="F131" i="163" s="1"/>
  <c r="G131" i="163" s="1"/>
  <c r="AU131" i="163"/>
  <c r="AX131" i="163" s="1"/>
  <c r="AP131" i="163"/>
  <c r="AQ131" i="163" s="1"/>
  <c r="AR131" i="163" s="1"/>
  <c r="BZ131" i="160"/>
  <c r="AZ131" i="163"/>
  <c r="BC131" i="163" s="1"/>
  <c r="O131" i="163"/>
  <c r="R131" i="163" s="1"/>
  <c r="AL131" i="160"/>
  <c r="AM131" i="160" s="1"/>
  <c r="Y131" i="163"/>
  <c r="AB131" i="163" s="1"/>
  <c r="BR108" i="158"/>
  <c r="CF108" i="158" s="1"/>
  <c r="BJ131" i="163"/>
  <c r="BM131" i="163" s="1"/>
  <c r="BQ108" i="158"/>
  <c r="CE108" i="158" s="1"/>
  <c r="AM130" i="159"/>
  <c r="BP130" i="159"/>
  <c r="CD130" i="159" s="1"/>
  <c r="BQ130" i="159"/>
  <c r="CE130" i="159" s="1"/>
  <c r="BR130" i="159"/>
  <c r="CF130" i="159" s="1"/>
  <c r="BP108" i="158"/>
  <c r="CD108" i="158" s="1"/>
  <c r="AG131" i="162"/>
  <c r="AE131" i="162"/>
  <c r="AF131" i="162" s="1"/>
  <c r="BK131" i="160"/>
  <c r="BL131" i="160" s="1"/>
  <c r="AZ131" i="162"/>
  <c r="AU131" i="162"/>
  <c r="BJ131" i="162"/>
  <c r="BE131" i="162"/>
  <c r="AK131" i="162"/>
  <c r="AP131" i="162"/>
  <c r="BX131" i="160"/>
  <c r="P131" i="160"/>
  <c r="Q131" i="160" s="1"/>
  <c r="R131" i="160"/>
  <c r="S131" i="160" s="1"/>
  <c r="W131" i="160" s="1"/>
  <c r="AC131" i="160"/>
  <c r="AG131" i="160" s="1"/>
  <c r="O131" i="162"/>
  <c r="T131" i="162"/>
  <c r="Y131" i="162"/>
  <c r="BF131" i="163"/>
  <c r="BG131" i="163" s="1"/>
  <c r="T131" i="163"/>
  <c r="AD131" i="163"/>
  <c r="BS130" i="159"/>
  <c r="CG130" i="159" s="1"/>
  <c r="AE131" i="160"/>
  <c r="AF131" i="160" s="1"/>
  <c r="BW131" i="160"/>
  <c r="J131" i="163"/>
  <c r="BU130" i="159"/>
  <c r="CI130" i="159" s="1"/>
  <c r="AK131" i="163"/>
  <c r="BF131" i="160"/>
  <c r="BG131" i="160" s="1"/>
  <c r="CB131" i="160"/>
  <c r="BP131" i="160" s="1"/>
  <c r="CD131" i="160" s="1"/>
  <c r="BH131" i="160"/>
  <c r="BI131" i="160" s="1"/>
  <c r="BM131" i="160" s="1"/>
  <c r="BA131" i="160"/>
  <c r="BB131" i="160" s="1"/>
  <c r="Z108" i="158"/>
  <c r="AA108" i="158" s="1"/>
  <c r="BW108" i="158"/>
  <c r="AB108" i="158"/>
  <c r="AC108" i="158" s="1"/>
  <c r="AG108" i="158" s="1"/>
  <c r="R108" i="158"/>
  <c r="S108" i="158" s="1"/>
  <c r="W108" i="158" s="1"/>
  <c r="P108" i="158"/>
  <c r="Q108" i="158" s="1"/>
  <c r="BX108" i="158"/>
  <c r="BU108" i="158" s="1"/>
  <c r="CI108" i="158" s="1"/>
  <c r="G108" i="158"/>
  <c r="K108" i="158"/>
  <c r="L108" i="158" s="1"/>
  <c r="I108" i="158"/>
  <c r="M108" i="158" s="1"/>
  <c r="BQ131" i="160" l="1"/>
  <c r="CE131" i="160" s="1"/>
  <c r="CS130" i="159"/>
  <c r="CN130" i="159"/>
  <c r="CQ130" i="159"/>
  <c r="CM130" i="159"/>
  <c r="CL130" i="159"/>
  <c r="CR130" i="159"/>
  <c r="CP130" i="159"/>
  <c r="CK130" i="159"/>
  <c r="CO130" i="159"/>
  <c r="CV130" i="159"/>
  <c r="CW130" i="159"/>
  <c r="CU130" i="159"/>
  <c r="CT130" i="159"/>
  <c r="CY130" i="159"/>
  <c r="CX130" i="159"/>
  <c r="CZ130" i="159"/>
  <c r="AY131" i="163"/>
  <c r="BY131" i="162"/>
  <c r="BT131" i="160"/>
  <c r="CH131" i="160" s="1"/>
  <c r="BR131" i="160"/>
  <c r="CF131" i="160" s="1"/>
  <c r="AV131" i="163"/>
  <c r="AW131" i="163" s="1"/>
  <c r="BA131" i="163"/>
  <c r="BB131" i="163" s="1"/>
  <c r="BS131" i="160"/>
  <c r="CG131" i="160" s="1"/>
  <c r="F131" i="162"/>
  <c r="G131" i="162" s="1"/>
  <c r="H131" i="162"/>
  <c r="I131" i="162" s="1"/>
  <c r="BX131" i="163"/>
  <c r="P131" i="163"/>
  <c r="Q131" i="163" s="1"/>
  <c r="CA131" i="163"/>
  <c r="AS131" i="163"/>
  <c r="K131" i="162"/>
  <c r="L131" i="162" s="1"/>
  <c r="BI131" i="163"/>
  <c r="BU131" i="160"/>
  <c r="H131" i="163"/>
  <c r="I131" i="163" s="1"/>
  <c r="CB131" i="163"/>
  <c r="Z131" i="163"/>
  <c r="AA131" i="163" s="1"/>
  <c r="BK131" i="163"/>
  <c r="BL131" i="163" s="1"/>
  <c r="T131" i="159"/>
  <c r="W131" i="159" s="1"/>
  <c r="AE131" i="163"/>
  <c r="AF131" i="163" s="1"/>
  <c r="J131" i="159"/>
  <c r="O131" i="159"/>
  <c r="BA131" i="162"/>
  <c r="BB131" i="162" s="1"/>
  <c r="AB131" i="162"/>
  <c r="AC131" i="162" s="1"/>
  <c r="Z131" i="162"/>
  <c r="AA131" i="162" s="1"/>
  <c r="BW131" i="162"/>
  <c r="BU131" i="162" s="1"/>
  <c r="CI131" i="162" s="1"/>
  <c r="AK131" i="159"/>
  <c r="AP131" i="159"/>
  <c r="AZ131" i="159"/>
  <c r="BE131" i="159"/>
  <c r="BJ131" i="159"/>
  <c r="AU131" i="159"/>
  <c r="AC131" i="163"/>
  <c r="AG131" i="163" s="1"/>
  <c r="S131" i="163"/>
  <c r="W131" i="162"/>
  <c r="U131" i="162"/>
  <c r="V131" i="162" s="1"/>
  <c r="AQ131" i="162"/>
  <c r="AR131" i="162" s="1"/>
  <c r="AS131" i="162"/>
  <c r="BW131" i="163"/>
  <c r="K131" i="163"/>
  <c r="M131" i="163"/>
  <c r="P131" i="162"/>
  <c r="Q131" i="162" s="1"/>
  <c r="R131" i="162"/>
  <c r="S131" i="162" s="1"/>
  <c r="BX131" i="162"/>
  <c r="BS131" i="162" s="1"/>
  <c r="CG131" i="162" s="1"/>
  <c r="AL131" i="162"/>
  <c r="BZ131" i="162"/>
  <c r="AN131" i="162"/>
  <c r="AO131" i="162" s="1"/>
  <c r="U131" i="163"/>
  <c r="V131" i="163" s="1"/>
  <c r="W131" i="163"/>
  <c r="BZ131" i="163"/>
  <c r="AL131" i="163"/>
  <c r="AN131" i="163"/>
  <c r="AO131" i="163" s="1"/>
  <c r="Y131" i="159"/>
  <c r="BF131" i="162"/>
  <c r="BG131" i="162" s="1"/>
  <c r="BH131" i="162"/>
  <c r="BI131" i="162" s="1"/>
  <c r="BM131" i="162" s="1"/>
  <c r="CB131" i="162"/>
  <c r="BP131" i="162" s="1"/>
  <c r="CD131" i="162" s="1"/>
  <c r="AD131" i="159"/>
  <c r="CA131" i="162"/>
  <c r="AV131" i="162"/>
  <c r="AW131" i="162" s="1"/>
  <c r="AX131" i="162"/>
  <c r="AY131" i="162" s="1"/>
  <c r="BC131" i="162" s="1"/>
  <c r="BK131" i="162"/>
  <c r="BL131" i="162" s="1"/>
  <c r="E131" i="159"/>
  <c r="BY131" i="163"/>
  <c r="BT108" i="158"/>
  <c r="CH108" i="158" s="1"/>
  <c r="BS108" i="158"/>
  <c r="CG108" i="158" s="1"/>
  <c r="AP109" i="158"/>
  <c r="AQ109" i="158" s="1"/>
  <c r="AR109" i="158" s="1"/>
  <c r="BJ109" i="158"/>
  <c r="BK109" i="158" s="1"/>
  <c r="BL109" i="158" s="1"/>
  <c r="AZ109" i="158"/>
  <c r="BA109" i="158" s="1"/>
  <c r="BB109" i="158" s="1"/>
  <c r="AU109" i="158"/>
  <c r="AK109" i="158"/>
  <c r="BE109" i="158"/>
  <c r="CP108" i="158" l="1"/>
  <c r="AK132" i="160"/>
  <c r="AP132" i="160"/>
  <c r="AU132" i="160"/>
  <c r="CM108" i="158"/>
  <c r="CU108" i="158"/>
  <c r="CK108" i="158"/>
  <c r="CY108" i="158"/>
  <c r="CT108" i="158"/>
  <c r="CW108" i="158"/>
  <c r="CN108" i="158"/>
  <c r="CS108" i="158"/>
  <c r="CR108" i="158"/>
  <c r="CV108" i="158"/>
  <c r="CQ108" i="158"/>
  <c r="CZ108" i="158"/>
  <c r="BJ132" i="160"/>
  <c r="CL108" i="158"/>
  <c r="CX108" i="158"/>
  <c r="BE132" i="160"/>
  <c r="BH132" i="160" s="1"/>
  <c r="Y132" i="160"/>
  <c r="Z132" i="160" s="1"/>
  <c r="AA132" i="160" s="1"/>
  <c r="CI131" i="160"/>
  <c r="CU131" i="160" s="1"/>
  <c r="AZ132" i="160"/>
  <c r="BA132" i="160" s="1"/>
  <c r="BB132" i="160" s="1"/>
  <c r="CO108" i="158"/>
  <c r="AD132" i="160"/>
  <c r="J132" i="160"/>
  <c r="E132" i="160"/>
  <c r="H132" i="160" s="1"/>
  <c r="O132" i="160"/>
  <c r="R132" i="160" s="1"/>
  <c r="T132" i="160"/>
  <c r="U132" i="160" s="1"/>
  <c r="V132" i="160" s="1"/>
  <c r="U131" i="159"/>
  <c r="V131" i="159" s="1"/>
  <c r="AL132" i="160"/>
  <c r="BZ132" i="160"/>
  <c r="AN132" i="160"/>
  <c r="AO132" i="160" s="1"/>
  <c r="AB132" i="160"/>
  <c r="AM131" i="162"/>
  <c r="AS131" i="159"/>
  <c r="AQ131" i="159"/>
  <c r="AR131" i="159" s="1"/>
  <c r="BT131" i="162"/>
  <c r="CH131" i="162" s="1"/>
  <c r="AX132" i="160"/>
  <c r="AV132" i="160"/>
  <c r="AW132" i="160" s="1"/>
  <c r="BW131" i="159"/>
  <c r="Z131" i="159"/>
  <c r="AA131" i="159" s="1"/>
  <c r="AB131" i="159"/>
  <c r="AC131" i="159" s="1"/>
  <c r="BQ131" i="162"/>
  <c r="CE131" i="162" s="1"/>
  <c r="BR131" i="162"/>
  <c r="CF131" i="162" s="1"/>
  <c r="AQ132" i="160"/>
  <c r="AR132" i="160" s="1"/>
  <c r="AS132" i="160"/>
  <c r="BZ131" i="159"/>
  <c r="AL131" i="159"/>
  <c r="AN131" i="159"/>
  <c r="AO131" i="159" s="1"/>
  <c r="L131" i="163"/>
  <c r="AG131" i="159"/>
  <c r="AE131" i="159"/>
  <c r="AF131" i="159" s="1"/>
  <c r="AM131" i="163"/>
  <c r="BX131" i="159"/>
  <c r="P131" i="159"/>
  <c r="Q131" i="159" s="1"/>
  <c r="R131" i="159"/>
  <c r="S131" i="159" s="1"/>
  <c r="BH131" i="159"/>
  <c r="BI131" i="159" s="1"/>
  <c r="BM131" i="159" s="1"/>
  <c r="BF131" i="159"/>
  <c r="BG131" i="159" s="1"/>
  <c r="CB131" i="159"/>
  <c r="BC131" i="159"/>
  <c r="BA131" i="159"/>
  <c r="BB131" i="159" s="1"/>
  <c r="BR131" i="163"/>
  <c r="CF131" i="163" s="1"/>
  <c r="BP131" i="163"/>
  <c r="CD131" i="163" s="1"/>
  <c r="BK132" i="160"/>
  <c r="BL132" i="160" s="1"/>
  <c r="BU131" i="163"/>
  <c r="CI131" i="163" s="1"/>
  <c r="BS131" i="163"/>
  <c r="CG131" i="163" s="1"/>
  <c r="BT131" i="163"/>
  <c r="CH131" i="163" s="1"/>
  <c r="AV131" i="159"/>
  <c r="AW131" i="159" s="1"/>
  <c r="AX131" i="159"/>
  <c r="AY131" i="159" s="1"/>
  <c r="CA131" i="159"/>
  <c r="M132" i="160"/>
  <c r="K132" i="160"/>
  <c r="L132" i="160" s="1"/>
  <c r="BY131" i="159"/>
  <c r="M131" i="159"/>
  <c r="K131" i="159"/>
  <c r="L131" i="159" s="1"/>
  <c r="H131" i="159"/>
  <c r="I131" i="159" s="1"/>
  <c r="F131" i="159"/>
  <c r="G131" i="159" s="1"/>
  <c r="BK131" i="159"/>
  <c r="BL131" i="159" s="1"/>
  <c r="BQ131" i="163"/>
  <c r="CE131" i="163" s="1"/>
  <c r="O109" i="158"/>
  <c r="R109" i="158" s="1"/>
  <c r="AD109" i="158"/>
  <c r="AE109" i="158" s="1"/>
  <c r="AF109" i="158" s="1"/>
  <c r="Y109" i="158"/>
  <c r="T109" i="158"/>
  <c r="U109" i="158" s="1"/>
  <c r="V109" i="158" s="1"/>
  <c r="E109" i="158"/>
  <c r="J109" i="158"/>
  <c r="K109" i="158" s="1"/>
  <c r="L109" i="158" s="1"/>
  <c r="CB109" i="158"/>
  <c r="BH109" i="158"/>
  <c r="BI109" i="158" s="1"/>
  <c r="BM109" i="158" s="1"/>
  <c r="BF109" i="158"/>
  <c r="BG109" i="158" s="1"/>
  <c r="BZ109" i="158"/>
  <c r="AL109" i="158"/>
  <c r="AM109" i="158" s="1"/>
  <c r="AN109" i="158"/>
  <c r="AO109" i="158" s="1"/>
  <c r="AS109" i="158" s="1"/>
  <c r="CA109" i="158"/>
  <c r="AX109" i="158"/>
  <c r="AY109" i="158" s="1"/>
  <c r="BC109" i="158" s="1"/>
  <c r="AV109" i="158"/>
  <c r="AW109" i="158" s="1"/>
  <c r="BI132" i="160" l="1"/>
  <c r="BM132" i="160" s="1"/>
  <c r="I132" i="160"/>
  <c r="AY132" i="160"/>
  <c r="BC132" i="160" s="1"/>
  <c r="CA132" i="160"/>
  <c r="BW132" i="160"/>
  <c r="CR131" i="160"/>
  <c r="F132" i="160"/>
  <c r="G132" i="160" s="1"/>
  <c r="BF132" i="160"/>
  <c r="BG132" i="160" s="1"/>
  <c r="CB132" i="160"/>
  <c r="BP132" i="160" s="1"/>
  <c r="CD132" i="160" s="1"/>
  <c r="CN131" i="162"/>
  <c r="CL131" i="160"/>
  <c r="AE132" i="160"/>
  <c r="AF132" i="160" s="1"/>
  <c r="AC132" i="160"/>
  <c r="AG132" i="160" s="1"/>
  <c r="CT131" i="160"/>
  <c r="CY131" i="160"/>
  <c r="CW131" i="162"/>
  <c r="CR131" i="162"/>
  <c r="CX131" i="160"/>
  <c r="CY131" i="162"/>
  <c r="CK131" i="162"/>
  <c r="CS131" i="162"/>
  <c r="CM131" i="162"/>
  <c r="CO131" i="160"/>
  <c r="CN131" i="160"/>
  <c r="CK131" i="160"/>
  <c r="CU131" i="162"/>
  <c r="CV131" i="162"/>
  <c r="CV131" i="160"/>
  <c r="CZ131" i="160"/>
  <c r="CS131" i="160"/>
  <c r="CT131" i="162"/>
  <c r="CQ131" i="162"/>
  <c r="CW131" i="160"/>
  <c r="CM131" i="163"/>
  <c r="CR131" i="163"/>
  <c r="CN131" i="163"/>
  <c r="CO131" i="163"/>
  <c r="CQ131" i="163"/>
  <c r="CP131" i="163"/>
  <c r="CK131" i="163"/>
  <c r="CL131" i="163"/>
  <c r="CV131" i="163"/>
  <c r="CT131" i="163"/>
  <c r="CZ131" i="163"/>
  <c r="CU131" i="163"/>
  <c r="CS131" i="163"/>
  <c r="CX131" i="163"/>
  <c r="CY131" i="163"/>
  <c r="CW131" i="163"/>
  <c r="CL131" i="162"/>
  <c r="CZ131" i="162"/>
  <c r="CO131" i="162"/>
  <c r="CP131" i="162"/>
  <c r="S132" i="160"/>
  <c r="W132" i="160" s="1"/>
  <c r="CQ131" i="160"/>
  <c r="CP131" i="160"/>
  <c r="CX131" i="162"/>
  <c r="CM131" i="160"/>
  <c r="BY132" i="160"/>
  <c r="P132" i="160"/>
  <c r="Q132" i="160" s="1"/>
  <c r="BX132" i="160"/>
  <c r="AD132" i="162"/>
  <c r="AE132" i="162" s="1"/>
  <c r="AF132" i="162" s="1"/>
  <c r="E132" i="162"/>
  <c r="F132" i="162" s="1"/>
  <c r="G132" i="162" s="1"/>
  <c r="AU132" i="163"/>
  <c r="AX132" i="163" s="1"/>
  <c r="T132" i="162"/>
  <c r="U132" i="162" s="1"/>
  <c r="V132" i="162" s="1"/>
  <c r="J132" i="162"/>
  <c r="K132" i="162" s="1"/>
  <c r="L132" i="162" s="1"/>
  <c r="AD132" i="163"/>
  <c r="AE132" i="163" s="1"/>
  <c r="AF132" i="163" s="1"/>
  <c r="J132" i="163"/>
  <c r="T132" i="163"/>
  <c r="AZ132" i="163"/>
  <c r="AK132" i="162"/>
  <c r="BJ132" i="162"/>
  <c r="AZ132" i="162"/>
  <c r="AU132" i="162"/>
  <c r="BE132" i="162"/>
  <c r="AP132" i="162"/>
  <c r="BR132" i="160"/>
  <c r="CF132" i="160" s="1"/>
  <c r="BQ132" i="160"/>
  <c r="CE132" i="160" s="1"/>
  <c r="O132" i="163"/>
  <c r="AP132" i="163"/>
  <c r="Y132" i="162"/>
  <c r="O132" i="162"/>
  <c r="AM132" i="160"/>
  <c r="Y132" i="163"/>
  <c r="BJ132" i="163"/>
  <c r="AK132" i="163"/>
  <c r="BP131" i="159"/>
  <c r="CD131" i="159" s="1"/>
  <c r="BR131" i="159"/>
  <c r="CF131" i="159" s="1"/>
  <c r="BQ131" i="159"/>
  <c r="CE131" i="159" s="1"/>
  <c r="BT131" i="159"/>
  <c r="CH131" i="159" s="1"/>
  <c r="BS131" i="159"/>
  <c r="CG131" i="159" s="1"/>
  <c r="BU131" i="159"/>
  <c r="CI131" i="159" s="1"/>
  <c r="BS132" i="160"/>
  <c r="CG132" i="160" s="1"/>
  <c r="E132" i="163"/>
  <c r="BE132" i="163"/>
  <c r="AM131" i="159"/>
  <c r="BU132" i="160"/>
  <c r="CI132" i="160" s="1"/>
  <c r="BW109" i="158"/>
  <c r="BR109" i="158"/>
  <c r="CF109" i="158" s="1"/>
  <c r="BP109" i="158"/>
  <c r="CD109" i="158" s="1"/>
  <c r="BQ109" i="158"/>
  <c r="CE109" i="158" s="1"/>
  <c r="AB109" i="158"/>
  <c r="AC109" i="158" s="1"/>
  <c r="AG109" i="158" s="1"/>
  <c r="Z109" i="158"/>
  <c r="AA109" i="158" s="1"/>
  <c r="P109" i="158"/>
  <c r="Q109" i="158" s="1"/>
  <c r="BY109" i="158"/>
  <c r="S109" i="158"/>
  <c r="W109" i="158" s="1"/>
  <c r="BX109" i="158"/>
  <c r="H109" i="158"/>
  <c r="I109" i="158" s="1"/>
  <c r="M109" i="158" s="1"/>
  <c r="F109" i="158"/>
  <c r="G109" i="158" s="1"/>
  <c r="CL131" i="159" l="1"/>
  <c r="CQ131" i="159"/>
  <c r="CO131" i="159"/>
  <c r="CK131" i="159"/>
  <c r="CM131" i="159"/>
  <c r="CS131" i="159"/>
  <c r="CN131" i="159"/>
  <c r="CP131" i="159"/>
  <c r="CR131" i="159"/>
  <c r="CV131" i="159"/>
  <c r="CW131" i="159"/>
  <c r="CT131" i="159"/>
  <c r="CU131" i="159"/>
  <c r="CY131" i="159"/>
  <c r="CZ131" i="159"/>
  <c r="CX131" i="159"/>
  <c r="H132" i="162"/>
  <c r="I132" i="162" s="1"/>
  <c r="AZ132" i="159"/>
  <c r="BC132" i="159" s="1"/>
  <c r="BT132" i="160"/>
  <c r="BY132" i="162"/>
  <c r="AV132" i="163"/>
  <c r="AW132" i="163" s="1"/>
  <c r="CA132" i="163"/>
  <c r="AG132" i="162"/>
  <c r="M132" i="162"/>
  <c r="BE132" i="159"/>
  <c r="BF132" i="159" s="1"/>
  <c r="BG132" i="159" s="1"/>
  <c r="AG132" i="163"/>
  <c r="T132" i="159"/>
  <c r="W132" i="159" s="1"/>
  <c r="AU132" i="159"/>
  <c r="E133" i="160"/>
  <c r="J133" i="160"/>
  <c r="T133" i="160"/>
  <c r="BA132" i="162"/>
  <c r="BB132" i="162" s="1"/>
  <c r="U132" i="163"/>
  <c r="V132" i="163" s="1"/>
  <c r="W132" i="163"/>
  <c r="BH132" i="162"/>
  <c r="BI132" i="162" s="1"/>
  <c r="BM132" i="162" s="1"/>
  <c r="CB132" i="162"/>
  <c r="BP132" i="162" s="1"/>
  <c r="CD132" i="162" s="1"/>
  <c r="BF132" i="162"/>
  <c r="BG132" i="162" s="1"/>
  <c r="BZ132" i="163"/>
  <c r="AN132" i="163"/>
  <c r="AO132" i="163" s="1"/>
  <c r="AL132" i="163"/>
  <c r="AM132" i="163" s="1"/>
  <c r="BX132" i="162"/>
  <c r="R132" i="162"/>
  <c r="S132" i="162" s="1"/>
  <c r="W132" i="162" s="1"/>
  <c r="P132" i="162"/>
  <c r="Q132" i="162" s="1"/>
  <c r="BK132" i="162"/>
  <c r="BL132" i="162" s="1"/>
  <c r="H132" i="163"/>
  <c r="I132" i="163" s="1"/>
  <c r="F132" i="163"/>
  <c r="BY132" i="163"/>
  <c r="Y133" i="160"/>
  <c r="BW132" i="162"/>
  <c r="BU132" i="162" s="1"/>
  <c r="CI132" i="162" s="1"/>
  <c r="Z132" i="162"/>
  <c r="AA132" i="162" s="1"/>
  <c r="AB132" i="162"/>
  <c r="AC132" i="162" s="1"/>
  <c r="BZ132" i="162"/>
  <c r="AL132" i="162"/>
  <c r="AN132" i="162"/>
  <c r="AO132" i="162" s="1"/>
  <c r="BJ133" i="160"/>
  <c r="AP133" i="160"/>
  <c r="BE133" i="160"/>
  <c r="AP132" i="159"/>
  <c r="CB132" i="163"/>
  <c r="BK132" i="163"/>
  <c r="BL132" i="163" s="1"/>
  <c r="BM132" i="163"/>
  <c r="AK132" i="159"/>
  <c r="AY132" i="163"/>
  <c r="BC132" i="163"/>
  <c r="BA132" i="163"/>
  <c r="BB132" i="163" s="1"/>
  <c r="AV132" i="162"/>
  <c r="AW132" i="162" s="1"/>
  <c r="AX132" i="162"/>
  <c r="AY132" i="162" s="1"/>
  <c r="BC132" i="162" s="1"/>
  <c r="CA132" i="162"/>
  <c r="AB132" i="163"/>
  <c r="AC132" i="163" s="1"/>
  <c r="Z132" i="163"/>
  <c r="AA132" i="163" s="1"/>
  <c r="BW132" i="163"/>
  <c r="AQ132" i="163"/>
  <c r="AR132" i="163" s="1"/>
  <c r="AS132" i="163"/>
  <c r="AU133" i="160"/>
  <c r="BF132" i="163"/>
  <c r="BG132" i="163" s="1"/>
  <c r="BH132" i="163"/>
  <c r="BI132" i="163" s="1"/>
  <c r="BJ132" i="159"/>
  <c r="J132" i="159"/>
  <c r="Y132" i="159"/>
  <c r="O132" i="159"/>
  <c r="E132" i="159"/>
  <c r="AD132" i="159"/>
  <c r="AZ133" i="160"/>
  <c r="P132" i="163"/>
  <c r="Q132" i="163" s="1"/>
  <c r="BX132" i="163"/>
  <c r="R132" i="163"/>
  <c r="S132" i="163" s="1"/>
  <c r="AS132" i="162"/>
  <c r="AQ132" i="162"/>
  <c r="AR132" i="162" s="1"/>
  <c r="M132" i="163"/>
  <c r="K132" i="163"/>
  <c r="L132" i="163" s="1"/>
  <c r="AK133" i="160"/>
  <c r="BS109" i="158"/>
  <c r="CG109" i="158" s="1"/>
  <c r="BT109" i="158"/>
  <c r="CH109" i="158" s="1"/>
  <c r="BU109" i="158"/>
  <c r="CI109" i="158" s="1"/>
  <c r="BE110" i="158"/>
  <c r="BF110" i="158" s="1"/>
  <c r="BG110" i="158" s="1"/>
  <c r="AU110" i="158"/>
  <c r="AV110" i="158" s="1"/>
  <c r="AW110" i="158" s="1"/>
  <c r="AK110" i="158"/>
  <c r="AN110" i="158" s="1"/>
  <c r="BJ110" i="158"/>
  <c r="BK110" i="158" s="1"/>
  <c r="BL110" i="158" s="1"/>
  <c r="AZ110" i="158"/>
  <c r="BA110" i="158" s="1"/>
  <c r="BB110" i="158" s="1"/>
  <c r="BA132" i="159" l="1"/>
  <c r="BB132" i="159" s="1"/>
  <c r="CX109" i="158"/>
  <c r="CQ109" i="158"/>
  <c r="CR109" i="158"/>
  <c r="CL109" i="158"/>
  <c r="CU109" i="158"/>
  <c r="CM109" i="158"/>
  <c r="CT109" i="158"/>
  <c r="CP109" i="158"/>
  <c r="CY109" i="158"/>
  <c r="CV109" i="158"/>
  <c r="CZ109" i="158"/>
  <c r="O133" i="160"/>
  <c r="P133" i="160" s="1"/>
  <c r="Q133" i="160" s="1"/>
  <c r="CH132" i="160"/>
  <c r="CO109" i="158"/>
  <c r="CS109" i="158"/>
  <c r="CK109" i="158"/>
  <c r="CW109" i="158"/>
  <c r="AD133" i="160"/>
  <c r="BW133" i="160" s="1"/>
  <c r="CN109" i="158"/>
  <c r="BS132" i="162"/>
  <c r="CG132" i="162" s="1"/>
  <c r="BT132" i="162"/>
  <c r="CH132" i="162" s="1"/>
  <c r="BH132" i="159"/>
  <c r="BI132" i="159" s="1"/>
  <c r="BM132" i="159" s="1"/>
  <c r="CB132" i="159"/>
  <c r="U132" i="159"/>
  <c r="V132" i="159" s="1"/>
  <c r="AE132" i="159"/>
  <c r="AF132" i="159" s="1"/>
  <c r="AG132" i="159"/>
  <c r="AQ132" i="159"/>
  <c r="AR132" i="159" s="1"/>
  <c r="AS132" i="159"/>
  <c r="P132" i="159"/>
  <c r="Q132" i="159" s="1"/>
  <c r="R132" i="159"/>
  <c r="S132" i="159" s="1"/>
  <c r="BX132" i="159"/>
  <c r="AX133" i="160"/>
  <c r="AY133" i="160" s="1"/>
  <c r="BC133" i="160" s="1"/>
  <c r="CA133" i="160"/>
  <c r="AV133" i="160"/>
  <c r="AW133" i="160" s="1"/>
  <c r="CB133" i="160"/>
  <c r="BP133" i="160" s="1"/>
  <c r="CD133" i="160" s="1"/>
  <c r="BH133" i="160"/>
  <c r="BI133" i="160" s="1"/>
  <c r="BM133" i="160" s="1"/>
  <c r="BF133" i="160"/>
  <c r="BG133" i="160" s="1"/>
  <c r="AM132" i="162"/>
  <c r="BT132" i="163"/>
  <c r="CH132" i="163" s="1"/>
  <c r="BS132" i="163"/>
  <c r="CG132" i="163" s="1"/>
  <c r="BU132" i="163"/>
  <c r="CI132" i="163" s="1"/>
  <c r="K133" i="160"/>
  <c r="L133" i="160" s="1"/>
  <c r="M133" i="160"/>
  <c r="BZ133" i="160"/>
  <c r="AN133" i="160"/>
  <c r="AO133" i="160" s="1"/>
  <c r="AL133" i="160"/>
  <c r="AQ133" i="160"/>
  <c r="AR133" i="160" s="1"/>
  <c r="AS133" i="160"/>
  <c r="BR132" i="162"/>
  <c r="CF132" i="162" s="1"/>
  <c r="BQ132" i="162"/>
  <c r="CE132" i="162" s="1"/>
  <c r="G132" i="163"/>
  <c r="H133" i="160"/>
  <c r="I133" i="160" s="1"/>
  <c r="F133" i="160"/>
  <c r="G133" i="160" s="1"/>
  <c r="BY133" i="160"/>
  <c r="CA132" i="159"/>
  <c r="AX132" i="159"/>
  <c r="AY132" i="159" s="1"/>
  <c r="AV132" i="159"/>
  <c r="AW132" i="159" s="1"/>
  <c r="Z133" i="160"/>
  <c r="AA133" i="160" s="1"/>
  <c r="AB133" i="160"/>
  <c r="AC133" i="160" s="1"/>
  <c r="AG133" i="160" s="1"/>
  <c r="BW132" i="159"/>
  <c r="Z132" i="159"/>
  <c r="AA132" i="159" s="1"/>
  <c r="AB132" i="159"/>
  <c r="AC132" i="159" s="1"/>
  <c r="M132" i="159"/>
  <c r="K132" i="159"/>
  <c r="L132" i="159" s="1"/>
  <c r="BK132" i="159"/>
  <c r="BL132" i="159" s="1"/>
  <c r="AE133" i="160"/>
  <c r="AF133" i="160" s="1"/>
  <c r="U133" i="160"/>
  <c r="V133" i="160" s="1"/>
  <c r="AL132" i="159"/>
  <c r="BZ132" i="159"/>
  <c r="AN132" i="159"/>
  <c r="AO132" i="159" s="1"/>
  <c r="BQ132" i="163"/>
  <c r="CE132" i="163" s="1"/>
  <c r="BR132" i="163"/>
  <c r="CF132" i="163" s="1"/>
  <c r="BP132" i="163"/>
  <c r="CD132" i="163" s="1"/>
  <c r="BX133" i="160"/>
  <c r="H132" i="159"/>
  <c r="I132" i="159" s="1"/>
  <c r="F132" i="159"/>
  <c r="BY132" i="159"/>
  <c r="BK133" i="160"/>
  <c r="BL133" i="160" s="1"/>
  <c r="BA133" i="160"/>
  <c r="BB133" i="160" s="1"/>
  <c r="AP110" i="158"/>
  <c r="BZ110" i="158" s="1"/>
  <c r="AX110" i="158"/>
  <c r="AY110" i="158" s="1"/>
  <c r="BC110" i="158" s="1"/>
  <c r="CA110" i="158"/>
  <c r="AL110" i="158"/>
  <c r="AM110" i="158" s="1"/>
  <c r="CB110" i="158"/>
  <c r="BH110" i="158"/>
  <c r="BI110" i="158" s="1"/>
  <c r="BM110" i="158" s="1"/>
  <c r="E110" i="158"/>
  <c r="AD110" i="158"/>
  <c r="J110" i="158"/>
  <c r="T110" i="158"/>
  <c r="O110" i="158"/>
  <c r="Y110" i="158"/>
  <c r="R133" i="160" l="1"/>
  <c r="S133" i="160"/>
  <c r="W133" i="160" s="1"/>
  <c r="AD133" i="162"/>
  <c r="CR132" i="162"/>
  <c r="CS132" i="162"/>
  <c r="CL132" i="162"/>
  <c r="CT132" i="162"/>
  <c r="CQ132" i="162"/>
  <c r="CP132" i="162"/>
  <c r="CO132" i="162"/>
  <c r="CM132" i="162"/>
  <c r="CN132" i="162"/>
  <c r="CL132" i="160"/>
  <c r="CO132" i="160"/>
  <c r="CS132" i="160"/>
  <c r="CW132" i="160"/>
  <c r="CQ132" i="160"/>
  <c r="CM132" i="160"/>
  <c r="CZ132" i="160"/>
  <c r="CX132" i="160"/>
  <c r="CU132" i="160"/>
  <c r="CN132" i="160"/>
  <c r="CR132" i="160"/>
  <c r="CY132" i="160"/>
  <c r="CP132" i="160"/>
  <c r="CK132" i="160"/>
  <c r="CV132" i="160"/>
  <c r="CT132" i="160"/>
  <c r="CX132" i="162"/>
  <c r="CZ132" i="162"/>
  <c r="CV132" i="163"/>
  <c r="CQ132" i="163"/>
  <c r="CN132" i="163"/>
  <c r="CP132" i="163"/>
  <c r="CM132" i="163"/>
  <c r="CK132" i="163"/>
  <c r="CR132" i="163"/>
  <c r="CL132" i="163"/>
  <c r="CO132" i="163"/>
  <c r="CS132" i="163"/>
  <c r="CU132" i="163"/>
  <c r="CZ132" i="163"/>
  <c r="CT132" i="163"/>
  <c r="CX132" i="163"/>
  <c r="CY132" i="163"/>
  <c r="CW132" i="163"/>
  <c r="CY132" i="162"/>
  <c r="CK132" i="162"/>
  <c r="CW132" i="162"/>
  <c r="CV132" i="162"/>
  <c r="CU132" i="162"/>
  <c r="E133" i="162"/>
  <c r="H133" i="162" s="1"/>
  <c r="AU133" i="163"/>
  <c r="BE133" i="163"/>
  <c r="BF133" i="163" s="1"/>
  <c r="BG133" i="163" s="1"/>
  <c r="O133" i="162"/>
  <c r="R133" i="162" s="1"/>
  <c r="AQ110" i="158"/>
  <c r="AR110" i="158" s="1"/>
  <c r="AK133" i="163"/>
  <c r="AN133" i="163" s="1"/>
  <c r="J133" i="162"/>
  <c r="M133" i="162" s="1"/>
  <c r="AG133" i="162"/>
  <c r="AE133" i="162"/>
  <c r="AF133" i="162" s="1"/>
  <c r="AV133" i="163"/>
  <c r="AW133" i="163" s="1"/>
  <c r="AX133" i="163"/>
  <c r="AM133" i="160"/>
  <c r="BJ133" i="163"/>
  <c r="AP133" i="163"/>
  <c r="BR133" i="160"/>
  <c r="CF133" i="160" s="1"/>
  <c r="BQ133" i="160"/>
  <c r="CE133" i="160" s="1"/>
  <c r="F133" i="162"/>
  <c r="G133" i="162" s="1"/>
  <c r="AM132" i="159"/>
  <c r="BU133" i="160"/>
  <c r="CI133" i="160" s="1"/>
  <c r="BE133" i="162"/>
  <c r="AZ133" i="162"/>
  <c r="AP133" i="162"/>
  <c r="BJ133" i="162"/>
  <c r="AU133" i="162"/>
  <c r="AK133" i="162"/>
  <c r="BP132" i="159"/>
  <c r="CD132" i="159" s="1"/>
  <c r="BQ132" i="159"/>
  <c r="CE132" i="159" s="1"/>
  <c r="BR132" i="159"/>
  <c r="CF132" i="159" s="1"/>
  <c r="BS133" i="160"/>
  <c r="CG133" i="160" s="1"/>
  <c r="BT133" i="160"/>
  <c r="CH133" i="160" s="1"/>
  <c r="AD133" i="163"/>
  <c r="AE133" i="163" s="1"/>
  <c r="AF133" i="163" s="1"/>
  <c r="J133" i="163"/>
  <c r="O133" i="163"/>
  <c r="E133" i="163"/>
  <c r="T133" i="163"/>
  <c r="AZ133" i="163"/>
  <c r="CA133" i="163" s="1"/>
  <c r="T133" i="162"/>
  <c r="Y133" i="162"/>
  <c r="G132" i="159"/>
  <c r="AO110" i="158"/>
  <c r="AS110" i="158" s="1"/>
  <c r="BU132" i="159"/>
  <c r="CI132" i="159" s="1"/>
  <c r="BS132" i="159"/>
  <c r="CG132" i="159" s="1"/>
  <c r="BT132" i="159"/>
  <c r="CH132" i="159" s="1"/>
  <c r="Y133" i="163"/>
  <c r="BQ110" i="158"/>
  <c r="CE110" i="158" s="1"/>
  <c r="BR110" i="158"/>
  <c r="CF110" i="158" s="1"/>
  <c r="BP110" i="158"/>
  <c r="CD110" i="158" s="1"/>
  <c r="P110" i="158"/>
  <c r="Q110" i="158" s="1"/>
  <c r="R110" i="158"/>
  <c r="S110" i="158" s="1"/>
  <c r="W110" i="158" s="1"/>
  <c r="BX110" i="158"/>
  <c r="U110" i="158"/>
  <c r="V110" i="158" s="1"/>
  <c r="K110" i="158"/>
  <c r="L110" i="158" s="1"/>
  <c r="Z110" i="158"/>
  <c r="AA110" i="158" s="1"/>
  <c r="AB110" i="158"/>
  <c r="AC110" i="158" s="1"/>
  <c r="AG110" i="158" s="1"/>
  <c r="BW110" i="158"/>
  <c r="AE110" i="158"/>
  <c r="AF110" i="158" s="1"/>
  <c r="F110" i="158"/>
  <c r="H110" i="158"/>
  <c r="I110" i="158" s="1"/>
  <c r="M110" i="158" s="1"/>
  <c r="BY110" i="158"/>
  <c r="CB133" i="163" l="1"/>
  <c r="BH133" i="163"/>
  <c r="CK133" i="160"/>
  <c r="CT133" i="160"/>
  <c r="CM133" i="160"/>
  <c r="CZ133" i="160"/>
  <c r="CN133" i="160"/>
  <c r="CY133" i="160"/>
  <c r="CQ133" i="160"/>
  <c r="CS133" i="160"/>
  <c r="CR133" i="160"/>
  <c r="CM132" i="159"/>
  <c r="CR132" i="159"/>
  <c r="CS132" i="159"/>
  <c r="CQ132" i="159"/>
  <c r="CO132" i="159"/>
  <c r="CL132" i="159"/>
  <c r="CK132" i="159"/>
  <c r="CP132" i="159"/>
  <c r="CN132" i="159"/>
  <c r="CU132" i="159"/>
  <c r="CT132" i="159"/>
  <c r="CV132" i="159"/>
  <c r="CW132" i="159"/>
  <c r="CX132" i="159"/>
  <c r="CY132" i="159"/>
  <c r="CZ132" i="159"/>
  <c r="CU133" i="160"/>
  <c r="CP133" i="160"/>
  <c r="CO133" i="160"/>
  <c r="CV133" i="160"/>
  <c r="CX133" i="160"/>
  <c r="CL133" i="160"/>
  <c r="CW133" i="160"/>
  <c r="AO133" i="163"/>
  <c r="AL133" i="163"/>
  <c r="AM133" i="163" s="1"/>
  <c r="BY133" i="162"/>
  <c r="AZ133" i="159"/>
  <c r="BA133" i="159" s="1"/>
  <c r="BB133" i="159" s="1"/>
  <c r="P133" i="162"/>
  <c r="Q133" i="162" s="1"/>
  <c r="AP134" i="160"/>
  <c r="AS134" i="160" s="1"/>
  <c r="BE134" i="160"/>
  <c r="BF134" i="160" s="1"/>
  <c r="BG134" i="160" s="1"/>
  <c r="K133" i="162"/>
  <c r="L133" i="162" s="1"/>
  <c r="BE133" i="159"/>
  <c r="BH133" i="159" s="1"/>
  <c r="AU133" i="159"/>
  <c r="I133" i="162"/>
  <c r="O134" i="160"/>
  <c r="R134" i="160" s="1"/>
  <c r="BI133" i="163"/>
  <c r="Y133" i="159"/>
  <c r="AB133" i="159" s="1"/>
  <c r="BJ133" i="159"/>
  <c r="BK133" i="159" s="1"/>
  <c r="BL133" i="159" s="1"/>
  <c r="R133" i="163"/>
  <c r="S133" i="163" s="1"/>
  <c r="P133" i="163"/>
  <c r="Q133" i="163" s="1"/>
  <c r="CB133" i="162"/>
  <c r="BP133" i="162" s="1"/>
  <c r="CD133" i="162" s="1"/>
  <c r="BH133" i="162"/>
  <c r="BI133" i="162" s="1"/>
  <c r="BM133" i="162" s="1"/>
  <c r="BF133" i="162"/>
  <c r="BG133" i="162" s="1"/>
  <c r="AB133" i="163"/>
  <c r="AC133" i="163" s="1"/>
  <c r="AG133" i="163" s="1"/>
  <c r="Z133" i="163"/>
  <c r="AA133" i="163" s="1"/>
  <c r="BW133" i="163"/>
  <c r="H133" i="163"/>
  <c r="I133" i="163" s="1"/>
  <c r="F133" i="163"/>
  <c r="BY133" i="163"/>
  <c r="M133" i="163"/>
  <c r="K133" i="163"/>
  <c r="L133" i="163" s="1"/>
  <c r="E134" i="160"/>
  <c r="AK134" i="160"/>
  <c r="BJ134" i="160"/>
  <c r="AZ134" i="160"/>
  <c r="BX133" i="163"/>
  <c r="U133" i="163"/>
  <c r="V133" i="163" s="1"/>
  <c r="W133" i="163"/>
  <c r="O133" i="159"/>
  <c r="BW133" i="162"/>
  <c r="BU133" i="162" s="1"/>
  <c r="CI133" i="162" s="1"/>
  <c r="AB133" i="162"/>
  <c r="AC133" i="162" s="1"/>
  <c r="Z133" i="162"/>
  <c r="AA133" i="162" s="1"/>
  <c r="T134" i="160"/>
  <c r="J134" i="160"/>
  <c r="AP133" i="159"/>
  <c r="Y134" i="160"/>
  <c r="U133" i="162"/>
  <c r="V133" i="162" s="1"/>
  <c r="BZ133" i="162"/>
  <c r="AL133" i="162"/>
  <c r="AN133" i="162"/>
  <c r="AO133" i="162" s="1"/>
  <c r="T133" i="159"/>
  <c r="AU134" i="160"/>
  <c r="AQ133" i="163"/>
  <c r="AR133" i="163" s="1"/>
  <c r="AS133" i="163"/>
  <c r="AK133" i="159"/>
  <c r="AQ133" i="162"/>
  <c r="AR133" i="162" s="1"/>
  <c r="AS133" i="162"/>
  <c r="BA133" i="162"/>
  <c r="BB133" i="162" s="1"/>
  <c r="BX133" i="162"/>
  <c r="CA133" i="162"/>
  <c r="AX133" i="162"/>
  <c r="AY133" i="162" s="1"/>
  <c r="BC133" i="162" s="1"/>
  <c r="AV133" i="162"/>
  <c r="AW133" i="162" s="1"/>
  <c r="AD133" i="159"/>
  <c r="J133" i="159"/>
  <c r="BM133" i="163"/>
  <c r="BK133" i="163"/>
  <c r="BL133" i="163" s="1"/>
  <c r="AY133" i="163"/>
  <c r="BA133" i="163"/>
  <c r="BB133" i="163" s="1"/>
  <c r="BC133" i="163"/>
  <c r="AD134" i="160"/>
  <c r="S133" i="162"/>
  <c r="W133" i="162" s="1"/>
  <c r="E133" i="159"/>
  <c r="BZ133" i="163"/>
  <c r="BK133" i="162"/>
  <c r="BL133" i="162" s="1"/>
  <c r="BT110" i="158"/>
  <c r="CH110" i="158" s="1"/>
  <c r="BS110" i="158"/>
  <c r="CG110" i="158" s="1"/>
  <c r="BU110" i="158"/>
  <c r="CI110" i="158" s="1"/>
  <c r="G110" i="158"/>
  <c r="BT133" i="162" l="1"/>
  <c r="CH133" i="162" s="1"/>
  <c r="AQ134" i="160"/>
  <c r="AR134" i="160" s="1"/>
  <c r="BC133" i="159"/>
  <c r="CV110" i="158"/>
  <c r="CQ110" i="158"/>
  <c r="CZ110" i="158"/>
  <c r="CL110" i="158"/>
  <c r="CX110" i="158"/>
  <c r="CK110" i="158"/>
  <c r="CP110" i="158"/>
  <c r="CM110" i="158"/>
  <c r="CY110" i="158"/>
  <c r="CO110" i="158"/>
  <c r="CW110" i="158"/>
  <c r="CS110" i="158"/>
  <c r="CT110" i="158"/>
  <c r="CN110" i="158"/>
  <c r="CU110" i="158"/>
  <c r="CR110" i="158"/>
  <c r="BF133" i="159"/>
  <c r="BG133" i="159" s="1"/>
  <c r="CA133" i="159"/>
  <c r="BH134" i="160"/>
  <c r="BI134" i="160" s="1"/>
  <c r="BM134" i="160" s="1"/>
  <c r="CB134" i="160"/>
  <c r="BP134" i="160" s="1"/>
  <c r="CD134" i="160" s="1"/>
  <c r="AX133" i="159"/>
  <c r="AY133" i="159" s="1"/>
  <c r="CB133" i="159"/>
  <c r="P134" i="160"/>
  <c r="Q134" i="160" s="1"/>
  <c r="BI133" i="159"/>
  <c r="BM133" i="159" s="1"/>
  <c r="AV133" i="159"/>
  <c r="AW133" i="159" s="1"/>
  <c r="Z133" i="159"/>
  <c r="AA133" i="159" s="1"/>
  <c r="BS133" i="162"/>
  <c r="CG133" i="162" s="1"/>
  <c r="H134" i="160"/>
  <c r="I134" i="160" s="1"/>
  <c r="BY134" i="160"/>
  <c r="F134" i="160"/>
  <c r="M134" i="160"/>
  <c r="K134" i="160"/>
  <c r="L134" i="160" s="1"/>
  <c r="W133" i="159"/>
  <c r="U133" i="159"/>
  <c r="V133" i="159" s="1"/>
  <c r="U134" i="160"/>
  <c r="V134" i="160" s="1"/>
  <c r="S134" i="160"/>
  <c r="W134" i="160" s="1"/>
  <c r="AQ133" i="159"/>
  <c r="AR133" i="159" s="1"/>
  <c r="AS133" i="159"/>
  <c r="K133" i="159"/>
  <c r="L133" i="159" s="1"/>
  <c r="M133" i="159"/>
  <c r="BX134" i="160"/>
  <c r="AX134" i="160"/>
  <c r="AY134" i="160" s="1"/>
  <c r="BC134" i="160" s="1"/>
  <c r="AV134" i="160"/>
  <c r="AW134" i="160" s="1"/>
  <c r="CA134" i="160"/>
  <c r="AG133" i="159"/>
  <c r="AE133" i="159"/>
  <c r="AF133" i="159" s="1"/>
  <c r="F133" i="159"/>
  <c r="BY133" i="159"/>
  <c r="H133" i="159"/>
  <c r="I133" i="159" s="1"/>
  <c r="BZ133" i="159"/>
  <c r="AL133" i="159"/>
  <c r="AN133" i="159"/>
  <c r="AO133" i="159" s="1"/>
  <c r="AM133" i="162"/>
  <c r="BA134" i="160"/>
  <c r="BB134" i="160" s="1"/>
  <c r="BW133" i="159"/>
  <c r="BR133" i="162"/>
  <c r="CF133" i="162" s="1"/>
  <c r="BQ133" i="162"/>
  <c r="CE133" i="162" s="1"/>
  <c r="BK134" i="160"/>
  <c r="BL134" i="160" s="1"/>
  <c r="BU133" i="163"/>
  <c r="CI133" i="163" s="1"/>
  <c r="BS133" i="163"/>
  <c r="CG133" i="163" s="1"/>
  <c r="BT133" i="163"/>
  <c r="CH133" i="163" s="1"/>
  <c r="AE134" i="160"/>
  <c r="AF134" i="160" s="1"/>
  <c r="BP133" i="163"/>
  <c r="CD133" i="163" s="1"/>
  <c r="BR133" i="163"/>
  <c r="CF133" i="163" s="1"/>
  <c r="BQ133" i="163"/>
  <c r="CE133" i="163" s="1"/>
  <c r="AB134" i="160"/>
  <c r="AC134" i="160" s="1"/>
  <c r="AG134" i="160" s="1"/>
  <c r="BW134" i="160"/>
  <c r="Z134" i="160"/>
  <c r="AA134" i="160" s="1"/>
  <c r="BX133" i="159"/>
  <c r="R133" i="159"/>
  <c r="S133" i="159" s="1"/>
  <c r="P133" i="159"/>
  <c r="Q133" i="159" s="1"/>
  <c r="AL134" i="160"/>
  <c r="AN134" i="160"/>
  <c r="AO134" i="160" s="1"/>
  <c r="BZ134" i="160"/>
  <c r="G133" i="163"/>
  <c r="AC133" i="159"/>
  <c r="BE111" i="158"/>
  <c r="BF111" i="158" s="1"/>
  <c r="BG111" i="158" s="1"/>
  <c r="AU111" i="158"/>
  <c r="BJ111" i="158"/>
  <c r="AZ111" i="158"/>
  <c r="BA111" i="158" s="1"/>
  <c r="BB111" i="158" s="1"/>
  <c r="AP111" i="158"/>
  <c r="AQ111" i="158" s="1"/>
  <c r="AR111" i="158" s="1"/>
  <c r="AK111" i="158"/>
  <c r="AN111" i="158" s="1"/>
  <c r="Y111" i="158"/>
  <c r="E134" i="162" l="1"/>
  <c r="CZ133" i="162"/>
  <c r="CL133" i="163"/>
  <c r="CN133" i="162"/>
  <c r="CQ133" i="162"/>
  <c r="CV133" i="163"/>
  <c r="CQ133" i="163"/>
  <c r="CP133" i="163"/>
  <c r="CK133" i="163"/>
  <c r="CO133" i="163"/>
  <c r="CM133" i="163"/>
  <c r="CR133" i="163"/>
  <c r="CN133" i="163"/>
  <c r="CU133" i="163"/>
  <c r="CS133" i="163"/>
  <c r="CZ133" i="163"/>
  <c r="CT133" i="163"/>
  <c r="CY133" i="163"/>
  <c r="CW133" i="163"/>
  <c r="CX133" i="163"/>
  <c r="CM133" i="162"/>
  <c r="CO133" i="162"/>
  <c r="CX133" i="162"/>
  <c r="CL133" i="162"/>
  <c r="CW133" i="162"/>
  <c r="CV133" i="162"/>
  <c r="CY133" i="162"/>
  <c r="CK133" i="162"/>
  <c r="CS133" i="162"/>
  <c r="CR133" i="162"/>
  <c r="CT133" i="162"/>
  <c r="CP133" i="162"/>
  <c r="CU133" i="162"/>
  <c r="BE134" i="163"/>
  <c r="BH134" i="163" s="1"/>
  <c r="BT133" i="159"/>
  <c r="CH133" i="159" s="1"/>
  <c r="J134" i="162"/>
  <c r="M134" i="162" s="1"/>
  <c r="O134" i="162"/>
  <c r="P134" i="162" s="1"/>
  <c r="Q134" i="162" s="1"/>
  <c r="AD134" i="163"/>
  <c r="AE134" i="163" s="1"/>
  <c r="AF134" i="163" s="1"/>
  <c r="BU134" i="160"/>
  <c r="CI134" i="160" s="1"/>
  <c r="AK134" i="163"/>
  <c r="AN134" i="163" s="1"/>
  <c r="J134" i="163"/>
  <c r="AM133" i="159"/>
  <c r="AU134" i="163"/>
  <c r="BP133" i="159"/>
  <c r="CD133" i="159" s="1"/>
  <c r="BR133" i="159"/>
  <c r="CF133" i="159" s="1"/>
  <c r="BQ133" i="159"/>
  <c r="CE133" i="159" s="1"/>
  <c r="G133" i="159"/>
  <c r="BH111" i="158"/>
  <c r="BI111" i="158" s="1"/>
  <c r="BM111" i="158" s="1"/>
  <c r="K134" i="162"/>
  <c r="L134" i="162" s="1"/>
  <c r="T134" i="163"/>
  <c r="Y134" i="163"/>
  <c r="G134" i="160"/>
  <c r="E134" i="163"/>
  <c r="O134" i="163"/>
  <c r="BS134" i="160"/>
  <c r="CG134" i="160" s="1"/>
  <c r="BT134" i="160"/>
  <c r="CH134" i="160" s="1"/>
  <c r="AM134" i="160"/>
  <c r="CB111" i="158"/>
  <c r="AZ134" i="162"/>
  <c r="BJ134" i="162"/>
  <c r="BE134" i="162"/>
  <c r="AU134" i="162"/>
  <c r="AK134" i="162"/>
  <c r="AP134" i="162"/>
  <c r="F134" i="162"/>
  <c r="G134" i="162" s="1"/>
  <c r="H134" i="162"/>
  <c r="AP134" i="163"/>
  <c r="BJ134" i="163"/>
  <c r="AZ134" i="163"/>
  <c r="BR134" i="160"/>
  <c r="CF134" i="160" s="1"/>
  <c r="BQ134" i="160"/>
  <c r="CE134" i="160" s="1"/>
  <c r="AD134" i="162"/>
  <c r="T134" i="162"/>
  <c r="BS133" i="159"/>
  <c r="CG133" i="159" s="1"/>
  <c r="BU133" i="159"/>
  <c r="CI133" i="159" s="1"/>
  <c r="Y134" i="162"/>
  <c r="AO111" i="158"/>
  <c r="AS111" i="158" s="1"/>
  <c r="BK111" i="158"/>
  <c r="BL111" i="158" s="1"/>
  <c r="CA111" i="158"/>
  <c r="AX111" i="158"/>
  <c r="AY111" i="158" s="1"/>
  <c r="BC111" i="158" s="1"/>
  <c r="AV111" i="158"/>
  <c r="AW111" i="158" s="1"/>
  <c r="AL111" i="158"/>
  <c r="AM111" i="158" s="1"/>
  <c r="BZ111" i="158"/>
  <c r="AB111" i="158"/>
  <c r="Z111" i="158"/>
  <c r="AA111" i="158" s="1"/>
  <c r="E111" i="158"/>
  <c r="AD111" i="158"/>
  <c r="O111" i="158"/>
  <c r="J111" i="158"/>
  <c r="T111" i="158"/>
  <c r="CQ134" i="160" l="1"/>
  <c r="CS134" i="160"/>
  <c r="CM134" i="160"/>
  <c r="CY134" i="160"/>
  <c r="CN134" i="160"/>
  <c r="CT134" i="160"/>
  <c r="CP134" i="160"/>
  <c r="CP133" i="159"/>
  <c r="CN133" i="159"/>
  <c r="CK133" i="159"/>
  <c r="CL133" i="159"/>
  <c r="CR133" i="159"/>
  <c r="CQ133" i="159"/>
  <c r="CS133" i="159"/>
  <c r="CM133" i="159"/>
  <c r="CO133" i="159"/>
  <c r="CU133" i="159"/>
  <c r="CV133" i="159"/>
  <c r="CW133" i="159"/>
  <c r="CT133" i="159"/>
  <c r="CX133" i="159"/>
  <c r="CY133" i="159"/>
  <c r="CZ133" i="159"/>
  <c r="CZ134" i="160"/>
  <c r="CR134" i="160"/>
  <c r="CK134" i="160"/>
  <c r="CV134" i="160"/>
  <c r="CO134" i="160"/>
  <c r="CU134" i="160"/>
  <c r="BF134" i="163"/>
  <c r="BG134" i="163" s="1"/>
  <c r="CX134" i="160"/>
  <c r="CL134" i="160"/>
  <c r="CW134" i="160"/>
  <c r="AP134" i="159"/>
  <c r="AQ134" i="159" s="1"/>
  <c r="AR134" i="159" s="1"/>
  <c r="I134" i="162"/>
  <c r="BX134" i="162"/>
  <c r="BY134" i="162"/>
  <c r="R134" i="162"/>
  <c r="S134" i="162" s="1"/>
  <c r="O135" i="160"/>
  <c r="R135" i="160" s="1"/>
  <c r="T134" i="159"/>
  <c r="U134" i="159" s="1"/>
  <c r="V134" i="159" s="1"/>
  <c r="AK134" i="159"/>
  <c r="BJ134" i="159"/>
  <c r="BK134" i="159" s="1"/>
  <c r="BL134" i="159" s="1"/>
  <c r="AD135" i="160"/>
  <c r="AE135" i="160" s="1"/>
  <c r="AF135" i="160" s="1"/>
  <c r="E134" i="159"/>
  <c r="F134" i="159" s="1"/>
  <c r="G134" i="159" s="1"/>
  <c r="E135" i="160"/>
  <c r="H135" i="160" s="1"/>
  <c r="AL134" i="163"/>
  <c r="AM134" i="163" s="1"/>
  <c r="J135" i="160"/>
  <c r="K135" i="160" s="1"/>
  <c r="L135" i="160" s="1"/>
  <c r="AU134" i="159"/>
  <c r="AV134" i="159" s="1"/>
  <c r="AW134" i="159" s="1"/>
  <c r="Y134" i="159"/>
  <c r="Z134" i="159" s="1"/>
  <c r="AA134" i="159" s="1"/>
  <c r="Y135" i="160"/>
  <c r="AB135" i="160" s="1"/>
  <c r="AC135" i="160" s="1"/>
  <c r="AG135" i="160" s="1"/>
  <c r="BE134" i="159"/>
  <c r="BF134" i="159" s="1"/>
  <c r="BG134" i="159" s="1"/>
  <c r="AK135" i="160"/>
  <c r="AZ135" i="160"/>
  <c r="BA135" i="160" s="1"/>
  <c r="BB135" i="160" s="1"/>
  <c r="AU135" i="160"/>
  <c r="BJ135" i="160"/>
  <c r="AX134" i="163"/>
  <c r="AY134" i="163" s="1"/>
  <c r="CA134" i="163"/>
  <c r="AV134" i="163"/>
  <c r="AW134" i="163" s="1"/>
  <c r="BZ134" i="162"/>
  <c r="AN134" i="162"/>
  <c r="AO134" i="162" s="1"/>
  <c r="AL134" i="162"/>
  <c r="U134" i="163"/>
  <c r="V134" i="163" s="1"/>
  <c r="W134" i="163"/>
  <c r="AZ134" i="159"/>
  <c r="K134" i="163"/>
  <c r="L134" i="163" s="1"/>
  <c r="M134" i="163"/>
  <c r="AO134" i="163"/>
  <c r="AS134" i="163"/>
  <c r="AQ134" i="163"/>
  <c r="CA134" i="162"/>
  <c r="AX134" i="162"/>
  <c r="AY134" i="162" s="1"/>
  <c r="BC134" i="162" s="1"/>
  <c r="AV134" i="162"/>
  <c r="AW134" i="162" s="1"/>
  <c r="J134" i="159"/>
  <c r="AD134" i="159"/>
  <c r="O134" i="159"/>
  <c r="BW134" i="163"/>
  <c r="AB134" i="163"/>
  <c r="AC134" i="163" s="1"/>
  <c r="AG134" i="163" s="1"/>
  <c r="Z134" i="163"/>
  <c r="AA134" i="163" s="1"/>
  <c r="BK134" i="163"/>
  <c r="BL134" i="163" s="1"/>
  <c r="BM134" i="163"/>
  <c r="BI134" i="163"/>
  <c r="BH134" i="162"/>
  <c r="BI134" i="162" s="1"/>
  <c r="BM134" i="162" s="1"/>
  <c r="CB134" i="162"/>
  <c r="BP134" i="162" s="1"/>
  <c r="CD134" i="162" s="1"/>
  <c r="BF134" i="162"/>
  <c r="BG134" i="162" s="1"/>
  <c r="T135" i="160"/>
  <c r="U135" i="160" s="1"/>
  <c r="V135" i="160" s="1"/>
  <c r="AS134" i="162"/>
  <c r="AQ134" i="162"/>
  <c r="AR134" i="162" s="1"/>
  <c r="W134" i="162"/>
  <c r="U134" i="162"/>
  <c r="V134" i="162" s="1"/>
  <c r="BK134" i="162"/>
  <c r="BL134" i="162" s="1"/>
  <c r="F134" i="163"/>
  <c r="H134" i="163"/>
  <c r="I134" i="163" s="1"/>
  <c r="BY134" i="163"/>
  <c r="BA134" i="163"/>
  <c r="BB134" i="163" s="1"/>
  <c r="BC134" i="163"/>
  <c r="AE134" i="162"/>
  <c r="AF134" i="162" s="1"/>
  <c r="AG134" i="162"/>
  <c r="BA134" i="162"/>
  <c r="BB134" i="162" s="1"/>
  <c r="BE135" i="160"/>
  <c r="CB134" i="163"/>
  <c r="Z134" i="162"/>
  <c r="AA134" i="162" s="1"/>
  <c r="BW134" i="162"/>
  <c r="BU134" i="162" s="1"/>
  <c r="CI134" i="162" s="1"/>
  <c r="AB134" i="162"/>
  <c r="AC134" i="162" s="1"/>
  <c r="AS134" i="159"/>
  <c r="BT134" i="162"/>
  <c r="CH134" i="162" s="1"/>
  <c r="BX134" i="163"/>
  <c r="R134" i="163"/>
  <c r="S134" i="163" s="1"/>
  <c r="P134" i="163"/>
  <c r="Q134" i="163" s="1"/>
  <c r="AP135" i="160"/>
  <c r="BZ134" i="163"/>
  <c r="BQ111" i="158"/>
  <c r="CE111" i="158" s="1"/>
  <c r="BR111" i="158"/>
  <c r="CF111" i="158" s="1"/>
  <c r="BP111" i="158"/>
  <c r="CD111" i="158" s="1"/>
  <c r="BY111" i="158"/>
  <c r="F111" i="158"/>
  <c r="H111" i="158"/>
  <c r="I111" i="158" s="1"/>
  <c r="M111" i="158" s="1"/>
  <c r="K111" i="158"/>
  <c r="L111" i="158" s="1"/>
  <c r="BX111" i="158"/>
  <c r="P111" i="158"/>
  <c r="Q111" i="158" s="1"/>
  <c r="R111" i="158"/>
  <c r="S111" i="158" s="1"/>
  <c r="W111" i="158" s="1"/>
  <c r="AC111" i="158"/>
  <c r="AG111" i="158" s="1"/>
  <c r="AE111" i="158"/>
  <c r="AF111" i="158" s="1"/>
  <c r="U111" i="158"/>
  <c r="V111" i="158" s="1"/>
  <c r="BW111" i="158"/>
  <c r="P135" i="160" l="1"/>
  <c r="Q135" i="160" s="1"/>
  <c r="BS134" i="162"/>
  <c r="CG134" i="162" s="1"/>
  <c r="BZ134" i="159"/>
  <c r="AN134" i="159"/>
  <c r="AO134" i="159" s="1"/>
  <c r="AL134" i="159"/>
  <c r="AM134" i="159" s="1"/>
  <c r="BW134" i="159"/>
  <c r="W134" i="159"/>
  <c r="CA134" i="159"/>
  <c r="BR134" i="159" s="1"/>
  <c r="CF134" i="159" s="1"/>
  <c r="AB134" i="159"/>
  <c r="AC134" i="159" s="1"/>
  <c r="AX134" i="159"/>
  <c r="P9" i="160"/>
  <c r="F135" i="160"/>
  <c r="G135" i="160" s="1"/>
  <c r="BY134" i="159"/>
  <c r="H134" i="159"/>
  <c r="BY135" i="160"/>
  <c r="I135" i="160"/>
  <c r="M135" i="160"/>
  <c r="AY134" i="159"/>
  <c r="I134" i="159"/>
  <c r="Z135" i="160"/>
  <c r="AA135" i="160" s="1"/>
  <c r="BH134" i="159"/>
  <c r="BI134" i="159" s="1"/>
  <c r="BM134" i="159" s="1"/>
  <c r="BW135" i="160"/>
  <c r="CB134" i="159"/>
  <c r="BX135" i="160"/>
  <c r="BS135" i="160" s="1"/>
  <c r="CG135" i="160" s="1"/>
  <c r="BR134" i="163"/>
  <c r="CF134" i="163" s="1"/>
  <c r="BQ134" i="163"/>
  <c r="CE134" i="163" s="1"/>
  <c r="BP134" i="163"/>
  <c r="CD134" i="163" s="1"/>
  <c r="AQ135" i="160"/>
  <c r="AR135" i="160" s="1"/>
  <c r="AS135" i="160"/>
  <c r="S135" i="160"/>
  <c r="W135" i="160" s="1"/>
  <c r="R134" i="159"/>
  <c r="S134" i="159" s="1"/>
  <c r="P134" i="159"/>
  <c r="Q134" i="159" s="1"/>
  <c r="BX134" i="159"/>
  <c r="AR134" i="163"/>
  <c r="BK135" i="160"/>
  <c r="BL135" i="160" s="1"/>
  <c r="AE134" i="159"/>
  <c r="AF134" i="159" s="1"/>
  <c r="AG134" i="159"/>
  <c r="AM134" i="162"/>
  <c r="O135" i="162" s="1"/>
  <c r="AV135" i="160"/>
  <c r="AW135" i="160" s="1"/>
  <c r="AX135" i="160"/>
  <c r="AY135" i="160" s="1"/>
  <c r="BC135" i="160" s="1"/>
  <c r="CA135" i="160"/>
  <c r="G134" i="163"/>
  <c r="K134" i="159"/>
  <c r="L134" i="159" s="1"/>
  <c r="M134" i="159"/>
  <c r="BA134" i="159"/>
  <c r="BB134" i="159" s="1"/>
  <c r="BC134" i="159"/>
  <c r="BH135" i="160"/>
  <c r="BI135" i="160" s="1"/>
  <c r="BM135" i="160" s="1"/>
  <c r="BF135" i="160"/>
  <c r="BG135" i="160" s="1"/>
  <c r="CB135" i="160"/>
  <c r="BP135" i="160" s="1"/>
  <c r="CD135" i="160" s="1"/>
  <c r="BQ134" i="162"/>
  <c r="CE134" i="162" s="1"/>
  <c r="BR134" i="162"/>
  <c r="CF134" i="162" s="1"/>
  <c r="BZ135" i="160"/>
  <c r="AL135" i="160"/>
  <c r="AM135" i="160" s="1"/>
  <c r="AN135" i="160"/>
  <c r="AO135" i="160" s="1"/>
  <c r="P10" i="160"/>
  <c r="BU134" i="163"/>
  <c r="CI134" i="163" s="1"/>
  <c r="BT134" i="163"/>
  <c r="CH134" i="163" s="1"/>
  <c r="BS134" i="163"/>
  <c r="CG134" i="163" s="1"/>
  <c r="BQ134" i="159"/>
  <c r="CE134" i="159" s="1"/>
  <c r="BS111" i="158"/>
  <c r="CG111" i="158" s="1"/>
  <c r="BT111" i="158"/>
  <c r="CH111" i="158" s="1"/>
  <c r="BU111" i="158"/>
  <c r="CI111" i="158" s="1"/>
  <c r="G111" i="158"/>
  <c r="CN134" i="162" l="1"/>
  <c r="CW111" i="158"/>
  <c r="CY134" i="162"/>
  <c r="CL134" i="162"/>
  <c r="CQ111" i="158"/>
  <c r="CU111" i="158"/>
  <c r="CX134" i="162"/>
  <c r="CM134" i="162"/>
  <c r="CL111" i="158"/>
  <c r="CX111" i="158"/>
  <c r="CW134" i="162"/>
  <c r="CK134" i="162"/>
  <c r="CN111" i="158"/>
  <c r="CV111" i="158"/>
  <c r="CV134" i="163"/>
  <c r="CP134" i="163"/>
  <c r="CQ134" i="163"/>
  <c r="CR134" i="163"/>
  <c r="CL134" i="163"/>
  <c r="CO134" i="163"/>
  <c r="CM134" i="163"/>
  <c r="CN134" i="163"/>
  <c r="CK134" i="163"/>
  <c r="CZ134" i="163"/>
  <c r="CU134" i="163"/>
  <c r="CS134" i="163"/>
  <c r="CT134" i="163"/>
  <c r="CX134" i="163"/>
  <c r="CW134" i="163"/>
  <c r="CY134" i="163"/>
  <c r="CT134" i="162"/>
  <c r="CR134" i="162"/>
  <c r="CM111" i="158"/>
  <c r="CT111" i="158"/>
  <c r="CU134" i="162"/>
  <c r="CZ134" i="162"/>
  <c r="CP111" i="158"/>
  <c r="CZ111" i="158"/>
  <c r="CS134" i="162"/>
  <c r="CQ134" i="162"/>
  <c r="CK111" i="158"/>
  <c r="CY111" i="158"/>
  <c r="CV134" i="162"/>
  <c r="CP134" i="162"/>
  <c r="CO111" i="158"/>
  <c r="CS111" i="158"/>
  <c r="CO134" i="162"/>
  <c r="CR111" i="158"/>
  <c r="AU135" i="163"/>
  <c r="BP134" i="159"/>
  <c r="CD134" i="159" s="1"/>
  <c r="BS134" i="159"/>
  <c r="CG134" i="159" s="1"/>
  <c r="AZ135" i="163"/>
  <c r="BC135" i="163" s="1"/>
  <c r="BT135" i="160"/>
  <c r="CH135" i="160" s="1"/>
  <c r="BU135" i="160"/>
  <c r="CI135" i="160" s="1"/>
  <c r="BR135" i="160"/>
  <c r="CF135" i="160" s="1"/>
  <c r="AD135" i="163"/>
  <c r="AE135" i="163" s="1"/>
  <c r="AF135" i="163" s="1"/>
  <c r="AK135" i="163"/>
  <c r="AN135" i="163" s="1"/>
  <c r="E135" i="162"/>
  <c r="H135" i="162" s="1"/>
  <c r="J135" i="162"/>
  <c r="BE135" i="163"/>
  <c r="BF135" i="163" s="1"/>
  <c r="BG135" i="163" s="1"/>
  <c r="E135" i="163"/>
  <c r="AX135" i="163"/>
  <c r="AV135" i="163"/>
  <c r="AW135" i="163" s="1"/>
  <c r="AK135" i="159"/>
  <c r="T135" i="163"/>
  <c r="O135" i="163"/>
  <c r="J135" i="163"/>
  <c r="Y135" i="163"/>
  <c r="P10" i="163"/>
  <c r="P135" i="162"/>
  <c r="Q135" i="162" s="1"/>
  <c r="R135" i="162"/>
  <c r="BJ135" i="159"/>
  <c r="BK135" i="159" s="1"/>
  <c r="BL135" i="159" s="1"/>
  <c r="AP135" i="163"/>
  <c r="AZ135" i="159"/>
  <c r="BQ135" i="160"/>
  <c r="CE135" i="160" s="1"/>
  <c r="BE135" i="159"/>
  <c r="AD135" i="162"/>
  <c r="Y135" i="162"/>
  <c r="T135" i="162"/>
  <c r="BT134" i="159"/>
  <c r="CH134" i="159" s="1"/>
  <c r="BE135" i="162"/>
  <c r="AU135" i="162"/>
  <c r="AP135" i="162"/>
  <c r="AZ135" i="162"/>
  <c r="BA135" i="162" s="1"/>
  <c r="BB135" i="162" s="1"/>
  <c r="AK135" i="162"/>
  <c r="BJ135" i="162"/>
  <c r="BK135" i="162" s="1"/>
  <c r="BL135" i="162" s="1"/>
  <c r="BJ135" i="163"/>
  <c r="BU134" i="159"/>
  <c r="CI134" i="159" s="1"/>
  <c r="BE112" i="158"/>
  <c r="BH112" i="158" s="1"/>
  <c r="AK112" i="158"/>
  <c r="AL112" i="158" s="1"/>
  <c r="AM112" i="158" s="1"/>
  <c r="AZ112" i="158"/>
  <c r="BA112" i="158" s="1"/>
  <c r="BB112" i="158" s="1"/>
  <c r="BJ112" i="158"/>
  <c r="BK112" i="158" s="1"/>
  <c r="BL112" i="158" s="1"/>
  <c r="AP112" i="158"/>
  <c r="AQ112" i="158" s="1"/>
  <c r="AR112" i="158" s="1"/>
  <c r="AU112" i="158"/>
  <c r="AX112" i="158" s="1"/>
  <c r="J112" i="158"/>
  <c r="AU135" i="159" l="1"/>
  <c r="AP135" i="159"/>
  <c r="AQ135" i="159" s="1"/>
  <c r="AR135" i="159" s="1"/>
  <c r="CQ135" i="160"/>
  <c r="CS134" i="159"/>
  <c r="CR134" i="159"/>
  <c r="CP134" i="159"/>
  <c r="CN134" i="159"/>
  <c r="CO134" i="159"/>
  <c r="CK134" i="159"/>
  <c r="CM134" i="159"/>
  <c r="CQ134" i="159"/>
  <c r="CL134" i="159"/>
  <c r="CW134" i="159"/>
  <c r="CU134" i="159"/>
  <c r="CV134" i="159"/>
  <c r="CT134" i="159"/>
  <c r="CX134" i="159"/>
  <c r="CY134" i="159"/>
  <c r="CZ134" i="159"/>
  <c r="CW135" i="160"/>
  <c r="CM135" i="160"/>
  <c r="CX135" i="160"/>
  <c r="CR135" i="160"/>
  <c r="CZ135" i="160"/>
  <c r="CV135" i="160"/>
  <c r="CS135" i="160"/>
  <c r="CU135" i="160"/>
  <c r="CY135" i="160"/>
  <c r="CN135" i="160"/>
  <c r="CT135" i="160"/>
  <c r="CP135" i="160"/>
  <c r="CL135" i="160"/>
  <c r="CK135" i="160"/>
  <c r="CO135" i="160"/>
  <c r="CA135" i="163"/>
  <c r="AY135" i="163"/>
  <c r="BH135" i="163"/>
  <c r="CA135" i="159"/>
  <c r="BA135" i="163"/>
  <c r="BB135" i="163" s="1"/>
  <c r="AS135" i="159"/>
  <c r="AL135" i="163"/>
  <c r="AM135" i="163" s="1"/>
  <c r="P9" i="162"/>
  <c r="BY135" i="162"/>
  <c r="F135" i="162"/>
  <c r="G135" i="162" s="1"/>
  <c r="I135" i="162"/>
  <c r="M135" i="162"/>
  <c r="K135" i="162"/>
  <c r="L135" i="162" s="1"/>
  <c r="J135" i="159"/>
  <c r="E135" i="159"/>
  <c r="AD135" i="159"/>
  <c r="CA135" i="162"/>
  <c r="AV135" i="162"/>
  <c r="AW135" i="162" s="1"/>
  <c r="AX135" i="162"/>
  <c r="AY135" i="162" s="1"/>
  <c r="BC135" i="162" s="1"/>
  <c r="S135" i="162"/>
  <c r="W135" i="162" s="1"/>
  <c r="U135" i="162"/>
  <c r="V135" i="162" s="1"/>
  <c r="BX135" i="163"/>
  <c r="R135" i="163"/>
  <c r="S135" i="163" s="1"/>
  <c r="P135" i="163"/>
  <c r="Q135" i="163" s="1"/>
  <c r="AB135" i="163"/>
  <c r="AC135" i="163" s="1"/>
  <c r="AG135" i="163" s="1"/>
  <c r="BW135" i="163"/>
  <c r="Z135" i="163"/>
  <c r="AA135" i="163" s="1"/>
  <c r="M135" i="163"/>
  <c r="K135" i="163"/>
  <c r="L135" i="163" s="1"/>
  <c r="CB135" i="162"/>
  <c r="BP135" i="162" s="1"/>
  <c r="CD135" i="162" s="1"/>
  <c r="BH135" i="162"/>
  <c r="BI135" i="162" s="1"/>
  <c r="BM135" i="162" s="1"/>
  <c r="BF135" i="162"/>
  <c r="BG135" i="162" s="1"/>
  <c r="Z135" i="162"/>
  <c r="AA135" i="162" s="1"/>
  <c r="BW135" i="162"/>
  <c r="BU135" i="162" s="1"/>
  <c r="CI135" i="162" s="1"/>
  <c r="AB135" i="162"/>
  <c r="AQ135" i="163"/>
  <c r="AR135" i="163" s="1"/>
  <c r="AO135" i="163"/>
  <c r="AS135" i="163"/>
  <c r="BX135" i="162"/>
  <c r="BS135" i="162" s="1"/>
  <c r="CG135" i="162" s="1"/>
  <c r="W135" i="163"/>
  <c r="U135" i="163"/>
  <c r="V135" i="163" s="1"/>
  <c r="F135" i="163"/>
  <c r="G135" i="163" s="1"/>
  <c r="BY135" i="163"/>
  <c r="H135" i="163"/>
  <c r="I135" i="163" s="1"/>
  <c r="P9" i="163"/>
  <c r="Y135" i="159"/>
  <c r="BZ135" i="163"/>
  <c r="AL135" i="159"/>
  <c r="AM135" i="159" s="1"/>
  <c r="BZ135" i="159"/>
  <c r="AN135" i="159"/>
  <c r="AO135" i="159" s="1"/>
  <c r="P10" i="159"/>
  <c r="AS135" i="162"/>
  <c r="AQ135" i="162"/>
  <c r="AR135" i="162" s="1"/>
  <c r="T135" i="159"/>
  <c r="BM135" i="163"/>
  <c r="BK135" i="163"/>
  <c r="BL135" i="163" s="1"/>
  <c r="AY112" i="158"/>
  <c r="BC112" i="158" s="1"/>
  <c r="CB135" i="163"/>
  <c r="BF112" i="158"/>
  <c r="BG112" i="158" s="1"/>
  <c r="AE135" i="162"/>
  <c r="AF135" i="162" s="1"/>
  <c r="AC135" i="162"/>
  <c r="AG135" i="162"/>
  <c r="BH135" i="159"/>
  <c r="BI135" i="159" s="1"/>
  <c r="BM135" i="159" s="1"/>
  <c r="BF135" i="159"/>
  <c r="BG135" i="159" s="1"/>
  <c r="CB135" i="159"/>
  <c r="AL135" i="162"/>
  <c r="AM135" i="162" s="1"/>
  <c r="AN135" i="162"/>
  <c r="AO135" i="162" s="1"/>
  <c r="BZ135" i="162"/>
  <c r="P10" i="162"/>
  <c r="BI135" i="163"/>
  <c r="BA135" i="159"/>
  <c r="BB135" i="159" s="1"/>
  <c r="BC135" i="159"/>
  <c r="AY135" i="159"/>
  <c r="O135" i="159"/>
  <c r="CB112" i="158"/>
  <c r="BZ112" i="158"/>
  <c r="AN112" i="158"/>
  <c r="AO112" i="158" s="1"/>
  <c r="AS112" i="158" s="1"/>
  <c r="BI112" i="158"/>
  <c r="BM112" i="158" s="1"/>
  <c r="AV112" i="158"/>
  <c r="AW112" i="158" s="1"/>
  <c r="CA112" i="158"/>
  <c r="K112" i="158"/>
  <c r="L112" i="158" s="1"/>
  <c r="O112" i="158"/>
  <c r="Y112" i="158"/>
  <c r="AD112" i="158"/>
  <c r="T112" i="158"/>
  <c r="E112" i="158"/>
  <c r="AV135" i="159" l="1"/>
  <c r="AW135" i="159" s="1"/>
  <c r="AX135" i="159"/>
  <c r="BT135" i="162"/>
  <c r="CH135" i="162" s="1"/>
  <c r="BS135" i="163"/>
  <c r="CG135" i="163" s="1"/>
  <c r="BU135" i="163"/>
  <c r="CI135" i="163" s="1"/>
  <c r="BT135" i="163"/>
  <c r="CH135" i="163" s="1"/>
  <c r="BP135" i="159"/>
  <c r="CD135" i="159" s="1"/>
  <c r="BQ135" i="159"/>
  <c r="CE135" i="159" s="1"/>
  <c r="BR135" i="159"/>
  <c r="CF135" i="159" s="1"/>
  <c r="U135" i="159"/>
  <c r="V135" i="159" s="1"/>
  <c r="W135" i="159"/>
  <c r="BQ135" i="163"/>
  <c r="CE135" i="163" s="1"/>
  <c r="BR135" i="163"/>
  <c r="CF135" i="163" s="1"/>
  <c r="BP135" i="163"/>
  <c r="CD135" i="163" s="1"/>
  <c r="AG135" i="159"/>
  <c r="AE135" i="159"/>
  <c r="AF135" i="159" s="1"/>
  <c r="BW135" i="159"/>
  <c r="AB135" i="159"/>
  <c r="AC135" i="159" s="1"/>
  <c r="Z135" i="159"/>
  <c r="AA135" i="159" s="1"/>
  <c r="BY135" i="159"/>
  <c r="F135" i="159"/>
  <c r="G135" i="159" s="1"/>
  <c r="H135" i="159"/>
  <c r="I135" i="159" s="1"/>
  <c r="P9" i="159"/>
  <c r="R135" i="159"/>
  <c r="S135" i="159" s="1"/>
  <c r="BX135" i="159"/>
  <c r="P135" i="159"/>
  <c r="Q135" i="159" s="1"/>
  <c r="BR135" i="162"/>
  <c r="CF135" i="162" s="1"/>
  <c r="BQ135" i="162"/>
  <c r="CE135" i="162" s="1"/>
  <c r="M135" i="159"/>
  <c r="K135" i="159"/>
  <c r="L135" i="159" s="1"/>
  <c r="BP112" i="158"/>
  <c r="CD112" i="158" s="1"/>
  <c r="BQ112" i="158"/>
  <c r="CE112" i="158" s="1"/>
  <c r="BR112" i="158"/>
  <c r="CF112" i="158" s="1"/>
  <c r="U112" i="158"/>
  <c r="V112" i="158" s="1"/>
  <c r="F112" i="158"/>
  <c r="H112" i="158"/>
  <c r="I112" i="158" s="1"/>
  <c r="M112" i="158" s="1"/>
  <c r="BY112" i="158"/>
  <c r="R112" i="158"/>
  <c r="S112" i="158" s="1"/>
  <c r="W112" i="158" s="1"/>
  <c r="BX112" i="158"/>
  <c r="P112" i="158"/>
  <c r="Q112" i="158" s="1"/>
  <c r="AE112" i="158"/>
  <c r="AF112" i="158" s="1"/>
  <c r="Z112" i="158"/>
  <c r="AA112" i="158" s="1"/>
  <c r="AB112" i="158"/>
  <c r="AC112" i="158" s="1"/>
  <c r="AG112" i="158" s="1"/>
  <c r="BW112" i="158"/>
  <c r="CR135" i="162" l="1"/>
  <c r="CX135" i="162"/>
  <c r="CO135" i="162"/>
  <c r="CW135" i="162"/>
  <c r="CM135" i="162"/>
  <c r="CY135" i="162"/>
  <c r="CK135" i="162"/>
  <c r="CT135" i="162"/>
  <c r="CL135" i="162"/>
  <c r="CV135" i="163"/>
  <c r="CP135" i="163"/>
  <c r="CR135" i="163"/>
  <c r="CL135" i="163"/>
  <c r="CO135" i="163"/>
  <c r="CN135" i="163"/>
  <c r="CK135" i="163"/>
  <c r="CQ135" i="163"/>
  <c r="CM135" i="163"/>
  <c r="CS135" i="163"/>
  <c r="CT135" i="163"/>
  <c r="CZ135" i="163"/>
  <c r="CU135" i="163"/>
  <c r="CY135" i="163"/>
  <c r="CX135" i="163"/>
  <c r="CW135" i="163"/>
  <c r="CS135" i="162"/>
  <c r="CQ135" i="162"/>
  <c r="CU135" i="162"/>
  <c r="CP135" i="162"/>
  <c r="CN135" i="162"/>
  <c r="CV135" i="162"/>
  <c r="CZ135" i="162"/>
  <c r="BS135" i="159"/>
  <c r="CG135" i="159" s="1"/>
  <c r="BU135" i="159"/>
  <c r="CI135" i="159" s="1"/>
  <c r="BT135" i="159"/>
  <c r="CH135" i="159" s="1"/>
  <c r="BU112" i="158"/>
  <c r="CI112" i="158" s="1"/>
  <c r="BS112" i="158"/>
  <c r="CG112" i="158" s="1"/>
  <c r="BT112" i="158"/>
  <c r="CH112" i="158" s="1"/>
  <c r="G112" i="158"/>
  <c r="AK113" i="158" s="1"/>
  <c r="CR135" i="159" l="1"/>
  <c r="CV112" i="158"/>
  <c r="CQ112" i="158"/>
  <c r="CZ112" i="158"/>
  <c r="CT135" i="159"/>
  <c r="CK135" i="159"/>
  <c r="CL112" i="158"/>
  <c r="CX112" i="158"/>
  <c r="CQ135" i="159"/>
  <c r="CO135" i="159"/>
  <c r="CO112" i="158"/>
  <c r="CP112" i="158"/>
  <c r="CX135" i="159"/>
  <c r="CS135" i="159"/>
  <c r="CM112" i="158"/>
  <c r="CU112" i="158"/>
  <c r="CZ135" i="159"/>
  <c r="CN135" i="159"/>
  <c r="CK112" i="158"/>
  <c r="CT112" i="158"/>
  <c r="CY135" i="159"/>
  <c r="CL135" i="159"/>
  <c r="CW112" i="158"/>
  <c r="CS112" i="158"/>
  <c r="CV135" i="159"/>
  <c r="CP135" i="159"/>
  <c r="CN112" i="158"/>
  <c r="CY112" i="158"/>
  <c r="CW135" i="159"/>
  <c r="CM135" i="159"/>
  <c r="CR112" i="158"/>
  <c r="CU135" i="159"/>
  <c r="BE113" i="158"/>
  <c r="BF113" i="158" s="1"/>
  <c r="BG113" i="158" s="1"/>
  <c r="BJ113" i="158"/>
  <c r="BK113" i="158" s="1"/>
  <c r="BL113" i="158" s="1"/>
  <c r="AZ113" i="158"/>
  <c r="BA113" i="158" s="1"/>
  <c r="BB113" i="158" s="1"/>
  <c r="AP113" i="158"/>
  <c r="BZ113" i="158" s="1"/>
  <c r="AU113" i="158"/>
  <c r="AV113" i="158" s="1"/>
  <c r="AW113" i="158" s="1"/>
  <c r="AL113" i="158"/>
  <c r="AM113" i="158" s="1"/>
  <c r="AN113" i="158"/>
  <c r="J113" i="158"/>
  <c r="T113" i="158"/>
  <c r="O113" i="158"/>
  <c r="Y113" i="158"/>
  <c r="E113" i="158"/>
  <c r="AD113" i="158"/>
  <c r="AQ113" i="158" l="1"/>
  <c r="AR113" i="158" s="1"/>
  <c r="AX113" i="158"/>
  <c r="AY113" i="158" s="1"/>
  <c r="BC113" i="158" s="1"/>
  <c r="CA113" i="158"/>
  <c r="BR113" i="158" s="1"/>
  <c r="CF113" i="158" s="1"/>
  <c r="CB113" i="158"/>
  <c r="BH113" i="158"/>
  <c r="BI113" i="158" s="1"/>
  <c r="BM113" i="158" s="1"/>
  <c r="AO113" i="158"/>
  <c r="AS113" i="158" s="1"/>
  <c r="AB113" i="158"/>
  <c r="AC113" i="158" s="1"/>
  <c r="AG113" i="158" s="1"/>
  <c r="BW113" i="158"/>
  <c r="Z113" i="158"/>
  <c r="AA113" i="158" s="1"/>
  <c r="AE113" i="158"/>
  <c r="AF113" i="158" s="1"/>
  <c r="F113" i="158"/>
  <c r="BY113" i="158"/>
  <c r="H113" i="158"/>
  <c r="I113" i="158" s="1"/>
  <c r="M113" i="158" s="1"/>
  <c r="U113" i="158"/>
  <c r="V113" i="158" s="1"/>
  <c r="K113" i="158"/>
  <c r="L113" i="158" s="1"/>
  <c r="BX113" i="158"/>
  <c r="R113" i="158"/>
  <c r="S113" i="158" s="1"/>
  <c r="W113" i="158" s="1"/>
  <c r="P113" i="158"/>
  <c r="Q113" i="158" s="1"/>
  <c r="BQ113" i="158" l="1"/>
  <c r="CE113" i="158" s="1"/>
  <c r="BP113" i="158"/>
  <c r="CD113" i="158" s="1"/>
  <c r="BS113" i="158"/>
  <c r="CG113" i="158" s="1"/>
  <c r="BT113" i="158"/>
  <c r="CH113" i="158" s="1"/>
  <c r="BU113" i="158"/>
  <c r="CI113" i="158" s="1"/>
  <c r="G113" i="158"/>
  <c r="CW113" i="158" l="1"/>
  <c r="CS113" i="158"/>
  <c r="CX113" i="158"/>
  <c r="CU113" i="158"/>
  <c r="CZ113" i="158"/>
  <c r="CV113" i="158"/>
  <c r="CR113" i="158"/>
  <c r="CT113" i="158"/>
  <c r="CK113" i="158"/>
  <c r="CP113" i="158"/>
  <c r="CO113" i="158"/>
  <c r="CY113" i="158"/>
  <c r="CQ113" i="158"/>
  <c r="CL113" i="158"/>
  <c r="CM113" i="158"/>
  <c r="CN113" i="158"/>
  <c r="BE114" i="158"/>
  <c r="BH114" i="158" s="1"/>
  <c r="BJ114" i="158"/>
  <c r="AK114" i="158"/>
  <c r="AN114" i="158" s="1"/>
  <c r="AZ114" i="158"/>
  <c r="BA114" i="158" s="1"/>
  <c r="BB114" i="158" s="1"/>
  <c r="AP114" i="158"/>
  <c r="AQ114" i="158" s="1"/>
  <c r="AR114" i="158" s="1"/>
  <c r="AU114" i="158"/>
  <c r="AX114" i="158" s="1"/>
  <c r="AY114" i="158" l="1"/>
  <c r="BC114" i="158" s="1"/>
  <c r="BF114" i="158"/>
  <c r="BG114" i="158" s="1"/>
  <c r="CB114" i="158"/>
  <c r="AL114" i="158"/>
  <c r="AM114" i="158" s="1"/>
  <c r="AO114" i="158"/>
  <c r="AS114" i="158" s="1"/>
  <c r="BZ114" i="158"/>
  <c r="BK114" i="158"/>
  <c r="BL114" i="158" s="1"/>
  <c r="BI114" i="158"/>
  <c r="BM114" i="158" s="1"/>
  <c r="AV114" i="158"/>
  <c r="AW114" i="158" s="1"/>
  <c r="CA114" i="158"/>
  <c r="J114" i="158"/>
  <c r="BQ114" i="158" l="1"/>
  <c r="CE114" i="158" s="1"/>
  <c r="BR114" i="158"/>
  <c r="CF114" i="158" s="1"/>
  <c r="BP114" i="158"/>
  <c r="CD114" i="158" s="1"/>
  <c r="K114" i="158"/>
  <c r="L114" i="158" s="1"/>
  <c r="O114" i="158"/>
  <c r="E114" i="158"/>
  <c r="T114" i="158"/>
  <c r="AD114" i="158"/>
  <c r="Y114" i="158"/>
  <c r="Z114" i="158" l="1"/>
  <c r="AA114" i="158" s="1"/>
  <c r="AB114" i="158"/>
  <c r="AC114" i="158" s="1"/>
  <c r="AG114" i="158" s="1"/>
  <c r="BW114" i="158"/>
  <c r="AE114" i="158"/>
  <c r="AF114" i="158" s="1"/>
  <c r="P114" i="158"/>
  <c r="Q114" i="158" s="1"/>
  <c r="R114" i="158"/>
  <c r="S114" i="158" s="1"/>
  <c r="W114" i="158" s="1"/>
  <c r="BX114" i="158"/>
  <c r="BY114" i="158"/>
  <c r="H114" i="158"/>
  <c r="I114" i="158" s="1"/>
  <c r="M114" i="158" s="1"/>
  <c r="F114" i="158"/>
  <c r="U114" i="158"/>
  <c r="V114" i="158" s="1"/>
  <c r="BT114" i="158" l="1"/>
  <c r="CH114" i="158" s="1"/>
  <c r="BS114" i="158"/>
  <c r="CG114" i="158" s="1"/>
  <c r="BU114" i="158"/>
  <c r="CI114" i="158" s="1"/>
  <c r="G114" i="158"/>
  <c r="BJ115" i="158" s="1"/>
  <c r="CX114" i="158" l="1"/>
  <c r="CL114" i="158"/>
  <c r="CZ114" i="158"/>
  <c r="CT114" i="158"/>
  <c r="CV114" i="158"/>
  <c r="CQ114" i="158"/>
  <c r="CY114" i="158"/>
  <c r="CR114" i="158"/>
  <c r="CW114" i="158"/>
  <c r="CN114" i="158"/>
  <c r="CS114" i="158"/>
  <c r="CO114" i="158"/>
  <c r="CU114" i="158"/>
  <c r="CM114" i="158"/>
  <c r="CP114" i="158"/>
  <c r="CK114" i="158"/>
  <c r="AK115" i="158"/>
  <c r="AL115" i="158" s="1"/>
  <c r="AM115" i="158" s="1"/>
  <c r="AP115" i="158"/>
  <c r="AQ115" i="158" s="1"/>
  <c r="AR115" i="158" s="1"/>
  <c r="AZ115" i="158"/>
  <c r="BA115" i="158" s="1"/>
  <c r="BB115" i="158" s="1"/>
  <c r="BE115" i="158"/>
  <c r="BH115" i="158" s="1"/>
  <c r="BI115" i="158" s="1"/>
  <c r="BM115" i="158" s="1"/>
  <c r="AU115" i="158"/>
  <c r="AV115" i="158" s="1"/>
  <c r="AW115" i="158" s="1"/>
  <c r="BK115" i="158"/>
  <c r="BL115" i="158" s="1"/>
  <c r="J115" i="158"/>
  <c r="T115" i="158"/>
  <c r="AD115" i="158"/>
  <c r="O115" i="158"/>
  <c r="Y115" i="158"/>
  <c r="E115" i="158"/>
  <c r="BF115" i="158" l="1"/>
  <c r="BG115" i="158" s="1"/>
  <c r="CB115" i="158"/>
  <c r="AX115" i="158"/>
  <c r="AY115" i="158" s="1"/>
  <c r="BC115" i="158" s="1"/>
  <c r="AN115" i="158"/>
  <c r="AO115" i="158" s="1"/>
  <c r="AS115" i="158" s="1"/>
  <c r="BZ115" i="158"/>
  <c r="CA115" i="158"/>
  <c r="AE115" i="158"/>
  <c r="AF115" i="158" s="1"/>
  <c r="R115" i="158"/>
  <c r="S115" i="158" s="1"/>
  <c r="W115" i="158" s="1"/>
  <c r="BX115" i="158"/>
  <c r="P115" i="158"/>
  <c r="Q115" i="158" s="1"/>
  <c r="K115" i="158"/>
  <c r="L115" i="158" s="1"/>
  <c r="H115" i="158"/>
  <c r="I115" i="158" s="1"/>
  <c r="M115" i="158" s="1"/>
  <c r="F115" i="158"/>
  <c r="BY115" i="158"/>
  <c r="U115" i="158"/>
  <c r="V115" i="158" s="1"/>
  <c r="AB115" i="158"/>
  <c r="AC115" i="158" s="1"/>
  <c r="AG115" i="158" s="1"/>
  <c r="Z115" i="158"/>
  <c r="AA115" i="158" s="1"/>
  <c r="BW115" i="158"/>
  <c r="BS115" i="158" l="1"/>
  <c r="CG115" i="158" s="1"/>
  <c r="BT115" i="158"/>
  <c r="CH115" i="158" s="1"/>
  <c r="BU115" i="158"/>
  <c r="CI115" i="158" s="1"/>
  <c r="BR115" i="158"/>
  <c r="CF115" i="158" s="1"/>
  <c r="BQ115" i="158"/>
  <c r="CE115" i="158" s="1"/>
  <c r="BP115" i="158"/>
  <c r="CD115" i="158" s="1"/>
  <c r="G115" i="158"/>
  <c r="CW115" i="158" l="1"/>
  <c r="CS115" i="158"/>
  <c r="CX115" i="158"/>
  <c r="CZ115" i="158"/>
  <c r="CT115" i="158"/>
  <c r="CU115" i="158"/>
  <c r="CR115" i="158"/>
  <c r="CV115" i="158"/>
  <c r="CO115" i="158"/>
  <c r="CK115" i="158"/>
  <c r="CP115" i="158"/>
  <c r="CN115" i="158"/>
  <c r="CQ115" i="158"/>
  <c r="CL115" i="158"/>
  <c r="CM115" i="158"/>
  <c r="CY115" i="158"/>
  <c r="BE116" i="158"/>
  <c r="BF116" i="158" s="1"/>
  <c r="BG116" i="158" s="1"/>
  <c r="AZ116" i="158"/>
  <c r="BA116" i="158" s="1"/>
  <c r="BB116" i="158" s="1"/>
  <c r="AK116" i="158"/>
  <c r="AN116" i="158" s="1"/>
  <c r="AP116" i="158"/>
  <c r="AQ116" i="158" s="1"/>
  <c r="AR116" i="158" s="1"/>
  <c r="BJ116" i="158"/>
  <c r="BK116" i="158" s="1"/>
  <c r="BL116" i="158" s="1"/>
  <c r="AU116" i="158"/>
  <c r="AX116" i="158" s="1"/>
  <c r="AY116" i="158" s="1"/>
  <c r="BC116" i="158" s="1"/>
  <c r="BH116" i="158" l="1"/>
  <c r="BI116" i="158" s="1"/>
  <c r="BM116" i="158" s="1"/>
  <c r="AO116" i="158"/>
  <c r="AS116" i="158" s="1"/>
  <c r="AL116" i="158"/>
  <c r="AM116" i="158" s="1"/>
  <c r="BZ116" i="158"/>
  <c r="CB116" i="158"/>
  <c r="CA116" i="158"/>
  <c r="AV116" i="158"/>
  <c r="AW116" i="158" s="1"/>
  <c r="E116" i="158"/>
  <c r="BP116" i="158" l="1"/>
  <c r="CD116" i="158" s="1"/>
  <c r="BQ116" i="158"/>
  <c r="CE116" i="158" s="1"/>
  <c r="BR116" i="158"/>
  <c r="CF116" i="158" s="1"/>
  <c r="H116" i="158"/>
  <c r="F116" i="158"/>
  <c r="T116" i="158"/>
  <c r="J116" i="158"/>
  <c r="BY116" i="158" s="1"/>
  <c r="Y116" i="158"/>
  <c r="AD116" i="158"/>
  <c r="O116" i="158"/>
  <c r="AE116" i="158" l="1"/>
  <c r="AF116" i="158" s="1"/>
  <c r="Z116" i="158"/>
  <c r="AA116" i="158" s="1"/>
  <c r="BW116" i="158"/>
  <c r="AB116" i="158"/>
  <c r="AC116" i="158" s="1"/>
  <c r="AG116" i="158" s="1"/>
  <c r="U116" i="158"/>
  <c r="V116" i="158" s="1"/>
  <c r="G116" i="158"/>
  <c r="K116" i="158"/>
  <c r="L116" i="158" s="1"/>
  <c r="P116" i="158"/>
  <c r="Q116" i="158" s="1"/>
  <c r="BX116" i="158"/>
  <c r="BU116" i="158" s="1"/>
  <c r="CI116" i="158" s="1"/>
  <c r="R116" i="158"/>
  <c r="S116" i="158" s="1"/>
  <c r="W116" i="158" s="1"/>
  <c r="I116" i="158"/>
  <c r="M116" i="158" s="1"/>
  <c r="BT116" i="158" l="1"/>
  <c r="CH116" i="158" s="1"/>
  <c r="BS116" i="158"/>
  <c r="CG116" i="158" s="1"/>
  <c r="AU117" i="158"/>
  <c r="AV117" i="158" s="1"/>
  <c r="AW117" i="158" s="1"/>
  <c r="AK117" i="158"/>
  <c r="AL117" i="158" s="1"/>
  <c r="AM117" i="158" s="1"/>
  <c r="AZ117" i="158"/>
  <c r="BA117" i="158" s="1"/>
  <c r="BB117" i="158" s="1"/>
  <c r="BE117" i="158"/>
  <c r="BH117" i="158" s="1"/>
  <c r="BJ117" i="158"/>
  <c r="BK117" i="158" s="1"/>
  <c r="BL117" i="158" s="1"/>
  <c r="AP117" i="158"/>
  <c r="CX116" i="158" l="1"/>
  <c r="CL116" i="158"/>
  <c r="CZ116" i="158"/>
  <c r="CQ116" i="158"/>
  <c r="CV116" i="158"/>
  <c r="CR116" i="158"/>
  <c r="CW116" i="158"/>
  <c r="CN116" i="158"/>
  <c r="CS116" i="158"/>
  <c r="CT116" i="158"/>
  <c r="CU116" i="158"/>
  <c r="CO116" i="158"/>
  <c r="CY116" i="158"/>
  <c r="CK116" i="158"/>
  <c r="CP116" i="158"/>
  <c r="CM116" i="158"/>
  <c r="BZ117" i="158"/>
  <c r="AX117" i="158"/>
  <c r="AY117" i="158" s="1"/>
  <c r="BC117" i="158" s="1"/>
  <c r="CA117" i="158"/>
  <c r="AN117" i="158"/>
  <c r="AO117" i="158" s="1"/>
  <c r="AS117" i="158" s="1"/>
  <c r="T117" i="158"/>
  <c r="U117" i="158" s="1"/>
  <c r="V117" i="158" s="1"/>
  <c r="BF117" i="158"/>
  <c r="BG117" i="158" s="1"/>
  <c r="AD117" i="158"/>
  <c r="AE117" i="158" s="1"/>
  <c r="AF117" i="158" s="1"/>
  <c r="J117" i="158"/>
  <c r="BI117" i="158"/>
  <c r="BM117" i="158" s="1"/>
  <c r="CB117" i="158"/>
  <c r="AQ117" i="158"/>
  <c r="AR117" i="158" s="1"/>
  <c r="BR117" i="158" l="1"/>
  <c r="CF117" i="158" s="1"/>
  <c r="BP117" i="158"/>
  <c r="CD117" i="158" s="1"/>
  <c r="BQ117" i="158"/>
  <c r="CE117" i="158" s="1"/>
  <c r="Y117" i="158"/>
  <c r="Z117" i="158" s="1"/>
  <c r="AA117" i="158" s="1"/>
  <c r="E117" i="158"/>
  <c r="H117" i="158" s="1"/>
  <c r="O117" i="158"/>
  <c r="K117" i="158"/>
  <c r="L117" i="158" s="1"/>
  <c r="F117" i="158" l="1"/>
  <c r="G117" i="158" s="1"/>
  <c r="I117" i="158"/>
  <c r="M117" i="158" s="1"/>
  <c r="AB117" i="158"/>
  <c r="AC117" i="158" s="1"/>
  <c r="AG117" i="158" s="1"/>
  <c r="BW117" i="158"/>
  <c r="BX117" i="158"/>
  <c r="P117" i="158"/>
  <c r="Q117" i="158" s="1"/>
  <c r="R117" i="158"/>
  <c r="S117" i="158" s="1"/>
  <c r="W117" i="158" s="1"/>
  <c r="BY117" i="158"/>
  <c r="BT117" i="158" l="1"/>
  <c r="CH117" i="158" s="1"/>
  <c r="BU117" i="158"/>
  <c r="CI117" i="158" s="1"/>
  <c r="BS117" i="158"/>
  <c r="T118" i="158" l="1"/>
  <c r="CG117" i="158"/>
  <c r="AZ118" i="158"/>
  <c r="BA118" i="158" s="1"/>
  <c r="BB118" i="158" s="1"/>
  <c r="AU118" i="158"/>
  <c r="AK118" i="158"/>
  <c r="BJ118" i="158"/>
  <c r="AP118" i="158"/>
  <c r="BE118" i="158"/>
  <c r="AD118" i="158"/>
  <c r="AE118" i="158" s="1"/>
  <c r="AF118" i="158" s="1"/>
  <c r="U118" i="158"/>
  <c r="V118" i="158" s="1"/>
  <c r="J118" i="158"/>
  <c r="O118" i="158"/>
  <c r="Y118" i="158"/>
  <c r="E118" i="158"/>
  <c r="CW117" i="158" l="1"/>
  <c r="CK117" i="158"/>
  <c r="CS117" i="158"/>
  <c r="CP117" i="158"/>
  <c r="CZ117" i="158"/>
  <c r="CO117" i="158"/>
  <c r="CT117" i="158"/>
  <c r="CU117" i="158"/>
  <c r="CV117" i="158"/>
  <c r="CN117" i="158"/>
  <c r="CX117" i="158"/>
  <c r="CM117" i="158"/>
  <c r="CY117" i="158"/>
  <c r="CQ117" i="158"/>
  <c r="CR117" i="158"/>
  <c r="CL117" i="158"/>
  <c r="BH118" i="158"/>
  <c r="BI118" i="158" s="1"/>
  <c r="BM118" i="158" s="1"/>
  <c r="CB118" i="158"/>
  <c r="BF118" i="158"/>
  <c r="BG118" i="158" s="1"/>
  <c r="AQ118" i="158"/>
  <c r="AR118" i="158" s="1"/>
  <c r="BK118" i="158"/>
  <c r="BL118" i="158" s="1"/>
  <c r="AL118" i="158"/>
  <c r="AM118" i="158" s="1"/>
  <c r="AN118" i="158"/>
  <c r="AO118" i="158" s="1"/>
  <c r="AS118" i="158" s="1"/>
  <c r="BZ118" i="158"/>
  <c r="CA118" i="158"/>
  <c r="AV118" i="158"/>
  <c r="AW118" i="158" s="1"/>
  <c r="AX118" i="158"/>
  <c r="AY118" i="158" s="1"/>
  <c r="BC118" i="158" s="1"/>
  <c r="H118" i="158"/>
  <c r="I118" i="158" s="1"/>
  <c r="M118" i="158" s="1"/>
  <c r="BY118" i="158"/>
  <c r="F118" i="158"/>
  <c r="R118" i="158"/>
  <c r="S118" i="158" s="1"/>
  <c r="W118" i="158" s="1"/>
  <c r="P118" i="158"/>
  <c r="Q118" i="158" s="1"/>
  <c r="BX118" i="158"/>
  <c r="K118" i="158"/>
  <c r="L118" i="158" s="1"/>
  <c r="AB118" i="158"/>
  <c r="AC118" i="158" s="1"/>
  <c r="AG118" i="158" s="1"/>
  <c r="Z118" i="158"/>
  <c r="AA118" i="158" s="1"/>
  <c r="BW118" i="158"/>
  <c r="BQ118" i="158" l="1"/>
  <c r="CE118" i="158" s="1"/>
  <c r="BR118" i="158"/>
  <c r="CF118" i="158" s="1"/>
  <c r="BP118" i="158"/>
  <c r="CD118" i="158" s="1"/>
  <c r="BT118" i="158"/>
  <c r="CH118" i="158" s="1"/>
  <c r="BS118" i="158"/>
  <c r="CG118" i="158" s="1"/>
  <c r="BU118" i="158"/>
  <c r="CI118" i="158" s="1"/>
  <c r="G118" i="158"/>
  <c r="AZ119" i="158" s="1"/>
  <c r="BA119" i="158" s="1"/>
  <c r="BB119" i="158" s="1"/>
  <c r="CX118" i="158" l="1"/>
  <c r="CZ118" i="158"/>
  <c r="CV118" i="158"/>
  <c r="CU118" i="158"/>
  <c r="CW118" i="158"/>
  <c r="CS118" i="158"/>
  <c r="CT118" i="158"/>
  <c r="CY118" i="158"/>
  <c r="CP118" i="158"/>
  <c r="CL118" i="158"/>
  <c r="CQ118" i="158"/>
  <c r="CR118" i="158"/>
  <c r="CN118" i="158"/>
  <c r="CK118" i="158"/>
  <c r="CM118" i="158"/>
  <c r="CO118" i="158"/>
  <c r="AU119" i="158"/>
  <c r="CA119" i="158" s="1"/>
  <c r="BJ119" i="158"/>
  <c r="BK119" i="158" s="1"/>
  <c r="BL119" i="158" s="1"/>
  <c r="AP119" i="158"/>
  <c r="AQ119" i="158" s="1"/>
  <c r="AR119" i="158" s="1"/>
  <c r="AK119" i="158"/>
  <c r="BE119" i="158"/>
  <c r="CB119" i="158" l="1"/>
  <c r="BZ119" i="158"/>
  <c r="AX119" i="158"/>
  <c r="AY119" i="158" s="1"/>
  <c r="BC119" i="158" s="1"/>
  <c r="AN119" i="158"/>
  <c r="AO119" i="158" s="1"/>
  <c r="AS119" i="158" s="1"/>
  <c r="AV119" i="158"/>
  <c r="AW119" i="158" s="1"/>
  <c r="AL119" i="158"/>
  <c r="AM119" i="158" s="1"/>
  <c r="BF119" i="158"/>
  <c r="BG119" i="158" s="1"/>
  <c r="BH119" i="158"/>
  <c r="BI119" i="158" s="1"/>
  <c r="BM119" i="158" s="1"/>
  <c r="E119" i="158"/>
  <c r="J119" i="158"/>
  <c r="O119" i="158"/>
  <c r="AD119" i="158"/>
  <c r="Y119" i="158"/>
  <c r="T119" i="158"/>
  <c r="BP119" i="158" l="1"/>
  <c r="CD119" i="158" s="1"/>
  <c r="BQ119" i="158"/>
  <c r="CE119" i="158" s="1"/>
  <c r="BR119" i="158"/>
  <c r="CF119" i="158" s="1"/>
  <c r="AB119" i="158"/>
  <c r="AC119" i="158" s="1"/>
  <c r="AG119" i="158" s="1"/>
  <c r="BW119" i="158"/>
  <c r="Z119" i="158"/>
  <c r="AA119" i="158" s="1"/>
  <c r="AE119" i="158"/>
  <c r="AF119" i="158" s="1"/>
  <c r="BX119" i="158"/>
  <c r="P119" i="158"/>
  <c r="Q119" i="158" s="1"/>
  <c r="R119" i="158"/>
  <c r="S119" i="158" s="1"/>
  <c r="W119" i="158" s="1"/>
  <c r="U119" i="158"/>
  <c r="V119" i="158" s="1"/>
  <c r="K119" i="158"/>
  <c r="L119" i="158" s="1"/>
  <c r="F119" i="158"/>
  <c r="H119" i="158"/>
  <c r="I119" i="158" s="1"/>
  <c r="M119" i="158" s="1"/>
  <c r="BY119" i="158"/>
  <c r="BS119" i="158" l="1"/>
  <c r="CG119" i="158" s="1"/>
  <c r="BT119" i="158"/>
  <c r="CH119" i="158" s="1"/>
  <c r="BU119" i="158"/>
  <c r="CI119" i="158" s="1"/>
  <c r="CQ119" i="158" s="1"/>
  <c r="G119" i="158"/>
  <c r="AZ120" i="158" s="1"/>
  <c r="CW119" i="158" l="1"/>
  <c r="CN119" i="158"/>
  <c r="CZ119" i="158"/>
  <c r="CR119" i="158"/>
  <c r="CM119" i="158"/>
  <c r="CU119" i="158"/>
  <c r="CL119" i="158"/>
  <c r="CV119" i="158"/>
  <c r="CT119" i="158"/>
  <c r="CX119" i="158"/>
  <c r="CP119" i="158"/>
  <c r="CY119" i="158"/>
  <c r="CK119" i="158"/>
  <c r="CS119" i="158"/>
  <c r="CO119" i="158"/>
  <c r="AP120" i="158"/>
  <c r="AQ120" i="158" s="1"/>
  <c r="AR120" i="158" s="1"/>
  <c r="BJ120" i="158"/>
  <c r="BK120" i="158" s="1"/>
  <c r="BL120" i="158" s="1"/>
  <c r="AU120" i="158"/>
  <c r="CA120" i="158" s="1"/>
  <c r="AK120" i="158"/>
  <c r="AN120" i="158" s="1"/>
  <c r="BE120" i="158"/>
  <c r="E120" i="158"/>
  <c r="BA120" i="158"/>
  <c r="BB120" i="158" s="1"/>
  <c r="CB120" i="158" l="1"/>
  <c r="AX120" i="158"/>
  <c r="AY120" i="158" s="1"/>
  <c r="BC120" i="158" s="1"/>
  <c r="AO120" i="158"/>
  <c r="AS120" i="158" s="1"/>
  <c r="AV120" i="158"/>
  <c r="AW120" i="158" s="1"/>
  <c r="BZ120" i="158"/>
  <c r="AL120" i="158"/>
  <c r="AM120" i="158" s="1"/>
  <c r="BF120" i="158"/>
  <c r="BG120" i="158" s="1"/>
  <c r="BH120" i="158"/>
  <c r="BI120" i="158" s="1"/>
  <c r="BM120" i="158" s="1"/>
  <c r="T120" i="158"/>
  <c r="U120" i="158" s="1"/>
  <c r="V120" i="158" s="1"/>
  <c r="H120" i="158"/>
  <c r="F120" i="158"/>
  <c r="Y120" i="158"/>
  <c r="AD120" i="158"/>
  <c r="O120" i="158"/>
  <c r="J120" i="158"/>
  <c r="BP120" i="158" l="1"/>
  <c r="CD120" i="158" s="1"/>
  <c r="BQ120" i="158"/>
  <c r="CE120" i="158" s="1"/>
  <c r="BR120" i="158"/>
  <c r="CF120" i="158" s="1"/>
  <c r="BX120" i="158"/>
  <c r="R120" i="158"/>
  <c r="S120" i="158" s="1"/>
  <c r="W120" i="158" s="1"/>
  <c r="P120" i="158"/>
  <c r="Q120" i="158" s="1"/>
  <c r="BW120" i="158"/>
  <c r="AE120" i="158"/>
  <c r="AF120" i="158" s="1"/>
  <c r="K120" i="158"/>
  <c r="L120" i="158" s="1"/>
  <c r="BY120" i="158"/>
  <c r="Z120" i="158"/>
  <c r="AA120" i="158" s="1"/>
  <c r="AB120" i="158"/>
  <c r="AC120" i="158" s="1"/>
  <c r="AG120" i="158" s="1"/>
  <c r="G120" i="158"/>
  <c r="I120" i="158"/>
  <c r="M120" i="158" s="1"/>
  <c r="BU120" i="158" l="1"/>
  <c r="CI120" i="158" s="1"/>
  <c r="BS120" i="158"/>
  <c r="CG120" i="158" s="1"/>
  <c r="BT120" i="158"/>
  <c r="CH120" i="158" s="1"/>
  <c r="CM120" i="158" s="1"/>
  <c r="AK121" i="158"/>
  <c r="AZ121" i="158"/>
  <c r="BA121" i="158" s="1"/>
  <c r="BB121" i="158" s="1"/>
  <c r="BE121" i="158"/>
  <c r="CX120" i="158" l="1"/>
  <c r="CK120" i="158"/>
  <c r="CT120" i="158"/>
  <c r="CU120" i="158"/>
  <c r="CO120" i="158"/>
  <c r="CS120" i="158"/>
  <c r="CN120" i="158"/>
  <c r="CY120" i="158"/>
  <c r="CR120" i="158"/>
  <c r="CW120" i="158"/>
  <c r="CQ120" i="158"/>
  <c r="CV120" i="158"/>
  <c r="CL120" i="158"/>
  <c r="CZ120" i="158"/>
  <c r="CP120" i="158"/>
  <c r="AU121" i="158"/>
  <c r="CA121" i="158" s="1"/>
  <c r="AP121" i="158"/>
  <c r="AQ121" i="158" s="1"/>
  <c r="AR121" i="158" s="1"/>
  <c r="BJ121" i="158"/>
  <c r="BK121" i="158" s="1"/>
  <c r="BL121" i="158" s="1"/>
  <c r="BH121" i="158"/>
  <c r="BF121" i="158"/>
  <c r="BG121" i="158" s="1"/>
  <c r="AN121" i="158"/>
  <c r="AL121" i="158"/>
  <c r="AM121" i="158" s="1"/>
  <c r="AO121" i="158" l="1"/>
  <c r="AS121" i="158" s="1"/>
  <c r="BZ121" i="158"/>
  <c r="BR121" i="158" s="1"/>
  <c r="CF121" i="158" s="1"/>
  <c r="CB121" i="158"/>
  <c r="BI121" i="158"/>
  <c r="BM121" i="158" s="1"/>
  <c r="AX121" i="158"/>
  <c r="AY121" i="158" s="1"/>
  <c r="BC121" i="158" s="1"/>
  <c r="AV121" i="158"/>
  <c r="AW121" i="158" s="1"/>
  <c r="O121" i="158"/>
  <c r="J121" i="158"/>
  <c r="T121" i="158"/>
  <c r="AD121" i="158"/>
  <c r="Y121" i="158"/>
  <c r="E121" i="158"/>
  <c r="BQ121" i="158" l="1"/>
  <c r="CE121" i="158" s="1"/>
  <c r="BP121" i="158"/>
  <c r="CD121" i="158" s="1"/>
  <c r="AE121" i="158"/>
  <c r="AF121" i="158" s="1"/>
  <c r="F121" i="158"/>
  <c r="BY121" i="158"/>
  <c r="H121" i="158"/>
  <c r="I121" i="158" s="1"/>
  <c r="M121" i="158" s="1"/>
  <c r="U121" i="158"/>
  <c r="V121" i="158" s="1"/>
  <c r="AB121" i="158"/>
  <c r="AC121" i="158" s="1"/>
  <c r="AG121" i="158" s="1"/>
  <c r="BW121" i="158"/>
  <c r="Z121" i="158"/>
  <c r="AA121" i="158" s="1"/>
  <c r="K121" i="158"/>
  <c r="L121" i="158" s="1"/>
  <c r="BX121" i="158"/>
  <c r="R121" i="158"/>
  <c r="S121" i="158" s="1"/>
  <c r="W121" i="158" s="1"/>
  <c r="P121" i="158"/>
  <c r="Q121" i="158" s="1"/>
  <c r="BU121" i="158" l="1"/>
  <c r="CI121" i="158" s="1"/>
  <c r="BS121" i="158"/>
  <c r="CG121" i="158" s="1"/>
  <c r="BT121" i="158"/>
  <c r="CH121" i="158" s="1"/>
  <c r="G121" i="158"/>
  <c r="BE122" i="158" s="1"/>
  <c r="CW121" i="158" l="1"/>
  <c r="CZ121" i="158"/>
  <c r="CS121" i="158"/>
  <c r="CK121" i="158"/>
  <c r="CM121" i="158"/>
  <c r="CU121" i="158"/>
  <c r="CP121" i="158"/>
  <c r="CX121" i="158"/>
  <c r="CO121" i="158"/>
  <c r="CL121" i="158"/>
  <c r="CN121" i="158"/>
  <c r="CY121" i="158"/>
  <c r="CT121" i="158"/>
  <c r="CV121" i="158"/>
  <c r="CR121" i="158"/>
  <c r="CQ121" i="158"/>
  <c r="AZ122" i="158"/>
  <c r="BA122" i="158" s="1"/>
  <c r="BB122" i="158" s="1"/>
  <c r="AP122" i="158"/>
  <c r="AQ122" i="158" s="1"/>
  <c r="AR122" i="158" s="1"/>
  <c r="AK122" i="158"/>
  <c r="AL122" i="158" s="1"/>
  <c r="AM122" i="158" s="1"/>
  <c r="AU122" i="158"/>
  <c r="BJ122" i="158"/>
  <c r="CB122" i="158" s="1"/>
  <c r="BF122" i="158"/>
  <c r="BG122" i="158" s="1"/>
  <c r="BH122" i="158"/>
  <c r="Y122" i="158"/>
  <c r="CA122" i="158" l="1"/>
  <c r="BK122" i="158"/>
  <c r="BL122" i="158" s="1"/>
  <c r="AV122" i="158"/>
  <c r="AW122" i="158" s="1"/>
  <c r="AN122" i="158"/>
  <c r="AO122" i="158" s="1"/>
  <c r="AS122" i="158" s="1"/>
  <c r="BZ122" i="158"/>
  <c r="AX122" i="158"/>
  <c r="AY122" i="158" s="1"/>
  <c r="BC122" i="158" s="1"/>
  <c r="BI122" i="158"/>
  <c r="BM122" i="158" s="1"/>
  <c r="AB122" i="158"/>
  <c r="Z122" i="158"/>
  <c r="AA122" i="158" s="1"/>
  <c r="O122" i="158"/>
  <c r="T122" i="158"/>
  <c r="J122" i="158"/>
  <c r="AD122" i="158"/>
  <c r="BW122" i="158" s="1"/>
  <c r="E122" i="158"/>
  <c r="BQ122" i="158" l="1"/>
  <c r="CE122" i="158" s="1"/>
  <c r="BR122" i="158"/>
  <c r="CF122" i="158" s="1"/>
  <c r="BP122" i="158"/>
  <c r="CD122" i="158" s="1"/>
  <c r="P122" i="158"/>
  <c r="Q122" i="158" s="1"/>
  <c r="BX122" i="158"/>
  <c r="R122" i="158"/>
  <c r="S122" i="158" s="1"/>
  <c r="W122" i="158" s="1"/>
  <c r="F122" i="158"/>
  <c r="H122" i="158"/>
  <c r="I122" i="158" s="1"/>
  <c r="M122" i="158" s="1"/>
  <c r="BY122" i="158"/>
  <c r="U122" i="158"/>
  <c r="V122" i="158" s="1"/>
  <c r="AE122" i="158"/>
  <c r="AF122" i="158" s="1"/>
  <c r="K122" i="158"/>
  <c r="L122" i="158" s="1"/>
  <c r="AC122" i="158"/>
  <c r="AG122" i="158" s="1"/>
  <c r="BT122" i="158" l="1"/>
  <c r="CH122" i="158" s="1"/>
  <c r="BS122" i="158"/>
  <c r="CG122" i="158" s="1"/>
  <c r="BU122" i="158"/>
  <c r="CI122" i="158" s="1"/>
  <c r="CK122" i="158" s="1"/>
  <c r="G122" i="158"/>
  <c r="AK123" i="158" s="1"/>
  <c r="CX122" i="158" l="1"/>
  <c r="CM122" i="158"/>
  <c r="CP122" i="158"/>
  <c r="CS122" i="158"/>
  <c r="CO122" i="158"/>
  <c r="CU122" i="158"/>
  <c r="CN122" i="158"/>
  <c r="CW122" i="158"/>
  <c r="CR122" i="158"/>
  <c r="CY122" i="158"/>
  <c r="CT122" i="158"/>
  <c r="CV122" i="158"/>
  <c r="CQ122" i="158"/>
  <c r="CZ122" i="158"/>
  <c r="CL122" i="158"/>
  <c r="AP123" i="158"/>
  <c r="AQ123" i="158" s="1"/>
  <c r="AR123" i="158" s="1"/>
  <c r="AU123" i="158"/>
  <c r="AV123" i="158" s="1"/>
  <c r="AW123" i="158" s="1"/>
  <c r="BE123" i="158"/>
  <c r="BF123" i="158" s="1"/>
  <c r="BG123" i="158" s="1"/>
  <c r="AN123" i="158"/>
  <c r="AL123" i="158"/>
  <c r="AM123" i="158" s="1"/>
  <c r="AZ123" i="158"/>
  <c r="BJ123" i="158"/>
  <c r="AX123" i="158" l="1"/>
  <c r="AY123" i="158" s="1"/>
  <c r="BC123" i="158" s="1"/>
  <c r="CA123" i="158"/>
  <c r="BH123" i="158"/>
  <c r="BI123" i="158" s="1"/>
  <c r="BM123" i="158" s="1"/>
  <c r="AO123" i="158"/>
  <c r="AS123" i="158" s="1"/>
  <c r="BZ123" i="158"/>
  <c r="BK123" i="158"/>
  <c r="BL123" i="158" s="1"/>
  <c r="CB123" i="158"/>
  <c r="BA123" i="158"/>
  <c r="BB123" i="158" s="1"/>
  <c r="BP123" i="158" l="1"/>
  <c r="CD123" i="158" s="1"/>
  <c r="BQ123" i="158"/>
  <c r="CE123" i="158" s="1"/>
  <c r="BR123" i="158"/>
  <c r="CF123" i="158" s="1"/>
  <c r="AD123" i="158"/>
  <c r="J123" i="158"/>
  <c r="O123" i="158"/>
  <c r="T123" i="158"/>
  <c r="Y123" i="158"/>
  <c r="E123" i="158"/>
  <c r="H123" i="158" l="1"/>
  <c r="I123" i="158" s="1"/>
  <c r="M123" i="158" s="1"/>
  <c r="BY123" i="158"/>
  <c r="F123" i="158"/>
  <c r="R123" i="158"/>
  <c r="S123" i="158" s="1"/>
  <c r="W123" i="158" s="1"/>
  <c r="BX123" i="158"/>
  <c r="P123" i="158"/>
  <c r="Q123" i="158" s="1"/>
  <c r="AB123" i="158"/>
  <c r="AC123" i="158" s="1"/>
  <c r="AG123" i="158" s="1"/>
  <c r="BW123" i="158"/>
  <c r="Z123" i="158"/>
  <c r="AA123" i="158" s="1"/>
  <c r="K123" i="158"/>
  <c r="L123" i="158" s="1"/>
  <c r="U123" i="158"/>
  <c r="V123" i="158" s="1"/>
  <c r="AE123" i="158"/>
  <c r="AF123" i="158" s="1"/>
  <c r="BS123" i="158" l="1"/>
  <c r="CG123" i="158" s="1"/>
  <c r="BT123" i="158"/>
  <c r="CH123" i="158" s="1"/>
  <c r="BU123" i="158"/>
  <c r="CI123" i="158" s="1"/>
  <c r="G123" i="158"/>
  <c r="CW123" i="158" l="1"/>
  <c r="CU123" i="158"/>
  <c r="CS123" i="158"/>
  <c r="CO123" i="158"/>
  <c r="CM123" i="158"/>
  <c r="CT123" i="158"/>
  <c r="CK123" i="158"/>
  <c r="CN123" i="158"/>
  <c r="CX123" i="158"/>
  <c r="CP123" i="158"/>
  <c r="CV123" i="158"/>
  <c r="CQ123" i="158"/>
  <c r="CY123" i="158"/>
  <c r="CZ123" i="158"/>
  <c r="CR123" i="158"/>
  <c r="CL123" i="158"/>
  <c r="AK124" i="158"/>
  <c r="AL124" i="158" s="1"/>
  <c r="AM124" i="158" s="1"/>
  <c r="AU124" i="158"/>
  <c r="AV124" i="158" s="1"/>
  <c r="AW124" i="158" s="1"/>
  <c r="AZ124" i="158"/>
  <c r="BA124" i="158" s="1"/>
  <c r="BB124" i="158" s="1"/>
  <c r="BE124" i="158"/>
  <c r="BF124" i="158" s="1"/>
  <c r="BG124" i="158" s="1"/>
  <c r="BJ124" i="158"/>
  <c r="AP124" i="158"/>
  <c r="AQ124" i="158" s="1"/>
  <c r="AR124" i="158" s="1"/>
  <c r="AD124" i="158"/>
  <c r="CB124" i="158" l="1"/>
  <c r="AN124" i="158"/>
  <c r="AO124" i="158" s="1"/>
  <c r="AS124" i="158" s="1"/>
  <c r="AX124" i="158"/>
  <c r="AY124" i="158" s="1"/>
  <c r="BC124" i="158" s="1"/>
  <c r="CA124" i="158"/>
  <c r="BH124" i="158"/>
  <c r="BI124" i="158" s="1"/>
  <c r="BM124" i="158" s="1"/>
  <c r="BK124" i="158"/>
  <c r="BL124" i="158" s="1"/>
  <c r="BZ124" i="158"/>
  <c r="J124" i="158"/>
  <c r="K124" i="158" s="1"/>
  <c r="L124" i="158" s="1"/>
  <c r="AE124" i="158"/>
  <c r="AF124" i="158" s="1"/>
  <c r="E124" i="158"/>
  <c r="Y124" i="158"/>
  <c r="O124" i="158"/>
  <c r="T124" i="158"/>
  <c r="BP124" i="158" l="1"/>
  <c r="CD124" i="158" s="1"/>
  <c r="BQ124" i="158"/>
  <c r="CE124" i="158" s="1"/>
  <c r="BR124" i="158"/>
  <c r="CF124" i="158" s="1"/>
  <c r="Z124" i="158"/>
  <c r="AA124" i="158" s="1"/>
  <c r="AB124" i="158"/>
  <c r="AC124" i="158" s="1"/>
  <c r="AG124" i="158" s="1"/>
  <c r="BW124" i="158"/>
  <c r="U124" i="158"/>
  <c r="V124" i="158" s="1"/>
  <c r="BY124" i="158"/>
  <c r="F124" i="158"/>
  <c r="H124" i="158"/>
  <c r="I124" i="158" s="1"/>
  <c r="M124" i="158" s="1"/>
  <c r="P124" i="158"/>
  <c r="Q124" i="158" s="1"/>
  <c r="BX124" i="158"/>
  <c r="R124" i="158"/>
  <c r="S124" i="158" s="1"/>
  <c r="W124" i="158" s="1"/>
  <c r="BU124" i="158" l="1"/>
  <c r="CI124" i="158" s="1"/>
  <c r="BS124" i="158"/>
  <c r="CG124" i="158" s="1"/>
  <c r="BT124" i="158"/>
  <c r="CH124" i="158" s="1"/>
  <c r="CM124" i="158" s="1"/>
  <c r="G124" i="158"/>
  <c r="AK125" i="158" s="1"/>
  <c r="CX124" i="158" l="1"/>
  <c r="CO124" i="158"/>
  <c r="CU124" i="158"/>
  <c r="CT124" i="158"/>
  <c r="CK124" i="158"/>
  <c r="CY124" i="158"/>
  <c r="CN124" i="158"/>
  <c r="CW124" i="158"/>
  <c r="CR124" i="158"/>
  <c r="CS124" i="158"/>
  <c r="CQ124" i="158"/>
  <c r="CV124" i="158"/>
  <c r="CL124" i="158"/>
  <c r="CZ124" i="158"/>
  <c r="CP124" i="158"/>
  <c r="AZ125" i="158"/>
  <c r="BA125" i="158" s="1"/>
  <c r="BB125" i="158" s="1"/>
  <c r="AU125" i="158"/>
  <c r="AX125" i="158" s="1"/>
  <c r="BE125" i="158"/>
  <c r="BJ125" i="158"/>
  <c r="BK125" i="158" s="1"/>
  <c r="BL125" i="158" s="1"/>
  <c r="AP125" i="158"/>
  <c r="AQ125" i="158" s="1"/>
  <c r="AR125" i="158" s="1"/>
  <c r="AL125" i="158"/>
  <c r="AM125" i="158" s="1"/>
  <c r="AN125" i="158"/>
  <c r="CB125" i="158" l="1"/>
  <c r="AV125" i="158"/>
  <c r="AW125" i="158" s="1"/>
  <c r="BF125" i="158"/>
  <c r="BG125" i="158" s="1"/>
  <c r="BH125" i="158"/>
  <c r="BI125" i="158" s="1"/>
  <c r="BM125" i="158" s="1"/>
  <c r="BZ125" i="158"/>
  <c r="AO125" i="158"/>
  <c r="AS125" i="158" s="1"/>
  <c r="CA125" i="158"/>
  <c r="AY125" i="158"/>
  <c r="BC125" i="158" s="1"/>
  <c r="T125" i="158"/>
  <c r="E125" i="158"/>
  <c r="O125" i="158"/>
  <c r="J125" i="158"/>
  <c r="Y125" i="158"/>
  <c r="AD125" i="158"/>
  <c r="BR125" i="158" l="1"/>
  <c r="CF125" i="158" s="1"/>
  <c r="BP125" i="158"/>
  <c r="CD125" i="158" s="1"/>
  <c r="BQ125" i="158"/>
  <c r="CE125" i="158" s="1"/>
  <c r="AE125" i="158"/>
  <c r="AF125" i="158" s="1"/>
  <c r="K125" i="158"/>
  <c r="L125" i="158" s="1"/>
  <c r="Z125" i="158"/>
  <c r="AA125" i="158" s="1"/>
  <c r="BW125" i="158"/>
  <c r="AB125" i="158"/>
  <c r="AC125" i="158" s="1"/>
  <c r="AG125" i="158" s="1"/>
  <c r="BY125" i="158"/>
  <c r="F125" i="158"/>
  <c r="H125" i="158"/>
  <c r="I125" i="158" s="1"/>
  <c r="M125" i="158" s="1"/>
  <c r="P125" i="158"/>
  <c r="Q125" i="158" s="1"/>
  <c r="BX125" i="158"/>
  <c r="R125" i="158"/>
  <c r="S125" i="158" s="1"/>
  <c r="W125" i="158" s="1"/>
  <c r="U125" i="158"/>
  <c r="V125" i="158" s="1"/>
  <c r="BS125" i="158" l="1"/>
  <c r="CG125" i="158" s="1"/>
  <c r="BT125" i="158"/>
  <c r="CH125" i="158" s="1"/>
  <c r="BU125" i="158"/>
  <c r="CI125" i="158" s="1"/>
  <c r="G125" i="158"/>
  <c r="AP126" i="158" s="1"/>
  <c r="CW125" i="158" l="1"/>
  <c r="CM125" i="158"/>
  <c r="CN125" i="158"/>
  <c r="CK125" i="158"/>
  <c r="CX125" i="158"/>
  <c r="CL125" i="158"/>
  <c r="CR125" i="158"/>
  <c r="CQ125" i="158"/>
  <c r="CV125" i="158"/>
  <c r="CO125" i="158"/>
  <c r="CY125" i="158"/>
  <c r="CT125" i="158"/>
  <c r="CZ125" i="158"/>
  <c r="CP125" i="158"/>
  <c r="CS125" i="158"/>
  <c r="CU125" i="158"/>
  <c r="BE126" i="158"/>
  <c r="AZ126" i="158"/>
  <c r="BA126" i="158" s="1"/>
  <c r="BB126" i="158" s="1"/>
  <c r="BJ126" i="158"/>
  <c r="BK126" i="158" s="1"/>
  <c r="BL126" i="158" s="1"/>
  <c r="AK126" i="158"/>
  <c r="AN126" i="158" s="1"/>
  <c r="AO126" i="158" s="1"/>
  <c r="AS126" i="158" s="1"/>
  <c r="AU126" i="158"/>
  <c r="AV126" i="158" s="1"/>
  <c r="AW126" i="158" s="1"/>
  <c r="AQ126" i="158"/>
  <c r="AR126" i="158" s="1"/>
  <c r="E126" i="158"/>
  <c r="CB126" i="158" l="1"/>
  <c r="BF126" i="158"/>
  <c r="BG126" i="158" s="1"/>
  <c r="BH126" i="158"/>
  <c r="BI126" i="158" s="1"/>
  <c r="BM126" i="158" s="1"/>
  <c r="AX126" i="158"/>
  <c r="AY126" i="158" s="1"/>
  <c r="BC126" i="158" s="1"/>
  <c r="BZ126" i="158"/>
  <c r="AL126" i="158"/>
  <c r="AM126" i="158" s="1"/>
  <c r="CA126" i="158"/>
  <c r="BQ126" i="158" s="1"/>
  <c r="CE126" i="158" s="1"/>
  <c r="H126" i="158"/>
  <c r="F126" i="158"/>
  <c r="T126" i="158"/>
  <c r="O126" i="158"/>
  <c r="AD126" i="158"/>
  <c r="J126" i="158"/>
  <c r="BY126" i="158" s="1"/>
  <c r="Y126" i="158"/>
  <c r="BR126" i="158" l="1"/>
  <c r="CF126" i="158" s="1"/>
  <c r="BP126" i="158"/>
  <c r="CD126" i="158" s="1"/>
  <c r="U126" i="158"/>
  <c r="V126" i="158" s="1"/>
  <c r="AE126" i="158"/>
  <c r="AF126" i="158" s="1"/>
  <c r="G126" i="158"/>
  <c r="Z126" i="158"/>
  <c r="AA126" i="158" s="1"/>
  <c r="BW126" i="158"/>
  <c r="AB126" i="158"/>
  <c r="AC126" i="158" s="1"/>
  <c r="AG126" i="158" s="1"/>
  <c r="R126" i="158"/>
  <c r="S126" i="158" s="1"/>
  <c r="W126" i="158" s="1"/>
  <c r="P126" i="158"/>
  <c r="Q126" i="158" s="1"/>
  <c r="BX126" i="158"/>
  <c r="BT126" i="158" s="1"/>
  <c r="CH126" i="158" s="1"/>
  <c r="K126" i="158"/>
  <c r="L126" i="158" s="1"/>
  <c r="I126" i="158"/>
  <c r="M126" i="158" s="1"/>
  <c r="BU126" i="158" l="1"/>
  <c r="CI126" i="158" s="1"/>
  <c r="BS126" i="158"/>
  <c r="CG126" i="158" s="1"/>
  <c r="BE127" i="158"/>
  <c r="BH127" i="158" s="1"/>
  <c r="BJ127" i="158"/>
  <c r="BK127" i="158" s="1"/>
  <c r="BL127" i="158" s="1"/>
  <c r="AZ127" i="158"/>
  <c r="BA127" i="158" s="1"/>
  <c r="BB127" i="158" s="1"/>
  <c r="AK127" i="158"/>
  <c r="AP127" i="158"/>
  <c r="AU127" i="158"/>
  <c r="CX126" i="158" l="1"/>
  <c r="CK126" i="158"/>
  <c r="CO126" i="158"/>
  <c r="CP126" i="158"/>
  <c r="CM126" i="158"/>
  <c r="CL126" i="158"/>
  <c r="CS126" i="158"/>
  <c r="CT126" i="158"/>
  <c r="CY126" i="158"/>
  <c r="CN126" i="158"/>
  <c r="CU126" i="158"/>
  <c r="CR126" i="158"/>
  <c r="CV126" i="158"/>
  <c r="CW126" i="158"/>
  <c r="CZ126" i="158"/>
  <c r="CQ126" i="158"/>
  <c r="BF127" i="158"/>
  <c r="BG127" i="158" s="1"/>
  <c r="O127" i="158"/>
  <c r="R127" i="158" s="1"/>
  <c r="CB127" i="158"/>
  <c r="BI127" i="158"/>
  <c r="BM127" i="158" s="1"/>
  <c r="T127" i="158"/>
  <c r="U127" i="158" s="1"/>
  <c r="V127" i="158" s="1"/>
  <c r="Y127" i="158"/>
  <c r="E127" i="158"/>
  <c r="AD127" i="158"/>
  <c r="AX127" i="158"/>
  <c r="AY127" i="158" s="1"/>
  <c r="BC127" i="158" s="1"/>
  <c r="CA127" i="158"/>
  <c r="AV127" i="158"/>
  <c r="AW127" i="158" s="1"/>
  <c r="J127" i="158"/>
  <c r="K127" i="158" s="1"/>
  <c r="L127" i="158" s="1"/>
  <c r="AL127" i="158"/>
  <c r="AM127" i="158" s="1"/>
  <c r="BZ127" i="158"/>
  <c r="AN127" i="158"/>
  <c r="AO127" i="158" s="1"/>
  <c r="AS127" i="158" s="1"/>
  <c r="AQ127" i="158"/>
  <c r="AR127" i="158" s="1"/>
  <c r="P127" i="158" l="1"/>
  <c r="Q127" i="158" s="1"/>
  <c r="S127" i="158"/>
  <c r="W127" i="158" s="1"/>
  <c r="BX127" i="158"/>
  <c r="BP127" i="158"/>
  <c r="CD127" i="158" s="1"/>
  <c r="BQ127" i="158"/>
  <c r="CE127" i="158" s="1"/>
  <c r="BR127" i="158"/>
  <c r="CF127" i="158" s="1"/>
  <c r="F127" i="158"/>
  <c r="BY127" i="158"/>
  <c r="H127" i="158"/>
  <c r="I127" i="158" s="1"/>
  <c r="M127" i="158" s="1"/>
  <c r="AB127" i="158"/>
  <c r="AC127" i="158" s="1"/>
  <c r="AG127" i="158" s="1"/>
  <c r="Z127" i="158"/>
  <c r="AA127" i="158" s="1"/>
  <c r="BW127" i="158"/>
  <c r="AE127" i="158"/>
  <c r="AF127" i="158" s="1"/>
  <c r="BS127" i="158" l="1"/>
  <c r="CG127" i="158" s="1"/>
  <c r="BT127" i="158"/>
  <c r="CH127" i="158" s="1"/>
  <c r="BU127" i="158"/>
  <c r="CI127" i="158" s="1"/>
  <c r="G127" i="158"/>
  <c r="AZ128" i="158" s="1"/>
  <c r="BA128" i="158" s="1"/>
  <c r="BB128" i="158" s="1"/>
  <c r="CL127" i="158" l="1"/>
  <c r="CM127" i="158"/>
  <c r="CW127" i="158"/>
  <c r="CN127" i="158"/>
  <c r="CQ127" i="158"/>
  <c r="CV127" i="158"/>
  <c r="CU127" i="158"/>
  <c r="CT127" i="158"/>
  <c r="CX127" i="158"/>
  <c r="CP127" i="158"/>
  <c r="CZ127" i="158"/>
  <c r="CK127" i="158"/>
  <c r="CY127" i="158"/>
  <c r="CO127" i="158"/>
  <c r="CS127" i="158"/>
  <c r="CR127" i="158"/>
  <c r="BE128" i="158"/>
  <c r="BH128" i="158" s="1"/>
  <c r="AK128" i="158"/>
  <c r="AN128" i="158" s="1"/>
  <c r="AU128" i="158"/>
  <c r="CA128" i="158" s="1"/>
  <c r="AP128" i="158"/>
  <c r="AQ128" i="158" s="1"/>
  <c r="AR128" i="158" s="1"/>
  <c r="BJ128" i="158"/>
  <c r="BK128" i="158" s="1"/>
  <c r="BL128" i="158" s="1"/>
  <c r="AD128" i="158"/>
  <c r="AE128" i="158" s="1"/>
  <c r="AF128" i="158" s="1"/>
  <c r="AO128" i="158" l="1"/>
  <c r="AS128" i="158" s="1"/>
  <c r="AV128" i="158"/>
  <c r="AW128" i="158" s="1"/>
  <c r="AX128" i="158"/>
  <c r="AY128" i="158" s="1"/>
  <c r="BC128" i="158" s="1"/>
  <c r="AL128" i="158"/>
  <c r="AM128" i="158" s="1"/>
  <c r="BZ128" i="158"/>
  <c r="BI128" i="158"/>
  <c r="BM128" i="158" s="1"/>
  <c r="BF128" i="158"/>
  <c r="BG128" i="158" s="1"/>
  <c r="CB128" i="158"/>
  <c r="T128" i="158"/>
  <c r="U128" i="158" s="1"/>
  <c r="V128" i="158" s="1"/>
  <c r="O128" i="158"/>
  <c r="Y128" i="158"/>
  <c r="J128" i="158"/>
  <c r="K128" i="158" s="1"/>
  <c r="L128" i="158" s="1"/>
  <c r="E128" i="158"/>
  <c r="BP128" i="158" l="1"/>
  <c r="CD128" i="158" s="1"/>
  <c r="BR128" i="158"/>
  <c r="CF128" i="158" s="1"/>
  <c r="BQ128" i="158"/>
  <c r="CE128" i="158" s="1"/>
  <c r="H128" i="158"/>
  <c r="I128" i="158" s="1"/>
  <c r="M128" i="158" s="1"/>
  <c r="F128" i="158"/>
  <c r="BY128" i="158"/>
  <c r="R128" i="158"/>
  <c r="S128" i="158" s="1"/>
  <c r="W128" i="158" s="1"/>
  <c r="P128" i="158"/>
  <c r="Q128" i="158" s="1"/>
  <c r="BX128" i="158"/>
  <c r="AB128" i="158"/>
  <c r="AC128" i="158" s="1"/>
  <c r="AG128" i="158" s="1"/>
  <c r="BW128" i="158"/>
  <c r="Z128" i="158"/>
  <c r="AA128" i="158" s="1"/>
  <c r="BU128" i="158" l="1"/>
  <c r="CI128" i="158" s="1"/>
  <c r="BS128" i="158"/>
  <c r="CG128" i="158" s="1"/>
  <c r="BT128" i="158"/>
  <c r="CH128" i="158" s="1"/>
  <c r="G128" i="158"/>
  <c r="BJ129" i="158" s="1"/>
  <c r="BK129" i="158" s="1"/>
  <c r="BL129" i="158" s="1"/>
  <c r="CM128" i="158" l="1"/>
  <c r="CX128" i="158"/>
  <c r="CK128" i="158"/>
  <c r="CO128" i="158"/>
  <c r="CP128" i="158"/>
  <c r="CT128" i="158"/>
  <c r="CS128" i="158"/>
  <c r="CW128" i="158"/>
  <c r="CU128" i="158"/>
  <c r="CN128" i="158"/>
  <c r="CY128" i="158"/>
  <c r="CR128" i="158"/>
  <c r="CV128" i="158"/>
  <c r="CQ128" i="158"/>
  <c r="CZ128" i="158"/>
  <c r="CL128" i="158"/>
  <c r="AP129" i="158"/>
  <c r="AQ129" i="158" s="1"/>
  <c r="AR129" i="158" s="1"/>
  <c r="AU129" i="158"/>
  <c r="AX129" i="158" s="1"/>
  <c r="AZ129" i="158"/>
  <c r="BA129" i="158" s="1"/>
  <c r="BB129" i="158" s="1"/>
  <c r="AK129" i="158"/>
  <c r="AN129" i="158" s="1"/>
  <c r="BE129" i="158"/>
  <c r="BH129" i="158" s="1"/>
  <c r="BI129" i="158" s="1"/>
  <c r="BM129" i="158" s="1"/>
  <c r="AY129" i="158" l="1"/>
  <c r="BC129" i="158" s="1"/>
  <c r="AV129" i="158"/>
  <c r="AW129" i="158" s="1"/>
  <c r="CA129" i="158"/>
  <c r="AO129" i="158"/>
  <c r="AS129" i="158" s="1"/>
  <c r="AL129" i="158"/>
  <c r="AM129" i="158" s="1"/>
  <c r="BF129" i="158"/>
  <c r="BG129" i="158" s="1"/>
  <c r="BZ129" i="158"/>
  <c r="CB129" i="158"/>
  <c r="T129" i="158"/>
  <c r="BR129" i="158" l="1"/>
  <c r="CF129" i="158" s="1"/>
  <c r="BP129" i="158"/>
  <c r="CD129" i="158" s="1"/>
  <c r="BQ129" i="158"/>
  <c r="CE129" i="158" s="1"/>
  <c r="U129" i="158"/>
  <c r="V129" i="158" s="1"/>
  <c r="Y129" i="158"/>
  <c r="E129" i="158"/>
  <c r="AD129" i="158"/>
  <c r="J129" i="158"/>
  <c r="K129" i="158" s="1"/>
  <c r="L129" i="158" s="1"/>
  <c r="O129" i="158"/>
  <c r="AB129" i="158" l="1"/>
  <c r="AC129" i="158" s="1"/>
  <c r="AG129" i="158" s="1"/>
  <c r="Z129" i="158"/>
  <c r="AA129" i="158" s="1"/>
  <c r="BW129" i="158"/>
  <c r="H129" i="158"/>
  <c r="I129" i="158" s="1"/>
  <c r="M129" i="158" s="1"/>
  <c r="BY129" i="158"/>
  <c r="F129" i="158"/>
  <c r="P129" i="158"/>
  <c r="Q129" i="158" s="1"/>
  <c r="R129" i="158"/>
  <c r="S129" i="158" s="1"/>
  <c r="W129" i="158" s="1"/>
  <c r="BX129" i="158"/>
  <c r="AE129" i="158"/>
  <c r="AF129" i="158" s="1"/>
  <c r="BS129" i="158" l="1"/>
  <c r="CG129" i="158" s="1"/>
  <c r="BT129" i="158"/>
  <c r="CH129" i="158" s="1"/>
  <c r="BU129" i="158"/>
  <c r="CI129" i="158" s="1"/>
  <c r="G129" i="158"/>
  <c r="BE130" i="158" s="1"/>
  <c r="CW129" i="158" l="1"/>
  <c r="CV129" i="158"/>
  <c r="CO129" i="158"/>
  <c r="CL129" i="158"/>
  <c r="CS129" i="158"/>
  <c r="CK129" i="158"/>
  <c r="CM129" i="158"/>
  <c r="CX129" i="158"/>
  <c r="CP129" i="158"/>
  <c r="CN129" i="158"/>
  <c r="CU129" i="158"/>
  <c r="CQ129" i="158"/>
  <c r="CT129" i="158"/>
  <c r="CY129" i="158"/>
  <c r="CZ129" i="158"/>
  <c r="CR129" i="158"/>
  <c r="AU130" i="158"/>
  <c r="AZ130" i="158"/>
  <c r="BA130" i="158" s="1"/>
  <c r="BB130" i="158" s="1"/>
  <c r="BJ130" i="158"/>
  <c r="CB130" i="158" s="1"/>
  <c r="AP130" i="158"/>
  <c r="AQ130" i="158" s="1"/>
  <c r="AR130" i="158" s="1"/>
  <c r="AK130" i="158"/>
  <c r="AN130" i="158" s="1"/>
  <c r="BH130" i="158"/>
  <c r="BF130" i="158"/>
  <c r="BG130" i="158" s="1"/>
  <c r="BI130" i="158" l="1"/>
  <c r="BM130" i="158" s="1"/>
  <c r="AO130" i="158"/>
  <c r="AS130" i="158" s="1"/>
  <c r="BK130" i="158"/>
  <c r="BL130" i="158" s="1"/>
  <c r="CA130" i="158"/>
  <c r="AX130" i="158"/>
  <c r="AY130" i="158" s="1"/>
  <c r="BC130" i="158" s="1"/>
  <c r="AV130" i="158"/>
  <c r="AW130" i="158" s="1"/>
  <c r="AL130" i="158"/>
  <c r="AM130" i="158" s="1"/>
  <c r="BZ130" i="158"/>
  <c r="Y130" i="158"/>
  <c r="AD130" i="158"/>
  <c r="T130" i="158"/>
  <c r="J130" i="158"/>
  <c r="E130" i="158"/>
  <c r="O130" i="158"/>
  <c r="BQ130" i="158" l="1"/>
  <c r="CE130" i="158" s="1"/>
  <c r="BR130" i="158"/>
  <c r="CF130" i="158" s="1"/>
  <c r="BP130" i="158"/>
  <c r="CD130" i="158" s="1"/>
  <c r="K130" i="158"/>
  <c r="L130" i="158" s="1"/>
  <c r="R130" i="158"/>
  <c r="S130" i="158" s="1"/>
  <c r="W130" i="158" s="1"/>
  <c r="P130" i="158"/>
  <c r="Q130" i="158" s="1"/>
  <c r="BX130" i="158"/>
  <c r="U130" i="158"/>
  <c r="V130" i="158" s="1"/>
  <c r="AE130" i="158"/>
  <c r="AF130" i="158" s="1"/>
  <c r="H130" i="158"/>
  <c r="I130" i="158" s="1"/>
  <c r="M130" i="158" s="1"/>
  <c r="F130" i="158"/>
  <c r="BY130" i="158"/>
  <c r="Z130" i="158"/>
  <c r="AA130" i="158" s="1"/>
  <c r="BW130" i="158"/>
  <c r="AB130" i="158"/>
  <c r="AC130" i="158" s="1"/>
  <c r="AG130" i="158" s="1"/>
  <c r="BT130" i="158" l="1"/>
  <c r="CH130" i="158" s="1"/>
  <c r="BS130" i="158"/>
  <c r="CG130" i="158" s="1"/>
  <c r="BU130" i="158"/>
  <c r="CI130" i="158" s="1"/>
  <c r="G130" i="158"/>
  <c r="AZ131" i="158" s="1"/>
  <c r="CM130" i="158" l="1"/>
  <c r="CX130" i="158"/>
  <c r="CK130" i="158"/>
  <c r="CU130" i="158"/>
  <c r="CW130" i="158"/>
  <c r="CO130" i="158"/>
  <c r="CT130" i="158"/>
  <c r="CN130" i="158"/>
  <c r="CS130" i="158"/>
  <c r="CR130" i="158"/>
  <c r="CY130" i="158"/>
  <c r="CQ130" i="158"/>
  <c r="CV130" i="158"/>
  <c r="CL130" i="158"/>
  <c r="CZ130" i="158"/>
  <c r="CP130" i="158"/>
  <c r="AP131" i="158"/>
  <c r="AQ131" i="158" s="1"/>
  <c r="AR131" i="158" s="1"/>
  <c r="BE131" i="158"/>
  <c r="BF131" i="158" s="1"/>
  <c r="BG131" i="158" s="1"/>
  <c r="BA131" i="158"/>
  <c r="BB131" i="158" s="1"/>
  <c r="AU131" i="158"/>
  <c r="AD131" i="158"/>
  <c r="AE131" i="158" s="1"/>
  <c r="AF131" i="158" s="1"/>
  <c r="BJ131" i="158"/>
  <c r="AK131" i="158"/>
  <c r="BH131" i="158" l="1"/>
  <c r="BI131" i="158" s="1"/>
  <c r="BM131" i="158" s="1"/>
  <c r="BK131" i="158"/>
  <c r="BL131" i="158" s="1"/>
  <c r="T131" i="158"/>
  <c r="CB131" i="158"/>
  <c r="E131" i="158"/>
  <c r="Y131" i="158"/>
  <c r="AV131" i="158"/>
  <c r="AW131" i="158" s="1"/>
  <c r="AX131" i="158"/>
  <c r="AY131" i="158" s="1"/>
  <c r="BC131" i="158" s="1"/>
  <c r="J131" i="158"/>
  <c r="BZ131" i="158"/>
  <c r="AL131" i="158"/>
  <c r="AM131" i="158" s="1"/>
  <c r="AN131" i="158"/>
  <c r="AO131" i="158" s="1"/>
  <c r="AS131" i="158" s="1"/>
  <c r="O131" i="158"/>
  <c r="CA131" i="158"/>
  <c r="BP131" i="158" l="1"/>
  <c r="CD131" i="158" s="1"/>
  <c r="BQ131" i="158"/>
  <c r="CE131" i="158" s="1"/>
  <c r="BR131" i="158"/>
  <c r="CF131" i="158" s="1"/>
  <c r="H131" i="158"/>
  <c r="I131" i="158" s="1"/>
  <c r="M131" i="158" s="1"/>
  <c r="BY131" i="158"/>
  <c r="F131" i="158"/>
  <c r="U131" i="158"/>
  <c r="V131" i="158" s="1"/>
  <c r="BW131" i="158"/>
  <c r="Z131" i="158"/>
  <c r="AA131" i="158" s="1"/>
  <c r="AB131" i="158"/>
  <c r="AC131" i="158" s="1"/>
  <c r="AG131" i="158" s="1"/>
  <c r="K131" i="158"/>
  <c r="L131" i="158" s="1"/>
  <c r="R131" i="158"/>
  <c r="S131" i="158" s="1"/>
  <c r="W131" i="158" s="1"/>
  <c r="P131" i="158"/>
  <c r="Q131" i="158" s="1"/>
  <c r="BX131" i="158"/>
  <c r="BS131" i="158" l="1"/>
  <c r="CG131" i="158" s="1"/>
  <c r="BT131" i="158"/>
  <c r="CH131" i="158" s="1"/>
  <c r="BU131" i="158"/>
  <c r="CI131" i="158" s="1"/>
  <c r="G131" i="158"/>
  <c r="AP132" i="158" s="1"/>
  <c r="CN131" i="158" l="1"/>
  <c r="CW131" i="158"/>
  <c r="CQ131" i="158"/>
  <c r="CM131" i="158"/>
  <c r="CL131" i="158"/>
  <c r="CU131" i="158"/>
  <c r="CT131" i="158"/>
  <c r="CR131" i="158"/>
  <c r="CV131" i="158"/>
  <c r="CP131" i="158"/>
  <c r="CZ131" i="158"/>
  <c r="CK131" i="158"/>
  <c r="CX131" i="158"/>
  <c r="CO131" i="158"/>
  <c r="CS131" i="158"/>
  <c r="CY131" i="158"/>
  <c r="AU132" i="158"/>
  <c r="AV132" i="158" s="1"/>
  <c r="AW132" i="158" s="1"/>
  <c r="BJ132" i="158"/>
  <c r="BK132" i="158" s="1"/>
  <c r="BL132" i="158" s="1"/>
  <c r="AK132" i="158"/>
  <c r="AN132" i="158" s="1"/>
  <c r="AO132" i="158" s="1"/>
  <c r="AS132" i="158" s="1"/>
  <c r="BE132" i="158"/>
  <c r="BF132" i="158" s="1"/>
  <c r="BG132" i="158" s="1"/>
  <c r="AZ132" i="158"/>
  <c r="BA132" i="158" s="1"/>
  <c r="BB132" i="158" s="1"/>
  <c r="AQ132" i="158"/>
  <c r="AR132" i="158" s="1"/>
  <c r="AL132" i="158" l="1"/>
  <c r="AM132" i="158" s="1"/>
  <c r="AX132" i="158"/>
  <c r="AY132" i="158" s="1"/>
  <c r="BC132" i="158" s="1"/>
  <c r="CA132" i="158"/>
  <c r="BH132" i="158"/>
  <c r="BI132" i="158" s="1"/>
  <c r="BM132" i="158" s="1"/>
  <c r="CB132" i="158"/>
  <c r="BZ132" i="158"/>
  <c r="O132" i="158"/>
  <c r="AD132" i="158"/>
  <c r="J132" i="158"/>
  <c r="E132" i="158"/>
  <c r="Y132" i="158"/>
  <c r="T132" i="158"/>
  <c r="BP132" i="158" l="1"/>
  <c r="CD132" i="158" s="1"/>
  <c r="BR132" i="158"/>
  <c r="CF132" i="158" s="1"/>
  <c r="BQ132" i="158"/>
  <c r="CE132" i="158" s="1"/>
  <c r="AB132" i="158"/>
  <c r="AC132" i="158" s="1"/>
  <c r="AG132" i="158" s="1"/>
  <c r="Z132" i="158"/>
  <c r="AA132" i="158" s="1"/>
  <c r="BW132" i="158"/>
  <c r="F132" i="158"/>
  <c r="BY132" i="158"/>
  <c r="H132" i="158"/>
  <c r="I132" i="158" s="1"/>
  <c r="M132" i="158" s="1"/>
  <c r="U132" i="158"/>
  <c r="V132" i="158" s="1"/>
  <c r="P132" i="158"/>
  <c r="Q132" i="158" s="1"/>
  <c r="R132" i="158"/>
  <c r="S132" i="158" s="1"/>
  <c r="W132" i="158" s="1"/>
  <c r="BX132" i="158"/>
  <c r="K132" i="158"/>
  <c r="L132" i="158" s="1"/>
  <c r="AE132" i="158"/>
  <c r="AF132" i="158" s="1"/>
  <c r="BU132" i="158" l="1"/>
  <c r="CI132" i="158" s="1"/>
  <c r="BS132" i="158"/>
  <c r="CG132" i="158" s="1"/>
  <c r="BT132" i="158"/>
  <c r="CH132" i="158" s="1"/>
  <c r="G132" i="158"/>
  <c r="AP133" i="158" s="1"/>
  <c r="CX132" i="158" l="1"/>
  <c r="CK132" i="158"/>
  <c r="CM132" i="158"/>
  <c r="CY132" i="158"/>
  <c r="CL132" i="158"/>
  <c r="CP132" i="158"/>
  <c r="CV132" i="158"/>
  <c r="CO132" i="158"/>
  <c r="CT132" i="158"/>
  <c r="CU132" i="158"/>
  <c r="CS132" i="158"/>
  <c r="CN132" i="158"/>
  <c r="CW132" i="158"/>
  <c r="CR132" i="158"/>
  <c r="CZ132" i="158"/>
  <c r="CQ132" i="158"/>
  <c r="AK133" i="158"/>
  <c r="AL133" i="158" s="1"/>
  <c r="AM133" i="158" s="1"/>
  <c r="BE133" i="158"/>
  <c r="BH133" i="158" s="1"/>
  <c r="AU133" i="158"/>
  <c r="AV133" i="158" s="1"/>
  <c r="AW133" i="158" s="1"/>
  <c r="BJ133" i="158"/>
  <c r="BK133" i="158" s="1"/>
  <c r="BL133" i="158" s="1"/>
  <c r="AZ133" i="158"/>
  <c r="BA133" i="158" s="1"/>
  <c r="BB133" i="158" s="1"/>
  <c r="AQ133" i="158"/>
  <c r="AR133" i="158" s="1"/>
  <c r="BF133" i="158" l="1"/>
  <c r="BG133" i="158" s="1"/>
  <c r="AX133" i="158"/>
  <c r="AY133" i="158" s="1"/>
  <c r="BC133" i="158" s="1"/>
  <c r="CA133" i="158"/>
  <c r="BI133" i="158"/>
  <c r="BM133" i="158" s="1"/>
  <c r="CB133" i="158"/>
  <c r="AN133" i="158"/>
  <c r="AO133" i="158" s="1"/>
  <c r="AS133" i="158" s="1"/>
  <c r="BZ133" i="158"/>
  <c r="E133" i="158"/>
  <c r="BR133" i="158" l="1"/>
  <c r="CF133" i="158" s="1"/>
  <c r="BP133" i="158"/>
  <c r="CD133" i="158" s="1"/>
  <c r="BQ133" i="158"/>
  <c r="CE133" i="158" s="1"/>
  <c r="F133" i="158"/>
  <c r="H133" i="158"/>
  <c r="T133" i="158"/>
  <c r="Y133" i="158"/>
  <c r="J133" i="158"/>
  <c r="AD133" i="158"/>
  <c r="O133" i="158"/>
  <c r="K133" i="158" l="1"/>
  <c r="L133" i="158" s="1"/>
  <c r="Z133" i="158"/>
  <c r="AA133" i="158" s="1"/>
  <c r="BW133" i="158"/>
  <c r="AB133" i="158"/>
  <c r="AC133" i="158" s="1"/>
  <c r="AG133" i="158" s="1"/>
  <c r="AE133" i="158"/>
  <c r="AF133" i="158" s="1"/>
  <c r="U133" i="158"/>
  <c r="V133" i="158" s="1"/>
  <c r="BY133" i="158"/>
  <c r="I133" i="158"/>
  <c r="M133" i="158" s="1"/>
  <c r="P133" i="158"/>
  <c r="Q133" i="158" s="1"/>
  <c r="BX133" i="158"/>
  <c r="R133" i="158"/>
  <c r="S133" i="158" s="1"/>
  <c r="W133" i="158" s="1"/>
  <c r="G133" i="158"/>
  <c r="BS133" i="158" l="1"/>
  <c r="CG133" i="158" s="1"/>
  <c r="BT133" i="158"/>
  <c r="CH133" i="158" s="1"/>
  <c r="BU133" i="158"/>
  <c r="CI133" i="158" s="1"/>
  <c r="BE134" i="158"/>
  <c r="BF134" i="158" s="1"/>
  <c r="BG134" i="158" s="1"/>
  <c r="BJ134" i="158"/>
  <c r="BK134" i="158" s="1"/>
  <c r="BL134" i="158" s="1"/>
  <c r="AP134" i="158"/>
  <c r="AK134" i="158"/>
  <c r="AZ134" i="158"/>
  <c r="AU134" i="158"/>
  <c r="CW133" i="158" l="1"/>
  <c r="CK133" i="158"/>
  <c r="CQ133" i="158"/>
  <c r="CS133" i="158"/>
  <c r="CP133" i="158"/>
  <c r="CN133" i="158"/>
  <c r="CZ133" i="158"/>
  <c r="CO133" i="158"/>
  <c r="CX133" i="158"/>
  <c r="CV133" i="158"/>
  <c r="CM133" i="158"/>
  <c r="CY133" i="158"/>
  <c r="CT133" i="158"/>
  <c r="CU133" i="158"/>
  <c r="CR133" i="158"/>
  <c r="CL133" i="158"/>
  <c r="CB134" i="158"/>
  <c r="BH134" i="158"/>
  <c r="BI134" i="158" s="1"/>
  <c r="BM134" i="158" s="1"/>
  <c r="AQ134" i="158"/>
  <c r="AR134" i="158" s="1"/>
  <c r="AV134" i="158"/>
  <c r="AW134" i="158" s="1"/>
  <c r="CA134" i="158"/>
  <c r="AX134" i="158"/>
  <c r="AY134" i="158" s="1"/>
  <c r="BC134" i="158" s="1"/>
  <c r="BA134" i="158"/>
  <c r="BB134" i="158" s="1"/>
  <c r="AL134" i="158"/>
  <c r="AM134" i="158" s="1"/>
  <c r="AN134" i="158"/>
  <c r="AO134" i="158" s="1"/>
  <c r="AS134" i="158" s="1"/>
  <c r="BZ134" i="158"/>
  <c r="BQ134" i="158" l="1"/>
  <c r="CE134" i="158" s="1"/>
  <c r="BR134" i="158"/>
  <c r="CF134" i="158" s="1"/>
  <c r="BP134" i="158"/>
  <c r="CD134" i="158" s="1"/>
  <c r="AD134" i="158"/>
  <c r="Y134" i="158"/>
  <c r="O134" i="158"/>
  <c r="E134" i="158"/>
  <c r="T134" i="158"/>
  <c r="J134" i="158"/>
  <c r="BY134" i="158" l="1"/>
  <c r="F134" i="158"/>
  <c r="H134" i="158"/>
  <c r="I134" i="158" s="1"/>
  <c r="M134" i="158" s="1"/>
  <c r="K134" i="158"/>
  <c r="L134" i="158" s="1"/>
  <c r="P134" i="158"/>
  <c r="Q134" i="158" s="1"/>
  <c r="R134" i="158"/>
  <c r="S134" i="158" s="1"/>
  <c r="W134" i="158" s="1"/>
  <c r="BX134" i="158"/>
  <c r="U134" i="158"/>
  <c r="V134" i="158" s="1"/>
  <c r="BW134" i="158"/>
  <c r="AB134" i="158"/>
  <c r="AC134" i="158" s="1"/>
  <c r="AG134" i="158" s="1"/>
  <c r="Z134" i="158"/>
  <c r="AA134" i="158" s="1"/>
  <c r="AE134" i="158"/>
  <c r="AF134" i="158" s="1"/>
  <c r="BT134" i="158" l="1"/>
  <c r="CH134" i="158" s="1"/>
  <c r="BU134" i="158"/>
  <c r="CI134" i="158" s="1"/>
  <c r="BS134" i="158"/>
  <c r="CG134" i="158" s="1"/>
  <c r="G134" i="158"/>
  <c r="BJ135" i="158" s="1"/>
  <c r="BK135" i="158" s="1"/>
  <c r="BL135" i="158" s="1"/>
  <c r="CX134" i="158" l="1"/>
  <c r="CL134" i="158"/>
  <c r="CK134" i="158"/>
  <c r="CZ134" i="158"/>
  <c r="CQ134" i="158"/>
  <c r="CT134" i="158"/>
  <c r="CR134" i="158"/>
  <c r="CS134" i="158"/>
  <c r="CW134" i="158"/>
  <c r="CN134" i="158"/>
  <c r="CM134" i="158"/>
  <c r="CU134" i="158"/>
  <c r="CV134" i="158"/>
  <c r="CY134" i="158"/>
  <c r="CP134" i="158"/>
  <c r="CO134" i="158"/>
  <c r="AU135" i="158"/>
  <c r="AZ135" i="158"/>
  <c r="BA135" i="158" s="1"/>
  <c r="BB135" i="158" s="1"/>
  <c r="AK135" i="158"/>
  <c r="AL135" i="158" s="1"/>
  <c r="AM135" i="158" s="1"/>
  <c r="AP135" i="158"/>
  <c r="AQ135" i="158" s="1"/>
  <c r="AR135" i="158" s="1"/>
  <c r="BE135" i="158"/>
  <c r="BF135" i="158" s="1"/>
  <c r="BG135" i="158" s="1"/>
  <c r="P10" i="158"/>
  <c r="T135" i="158"/>
  <c r="BZ135" i="158" l="1"/>
  <c r="AN135" i="158"/>
  <c r="AO135" i="158" s="1"/>
  <c r="AS135" i="158" s="1"/>
  <c r="CA135" i="158"/>
  <c r="BP135" i="158" s="1"/>
  <c r="CD135" i="158" s="1"/>
  <c r="AV135" i="158"/>
  <c r="AW135" i="158" s="1"/>
  <c r="BH135" i="158"/>
  <c r="BI135" i="158" s="1"/>
  <c r="BM135" i="158" s="1"/>
  <c r="CB135" i="158"/>
  <c r="AX135" i="158"/>
  <c r="AY135" i="158" s="1"/>
  <c r="BC135" i="158" s="1"/>
  <c r="Y135" i="158"/>
  <c r="Z135" i="158" s="1"/>
  <c r="AA135" i="158" s="1"/>
  <c r="U135" i="158"/>
  <c r="V135" i="158" s="1"/>
  <c r="J135" i="158"/>
  <c r="K135" i="158" s="1"/>
  <c r="L135" i="158" s="1"/>
  <c r="E135" i="158"/>
  <c r="O135" i="158"/>
  <c r="AD135" i="158"/>
  <c r="BR135" i="158" l="1"/>
  <c r="CF135" i="158" s="1"/>
  <c r="BQ135" i="158"/>
  <c r="CE135" i="158" s="1"/>
  <c r="BW135" i="158"/>
  <c r="AB135" i="158"/>
  <c r="AC135" i="158" s="1"/>
  <c r="AG135" i="158" s="1"/>
  <c r="BY135" i="158"/>
  <c r="H135" i="158"/>
  <c r="I135" i="158" s="1"/>
  <c r="M135" i="158" s="1"/>
  <c r="F135" i="158"/>
  <c r="G135" i="158" s="1"/>
  <c r="P9" i="158"/>
  <c r="R135" i="158"/>
  <c r="S135" i="158" s="1"/>
  <c r="W135" i="158" s="1"/>
  <c r="P135" i="158"/>
  <c r="Q135" i="158" s="1"/>
  <c r="BX135" i="158"/>
  <c r="AE135" i="158"/>
  <c r="AF135" i="158" s="1"/>
  <c r="BS135" i="158" l="1"/>
  <c r="CG135" i="158" s="1"/>
  <c r="BT135" i="158"/>
  <c r="CH135" i="158" s="1"/>
  <c r="BU135" i="158"/>
  <c r="CI135" i="158" s="1"/>
  <c r="CR135" i="158" s="1"/>
  <c r="CS135" i="158" l="1"/>
  <c r="CW135" i="158"/>
  <c r="CM135" i="158"/>
  <c r="CZ135" i="158"/>
  <c r="CN135" i="158"/>
  <c r="CK135" i="158"/>
  <c r="CU135" i="158"/>
  <c r="CY135" i="158"/>
  <c r="CO135" i="158"/>
  <c r="CV135" i="158"/>
  <c r="CL135" i="158"/>
  <c r="CT135" i="158"/>
  <c r="CX135" i="158"/>
  <c r="CQ135" i="158"/>
  <c r="CP135" i="1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3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以初始兵力1000为标准</t>
        </r>
      </text>
    </comment>
  </commentList>
</comments>
</file>

<file path=xl/sharedStrings.xml><?xml version="1.0" encoding="utf-8"?>
<sst xmlns="http://schemas.openxmlformats.org/spreadsheetml/2006/main" count="596" uniqueCount="85">
  <si>
    <t>攻击</t>
    <phoneticPr fontId="2" type="noConversion"/>
  </si>
  <si>
    <t>时间</t>
    <phoneticPr fontId="2" type="noConversion"/>
  </si>
  <si>
    <t>士兵1</t>
    <phoneticPr fontId="2" type="noConversion"/>
  </si>
  <si>
    <t>预估将领生命比例衰减数</t>
    <phoneticPr fontId="2" type="noConversion"/>
  </si>
  <si>
    <t>预估士兵数衰减数</t>
    <phoneticPr fontId="2" type="noConversion"/>
  </si>
  <si>
    <t>士兵</t>
    <phoneticPr fontId="2" type="noConversion"/>
  </si>
  <si>
    <t>类型</t>
    <phoneticPr fontId="2" type="noConversion"/>
  </si>
  <si>
    <t>职业</t>
    <phoneticPr fontId="2" type="noConversion"/>
  </si>
  <si>
    <t>生命</t>
    <phoneticPr fontId="2" type="noConversion"/>
  </si>
  <si>
    <t>免伤率</t>
    <phoneticPr fontId="2" type="noConversion"/>
  </si>
  <si>
    <t>将领</t>
  </si>
  <si>
    <t>武将5</t>
    <phoneticPr fontId="2" type="noConversion"/>
  </si>
  <si>
    <t>标准三维基础值</t>
    <phoneticPr fontId="2" type="noConversion"/>
  </si>
  <si>
    <t>属性加成修正率</t>
    <phoneticPr fontId="2" type="noConversion"/>
  </si>
  <si>
    <t>有效生命</t>
    <phoneticPr fontId="2" type="noConversion"/>
  </si>
  <si>
    <t>VS</t>
    <phoneticPr fontId="2" type="noConversion"/>
  </si>
  <si>
    <t>普通2v2</t>
    <phoneticPr fontId="2" type="noConversion"/>
  </si>
  <si>
    <t>血量</t>
    <phoneticPr fontId="2" type="noConversion"/>
  </si>
  <si>
    <t>输出</t>
    <phoneticPr fontId="2" type="noConversion"/>
  </si>
  <si>
    <t>兵力</t>
    <phoneticPr fontId="2" type="noConversion"/>
  </si>
  <si>
    <t>模型数目</t>
    <phoneticPr fontId="2" type="noConversion"/>
  </si>
  <si>
    <t>近战位</t>
    <phoneticPr fontId="2" type="noConversion"/>
  </si>
  <si>
    <t>士兵2</t>
    <phoneticPr fontId="2" type="noConversion"/>
  </si>
  <si>
    <t>武将1</t>
    <phoneticPr fontId="2" type="noConversion"/>
  </si>
  <si>
    <t>武将2</t>
    <phoneticPr fontId="2" type="noConversion"/>
  </si>
  <si>
    <t>技能伤害加成</t>
    <phoneticPr fontId="2" type="noConversion"/>
  </si>
  <si>
    <t>中间位</t>
    <phoneticPr fontId="2" type="noConversion"/>
  </si>
  <si>
    <t>士兵3</t>
    <phoneticPr fontId="2" type="noConversion"/>
  </si>
  <si>
    <t>士兵4</t>
    <phoneticPr fontId="2" type="noConversion"/>
  </si>
  <si>
    <t>武将3</t>
    <phoneticPr fontId="2" type="noConversion"/>
  </si>
  <si>
    <t>武将4</t>
    <phoneticPr fontId="2" type="noConversion"/>
  </si>
  <si>
    <t>远程位</t>
    <phoneticPr fontId="2" type="noConversion"/>
  </si>
  <si>
    <t>士兵5</t>
    <phoneticPr fontId="2" type="noConversion"/>
  </si>
  <si>
    <t>士兵6</t>
    <phoneticPr fontId="2" type="noConversion"/>
  </si>
  <si>
    <t>武将6</t>
    <phoneticPr fontId="2" type="noConversion"/>
  </si>
  <si>
    <t>目标选择</t>
    <phoneticPr fontId="2" type="noConversion"/>
  </si>
  <si>
    <t>士兵1</t>
    <phoneticPr fontId="2" type="noConversion"/>
  </si>
  <si>
    <t>武将1</t>
    <phoneticPr fontId="2" type="noConversion"/>
  </si>
  <si>
    <t>武将3</t>
    <phoneticPr fontId="2" type="noConversion"/>
  </si>
  <si>
    <t>士兵4</t>
    <phoneticPr fontId="2" type="noConversion"/>
  </si>
  <si>
    <t>剩余兵力</t>
    <phoneticPr fontId="2" type="noConversion"/>
  </si>
  <si>
    <t>伤害</t>
    <phoneticPr fontId="2" type="noConversion"/>
  </si>
  <si>
    <t>技能伤害</t>
    <phoneticPr fontId="2" type="noConversion"/>
  </si>
  <si>
    <t>实时剩余模型</t>
    <phoneticPr fontId="2" type="noConversion"/>
  </si>
  <si>
    <t>实时承伤比例</t>
    <phoneticPr fontId="2" type="noConversion"/>
  </si>
  <si>
    <t>剩余兵力</t>
    <phoneticPr fontId="2" type="noConversion"/>
  </si>
  <si>
    <t>职位</t>
    <phoneticPr fontId="7" type="noConversion"/>
  </si>
  <si>
    <t>注意：</t>
    <phoneticPr fontId="2" type="noConversion"/>
  </si>
  <si>
    <t>3.士兵的生命会乘以2，因为士气还会带来一部分生存降低</t>
    <phoneticPr fontId="2" type="noConversion"/>
  </si>
  <si>
    <r>
      <t>1.游戏中实际的生命会除以</t>
    </r>
    <r>
      <rPr>
        <sz val="9"/>
        <color rgb="FFFF0000"/>
        <rFont val="宋体"/>
        <family val="3"/>
        <charset val="134"/>
        <scheme val="minor"/>
      </rPr>
      <t>10</t>
    </r>
    <r>
      <rPr>
        <sz val="9"/>
        <color rgb="FF00B050"/>
        <rFont val="宋体"/>
        <family val="3"/>
        <charset val="134"/>
        <scheme val="minor"/>
      </rPr>
      <t>，技能系数相应减少至</t>
    </r>
    <r>
      <rPr>
        <sz val="9"/>
        <color rgb="FFFF0000"/>
        <rFont val="宋体"/>
        <family val="3"/>
        <charset val="134"/>
        <scheme val="minor"/>
      </rPr>
      <t>1/10</t>
    </r>
    <phoneticPr fontId="2" type="noConversion"/>
  </si>
  <si>
    <t>枪兵</t>
  </si>
  <si>
    <t>士兵少于多少视为士兵全灭</t>
    <phoneticPr fontId="2" type="noConversion"/>
  </si>
  <si>
    <r>
      <t>2.游戏中实际的攻击会乘以</t>
    </r>
    <r>
      <rPr>
        <sz val="9"/>
        <color rgb="FFFF0000"/>
        <rFont val="宋体"/>
        <family val="3"/>
        <charset val="134"/>
        <scheme val="minor"/>
      </rPr>
      <t>4</t>
    </r>
    <r>
      <rPr>
        <sz val="9"/>
        <color rgb="FF00B050"/>
        <rFont val="宋体"/>
        <family val="3"/>
        <charset val="134"/>
        <scheme val="minor"/>
      </rPr>
      <t>，因此实际的伤害公式中会除以</t>
    </r>
    <r>
      <rPr>
        <sz val="9"/>
        <color rgb="FFFF0000"/>
        <rFont val="宋体"/>
        <family val="3"/>
        <charset val="134"/>
        <scheme val="minor"/>
      </rPr>
      <t>4</t>
    </r>
    <phoneticPr fontId="2" type="noConversion"/>
  </si>
  <si>
    <t>产生的伤兵数</t>
    <phoneticPr fontId="2" type="noConversion"/>
  </si>
  <si>
    <t>模型数</t>
    <phoneticPr fontId="2" type="noConversion"/>
  </si>
  <si>
    <t>刀兵</t>
  </si>
  <si>
    <t>刀兵</t>
    <phoneticPr fontId="2" type="noConversion"/>
  </si>
  <si>
    <t>车骑兵</t>
  </si>
  <si>
    <t>车骑兵</t>
    <phoneticPr fontId="2" type="noConversion"/>
  </si>
  <si>
    <t>弓驽兵</t>
    <phoneticPr fontId="2" type="noConversion"/>
  </si>
  <si>
    <t>步将</t>
    <phoneticPr fontId="2" type="noConversion"/>
  </si>
  <si>
    <t>骑将</t>
    <phoneticPr fontId="2" type="noConversion"/>
  </si>
  <si>
    <t>弓将</t>
    <phoneticPr fontId="2" type="noConversion"/>
  </si>
  <si>
    <t>武将</t>
    <phoneticPr fontId="2" type="noConversion"/>
  </si>
  <si>
    <t>士兵</t>
    <phoneticPr fontId="2" type="noConversion"/>
  </si>
  <si>
    <t>剩余生命</t>
    <phoneticPr fontId="2" type="noConversion"/>
  </si>
  <si>
    <t>剩余生命</t>
    <phoneticPr fontId="2" type="noConversion"/>
  </si>
  <si>
    <t>弓驽兵</t>
  </si>
  <si>
    <t>步将</t>
  </si>
  <si>
    <t>骑将</t>
  </si>
  <si>
    <t>弓将</t>
  </si>
  <si>
    <t>军师</t>
  </si>
  <si>
    <t>步将</t>
    <phoneticPr fontId="2" type="noConversion"/>
  </si>
  <si>
    <t>职业1</t>
    <phoneticPr fontId="2" type="noConversion"/>
  </si>
  <si>
    <t>职业2</t>
  </si>
  <si>
    <t>职业3</t>
  </si>
  <si>
    <t>职业4</t>
  </si>
  <si>
    <t>目标职业序号</t>
    <phoneticPr fontId="2" type="noConversion"/>
  </si>
  <si>
    <t>不同职业选择概率</t>
    <phoneticPr fontId="2" type="noConversion"/>
  </si>
  <si>
    <t>职业2</t>
    <phoneticPr fontId="2" type="noConversion"/>
  </si>
  <si>
    <t>职业3</t>
    <phoneticPr fontId="2" type="noConversion"/>
  </si>
  <si>
    <t>职业4</t>
    <phoneticPr fontId="2" type="noConversion"/>
  </si>
  <si>
    <t>A</t>
    <phoneticPr fontId="2" type="noConversion"/>
  </si>
  <si>
    <t>H</t>
    <phoneticPr fontId="2" type="noConversion"/>
  </si>
  <si>
    <t>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</si>
</sst>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%"/>
    <numFmt numFmtId="177" formatCode="0.00_ "/>
  </numFmts>
  <fonts count="9" x14ac:knownFonts="1">
    <font>
      <sz val="11"/>
      <color theme="1"/>
      <name val="宋体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B05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3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3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176" fontId="1" fillId="2" borderId="0" xfId="0" applyNumberFormat="1" applyFont="1" applyFill="1"/>
    <xf numFmtId="0" fontId="3" fillId="0" borderId="0" xfId="0" applyFont="1" applyAlignment="1">
      <alignment vertical="center"/>
    </xf>
    <xf numFmtId="0" fontId="1" fillId="0" borderId="0" xfId="1" applyFont="1" applyAlignment="1">
      <alignment horizontal="center" vertical="center"/>
    </xf>
    <xf numFmtId="0" fontId="1" fillId="0" borderId="0" xfId="1" applyFont="1"/>
    <xf numFmtId="0" fontId="1" fillId="0" borderId="1" xfId="1" applyFont="1" applyBorder="1" applyAlignment="1">
      <alignment horizontal="center" vertical="center"/>
    </xf>
    <xf numFmtId="0" fontId="1" fillId="2" borderId="0" xfId="1" applyFont="1" applyFill="1" applyAlignment="1">
      <alignment horizontal="center" vertical="center"/>
    </xf>
    <xf numFmtId="0" fontId="1" fillId="0" borderId="0" xfId="1" applyFont="1" applyAlignment="1">
      <alignment horizontal="center"/>
    </xf>
    <xf numFmtId="9" fontId="1" fillId="0" borderId="0" xfId="1" applyNumberFormat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1" applyFont="1" applyAlignment="1">
      <alignment horizontal="right" vertical="center"/>
    </xf>
    <xf numFmtId="9" fontId="1" fillId="3" borderId="0" xfId="1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3" borderId="0" xfId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" fillId="3" borderId="0" xfId="1" applyFont="1" applyFill="1" applyAlignment="1">
      <alignment horizontal="center" vertical="center"/>
    </xf>
    <xf numFmtId="0" fontId="1" fillId="0" borderId="1" xfId="1" applyFont="1" applyBorder="1" applyAlignment="1">
      <alignment horizontal="center"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&#25216;&#33021;&#35774;&#3574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25216;&#33021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随手记"/>
      <sheetName val="武将技能表_汇总"/>
      <sheetName val="武将技能参数个数"/>
      <sheetName val="数据总览"/>
      <sheetName val="将领模板"/>
      <sheetName val="士兵（模板）"/>
      <sheetName val="相关演算"/>
      <sheetName val="Sheet1"/>
      <sheetName val="骊姬 (2)"/>
      <sheetName val="骊姬"/>
      <sheetName val="李牧"/>
      <sheetName val="魏无忌"/>
      <sheetName val="聂荌"/>
      <sheetName val="专诸"/>
      <sheetName val="廉颇"/>
      <sheetName val="王翦"/>
      <sheetName val="吴起"/>
      <sheetName val="芈月"/>
      <sheetName val="义渠骇"/>
      <sheetName val="养由基"/>
      <sheetName val="赵武灵王"/>
      <sheetName val="楚庄王"/>
      <sheetName val="西施"/>
      <sheetName val="白起"/>
      <sheetName val="特性"/>
      <sheetName val="武将参数偏导汇总表"/>
      <sheetName val="防御兵"/>
      <sheetName val="近战输出兵"/>
      <sheetName val="远程输出兵"/>
      <sheetName val="战法（模板）"/>
      <sheetName val="战法&quot;品质-阶段&quot;对应玩家等级"/>
      <sheetName val="养精蓄锐"/>
      <sheetName val="势如破竹"/>
      <sheetName val="兵贵神速"/>
      <sheetName val="奇佐鬼谋"/>
      <sheetName val="退敌千里"/>
      <sheetName val="雄兵破敌"/>
      <sheetName val="妙手回春"/>
      <sheetName val="出奇制胜"/>
      <sheetName val="攻其不备"/>
      <sheetName val="援军秘策"/>
      <sheetName val="釜底抽薪"/>
      <sheetName val="整军御敌"/>
      <sheetName val="厉兵秣马"/>
      <sheetName val="步步为营"/>
      <sheetName val="破军夺志"/>
      <sheetName val="此切页前的为算法做好的战法"/>
      <sheetName val="反客为主"/>
      <sheetName val="此后的为暂未实装的战法"/>
      <sheetName val="劫掠"/>
      <sheetName val="追击"/>
      <sheetName val="怒意持久"/>
      <sheetName val="反伤"/>
      <sheetName val="窃取 (2)"/>
      <sheetName val="窃取"/>
      <sheetName val="将领 (废弃)"/>
      <sheetName val="和老将领表一同废弃"/>
      <sheetName val="（旧）士兵(模板)"/>
      <sheetName val="（旧）战法_1"/>
      <sheetName val="（旧）战法"/>
      <sheetName val="Sheet2（废弃）"/>
      <sheetName val="测试汇总表"/>
      <sheetName val="战法（模板_老）"/>
      <sheetName val="战法 (模板_老2)"/>
    </sheetNames>
    <sheetDataSet>
      <sheetData sheetId="0"/>
      <sheetData sheetId="1"/>
      <sheetData sheetId="2"/>
      <sheetData sheetId="3">
        <row r="10">
          <cell r="CM10">
            <v>0.44444444444444442</v>
          </cell>
        </row>
        <row r="11">
          <cell r="CM11">
            <v>0.375</v>
          </cell>
        </row>
        <row r="12">
          <cell r="CM12">
            <v>0.23076923076923084</v>
          </cell>
          <cell r="DF12">
            <v>1</v>
          </cell>
        </row>
        <row r="13">
          <cell r="CM13">
            <v>0.2857142857142857</v>
          </cell>
          <cell r="DF13">
            <v>1</v>
          </cell>
        </row>
        <row r="14">
          <cell r="DF14">
            <v>1</v>
          </cell>
        </row>
        <row r="15">
          <cell r="DF15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导表"/>
      <sheetName val="说明文档"/>
      <sheetName val="修改记录"/>
      <sheetName val="重复操作"/>
      <sheetName val="索引"/>
      <sheetName val="配置系数（将领）"/>
      <sheetName val="配置系数（士兵）"/>
      <sheetName val="配置系数（兵法）"/>
      <sheetName val="数据总览"/>
      <sheetName val="兵法相关参数"/>
      <sheetName val="相关演算"/>
      <sheetName val="兵法调用模板"/>
      <sheetName val="大数据效果预估"/>
      <sheetName val="现有武将战法使用期望"/>
      <sheetName val="Sheet1"/>
      <sheetName val="将领技能调用模板"/>
      <sheetName val="将领框架模板"/>
      <sheetName val="骊姬"/>
      <sheetName val="王翦"/>
      <sheetName val="王翦新"/>
      <sheetName val="义渠骇"/>
      <sheetName val="白起"/>
      <sheetName val="廉颇"/>
      <sheetName val="信陵君"/>
      <sheetName val="西施"/>
      <sheetName val="李牧"/>
      <sheetName val="吴起"/>
      <sheetName val="聂荌"/>
      <sheetName val="专诸"/>
      <sheetName val="专诸新"/>
      <sheetName val="芈月"/>
      <sheetName val="养由基"/>
      <sheetName val="赵武灵王"/>
      <sheetName val="楚庄王"/>
      <sheetName val="楚庄王新"/>
      <sheetName val="田单"/>
      <sheetName val="司马错"/>
      <sheetName val="吕不韦"/>
      <sheetName val="吕不韦新"/>
      <sheetName val="嫪毐"/>
      <sheetName val="钟无艳"/>
      <sheetName val="邹衍"/>
      <sheetName val="扁鹊"/>
      <sheetName val="田忌"/>
      <sheetName val="孙膑"/>
      <sheetName val="屈原"/>
      <sheetName val="项燕"/>
      <sheetName val="春申君"/>
      <sheetName val="莫邪"/>
      <sheetName val="赵奢"/>
      <sheetName val="庞涓"/>
      <sheetName val="庞涓新"/>
      <sheetName val="朱亥"/>
      <sheetName val="西门豹"/>
      <sheetName val="暴鸢"/>
      <sheetName val="申不害"/>
      <sheetName val="荆轲"/>
      <sheetName val="荆轲新"/>
      <sheetName val="苏秦"/>
      <sheetName val="秦开"/>
      <sheetName val="鲁班"/>
      <sheetName val="伍子胥"/>
      <sheetName val="欧冶子"/>
      <sheetName val="欧冶子新"/>
      <sheetName val="勾践"/>
      <sheetName val="干将"/>
      <sheetName val="平原君"/>
      <sheetName val="乐毅"/>
      <sheetName val="秦始皇"/>
      <sheetName val="晋文公"/>
      <sheetName val="樗里疾"/>
      <sheetName val="鲍叔牙"/>
      <sheetName val="孙叔敖"/>
      <sheetName val="孟子"/>
      <sheetName val="范蠡"/>
      <sheetName val="墨子"/>
      <sheetName val="齐桓公"/>
      <sheetName val="褒姒"/>
      <sheetName val="韩非子"/>
      <sheetName val="孔丘"/>
      <sheetName val="鬼谷子"/>
      <sheetName val="百里奚"/>
      <sheetName val="商鞅"/>
      <sheetName val="老子"/>
      <sheetName val="秦武王"/>
      <sheetName val="伯乐"/>
      <sheetName val="司马穰苴"/>
      <sheetName val="孙武"/>
      <sheetName val="范雎"/>
      <sheetName val="管仲"/>
      <sheetName val="张仪"/>
      <sheetName val="士兵调用模板"/>
      <sheetName val="Sheet2"/>
      <sheetName val="刀兵公用特性"/>
      <sheetName val="枪兵公用特性"/>
      <sheetName val="骑兵公用特性"/>
      <sheetName val="车兵公用特性"/>
      <sheetName val="弓兵公用特性"/>
      <sheetName val="弩兵公用特性"/>
      <sheetName val="近战器械公用特性"/>
      <sheetName val="远程器械公用特性"/>
      <sheetName val="朴刀兵"/>
      <sheetName val="盾兵"/>
      <sheetName val="角试营"/>
      <sheetName val="巨盾兵"/>
      <sheetName val="戟兵"/>
      <sheetName val="巨斧兵"/>
      <sheetName val="博浪锤勇士"/>
      <sheetName val="大戟士"/>
      <sheetName val="轻骑兵"/>
      <sheetName val="东胡轻骑兵"/>
      <sheetName val="骆驼骑兵"/>
      <sheetName val="重甲骑兵"/>
      <sheetName val="轻甲战车"/>
      <sheetName val="四马重战车"/>
      <sheetName val="兽纹战车"/>
      <sheetName val="苹车"/>
      <sheetName val="弓箭兵"/>
      <sheetName val="越毒弓"/>
      <sheetName val="火箭兵"/>
      <sheetName val="没羽士"/>
      <sheetName val="弩兵"/>
      <sheetName val="精锐弩兵"/>
      <sheetName val="投矛手"/>
      <sheetName val="踏弩兵"/>
      <sheetName val="牛车"/>
      <sheetName val="攻城冲车"/>
      <sheetName val="虎头喷火车"/>
      <sheetName val="擂鼓兵"/>
      <sheetName val="投石车"/>
      <sheetName val="木鸢"/>
      <sheetName val="井阑"/>
      <sheetName val="火油投石车"/>
      <sheetName val="黑衣铁骑"/>
      <sheetName val="胡服骑兵"/>
      <sheetName val="技击之士"/>
      <sheetName val="燕死士"/>
      <sheetName val="申息师"/>
      <sheetName val="重甲武卒"/>
      <sheetName val="击刹"/>
      <sheetName val="先登死士"/>
      <sheetName val="金瓜武士"/>
      <sheetName val="辎重营"/>
      <sheetName val="山贼"/>
      <sheetName val="机关木人"/>
      <sheetName val="星官"/>
      <sheetName val="利趾"/>
      <sheetName val="女兵"/>
      <sheetName val="戟骑兵"/>
      <sheetName val="火牛阵"/>
      <sheetName val="象兵"/>
      <sheetName val="舞娘"/>
      <sheetName val="轒辒车"/>
      <sheetName val="床弩"/>
      <sheetName val="拒马"/>
      <sheetName val="吴钩"/>
      <sheetName val="长戟兵"/>
      <sheetName val="弹石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4">
          <cell r="CE14">
            <v>3.0869200000000001</v>
          </cell>
          <cell r="CF14">
            <v>0.375</v>
          </cell>
          <cell r="CG14">
            <v>120000</v>
          </cell>
          <cell r="CH14">
            <v>192000</v>
          </cell>
        </row>
        <row r="15">
          <cell r="CE15">
            <v>3.62704</v>
          </cell>
          <cell r="CF15">
            <v>0.375</v>
          </cell>
          <cell r="CG15">
            <v>120000</v>
          </cell>
          <cell r="CH15">
            <v>192000</v>
          </cell>
        </row>
        <row r="16">
          <cell r="CE16">
            <v>1.8</v>
          </cell>
          <cell r="CF16">
            <v>0.375</v>
          </cell>
          <cell r="CG16">
            <v>120000</v>
          </cell>
          <cell r="CH16">
            <v>192000</v>
          </cell>
        </row>
        <row r="17">
          <cell r="CE17">
            <v>1.8</v>
          </cell>
          <cell r="CF17">
            <v>0.375</v>
          </cell>
          <cell r="CG17">
            <v>120000</v>
          </cell>
          <cell r="CH17">
            <v>192000</v>
          </cell>
        </row>
        <row r="34">
          <cell r="CZ34" t="str">
            <v>步兵</v>
          </cell>
          <cell r="DA34">
            <v>324</v>
          </cell>
        </row>
        <row r="35">
          <cell r="CZ35" t="str">
            <v>骑兵</v>
          </cell>
          <cell r="DA35">
            <v>240</v>
          </cell>
        </row>
        <row r="36">
          <cell r="CZ36" t="str">
            <v>弓兵</v>
          </cell>
          <cell r="DA36">
            <v>180</v>
          </cell>
        </row>
        <row r="37">
          <cell r="CZ37" t="str">
            <v>枪兵</v>
          </cell>
          <cell r="DA37">
            <v>156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F5393BD-377E-40C5-92DB-49A20857F873}">
  <dimension ref="A1"/>
  <sheetViews>
    <sheetView showFormulas="1" tabSelected="1" workbookViewId="0">
      <selection activeCell="C22" sqref="C22"/>
    </sheetView>
  </sheetViews>
  <sheetFormatPr defaultRowHeight="13.5" x14ac:dyDescent="0.15"/>
  <sheetData/>
  <phoneticPr fontId="2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D1:BG103"/>
  <sheetViews>
    <sheetView topLeftCell="Z1" workbookViewId="0">
      <selection activeCell="AD8" sqref="AD8"/>
    </sheetView>
  </sheetViews>
  <sheetFormatPr defaultColWidth="7.5" defaultRowHeight="13.5" x14ac:dyDescent="0.15"/>
  <cols>
    <col min="1" max="3" width="7.5" style="1"/>
    <col min="4" max="4" width="4.75" style="1" bestFit="1" customWidth="1"/>
    <col min="5" max="8" width="11.125" style="7" bestFit="1" customWidth="1"/>
    <col min="9" max="12" width="11.125" style="1" bestFit="1" customWidth="1"/>
    <col min="13" max="30" width="11.125" style="1" customWidth="1"/>
    <col min="31" max="31" width="7.375" style="1" customWidth="1"/>
    <col min="32" max="32" width="3.375" style="2" customWidth="1"/>
    <col min="33" max="33" width="8.25" style="1" bestFit="1" customWidth="1"/>
    <col min="34" max="34" width="14.75" style="1" bestFit="1" customWidth="1"/>
    <col min="35" max="35" width="12.125" style="1" bestFit="1" customWidth="1"/>
    <col min="36" max="36" width="9.125" style="1" customWidth="1"/>
    <col min="37" max="37" width="5.875" style="1" customWidth="1"/>
    <col min="38" max="38" width="9.75" style="1" bestFit="1" customWidth="1"/>
    <col min="39" max="39" width="7.5" style="1" customWidth="1"/>
    <col min="41" max="41" width="7.5" style="1"/>
    <col min="42" max="43" width="10.5" style="1" customWidth="1"/>
    <col min="44" max="44" width="10.375" style="1" customWidth="1"/>
    <col min="45" max="45" width="3.375" style="2" customWidth="1"/>
    <col min="46" max="46" width="10.5" style="1" bestFit="1" customWidth="1"/>
    <col min="47" max="47" width="8.125" customWidth="1"/>
    <col min="48" max="49" width="7.5" style="27" customWidth="1"/>
    <col min="50" max="50" width="7.5" style="27"/>
    <col min="51" max="51" width="7.5" style="27" customWidth="1"/>
    <col min="52" max="52" width="7.5" style="1" customWidth="1"/>
    <col min="53" max="53" width="7.5" style="1"/>
    <col min="54" max="54" width="6.875" style="1" customWidth="1"/>
    <col min="55" max="61" width="7.5" style="1"/>
    <col min="62" max="63" width="10.5" style="1" bestFit="1" customWidth="1"/>
    <col min="64" max="16384" width="7.5" style="1"/>
  </cols>
  <sheetData>
    <row r="1" spans="4:59" x14ac:dyDescent="0.15"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</row>
    <row r="2" spans="4:59" x14ac:dyDescent="0.15"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O2" s="7"/>
    </row>
    <row r="3" spans="4:59" x14ac:dyDescent="0.15">
      <c r="E3" s="30" t="s">
        <v>4</v>
      </c>
      <c r="F3" s="30"/>
      <c r="G3" s="30"/>
      <c r="H3" s="30"/>
      <c r="I3" s="30" t="s">
        <v>3</v>
      </c>
      <c r="J3" s="30"/>
      <c r="K3" s="30"/>
      <c r="L3" s="30"/>
      <c r="M3" s="6"/>
      <c r="N3" s="30" t="s">
        <v>73</v>
      </c>
      <c r="O3" s="30"/>
      <c r="P3" s="30"/>
      <c r="Q3" s="30"/>
      <c r="R3" s="30" t="s">
        <v>79</v>
      </c>
      <c r="S3" s="30"/>
      <c r="T3" s="30"/>
      <c r="U3" s="30"/>
      <c r="V3" s="30" t="s">
        <v>80</v>
      </c>
      <c r="W3" s="30"/>
      <c r="X3" s="30"/>
      <c r="Y3" s="30"/>
      <c r="Z3" s="30" t="s">
        <v>81</v>
      </c>
      <c r="AA3" s="30"/>
      <c r="AB3" s="30"/>
      <c r="AC3" s="30"/>
      <c r="AD3" s="6"/>
      <c r="AE3" s="7"/>
      <c r="AH3" s="10" t="s">
        <v>25</v>
      </c>
      <c r="AI3" s="15">
        <v>0.4</v>
      </c>
      <c r="AO3" s="6"/>
    </row>
    <row r="4" spans="4:59" x14ac:dyDescent="0.15">
      <c r="D4" s="7" t="s">
        <v>1</v>
      </c>
      <c r="E4" s="6" t="s">
        <v>55</v>
      </c>
      <c r="F4" s="6" t="s">
        <v>57</v>
      </c>
      <c r="G4" s="6" t="s">
        <v>67</v>
      </c>
      <c r="H4" s="6" t="s">
        <v>50</v>
      </c>
      <c r="I4" s="6" t="s">
        <v>68</v>
      </c>
      <c r="J4" s="6" t="s">
        <v>69</v>
      </c>
      <c r="K4" s="6" t="s">
        <v>70</v>
      </c>
      <c r="L4" s="6" t="s">
        <v>71</v>
      </c>
      <c r="M4" s="6"/>
      <c r="N4" s="6" t="s">
        <v>73</v>
      </c>
      <c r="O4" s="6" t="s">
        <v>74</v>
      </c>
      <c r="P4" s="6" t="s">
        <v>75</v>
      </c>
      <c r="Q4" s="6" t="s">
        <v>76</v>
      </c>
      <c r="R4" s="6" t="s">
        <v>73</v>
      </c>
      <c r="S4" s="6" t="s">
        <v>74</v>
      </c>
      <c r="T4" s="6" t="s">
        <v>75</v>
      </c>
      <c r="U4" s="6" t="s">
        <v>76</v>
      </c>
      <c r="V4" s="6" t="s">
        <v>73</v>
      </c>
      <c r="W4" s="6" t="s">
        <v>74</v>
      </c>
      <c r="X4" s="6" t="s">
        <v>75</v>
      </c>
      <c r="Y4" s="6" t="s">
        <v>76</v>
      </c>
      <c r="Z4" s="6" t="s">
        <v>73</v>
      </c>
      <c r="AA4" s="6" t="s">
        <v>74</v>
      </c>
      <c r="AB4" s="6" t="s">
        <v>75</v>
      </c>
      <c r="AC4" s="6" t="s">
        <v>76</v>
      </c>
      <c r="AD4" s="6"/>
      <c r="AE4" s="7"/>
      <c r="AH4" s="6"/>
      <c r="AI4" s="6"/>
      <c r="AO4" s="6"/>
      <c r="AP4" s="7"/>
      <c r="AQ4" s="7"/>
      <c r="AR4" s="7"/>
    </row>
    <row r="5" spans="4:59" x14ac:dyDescent="0.15">
      <c r="D5" s="6">
        <v>0</v>
      </c>
      <c r="E5" s="7">
        <f>AVERAGE((正常战斗1!E16+正常战斗1!AK16)/2,(正常战斗2!E16+正常战斗2!AK16)/2,(正常战斗3!E16+正常战斗3!AK16)/2,(绕后战斗1!E16+绕后战斗1!AK16)/2,(绕后战斗2!E16+绕后战斗2!AK16)/2)/1000</f>
        <v>1</v>
      </c>
      <c r="F5" s="7">
        <f>AVERAGE(绕后战斗1!BE16,(绕后战斗2!Y16+绕后战斗2!BE16)/2)/1000</f>
        <v>1</v>
      </c>
      <c r="G5" s="7">
        <f>AVERAGE((正常战斗1!Y16+正常战斗1!AU16+正常战斗1!BE16)/3,(正常战斗2!Y16+正常战斗2!BE16)/2,(正常战斗3!O16+正常战斗3!Y16+正常战斗3!AU16+正常战斗3!BE16)/4,绕后战斗1!Y16)/1000</f>
        <v>1</v>
      </c>
      <c r="H5" s="7">
        <f>AVERAGE(正常战斗1!O16,(正常战斗2!O16+正常战斗2!AU16)/2,(绕后战斗1!O16+绕后战斗1!AU16)/2,(绕后战斗2!O16+绕后战斗2!AU16)/2)/1000</f>
        <v>1</v>
      </c>
      <c r="I5" s="7">
        <f>AVERAGE(AVERAGE((正常战斗1!J16+正常战斗1!AP16)/2,(正常战斗2!J16+正常战斗2!AP16)/2,(正常战斗3!J16+正常战斗3!AP16)/2,(绕后战斗1!J16+绕后战斗1!AP16)/2,(绕后战斗2!J16+绕后战斗2!AP16)/2),AVERAGE(正常战斗1!T16,(正常战斗2!T16+正常战斗2!AZ16)/2,(绕后战斗1!T16+绕后战斗1!AZ16)/2,(绕后战斗2!T16+绕后战斗2!AZ16)/2))</f>
        <v>1</v>
      </c>
      <c r="J5" s="7">
        <f>AVERAGE(绕后战斗1!BJ16,(绕后战斗2!AD16+绕后战斗2!BJ16)/2)</f>
        <v>1</v>
      </c>
      <c r="K5" s="7">
        <f>AVERAGE((正常战斗1!AD16+正常战斗1!AZ16+正常战斗1!BJ16)/3,(正常战斗2!AD16+正常战斗2!BJ16)/2,(正常战斗3!T16+正常战斗3!AD16+正常战斗3!AZ16+正常战斗3!BJ16)/4,绕后战斗1!AD16)</f>
        <v>1</v>
      </c>
      <c r="L5" s="7">
        <f>K5</f>
        <v>1</v>
      </c>
      <c r="M5" s="7"/>
      <c r="N5" s="7">
        <f>AVERAGE(正常战斗1!CK16,正常战斗2!CK16,正常战斗3!CK16,绕后战斗1!CK16,绕后战斗2!CK16)</f>
        <v>1</v>
      </c>
      <c r="O5" s="7">
        <f>AVERAGE(正常战斗1!CL16,正常战斗2!CL16,正常战斗3!CL16,绕后战斗1!CL16,绕后战斗2!CL16)</f>
        <v>0</v>
      </c>
      <c r="P5" s="7">
        <f>AVERAGE(正常战斗1!CM16,正常战斗2!CM16,正常战斗3!CM16,绕后战斗1!CM16,绕后战斗2!CM16)</f>
        <v>0</v>
      </c>
      <c r="Q5" s="7">
        <f>AVERAGE(正常战斗1!CN16,正常战斗2!CN16,正常战斗3!CN16,绕后战斗1!CN16,绕后战斗2!CN16)</f>
        <v>0</v>
      </c>
      <c r="R5" s="7">
        <f>AVERAGE(绕后战斗1!CO16,绕后战斗2!CO16)</f>
        <v>0</v>
      </c>
      <c r="S5" s="7">
        <f>AVERAGE(绕后战斗1!CP16,绕后战斗2!CP16)</f>
        <v>0.5</v>
      </c>
      <c r="T5" s="7">
        <f>AVERAGE(绕后战斗1!CQ16,绕后战斗2!CQ16)</f>
        <v>0.5</v>
      </c>
      <c r="U5" s="7">
        <f>AVERAGE(绕后战斗1!CR16,绕后战斗2!CR16)</f>
        <v>0</v>
      </c>
      <c r="V5" s="7">
        <f>AVERAGE(正常战斗1!CS16,正常战斗2!CS16,正常战斗3!CS16,绕后战斗1!CS16)</f>
        <v>0.75</v>
      </c>
      <c r="W5" s="7">
        <f>AVERAGE(正常战斗1!CT16,正常战斗2!CT16,正常战斗3!CT16,绕后战斗1!CT16)</f>
        <v>0.25</v>
      </c>
      <c r="X5" s="7">
        <f>AVERAGE(正常战斗1!CU16,正常战斗2!CU16,正常战斗3!CU16,绕后战斗1!CU16)</f>
        <v>0</v>
      </c>
      <c r="Y5" s="7">
        <f>AVERAGE(正常战斗1!CV16,正常战斗2!CV16,正常战斗3!CV16,绕后战斗1!CV16)</f>
        <v>0</v>
      </c>
      <c r="Z5" s="7">
        <f>AVERAGE(正常战斗1!CW16,正常战斗2!CW16,绕后战斗1!CW16,绕后战斗2!CW16)</f>
        <v>1</v>
      </c>
      <c r="AA5" s="7">
        <f>AVERAGE(正常战斗1!CX16,正常战斗2!CX16,绕后战斗1!CX16,绕后战斗2!CX16)</f>
        <v>0</v>
      </c>
      <c r="AB5" s="7">
        <f>AVERAGE(正常战斗1!CY16,正常战斗2!CY16,绕后战斗1!CY16,绕后战斗2!CY16)</f>
        <v>0</v>
      </c>
      <c r="AC5" s="7">
        <f>AVERAGE(正常战斗1!CZ16,正常战斗2!CZ16,绕后战斗1!CZ16,绕后战斗2!CZ16)</f>
        <v>0</v>
      </c>
      <c r="AD5" s="7"/>
      <c r="AE5" s="7"/>
      <c r="AO5" s="6"/>
      <c r="AP5" s="6"/>
      <c r="AQ5" s="6"/>
      <c r="AR5" s="6"/>
      <c r="AT5" s="6"/>
    </row>
    <row r="6" spans="4:59" x14ac:dyDescent="0.15">
      <c r="D6" s="6">
        <v>1</v>
      </c>
      <c r="E6" s="7" t="e">
        <f>AVERAGE((正常战斗1!E17+正常战斗1!AK17)/2,(正常战斗2!E17+正常战斗2!AK17)/2,(正常战斗3!E17+正常战斗3!AK17)/2,(绕后战斗1!E17+绕后战斗1!AK17)/2,(绕后战斗2!E17+绕后战斗2!AK17)/2)/1000</f>
        <v>#VALUE!</v>
      </c>
      <c r="F6" s="7" t="e">
        <f>AVERAGE(绕后战斗1!BE17,(绕后战斗2!Y17+绕后战斗2!BE17)/2)/1000</f>
        <v>#VALUE!</v>
      </c>
      <c r="G6" s="7" t="e">
        <f>AVERAGE((正常战斗1!Y17+正常战斗1!AU17+正常战斗1!BE17)/3,(正常战斗2!Y17+正常战斗2!BE17)/2,(正常战斗3!O17+正常战斗3!Y17+正常战斗3!AU17+正常战斗3!BE17)/4,绕后战斗1!Y17)/1000</f>
        <v>#VALUE!</v>
      </c>
      <c r="H6" s="7" t="e">
        <f>AVERAGE(正常战斗1!O17,(正常战斗2!O17+正常战斗2!AU17)/2,(绕后战斗1!O17+绕后战斗1!AU17)/2,(绕后战斗2!O17+绕后战斗2!AU17)/2)/1000</f>
        <v>#VALUE!</v>
      </c>
      <c r="I6" s="7">
        <f>AVERAGE(AVERAGE((正常战斗1!J17+正常战斗1!AP17)/2,(正常战斗2!J17+正常战斗2!AP17)/2,(正常战斗3!J17+正常战斗3!AP17)/2,(绕后战斗1!J17+绕后战斗1!AP17)/2,(绕后战斗2!J17+绕后战斗2!AP17)/2),AVERAGE(正常战斗1!T17,(正常战斗2!T17+正常战斗2!AZ17)/2,(绕后战斗1!T17+绕后战斗1!AZ17)/2,(绕后战斗2!T17+绕后战斗2!AZ17)/2))</f>
        <v>0.5</v>
      </c>
      <c r="J6" s="7">
        <f>AVERAGE(绕后战斗1!BJ17,(绕后战斗2!AD17+绕后战斗2!BJ17)/2)</f>
        <v>0</v>
      </c>
      <c r="K6" s="7">
        <f>AVERAGE((正常战斗1!AD17+正常战斗1!AZ17+正常战斗1!BJ17)/3,(正常战斗2!AD17+正常战斗2!BJ17)/2,(正常战斗3!T17+正常战斗3!AD17+正常战斗3!AZ17+正常战斗3!BJ17)/4,绕后战斗1!AD17)</f>
        <v>0.75</v>
      </c>
      <c r="L6" s="7">
        <f t="shared" ref="L6:L69" si="0">K6</f>
        <v>0.75</v>
      </c>
      <c r="M6" s="7"/>
      <c r="N6" s="7">
        <f>AVERAGE(正常战斗1!CK17,正常战斗2!CK17,正常战斗3!CK17,绕后战斗1!CK17,绕后战斗2!CK17)</f>
        <v>0</v>
      </c>
      <c r="O6" s="7">
        <f>AVERAGE(正常战斗1!CL17,正常战斗2!CL17,正常战斗3!CL17,绕后战斗1!CL17,绕后战斗2!CL17)</f>
        <v>0</v>
      </c>
      <c r="P6" s="7">
        <f>AVERAGE(正常战斗1!CM17,正常战斗2!CM17,正常战斗3!CM17,绕后战斗1!CM17,绕后战斗2!CM17)</f>
        <v>0</v>
      </c>
      <c r="Q6" s="7">
        <f>AVERAGE(正常战斗1!CN17,正常战斗2!CN17,正常战斗3!CN17,绕后战斗1!CN17,绕后战斗2!CN17)</f>
        <v>0</v>
      </c>
      <c r="R6" s="7">
        <f>AVERAGE(绕后战斗1!CO17,绕后战斗2!CO17)</f>
        <v>0</v>
      </c>
      <c r="S6" s="7">
        <f>AVERAGE(绕后战斗1!CP17,绕后战斗2!CP17)</f>
        <v>0</v>
      </c>
      <c r="T6" s="7">
        <f>AVERAGE(绕后战斗1!CQ17,绕后战斗2!CQ17)</f>
        <v>0</v>
      </c>
      <c r="U6" s="7">
        <f>AVERAGE(绕后战斗1!CR17,绕后战斗2!CR17)</f>
        <v>0</v>
      </c>
      <c r="V6" s="7">
        <f>AVERAGE(正常战斗1!CS17,正常战斗2!CS17,正常战斗3!CS17,绕后战斗1!CS17)</f>
        <v>0</v>
      </c>
      <c r="W6" s="7">
        <f>AVERAGE(正常战斗1!CT17,正常战斗2!CT17,正常战斗3!CT17,绕后战斗1!CT17)</f>
        <v>0</v>
      </c>
      <c r="X6" s="7">
        <f>AVERAGE(正常战斗1!CU17,正常战斗2!CU17,正常战斗3!CU17,绕后战斗1!CU17)</f>
        <v>0</v>
      </c>
      <c r="Y6" s="7">
        <f>AVERAGE(正常战斗1!CV17,正常战斗2!CV17,正常战斗3!CV17,绕后战斗1!CV17)</f>
        <v>0</v>
      </c>
      <c r="Z6" s="7">
        <f>AVERAGE(正常战斗1!CW17,正常战斗2!CW17,绕后战斗1!CW17,绕后战斗2!CW17)</f>
        <v>0</v>
      </c>
      <c r="AA6" s="7">
        <f>AVERAGE(正常战斗1!CX17,正常战斗2!CX17,绕后战斗1!CX17,绕后战斗2!CX17)</f>
        <v>0</v>
      </c>
      <c r="AB6" s="7">
        <f>AVERAGE(正常战斗1!CY17,正常战斗2!CY17,绕后战斗1!CY17,绕后战斗2!CY17)</f>
        <v>0</v>
      </c>
      <c r="AC6" s="7">
        <f>AVERAGE(正常战斗1!CZ17,正常战斗2!CZ17,绕后战斗1!CZ17,绕后战斗2!CZ17)</f>
        <v>0</v>
      </c>
      <c r="AD6" s="7"/>
      <c r="AE6" s="7"/>
      <c r="AH6" s="6"/>
      <c r="AI6" s="6"/>
      <c r="AO6" s="6"/>
      <c r="AP6" s="6"/>
      <c r="AQ6" s="6"/>
      <c r="AR6" s="7"/>
      <c r="AT6" s="7"/>
    </row>
    <row r="7" spans="4:59" x14ac:dyDescent="0.15">
      <c r="D7" s="6">
        <v>2</v>
      </c>
      <c r="E7" s="7" t="e">
        <f>AVERAGE((正常战斗1!E18+正常战斗1!AK18)/2,(正常战斗2!E18+正常战斗2!AK18)/2,(正常战斗3!E18+正常战斗3!AK18)/2,(绕后战斗1!E18+绕后战斗1!AK18)/2,(绕后战斗2!E18+绕后战斗2!AK18)/2)/1000</f>
        <v>#VALUE!</v>
      </c>
      <c r="F7" s="7" t="e">
        <f>AVERAGE(绕后战斗1!BE18,(绕后战斗2!Y18+绕后战斗2!BE18)/2)/1000</f>
        <v>#VALUE!</v>
      </c>
      <c r="G7" s="7" t="e">
        <f>AVERAGE((正常战斗1!Y18+正常战斗1!AU18+正常战斗1!BE18)/3,(正常战斗2!Y18+正常战斗2!BE18)/2,(正常战斗3!O18+正常战斗3!Y18+正常战斗3!AU18+正常战斗3!BE18)/4,绕后战斗1!Y18)/1000</f>
        <v>#VALUE!</v>
      </c>
      <c r="H7" s="7" t="e">
        <f>AVERAGE(正常战斗1!O18,(正常战斗2!O18+正常战斗2!AU18)/2,(绕后战斗1!O18+绕后战斗1!AU18)/2,(绕后战斗2!O18+绕后战斗2!AU18)/2)/1000</f>
        <v>#VALUE!</v>
      </c>
      <c r="I7" s="7" t="e">
        <f>AVERAGE(AVERAGE((正常战斗1!J18+正常战斗1!AP18)/2,(正常战斗2!J18+正常战斗2!AP18)/2,(正常战斗3!J18+正常战斗3!AP18)/2,(绕后战斗1!J18+绕后战斗1!AP18)/2,(绕后战斗2!J18+绕后战斗2!AP18)/2),AVERAGE(正常战斗1!T18,(正常战斗2!T18+正常战斗2!AZ18)/2,(绕后战斗1!T18+绕后战斗1!AZ18)/2,(绕后战斗2!T18+绕后战斗2!AZ18)/2))</f>
        <v>#VALUE!</v>
      </c>
      <c r="J7" s="7" t="e">
        <f>AVERAGE(绕后战斗1!BJ18,(绕后战斗2!AD18+绕后战斗2!BJ18)/2)</f>
        <v>#VALUE!</v>
      </c>
      <c r="K7" s="7" t="e">
        <f>AVERAGE((正常战斗1!AD18+正常战斗1!AZ18+正常战斗1!BJ18)/3,(正常战斗2!AD18+正常战斗2!BJ18)/2,(正常战斗3!T18+正常战斗3!AD18+正常战斗3!AZ18+正常战斗3!BJ18)/4,绕后战斗1!AD18)</f>
        <v>#VALUE!</v>
      </c>
      <c r="L7" s="7" t="e">
        <f t="shared" si="0"/>
        <v>#VALUE!</v>
      </c>
      <c r="M7" s="7"/>
      <c r="N7" s="7">
        <f>AVERAGE(正常战斗1!CK18,正常战斗2!CK18,正常战斗3!CK18,绕后战斗1!CK18,绕后战斗2!CK18)</f>
        <v>0</v>
      </c>
      <c r="O7" s="7">
        <f>AVERAGE(正常战斗1!CL18,正常战斗2!CL18,正常战斗3!CL18,绕后战斗1!CL18,绕后战斗2!CL18)</f>
        <v>0</v>
      </c>
      <c r="P7" s="7">
        <f>AVERAGE(正常战斗1!CM18,正常战斗2!CM18,正常战斗3!CM18,绕后战斗1!CM18,绕后战斗2!CM18)</f>
        <v>0</v>
      </c>
      <c r="Q7" s="7">
        <f>AVERAGE(正常战斗1!CN18,正常战斗2!CN18,正常战斗3!CN18,绕后战斗1!CN18,绕后战斗2!CN18)</f>
        <v>0</v>
      </c>
      <c r="R7" s="7">
        <f>AVERAGE(绕后战斗1!CO18,绕后战斗2!CO18)</f>
        <v>0</v>
      </c>
      <c r="S7" s="7">
        <f>AVERAGE(绕后战斗1!CP18,绕后战斗2!CP18)</f>
        <v>0</v>
      </c>
      <c r="T7" s="7">
        <f>AVERAGE(绕后战斗1!CQ18,绕后战斗2!CQ18)</f>
        <v>0</v>
      </c>
      <c r="U7" s="7">
        <f>AVERAGE(绕后战斗1!CR18,绕后战斗2!CR18)</f>
        <v>0</v>
      </c>
      <c r="V7" s="7">
        <f>AVERAGE(正常战斗1!CS18,正常战斗2!CS18,正常战斗3!CS18,绕后战斗1!CS18)</f>
        <v>0</v>
      </c>
      <c r="W7" s="7">
        <f>AVERAGE(正常战斗1!CT18,正常战斗2!CT18,正常战斗3!CT18,绕后战斗1!CT18)</f>
        <v>0</v>
      </c>
      <c r="X7" s="7">
        <f>AVERAGE(正常战斗1!CU18,正常战斗2!CU18,正常战斗3!CU18,绕后战斗1!CU18)</f>
        <v>0</v>
      </c>
      <c r="Y7" s="7">
        <f>AVERAGE(正常战斗1!CV18,正常战斗2!CV18,正常战斗3!CV18,绕后战斗1!CV18)</f>
        <v>0</v>
      </c>
      <c r="Z7" s="7">
        <f>AVERAGE(正常战斗1!CW18,正常战斗2!CW18,绕后战斗1!CW18,绕后战斗2!CW18)</f>
        <v>0</v>
      </c>
      <c r="AA7" s="7">
        <f>AVERAGE(正常战斗1!CX18,正常战斗2!CX18,绕后战斗1!CX18,绕后战斗2!CX18)</f>
        <v>0</v>
      </c>
      <c r="AB7" s="7">
        <f>AVERAGE(正常战斗1!CY18,正常战斗2!CY18,绕后战斗1!CY18,绕后战斗2!CY18)</f>
        <v>0</v>
      </c>
      <c r="AC7" s="7">
        <f>AVERAGE(正常战斗1!CZ18,正常战斗2!CZ18,绕后战斗1!CZ18,绕后战斗2!CZ18)</f>
        <v>0</v>
      </c>
      <c r="AD7" s="7"/>
      <c r="AE7" s="7"/>
      <c r="AH7" s="6"/>
      <c r="AI7" s="6"/>
      <c r="AJ7" s="6"/>
      <c r="AK7" s="6"/>
      <c r="AL7" s="6"/>
      <c r="AM7" s="6"/>
      <c r="AO7" s="6"/>
      <c r="AP7" s="6"/>
      <c r="AQ7" s="6"/>
      <c r="AR7" s="6"/>
      <c r="AT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4:59" x14ac:dyDescent="0.15">
      <c r="D8" s="6">
        <v>3</v>
      </c>
      <c r="E8" s="7" t="e">
        <f>AVERAGE((正常战斗1!E19+正常战斗1!AK19)/2,(正常战斗2!E19+正常战斗2!AK19)/2,(正常战斗3!E19+正常战斗3!AK19)/2,(绕后战斗1!E19+绕后战斗1!AK19)/2,(绕后战斗2!E19+绕后战斗2!AK19)/2)/1000</f>
        <v>#VALUE!</v>
      </c>
      <c r="F8" s="7" t="e">
        <f>AVERAGE(绕后战斗1!BE19,(绕后战斗2!Y19+绕后战斗2!BE19)/2)/1000</f>
        <v>#VALUE!</v>
      </c>
      <c r="G8" s="7" t="e">
        <f>AVERAGE((正常战斗1!Y19+正常战斗1!AU19+正常战斗1!BE19)/3,(正常战斗2!Y19+正常战斗2!BE19)/2,(正常战斗3!O19+正常战斗3!Y19+正常战斗3!AU19+正常战斗3!BE19)/4,绕后战斗1!Y19)/1000</f>
        <v>#VALUE!</v>
      </c>
      <c r="H8" s="7" t="e">
        <f>AVERAGE(正常战斗1!O19,(正常战斗2!O19+正常战斗2!AU19)/2,(绕后战斗1!O19+绕后战斗1!AU19)/2,(绕后战斗2!O19+绕后战斗2!AU19)/2)/1000</f>
        <v>#VALUE!</v>
      </c>
      <c r="I8" s="7" t="e">
        <f>AVERAGE(AVERAGE((正常战斗1!J19+正常战斗1!AP19)/2,(正常战斗2!J19+正常战斗2!AP19)/2,(正常战斗3!J19+正常战斗3!AP19)/2,(绕后战斗1!J19+绕后战斗1!AP19)/2,(绕后战斗2!J19+绕后战斗2!AP19)/2),AVERAGE(正常战斗1!T19,(正常战斗2!T19+正常战斗2!AZ19)/2,(绕后战斗1!T19+绕后战斗1!AZ19)/2,(绕后战斗2!T19+绕后战斗2!AZ19)/2))</f>
        <v>#VALUE!</v>
      </c>
      <c r="J8" s="7" t="e">
        <f>AVERAGE(绕后战斗1!BJ19,(绕后战斗2!AD19+绕后战斗2!BJ19)/2)</f>
        <v>#VALUE!</v>
      </c>
      <c r="K8" s="7" t="e">
        <f>AVERAGE((正常战斗1!AD19+正常战斗1!AZ19+正常战斗1!BJ19)/3,(正常战斗2!AD19+正常战斗2!BJ19)/2,(正常战斗3!T19+正常战斗3!AD19+正常战斗3!AZ19+正常战斗3!BJ19)/4,绕后战斗1!AD19)</f>
        <v>#VALUE!</v>
      </c>
      <c r="L8" s="7" t="e">
        <f t="shared" si="0"/>
        <v>#VALUE!</v>
      </c>
      <c r="M8" s="7"/>
      <c r="N8" s="7">
        <f>AVERAGE(正常战斗1!CK19,正常战斗2!CK19,正常战斗3!CK19,绕后战斗1!CK19,绕后战斗2!CK19)</f>
        <v>0</v>
      </c>
      <c r="O8" s="7">
        <f>AVERAGE(正常战斗1!CL19,正常战斗2!CL19,正常战斗3!CL19,绕后战斗1!CL19,绕后战斗2!CL19)</f>
        <v>0</v>
      </c>
      <c r="P8" s="7">
        <f>AVERAGE(正常战斗1!CM19,正常战斗2!CM19,正常战斗3!CM19,绕后战斗1!CM19,绕后战斗2!CM19)</f>
        <v>0</v>
      </c>
      <c r="Q8" s="7">
        <f>AVERAGE(正常战斗1!CN19,正常战斗2!CN19,正常战斗3!CN19,绕后战斗1!CN19,绕后战斗2!CN19)</f>
        <v>0</v>
      </c>
      <c r="R8" s="7">
        <f>AVERAGE(绕后战斗1!CO19,绕后战斗2!CO19)</f>
        <v>0</v>
      </c>
      <c r="S8" s="7">
        <f>AVERAGE(绕后战斗1!CP19,绕后战斗2!CP19)</f>
        <v>0</v>
      </c>
      <c r="T8" s="7">
        <f>AVERAGE(绕后战斗1!CQ19,绕后战斗2!CQ19)</f>
        <v>0</v>
      </c>
      <c r="U8" s="7">
        <f>AVERAGE(绕后战斗1!CR19,绕后战斗2!CR19)</f>
        <v>0</v>
      </c>
      <c r="V8" s="7">
        <f>AVERAGE(正常战斗1!CS19,正常战斗2!CS19,正常战斗3!CS19,绕后战斗1!CS19)</f>
        <v>0</v>
      </c>
      <c r="W8" s="7">
        <f>AVERAGE(正常战斗1!CT19,正常战斗2!CT19,正常战斗3!CT19,绕后战斗1!CT19)</f>
        <v>0</v>
      </c>
      <c r="X8" s="7">
        <f>AVERAGE(正常战斗1!CU19,正常战斗2!CU19,正常战斗3!CU19,绕后战斗1!CU19)</f>
        <v>0</v>
      </c>
      <c r="Y8" s="7">
        <f>AVERAGE(正常战斗1!CV19,正常战斗2!CV19,正常战斗3!CV19,绕后战斗1!CV19)</f>
        <v>0</v>
      </c>
      <c r="Z8" s="7">
        <f>AVERAGE(正常战斗1!CW19,正常战斗2!CW19,绕后战斗1!CW19,绕后战斗2!CW19)</f>
        <v>0</v>
      </c>
      <c r="AA8" s="7">
        <f>AVERAGE(正常战斗1!CX19,正常战斗2!CX19,绕后战斗1!CX19,绕后战斗2!CX19)</f>
        <v>0</v>
      </c>
      <c r="AB8" s="7">
        <f>AVERAGE(正常战斗1!CY19,正常战斗2!CY19,绕后战斗1!CY19,绕后战斗2!CY19)</f>
        <v>0</v>
      </c>
      <c r="AC8" s="7">
        <f>AVERAGE(正常战斗1!CZ19,正常战斗2!CZ19,绕后战斗1!CZ19,绕后战斗2!CZ19)</f>
        <v>0</v>
      </c>
      <c r="AD8" s="7"/>
      <c r="AE8" s="7"/>
      <c r="AH8" s="4" t="s">
        <v>13</v>
      </c>
      <c r="AI8" s="4"/>
      <c r="AJ8" s="6"/>
      <c r="AK8" s="29" t="s">
        <v>12</v>
      </c>
      <c r="AL8" s="29"/>
      <c r="AM8" s="29"/>
      <c r="AO8" s="6"/>
      <c r="AR8" s="6"/>
      <c r="AT8" s="6"/>
      <c r="AU8" s="1"/>
      <c r="AV8" s="6"/>
      <c r="AW8" s="6" t="s">
        <v>82</v>
      </c>
      <c r="AX8" s="6" t="s">
        <v>83</v>
      </c>
      <c r="AY8" s="6" t="s">
        <v>84</v>
      </c>
      <c r="BA8" s="6"/>
      <c r="BB8" s="6" t="s">
        <v>82</v>
      </c>
      <c r="BC8" s="6" t="s">
        <v>83</v>
      </c>
      <c r="BD8" s="6" t="s">
        <v>84</v>
      </c>
    </row>
    <row r="9" spans="4:59" ht="11.25" x14ac:dyDescent="0.15">
      <c r="D9" s="6">
        <v>4</v>
      </c>
      <c r="E9" s="7" t="e">
        <f>AVERAGE((正常战斗1!E20+正常战斗1!AK20)/2,(正常战斗2!E20+正常战斗2!AK20)/2,(正常战斗3!E20+正常战斗3!AK20)/2,(绕后战斗1!E20+绕后战斗1!AK20)/2,(绕后战斗2!E20+绕后战斗2!AK20)/2)/1000</f>
        <v>#VALUE!</v>
      </c>
      <c r="F9" s="7" t="e">
        <f>AVERAGE(绕后战斗1!BE20,(绕后战斗2!Y20+绕后战斗2!BE20)/2)/1000</f>
        <v>#VALUE!</v>
      </c>
      <c r="G9" s="7" t="e">
        <f>AVERAGE((正常战斗1!Y20+正常战斗1!AU20+正常战斗1!BE20)/3,(正常战斗2!Y20+正常战斗2!BE20)/2,(正常战斗3!O20+正常战斗3!Y20+正常战斗3!AU20+正常战斗3!BE20)/4,绕后战斗1!Y20)/1000</f>
        <v>#VALUE!</v>
      </c>
      <c r="H9" s="7" t="e">
        <f>AVERAGE(正常战斗1!O20,(正常战斗2!O20+正常战斗2!AU20)/2,(绕后战斗1!O20+绕后战斗1!AU20)/2,(绕后战斗2!O20+绕后战斗2!AU20)/2)/1000</f>
        <v>#VALUE!</v>
      </c>
      <c r="I9" s="7" t="e">
        <f>AVERAGE(AVERAGE((正常战斗1!J20+正常战斗1!AP20)/2,(正常战斗2!J20+正常战斗2!AP20)/2,(正常战斗3!J20+正常战斗3!AP20)/2,(绕后战斗1!J20+绕后战斗1!AP20)/2,(绕后战斗2!J20+绕后战斗2!AP20)/2),AVERAGE(正常战斗1!T20,(正常战斗2!T20+正常战斗2!AZ20)/2,(绕后战斗1!T20+绕后战斗1!AZ20)/2,(绕后战斗2!T20+绕后战斗2!AZ20)/2))</f>
        <v>#VALUE!</v>
      </c>
      <c r="J9" s="7" t="e">
        <f>AVERAGE(绕后战斗1!BJ20,(绕后战斗2!AD20+绕后战斗2!BJ20)/2)</f>
        <v>#VALUE!</v>
      </c>
      <c r="K9" s="7" t="e">
        <f>AVERAGE((正常战斗1!AD20+正常战斗1!AZ20+正常战斗1!BJ20)/3,(正常战斗2!AD20+正常战斗2!BJ20)/2,(正常战斗3!T20+正常战斗3!AD20+正常战斗3!AZ20+正常战斗3!BJ20)/4,绕后战斗1!AD20)</f>
        <v>#VALUE!</v>
      </c>
      <c r="L9" s="7" t="e">
        <f t="shared" si="0"/>
        <v>#VALUE!</v>
      </c>
      <c r="M9" s="7"/>
      <c r="N9" s="7">
        <f>AVERAGE(正常战斗1!CK20,正常战斗2!CK20,正常战斗3!CK20,绕后战斗1!CK20,绕后战斗2!CK20)</f>
        <v>0</v>
      </c>
      <c r="O9" s="7">
        <f>AVERAGE(正常战斗1!CL20,正常战斗2!CL20,正常战斗3!CL20,绕后战斗1!CL20,绕后战斗2!CL20)</f>
        <v>0</v>
      </c>
      <c r="P9" s="7">
        <f>AVERAGE(正常战斗1!CM20,正常战斗2!CM20,正常战斗3!CM20,绕后战斗1!CM20,绕后战斗2!CM20)</f>
        <v>0</v>
      </c>
      <c r="Q9" s="7">
        <f>AVERAGE(正常战斗1!CN20,正常战斗2!CN20,正常战斗3!CN20,绕后战斗1!CN20,绕后战斗2!CN20)</f>
        <v>0</v>
      </c>
      <c r="R9" s="7">
        <f>AVERAGE(绕后战斗1!CO20,绕后战斗2!CO20)</f>
        <v>0</v>
      </c>
      <c r="S9" s="7">
        <f>AVERAGE(绕后战斗1!CP20,绕后战斗2!CP20)</f>
        <v>0</v>
      </c>
      <c r="T9" s="7">
        <f>AVERAGE(绕后战斗1!CQ20,绕后战斗2!CQ20)</f>
        <v>0</v>
      </c>
      <c r="U9" s="7">
        <f>AVERAGE(绕后战斗1!CR20,绕后战斗2!CR20)</f>
        <v>0</v>
      </c>
      <c r="V9" s="7">
        <f>AVERAGE(正常战斗1!CS20,正常战斗2!CS20,正常战斗3!CS20,绕后战斗1!CS20)</f>
        <v>0</v>
      </c>
      <c r="W9" s="7">
        <f>AVERAGE(正常战斗1!CT20,正常战斗2!CT20,正常战斗3!CT20,绕后战斗1!CT20)</f>
        <v>0</v>
      </c>
      <c r="X9" s="7">
        <f>AVERAGE(正常战斗1!CU20,正常战斗2!CU20,正常战斗3!CU20,绕后战斗1!CU20)</f>
        <v>0</v>
      </c>
      <c r="Y9" s="7">
        <f>AVERAGE(正常战斗1!CV20,正常战斗2!CV20,正常战斗3!CV20,绕后战斗1!CV20)</f>
        <v>0</v>
      </c>
      <c r="Z9" s="7">
        <f>AVERAGE(正常战斗1!CW20,正常战斗2!CW20,绕后战斗1!CW20,绕后战斗2!CW20)</f>
        <v>0</v>
      </c>
      <c r="AA9" s="7">
        <f>AVERAGE(正常战斗1!CX20,正常战斗2!CX20,绕后战斗1!CX20,绕后战斗2!CX20)</f>
        <v>0</v>
      </c>
      <c r="AB9" s="7">
        <f>AVERAGE(正常战斗1!CY20,正常战斗2!CY20,绕后战斗1!CY20,绕后战斗2!CY20)</f>
        <v>0</v>
      </c>
      <c r="AC9" s="7">
        <f>AVERAGE(正常战斗1!CZ20,正常战斗2!CZ20,绕后战斗1!CZ20,绕后战斗2!CZ20)</f>
        <v>0</v>
      </c>
      <c r="AD9" s="7"/>
      <c r="AE9" s="7"/>
      <c r="AH9" s="6" t="s">
        <v>6</v>
      </c>
      <c r="AI9" s="7" t="s">
        <v>7</v>
      </c>
      <c r="AJ9" s="6" t="s">
        <v>9</v>
      </c>
      <c r="AK9" s="6" t="s">
        <v>8</v>
      </c>
      <c r="AL9" s="6" t="s">
        <v>14</v>
      </c>
      <c r="AM9" s="6" t="s">
        <v>0</v>
      </c>
      <c r="AN9" s="6" t="s">
        <v>54</v>
      </c>
      <c r="AO9" s="6"/>
      <c r="AR9" s="6"/>
      <c r="AT9" s="6"/>
      <c r="AU9" s="1"/>
      <c r="AV9" s="6">
        <v>1</v>
      </c>
      <c r="AW9" s="6">
        <f>AM14</f>
        <v>192000</v>
      </c>
      <c r="AX9" s="6">
        <f>AK14</f>
        <v>0.375</v>
      </c>
      <c r="AY9" s="6">
        <v>1</v>
      </c>
      <c r="BA9" s="6">
        <v>3</v>
      </c>
      <c r="BB9" s="6">
        <f>11200/1000</f>
        <v>11.2</v>
      </c>
      <c r="BC9" s="6">
        <f>39000/1000</f>
        <v>39</v>
      </c>
      <c r="BD9" s="6">
        <v>1000</v>
      </c>
    </row>
    <row r="10" spans="4:59" ht="11.25" x14ac:dyDescent="0.15">
      <c r="D10" s="6">
        <v>5</v>
      </c>
      <c r="E10" s="7" t="e">
        <f>AVERAGE((正常战斗1!E21+正常战斗1!AK21)/2,(正常战斗2!E21+正常战斗2!AK21)/2,(正常战斗3!E21+正常战斗3!AK21)/2,(绕后战斗1!E21+绕后战斗1!AK21)/2,(绕后战斗2!E21+绕后战斗2!AK21)/2)/1000</f>
        <v>#VALUE!</v>
      </c>
      <c r="F10" s="7" t="e">
        <f>AVERAGE(绕后战斗1!BE21,(绕后战斗2!Y21+绕后战斗2!BE21)/2)/1000</f>
        <v>#VALUE!</v>
      </c>
      <c r="G10" s="7" t="e">
        <f>AVERAGE((正常战斗1!Y21+正常战斗1!AU21+正常战斗1!BE21)/3,(正常战斗2!Y21+正常战斗2!BE21)/2,(正常战斗3!O21+正常战斗3!Y21+正常战斗3!AU21+正常战斗3!BE21)/4,绕后战斗1!Y21)/1000</f>
        <v>#VALUE!</v>
      </c>
      <c r="H10" s="7" t="e">
        <f>AVERAGE(正常战斗1!O21,(正常战斗2!O21+正常战斗2!AU21)/2,(绕后战斗1!O21+绕后战斗1!AU21)/2,(绕后战斗2!O21+绕后战斗2!AU21)/2)/1000</f>
        <v>#VALUE!</v>
      </c>
      <c r="I10" s="7" t="e">
        <f>AVERAGE(AVERAGE((正常战斗1!J21+正常战斗1!AP21)/2,(正常战斗2!J21+正常战斗2!AP21)/2,(正常战斗3!J21+正常战斗3!AP21)/2,(绕后战斗1!J21+绕后战斗1!AP21)/2,(绕后战斗2!J21+绕后战斗2!AP21)/2),AVERAGE(正常战斗1!T21,(正常战斗2!T21+正常战斗2!AZ21)/2,(绕后战斗1!T21+绕后战斗1!AZ21)/2,(绕后战斗2!T21+绕后战斗2!AZ21)/2))</f>
        <v>#VALUE!</v>
      </c>
      <c r="J10" s="7" t="e">
        <f>AVERAGE(绕后战斗1!BJ21,(绕后战斗2!AD21+绕后战斗2!BJ21)/2)</f>
        <v>#VALUE!</v>
      </c>
      <c r="K10" s="7" t="e">
        <f>AVERAGE((正常战斗1!AD21+正常战斗1!AZ21+正常战斗1!BJ21)/3,(正常战斗2!AD21+正常战斗2!BJ21)/2,(正常战斗3!T21+正常战斗3!AD21+正常战斗3!AZ21+正常战斗3!BJ21)/4,绕后战斗1!AD21)</f>
        <v>#VALUE!</v>
      </c>
      <c r="L10" s="7" t="e">
        <f t="shared" si="0"/>
        <v>#VALUE!</v>
      </c>
      <c r="M10" s="7"/>
      <c r="N10" s="7">
        <f>AVERAGE(正常战斗1!CK21,正常战斗2!CK21,正常战斗3!CK21,绕后战斗1!CK21,绕后战斗2!CK21)</f>
        <v>0</v>
      </c>
      <c r="O10" s="7">
        <f>AVERAGE(正常战斗1!CL21,正常战斗2!CL21,正常战斗3!CL21,绕后战斗1!CL21,绕后战斗2!CL21)</f>
        <v>0</v>
      </c>
      <c r="P10" s="7">
        <f>AVERAGE(正常战斗1!CM21,正常战斗2!CM21,正常战斗3!CM21,绕后战斗1!CM21,绕后战斗2!CM21)</f>
        <v>0</v>
      </c>
      <c r="Q10" s="7">
        <f>AVERAGE(正常战斗1!CN21,正常战斗2!CN21,正常战斗3!CN21,绕后战斗1!CN21,绕后战斗2!CN21)</f>
        <v>0</v>
      </c>
      <c r="R10" s="7">
        <f>AVERAGE(绕后战斗1!CO21,绕后战斗2!CO21)</f>
        <v>0</v>
      </c>
      <c r="S10" s="7">
        <f>AVERAGE(绕后战斗1!CP21,绕后战斗2!CP21)</f>
        <v>0</v>
      </c>
      <c r="T10" s="7">
        <f>AVERAGE(绕后战斗1!CQ21,绕后战斗2!CQ21)</f>
        <v>0</v>
      </c>
      <c r="U10" s="7">
        <f>AVERAGE(绕后战斗1!CR21,绕后战斗2!CR21)</f>
        <v>0</v>
      </c>
      <c r="V10" s="7">
        <f>AVERAGE(正常战斗1!CS21,正常战斗2!CS21,正常战斗3!CS21,绕后战斗1!CS21)</f>
        <v>0</v>
      </c>
      <c r="W10" s="7">
        <f>AVERAGE(正常战斗1!CT21,正常战斗2!CT21,正常战斗3!CT21,绕后战斗1!CT21)</f>
        <v>0</v>
      </c>
      <c r="X10" s="7">
        <f>AVERAGE(正常战斗1!CU21,正常战斗2!CU21,正常战斗3!CU21,绕后战斗1!CU21)</f>
        <v>0</v>
      </c>
      <c r="Y10" s="7">
        <f>AVERAGE(正常战斗1!CV21,正常战斗2!CV21,正常战斗3!CV21,绕后战斗1!CV21)</f>
        <v>0</v>
      </c>
      <c r="Z10" s="7">
        <f>AVERAGE(正常战斗1!CW21,正常战斗2!CW21,绕后战斗1!CW21,绕后战斗2!CW21)</f>
        <v>0</v>
      </c>
      <c r="AA10" s="7">
        <f>AVERAGE(正常战斗1!CX21,正常战斗2!CX21,绕后战斗1!CX21,绕后战斗2!CX21)</f>
        <v>0</v>
      </c>
      <c r="AB10" s="7">
        <f>AVERAGE(正常战斗1!CY21,正常战斗2!CY21,绕后战斗1!CY21,绕后战斗2!CY21)</f>
        <v>0</v>
      </c>
      <c r="AC10" s="7">
        <f>AVERAGE(正常战斗1!CZ21,正常战斗2!CZ21,绕后战斗1!CZ21,绕后战斗2!CZ21)</f>
        <v>0</v>
      </c>
      <c r="AD10" s="7"/>
      <c r="AE10" s="7"/>
      <c r="AG10" s="1" t="e">
        <f>AL10*AM10*1000^2/2</f>
        <v>#VALUE!</v>
      </c>
      <c r="AH10" s="30" t="s">
        <v>5</v>
      </c>
      <c r="AI10" s="6" t="s">
        <v>56</v>
      </c>
      <c r="AJ10" s="25">
        <f>[1]数据总览!CM10</f>
        <v>0.44444444444444442</v>
      </c>
      <c r="AK10" s="6" t="e">
        <f>AL10*(1-AJ10)</f>
        <v>#VALUE!</v>
      </c>
      <c r="AL10" s="6" t="str">
        <f>[2]数据总览!CZ34</f>
        <v>步兵</v>
      </c>
      <c r="AM10" s="6">
        <f>[2]数据总览!DA34</f>
        <v>324</v>
      </c>
      <c r="AN10" s="24">
        <f>[1]数据总览!DF12</f>
        <v>1</v>
      </c>
      <c r="AO10" s="6"/>
      <c r="AP10" s="7"/>
      <c r="AR10" s="6"/>
      <c r="AT10" s="6"/>
      <c r="AU10" s="1"/>
      <c r="AV10" s="6">
        <v>2</v>
      </c>
      <c r="AW10" s="6">
        <f>AM12</f>
        <v>180</v>
      </c>
      <c r="AX10" s="6" t="str">
        <f>AL12</f>
        <v>弓兵</v>
      </c>
      <c r="AY10" s="6">
        <v>1000</v>
      </c>
      <c r="BA10" s="6">
        <v>4</v>
      </c>
      <c r="BB10" s="6">
        <f>AW9</f>
        <v>192000</v>
      </c>
      <c r="BC10" s="6">
        <f>AX9</f>
        <v>0.375</v>
      </c>
      <c r="BD10" s="6">
        <v>1</v>
      </c>
    </row>
    <row r="11" spans="4:59" ht="11.25" x14ac:dyDescent="0.15">
      <c r="D11" s="6">
        <v>6</v>
      </c>
      <c r="E11" s="7" t="e">
        <f>AVERAGE((正常战斗1!E22+正常战斗1!AK22)/2,(正常战斗2!E22+正常战斗2!AK22)/2,(正常战斗3!E22+正常战斗3!AK22)/2,(绕后战斗1!E22+绕后战斗1!AK22)/2,(绕后战斗2!E22+绕后战斗2!AK22)/2)/1000</f>
        <v>#VALUE!</v>
      </c>
      <c r="F11" s="7" t="e">
        <f>AVERAGE(绕后战斗1!BE22,(绕后战斗2!Y22+绕后战斗2!BE22)/2)/1000</f>
        <v>#VALUE!</v>
      </c>
      <c r="G11" s="7" t="e">
        <f>AVERAGE((正常战斗1!Y22+正常战斗1!AU22+正常战斗1!BE22)/3,(正常战斗2!Y22+正常战斗2!BE22)/2,(正常战斗3!O22+正常战斗3!Y22+正常战斗3!AU22+正常战斗3!BE22)/4,绕后战斗1!Y22)/1000</f>
        <v>#VALUE!</v>
      </c>
      <c r="H11" s="7" t="e">
        <f>AVERAGE(正常战斗1!O22,(正常战斗2!O22+正常战斗2!AU22)/2,(绕后战斗1!O22+绕后战斗1!AU22)/2,(绕后战斗2!O22+绕后战斗2!AU22)/2)/1000</f>
        <v>#VALUE!</v>
      </c>
      <c r="I11" s="7" t="e">
        <f>AVERAGE(AVERAGE((正常战斗1!J22+正常战斗1!AP22)/2,(正常战斗2!J22+正常战斗2!AP22)/2,(正常战斗3!J22+正常战斗3!AP22)/2,(绕后战斗1!J22+绕后战斗1!AP22)/2,(绕后战斗2!J22+绕后战斗2!AP22)/2),AVERAGE(正常战斗1!T22,(正常战斗2!T22+正常战斗2!AZ22)/2,(绕后战斗1!T22+绕后战斗1!AZ22)/2,(绕后战斗2!T22+绕后战斗2!AZ22)/2))</f>
        <v>#VALUE!</v>
      </c>
      <c r="J11" s="7" t="e">
        <f>AVERAGE(绕后战斗1!BJ22,(绕后战斗2!AD22+绕后战斗2!BJ22)/2)</f>
        <v>#VALUE!</v>
      </c>
      <c r="K11" s="7" t="e">
        <f>AVERAGE((正常战斗1!AD22+正常战斗1!AZ22+正常战斗1!BJ22)/3,(正常战斗2!AD22+正常战斗2!BJ22)/2,(正常战斗3!T22+正常战斗3!AD22+正常战斗3!AZ22+正常战斗3!BJ22)/4,绕后战斗1!AD22)</f>
        <v>#VALUE!</v>
      </c>
      <c r="L11" s="7" t="e">
        <f t="shared" si="0"/>
        <v>#VALUE!</v>
      </c>
      <c r="M11" s="7"/>
      <c r="N11" s="7">
        <f>AVERAGE(正常战斗1!CK22,正常战斗2!CK22,正常战斗3!CK22,绕后战斗1!CK22,绕后战斗2!CK22)</f>
        <v>0</v>
      </c>
      <c r="O11" s="7">
        <f>AVERAGE(正常战斗1!CL22,正常战斗2!CL22,正常战斗3!CL22,绕后战斗1!CL22,绕后战斗2!CL22)</f>
        <v>0</v>
      </c>
      <c r="P11" s="7">
        <f>AVERAGE(正常战斗1!CM22,正常战斗2!CM22,正常战斗3!CM22,绕后战斗1!CM22,绕后战斗2!CM22)</f>
        <v>0</v>
      </c>
      <c r="Q11" s="7">
        <f>AVERAGE(正常战斗1!CN22,正常战斗2!CN22,正常战斗3!CN22,绕后战斗1!CN22,绕后战斗2!CN22)</f>
        <v>0</v>
      </c>
      <c r="R11" s="7">
        <f>AVERAGE(绕后战斗1!CO22,绕后战斗2!CO22)</f>
        <v>0</v>
      </c>
      <c r="S11" s="7">
        <f>AVERAGE(绕后战斗1!CP22,绕后战斗2!CP22)</f>
        <v>0</v>
      </c>
      <c r="T11" s="7">
        <f>AVERAGE(绕后战斗1!CQ22,绕后战斗2!CQ22)</f>
        <v>0</v>
      </c>
      <c r="U11" s="7">
        <f>AVERAGE(绕后战斗1!CR22,绕后战斗2!CR22)</f>
        <v>0</v>
      </c>
      <c r="V11" s="7">
        <f>AVERAGE(正常战斗1!CS22,正常战斗2!CS22,正常战斗3!CS22,绕后战斗1!CS22)</f>
        <v>0</v>
      </c>
      <c r="W11" s="7">
        <f>AVERAGE(正常战斗1!CT22,正常战斗2!CT22,正常战斗3!CT22,绕后战斗1!CT22)</f>
        <v>0</v>
      </c>
      <c r="X11" s="7">
        <f>AVERAGE(正常战斗1!CU22,正常战斗2!CU22,正常战斗3!CU22,绕后战斗1!CU22)</f>
        <v>0</v>
      </c>
      <c r="Y11" s="7">
        <f>AVERAGE(正常战斗1!CV22,正常战斗2!CV22,正常战斗3!CV22,绕后战斗1!CV22)</f>
        <v>0</v>
      </c>
      <c r="Z11" s="7">
        <f>AVERAGE(正常战斗1!CW22,正常战斗2!CW22,绕后战斗1!CW22,绕后战斗2!CW22)</f>
        <v>0</v>
      </c>
      <c r="AA11" s="7">
        <f>AVERAGE(正常战斗1!CX22,正常战斗2!CX22,绕后战斗1!CX22,绕后战斗2!CX22)</f>
        <v>0</v>
      </c>
      <c r="AB11" s="7">
        <f>AVERAGE(正常战斗1!CY22,正常战斗2!CY22,绕后战斗1!CY22,绕后战斗2!CY22)</f>
        <v>0</v>
      </c>
      <c r="AC11" s="7">
        <f>AVERAGE(正常战斗1!CZ22,正常战斗2!CZ22,绕后战斗1!CZ22,绕后战斗2!CZ22)</f>
        <v>0</v>
      </c>
      <c r="AD11" s="7"/>
      <c r="AE11" s="7"/>
      <c r="AG11" s="1" t="e">
        <f t="shared" ref="AG11:AG13" si="1">AL11*AM11*1000^2/2</f>
        <v>#VALUE!</v>
      </c>
      <c r="AH11" s="30"/>
      <c r="AI11" s="6" t="s">
        <v>58</v>
      </c>
      <c r="AJ11" s="25">
        <f>[1]数据总览!CM11</f>
        <v>0.375</v>
      </c>
      <c r="AK11" s="6" t="e">
        <f t="shared" ref="AK11:AK13" si="2">AL11*(1-AJ11)</f>
        <v>#VALUE!</v>
      </c>
      <c r="AL11" s="6" t="str">
        <f>[2]数据总览!CZ35</f>
        <v>骑兵</v>
      </c>
      <c r="AM11" s="6">
        <f>[2]数据总览!DA35</f>
        <v>240</v>
      </c>
      <c r="AN11" s="24">
        <f>[1]数据总览!DF13</f>
        <v>1</v>
      </c>
      <c r="AO11" s="6"/>
      <c r="AP11" s="7"/>
      <c r="AR11" s="6"/>
      <c r="AT11" s="6"/>
      <c r="AU11" s="1"/>
      <c r="AV11" s="6"/>
      <c r="AW11" s="6"/>
      <c r="AX11" s="6"/>
      <c r="AY11" s="6"/>
    </row>
    <row r="12" spans="4:59" ht="11.25" x14ac:dyDescent="0.15">
      <c r="D12" s="6">
        <v>7</v>
      </c>
      <c r="E12" s="7" t="e">
        <f>AVERAGE((正常战斗1!E23+正常战斗1!AK23)/2,(正常战斗2!E23+正常战斗2!AK23)/2,(正常战斗3!E23+正常战斗3!AK23)/2,(绕后战斗1!E23+绕后战斗1!AK23)/2,(绕后战斗2!E23+绕后战斗2!AK23)/2)/1000</f>
        <v>#VALUE!</v>
      </c>
      <c r="F12" s="7" t="e">
        <f>AVERAGE(绕后战斗1!BE23,(绕后战斗2!Y23+绕后战斗2!BE23)/2)/1000</f>
        <v>#VALUE!</v>
      </c>
      <c r="G12" s="7" t="e">
        <f>AVERAGE((正常战斗1!Y23+正常战斗1!AU23+正常战斗1!BE23)/3,(正常战斗2!Y23+正常战斗2!BE23)/2,(正常战斗3!O23+正常战斗3!Y23+正常战斗3!AU23+正常战斗3!BE23)/4,绕后战斗1!Y23)/1000</f>
        <v>#VALUE!</v>
      </c>
      <c r="H12" s="7" t="e">
        <f>AVERAGE(正常战斗1!O23,(正常战斗2!O23+正常战斗2!AU23)/2,(绕后战斗1!O23+绕后战斗1!AU23)/2,(绕后战斗2!O23+绕后战斗2!AU23)/2)/1000</f>
        <v>#VALUE!</v>
      </c>
      <c r="I12" s="7" t="e">
        <f>AVERAGE(AVERAGE((正常战斗1!J23+正常战斗1!AP23)/2,(正常战斗2!J23+正常战斗2!AP23)/2,(正常战斗3!J23+正常战斗3!AP23)/2,(绕后战斗1!J23+绕后战斗1!AP23)/2,(绕后战斗2!J23+绕后战斗2!AP23)/2),AVERAGE(正常战斗1!T23,(正常战斗2!T23+正常战斗2!AZ23)/2,(绕后战斗1!T23+绕后战斗1!AZ23)/2,(绕后战斗2!T23+绕后战斗2!AZ23)/2))</f>
        <v>#VALUE!</v>
      </c>
      <c r="J12" s="7" t="e">
        <f>AVERAGE(绕后战斗1!BJ23,(绕后战斗2!AD23+绕后战斗2!BJ23)/2)</f>
        <v>#VALUE!</v>
      </c>
      <c r="K12" s="7" t="e">
        <f>AVERAGE((正常战斗1!AD23+正常战斗1!AZ23+正常战斗1!BJ23)/3,(正常战斗2!AD23+正常战斗2!BJ23)/2,(正常战斗3!T23+正常战斗3!AD23+正常战斗3!AZ23+正常战斗3!BJ23)/4,绕后战斗1!AD23)</f>
        <v>#VALUE!</v>
      </c>
      <c r="L12" s="7" t="e">
        <f t="shared" si="0"/>
        <v>#VALUE!</v>
      </c>
      <c r="M12" s="7"/>
      <c r="N12" s="7">
        <f>AVERAGE(正常战斗1!CK23,正常战斗2!CK23,正常战斗3!CK23,绕后战斗1!CK23,绕后战斗2!CK23)</f>
        <v>0</v>
      </c>
      <c r="O12" s="7">
        <f>AVERAGE(正常战斗1!CL23,正常战斗2!CL23,正常战斗3!CL23,绕后战斗1!CL23,绕后战斗2!CL23)</f>
        <v>0</v>
      </c>
      <c r="P12" s="7">
        <f>AVERAGE(正常战斗1!CM23,正常战斗2!CM23,正常战斗3!CM23,绕后战斗1!CM23,绕后战斗2!CM23)</f>
        <v>0</v>
      </c>
      <c r="Q12" s="7">
        <f>AVERAGE(正常战斗1!CN23,正常战斗2!CN23,正常战斗3!CN23,绕后战斗1!CN23,绕后战斗2!CN23)</f>
        <v>0</v>
      </c>
      <c r="R12" s="7">
        <f>AVERAGE(绕后战斗1!CO23,绕后战斗2!CO23)</f>
        <v>0</v>
      </c>
      <c r="S12" s="7">
        <f>AVERAGE(绕后战斗1!CP23,绕后战斗2!CP23)</f>
        <v>0</v>
      </c>
      <c r="T12" s="7">
        <f>AVERAGE(绕后战斗1!CQ23,绕后战斗2!CQ23)</f>
        <v>0</v>
      </c>
      <c r="U12" s="7">
        <f>AVERAGE(绕后战斗1!CR23,绕后战斗2!CR23)</f>
        <v>0</v>
      </c>
      <c r="V12" s="7">
        <f>AVERAGE(正常战斗1!CS23,正常战斗2!CS23,正常战斗3!CS23,绕后战斗1!CS23)</f>
        <v>0</v>
      </c>
      <c r="W12" s="7">
        <f>AVERAGE(正常战斗1!CT23,正常战斗2!CT23,正常战斗3!CT23,绕后战斗1!CT23)</f>
        <v>0</v>
      </c>
      <c r="X12" s="7">
        <f>AVERAGE(正常战斗1!CU23,正常战斗2!CU23,正常战斗3!CU23,绕后战斗1!CU23)</f>
        <v>0</v>
      </c>
      <c r="Y12" s="7">
        <f>AVERAGE(正常战斗1!CV23,正常战斗2!CV23,正常战斗3!CV23,绕后战斗1!CV23)</f>
        <v>0</v>
      </c>
      <c r="Z12" s="7">
        <f>AVERAGE(正常战斗1!CW23,正常战斗2!CW23,绕后战斗1!CW23,绕后战斗2!CW23)</f>
        <v>0</v>
      </c>
      <c r="AA12" s="7">
        <f>AVERAGE(正常战斗1!CX23,正常战斗2!CX23,绕后战斗1!CX23,绕后战斗2!CX23)</f>
        <v>0</v>
      </c>
      <c r="AB12" s="7">
        <f>AVERAGE(正常战斗1!CY23,正常战斗2!CY23,绕后战斗1!CY23,绕后战斗2!CY23)</f>
        <v>0</v>
      </c>
      <c r="AC12" s="7">
        <f>AVERAGE(正常战斗1!CZ23,正常战斗2!CZ23,绕后战斗1!CZ23,绕后战斗2!CZ23)</f>
        <v>0</v>
      </c>
      <c r="AD12" s="7"/>
      <c r="AE12" s="7"/>
      <c r="AG12" s="1" t="e">
        <f t="shared" si="1"/>
        <v>#VALUE!</v>
      </c>
      <c r="AH12" s="30"/>
      <c r="AI12" s="6" t="s">
        <v>59</v>
      </c>
      <c r="AJ12" s="25">
        <f>[1]数据总览!CM12</f>
        <v>0.23076923076923084</v>
      </c>
      <c r="AK12" s="6" t="e">
        <f t="shared" si="2"/>
        <v>#VALUE!</v>
      </c>
      <c r="AL12" s="6" t="str">
        <f>[2]数据总览!CZ36</f>
        <v>弓兵</v>
      </c>
      <c r="AM12" s="6">
        <f>[2]数据总览!DA36</f>
        <v>180</v>
      </c>
      <c r="AN12" s="24">
        <f>[1]数据总览!DF14</f>
        <v>1</v>
      </c>
      <c r="AO12" s="6"/>
      <c r="AP12" s="7"/>
      <c r="AR12" s="6"/>
      <c r="AT12" s="6"/>
      <c r="AU12" s="1"/>
      <c r="AV12" s="6"/>
      <c r="AW12" s="6"/>
      <c r="AX12" s="6"/>
      <c r="AY12" s="6"/>
    </row>
    <row r="13" spans="4:59" ht="11.25" x14ac:dyDescent="0.15">
      <c r="D13" s="6">
        <v>8</v>
      </c>
      <c r="E13" s="7" t="e">
        <f>AVERAGE((正常战斗1!E24+正常战斗1!AK24)/2,(正常战斗2!E24+正常战斗2!AK24)/2,(正常战斗3!E24+正常战斗3!AK24)/2,(绕后战斗1!E24+绕后战斗1!AK24)/2,(绕后战斗2!E24+绕后战斗2!AK24)/2)/1000</f>
        <v>#VALUE!</v>
      </c>
      <c r="F13" s="7" t="e">
        <f>AVERAGE(绕后战斗1!BE24,(绕后战斗2!Y24+绕后战斗2!BE24)/2)/1000</f>
        <v>#VALUE!</v>
      </c>
      <c r="G13" s="7" t="e">
        <f>AVERAGE((正常战斗1!Y24+正常战斗1!AU24+正常战斗1!BE24)/3,(正常战斗2!Y24+正常战斗2!BE24)/2,(正常战斗3!O24+正常战斗3!Y24+正常战斗3!AU24+正常战斗3!BE24)/4,绕后战斗1!Y24)/1000</f>
        <v>#VALUE!</v>
      </c>
      <c r="H13" s="7" t="e">
        <f>AVERAGE(正常战斗1!O24,(正常战斗2!O24+正常战斗2!AU24)/2,(绕后战斗1!O24+绕后战斗1!AU24)/2,(绕后战斗2!O24+绕后战斗2!AU24)/2)/1000</f>
        <v>#VALUE!</v>
      </c>
      <c r="I13" s="7" t="e">
        <f>AVERAGE(AVERAGE((正常战斗1!J24+正常战斗1!AP24)/2,(正常战斗2!J24+正常战斗2!AP24)/2,(正常战斗3!J24+正常战斗3!AP24)/2,(绕后战斗1!J24+绕后战斗1!AP24)/2,(绕后战斗2!J24+绕后战斗2!AP24)/2),AVERAGE(正常战斗1!T24,(正常战斗2!T24+正常战斗2!AZ24)/2,(绕后战斗1!T24+绕后战斗1!AZ24)/2,(绕后战斗2!T24+绕后战斗2!AZ24)/2))</f>
        <v>#VALUE!</v>
      </c>
      <c r="J13" s="7" t="e">
        <f>AVERAGE(绕后战斗1!BJ24,(绕后战斗2!AD24+绕后战斗2!BJ24)/2)</f>
        <v>#VALUE!</v>
      </c>
      <c r="K13" s="7" t="e">
        <f>AVERAGE((正常战斗1!AD24+正常战斗1!AZ24+正常战斗1!BJ24)/3,(正常战斗2!AD24+正常战斗2!BJ24)/2,(正常战斗3!T24+正常战斗3!AD24+正常战斗3!AZ24+正常战斗3!BJ24)/4,绕后战斗1!AD24)</f>
        <v>#VALUE!</v>
      </c>
      <c r="L13" s="7" t="e">
        <f t="shared" si="0"/>
        <v>#VALUE!</v>
      </c>
      <c r="M13" s="7"/>
      <c r="N13" s="7">
        <f>AVERAGE(正常战斗1!CK24,正常战斗2!CK24,正常战斗3!CK24,绕后战斗1!CK24,绕后战斗2!CK24)</f>
        <v>0</v>
      </c>
      <c r="O13" s="7">
        <f>AVERAGE(正常战斗1!CL24,正常战斗2!CL24,正常战斗3!CL24,绕后战斗1!CL24,绕后战斗2!CL24)</f>
        <v>0</v>
      </c>
      <c r="P13" s="7">
        <f>AVERAGE(正常战斗1!CM24,正常战斗2!CM24,正常战斗3!CM24,绕后战斗1!CM24,绕后战斗2!CM24)</f>
        <v>0</v>
      </c>
      <c r="Q13" s="7">
        <f>AVERAGE(正常战斗1!CN24,正常战斗2!CN24,正常战斗3!CN24,绕后战斗1!CN24,绕后战斗2!CN24)</f>
        <v>0</v>
      </c>
      <c r="R13" s="7">
        <f>AVERAGE(绕后战斗1!CO24,绕后战斗2!CO24)</f>
        <v>0</v>
      </c>
      <c r="S13" s="7">
        <f>AVERAGE(绕后战斗1!CP24,绕后战斗2!CP24)</f>
        <v>0</v>
      </c>
      <c r="T13" s="7">
        <f>AVERAGE(绕后战斗1!CQ24,绕后战斗2!CQ24)</f>
        <v>0</v>
      </c>
      <c r="U13" s="7">
        <f>AVERAGE(绕后战斗1!CR24,绕后战斗2!CR24)</f>
        <v>0</v>
      </c>
      <c r="V13" s="7">
        <f>AVERAGE(正常战斗1!CS24,正常战斗2!CS24,正常战斗3!CS24,绕后战斗1!CS24)</f>
        <v>0</v>
      </c>
      <c r="W13" s="7">
        <f>AVERAGE(正常战斗1!CT24,正常战斗2!CT24,正常战斗3!CT24,绕后战斗1!CT24)</f>
        <v>0</v>
      </c>
      <c r="X13" s="7">
        <f>AVERAGE(正常战斗1!CU24,正常战斗2!CU24,正常战斗3!CU24,绕后战斗1!CU24)</f>
        <v>0</v>
      </c>
      <c r="Y13" s="7">
        <f>AVERAGE(正常战斗1!CV24,正常战斗2!CV24,正常战斗3!CV24,绕后战斗1!CV24)</f>
        <v>0</v>
      </c>
      <c r="Z13" s="7">
        <f>AVERAGE(正常战斗1!CW24,正常战斗2!CW24,绕后战斗1!CW24,绕后战斗2!CW24)</f>
        <v>0</v>
      </c>
      <c r="AA13" s="7">
        <f>AVERAGE(正常战斗1!CX24,正常战斗2!CX24,绕后战斗1!CX24,绕后战斗2!CX24)</f>
        <v>0</v>
      </c>
      <c r="AB13" s="7">
        <f>AVERAGE(正常战斗1!CY24,正常战斗2!CY24,绕后战斗1!CY24,绕后战斗2!CY24)</f>
        <v>0</v>
      </c>
      <c r="AC13" s="7">
        <f>AVERAGE(正常战斗1!CZ24,正常战斗2!CZ24,绕后战斗1!CZ24,绕后战斗2!CZ24)</f>
        <v>0</v>
      </c>
      <c r="AD13" s="7"/>
      <c r="AE13" s="7"/>
      <c r="AG13" s="1" t="e">
        <f t="shared" si="1"/>
        <v>#VALUE!</v>
      </c>
      <c r="AH13" s="30"/>
      <c r="AI13" s="6" t="s">
        <v>50</v>
      </c>
      <c r="AJ13" s="25">
        <f>[1]数据总览!CM13</f>
        <v>0.2857142857142857</v>
      </c>
      <c r="AK13" s="6" t="e">
        <f t="shared" si="2"/>
        <v>#VALUE!</v>
      </c>
      <c r="AL13" s="6" t="str">
        <f>[2]数据总览!CZ37</f>
        <v>枪兵</v>
      </c>
      <c r="AM13" s="6">
        <f>[2]数据总览!DA37</f>
        <v>156</v>
      </c>
      <c r="AN13" s="24">
        <f>[1]数据总览!DF15</f>
        <v>1</v>
      </c>
      <c r="AO13" s="6"/>
      <c r="AP13" s="7"/>
      <c r="AR13" s="6"/>
      <c r="AT13" s="6"/>
      <c r="AU13" s="1"/>
      <c r="AV13" s="6"/>
      <c r="AW13" s="6"/>
      <c r="AX13" s="6"/>
      <c r="AY13" s="6"/>
    </row>
    <row r="14" spans="4:59" x14ac:dyDescent="0.15">
      <c r="D14" s="6">
        <v>9</v>
      </c>
      <c r="E14" s="7" t="e">
        <f>AVERAGE((正常战斗1!E25+正常战斗1!AK25)/2,(正常战斗2!E25+正常战斗2!AK25)/2,(正常战斗3!E25+正常战斗3!AK25)/2,(绕后战斗1!E25+绕后战斗1!AK25)/2,(绕后战斗2!E25+绕后战斗2!AK25)/2)/1000</f>
        <v>#VALUE!</v>
      </c>
      <c r="F14" s="7" t="e">
        <f>AVERAGE(绕后战斗1!BE25,(绕后战斗2!Y25+绕后战斗2!BE25)/2)/1000</f>
        <v>#VALUE!</v>
      </c>
      <c r="G14" s="7" t="e">
        <f>AVERAGE((正常战斗1!Y25+正常战斗1!AU25+正常战斗1!BE25)/3,(正常战斗2!Y25+正常战斗2!BE25)/2,(正常战斗3!O25+正常战斗3!Y25+正常战斗3!AU25+正常战斗3!BE25)/4,绕后战斗1!Y25)/1000</f>
        <v>#VALUE!</v>
      </c>
      <c r="H14" s="7" t="e">
        <f>AVERAGE(正常战斗1!O25,(正常战斗2!O25+正常战斗2!AU25)/2,(绕后战斗1!O25+绕后战斗1!AU25)/2,(绕后战斗2!O25+绕后战斗2!AU25)/2)/1000</f>
        <v>#VALUE!</v>
      </c>
      <c r="I14" s="7" t="e">
        <f>AVERAGE(AVERAGE((正常战斗1!J25+正常战斗1!AP25)/2,(正常战斗2!J25+正常战斗2!AP25)/2,(正常战斗3!J25+正常战斗3!AP25)/2,(绕后战斗1!J25+绕后战斗1!AP25)/2,(绕后战斗2!J25+绕后战斗2!AP25)/2),AVERAGE(正常战斗1!T25,(正常战斗2!T25+正常战斗2!AZ25)/2,(绕后战斗1!T25+绕后战斗1!AZ25)/2,(绕后战斗2!T25+绕后战斗2!AZ25)/2))</f>
        <v>#VALUE!</v>
      </c>
      <c r="J14" s="7" t="e">
        <f>AVERAGE(绕后战斗1!BJ25,(绕后战斗2!AD25+绕后战斗2!BJ25)/2)</f>
        <v>#VALUE!</v>
      </c>
      <c r="K14" s="7" t="e">
        <f>AVERAGE((正常战斗1!AD25+正常战斗1!AZ25+正常战斗1!BJ25)/3,(正常战斗2!AD25+正常战斗2!BJ25)/2,(正常战斗3!T25+正常战斗3!AD25+正常战斗3!AZ25+正常战斗3!BJ25)/4,绕后战斗1!AD25)</f>
        <v>#VALUE!</v>
      </c>
      <c r="L14" s="7" t="e">
        <f t="shared" si="0"/>
        <v>#VALUE!</v>
      </c>
      <c r="M14" s="7"/>
      <c r="N14" s="7">
        <f>AVERAGE(正常战斗1!CK25,正常战斗2!CK25,正常战斗3!CK25,绕后战斗1!CK25,绕后战斗2!CK25)</f>
        <v>0</v>
      </c>
      <c r="O14" s="7">
        <f>AVERAGE(正常战斗1!CL25,正常战斗2!CL25,正常战斗3!CL25,绕后战斗1!CL25,绕后战斗2!CL25)</f>
        <v>0</v>
      </c>
      <c r="P14" s="7">
        <f>AVERAGE(正常战斗1!CM25,正常战斗2!CM25,正常战斗3!CM25,绕后战斗1!CM25,绕后战斗2!CM25)</f>
        <v>0</v>
      </c>
      <c r="Q14" s="7">
        <f>AVERAGE(正常战斗1!CN25,正常战斗2!CN25,正常战斗3!CN25,绕后战斗1!CN25,绕后战斗2!CN25)</f>
        <v>0</v>
      </c>
      <c r="R14" s="7">
        <f>AVERAGE(绕后战斗1!CO25,绕后战斗2!CO25)</f>
        <v>0</v>
      </c>
      <c r="S14" s="7">
        <f>AVERAGE(绕后战斗1!CP25,绕后战斗2!CP25)</f>
        <v>0</v>
      </c>
      <c r="T14" s="7">
        <f>AVERAGE(绕后战斗1!CQ25,绕后战斗2!CQ25)</f>
        <v>0</v>
      </c>
      <c r="U14" s="7">
        <f>AVERAGE(绕后战斗1!CR25,绕后战斗2!CR25)</f>
        <v>0</v>
      </c>
      <c r="V14" s="7">
        <f>AVERAGE(正常战斗1!CS25,正常战斗2!CS25,正常战斗3!CS25,绕后战斗1!CS25)</f>
        <v>0</v>
      </c>
      <c r="W14" s="7">
        <f>AVERAGE(正常战斗1!CT25,正常战斗2!CT25,正常战斗3!CT25,绕后战斗1!CT25)</f>
        <v>0</v>
      </c>
      <c r="X14" s="7">
        <f>AVERAGE(正常战斗1!CU25,正常战斗2!CU25,正常战斗3!CU25,绕后战斗1!CU25)</f>
        <v>0</v>
      </c>
      <c r="Y14" s="7">
        <f>AVERAGE(正常战斗1!CV25,正常战斗2!CV25,正常战斗3!CV25,绕后战斗1!CV25)</f>
        <v>0</v>
      </c>
      <c r="Z14" s="7">
        <f>AVERAGE(正常战斗1!CW25,正常战斗2!CW25,绕后战斗1!CW25,绕后战斗2!CW25)</f>
        <v>0</v>
      </c>
      <c r="AA14" s="7">
        <f>AVERAGE(正常战斗1!CX25,正常战斗2!CX25,绕后战斗1!CX25,绕后战斗2!CX25)</f>
        <v>0</v>
      </c>
      <c r="AB14" s="7">
        <f>AVERAGE(正常战斗1!CY25,正常战斗2!CY25,绕后战斗1!CY25,绕后战斗2!CY25)</f>
        <v>0</v>
      </c>
      <c r="AC14" s="7">
        <f>AVERAGE(正常战斗1!CZ25,正常战斗2!CZ25,绕后战斗1!CZ25,绕后战斗2!CZ25)</f>
        <v>0</v>
      </c>
      <c r="AD14" s="7"/>
      <c r="AE14" s="7"/>
      <c r="AG14" s="1">
        <f>AL14*AM14</f>
        <v>23040000000</v>
      </c>
      <c r="AH14" s="30" t="s">
        <v>10</v>
      </c>
      <c r="AI14" s="6" t="s">
        <v>60</v>
      </c>
      <c r="AJ14" s="6">
        <f>[2]数据总览!CE14</f>
        <v>3.0869200000000001</v>
      </c>
      <c r="AK14" s="6">
        <f>[2]数据总览!CF14</f>
        <v>0.375</v>
      </c>
      <c r="AL14" s="6">
        <f>[2]数据总览!CG14</f>
        <v>120000</v>
      </c>
      <c r="AM14" s="6">
        <f>[2]数据总览!CH14</f>
        <v>192000</v>
      </c>
      <c r="AO14" s="6"/>
      <c r="AR14" s="6"/>
      <c r="AT14" s="6"/>
      <c r="AU14" s="1"/>
      <c r="AV14" s="6"/>
      <c r="AW14" s="6" t="e">
        <f>AW9*AX9+AW10*AX10*AY10^2/2</f>
        <v>#VALUE!</v>
      </c>
      <c r="AX14" s="6"/>
      <c r="AY14" s="6"/>
      <c r="BB14" s="1">
        <f>BB9*BC9*BD9^2/2+BB10*BC10</f>
        <v>218471999.99999997</v>
      </c>
    </row>
    <row r="15" spans="4:59" x14ac:dyDescent="0.15">
      <c r="D15" s="6">
        <v>10</v>
      </c>
      <c r="E15" s="7" t="e">
        <f>AVERAGE((正常战斗1!E26+正常战斗1!AK26)/2,(正常战斗2!E26+正常战斗2!AK26)/2,(正常战斗3!E26+正常战斗3!AK26)/2,(绕后战斗1!E26+绕后战斗1!AK26)/2,(绕后战斗2!E26+绕后战斗2!AK26)/2)/1000</f>
        <v>#VALUE!</v>
      </c>
      <c r="F15" s="7" t="e">
        <f>AVERAGE(绕后战斗1!BE26,(绕后战斗2!Y26+绕后战斗2!BE26)/2)/1000</f>
        <v>#VALUE!</v>
      </c>
      <c r="G15" s="7" t="e">
        <f>AVERAGE((正常战斗1!Y26+正常战斗1!AU26+正常战斗1!BE26)/3,(正常战斗2!Y26+正常战斗2!BE26)/2,(正常战斗3!O26+正常战斗3!Y26+正常战斗3!AU26+正常战斗3!BE26)/4,绕后战斗1!Y26)/1000</f>
        <v>#VALUE!</v>
      </c>
      <c r="H15" s="7" t="e">
        <f>AVERAGE(正常战斗1!O26,(正常战斗2!O26+正常战斗2!AU26)/2,(绕后战斗1!O26+绕后战斗1!AU26)/2,(绕后战斗2!O26+绕后战斗2!AU26)/2)/1000</f>
        <v>#VALUE!</v>
      </c>
      <c r="I15" s="7" t="e">
        <f>AVERAGE(AVERAGE((正常战斗1!J26+正常战斗1!AP26)/2,(正常战斗2!J26+正常战斗2!AP26)/2,(正常战斗3!J26+正常战斗3!AP26)/2,(绕后战斗1!J26+绕后战斗1!AP26)/2,(绕后战斗2!J26+绕后战斗2!AP26)/2),AVERAGE(正常战斗1!T26,(正常战斗2!T26+正常战斗2!AZ26)/2,(绕后战斗1!T26+绕后战斗1!AZ26)/2,(绕后战斗2!T26+绕后战斗2!AZ26)/2))</f>
        <v>#VALUE!</v>
      </c>
      <c r="J15" s="7" t="e">
        <f>AVERAGE(绕后战斗1!BJ26,(绕后战斗2!AD26+绕后战斗2!BJ26)/2)</f>
        <v>#VALUE!</v>
      </c>
      <c r="K15" s="7" t="e">
        <f>AVERAGE((正常战斗1!AD26+正常战斗1!AZ26+正常战斗1!BJ26)/3,(正常战斗2!AD26+正常战斗2!BJ26)/2,(正常战斗3!T26+正常战斗3!AD26+正常战斗3!AZ26+正常战斗3!BJ26)/4,绕后战斗1!AD26)</f>
        <v>#VALUE!</v>
      </c>
      <c r="L15" s="7" t="e">
        <f t="shared" si="0"/>
        <v>#VALUE!</v>
      </c>
      <c r="M15" s="7"/>
      <c r="N15" s="7">
        <f>AVERAGE(正常战斗1!CK26,正常战斗2!CK26,正常战斗3!CK26,绕后战斗1!CK26,绕后战斗2!CK26)</f>
        <v>0</v>
      </c>
      <c r="O15" s="7">
        <f>AVERAGE(正常战斗1!CL26,正常战斗2!CL26,正常战斗3!CL26,绕后战斗1!CL26,绕后战斗2!CL26)</f>
        <v>0</v>
      </c>
      <c r="P15" s="7">
        <f>AVERAGE(正常战斗1!CM26,正常战斗2!CM26,正常战斗3!CM26,绕后战斗1!CM26,绕后战斗2!CM26)</f>
        <v>0</v>
      </c>
      <c r="Q15" s="7">
        <f>AVERAGE(正常战斗1!CN26,正常战斗2!CN26,正常战斗3!CN26,绕后战斗1!CN26,绕后战斗2!CN26)</f>
        <v>0</v>
      </c>
      <c r="R15" s="7">
        <f>AVERAGE(绕后战斗1!CO26,绕后战斗2!CO26)</f>
        <v>0</v>
      </c>
      <c r="S15" s="7">
        <f>AVERAGE(绕后战斗1!CP26,绕后战斗2!CP26)</f>
        <v>0</v>
      </c>
      <c r="T15" s="7">
        <f>AVERAGE(绕后战斗1!CQ26,绕后战斗2!CQ26)</f>
        <v>0</v>
      </c>
      <c r="U15" s="7">
        <f>AVERAGE(绕后战斗1!CR26,绕后战斗2!CR26)</f>
        <v>0</v>
      </c>
      <c r="V15" s="7">
        <f>AVERAGE(正常战斗1!CS26,正常战斗2!CS26,正常战斗3!CS26,绕后战斗1!CS26)</f>
        <v>0</v>
      </c>
      <c r="W15" s="7">
        <f>AVERAGE(正常战斗1!CT26,正常战斗2!CT26,正常战斗3!CT26,绕后战斗1!CT26)</f>
        <v>0</v>
      </c>
      <c r="X15" s="7">
        <f>AVERAGE(正常战斗1!CU26,正常战斗2!CU26,正常战斗3!CU26,绕后战斗1!CU26)</f>
        <v>0</v>
      </c>
      <c r="Y15" s="7">
        <f>AVERAGE(正常战斗1!CV26,正常战斗2!CV26,正常战斗3!CV26,绕后战斗1!CV26)</f>
        <v>0</v>
      </c>
      <c r="Z15" s="7">
        <f>AVERAGE(正常战斗1!CW26,正常战斗2!CW26,绕后战斗1!CW26,绕后战斗2!CW26)</f>
        <v>0</v>
      </c>
      <c r="AA15" s="7">
        <f>AVERAGE(正常战斗1!CX26,正常战斗2!CX26,绕后战斗1!CX26,绕后战斗2!CX26)</f>
        <v>0</v>
      </c>
      <c r="AB15" s="7">
        <f>AVERAGE(正常战斗1!CY26,正常战斗2!CY26,绕后战斗1!CY26,绕后战斗2!CY26)</f>
        <v>0</v>
      </c>
      <c r="AC15" s="7">
        <f>AVERAGE(正常战斗1!CZ26,正常战斗2!CZ26,绕后战斗1!CZ26,绕后战斗2!CZ26)</f>
        <v>0</v>
      </c>
      <c r="AD15" s="7"/>
      <c r="AE15" s="7"/>
      <c r="AG15" s="1">
        <f t="shared" ref="AG15:AG17" si="3">AL15*AM15</f>
        <v>23040000000</v>
      </c>
      <c r="AH15" s="30"/>
      <c r="AI15" s="6" t="s">
        <v>61</v>
      </c>
      <c r="AJ15" s="6">
        <f>[2]数据总览!CE15</f>
        <v>3.62704</v>
      </c>
      <c r="AK15" s="6">
        <f>[2]数据总览!CF15</f>
        <v>0.375</v>
      </c>
      <c r="AL15" s="6">
        <f>[2]数据总览!CG15</f>
        <v>120000</v>
      </c>
      <c r="AM15" s="6">
        <f>[2]数据总览!CH15</f>
        <v>192000</v>
      </c>
      <c r="AO15" s="6"/>
      <c r="AR15" s="6"/>
      <c r="AT15" s="6"/>
      <c r="AU15" s="1"/>
      <c r="AV15" s="6"/>
      <c r="AW15" s="6">
        <f>AW10*AY10*AX9</f>
        <v>67500</v>
      </c>
      <c r="AX15" s="6"/>
      <c r="AY15" s="6"/>
      <c r="BB15" s="1">
        <f>BC9*BD9*BB10</f>
        <v>7488000000</v>
      </c>
    </row>
    <row r="16" spans="4:59" x14ac:dyDescent="0.15">
      <c r="D16" s="6">
        <v>11</v>
      </c>
      <c r="E16" s="7" t="e">
        <f>AVERAGE((正常战斗1!E27+正常战斗1!AK27)/2,(正常战斗2!E27+正常战斗2!AK27)/2,(正常战斗3!E27+正常战斗3!AK27)/2,(绕后战斗1!E27+绕后战斗1!AK27)/2,(绕后战斗2!E27+绕后战斗2!AK27)/2)/1000</f>
        <v>#VALUE!</v>
      </c>
      <c r="F16" s="7" t="e">
        <f>AVERAGE(绕后战斗1!BE27,(绕后战斗2!Y27+绕后战斗2!BE27)/2)/1000</f>
        <v>#VALUE!</v>
      </c>
      <c r="G16" s="7" t="e">
        <f>AVERAGE((正常战斗1!Y27+正常战斗1!AU27+正常战斗1!BE27)/3,(正常战斗2!Y27+正常战斗2!BE27)/2,(正常战斗3!O27+正常战斗3!Y27+正常战斗3!AU27+正常战斗3!BE27)/4,绕后战斗1!Y27)/1000</f>
        <v>#VALUE!</v>
      </c>
      <c r="H16" s="7" t="e">
        <f>AVERAGE(正常战斗1!O27,(正常战斗2!O27+正常战斗2!AU27)/2,(绕后战斗1!O27+绕后战斗1!AU27)/2,(绕后战斗2!O27+绕后战斗2!AU27)/2)/1000</f>
        <v>#VALUE!</v>
      </c>
      <c r="I16" s="7" t="e">
        <f>AVERAGE(AVERAGE((正常战斗1!J27+正常战斗1!AP27)/2,(正常战斗2!J27+正常战斗2!AP27)/2,(正常战斗3!J27+正常战斗3!AP27)/2,(绕后战斗1!J27+绕后战斗1!AP27)/2,(绕后战斗2!J27+绕后战斗2!AP27)/2),AVERAGE(正常战斗1!T27,(正常战斗2!T27+正常战斗2!AZ27)/2,(绕后战斗1!T27+绕后战斗1!AZ27)/2,(绕后战斗2!T27+绕后战斗2!AZ27)/2))</f>
        <v>#VALUE!</v>
      </c>
      <c r="J16" s="7" t="e">
        <f>AVERAGE(绕后战斗1!BJ27,(绕后战斗2!AD27+绕后战斗2!BJ27)/2)</f>
        <v>#VALUE!</v>
      </c>
      <c r="K16" s="7" t="e">
        <f>AVERAGE((正常战斗1!AD27+正常战斗1!AZ27+正常战斗1!BJ27)/3,(正常战斗2!AD27+正常战斗2!BJ27)/2,(正常战斗3!T27+正常战斗3!AD27+正常战斗3!AZ27+正常战斗3!BJ27)/4,绕后战斗1!AD27)</f>
        <v>#VALUE!</v>
      </c>
      <c r="L16" s="7" t="e">
        <f t="shared" si="0"/>
        <v>#VALUE!</v>
      </c>
      <c r="M16" s="7"/>
      <c r="N16" s="7">
        <f>AVERAGE(正常战斗1!CK27,正常战斗2!CK27,正常战斗3!CK27,绕后战斗1!CK27,绕后战斗2!CK27)</f>
        <v>0</v>
      </c>
      <c r="O16" s="7">
        <f>AVERAGE(正常战斗1!CL27,正常战斗2!CL27,正常战斗3!CL27,绕后战斗1!CL27,绕后战斗2!CL27)</f>
        <v>0</v>
      </c>
      <c r="P16" s="7">
        <f>AVERAGE(正常战斗1!CM27,正常战斗2!CM27,正常战斗3!CM27,绕后战斗1!CM27,绕后战斗2!CM27)</f>
        <v>0</v>
      </c>
      <c r="Q16" s="7">
        <f>AVERAGE(正常战斗1!CN27,正常战斗2!CN27,正常战斗3!CN27,绕后战斗1!CN27,绕后战斗2!CN27)</f>
        <v>0</v>
      </c>
      <c r="R16" s="7">
        <f>AVERAGE(绕后战斗1!CO27,绕后战斗2!CO27)</f>
        <v>0</v>
      </c>
      <c r="S16" s="7">
        <f>AVERAGE(绕后战斗1!CP27,绕后战斗2!CP27)</f>
        <v>0</v>
      </c>
      <c r="T16" s="7">
        <f>AVERAGE(绕后战斗1!CQ27,绕后战斗2!CQ27)</f>
        <v>0</v>
      </c>
      <c r="U16" s="7">
        <f>AVERAGE(绕后战斗1!CR27,绕后战斗2!CR27)</f>
        <v>0</v>
      </c>
      <c r="V16" s="7">
        <f>AVERAGE(正常战斗1!CS27,正常战斗2!CS27,正常战斗3!CS27,绕后战斗1!CS27)</f>
        <v>0</v>
      </c>
      <c r="W16" s="7">
        <f>AVERAGE(正常战斗1!CT27,正常战斗2!CT27,正常战斗3!CT27,绕后战斗1!CT27)</f>
        <v>0</v>
      </c>
      <c r="X16" s="7">
        <f>AVERAGE(正常战斗1!CU27,正常战斗2!CU27,正常战斗3!CU27,绕后战斗1!CU27)</f>
        <v>0</v>
      </c>
      <c r="Y16" s="7">
        <f>AVERAGE(正常战斗1!CV27,正常战斗2!CV27,正常战斗3!CV27,绕后战斗1!CV27)</f>
        <v>0</v>
      </c>
      <c r="Z16" s="7">
        <f>AVERAGE(正常战斗1!CW27,正常战斗2!CW27,绕后战斗1!CW27,绕后战斗2!CW27)</f>
        <v>0</v>
      </c>
      <c r="AA16" s="7">
        <f>AVERAGE(正常战斗1!CX27,正常战斗2!CX27,绕后战斗1!CX27,绕后战斗2!CX27)</f>
        <v>0</v>
      </c>
      <c r="AB16" s="7">
        <f>AVERAGE(正常战斗1!CY27,正常战斗2!CY27,绕后战斗1!CY27,绕后战斗2!CY27)</f>
        <v>0</v>
      </c>
      <c r="AC16" s="7">
        <f>AVERAGE(正常战斗1!CZ27,正常战斗2!CZ27,绕后战斗1!CZ27,绕后战斗2!CZ27)</f>
        <v>0</v>
      </c>
      <c r="AD16" s="7"/>
      <c r="AE16" s="7"/>
      <c r="AG16" s="1">
        <f t="shared" si="3"/>
        <v>23040000000</v>
      </c>
      <c r="AH16" s="30"/>
      <c r="AI16" s="6" t="s">
        <v>62</v>
      </c>
      <c r="AJ16" s="6">
        <f>[2]数据总览!CE16</f>
        <v>1.8</v>
      </c>
      <c r="AK16" s="6">
        <f>[2]数据总览!CF16</f>
        <v>0.375</v>
      </c>
      <c r="AL16" s="6">
        <f>[2]数据总览!CG16</f>
        <v>120000</v>
      </c>
      <c r="AM16" s="6">
        <f>[2]数据总览!CH16</f>
        <v>192000</v>
      </c>
      <c r="AR16" s="6"/>
      <c r="AT16" s="6"/>
      <c r="AU16" s="1"/>
      <c r="AV16" s="6"/>
      <c r="AW16" s="6"/>
      <c r="AX16" s="6"/>
      <c r="AY16" s="6"/>
    </row>
    <row r="17" spans="4:59" x14ac:dyDescent="0.15">
      <c r="D17" s="6">
        <v>12</v>
      </c>
      <c r="E17" s="7" t="e">
        <f>AVERAGE((正常战斗1!E28+正常战斗1!AK28)/2,(正常战斗2!E28+正常战斗2!AK28)/2,(正常战斗3!E28+正常战斗3!AK28)/2,(绕后战斗1!E28+绕后战斗1!AK28)/2,(绕后战斗2!E28+绕后战斗2!AK28)/2)/1000</f>
        <v>#VALUE!</v>
      </c>
      <c r="F17" s="7" t="e">
        <f>AVERAGE(绕后战斗1!BE28,(绕后战斗2!Y28+绕后战斗2!BE28)/2)/1000</f>
        <v>#VALUE!</v>
      </c>
      <c r="G17" s="7" t="e">
        <f>AVERAGE((正常战斗1!Y28+正常战斗1!AU28+正常战斗1!BE28)/3,(正常战斗2!Y28+正常战斗2!BE28)/2,(正常战斗3!O28+正常战斗3!Y28+正常战斗3!AU28+正常战斗3!BE28)/4,绕后战斗1!Y28)/1000</f>
        <v>#VALUE!</v>
      </c>
      <c r="H17" s="7" t="e">
        <f>AVERAGE(正常战斗1!O28,(正常战斗2!O28+正常战斗2!AU28)/2,(绕后战斗1!O28+绕后战斗1!AU28)/2,(绕后战斗2!O28+绕后战斗2!AU28)/2)/1000</f>
        <v>#VALUE!</v>
      </c>
      <c r="I17" s="7" t="e">
        <f>AVERAGE(AVERAGE((正常战斗1!J28+正常战斗1!AP28)/2,(正常战斗2!J28+正常战斗2!AP28)/2,(正常战斗3!J28+正常战斗3!AP28)/2,(绕后战斗1!J28+绕后战斗1!AP28)/2,(绕后战斗2!J28+绕后战斗2!AP28)/2),AVERAGE(正常战斗1!T28,(正常战斗2!T28+正常战斗2!AZ28)/2,(绕后战斗1!T28+绕后战斗1!AZ28)/2,(绕后战斗2!T28+绕后战斗2!AZ28)/2))</f>
        <v>#VALUE!</v>
      </c>
      <c r="J17" s="7" t="e">
        <f>AVERAGE(绕后战斗1!BJ28,(绕后战斗2!AD28+绕后战斗2!BJ28)/2)</f>
        <v>#VALUE!</v>
      </c>
      <c r="K17" s="7" t="e">
        <f>AVERAGE((正常战斗1!AD28+正常战斗1!AZ28+正常战斗1!BJ28)/3,(正常战斗2!AD28+正常战斗2!BJ28)/2,(正常战斗3!T28+正常战斗3!AD28+正常战斗3!AZ28+正常战斗3!BJ28)/4,绕后战斗1!AD28)</f>
        <v>#VALUE!</v>
      </c>
      <c r="L17" s="7" t="e">
        <f t="shared" si="0"/>
        <v>#VALUE!</v>
      </c>
      <c r="M17" s="7"/>
      <c r="N17" s="7">
        <f>AVERAGE(正常战斗1!CK28,正常战斗2!CK28,正常战斗3!CK28,绕后战斗1!CK28,绕后战斗2!CK28)</f>
        <v>0</v>
      </c>
      <c r="O17" s="7">
        <f>AVERAGE(正常战斗1!CL28,正常战斗2!CL28,正常战斗3!CL28,绕后战斗1!CL28,绕后战斗2!CL28)</f>
        <v>0</v>
      </c>
      <c r="P17" s="7">
        <f>AVERAGE(正常战斗1!CM28,正常战斗2!CM28,正常战斗3!CM28,绕后战斗1!CM28,绕后战斗2!CM28)</f>
        <v>0</v>
      </c>
      <c r="Q17" s="7">
        <f>AVERAGE(正常战斗1!CN28,正常战斗2!CN28,正常战斗3!CN28,绕后战斗1!CN28,绕后战斗2!CN28)</f>
        <v>0</v>
      </c>
      <c r="R17" s="7">
        <f>AVERAGE(绕后战斗1!CO28,绕后战斗2!CO28)</f>
        <v>0</v>
      </c>
      <c r="S17" s="7">
        <f>AVERAGE(绕后战斗1!CP28,绕后战斗2!CP28)</f>
        <v>0</v>
      </c>
      <c r="T17" s="7">
        <f>AVERAGE(绕后战斗1!CQ28,绕后战斗2!CQ28)</f>
        <v>0</v>
      </c>
      <c r="U17" s="7">
        <f>AVERAGE(绕后战斗1!CR28,绕后战斗2!CR28)</f>
        <v>0</v>
      </c>
      <c r="V17" s="7">
        <f>AVERAGE(正常战斗1!CS28,正常战斗2!CS28,正常战斗3!CS28,绕后战斗1!CS28)</f>
        <v>0</v>
      </c>
      <c r="W17" s="7">
        <f>AVERAGE(正常战斗1!CT28,正常战斗2!CT28,正常战斗3!CT28,绕后战斗1!CT28)</f>
        <v>0</v>
      </c>
      <c r="X17" s="7">
        <f>AVERAGE(正常战斗1!CU28,正常战斗2!CU28,正常战斗3!CU28,绕后战斗1!CU28)</f>
        <v>0</v>
      </c>
      <c r="Y17" s="7">
        <f>AVERAGE(正常战斗1!CV28,正常战斗2!CV28,正常战斗3!CV28,绕后战斗1!CV28)</f>
        <v>0</v>
      </c>
      <c r="Z17" s="7">
        <f>AVERAGE(正常战斗1!CW28,正常战斗2!CW28,绕后战斗1!CW28,绕后战斗2!CW28)</f>
        <v>0</v>
      </c>
      <c r="AA17" s="7">
        <f>AVERAGE(正常战斗1!CX28,正常战斗2!CX28,绕后战斗1!CX28,绕后战斗2!CX28)</f>
        <v>0</v>
      </c>
      <c r="AB17" s="7">
        <f>AVERAGE(正常战斗1!CY28,正常战斗2!CY28,绕后战斗1!CY28,绕后战斗2!CY28)</f>
        <v>0</v>
      </c>
      <c r="AC17" s="7">
        <f>AVERAGE(正常战斗1!CZ28,正常战斗2!CZ28,绕后战斗1!CZ28,绕后战斗2!CZ28)</f>
        <v>0</v>
      </c>
      <c r="AD17" s="7"/>
      <c r="AE17" s="7"/>
      <c r="AG17" s="1">
        <f t="shared" si="3"/>
        <v>23040000000</v>
      </c>
      <c r="AH17" s="30"/>
      <c r="AI17" s="6" t="s">
        <v>72</v>
      </c>
      <c r="AJ17" s="6">
        <f>[2]数据总览!CE17</f>
        <v>1.8</v>
      </c>
      <c r="AK17" s="6">
        <f>[2]数据总览!CF17</f>
        <v>0.375</v>
      </c>
      <c r="AL17" s="6">
        <f>[2]数据总览!CG17</f>
        <v>120000</v>
      </c>
      <c r="AM17" s="6">
        <f>[2]数据总览!CH17</f>
        <v>192000</v>
      </c>
      <c r="AR17"/>
      <c r="AT17" s="6"/>
      <c r="AU17" s="6"/>
      <c r="AV17" s="6"/>
      <c r="AW17" s="6" t="e">
        <f>SUM(AW14:AW15)</f>
        <v>#VALUE!</v>
      </c>
      <c r="AX17" s="6"/>
      <c r="AY17" s="6"/>
      <c r="AZ17" s="6"/>
      <c r="BB17" s="6">
        <f>SUM(BB14:BB15)</f>
        <v>7706472000</v>
      </c>
    </row>
    <row r="18" spans="4:59" x14ac:dyDescent="0.15">
      <c r="D18" s="6">
        <v>13</v>
      </c>
      <c r="E18" s="7" t="e">
        <f>AVERAGE((正常战斗1!E29+正常战斗1!AK29)/2,(正常战斗2!E29+正常战斗2!AK29)/2,(正常战斗3!E29+正常战斗3!AK29)/2,(绕后战斗1!E29+绕后战斗1!AK29)/2,(绕后战斗2!E29+绕后战斗2!AK29)/2)/1000</f>
        <v>#VALUE!</v>
      </c>
      <c r="F18" s="7" t="e">
        <f>AVERAGE(绕后战斗1!BE29,(绕后战斗2!Y29+绕后战斗2!BE29)/2)/1000</f>
        <v>#VALUE!</v>
      </c>
      <c r="G18" s="7" t="e">
        <f>AVERAGE((正常战斗1!Y29+正常战斗1!AU29+正常战斗1!BE29)/3,(正常战斗2!Y29+正常战斗2!BE29)/2,(正常战斗3!O29+正常战斗3!Y29+正常战斗3!AU29+正常战斗3!BE29)/4,绕后战斗1!Y29)/1000</f>
        <v>#VALUE!</v>
      </c>
      <c r="H18" s="7" t="e">
        <f>AVERAGE(正常战斗1!O29,(正常战斗2!O29+正常战斗2!AU29)/2,(绕后战斗1!O29+绕后战斗1!AU29)/2,(绕后战斗2!O29+绕后战斗2!AU29)/2)/1000</f>
        <v>#VALUE!</v>
      </c>
      <c r="I18" s="7" t="e">
        <f>AVERAGE(AVERAGE((正常战斗1!J29+正常战斗1!AP29)/2,(正常战斗2!J29+正常战斗2!AP29)/2,(正常战斗3!J29+正常战斗3!AP29)/2,(绕后战斗1!J29+绕后战斗1!AP29)/2,(绕后战斗2!J29+绕后战斗2!AP29)/2),AVERAGE(正常战斗1!T29,(正常战斗2!T29+正常战斗2!AZ29)/2,(绕后战斗1!T29+绕后战斗1!AZ29)/2,(绕后战斗2!T29+绕后战斗2!AZ29)/2))</f>
        <v>#VALUE!</v>
      </c>
      <c r="J18" s="7" t="e">
        <f>AVERAGE(绕后战斗1!BJ29,(绕后战斗2!AD29+绕后战斗2!BJ29)/2)</f>
        <v>#VALUE!</v>
      </c>
      <c r="K18" s="7" t="e">
        <f>AVERAGE((正常战斗1!AD29+正常战斗1!AZ29+正常战斗1!BJ29)/3,(正常战斗2!AD29+正常战斗2!BJ29)/2,(正常战斗3!T29+正常战斗3!AD29+正常战斗3!AZ29+正常战斗3!BJ29)/4,绕后战斗1!AD29)</f>
        <v>#VALUE!</v>
      </c>
      <c r="L18" s="7" t="e">
        <f t="shared" si="0"/>
        <v>#VALUE!</v>
      </c>
      <c r="M18" s="7"/>
      <c r="N18" s="7">
        <f>AVERAGE(正常战斗1!CK29,正常战斗2!CK29,正常战斗3!CK29,绕后战斗1!CK29,绕后战斗2!CK29)</f>
        <v>0</v>
      </c>
      <c r="O18" s="7">
        <f>AVERAGE(正常战斗1!CL29,正常战斗2!CL29,正常战斗3!CL29,绕后战斗1!CL29,绕后战斗2!CL29)</f>
        <v>0</v>
      </c>
      <c r="P18" s="7">
        <f>AVERAGE(正常战斗1!CM29,正常战斗2!CM29,正常战斗3!CM29,绕后战斗1!CM29,绕后战斗2!CM29)</f>
        <v>0</v>
      </c>
      <c r="Q18" s="7">
        <f>AVERAGE(正常战斗1!CN29,正常战斗2!CN29,正常战斗3!CN29,绕后战斗1!CN29,绕后战斗2!CN29)</f>
        <v>0</v>
      </c>
      <c r="R18" s="7">
        <f>AVERAGE(绕后战斗1!CO29,绕后战斗2!CO29)</f>
        <v>0</v>
      </c>
      <c r="S18" s="7">
        <f>AVERAGE(绕后战斗1!CP29,绕后战斗2!CP29)</f>
        <v>0</v>
      </c>
      <c r="T18" s="7">
        <f>AVERAGE(绕后战斗1!CQ29,绕后战斗2!CQ29)</f>
        <v>0</v>
      </c>
      <c r="U18" s="7">
        <f>AVERAGE(绕后战斗1!CR29,绕后战斗2!CR29)</f>
        <v>0</v>
      </c>
      <c r="V18" s="7">
        <f>AVERAGE(正常战斗1!CS29,正常战斗2!CS29,正常战斗3!CS29,绕后战斗1!CS29)</f>
        <v>0</v>
      </c>
      <c r="W18" s="7">
        <f>AVERAGE(正常战斗1!CT29,正常战斗2!CT29,正常战斗3!CT29,绕后战斗1!CT29)</f>
        <v>0</v>
      </c>
      <c r="X18" s="7">
        <f>AVERAGE(正常战斗1!CU29,正常战斗2!CU29,正常战斗3!CU29,绕后战斗1!CU29)</f>
        <v>0</v>
      </c>
      <c r="Y18" s="7">
        <f>AVERAGE(正常战斗1!CV29,正常战斗2!CV29,正常战斗3!CV29,绕后战斗1!CV29)</f>
        <v>0</v>
      </c>
      <c r="Z18" s="7">
        <f>AVERAGE(正常战斗1!CW29,正常战斗2!CW29,绕后战斗1!CW29,绕后战斗2!CW29)</f>
        <v>0</v>
      </c>
      <c r="AA18" s="7">
        <f>AVERAGE(正常战斗1!CX29,正常战斗2!CX29,绕后战斗1!CX29,绕后战斗2!CX29)</f>
        <v>0</v>
      </c>
      <c r="AB18" s="7">
        <f>AVERAGE(正常战斗1!CY29,正常战斗2!CY29,绕后战斗1!CY29,绕后战斗2!CY29)</f>
        <v>0</v>
      </c>
      <c r="AC18" s="7">
        <f>AVERAGE(正常战斗1!CZ29,正常战斗2!CZ29,绕后战斗1!CZ29,绕后战斗2!CZ29)</f>
        <v>0</v>
      </c>
      <c r="AD18" s="7"/>
      <c r="AE18" s="7"/>
      <c r="AH18" s="6"/>
      <c r="AI18" s="6"/>
      <c r="AK18" s="6"/>
      <c r="AL18" s="6"/>
      <c r="AM18" s="6"/>
      <c r="AR18"/>
      <c r="AT18" s="6"/>
      <c r="AU18" s="6"/>
      <c r="AV18" s="6"/>
      <c r="AW18" s="6"/>
      <c r="AX18" s="6"/>
      <c r="AY18" s="6"/>
      <c r="AZ18" s="6"/>
    </row>
    <row r="19" spans="4:59" x14ac:dyDescent="0.15">
      <c r="D19" s="6">
        <v>14</v>
      </c>
      <c r="E19" s="7" t="e">
        <f>AVERAGE((正常战斗1!E30+正常战斗1!AK30)/2,(正常战斗2!E30+正常战斗2!AK30)/2,(正常战斗3!E30+正常战斗3!AK30)/2,(绕后战斗1!E30+绕后战斗1!AK30)/2,(绕后战斗2!E30+绕后战斗2!AK30)/2)/1000</f>
        <v>#VALUE!</v>
      </c>
      <c r="F19" s="7" t="e">
        <f>AVERAGE(绕后战斗1!BE30,(绕后战斗2!Y30+绕后战斗2!BE30)/2)/1000</f>
        <v>#VALUE!</v>
      </c>
      <c r="G19" s="7" t="e">
        <f>AVERAGE((正常战斗1!Y30+正常战斗1!AU30+正常战斗1!BE30)/3,(正常战斗2!Y30+正常战斗2!BE30)/2,(正常战斗3!O30+正常战斗3!Y30+正常战斗3!AU30+正常战斗3!BE30)/4,绕后战斗1!Y30)/1000</f>
        <v>#VALUE!</v>
      </c>
      <c r="H19" s="7" t="e">
        <f>AVERAGE(正常战斗1!O30,(正常战斗2!O30+正常战斗2!AU30)/2,(绕后战斗1!O30+绕后战斗1!AU30)/2,(绕后战斗2!O30+绕后战斗2!AU30)/2)/1000</f>
        <v>#VALUE!</v>
      </c>
      <c r="I19" s="7" t="e">
        <f>AVERAGE(AVERAGE((正常战斗1!J30+正常战斗1!AP30)/2,(正常战斗2!J30+正常战斗2!AP30)/2,(正常战斗3!J30+正常战斗3!AP30)/2,(绕后战斗1!J30+绕后战斗1!AP30)/2,(绕后战斗2!J30+绕后战斗2!AP30)/2),AVERAGE(正常战斗1!T30,(正常战斗2!T30+正常战斗2!AZ30)/2,(绕后战斗1!T30+绕后战斗1!AZ30)/2,(绕后战斗2!T30+绕后战斗2!AZ30)/2))</f>
        <v>#VALUE!</v>
      </c>
      <c r="J19" s="7" t="e">
        <f>AVERAGE(绕后战斗1!BJ30,(绕后战斗2!AD30+绕后战斗2!BJ30)/2)</f>
        <v>#VALUE!</v>
      </c>
      <c r="K19" s="7" t="e">
        <f>AVERAGE((正常战斗1!AD30+正常战斗1!AZ30+正常战斗1!BJ30)/3,(正常战斗2!AD30+正常战斗2!BJ30)/2,(正常战斗3!T30+正常战斗3!AD30+正常战斗3!AZ30+正常战斗3!BJ30)/4,绕后战斗1!AD30)</f>
        <v>#VALUE!</v>
      </c>
      <c r="L19" s="7" t="e">
        <f t="shared" si="0"/>
        <v>#VALUE!</v>
      </c>
      <c r="M19" s="7"/>
      <c r="N19" s="7">
        <f>AVERAGE(正常战斗1!CK30,正常战斗2!CK30,正常战斗3!CK30,绕后战斗1!CK30,绕后战斗2!CK30)</f>
        <v>0</v>
      </c>
      <c r="O19" s="7">
        <f>AVERAGE(正常战斗1!CL30,正常战斗2!CL30,正常战斗3!CL30,绕后战斗1!CL30,绕后战斗2!CL30)</f>
        <v>0</v>
      </c>
      <c r="P19" s="7">
        <f>AVERAGE(正常战斗1!CM30,正常战斗2!CM30,正常战斗3!CM30,绕后战斗1!CM30,绕后战斗2!CM30)</f>
        <v>0</v>
      </c>
      <c r="Q19" s="7">
        <f>AVERAGE(正常战斗1!CN30,正常战斗2!CN30,正常战斗3!CN30,绕后战斗1!CN30,绕后战斗2!CN30)</f>
        <v>0</v>
      </c>
      <c r="R19" s="7">
        <f>AVERAGE(绕后战斗1!CO30,绕后战斗2!CO30)</f>
        <v>0</v>
      </c>
      <c r="S19" s="7">
        <f>AVERAGE(绕后战斗1!CP30,绕后战斗2!CP30)</f>
        <v>0</v>
      </c>
      <c r="T19" s="7">
        <f>AVERAGE(绕后战斗1!CQ30,绕后战斗2!CQ30)</f>
        <v>0</v>
      </c>
      <c r="U19" s="7">
        <f>AVERAGE(绕后战斗1!CR30,绕后战斗2!CR30)</f>
        <v>0</v>
      </c>
      <c r="V19" s="7">
        <f>AVERAGE(正常战斗1!CS30,正常战斗2!CS30,正常战斗3!CS30,绕后战斗1!CS30)</f>
        <v>0</v>
      </c>
      <c r="W19" s="7">
        <f>AVERAGE(正常战斗1!CT30,正常战斗2!CT30,正常战斗3!CT30,绕后战斗1!CT30)</f>
        <v>0</v>
      </c>
      <c r="X19" s="7">
        <f>AVERAGE(正常战斗1!CU30,正常战斗2!CU30,正常战斗3!CU30,绕后战斗1!CU30)</f>
        <v>0</v>
      </c>
      <c r="Y19" s="7">
        <f>AVERAGE(正常战斗1!CV30,正常战斗2!CV30,正常战斗3!CV30,绕后战斗1!CV30)</f>
        <v>0</v>
      </c>
      <c r="Z19" s="7">
        <f>AVERAGE(正常战斗1!CW30,正常战斗2!CW30,绕后战斗1!CW30,绕后战斗2!CW30)</f>
        <v>0</v>
      </c>
      <c r="AA19" s="7">
        <f>AVERAGE(正常战斗1!CX30,正常战斗2!CX30,绕后战斗1!CX30,绕后战斗2!CX30)</f>
        <v>0</v>
      </c>
      <c r="AB19" s="7">
        <f>AVERAGE(正常战斗1!CY30,正常战斗2!CY30,绕后战斗1!CY30,绕后战斗2!CY30)</f>
        <v>0</v>
      </c>
      <c r="AC19" s="7">
        <f>AVERAGE(正常战斗1!CZ30,正常战斗2!CZ30,绕后战斗1!CZ30,绕后战斗2!CZ30)</f>
        <v>0</v>
      </c>
      <c r="AD19" s="7"/>
      <c r="AE19" s="7"/>
      <c r="AH19" s="5"/>
      <c r="AU19" s="21"/>
      <c r="AX19" s="6"/>
      <c r="AY19" s="6"/>
      <c r="AZ19" s="6"/>
      <c r="BA19" s="6"/>
      <c r="BB19" s="6"/>
      <c r="BC19" s="6"/>
      <c r="BD19" s="6"/>
      <c r="BE19" s="6"/>
    </row>
    <row r="20" spans="4:59" x14ac:dyDescent="0.15">
      <c r="D20" s="6">
        <v>15</v>
      </c>
      <c r="E20" s="7" t="e">
        <f>AVERAGE((正常战斗1!E31+正常战斗1!AK31)/2,(正常战斗2!E31+正常战斗2!AK31)/2,(正常战斗3!E31+正常战斗3!AK31)/2,(绕后战斗1!E31+绕后战斗1!AK31)/2,(绕后战斗2!E31+绕后战斗2!AK31)/2)/1000</f>
        <v>#VALUE!</v>
      </c>
      <c r="F20" s="7" t="e">
        <f>AVERAGE(绕后战斗1!BE31,(绕后战斗2!Y31+绕后战斗2!BE31)/2)/1000</f>
        <v>#VALUE!</v>
      </c>
      <c r="G20" s="7" t="e">
        <f>AVERAGE((正常战斗1!Y31+正常战斗1!AU31+正常战斗1!BE31)/3,(正常战斗2!Y31+正常战斗2!BE31)/2,(正常战斗3!O31+正常战斗3!Y31+正常战斗3!AU31+正常战斗3!BE31)/4,绕后战斗1!Y31)/1000</f>
        <v>#VALUE!</v>
      </c>
      <c r="H20" s="7" t="e">
        <f>AVERAGE(正常战斗1!O31,(正常战斗2!O31+正常战斗2!AU31)/2,(绕后战斗1!O31+绕后战斗1!AU31)/2,(绕后战斗2!O31+绕后战斗2!AU31)/2)/1000</f>
        <v>#VALUE!</v>
      </c>
      <c r="I20" s="7" t="e">
        <f>AVERAGE(AVERAGE((正常战斗1!J31+正常战斗1!AP31)/2,(正常战斗2!J31+正常战斗2!AP31)/2,(正常战斗3!J31+正常战斗3!AP31)/2,(绕后战斗1!J31+绕后战斗1!AP31)/2,(绕后战斗2!J31+绕后战斗2!AP31)/2),AVERAGE(正常战斗1!T31,(正常战斗2!T31+正常战斗2!AZ31)/2,(绕后战斗1!T31+绕后战斗1!AZ31)/2,(绕后战斗2!T31+绕后战斗2!AZ31)/2))</f>
        <v>#VALUE!</v>
      </c>
      <c r="J20" s="7" t="e">
        <f>AVERAGE(绕后战斗1!BJ31,(绕后战斗2!AD31+绕后战斗2!BJ31)/2)</f>
        <v>#VALUE!</v>
      </c>
      <c r="K20" s="7" t="e">
        <f>AVERAGE((正常战斗1!AD31+正常战斗1!AZ31+正常战斗1!BJ31)/3,(正常战斗2!AD31+正常战斗2!BJ31)/2,(正常战斗3!T31+正常战斗3!AD31+正常战斗3!AZ31+正常战斗3!BJ31)/4,绕后战斗1!AD31)</f>
        <v>#VALUE!</v>
      </c>
      <c r="L20" s="7" t="e">
        <f t="shared" si="0"/>
        <v>#VALUE!</v>
      </c>
      <c r="M20" s="7"/>
      <c r="N20" s="7">
        <f>AVERAGE(正常战斗1!CK31,正常战斗2!CK31,正常战斗3!CK31,绕后战斗1!CK31,绕后战斗2!CK31)</f>
        <v>0</v>
      </c>
      <c r="O20" s="7">
        <f>AVERAGE(正常战斗1!CL31,正常战斗2!CL31,正常战斗3!CL31,绕后战斗1!CL31,绕后战斗2!CL31)</f>
        <v>0</v>
      </c>
      <c r="P20" s="7">
        <f>AVERAGE(正常战斗1!CM31,正常战斗2!CM31,正常战斗3!CM31,绕后战斗1!CM31,绕后战斗2!CM31)</f>
        <v>0</v>
      </c>
      <c r="Q20" s="7">
        <f>AVERAGE(正常战斗1!CN31,正常战斗2!CN31,正常战斗3!CN31,绕后战斗1!CN31,绕后战斗2!CN31)</f>
        <v>0</v>
      </c>
      <c r="R20" s="7">
        <f>AVERAGE(绕后战斗1!CO31,绕后战斗2!CO31)</f>
        <v>0</v>
      </c>
      <c r="S20" s="7">
        <f>AVERAGE(绕后战斗1!CP31,绕后战斗2!CP31)</f>
        <v>0</v>
      </c>
      <c r="T20" s="7">
        <f>AVERAGE(绕后战斗1!CQ31,绕后战斗2!CQ31)</f>
        <v>0</v>
      </c>
      <c r="U20" s="7">
        <f>AVERAGE(绕后战斗1!CR31,绕后战斗2!CR31)</f>
        <v>0</v>
      </c>
      <c r="V20" s="7">
        <f>AVERAGE(正常战斗1!CS31,正常战斗2!CS31,正常战斗3!CS31,绕后战斗1!CS31)</f>
        <v>0</v>
      </c>
      <c r="W20" s="7">
        <f>AVERAGE(正常战斗1!CT31,正常战斗2!CT31,正常战斗3!CT31,绕后战斗1!CT31)</f>
        <v>0</v>
      </c>
      <c r="X20" s="7">
        <f>AVERAGE(正常战斗1!CU31,正常战斗2!CU31,正常战斗3!CU31,绕后战斗1!CU31)</f>
        <v>0</v>
      </c>
      <c r="Y20" s="7">
        <f>AVERAGE(正常战斗1!CV31,正常战斗2!CV31,正常战斗3!CV31,绕后战斗1!CV31)</f>
        <v>0</v>
      </c>
      <c r="Z20" s="7">
        <f>AVERAGE(正常战斗1!CW31,正常战斗2!CW31,绕后战斗1!CW31,绕后战斗2!CW31)</f>
        <v>0</v>
      </c>
      <c r="AA20" s="7">
        <f>AVERAGE(正常战斗1!CX31,正常战斗2!CX31,绕后战斗1!CX31,绕后战斗2!CX31)</f>
        <v>0</v>
      </c>
      <c r="AB20" s="7">
        <f>AVERAGE(正常战斗1!CY31,正常战斗2!CY31,绕后战斗1!CY31,绕后战斗2!CY31)</f>
        <v>0</v>
      </c>
      <c r="AC20" s="7">
        <f>AVERAGE(正常战斗1!CZ31,正常战斗2!CZ31,绕后战斗1!CZ31,绕后战斗2!CZ31)</f>
        <v>0</v>
      </c>
      <c r="AD20" s="7"/>
      <c r="AE20" s="7"/>
      <c r="AI20" s="5"/>
      <c r="AU20" s="21"/>
      <c r="AV20" s="27">
        <f>AW10*1000</f>
        <v>180000</v>
      </c>
      <c r="AW20" s="27">
        <f>AX9</f>
        <v>0.375</v>
      </c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4:59" x14ac:dyDescent="0.15">
      <c r="D21" s="6">
        <v>16</v>
      </c>
      <c r="E21" s="7" t="e">
        <f>AVERAGE((正常战斗1!E32+正常战斗1!AK32)/2,(正常战斗2!E32+正常战斗2!AK32)/2,(正常战斗3!E32+正常战斗3!AK32)/2,(绕后战斗1!E32+绕后战斗1!AK32)/2,(绕后战斗2!E32+绕后战斗2!AK32)/2)/1000</f>
        <v>#VALUE!</v>
      </c>
      <c r="F21" s="7" t="e">
        <f>AVERAGE(绕后战斗1!BE32,(绕后战斗2!Y32+绕后战斗2!BE32)/2)/1000</f>
        <v>#VALUE!</v>
      </c>
      <c r="G21" s="7" t="e">
        <f>AVERAGE((正常战斗1!Y32+正常战斗1!AU32+正常战斗1!BE32)/3,(正常战斗2!Y32+正常战斗2!BE32)/2,(正常战斗3!O32+正常战斗3!Y32+正常战斗3!AU32+正常战斗3!BE32)/4,绕后战斗1!Y32)/1000</f>
        <v>#VALUE!</v>
      </c>
      <c r="H21" s="7" t="e">
        <f>AVERAGE(正常战斗1!O32,(正常战斗2!O32+正常战斗2!AU32)/2,(绕后战斗1!O32+绕后战斗1!AU32)/2,(绕后战斗2!O32+绕后战斗2!AU32)/2)/1000</f>
        <v>#VALUE!</v>
      </c>
      <c r="I21" s="7" t="e">
        <f>AVERAGE(AVERAGE((正常战斗1!J32+正常战斗1!AP32)/2,(正常战斗2!J32+正常战斗2!AP32)/2,(正常战斗3!J32+正常战斗3!AP32)/2,(绕后战斗1!J32+绕后战斗1!AP32)/2,(绕后战斗2!J32+绕后战斗2!AP32)/2),AVERAGE(正常战斗1!T32,(正常战斗2!T32+正常战斗2!AZ32)/2,(绕后战斗1!T32+绕后战斗1!AZ32)/2,(绕后战斗2!T32+绕后战斗2!AZ32)/2))</f>
        <v>#VALUE!</v>
      </c>
      <c r="J21" s="7" t="e">
        <f>AVERAGE(绕后战斗1!BJ32,(绕后战斗2!AD32+绕后战斗2!BJ32)/2)</f>
        <v>#VALUE!</v>
      </c>
      <c r="K21" s="7" t="e">
        <f>AVERAGE((正常战斗1!AD32+正常战斗1!AZ32+正常战斗1!BJ32)/3,(正常战斗2!AD32+正常战斗2!BJ32)/2,(正常战斗3!T32+正常战斗3!AD32+正常战斗3!AZ32+正常战斗3!BJ32)/4,绕后战斗1!AD32)</f>
        <v>#VALUE!</v>
      </c>
      <c r="L21" s="7" t="e">
        <f t="shared" si="0"/>
        <v>#VALUE!</v>
      </c>
      <c r="M21" s="7"/>
      <c r="N21" s="7">
        <f>AVERAGE(正常战斗1!CK32,正常战斗2!CK32,正常战斗3!CK32,绕后战斗1!CK32,绕后战斗2!CK32)</f>
        <v>0</v>
      </c>
      <c r="O21" s="7">
        <f>AVERAGE(正常战斗1!CL32,正常战斗2!CL32,正常战斗3!CL32,绕后战斗1!CL32,绕后战斗2!CL32)</f>
        <v>0</v>
      </c>
      <c r="P21" s="7">
        <f>AVERAGE(正常战斗1!CM32,正常战斗2!CM32,正常战斗3!CM32,绕后战斗1!CM32,绕后战斗2!CM32)</f>
        <v>0</v>
      </c>
      <c r="Q21" s="7">
        <f>AVERAGE(正常战斗1!CN32,正常战斗2!CN32,正常战斗3!CN32,绕后战斗1!CN32,绕后战斗2!CN32)</f>
        <v>0</v>
      </c>
      <c r="R21" s="7">
        <f>AVERAGE(绕后战斗1!CO32,绕后战斗2!CO32)</f>
        <v>0</v>
      </c>
      <c r="S21" s="7">
        <f>AVERAGE(绕后战斗1!CP32,绕后战斗2!CP32)</f>
        <v>0</v>
      </c>
      <c r="T21" s="7">
        <f>AVERAGE(绕后战斗1!CQ32,绕后战斗2!CQ32)</f>
        <v>0</v>
      </c>
      <c r="U21" s="7">
        <f>AVERAGE(绕后战斗1!CR32,绕后战斗2!CR32)</f>
        <v>0</v>
      </c>
      <c r="V21" s="7">
        <f>AVERAGE(正常战斗1!CS32,正常战斗2!CS32,正常战斗3!CS32,绕后战斗1!CS32)</f>
        <v>0</v>
      </c>
      <c r="W21" s="7">
        <f>AVERAGE(正常战斗1!CT32,正常战斗2!CT32,正常战斗3!CT32,绕后战斗1!CT32)</f>
        <v>0</v>
      </c>
      <c r="X21" s="7">
        <f>AVERAGE(正常战斗1!CU32,正常战斗2!CU32,正常战斗3!CU32,绕后战斗1!CU32)</f>
        <v>0</v>
      </c>
      <c r="Y21" s="7">
        <f>AVERAGE(正常战斗1!CV32,正常战斗2!CV32,正常战斗3!CV32,绕后战斗1!CV32)</f>
        <v>0</v>
      </c>
      <c r="Z21" s="7">
        <f>AVERAGE(正常战斗1!CW32,正常战斗2!CW32,绕后战斗1!CW32,绕后战斗2!CW32)</f>
        <v>0</v>
      </c>
      <c r="AA21" s="7">
        <f>AVERAGE(正常战斗1!CX32,正常战斗2!CX32,绕后战斗1!CX32,绕后战斗2!CX32)</f>
        <v>0</v>
      </c>
      <c r="AB21" s="7">
        <f>AVERAGE(正常战斗1!CY32,正常战斗2!CY32,绕后战斗1!CY32,绕后战斗2!CY32)</f>
        <v>0</v>
      </c>
      <c r="AC21" s="7">
        <f>AVERAGE(正常战斗1!CZ32,正常战斗2!CZ32,绕后战斗1!CZ32,绕后战斗2!CZ32)</f>
        <v>0</v>
      </c>
      <c r="AD21" s="7"/>
      <c r="AE21" s="7"/>
      <c r="AH21" s="19" t="s">
        <v>47</v>
      </c>
      <c r="AI21" s="9"/>
      <c r="AU21" s="21"/>
      <c r="AV21" s="27">
        <f>BB10</f>
        <v>192000</v>
      </c>
      <c r="AW21" s="27">
        <f>BC9*BD9</f>
        <v>39000</v>
      </c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4:59" x14ac:dyDescent="0.15">
      <c r="D22" s="6">
        <v>17</v>
      </c>
      <c r="E22" s="7" t="e">
        <f>AVERAGE((正常战斗1!E33+正常战斗1!AK33)/2,(正常战斗2!E33+正常战斗2!AK33)/2,(正常战斗3!E33+正常战斗3!AK33)/2,(绕后战斗1!E33+绕后战斗1!AK33)/2,(绕后战斗2!E33+绕后战斗2!AK33)/2)/1000</f>
        <v>#VALUE!</v>
      </c>
      <c r="F22" s="7" t="e">
        <f>AVERAGE(绕后战斗1!BE33,(绕后战斗2!Y33+绕后战斗2!BE33)/2)/1000</f>
        <v>#VALUE!</v>
      </c>
      <c r="G22" s="7" t="e">
        <f>AVERAGE((正常战斗1!Y33+正常战斗1!AU33+正常战斗1!BE33)/3,(正常战斗2!Y33+正常战斗2!BE33)/2,(正常战斗3!O33+正常战斗3!Y33+正常战斗3!AU33+正常战斗3!BE33)/4,绕后战斗1!Y33)/1000</f>
        <v>#VALUE!</v>
      </c>
      <c r="H22" s="7" t="e">
        <f>AVERAGE(正常战斗1!O33,(正常战斗2!O33+正常战斗2!AU33)/2,(绕后战斗1!O33+绕后战斗1!AU33)/2,(绕后战斗2!O33+绕后战斗2!AU33)/2)/1000</f>
        <v>#VALUE!</v>
      </c>
      <c r="I22" s="7" t="e">
        <f>AVERAGE(AVERAGE((正常战斗1!J33+正常战斗1!AP33)/2,(正常战斗2!J33+正常战斗2!AP33)/2,(正常战斗3!J33+正常战斗3!AP33)/2,(绕后战斗1!J33+绕后战斗1!AP33)/2,(绕后战斗2!J33+绕后战斗2!AP33)/2),AVERAGE(正常战斗1!T33,(正常战斗2!T33+正常战斗2!AZ33)/2,(绕后战斗1!T33+绕后战斗1!AZ33)/2,(绕后战斗2!T33+绕后战斗2!AZ33)/2))</f>
        <v>#VALUE!</v>
      </c>
      <c r="J22" s="7" t="e">
        <f>AVERAGE(绕后战斗1!BJ33,(绕后战斗2!AD33+绕后战斗2!BJ33)/2)</f>
        <v>#VALUE!</v>
      </c>
      <c r="K22" s="7" t="e">
        <f>AVERAGE((正常战斗1!AD33+正常战斗1!AZ33+正常战斗1!BJ33)/3,(正常战斗2!AD33+正常战斗2!BJ33)/2,(正常战斗3!T33+正常战斗3!AD33+正常战斗3!AZ33+正常战斗3!BJ33)/4,绕后战斗1!AD33)</f>
        <v>#VALUE!</v>
      </c>
      <c r="L22" s="7" t="e">
        <f t="shared" si="0"/>
        <v>#VALUE!</v>
      </c>
      <c r="M22" s="7"/>
      <c r="N22" s="7">
        <f>AVERAGE(正常战斗1!CK33,正常战斗2!CK33,正常战斗3!CK33,绕后战斗1!CK33,绕后战斗2!CK33)</f>
        <v>0</v>
      </c>
      <c r="O22" s="7">
        <f>AVERAGE(正常战斗1!CL33,正常战斗2!CL33,正常战斗3!CL33,绕后战斗1!CL33,绕后战斗2!CL33)</f>
        <v>0</v>
      </c>
      <c r="P22" s="7">
        <f>AVERAGE(正常战斗1!CM33,正常战斗2!CM33,正常战斗3!CM33,绕后战斗1!CM33,绕后战斗2!CM33)</f>
        <v>0</v>
      </c>
      <c r="Q22" s="7">
        <f>AVERAGE(正常战斗1!CN33,正常战斗2!CN33,正常战斗3!CN33,绕后战斗1!CN33,绕后战斗2!CN33)</f>
        <v>0</v>
      </c>
      <c r="R22" s="7">
        <f>AVERAGE(绕后战斗1!CO33,绕后战斗2!CO33)</f>
        <v>0</v>
      </c>
      <c r="S22" s="7">
        <f>AVERAGE(绕后战斗1!CP33,绕后战斗2!CP33)</f>
        <v>0</v>
      </c>
      <c r="T22" s="7">
        <f>AVERAGE(绕后战斗1!CQ33,绕后战斗2!CQ33)</f>
        <v>0</v>
      </c>
      <c r="U22" s="7">
        <f>AVERAGE(绕后战斗1!CR33,绕后战斗2!CR33)</f>
        <v>0</v>
      </c>
      <c r="V22" s="7">
        <f>AVERAGE(正常战斗1!CS33,正常战斗2!CS33,正常战斗3!CS33,绕后战斗1!CS33)</f>
        <v>0</v>
      </c>
      <c r="W22" s="7">
        <f>AVERAGE(正常战斗1!CT33,正常战斗2!CT33,正常战斗3!CT33,绕后战斗1!CT33)</f>
        <v>0</v>
      </c>
      <c r="X22" s="7">
        <f>AVERAGE(正常战斗1!CU33,正常战斗2!CU33,正常战斗3!CU33,绕后战斗1!CU33)</f>
        <v>0</v>
      </c>
      <c r="Y22" s="7">
        <f>AVERAGE(正常战斗1!CV33,正常战斗2!CV33,正常战斗3!CV33,绕后战斗1!CV33)</f>
        <v>0</v>
      </c>
      <c r="Z22" s="7">
        <f>AVERAGE(正常战斗1!CW33,正常战斗2!CW33,绕后战斗1!CW33,绕后战斗2!CW33)</f>
        <v>0</v>
      </c>
      <c r="AA22" s="7">
        <f>AVERAGE(正常战斗1!CX33,正常战斗2!CX33,绕后战斗1!CX33,绕后战斗2!CX33)</f>
        <v>0</v>
      </c>
      <c r="AB22" s="7">
        <f>AVERAGE(正常战斗1!CY33,正常战斗2!CY33,绕后战斗1!CY33,绕后战斗2!CY33)</f>
        <v>0</v>
      </c>
      <c r="AC22" s="7">
        <f>AVERAGE(正常战斗1!CZ33,正常战斗2!CZ33,绕后战斗1!CZ33,绕后战斗2!CZ33)</f>
        <v>0</v>
      </c>
      <c r="AD22" s="7"/>
      <c r="AE22" s="7"/>
      <c r="AH22" s="20" t="s">
        <v>49</v>
      </c>
      <c r="AI22" s="9"/>
      <c r="AU22" s="21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4:59" ht="13.5" customHeight="1" x14ac:dyDescent="0.15">
      <c r="D23" s="6">
        <v>18</v>
      </c>
      <c r="E23" s="7" t="e">
        <f>AVERAGE((正常战斗1!E34+正常战斗1!AK34)/2,(正常战斗2!E34+正常战斗2!AK34)/2,(正常战斗3!E34+正常战斗3!AK34)/2,(绕后战斗1!E34+绕后战斗1!AK34)/2,(绕后战斗2!E34+绕后战斗2!AK34)/2)/1000</f>
        <v>#VALUE!</v>
      </c>
      <c r="F23" s="7" t="e">
        <f>AVERAGE(绕后战斗1!BE34,(绕后战斗2!Y34+绕后战斗2!BE34)/2)/1000</f>
        <v>#VALUE!</v>
      </c>
      <c r="G23" s="7" t="e">
        <f>AVERAGE((正常战斗1!Y34+正常战斗1!AU34+正常战斗1!BE34)/3,(正常战斗2!Y34+正常战斗2!BE34)/2,(正常战斗3!O34+正常战斗3!Y34+正常战斗3!AU34+正常战斗3!BE34)/4,绕后战斗1!Y34)/1000</f>
        <v>#VALUE!</v>
      </c>
      <c r="H23" s="7" t="e">
        <f>AVERAGE(正常战斗1!O34,(正常战斗2!O34+正常战斗2!AU34)/2,(绕后战斗1!O34+绕后战斗1!AU34)/2,(绕后战斗2!O34+绕后战斗2!AU34)/2)/1000</f>
        <v>#VALUE!</v>
      </c>
      <c r="I23" s="7" t="e">
        <f>AVERAGE(AVERAGE((正常战斗1!J34+正常战斗1!AP34)/2,(正常战斗2!J34+正常战斗2!AP34)/2,(正常战斗3!J34+正常战斗3!AP34)/2,(绕后战斗1!J34+绕后战斗1!AP34)/2,(绕后战斗2!J34+绕后战斗2!AP34)/2),AVERAGE(正常战斗1!T34,(正常战斗2!T34+正常战斗2!AZ34)/2,(绕后战斗1!T34+绕后战斗1!AZ34)/2,(绕后战斗2!T34+绕后战斗2!AZ34)/2))</f>
        <v>#VALUE!</v>
      </c>
      <c r="J23" s="7" t="e">
        <f>AVERAGE(绕后战斗1!BJ34,(绕后战斗2!AD34+绕后战斗2!BJ34)/2)</f>
        <v>#VALUE!</v>
      </c>
      <c r="K23" s="7" t="e">
        <f>AVERAGE((正常战斗1!AD34+正常战斗1!AZ34+正常战斗1!BJ34)/3,(正常战斗2!AD34+正常战斗2!BJ34)/2,(正常战斗3!T34+正常战斗3!AD34+正常战斗3!AZ34+正常战斗3!BJ34)/4,绕后战斗1!AD34)</f>
        <v>#VALUE!</v>
      </c>
      <c r="L23" s="7" t="e">
        <f t="shared" si="0"/>
        <v>#VALUE!</v>
      </c>
      <c r="M23" s="7"/>
      <c r="N23" s="7">
        <f>AVERAGE(正常战斗1!CK34,正常战斗2!CK34,正常战斗3!CK34,绕后战斗1!CK34,绕后战斗2!CK34)</f>
        <v>0</v>
      </c>
      <c r="O23" s="7">
        <f>AVERAGE(正常战斗1!CL34,正常战斗2!CL34,正常战斗3!CL34,绕后战斗1!CL34,绕后战斗2!CL34)</f>
        <v>0</v>
      </c>
      <c r="P23" s="7">
        <f>AVERAGE(正常战斗1!CM34,正常战斗2!CM34,正常战斗3!CM34,绕后战斗1!CM34,绕后战斗2!CM34)</f>
        <v>0</v>
      </c>
      <c r="Q23" s="7">
        <f>AVERAGE(正常战斗1!CN34,正常战斗2!CN34,正常战斗3!CN34,绕后战斗1!CN34,绕后战斗2!CN34)</f>
        <v>0</v>
      </c>
      <c r="R23" s="7">
        <f>AVERAGE(绕后战斗1!CO34,绕后战斗2!CO34)</f>
        <v>0</v>
      </c>
      <c r="S23" s="7">
        <f>AVERAGE(绕后战斗1!CP34,绕后战斗2!CP34)</f>
        <v>0</v>
      </c>
      <c r="T23" s="7">
        <f>AVERAGE(绕后战斗1!CQ34,绕后战斗2!CQ34)</f>
        <v>0</v>
      </c>
      <c r="U23" s="7">
        <f>AVERAGE(绕后战斗1!CR34,绕后战斗2!CR34)</f>
        <v>0</v>
      </c>
      <c r="V23" s="7">
        <f>AVERAGE(正常战斗1!CS34,正常战斗2!CS34,正常战斗3!CS34,绕后战斗1!CS34)</f>
        <v>0</v>
      </c>
      <c r="W23" s="7">
        <f>AVERAGE(正常战斗1!CT34,正常战斗2!CT34,正常战斗3!CT34,绕后战斗1!CT34)</f>
        <v>0</v>
      </c>
      <c r="X23" s="7">
        <f>AVERAGE(正常战斗1!CU34,正常战斗2!CU34,正常战斗3!CU34,绕后战斗1!CU34)</f>
        <v>0</v>
      </c>
      <c r="Y23" s="7">
        <f>AVERAGE(正常战斗1!CV34,正常战斗2!CV34,正常战斗3!CV34,绕后战斗1!CV34)</f>
        <v>0</v>
      </c>
      <c r="Z23" s="7">
        <f>AVERAGE(正常战斗1!CW34,正常战斗2!CW34,绕后战斗1!CW34,绕后战斗2!CW34)</f>
        <v>0</v>
      </c>
      <c r="AA23" s="7">
        <f>AVERAGE(正常战斗1!CX34,正常战斗2!CX34,绕后战斗1!CX34,绕后战斗2!CX34)</f>
        <v>0</v>
      </c>
      <c r="AB23" s="7">
        <f>AVERAGE(正常战斗1!CY34,正常战斗2!CY34,绕后战斗1!CY34,绕后战斗2!CY34)</f>
        <v>0</v>
      </c>
      <c r="AC23" s="7">
        <f>AVERAGE(正常战斗1!CZ34,正常战斗2!CZ34,绕后战斗1!CZ34,绕后战斗2!CZ34)</f>
        <v>0</v>
      </c>
      <c r="AD23" s="7"/>
      <c r="AE23" s="7"/>
      <c r="AH23" s="20" t="s">
        <v>52</v>
      </c>
      <c r="AI23" s="9"/>
      <c r="AU23" s="21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4:59" x14ac:dyDescent="0.15">
      <c r="D24" s="6">
        <v>19</v>
      </c>
      <c r="E24" s="7" t="e">
        <f>AVERAGE((正常战斗1!E35+正常战斗1!AK35)/2,(正常战斗2!E35+正常战斗2!AK35)/2,(正常战斗3!E35+正常战斗3!AK35)/2,(绕后战斗1!E35+绕后战斗1!AK35)/2,(绕后战斗2!E35+绕后战斗2!AK35)/2)/1000</f>
        <v>#VALUE!</v>
      </c>
      <c r="F24" s="7" t="e">
        <f>AVERAGE(绕后战斗1!BE35,(绕后战斗2!Y35+绕后战斗2!BE35)/2)/1000</f>
        <v>#VALUE!</v>
      </c>
      <c r="G24" s="7" t="e">
        <f>AVERAGE((正常战斗1!Y35+正常战斗1!AU35+正常战斗1!BE35)/3,(正常战斗2!Y35+正常战斗2!BE35)/2,(正常战斗3!O35+正常战斗3!Y35+正常战斗3!AU35+正常战斗3!BE35)/4,绕后战斗1!Y35)/1000</f>
        <v>#VALUE!</v>
      </c>
      <c r="H24" s="7" t="e">
        <f>AVERAGE(正常战斗1!O35,(正常战斗2!O35+正常战斗2!AU35)/2,(绕后战斗1!O35+绕后战斗1!AU35)/2,(绕后战斗2!O35+绕后战斗2!AU35)/2)/1000</f>
        <v>#VALUE!</v>
      </c>
      <c r="I24" s="7" t="e">
        <f>AVERAGE(AVERAGE((正常战斗1!J35+正常战斗1!AP35)/2,(正常战斗2!J35+正常战斗2!AP35)/2,(正常战斗3!J35+正常战斗3!AP35)/2,(绕后战斗1!J35+绕后战斗1!AP35)/2,(绕后战斗2!J35+绕后战斗2!AP35)/2),AVERAGE(正常战斗1!T35,(正常战斗2!T35+正常战斗2!AZ35)/2,(绕后战斗1!T35+绕后战斗1!AZ35)/2,(绕后战斗2!T35+绕后战斗2!AZ35)/2))</f>
        <v>#VALUE!</v>
      </c>
      <c r="J24" s="7" t="e">
        <f>AVERAGE(绕后战斗1!BJ35,(绕后战斗2!AD35+绕后战斗2!BJ35)/2)</f>
        <v>#VALUE!</v>
      </c>
      <c r="K24" s="7" t="e">
        <f>AVERAGE((正常战斗1!AD35+正常战斗1!AZ35+正常战斗1!BJ35)/3,(正常战斗2!AD35+正常战斗2!BJ35)/2,(正常战斗3!T35+正常战斗3!AD35+正常战斗3!AZ35+正常战斗3!BJ35)/4,绕后战斗1!AD35)</f>
        <v>#VALUE!</v>
      </c>
      <c r="L24" s="7" t="e">
        <f t="shared" si="0"/>
        <v>#VALUE!</v>
      </c>
      <c r="M24" s="7"/>
      <c r="N24" s="7">
        <f>AVERAGE(正常战斗1!CK35,正常战斗2!CK35,正常战斗3!CK35,绕后战斗1!CK35,绕后战斗2!CK35)</f>
        <v>0</v>
      </c>
      <c r="O24" s="7">
        <f>AVERAGE(正常战斗1!CL35,正常战斗2!CL35,正常战斗3!CL35,绕后战斗1!CL35,绕后战斗2!CL35)</f>
        <v>0</v>
      </c>
      <c r="P24" s="7">
        <f>AVERAGE(正常战斗1!CM35,正常战斗2!CM35,正常战斗3!CM35,绕后战斗1!CM35,绕后战斗2!CM35)</f>
        <v>0</v>
      </c>
      <c r="Q24" s="7">
        <f>AVERAGE(正常战斗1!CN35,正常战斗2!CN35,正常战斗3!CN35,绕后战斗1!CN35,绕后战斗2!CN35)</f>
        <v>0</v>
      </c>
      <c r="R24" s="7">
        <f>AVERAGE(绕后战斗1!CO35,绕后战斗2!CO35)</f>
        <v>0</v>
      </c>
      <c r="S24" s="7">
        <f>AVERAGE(绕后战斗1!CP35,绕后战斗2!CP35)</f>
        <v>0</v>
      </c>
      <c r="T24" s="7">
        <f>AVERAGE(绕后战斗1!CQ35,绕后战斗2!CQ35)</f>
        <v>0</v>
      </c>
      <c r="U24" s="7">
        <f>AVERAGE(绕后战斗1!CR35,绕后战斗2!CR35)</f>
        <v>0</v>
      </c>
      <c r="V24" s="7">
        <f>AVERAGE(正常战斗1!CS35,正常战斗2!CS35,正常战斗3!CS35,绕后战斗1!CS35)</f>
        <v>0</v>
      </c>
      <c r="W24" s="7">
        <f>AVERAGE(正常战斗1!CT35,正常战斗2!CT35,正常战斗3!CT35,绕后战斗1!CT35)</f>
        <v>0</v>
      </c>
      <c r="X24" s="7">
        <f>AVERAGE(正常战斗1!CU35,正常战斗2!CU35,正常战斗3!CU35,绕后战斗1!CU35)</f>
        <v>0</v>
      </c>
      <c r="Y24" s="7">
        <f>AVERAGE(正常战斗1!CV35,正常战斗2!CV35,正常战斗3!CV35,绕后战斗1!CV35)</f>
        <v>0</v>
      </c>
      <c r="Z24" s="7">
        <f>AVERAGE(正常战斗1!CW35,正常战斗2!CW35,绕后战斗1!CW35,绕后战斗2!CW35)</f>
        <v>0</v>
      </c>
      <c r="AA24" s="7">
        <f>AVERAGE(正常战斗1!CX35,正常战斗2!CX35,绕后战斗1!CX35,绕后战斗2!CX35)</f>
        <v>0</v>
      </c>
      <c r="AB24" s="7">
        <f>AVERAGE(正常战斗1!CY35,正常战斗2!CY35,绕后战斗1!CY35,绕后战斗2!CY35)</f>
        <v>0</v>
      </c>
      <c r="AC24" s="7">
        <f>AVERAGE(正常战斗1!CZ35,正常战斗2!CZ35,绕后战斗1!CZ35,绕后战斗2!CZ35)</f>
        <v>0</v>
      </c>
      <c r="AD24" s="7"/>
      <c r="AE24" s="7"/>
      <c r="AH24" s="20" t="s">
        <v>48</v>
      </c>
      <c r="AI24" s="7"/>
      <c r="AU24" s="21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4:59" x14ac:dyDescent="0.15">
      <c r="D25" s="6">
        <v>20</v>
      </c>
      <c r="E25" s="7" t="e">
        <f>AVERAGE((正常战斗1!E36+正常战斗1!AK36)/2,(正常战斗2!E36+正常战斗2!AK36)/2,(正常战斗3!E36+正常战斗3!AK36)/2,(绕后战斗1!E36+绕后战斗1!AK36)/2,(绕后战斗2!E36+绕后战斗2!AK36)/2)/1000</f>
        <v>#VALUE!</v>
      </c>
      <c r="F25" s="7" t="e">
        <f>AVERAGE(绕后战斗1!BE36,(绕后战斗2!Y36+绕后战斗2!BE36)/2)/1000</f>
        <v>#VALUE!</v>
      </c>
      <c r="G25" s="7" t="e">
        <f>AVERAGE((正常战斗1!Y36+正常战斗1!AU36+正常战斗1!BE36)/3,(正常战斗2!Y36+正常战斗2!BE36)/2,(正常战斗3!O36+正常战斗3!Y36+正常战斗3!AU36+正常战斗3!BE36)/4,绕后战斗1!Y36)/1000</f>
        <v>#VALUE!</v>
      </c>
      <c r="H25" s="7" t="e">
        <f>AVERAGE(正常战斗1!O36,(正常战斗2!O36+正常战斗2!AU36)/2,(绕后战斗1!O36+绕后战斗1!AU36)/2,(绕后战斗2!O36+绕后战斗2!AU36)/2)/1000</f>
        <v>#VALUE!</v>
      </c>
      <c r="I25" s="7" t="e">
        <f>AVERAGE(AVERAGE((正常战斗1!J36+正常战斗1!AP36)/2,(正常战斗2!J36+正常战斗2!AP36)/2,(正常战斗3!J36+正常战斗3!AP36)/2,(绕后战斗1!J36+绕后战斗1!AP36)/2,(绕后战斗2!J36+绕后战斗2!AP36)/2),AVERAGE(正常战斗1!T36,(正常战斗2!T36+正常战斗2!AZ36)/2,(绕后战斗1!T36+绕后战斗1!AZ36)/2,(绕后战斗2!T36+绕后战斗2!AZ36)/2))</f>
        <v>#VALUE!</v>
      </c>
      <c r="J25" s="7" t="e">
        <f>AVERAGE(绕后战斗1!BJ36,(绕后战斗2!AD36+绕后战斗2!BJ36)/2)</f>
        <v>#VALUE!</v>
      </c>
      <c r="K25" s="7" t="e">
        <f>AVERAGE((正常战斗1!AD36+正常战斗1!AZ36+正常战斗1!BJ36)/3,(正常战斗2!AD36+正常战斗2!BJ36)/2,(正常战斗3!T36+正常战斗3!AD36+正常战斗3!AZ36+正常战斗3!BJ36)/4,绕后战斗1!AD36)</f>
        <v>#VALUE!</v>
      </c>
      <c r="L25" s="7" t="e">
        <f t="shared" si="0"/>
        <v>#VALUE!</v>
      </c>
      <c r="M25" s="7"/>
      <c r="N25" s="7">
        <f>AVERAGE(正常战斗1!CK36,正常战斗2!CK36,正常战斗3!CK36,绕后战斗1!CK36,绕后战斗2!CK36)</f>
        <v>0</v>
      </c>
      <c r="O25" s="7">
        <f>AVERAGE(正常战斗1!CL36,正常战斗2!CL36,正常战斗3!CL36,绕后战斗1!CL36,绕后战斗2!CL36)</f>
        <v>0</v>
      </c>
      <c r="P25" s="7">
        <f>AVERAGE(正常战斗1!CM36,正常战斗2!CM36,正常战斗3!CM36,绕后战斗1!CM36,绕后战斗2!CM36)</f>
        <v>0</v>
      </c>
      <c r="Q25" s="7">
        <f>AVERAGE(正常战斗1!CN36,正常战斗2!CN36,正常战斗3!CN36,绕后战斗1!CN36,绕后战斗2!CN36)</f>
        <v>0</v>
      </c>
      <c r="R25" s="7">
        <f>AVERAGE(绕后战斗1!CO36,绕后战斗2!CO36)</f>
        <v>0</v>
      </c>
      <c r="S25" s="7">
        <f>AVERAGE(绕后战斗1!CP36,绕后战斗2!CP36)</f>
        <v>0</v>
      </c>
      <c r="T25" s="7">
        <f>AVERAGE(绕后战斗1!CQ36,绕后战斗2!CQ36)</f>
        <v>0</v>
      </c>
      <c r="U25" s="7">
        <f>AVERAGE(绕后战斗1!CR36,绕后战斗2!CR36)</f>
        <v>0</v>
      </c>
      <c r="V25" s="7">
        <f>AVERAGE(正常战斗1!CS36,正常战斗2!CS36,正常战斗3!CS36,绕后战斗1!CS36)</f>
        <v>0</v>
      </c>
      <c r="W25" s="7">
        <f>AVERAGE(正常战斗1!CT36,正常战斗2!CT36,正常战斗3!CT36,绕后战斗1!CT36)</f>
        <v>0</v>
      </c>
      <c r="X25" s="7">
        <f>AVERAGE(正常战斗1!CU36,正常战斗2!CU36,正常战斗3!CU36,绕后战斗1!CU36)</f>
        <v>0</v>
      </c>
      <c r="Y25" s="7">
        <f>AVERAGE(正常战斗1!CV36,正常战斗2!CV36,正常战斗3!CV36,绕后战斗1!CV36)</f>
        <v>0</v>
      </c>
      <c r="Z25" s="7">
        <f>AVERAGE(正常战斗1!CW36,正常战斗2!CW36,绕后战斗1!CW36,绕后战斗2!CW36)</f>
        <v>0</v>
      </c>
      <c r="AA25" s="7">
        <f>AVERAGE(正常战斗1!CX36,正常战斗2!CX36,绕后战斗1!CX36,绕后战斗2!CX36)</f>
        <v>0</v>
      </c>
      <c r="AB25" s="7">
        <f>AVERAGE(正常战斗1!CY36,正常战斗2!CY36,绕后战斗1!CY36,绕后战斗2!CY36)</f>
        <v>0</v>
      </c>
      <c r="AC25" s="7">
        <f>AVERAGE(正常战斗1!CZ36,正常战斗2!CZ36,绕后战斗1!CZ36,绕后战斗2!CZ36)</f>
        <v>0</v>
      </c>
      <c r="AD25" s="7"/>
      <c r="AE25" s="7"/>
      <c r="AH25" s="3"/>
      <c r="AI25" s="7"/>
      <c r="AJ25" s="7"/>
      <c r="AK25" s="7"/>
      <c r="AL25" s="7"/>
      <c r="AM25" s="7"/>
      <c r="AU25" s="21"/>
    </row>
    <row r="26" spans="4:59" x14ac:dyDescent="0.15">
      <c r="D26" s="6">
        <v>21</v>
      </c>
      <c r="E26" s="7" t="e">
        <f>AVERAGE((正常战斗1!E37+正常战斗1!AK37)/2,(正常战斗2!E37+正常战斗2!AK37)/2,(正常战斗3!E37+正常战斗3!AK37)/2,(绕后战斗1!E37+绕后战斗1!AK37)/2,(绕后战斗2!E37+绕后战斗2!AK37)/2)/1000</f>
        <v>#VALUE!</v>
      </c>
      <c r="F26" s="7" t="e">
        <f>AVERAGE(绕后战斗1!BE37,(绕后战斗2!Y37+绕后战斗2!BE37)/2)/1000</f>
        <v>#VALUE!</v>
      </c>
      <c r="G26" s="7" t="e">
        <f>AVERAGE((正常战斗1!Y37+正常战斗1!AU37+正常战斗1!BE37)/3,(正常战斗2!Y37+正常战斗2!BE37)/2,(正常战斗3!O37+正常战斗3!Y37+正常战斗3!AU37+正常战斗3!BE37)/4,绕后战斗1!Y37)/1000</f>
        <v>#VALUE!</v>
      </c>
      <c r="H26" s="7" t="e">
        <f>AVERAGE(正常战斗1!O37,(正常战斗2!O37+正常战斗2!AU37)/2,(绕后战斗1!O37+绕后战斗1!AU37)/2,(绕后战斗2!O37+绕后战斗2!AU37)/2)/1000</f>
        <v>#VALUE!</v>
      </c>
      <c r="I26" s="7" t="e">
        <f>AVERAGE(AVERAGE((正常战斗1!J37+正常战斗1!AP37)/2,(正常战斗2!J37+正常战斗2!AP37)/2,(正常战斗3!J37+正常战斗3!AP37)/2,(绕后战斗1!J37+绕后战斗1!AP37)/2,(绕后战斗2!J37+绕后战斗2!AP37)/2),AVERAGE(正常战斗1!T37,(正常战斗2!T37+正常战斗2!AZ37)/2,(绕后战斗1!T37+绕后战斗1!AZ37)/2,(绕后战斗2!T37+绕后战斗2!AZ37)/2))</f>
        <v>#VALUE!</v>
      </c>
      <c r="J26" s="7" t="e">
        <f>AVERAGE(绕后战斗1!BJ37,(绕后战斗2!AD37+绕后战斗2!BJ37)/2)</f>
        <v>#VALUE!</v>
      </c>
      <c r="K26" s="7" t="e">
        <f>AVERAGE((正常战斗1!AD37+正常战斗1!AZ37+正常战斗1!BJ37)/3,(正常战斗2!AD37+正常战斗2!BJ37)/2,(正常战斗3!T37+正常战斗3!AD37+正常战斗3!AZ37+正常战斗3!BJ37)/4,绕后战斗1!AD37)</f>
        <v>#VALUE!</v>
      </c>
      <c r="L26" s="7" t="e">
        <f t="shared" si="0"/>
        <v>#VALUE!</v>
      </c>
      <c r="M26" s="7"/>
      <c r="N26" s="7">
        <f>AVERAGE(正常战斗1!CK37,正常战斗2!CK37,正常战斗3!CK37,绕后战斗1!CK37,绕后战斗2!CK37)</f>
        <v>0</v>
      </c>
      <c r="O26" s="7">
        <f>AVERAGE(正常战斗1!CL37,正常战斗2!CL37,正常战斗3!CL37,绕后战斗1!CL37,绕后战斗2!CL37)</f>
        <v>0</v>
      </c>
      <c r="P26" s="7">
        <f>AVERAGE(正常战斗1!CM37,正常战斗2!CM37,正常战斗3!CM37,绕后战斗1!CM37,绕后战斗2!CM37)</f>
        <v>0</v>
      </c>
      <c r="Q26" s="7">
        <f>AVERAGE(正常战斗1!CN37,正常战斗2!CN37,正常战斗3!CN37,绕后战斗1!CN37,绕后战斗2!CN37)</f>
        <v>0</v>
      </c>
      <c r="R26" s="7">
        <f>AVERAGE(绕后战斗1!CO37,绕后战斗2!CO37)</f>
        <v>0</v>
      </c>
      <c r="S26" s="7">
        <f>AVERAGE(绕后战斗1!CP37,绕后战斗2!CP37)</f>
        <v>0</v>
      </c>
      <c r="T26" s="7">
        <f>AVERAGE(绕后战斗1!CQ37,绕后战斗2!CQ37)</f>
        <v>0</v>
      </c>
      <c r="U26" s="7">
        <f>AVERAGE(绕后战斗1!CR37,绕后战斗2!CR37)</f>
        <v>0</v>
      </c>
      <c r="V26" s="7">
        <f>AVERAGE(正常战斗1!CS37,正常战斗2!CS37,正常战斗3!CS37,绕后战斗1!CS37)</f>
        <v>0</v>
      </c>
      <c r="W26" s="7">
        <f>AVERAGE(正常战斗1!CT37,正常战斗2!CT37,正常战斗3!CT37,绕后战斗1!CT37)</f>
        <v>0</v>
      </c>
      <c r="X26" s="7">
        <f>AVERAGE(正常战斗1!CU37,正常战斗2!CU37,正常战斗3!CU37,绕后战斗1!CU37)</f>
        <v>0</v>
      </c>
      <c r="Y26" s="7">
        <f>AVERAGE(正常战斗1!CV37,正常战斗2!CV37,正常战斗3!CV37,绕后战斗1!CV37)</f>
        <v>0</v>
      </c>
      <c r="Z26" s="7">
        <f>AVERAGE(正常战斗1!CW37,正常战斗2!CW37,绕后战斗1!CW37,绕后战斗2!CW37)</f>
        <v>0</v>
      </c>
      <c r="AA26" s="7">
        <f>AVERAGE(正常战斗1!CX37,正常战斗2!CX37,绕后战斗1!CX37,绕后战斗2!CX37)</f>
        <v>0</v>
      </c>
      <c r="AB26" s="7">
        <f>AVERAGE(正常战斗1!CY37,正常战斗2!CY37,绕后战斗1!CY37,绕后战斗2!CY37)</f>
        <v>0</v>
      </c>
      <c r="AC26" s="7">
        <f>AVERAGE(正常战斗1!CZ37,正常战斗2!CZ37,绕后战斗1!CZ37,绕后战斗2!CZ37)</f>
        <v>0</v>
      </c>
      <c r="AD26" s="7"/>
      <c r="AE26" s="7"/>
      <c r="AL26" s="7"/>
      <c r="AM26" s="7"/>
      <c r="AU26" s="21"/>
      <c r="AV26" s="28"/>
    </row>
    <row r="27" spans="4:59" x14ac:dyDescent="0.15">
      <c r="D27" s="6">
        <v>22</v>
      </c>
      <c r="E27" s="7" t="e">
        <f>AVERAGE((正常战斗1!E38+正常战斗1!AK38)/2,(正常战斗2!E38+正常战斗2!AK38)/2,(正常战斗3!E38+正常战斗3!AK38)/2,(绕后战斗1!E38+绕后战斗1!AK38)/2,(绕后战斗2!E38+绕后战斗2!AK38)/2)/1000</f>
        <v>#VALUE!</v>
      </c>
      <c r="F27" s="7" t="e">
        <f>AVERAGE(绕后战斗1!BE38,(绕后战斗2!Y38+绕后战斗2!BE38)/2)/1000</f>
        <v>#VALUE!</v>
      </c>
      <c r="G27" s="7" t="e">
        <f>AVERAGE((正常战斗1!Y38+正常战斗1!AU38+正常战斗1!BE38)/3,(正常战斗2!Y38+正常战斗2!BE38)/2,(正常战斗3!O38+正常战斗3!Y38+正常战斗3!AU38+正常战斗3!BE38)/4,绕后战斗1!Y38)/1000</f>
        <v>#VALUE!</v>
      </c>
      <c r="H27" s="7" t="e">
        <f>AVERAGE(正常战斗1!O38,(正常战斗2!O38+正常战斗2!AU38)/2,(绕后战斗1!O38+绕后战斗1!AU38)/2,(绕后战斗2!O38+绕后战斗2!AU38)/2)/1000</f>
        <v>#VALUE!</v>
      </c>
      <c r="I27" s="7" t="e">
        <f>AVERAGE(AVERAGE((正常战斗1!J38+正常战斗1!AP38)/2,(正常战斗2!J38+正常战斗2!AP38)/2,(正常战斗3!J38+正常战斗3!AP38)/2,(绕后战斗1!J38+绕后战斗1!AP38)/2,(绕后战斗2!J38+绕后战斗2!AP38)/2),AVERAGE(正常战斗1!T38,(正常战斗2!T38+正常战斗2!AZ38)/2,(绕后战斗1!T38+绕后战斗1!AZ38)/2,(绕后战斗2!T38+绕后战斗2!AZ38)/2))</f>
        <v>#VALUE!</v>
      </c>
      <c r="J27" s="7" t="e">
        <f>AVERAGE(绕后战斗1!BJ38,(绕后战斗2!AD38+绕后战斗2!BJ38)/2)</f>
        <v>#VALUE!</v>
      </c>
      <c r="K27" s="7" t="e">
        <f>AVERAGE((正常战斗1!AD38+正常战斗1!AZ38+正常战斗1!BJ38)/3,(正常战斗2!AD38+正常战斗2!BJ38)/2,(正常战斗3!T38+正常战斗3!AD38+正常战斗3!AZ38+正常战斗3!BJ38)/4,绕后战斗1!AD38)</f>
        <v>#VALUE!</v>
      </c>
      <c r="L27" s="7" t="e">
        <f t="shared" si="0"/>
        <v>#VALUE!</v>
      </c>
      <c r="M27" s="7"/>
      <c r="N27" s="7">
        <f>AVERAGE(正常战斗1!CK38,正常战斗2!CK38,正常战斗3!CK38,绕后战斗1!CK38,绕后战斗2!CK38)</f>
        <v>0</v>
      </c>
      <c r="O27" s="7">
        <f>AVERAGE(正常战斗1!CL38,正常战斗2!CL38,正常战斗3!CL38,绕后战斗1!CL38,绕后战斗2!CL38)</f>
        <v>0</v>
      </c>
      <c r="P27" s="7">
        <f>AVERAGE(正常战斗1!CM38,正常战斗2!CM38,正常战斗3!CM38,绕后战斗1!CM38,绕后战斗2!CM38)</f>
        <v>0</v>
      </c>
      <c r="Q27" s="7">
        <f>AVERAGE(正常战斗1!CN38,正常战斗2!CN38,正常战斗3!CN38,绕后战斗1!CN38,绕后战斗2!CN38)</f>
        <v>0</v>
      </c>
      <c r="R27" s="7">
        <f>AVERAGE(绕后战斗1!CO38,绕后战斗2!CO38)</f>
        <v>0</v>
      </c>
      <c r="S27" s="7">
        <f>AVERAGE(绕后战斗1!CP38,绕后战斗2!CP38)</f>
        <v>0</v>
      </c>
      <c r="T27" s="7">
        <f>AVERAGE(绕后战斗1!CQ38,绕后战斗2!CQ38)</f>
        <v>0</v>
      </c>
      <c r="U27" s="7">
        <f>AVERAGE(绕后战斗1!CR38,绕后战斗2!CR38)</f>
        <v>0</v>
      </c>
      <c r="V27" s="7">
        <f>AVERAGE(正常战斗1!CS38,正常战斗2!CS38,正常战斗3!CS38,绕后战斗1!CS38)</f>
        <v>0</v>
      </c>
      <c r="W27" s="7">
        <f>AVERAGE(正常战斗1!CT38,正常战斗2!CT38,正常战斗3!CT38,绕后战斗1!CT38)</f>
        <v>0</v>
      </c>
      <c r="X27" s="7">
        <f>AVERAGE(正常战斗1!CU38,正常战斗2!CU38,正常战斗3!CU38,绕后战斗1!CU38)</f>
        <v>0</v>
      </c>
      <c r="Y27" s="7">
        <f>AVERAGE(正常战斗1!CV38,正常战斗2!CV38,正常战斗3!CV38,绕后战斗1!CV38)</f>
        <v>0</v>
      </c>
      <c r="Z27" s="7">
        <f>AVERAGE(正常战斗1!CW38,正常战斗2!CW38,绕后战斗1!CW38,绕后战斗2!CW38)</f>
        <v>0</v>
      </c>
      <c r="AA27" s="7">
        <f>AVERAGE(正常战斗1!CX38,正常战斗2!CX38,绕后战斗1!CX38,绕后战斗2!CX38)</f>
        <v>0</v>
      </c>
      <c r="AB27" s="7">
        <f>AVERAGE(正常战斗1!CY38,正常战斗2!CY38,绕后战斗1!CY38,绕后战斗2!CY38)</f>
        <v>0</v>
      </c>
      <c r="AC27" s="7">
        <f>AVERAGE(正常战斗1!CZ38,正常战斗2!CZ38,绕后战斗1!CZ38,绕后战斗2!CZ38)</f>
        <v>0</v>
      </c>
      <c r="AD27" s="7"/>
      <c r="AE27" s="7"/>
      <c r="AL27" s="7"/>
      <c r="AM27" s="7"/>
      <c r="AU27" s="21"/>
      <c r="AV27" s="28"/>
    </row>
    <row r="28" spans="4:59" x14ac:dyDescent="0.15">
      <c r="D28" s="6">
        <v>23</v>
      </c>
      <c r="E28" s="7" t="e">
        <f>AVERAGE((正常战斗1!E39+正常战斗1!AK39)/2,(正常战斗2!E39+正常战斗2!AK39)/2,(正常战斗3!E39+正常战斗3!AK39)/2,(绕后战斗1!E39+绕后战斗1!AK39)/2,(绕后战斗2!E39+绕后战斗2!AK39)/2)/1000</f>
        <v>#VALUE!</v>
      </c>
      <c r="F28" s="7" t="e">
        <f>AVERAGE(绕后战斗1!BE39,(绕后战斗2!Y39+绕后战斗2!BE39)/2)/1000</f>
        <v>#VALUE!</v>
      </c>
      <c r="G28" s="7" t="e">
        <f>AVERAGE((正常战斗1!Y39+正常战斗1!AU39+正常战斗1!BE39)/3,(正常战斗2!Y39+正常战斗2!BE39)/2,(正常战斗3!O39+正常战斗3!Y39+正常战斗3!AU39+正常战斗3!BE39)/4,绕后战斗1!Y39)/1000</f>
        <v>#VALUE!</v>
      </c>
      <c r="H28" s="7" t="e">
        <f>AVERAGE(正常战斗1!O39,(正常战斗2!O39+正常战斗2!AU39)/2,(绕后战斗1!O39+绕后战斗1!AU39)/2,(绕后战斗2!O39+绕后战斗2!AU39)/2)/1000</f>
        <v>#VALUE!</v>
      </c>
      <c r="I28" s="7" t="e">
        <f>AVERAGE(AVERAGE((正常战斗1!J39+正常战斗1!AP39)/2,(正常战斗2!J39+正常战斗2!AP39)/2,(正常战斗3!J39+正常战斗3!AP39)/2,(绕后战斗1!J39+绕后战斗1!AP39)/2,(绕后战斗2!J39+绕后战斗2!AP39)/2),AVERAGE(正常战斗1!T39,(正常战斗2!T39+正常战斗2!AZ39)/2,(绕后战斗1!T39+绕后战斗1!AZ39)/2,(绕后战斗2!T39+绕后战斗2!AZ39)/2))</f>
        <v>#VALUE!</v>
      </c>
      <c r="J28" s="7" t="e">
        <f>AVERAGE(绕后战斗1!BJ39,(绕后战斗2!AD39+绕后战斗2!BJ39)/2)</f>
        <v>#VALUE!</v>
      </c>
      <c r="K28" s="7" t="e">
        <f>AVERAGE((正常战斗1!AD39+正常战斗1!AZ39+正常战斗1!BJ39)/3,(正常战斗2!AD39+正常战斗2!BJ39)/2,(正常战斗3!T39+正常战斗3!AD39+正常战斗3!AZ39+正常战斗3!BJ39)/4,绕后战斗1!AD39)</f>
        <v>#VALUE!</v>
      </c>
      <c r="L28" s="7" t="e">
        <f t="shared" si="0"/>
        <v>#VALUE!</v>
      </c>
      <c r="M28" s="7"/>
      <c r="N28" s="7">
        <f>AVERAGE(正常战斗1!CK39,正常战斗2!CK39,正常战斗3!CK39,绕后战斗1!CK39,绕后战斗2!CK39)</f>
        <v>0</v>
      </c>
      <c r="O28" s="7">
        <f>AVERAGE(正常战斗1!CL39,正常战斗2!CL39,正常战斗3!CL39,绕后战斗1!CL39,绕后战斗2!CL39)</f>
        <v>0</v>
      </c>
      <c r="P28" s="7">
        <f>AVERAGE(正常战斗1!CM39,正常战斗2!CM39,正常战斗3!CM39,绕后战斗1!CM39,绕后战斗2!CM39)</f>
        <v>0</v>
      </c>
      <c r="Q28" s="7">
        <f>AVERAGE(正常战斗1!CN39,正常战斗2!CN39,正常战斗3!CN39,绕后战斗1!CN39,绕后战斗2!CN39)</f>
        <v>0</v>
      </c>
      <c r="R28" s="7">
        <f>AVERAGE(绕后战斗1!CO39,绕后战斗2!CO39)</f>
        <v>0</v>
      </c>
      <c r="S28" s="7">
        <f>AVERAGE(绕后战斗1!CP39,绕后战斗2!CP39)</f>
        <v>0</v>
      </c>
      <c r="T28" s="7">
        <f>AVERAGE(绕后战斗1!CQ39,绕后战斗2!CQ39)</f>
        <v>0</v>
      </c>
      <c r="U28" s="7">
        <f>AVERAGE(绕后战斗1!CR39,绕后战斗2!CR39)</f>
        <v>0</v>
      </c>
      <c r="V28" s="7">
        <f>AVERAGE(正常战斗1!CS39,正常战斗2!CS39,正常战斗3!CS39,绕后战斗1!CS39)</f>
        <v>0</v>
      </c>
      <c r="W28" s="7">
        <f>AVERAGE(正常战斗1!CT39,正常战斗2!CT39,正常战斗3!CT39,绕后战斗1!CT39)</f>
        <v>0</v>
      </c>
      <c r="X28" s="7">
        <f>AVERAGE(正常战斗1!CU39,正常战斗2!CU39,正常战斗3!CU39,绕后战斗1!CU39)</f>
        <v>0</v>
      </c>
      <c r="Y28" s="7">
        <f>AVERAGE(正常战斗1!CV39,正常战斗2!CV39,正常战斗3!CV39,绕后战斗1!CV39)</f>
        <v>0</v>
      </c>
      <c r="Z28" s="7">
        <f>AVERAGE(正常战斗1!CW39,正常战斗2!CW39,绕后战斗1!CW39,绕后战斗2!CW39)</f>
        <v>0</v>
      </c>
      <c r="AA28" s="7">
        <f>AVERAGE(正常战斗1!CX39,正常战斗2!CX39,绕后战斗1!CX39,绕后战斗2!CX39)</f>
        <v>0</v>
      </c>
      <c r="AB28" s="7">
        <f>AVERAGE(正常战斗1!CY39,正常战斗2!CY39,绕后战斗1!CY39,绕后战斗2!CY39)</f>
        <v>0</v>
      </c>
      <c r="AC28" s="7">
        <f>AVERAGE(正常战斗1!CZ39,正常战斗2!CZ39,绕后战斗1!CZ39,绕后战斗2!CZ39)</f>
        <v>0</v>
      </c>
      <c r="AD28" s="7"/>
      <c r="AE28" s="7"/>
      <c r="AL28" s="7"/>
      <c r="AM28" s="7"/>
      <c r="AU28" s="21"/>
    </row>
    <row r="29" spans="4:59" x14ac:dyDescent="0.15">
      <c r="D29" s="6">
        <v>24</v>
      </c>
      <c r="E29" s="7" t="e">
        <f>AVERAGE((正常战斗1!E40+正常战斗1!AK40)/2,(正常战斗2!E40+正常战斗2!AK40)/2,(正常战斗3!E40+正常战斗3!AK40)/2,(绕后战斗1!E40+绕后战斗1!AK40)/2,(绕后战斗2!E40+绕后战斗2!AK40)/2)/1000</f>
        <v>#VALUE!</v>
      </c>
      <c r="F29" s="7" t="e">
        <f>AVERAGE(绕后战斗1!BE40,(绕后战斗2!Y40+绕后战斗2!BE40)/2)/1000</f>
        <v>#VALUE!</v>
      </c>
      <c r="G29" s="7" t="e">
        <f>AVERAGE((正常战斗1!Y40+正常战斗1!AU40+正常战斗1!BE40)/3,(正常战斗2!Y40+正常战斗2!BE40)/2,(正常战斗3!O40+正常战斗3!Y40+正常战斗3!AU40+正常战斗3!BE40)/4,绕后战斗1!Y40)/1000</f>
        <v>#VALUE!</v>
      </c>
      <c r="H29" s="7" t="e">
        <f>AVERAGE(正常战斗1!O40,(正常战斗2!O40+正常战斗2!AU40)/2,(绕后战斗1!O40+绕后战斗1!AU40)/2,(绕后战斗2!O40+绕后战斗2!AU40)/2)/1000</f>
        <v>#VALUE!</v>
      </c>
      <c r="I29" s="7" t="e">
        <f>AVERAGE(AVERAGE((正常战斗1!J40+正常战斗1!AP40)/2,(正常战斗2!J40+正常战斗2!AP40)/2,(正常战斗3!J40+正常战斗3!AP40)/2,(绕后战斗1!J40+绕后战斗1!AP40)/2,(绕后战斗2!J40+绕后战斗2!AP40)/2),AVERAGE(正常战斗1!T40,(正常战斗2!T40+正常战斗2!AZ40)/2,(绕后战斗1!T40+绕后战斗1!AZ40)/2,(绕后战斗2!T40+绕后战斗2!AZ40)/2))</f>
        <v>#VALUE!</v>
      </c>
      <c r="J29" s="7" t="e">
        <f>AVERAGE(绕后战斗1!BJ40,(绕后战斗2!AD40+绕后战斗2!BJ40)/2)</f>
        <v>#VALUE!</v>
      </c>
      <c r="K29" s="7" t="e">
        <f>AVERAGE((正常战斗1!AD40+正常战斗1!AZ40+正常战斗1!BJ40)/3,(正常战斗2!AD40+正常战斗2!BJ40)/2,(正常战斗3!T40+正常战斗3!AD40+正常战斗3!AZ40+正常战斗3!BJ40)/4,绕后战斗1!AD40)</f>
        <v>#VALUE!</v>
      </c>
      <c r="L29" s="7" t="e">
        <f t="shared" si="0"/>
        <v>#VALUE!</v>
      </c>
      <c r="M29" s="7"/>
      <c r="N29" s="7">
        <f>AVERAGE(正常战斗1!CK40,正常战斗2!CK40,正常战斗3!CK40,绕后战斗1!CK40,绕后战斗2!CK40)</f>
        <v>0</v>
      </c>
      <c r="O29" s="7">
        <f>AVERAGE(正常战斗1!CL40,正常战斗2!CL40,正常战斗3!CL40,绕后战斗1!CL40,绕后战斗2!CL40)</f>
        <v>0</v>
      </c>
      <c r="P29" s="7">
        <f>AVERAGE(正常战斗1!CM40,正常战斗2!CM40,正常战斗3!CM40,绕后战斗1!CM40,绕后战斗2!CM40)</f>
        <v>0</v>
      </c>
      <c r="Q29" s="7">
        <f>AVERAGE(正常战斗1!CN40,正常战斗2!CN40,正常战斗3!CN40,绕后战斗1!CN40,绕后战斗2!CN40)</f>
        <v>0</v>
      </c>
      <c r="R29" s="7">
        <f>AVERAGE(绕后战斗1!CO40,绕后战斗2!CO40)</f>
        <v>0</v>
      </c>
      <c r="S29" s="7">
        <f>AVERAGE(绕后战斗1!CP40,绕后战斗2!CP40)</f>
        <v>0</v>
      </c>
      <c r="T29" s="7">
        <f>AVERAGE(绕后战斗1!CQ40,绕后战斗2!CQ40)</f>
        <v>0</v>
      </c>
      <c r="U29" s="7">
        <f>AVERAGE(绕后战斗1!CR40,绕后战斗2!CR40)</f>
        <v>0</v>
      </c>
      <c r="V29" s="7">
        <f>AVERAGE(正常战斗1!CS40,正常战斗2!CS40,正常战斗3!CS40,绕后战斗1!CS40)</f>
        <v>0</v>
      </c>
      <c r="W29" s="7">
        <f>AVERAGE(正常战斗1!CT40,正常战斗2!CT40,正常战斗3!CT40,绕后战斗1!CT40)</f>
        <v>0</v>
      </c>
      <c r="X29" s="7">
        <f>AVERAGE(正常战斗1!CU40,正常战斗2!CU40,正常战斗3!CU40,绕后战斗1!CU40)</f>
        <v>0</v>
      </c>
      <c r="Y29" s="7">
        <f>AVERAGE(正常战斗1!CV40,正常战斗2!CV40,正常战斗3!CV40,绕后战斗1!CV40)</f>
        <v>0</v>
      </c>
      <c r="Z29" s="7">
        <f>AVERAGE(正常战斗1!CW40,正常战斗2!CW40,绕后战斗1!CW40,绕后战斗2!CW40)</f>
        <v>0</v>
      </c>
      <c r="AA29" s="7">
        <f>AVERAGE(正常战斗1!CX40,正常战斗2!CX40,绕后战斗1!CX40,绕后战斗2!CX40)</f>
        <v>0</v>
      </c>
      <c r="AB29" s="7">
        <f>AVERAGE(正常战斗1!CY40,正常战斗2!CY40,绕后战斗1!CY40,绕后战斗2!CY40)</f>
        <v>0</v>
      </c>
      <c r="AC29" s="7">
        <f>AVERAGE(正常战斗1!CZ40,正常战斗2!CZ40,绕后战斗1!CZ40,绕后战斗2!CZ40)</f>
        <v>0</v>
      </c>
      <c r="AD29" s="7"/>
      <c r="AE29" s="7"/>
      <c r="AL29" s="7"/>
      <c r="AM29" s="7"/>
      <c r="AU29" s="21"/>
      <c r="AV29" s="28"/>
    </row>
    <row r="30" spans="4:59" x14ac:dyDescent="0.15">
      <c r="D30" s="6">
        <v>25</v>
      </c>
      <c r="E30" s="7" t="e">
        <f>AVERAGE((正常战斗1!E41+正常战斗1!AK41)/2,(正常战斗2!E41+正常战斗2!AK41)/2,(正常战斗3!E41+正常战斗3!AK41)/2,(绕后战斗1!E41+绕后战斗1!AK41)/2,(绕后战斗2!E41+绕后战斗2!AK41)/2)/1000</f>
        <v>#VALUE!</v>
      </c>
      <c r="F30" s="7" t="e">
        <f>AVERAGE(绕后战斗1!BE41,(绕后战斗2!Y41+绕后战斗2!BE41)/2)/1000</f>
        <v>#VALUE!</v>
      </c>
      <c r="G30" s="7" t="e">
        <f>AVERAGE((正常战斗1!Y41+正常战斗1!AU41+正常战斗1!BE41)/3,(正常战斗2!Y41+正常战斗2!BE41)/2,(正常战斗3!O41+正常战斗3!Y41+正常战斗3!AU41+正常战斗3!BE41)/4,绕后战斗1!Y41)/1000</f>
        <v>#VALUE!</v>
      </c>
      <c r="H30" s="7" t="e">
        <f>AVERAGE(正常战斗1!O41,(正常战斗2!O41+正常战斗2!AU41)/2,(绕后战斗1!O41+绕后战斗1!AU41)/2,(绕后战斗2!O41+绕后战斗2!AU41)/2)/1000</f>
        <v>#VALUE!</v>
      </c>
      <c r="I30" s="7" t="e">
        <f>AVERAGE(AVERAGE((正常战斗1!J41+正常战斗1!AP41)/2,(正常战斗2!J41+正常战斗2!AP41)/2,(正常战斗3!J41+正常战斗3!AP41)/2,(绕后战斗1!J41+绕后战斗1!AP41)/2,(绕后战斗2!J41+绕后战斗2!AP41)/2),AVERAGE(正常战斗1!T41,(正常战斗2!T41+正常战斗2!AZ41)/2,(绕后战斗1!T41+绕后战斗1!AZ41)/2,(绕后战斗2!T41+绕后战斗2!AZ41)/2))</f>
        <v>#VALUE!</v>
      </c>
      <c r="J30" s="7" t="e">
        <f>AVERAGE(绕后战斗1!BJ41,(绕后战斗2!AD41+绕后战斗2!BJ41)/2)</f>
        <v>#VALUE!</v>
      </c>
      <c r="K30" s="7" t="e">
        <f>AVERAGE((正常战斗1!AD41+正常战斗1!AZ41+正常战斗1!BJ41)/3,(正常战斗2!AD41+正常战斗2!BJ41)/2,(正常战斗3!T41+正常战斗3!AD41+正常战斗3!AZ41+正常战斗3!BJ41)/4,绕后战斗1!AD41)</f>
        <v>#VALUE!</v>
      </c>
      <c r="L30" s="7" t="e">
        <f t="shared" si="0"/>
        <v>#VALUE!</v>
      </c>
      <c r="M30" s="7"/>
      <c r="N30" s="7">
        <f>AVERAGE(正常战斗1!CK41,正常战斗2!CK41,正常战斗3!CK41,绕后战斗1!CK41,绕后战斗2!CK41)</f>
        <v>0</v>
      </c>
      <c r="O30" s="7">
        <f>AVERAGE(正常战斗1!CL41,正常战斗2!CL41,正常战斗3!CL41,绕后战斗1!CL41,绕后战斗2!CL41)</f>
        <v>0</v>
      </c>
      <c r="P30" s="7">
        <f>AVERAGE(正常战斗1!CM41,正常战斗2!CM41,正常战斗3!CM41,绕后战斗1!CM41,绕后战斗2!CM41)</f>
        <v>0</v>
      </c>
      <c r="Q30" s="7">
        <f>AVERAGE(正常战斗1!CN41,正常战斗2!CN41,正常战斗3!CN41,绕后战斗1!CN41,绕后战斗2!CN41)</f>
        <v>0</v>
      </c>
      <c r="R30" s="7">
        <f>AVERAGE(绕后战斗1!CO41,绕后战斗2!CO41)</f>
        <v>0</v>
      </c>
      <c r="S30" s="7">
        <f>AVERAGE(绕后战斗1!CP41,绕后战斗2!CP41)</f>
        <v>0</v>
      </c>
      <c r="T30" s="7">
        <f>AVERAGE(绕后战斗1!CQ41,绕后战斗2!CQ41)</f>
        <v>0</v>
      </c>
      <c r="U30" s="7">
        <f>AVERAGE(绕后战斗1!CR41,绕后战斗2!CR41)</f>
        <v>0</v>
      </c>
      <c r="V30" s="7">
        <f>AVERAGE(正常战斗1!CS41,正常战斗2!CS41,正常战斗3!CS41,绕后战斗1!CS41)</f>
        <v>0</v>
      </c>
      <c r="W30" s="7">
        <f>AVERAGE(正常战斗1!CT41,正常战斗2!CT41,正常战斗3!CT41,绕后战斗1!CT41)</f>
        <v>0</v>
      </c>
      <c r="X30" s="7">
        <f>AVERAGE(正常战斗1!CU41,正常战斗2!CU41,正常战斗3!CU41,绕后战斗1!CU41)</f>
        <v>0</v>
      </c>
      <c r="Y30" s="7">
        <f>AVERAGE(正常战斗1!CV41,正常战斗2!CV41,正常战斗3!CV41,绕后战斗1!CV41)</f>
        <v>0</v>
      </c>
      <c r="Z30" s="7">
        <f>AVERAGE(正常战斗1!CW41,正常战斗2!CW41,绕后战斗1!CW41,绕后战斗2!CW41)</f>
        <v>0</v>
      </c>
      <c r="AA30" s="7">
        <f>AVERAGE(正常战斗1!CX41,正常战斗2!CX41,绕后战斗1!CX41,绕后战斗2!CX41)</f>
        <v>0</v>
      </c>
      <c r="AB30" s="7">
        <f>AVERAGE(正常战斗1!CY41,正常战斗2!CY41,绕后战斗1!CY41,绕后战斗2!CY41)</f>
        <v>0</v>
      </c>
      <c r="AC30" s="7">
        <f>AVERAGE(正常战斗1!CZ41,正常战斗2!CZ41,绕后战斗1!CZ41,绕后战斗2!CZ41)</f>
        <v>0</v>
      </c>
      <c r="AD30" s="7"/>
      <c r="AE30" s="7"/>
      <c r="AF30" s="8"/>
      <c r="AL30" s="7"/>
      <c r="AM30" s="7"/>
      <c r="AS30" s="8"/>
      <c r="AU30" s="21"/>
      <c r="AV30" s="28"/>
    </row>
    <row r="31" spans="4:59" x14ac:dyDescent="0.15">
      <c r="D31" s="6">
        <v>26</v>
      </c>
      <c r="E31" s="7" t="e">
        <f>AVERAGE((正常战斗1!E42+正常战斗1!AK42)/2,(正常战斗2!E42+正常战斗2!AK42)/2,(正常战斗3!E42+正常战斗3!AK42)/2,(绕后战斗1!E42+绕后战斗1!AK42)/2,(绕后战斗2!E42+绕后战斗2!AK42)/2)/1000</f>
        <v>#VALUE!</v>
      </c>
      <c r="F31" s="7" t="e">
        <f>AVERAGE(绕后战斗1!BE42,(绕后战斗2!Y42+绕后战斗2!BE42)/2)/1000</f>
        <v>#VALUE!</v>
      </c>
      <c r="G31" s="7" t="e">
        <f>AVERAGE((正常战斗1!Y42+正常战斗1!AU42+正常战斗1!BE42)/3,(正常战斗2!Y42+正常战斗2!BE42)/2,(正常战斗3!O42+正常战斗3!Y42+正常战斗3!AU42+正常战斗3!BE42)/4,绕后战斗1!Y42)/1000</f>
        <v>#VALUE!</v>
      </c>
      <c r="H31" s="7" t="e">
        <f>AVERAGE(正常战斗1!O42,(正常战斗2!O42+正常战斗2!AU42)/2,(绕后战斗1!O42+绕后战斗1!AU42)/2,(绕后战斗2!O42+绕后战斗2!AU42)/2)/1000</f>
        <v>#VALUE!</v>
      </c>
      <c r="I31" s="7" t="e">
        <f>AVERAGE(AVERAGE((正常战斗1!J42+正常战斗1!AP42)/2,(正常战斗2!J42+正常战斗2!AP42)/2,(正常战斗3!J42+正常战斗3!AP42)/2,(绕后战斗1!J42+绕后战斗1!AP42)/2,(绕后战斗2!J42+绕后战斗2!AP42)/2),AVERAGE(正常战斗1!T42,(正常战斗2!T42+正常战斗2!AZ42)/2,(绕后战斗1!T42+绕后战斗1!AZ42)/2,(绕后战斗2!T42+绕后战斗2!AZ42)/2))</f>
        <v>#VALUE!</v>
      </c>
      <c r="J31" s="7" t="e">
        <f>AVERAGE(绕后战斗1!BJ42,(绕后战斗2!AD42+绕后战斗2!BJ42)/2)</f>
        <v>#VALUE!</v>
      </c>
      <c r="K31" s="7" t="e">
        <f>AVERAGE((正常战斗1!AD42+正常战斗1!AZ42+正常战斗1!BJ42)/3,(正常战斗2!AD42+正常战斗2!BJ42)/2,(正常战斗3!T42+正常战斗3!AD42+正常战斗3!AZ42+正常战斗3!BJ42)/4,绕后战斗1!AD42)</f>
        <v>#VALUE!</v>
      </c>
      <c r="L31" s="7" t="e">
        <f t="shared" si="0"/>
        <v>#VALUE!</v>
      </c>
      <c r="M31" s="7"/>
      <c r="N31" s="7">
        <f>AVERAGE(正常战斗1!CK42,正常战斗2!CK42,正常战斗3!CK42,绕后战斗1!CK42,绕后战斗2!CK42)</f>
        <v>0</v>
      </c>
      <c r="O31" s="7">
        <f>AVERAGE(正常战斗1!CL42,正常战斗2!CL42,正常战斗3!CL42,绕后战斗1!CL42,绕后战斗2!CL42)</f>
        <v>0</v>
      </c>
      <c r="P31" s="7">
        <f>AVERAGE(正常战斗1!CM42,正常战斗2!CM42,正常战斗3!CM42,绕后战斗1!CM42,绕后战斗2!CM42)</f>
        <v>0</v>
      </c>
      <c r="Q31" s="7">
        <f>AVERAGE(正常战斗1!CN42,正常战斗2!CN42,正常战斗3!CN42,绕后战斗1!CN42,绕后战斗2!CN42)</f>
        <v>0</v>
      </c>
      <c r="R31" s="7">
        <f>AVERAGE(绕后战斗1!CO42,绕后战斗2!CO42)</f>
        <v>0</v>
      </c>
      <c r="S31" s="7">
        <f>AVERAGE(绕后战斗1!CP42,绕后战斗2!CP42)</f>
        <v>0</v>
      </c>
      <c r="T31" s="7">
        <f>AVERAGE(绕后战斗1!CQ42,绕后战斗2!CQ42)</f>
        <v>0</v>
      </c>
      <c r="U31" s="7">
        <f>AVERAGE(绕后战斗1!CR42,绕后战斗2!CR42)</f>
        <v>0</v>
      </c>
      <c r="V31" s="7">
        <f>AVERAGE(正常战斗1!CS42,正常战斗2!CS42,正常战斗3!CS42,绕后战斗1!CS42)</f>
        <v>0</v>
      </c>
      <c r="W31" s="7">
        <f>AVERAGE(正常战斗1!CT42,正常战斗2!CT42,正常战斗3!CT42,绕后战斗1!CT42)</f>
        <v>0</v>
      </c>
      <c r="X31" s="7">
        <f>AVERAGE(正常战斗1!CU42,正常战斗2!CU42,正常战斗3!CU42,绕后战斗1!CU42)</f>
        <v>0</v>
      </c>
      <c r="Y31" s="7">
        <f>AVERAGE(正常战斗1!CV42,正常战斗2!CV42,正常战斗3!CV42,绕后战斗1!CV42)</f>
        <v>0</v>
      </c>
      <c r="Z31" s="7">
        <f>AVERAGE(正常战斗1!CW42,正常战斗2!CW42,绕后战斗1!CW42,绕后战斗2!CW42)</f>
        <v>0</v>
      </c>
      <c r="AA31" s="7">
        <f>AVERAGE(正常战斗1!CX42,正常战斗2!CX42,绕后战斗1!CX42,绕后战斗2!CX42)</f>
        <v>0</v>
      </c>
      <c r="AB31" s="7">
        <f>AVERAGE(正常战斗1!CY42,正常战斗2!CY42,绕后战斗1!CY42,绕后战斗2!CY42)</f>
        <v>0</v>
      </c>
      <c r="AC31" s="7">
        <f>AVERAGE(正常战斗1!CZ42,正常战斗2!CZ42,绕后战斗1!CZ42,绕后战斗2!CZ42)</f>
        <v>0</v>
      </c>
      <c r="AD31" s="7"/>
      <c r="AE31" s="7"/>
      <c r="AL31" s="7"/>
      <c r="AM31" s="7"/>
      <c r="AU31" s="21"/>
    </row>
    <row r="32" spans="4:59" x14ac:dyDescent="0.15">
      <c r="D32" s="6">
        <v>27</v>
      </c>
      <c r="E32" s="7" t="e">
        <f>AVERAGE((正常战斗1!E43+正常战斗1!AK43)/2,(正常战斗2!E43+正常战斗2!AK43)/2,(正常战斗3!E43+正常战斗3!AK43)/2,(绕后战斗1!E43+绕后战斗1!AK43)/2,(绕后战斗2!E43+绕后战斗2!AK43)/2)/1000</f>
        <v>#VALUE!</v>
      </c>
      <c r="F32" s="7" t="e">
        <f>AVERAGE(绕后战斗1!BE43,(绕后战斗2!Y43+绕后战斗2!BE43)/2)/1000</f>
        <v>#VALUE!</v>
      </c>
      <c r="G32" s="7" t="e">
        <f>AVERAGE((正常战斗1!Y43+正常战斗1!AU43+正常战斗1!BE43)/3,(正常战斗2!Y43+正常战斗2!BE43)/2,(正常战斗3!O43+正常战斗3!Y43+正常战斗3!AU43+正常战斗3!BE43)/4,绕后战斗1!Y43)/1000</f>
        <v>#VALUE!</v>
      </c>
      <c r="H32" s="7" t="e">
        <f>AVERAGE(正常战斗1!O43,(正常战斗2!O43+正常战斗2!AU43)/2,(绕后战斗1!O43+绕后战斗1!AU43)/2,(绕后战斗2!O43+绕后战斗2!AU43)/2)/1000</f>
        <v>#VALUE!</v>
      </c>
      <c r="I32" s="7" t="e">
        <f>AVERAGE(AVERAGE((正常战斗1!J43+正常战斗1!AP43)/2,(正常战斗2!J43+正常战斗2!AP43)/2,(正常战斗3!J43+正常战斗3!AP43)/2,(绕后战斗1!J43+绕后战斗1!AP43)/2,(绕后战斗2!J43+绕后战斗2!AP43)/2),AVERAGE(正常战斗1!T43,(正常战斗2!T43+正常战斗2!AZ43)/2,(绕后战斗1!T43+绕后战斗1!AZ43)/2,(绕后战斗2!T43+绕后战斗2!AZ43)/2))</f>
        <v>#VALUE!</v>
      </c>
      <c r="J32" s="7" t="e">
        <f>AVERAGE(绕后战斗1!BJ43,(绕后战斗2!AD43+绕后战斗2!BJ43)/2)</f>
        <v>#VALUE!</v>
      </c>
      <c r="K32" s="7" t="e">
        <f>AVERAGE((正常战斗1!AD43+正常战斗1!AZ43+正常战斗1!BJ43)/3,(正常战斗2!AD43+正常战斗2!BJ43)/2,(正常战斗3!T43+正常战斗3!AD43+正常战斗3!AZ43+正常战斗3!BJ43)/4,绕后战斗1!AD43)</f>
        <v>#VALUE!</v>
      </c>
      <c r="L32" s="7" t="e">
        <f t="shared" si="0"/>
        <v>#VALUE!</v>
      </c>
      <c r="M32" s="7"/>
      <c r="N32" s="7">
        <f>AVERAGE(正常战斗1!CK43,正常战斗2!CK43,正常战斗3!CK43,绕后战斗1!CK43,绕后战斗2!CK43)</f>
        <v>0</v>
      </c>
      <c r="O32" s="7">
        <f>AVERAGE(正常战斗1!CL43,正常战斗2!CL43,正常战斗3!CL43,绕后战斗1!CL43,绕后战斗2!CL43)</f>
        <v>0</v>
      </c>
      <c r="P32" s="7">
        <f>AVERAGE(正常战斗1!CM43,正常战斗2!CM43,正常战斗3!CM43,绕后战斗1!CM43,绕后战斗2!CM43)</f>
        <v>0</v>
      </c>
      <c r="Q32" s="7">
        <f>AVERAGE(正常战斗1!CN43,正常战斗2!CN43,正常战斗3!CN43,绕后战斗1!CN43,绕后战斗2!CN43)</f>
        <v>0</v>
      </c>
      <c r="R32" s="7">
        <f>AVERAGE(绕后战斗1!CO43,绕后战斗2!CO43)</f>
        <v>0</v>
      </c>
      <c r="S32" s="7">
        <f>AVERAGE(绕后战斗1!CP43,绕后战斗2!CP43)</f>
        <v>0</v>
      </c>
      <c r="T32" s="7">
        <f>AVERAGE(绕后战斗1!CQ43,绕后战斗2!CQ43)</f>
        <v>0</v>
      </c>
      <c r="U32" s="7">
        <f>AVERAGE(绕后战斗1!CR43,绕后战斗2!CR43)</f>
        <v>0</v>
      </c>
      <c r="V32" s="7">
        <f>AVERAGE(正常战斗1!CS43,正常战斗2!CS43,正常战斗3!CS43,绕后战斗1!CS43)</f>
        <v>0</v>
      </c>
      <c r="W32" s="7">
        <f>AVERAGE(正常战斗1!CT43,正常战斗2!CT43,正常战斗3!CT43,绕后战斗1!CT43)</f>
        <v>0</v>
      </c>
      <c r="X32" s="7">
        <f>AVERAGE(正常战斗1!CU43,正常战斗2!CU43,正常战斗3!CU43,绕后战斗1!CU43)</f>
        <v>0</v>
      </c>
      <c r="Y32" s="7">
        <f>AVERAGE(正常战斗1!CV43,正常战斗2!CV43,正常战斗3!CV43,绕后战斗1!CV43)</f>
        <v>0</v>
      </c>
      <c r="Z32" s="7">
        <f>AVERAGE(正常战斗1!CW43,正常战斗2!CW43,绕后战斗1!CW43,绕后战斗2!CW43)</f>
        <v>0</v>
      </c>
      <c r="AA32" s="7">
        <f>AVERAGE(正常战斗1!CX43,正常战斗2!CX43,绕后战斗1!CX43,绕后战斗2!CX43)</f>
        <v>0</v>
      </c>
      <c r="AB32" s="7">
        <f>AVERAGE(正常战斗1!CY43,正常战斗2!CY43,绕后战斗1!CY43,绕后战斗2!CY43)</f>
        <v>0</v>
      </c>
      <c r="AC32" s="7">
        <f>AVERAGE(正常战斗1!CZ43,正常战斗2!CZ43,绕后战斗1!CZ43,绕后战斗2!CZ43)</f>
        <v>0</v>
      </c>
      <c r="AD32" s="7"/>
      <c r="AE32" s="7"/>
      <c r="AU32" s="21"/>
    </row>
    <row r="33" spans="4:47" x14ac:dyDescent="0.15">
      <c r="D33" s="6">
        <v>28</v>
      </c>
      <c r="E33" s="7" t="e">
        <f>AVERAGE((正常战斗1!E44+正常战斗1!AK44)/2,(正常战斗2!E44+正常战斗2!AK44)/2,(正常战斗3!E44+正常战斗3!AK44)/2,(绕后战斗1!E44+绕后战斗1!AK44)/2,(绕后战斗2!E44+绕后战斗2!AK44)/2)/1000</f>
        <v>#VALUE!</v>
      </c>
      <c r="F33" s="7" t="e">
        <f>AVERAGE(绕后战斗1!BE44,(绕后战斗2!Y44+绕后战斗2!BE44)/2)/1000</f>
        <v>#VALUE!</v>
      </c>
      <c r="G33" s="7" t="e">
        <f>AVERAGE((正常战斗1!Y44+正常战斗1!AU44+正常战斗1!BE44)/3,(正常战斗2!Y44+正常战斗2!BE44)/2,(正常战斗3!O44+正常战斗3!Y44+正常战斗3!AU44+正常战斗3!BE44)/4,绕后战斗1!Y44)/1000</f>
        <v>#VALUE!</v>
      </c>
      <c r="H33" s="7" t="e">
        <f>AVERAGE(正常战斗1!O44,(正常战斗2!O44+正常战斗2!AU44)/2,(绕后战斗1!O44+绕后战斗1!AU44)/2,(绕后战斗2!O44+绕后战斗2!AU44)/2)/1000</f>
        <v>#VALUE!</v>
      </c>
      <c r="I33" s="7" t="e">
        <f>AVERAGE(AVERAGE((正常战斗1!J44+正常战斗1!AP44)/2,(正常战斗2!J44+正常战斗2!AP44)/2,(正常战斗3!J44+正常战斗3!AP44)/2,(绕后战斗1!J44+绕后战斗1!AP44)/2,(绕后战斗2!J44+绕后战斗2!AP44)/2),AVERAGE(正常战斗1!T44,(正常战斗2!T44+正常战斗2!AZ44)/2,(绕后战斗1!T44+绕后战斗1!AZ44)/2,(绕后战斗2!T44+绕后战斗2!AZ44)/2))</f>
        <v>#VALUE!</v>
      </c>
      <c r="J33" s="7" t="e">
        <f>AVERAGE(绕后战斗1!BJ44,(绕后战斗2!AD44+绕后战斗2!BJ44)/2)</f>
        <v>#VALUE!</v>
      </c>
      <c r="K33" s="7" t="e">
        <f>AVERAGE((正常战斗1!AD44+正常战斗1!AZ44+正常战斗1!BJ44)/3,(正常战斗2!AD44+正常战斗2!BJ44)/2,(正常战斗3!T44+正常战斗3!AD44+正常战斗3!AZ44+正常战斗3!BJ44)/4,绕后战斗1!AD44)</f>
        <v>#VALUE!</v>
      </c>
      <c r="L33" s="7" t="e">
        <f t="shared" si="0"/>
        <v>#VALUE!</v>
      </c>
      <c r="M33" s="7"/>
      <c r="N33" s="7">
        <f>AVERAGE(正常战斗1!CK44,正常战斗2!CK44,正常战斗3!CK44,绕后战斗1!CK44,绕后战斗2!CK44)</f>
        <v>0</v>
      </c>
      <c r="O33" s="7">
        <f>AVERAGE(正常战斗1!CL44,正常战斗2!CL44,正常战斗3!CL44,绕后战斗1!CL44,绕后战斗2!CL44)</f>
        <v>0</v>
      </c>
      <c r="P33" s="7">
        <f>AVERAGE(正常战斗1!CM44,正常战斗2!CM44,正常战斗3!CM44,绕后战斗1!CM44,绕后战斗2!CM44)</f>
        <v>0</v>
      </c>
      <c r="Q33" s="7">
        <f>AVERAGE(正常战斗1!CN44,正常战斗2!CN44,正常战斗3!CN44,绕后战斗1!CN44,绕后战斗2!CN44)</f>
        <v>0</v>
      </c>
      <c r="R33" s="7">
        <f>AVERAGE(绕后战斗1!CO44,绕后战斗2!CO44)</f>
        <v>0</v>
      </c>
      <c r="S33" s="7">
        <f>AVERAGE(绕后战斗1!CP44,绕后战斗2!CP44)</f>
        <v>0</v>
      </c>
      <c r="T33" s="7">
        <f>AVERAGE(绕后战斗1!CQ44,绕后战斗2!CQ44)</f>
        <v>0</v>
      </c>
      <c r="U33" s="7">
        <f>AVERAGE(绕后战斗1!CR44,绕后战斗2!CR44)</f>
        <v>0</v>
      </c>
      <c r="V33" s="7">
        <f>AVERAGE(正常战斗1!CS44,正常战斗2!CS44,正常战斗3!CS44,绕后战斗1!CS44)</f>
        <v>0</v>
      </c>
      <c r="W33" s="7">
        <f>AVERAGE(正常战斗1!CT44,正常战斗2!CT44,正常战斗3!CT44,绕后战斗1!CT44)</f>
        <v>0</v>
      </c>
      <c r="X33" s="7">
        <f>AVERAGE(正常战斗1!CU44,正常战斗2!CU44,正常战斗3!CU44,绕后战斗1!CU44)</f>
        <v>0</v>
      </c>
      <c r="Y33" s="7">
        <f>AVERAGE(正常战斗1!CV44,正常战斗2!CV44,正常战斗3!CV44,绕后战斗1!CV44)</f>
        <v>0</v>
      </c>
      <c r="Z33" s="7">
        <f>AVERAGE(正常战斗1!CW44,正常战斗2!CW44,绕后战斗1!CW44,绕后战斗2!CW44)</f>
        <v>0</v>
      </c>
      <c r="AA33" s="7">
        <f>AVERAGE(正常战斗1!CX44,正常战斗2!CX44,绕后战斗1!CX44,绕后战斗2!CX44)</f>
        <v>0</v>
      </c>
      <c r="AB33" s="7">
        <f>AVERAGE(正常战斗1!CY44,正常战斗2!CY44,绕后战斗1!CY44,绕后战斗2!CY44)</f>
        <v>0</v>
      </c>
      <c r="AC33" s="7">
        <f>AVERAGE(正常战斗1!CZ44,正常战斗2!CZ44,绕后战斗1!CZ44,绕后战斗2!CZ44)</f>
        <v>0</v>
      </c>
      <c r="AD33" s="7"/>
      <c r="AE33" s="7"/>
      <c r="AH33"/>
      <c r="AI33"/>
      <c r="AJ33"/>
      <c r="AU33" s="21"/>
    </row>
    <row r="34" spans="4:47" x14ac:dyDescent="0.15">
      <c r="D34" s="6">
        <v>29</v>
      </c>
      <c r="E34" s="7" t="e">
        <f>AVERAGE((正常战斗1!E45+正常战斗1!AK45)/2,(正常战斗2!E45+正常战斗2!AK45)/2,(正常战斗3!E45+正常战斗3!AK45)/2,(绕后战斗1!E45+绕后战斗1!AK45)/2,(绕后战斗2!E45+绕后战斗2!AK45)/2)/1000</f>
        <v>#VALUE!</v>
      </c>
      <c r="F34" s="7" t="e">
        <f>AVERAGE(绕后战斗1!BE45,(绕后战斗2!Y45+绕后战斗2!BE45)/2)/1000</f>
        <v>#VALUE!</v>
      </c>
      <c r="G34" s="7" t="e">
        <f>AVERAGE((正常战斗1!Y45+正常战斗1!AU45+正常战斗1!BE45)/3,(正常战斗2!Y45+正常战斗2!BE45)/2,(正常战斗3!O45+正常战斗3!Y45+正常战斗3!AU45+正常战斗3!BE45)/4,绕后战斗1!Y45)/1000</f>
        <v>#VALUE!</v>
      </c>
      <c r="H34" s="7" t="e">
        <f>AVERAGE(正常战斗1!O45,(正常战斗2!O45+正常战斗2!AU45)/2,(绕后战斗1!O45+绕后战斗1!AU45)/2,(绕后战斗2!O45+绕后战斗2!AU45)/2)/1000</f>
        <v>#VALUE!</v>
      </c>
      <c r="I34" s="7" t="e">
        <f>AVERAGE(AVERAGE((正常战斗1!J45+正常战斗1!AP45)/2,(正常战斗2!J45+正常战斗2!AP45)/2,(正常战斗3!J45+正常战斗3!AP45)/2,(绕后战斗1!J45+绕后战斗1!AP45)/2,(绕后战斗2!J45+绕后战斗2!AP45)/2),AVERAGE(正常战斗1!T45,(正常战斗2!T45+正常战斗2!AZ45)/2,(绕后战斗1!T45+绕后战斗1!AZ45)/2,(绕后战斗2!T45+绕后战斗2!AZ45)/2))</f>
        <v>#VALUE!</v>
      </c>
      <c r="J34" s="7" t="e">
        <f>AVERAGE(绕后战斗1!BJ45,(绕后战斗2!AD45+绕后战斗2!BJ45)/2)</f>
        <v>#VALUE!</v>
      </c>
      <c r="K34" s="7" t="e">
        <f>AVERAGE((正常战斗1!AD45+正常战斗1!AZ45+正常战斗1!BJ45)/3,(正常战斗2!AD45+正常战斗2!BJ45)/2,(正常战斗3!T45+正常战斗3!AD45+正常战斗3!AZ45+正常战斗3!BJ45)/4,绕后战斗1!AD45)</f>
        <v>#VALUE!</v>
      </c>
      <c r="L34" s="7" t="e">
        <f t="shared" si="0"/>
        <v>#VALUE!</v>
      </c>
      <c r="M34" s="7"/>
      <c r="N34" s="7">
        <f>AVERAGE(正常战斗1!CK45,正常战斗2!CK45,正常战斗3!CK45,绕后战斗1!CK45,绕后战斗2!CK45)</f>
        <v>0</v>
      </c>
      <c r="O34" s="7">
        <f>AVERAGE(正常战斗1!CL45,正常战斗2!CL45,正常战斗3!CL45,绕后战斗1!CL45,绕后战斗2!CL45)</f>
        <v>0</v>
      </c>
      <c r="P34" s="7">
        <f>AVERAGE(正常战斗1!CM45,正常战斗2!CM45,正常战斗3!CM45,绕后战斗1!CM45,绕后战斗2!CM45)</f>
        <v>0</v>
      </c>
      <c r="Q34" s="7">
        <f>AVERAGE(正常战斗1!CN45,正常战斗2!CN45,正常战斗3!CN45,绕后战斗1!CN45,绕后战斗2!CN45)</f>
        <v>0</v>
      </c>
      <c r="R34" s="7">
        <f>AVERAGE(绕后战斗1!CO45,绕后战斗2!CO45)</f>
        <v>0</v>
      </c>
      <c r="S34" s="7">
        <f>AVERAGE(绕后战斗1!CP45,绕后战斗2!CP45)</f>
        <v>0</v>
      </c>
      <c r="T34" s="7">
        <f>AVERAGE(绕后战斗1!CQ45,绕后战斗2!CQ45)</f>
        <v>0</v>
      </c>
      <c r="U34" s="7">
        <f>AVERAGE(绕后战斗1!CR45,绕后战斗2!CR45)</f>
        <v>0</v>
      </c>
      <c r="V34" s="7">
        <f>AVERAGE(正常战斗1!CS45,正常战斗2!CS45,正常战斗3!CS45,绕后战斗1!CS45)</f>
        <v>0</v>
      </c>
      <c r="W34" s="7">
        <f>AVERAGE(正常战斗1!CT45,正常战斗2!CT45,正常战斗3!CT45,绕后战斗1!CT45)</f>
        <v>0</v>
      </c>
      <c r="X34" s="7">
        <f>AVERAGE(正常战斗1!CU45,正常战斗2!CU45,正常战斗3!CU45,绕后战斗1!CU45)</f>
        <v>0</v>
      </c>
      <c r="Y34" s="7">
        <f>AVERAGE(正常战斗1!CV45,正常战斗2!CV45,正常战斗3!CV45,绕后战斗1!CV45)</f>
        <v>0</v>
      </c>
      <c r="Z34" s="7">
        <f>AVERAGE(正常战斗1!CW45,正常战斗2!CW45,绕后战斗1!CW45,绕后战斗2!CW45)</f>
        <v>0</v>
      </c>
      <c r="AA34" s="7">
        <f>AVERAGE(正常战斗1!CX45,正常战斗2!CX45,绕后战斗1!CX45,绕后战斗2!CX45)</f>
        <v>0</v>
      </c>
      <c r="AB34" s="7">
        <f>AVERAGE(正常战斗1!CY45,正常战斗2!CY45,绕后战斗1!CY45,绕后战斗2!CY45)</f>
        <v>0</v>
      </c>
      <c r="AC34" s="7">
        <f>AVERAGE(正常战斗1!CZ45,正常战斗2!CZ45,绕后战斗1!CZ45,绕后战斗2!CZ45)</f>
        <v>0</v>
      </c>
      <c r="AD34" s="7"/>
      <c r="AE34" s="7"/>
      <c r="AU34" s="21"/>
    </row>
    <row r="35" spans="4:47" x14ac:dyDescent="0.15">
      <c r="D35" s="6">
        <v>30</v>
      </c>
      <c r="E35" s="7" t="e">
        <f>AVERAGE((正常战斗1!E46+正常战斗1!AK46)/2,(正常战斗2!E46+正常战斗2!AK46)/2,(正常战斗3!E46+正常战斗3!AK46)/2,(绕后战斗1!E46+绕后战斗1!AK46)/2,(绕后战斗2!E46+绕后战斗2!AK46)/2)/1000</f>
        <v>#VALUE!</v>
      </c>
      <c r="F35" s="7" t="e">
        <f>AVERAGE(绕后战斗1!BE46,(绕后战斗2!Y46+绕后战斗2!BE46)/2)/1000</f>
        <v>#VALUE!</v>
      </c>
      <c r="G35" s="7" t="e">
        <f>AVERAGE((正常战斗1!Y46+正常战斗1!AU46+正常战斗1!BE46)/3,(正常战斗2!Y46+正常战斗2!BE46)/2,(正常战斗3!O46+正常战斗3!Y46+正常战斗3!AU46+正常战斗3!BE46)/4,绕后战斗1!Y46)/1000</f>
        <v>#VALUE!</v>
      </c>
      <c r="H35" s="7" t="e">
        <f>AVERAGE(正常战斗1!O46,(正常战斗2!O46+正常战斗2!AU46)/2,(绕后战斗1!O46+绕后战斗1!AU46)/2,(绕后战斗2!O46+绕后战斗2!AU46)/2)/1000</f>
        <v>#VALUE!</v>
      </c>
      <c r="I35" s="7" t="e">
        <f>AVERAGE(AVERAGE((正常战斗1!J46+正常战斗1!AP46)/2,(正常战斗2!J46+正常战斗2!AP46)/2,(正常战斗3!J46+正常战斗3!AP46)/2,(绕后战斗1!J46+绕后战斗1!AP46)/2,(绕后战斗2!J46+绕后战斗2!AP46)/2),AVERAGE(正常战斗1!T46,(正常战斗2!T46+正常战斗2!AZ46)/2,(绕后战斗1!T46+绕后战斗1!AZ46)/2,(绕后战斗2!T46+绕后战斗2!AZ46)/2))</f>
        <v>#VALUE!</v>
      </c>
      <c r="J35" s="7" t="e">
        <f>AVERAGE(绕后战斗1!BJ46,(绕后战斗2!AD46+绕后战斗2!BJ46)/2)</f>
        <v>#VALUE!</v>
      </c>
      <c r="K35" s="7" t="e">
        <f>AVERAGE((正常战斗1!AD46+正常战斗1!AZ46+正常战斗1!BJ46)/3,(正常战斗2!AD46+正常战斗2!BJ46)/2,(正常战斗3!T46+正常战斗3!AD46+正常战斗3!AZ46+正常战斗3!BJ46)/4,绕后战斗1!AD46)</f>
        <v>#VALUE!</v>
      </c>
      <c r="L35" s="7" t="e">
        <f t="shared" si="0"/>
        <v>#VALUE!</v>
      </c>
      <c r="M35" s="7"/>
      <c r="N35" s="7">
        <f>AVERAGE(正常战斗1!CK46,正常战斗2!CK46,正常战斗3!CK46,绕后战斗1!CK46,绕后战斗2!CK46)</f>
        <v>0</v>
      </c>
      <c r="O35" s="7">
        <f>AVERAGE(正常战斗1!CL46,正常战斗2!CL46,正常战斗3!CL46,绕后战斗1!CL46,绕后战斗2!CL46)</f>
        <v>0</v>
      </c>
      <c r="P35" s="7">
        <f>AVERAGE(正常战斗1!CM46,正常战斗2!CM46,正常战斗3!CM46,绕后战斗1!CM46,绕后战斗2!CM46)</f>
        <v>0</v>
      </c>
      <c r="Q35" s="7">
        <f>AVERAGE(正常战斗1!CN46,正常战斗2!CN46,正常战斗3!CN46,绕后战斗1!CN46,绕后战斗2!CN46)</f>
        <v>0</v>
      </c>
      <c r="R35" s="7">
        <f>AVERAGE(绕后战斗1!CO46,绕后战斗2!CO46)</f>
        <v>0</v>
      </c>
      <c r="S35" s="7">
        <f>AVERAGE(绕后战斗1!CP46,绕后战斗2!CP46)</f>
        <v>0</v>
      </c>
      <c r="T35" s="7">
        <f>AVERAGE(绕后战斗1!CQ46,绕后战斗2!CQ46)</f>
        <v>0</v>
      </c>
      <c r="U35" s="7">
        <f>AVERAGE(绕后战斗1!CR46,绕后战斗2!CR46)</f>
        <v>0</v>
      </c>
      <c r="V35" s="7">
        <f>AVERAGE(正常战斗1!CS46,正常战斗2!CS46,正常战斗3!CS46,绕后战斗1!CS46)</f>
        <v>0</v>
      </c>
      <c r="W35" s="7">
        <f>AVERAGE(正常战斗1!CT46,正常战斗2!CT46,正常战斗3!CT46,绕后战斗1!CT46)</f>
        <v>0</v>
      </c>
      <c r="X35" s="7">
        <f>AVERAGE(正常战斗1!CU46,正常战斗2!CU46,正常战斗3!CU46,绕后战斗1!CU46)</f>
        <v>0</v>
      </c>
      <c r="Y35" s="7">
        <f>AVERAGE(正常战斗1!CV46,正常战斗2!CV46,正常战斗3!CV46,绕后战斗1!CV46)</f>
        <v>0</v>
      </c>
      <c r="Z35" s="7">
        <f>AVERAGE(正常战斗1!CW46,正常战斗2!CW46,绕后战斗1!CW46,绕后战斗2!CW46)</f>
        <v>0</v>
      </c>
      <c r="AA35" s="7">
        <f>AVERAGE(正常战斗1!CX46,正常战斗2!CX46,绕后战斗1!CX46,绕后战斗2!CX46)</f>
        <v>0</v>
      </c>
      <c r="AB35" s="7">
        <f>AVERAGE(正常战斗1!CY46,正常战斗2!CY46,绕后战斗1!CY46,绕后战斗2!CY46)</f>
        <v>0</v>
      </c>
      <c r="AC35" s="7">
        <f>AVERAGE(正常战斗1!CZ46,正常战斗2!CZ46,绕后战斗1!CZ46,绕后战斗2!CZ46)</f>
        <v>0</v>
      </c>
      <c r="AD35" s="7"/>
      <c r="AE35" s="7"/>
      <c r="AU35" s="21"/>
    </row>
    <row r="36" spans="4:47" x14ac:dyDescent="0.15">
      <c r="D36" s="6">
        <v>31</v>
      </c>
      <c r="E36" s="7" t="e">
        <f>AVERAGE((正常战斗1!E47+正常战斗1!AK47)/2,(正常战斗2!E47+正常战斗2!AK47)/2,(正常战斗3!E47+正常战斗3!AK47)/2,(绕后战斗1!E47+绕后战斗1!AK47)/2,(绕后战斗2!E47+绕后战斗2!AK47)/2)/1000</f>
        <v>#VALUE!</v>
      </c>
      <c r="F36" s="7" t="e">
        <f>AVERAGE(绕后战斗1!BE47,(绕后战斗2!Y47+绕后战斗2!BE47)/2)/1000</f>
        <v>#VALUE!</v>
      </c>
      <c r="G36" s="7" t="e">
        <f>AVERAGE((正常战斗1!Y47+正常战斗1!AU47+正常战斗1!BE47)/3,(正常战斗2!Y47+正常战斗2!BE47)/2,(正常战斗3!O47+正常战斗3!Y47+正常战斗3!AU47+正常战斗3!BE47)/4,绕后战斗1!Y47)/1000</f>
        <v>#VALUE!</v>
      </c>
      <c r="H36" s="7" t="e">
        <f>AVERAGE(正常战斗1!O47,(正常战斗2!O47+正常战斗2!AU47)/2,(绕后战斗1!O47+绕后战斗1!AU47)/2,(绕后战斗2!O47+绕后战斗2!AU47)/2)/1000</f>
        <v>#VALUE!</v>
      </c>
      <c r="I36" s="7" t="e">
        <f>AVERAGE(AVERAGE((正常战斗1!J47+正常战斗1!AP47)/2,(正常战斗2!J47+正常战斗2!AP47)/2,(正常战斗3!J47+正常战斗3!AP47)/2,(绕后战斗1!J47+绕后战斗1!AP47)/2,(绕后战斗2!J47+绕后战斗2!AP47)/2),AVERAGE(正常战斗1!T47,(正常战斗2!T47+正常战斗2!AZ47)/2,(绕后战斗1!T47+绕后战斗1!AZ47)/2,(绕后战斗2!T47+绕后战斗2!AZ47)/2))</f>
        <v>#VALUE!</v>
      </c>
      <c r="J36" s="7" t="e">
        <f>AVERAGE(绕后战斗1!BJ47,(绕后战斗2!AD47+绕后战斗2!BJ47)/2)</f>
        <v>#VALUE!</v>
      </c>
      <c r="K36" s="7" t="e">
        <f>AVERAGE((正常战斗1!AD47+正常战斗1!AZ47+正常战斗1!BJ47)/3,(正常战斗2!AD47+正常战斗2!BJ47)/2,(正常战斗3!T47+正常战斗3!AD47+正常战斗3!AZ47+正常战斗3!BJ47)/4,绕后战斗1!AD47)</f>
        <v>#VALUE!</v>
      </c>
      <c r="L36" s="7" t="e">
        <f t="shared" si="0"/>
        <v>#VALUE!</v>
      </c>
      <c r="M36" s="7"/>
      <c r="N36" s="7">
        <f>AVERAGE(正常战斗1!CK47,正常战斗2!CK47,正常战斗3!CK47,绕后战斗1!CK47,绕后战斗2!CK47)</f>
        <v>0</v>
      </c>
      <c r="O36" s="7">
        <f>AVERAGE(正常战斗1!CL47,正常战斗2!CL47,正常战斗3!CL47,绕后战斗1!CL47,绕后战斗2!CL47)</f>
        <v>0</v>
      </c>
      <c r="P36" s="7">
        <f>AVERAGE(正常战斗1!CM47,正常战斗2!CM47,正常战斗3!CM47,绕后战斗1!CM47,绕后战斗2!CM47)</f>
        <v>0</v>
      </c>
      <c r="Q36" s="7">
        <f>AVERAGE(正常战斗1!CN47,正常战斗2!CN47,正常战斗3!CN47,绕后战斗1!CN47,绕后战斗2!CN47)</f>
        <v>0</v>
      </c>
      <c r="R36" s="7">
        <f>AVERAGE(绕后战斗1!CO47,绕后战斗2!CO47)</f>
        <v>0</v>
      </c>
      <c r="S36" s="7">
        <f>AVERAGE(绕后战斗1!CP47,绕后战斗2!CP47)</f>
        <v>0</v>
      </c>
      <c r="T36" s="7">
        <f>AVERAGE(绕后战斗1!CQ47,绕后战斗2!CQ47)</f>
        <v>0</v>
      </c>
      <c r="U36" s="7">
        <f>AVERAGE(绕后战斗1!CR47,绕后战斗2!CR47)</f>
        <v>0</v>
      </c>
      <c r="V36" s="7">
        <f>AVERAGE(正常战斗1!CS47,正常战斗2!CS47,正常战斗3!CS47,绕后战斗1!CS47)</f>
        <v>0</v>
      </c>
      <c r="W36" s="7">
        <f>AVERAGE(正常战斗1!CT47,正常战斗2!CT47,正常战斗3!CT47,绕后战斗1!CT47)</f>
        <v>0</v>
      </c>
      <c r="X36" s="7">
        <f>AVERAGE(正常战斗1!CU47,正常战斗2!CU47,正常战斗3!CU47,绕后战斗1!CU47)</f>
        <v>0</v>
      </c>
      <c r="Y36" s="7">
        <f>AVERAGE(正常战斗1!CV47,正常战斗2!CV47,正常战斗3!CV47,绕后战斗1!CV47)</f>
        <v>0</v>
      </c>
      <c r="Z36" s="7">
        <f>AVERAGE(正常战斗1!CW47,正常战斗2!CW47,绕后战斗1!CW47,绕后战斗2!CW47)</f>
        <v>0</v>
      </c>
      <c r="AA36" s="7">
        <f>AVERAGE(正常战斗1!CX47,正常战斗2!CX47,绕后战斗1!CX47,绕后战斗2!CX47)</f>
        <v>0</v>
      </c>
      <c r="AB36" s="7">
        <f>AVERAGE(正常战斗1!CY47,正常战斗2!CY47,绕后战斗1!CY47,绕后战斗2!CY47)</f>
        <v>0</v>
      </c>
      <c r="AC36" s="7">
        <f>AVERAGE(正常战斗1!CZ47,正常战斗2!CZ47,绕后战斗1!CZ47,绕后战斗2!CZ47)</f>
        <v>0</v>
      </c>
      <c r="AD36" s="7"/>
      <c r="AE36" s="7"/>
      <c r="AU36" s="21"/>
    </row>
    <row r="37" spans="4:47" x14ac:dyDescent="0.15">
      <c r="D37" s="6">
        <v>32</v>
      </c>
      <c r="E37" s="7" t="e">
        <f>AVERAGE((正常战斗1!E48+正常战斗1!AK48)/2,(正常战斗2!E48+正常战斗2!AK48)/2,(正常战斗3!E48+正常战斗3!AK48)/2,(绕后战斗1!E48+绕后战斗1!AK48)/2,(绕后战斗2!E48+绕后战斗2!AK48)/2)/1000</f>
        <v>#VALUE!</v>
      </c>
      <c r="F37" s="7" t="e">
        <f>AVERAGE(绕后战斗1!BE48,(绕后战斗2!Y48+绕后战斗2!BE48)/2)/1000</f>
        <v>#VALUE!</v>
      </c>
      <c r="G37" s="7" t="e">
        <f>AVERAGE((正常战斗1!Y48+正常战斗1!AU48+正常战斗1!BE48)/3,(正常战斗2!Y48+正常战斗2!BE48)/2,(正常战斗3!O48+正常战斗3!Y48+正常战斗3!AU48+正常战斗3!BE48)/4,绕后战斗1!Y48)/1000</f>
        <v>#VALUE!</v>
      </c>
      <c r="H37" s="7" t="e">
        <f>AVERAGE(正常战斗1!O48,(正常战斗2!O48+正常战斗2!AU48)/2,(绕后战斗1!O48+绕后战斗1!AU48)/2,(绕后战斗2!O48+绕后战斗2!AU48)/2)/1000</f>
        <v>#VALUE!</v>
      </c>
      <c r="I37" s="7" t="e">
        <f>AVERAGE(AVERAGE((正常战斗1!J48+正常战斗1!AP48)/2,(正常战斗2!J48+正常战斗2!AP48)/2,(正常战斗3!J48+正常战斗3!AP48)/2,(绕后战斗1!J48+绕后战斗1!AP48)/2,(绕后战斗2!J48+绕后战斗2!AP48)/2),AVERAGE(正常战斗1!T48,(正常战斗2!T48+正常战斗2!AZ48)/2,(绕后战斗1!T48+绕后战斗1!AZ48)/2,(绕后战斗2!T48+绕后战斗2!AZ48)/2))</f>
        <v>#VALUE!</v>
      </c>
      <c r="J37" s="7" t="e">
        <f>AVERAGE(绕后战斗1!BJ48,(绕后战斗2!AD48+绕后战斗2!BJ48)/2)</f>
        <v>#VALUE!</v>
      </c>
      <c r="K37" s="7" t="e">
        <f>AVERAGE((正常战斗1!AD48+正常战斗1!AZ48+正常战斗1!BJ48)/3,(正常战斗2!AD48+正常战斗2!BJ48)/2,(正常战斗3!T48+正常战斗3!AD48+正常战斗3!AZ48+正常战斗3!BJ48)/4,绕后战斗1!AD48)</f>
        <v>#VALUE!</v>
      </c>
      <c r="L37" s="7" t="e">
        <f t="shared" si="0"/>
        <v>#VALUE!</v>
      </c>
      <c r="M37" s="7"/>
      <c r="N37" s="7">
        <f>AVERAGE(正常战斗1!CK48,正常战斗2!CK48,正常战斗3!CK48,绕后战斗1!CK48,绕后战斗2!CK48)</f>
        <v>0</v>
      </c>
      <c r="O37" s="7">
        <f>AVERAGE(正常战斗1!CL48,正常战斗2!CL48,正常战斗3!CL48,绕后战斗1!CL48,绕后战斗2!CL48)</f>
        <v>0</v>
      </c>
      <c r="P37" s="7">
        <f>AVERAGE(正常战斗1!CM48,正常战斗2!CM48,正常战斗3!CM48,绕后战斗1!CM48,绕后战斗2!CM48)</f>
        <v>0</v>
      </c>
      <c r="Q37" s="7">
        <f>AVERAGE(正常战斗1!CN48,正常战斗2!CN48,正常战斗3!CN48,绕后战斗1!CN48,绕后战斗2!CN48)</f>
        <v>0</v>
      </c>
      <c r="R37" s="7">
        <f>AVERAGE(绕后战斗1!CO48,绕后战斗2!CO48)</f>
        <v>0</v>
      </c>
      <c r="S37" s="7">
        <f>AVERAGE(绕后战斗1!CP48,绕后战斗2!CP48)</f>
        <v>0</v>
      </c>
      <c r="T37" s="7">
        <f>AVERAGE(绕后战斗1!CQ48,绕后战斗2!CQ48)</f>
        <v>0</v>
      </c>
      <c r="U37" s="7">
        <f>AVERAGE(绕后战斗1!CR48,绕后战斗2!CR48)</f>
        <v>0</v>
      </c>
      <c r="V37" s="7">
        <f>AVERAGE(正常战斗1!CS48,正常战斗2!CS48,正常战斗3!CS48,绕后战斗1!CS48)</f>
        <v>0</v>
      </c>
      <c r="W37" s="7">
        <f>AVERAGE(正常战斗1!CT48,正常战斗2!CT48,正常战斗3!CT48,绕后战斗1!CT48)</f>
        <v>0</v>
      </c>
      <c r="X37" s="7">
        <f>AVERAGE(正常战斗1!CU48,正常战斗2!CU48,正常战斗3!CU48,绕后战斗1!CU48)</f>
        <v>0</v>
      </c>
      <c r="Y37" s="7">
        <f>AVERAGE(正常战斗1!CV48,正常战斗2!CV48,正常战斗3!CV48,绕后战斗1!CV48)</f>
        <v>0</v>
      </c>
      <c r="Z37" s="7">
        <f>AVERAGE(正常战斗1!CW48,正常战斗2!CW48,绕后战斗1!CW48,绕后战斗2!CW48)</f>
        <v>0</v>
      </c>
      <c r="AA37" s="7">
        <f>AVERAGE(正常战斗1!CX48,正常战斗2!CX48,绕后战斗1!CX48,绕后战斗2!CX48)</f>
        <v>0</v>
      </c>
      <c r="AB37" s="7">
        <f>AVERAGE(正常战斗1!CY48,正常战斗2!CY48,绕后战斗1!CY48,绕后战斗2!CY48)</f>
        <v>0</v>
      </c>
      <c r="AC37" s="7">
        <f>AVERAGE(正常战斗1!CZ48,正常战斗2!CZ48,绕后战斗1!CZ48,绕后战斗2!CZ48)</f>
        <v>0</v>
      </c>
      <c r="AD37" s="7"/>
      <c r="AE37" s="7"/>
      <c r="AU37" s="21"/>
    </row>
    <row r="38" spans="4:47" x14ac:dyDescent="0.15">
      <c r="D38" s="6">
        <v>33</v>
      </c>
      <c r="E38" s="7" t="e">
        <f>AVERAGE((正常战斗1!E49+正常战斗1!AK49)/2,(正常战斗2!E49+正常战斗2!AK49)/2,(正常战斗3!E49+正常战斗3!AK49)/2,(绕后战斗1!E49+绕后战斗1!AK49)/2,(绕后战斗2!E49+绕后战斗2!AK49)/2)/1000</f>
        <v>#VALUE!</v>
      </c>
      <c r="F38" s="7" t="e">
        <f>AVERAGE(绕后战斗1!BE49,(绕后战斗2!Y49+绕后战斗2!BE49)/2)/1000</f>
        <v>#VALUE!</v>
      </c>
      <c r="G38" s="7" t="e">
        <f>AVERAGE((正常战斗1!Y49+正常战斗1!AU49+正常战斗1!BE49)/3,(正常战斗2!Y49+正常战斗2!BE49)/2,(正常战斗3!O49+正常战斗3!Y49+正常战斗3!AU49+正常战斗3!BE49)/4,绕后战斗1!Y49)/1000</f>
        <v>#VALUE!</v>
      </c>
      <c r="H38" s="7" t="e">
        <f>AVERAGE(正常战斗1!O49,(正常战斗2!O49+正常战斗2!AU49)/2,(绕后战斗1!O49+绕后战斗1!AU49)/2,(绕后战斗2!O49+绕后战斗2!AU49)/2)/1000</f>
        <v>#VALUE!</v>
      </c>
      <c r="I38" s="7" t="e">
        <f>AVERAGE(AVERAGE((正常战斗1!J49+正常战斗1!AP49)/2,(正常战斗2!J49+正常战斗2!AP49)/2,(正常战斗3!J49+正常战斗3!AP49)/2,(绕后战斗1!J49+绕后战斗1!AP49)/2,(绕后战斗2!J49+绕后战斗2!AP49)/2),AVERAGE(正常战斗1!T49,(正常战斗2!T49+正常战斗2!AZ49)/2,(绕后战斗1!T49+绕后战斗1!AZ49)/2,(绕后战斗2!T49+绕后战斗2!AZ49)/2))</f>
        <v>#VALUE!</v>
      </c>
      <c r="J38" s="7" t="e">
        <f>AVERAGE(绕后战斗1!BJ49,(绕后战斗2!AD49+绕后战斗2!BJ49)/2)</f>
        <v>#VALUE!</v>
      </c>
      <c r="K38" s="7" t="e">
        <f>AVERAGE((正常战斗1!AD49+正常战斗1!AZ49+正常战斗1!BJ49)/3,(正常战斗2!AD49+正常战斗2!BJ49)/2,(正常战斗3!T49+正常战斗3!AD49+正常战斗3!AZ49+正常战斗3!BJ49)/4,绕后战斗1!AD49)</f>
        <v>#VALUE!</v>
      </c>
      <c r="L38" s="7" t="e">
        <f t="shared" si="0"/>
        <v>#VALUE!</v>
      </c>
      <c r="M38" s="7"/>
      <c r="N38" s="7">
        <f>AVERAGE(正常战斗1!CK49,正常战斗2!CK49,正常战斗3!CK49,绕后战斗1!CK49,绕后战斗2!CK49)</f>
        <v>0</v>
      </c>
      <c r="O38" s="7">
        <f>AVERAGE(正常战斗1!CL49,正常战斗2!CL49,正常战斗3!CL49,绕后战斗1!CL49,绕后战斗2!CL49)</f>
        <v>0</v>
      </c>
      <c r="P38" s="7">
        <f>AVERAGE(正常战斗1!CM49,正常战斗2!CM49,正常战斗3!CM49,绕后战斗1!CM49,绕后战斗2!CM49)</f>
        <v>0</v>
      </c>
      <c r="Q38" s="7">
        <f>AVERAGE(正常战斗1!CN49,正常战斗2!CN49,正常战斗3!CN49,绕后战斗1!CN49,绕后战斗2!CN49)</f>
        <v>0</v>
      </c>
      <c r="R38" s="7">
        <f>AVERAGE(绕后战斗1!CO49,绕后战斗2!CO49)</f>
        <v>0</v>
      </c>
      <c r="S38" s="7">
        <f>AVERAGE(绕后战斗1!CP49,绕后战斗2!CP49)</f>
        <v>0</v>
      </c>
      <c r="T38" s="7">
        <f>AVERAGE(绕后战斗1!CQ49,绕后战斗2!CQ49)</f>
        <v>0</v>
      </c>
      <c r="U38" s="7">
        <f>AVERAGE(绕后战斗1!CR49,绕后战斗2!CR49)</f>
        <v>0</v>
      </c>
      <c r="V38" s="7">
        <f>AVERAGE(正常战斗1!CS49,正常战斗2!CS49,正常战斗3!CS49,绕后战斗1!CS49)</f>
        <v>0</v>
      </c>
      <c r="W38" s="7">
        <f>AVERAGE(正常战斗1!CT49,正常战斗2!CT49,正常战斗3!CT49,绕后战斗1!CT49)</f>
        <v>0</v>
      </c>
      <c r="X38" s="7">
        <f>AVERAGE(正常战斗1!CU49,正常战斗2!CU49,正常战斗3!CU49,绕后战斗1!CU49)</f>
        <v>0</v>
      </c>
      <c r="Y38" s="7">
        <f>AVERAGE(正常战斗1!CV49,正常战斗2!CV49,正常战斗3!CV49,绕后战斗1!CV49)</f>
        <v>0</v>
      </c>
      <c r="Z38" s="7">
        <f>AVERAGE(正常战斗1!CW49,正常战斗2!CW49,绕后战斗1!CW49,绕后战斗2!CW49)</f>
        <v>0</v>
      </c>
      <c r="AA38" s="7">
        <f>AVERAGE(正常战斗1!CX49,正常战斗2!CX49,绕后战斗1!CX49,绕后战斗2!CX49)</f>
        <v>0</v>
      </c>
      <c r="AB38" s="7">
        <f>AVERAGE(正常战斗1!CY49,正常战斗2!CY49,绕后战斗1!CY49,绕后战斗2!CY49)</f>
        <v>0</v>
      </c>
      <c r="AC38" s="7">
        <f>AVERAGE(正常战斗1!CZ49,正常战斗2!CZ49,绕后战斗1!CZ49,绕后战斗2!CZ49)</f>
        <v>0</v>
      </c>
      <c r="AD38" s="7"/>
      <c r="AE38" s="7"/>
      <c r="AU38" s="21"/>
    </row>
    <row r="39" spans="4:47" x14ac:dyDescent="0.15">
      <c r="D39" s="6">
        <v>34</v>
      </c>
      <c r="E39" s="7" t="e">
        <f>AVERAGE((正常战斗1!E50+正常战斗1!AK50)/2,(正常战斗2!E50+正常战斗2!AK50)/2,(正常战斗3!E50+正常战斗3!AK50)/2,(绕后战斗1!E50+绕后战斗1!AK50)/2,(绕后战斗2!E50+绕后战斗2!AK50)/2)/1000</f>
        <v>#VALUE!</v>
      </c>
      <c r="F39" s="7" t="e">
        <f>AVERAGE(绕后战斗1!BE50,(绕后战斗2!Y50+绕后战斗2!BE50)/2)/1000</f>
        <v>#VALUE!</v>
      </c>
      <c r="G39" s="7" t="e">
        <f>AVERAGE((正常战斗1!Y50+正常战斗1!AU50+正常战斗1!BE50)/3,(正常战斗2!Y50+正常战斗2!BE50)/2,(正常战斗3!O50+正常战斗3!Y50+正常战斗3!AU50+正常战斗3!BE50)/4,绕后战斗1!Y50)/1000</f>
        <v>#VALUE!</v>
      </c>
      <c r="H39" s="7" t="e">
        <f>AVERAGE(正常战斗1!O50,(正常战斗2!O50+正常战斗2!AU50)/2,(绕后战斗1!O50+绕后战斗1!AU50)/2,(绕后战斗2!O50+绕后战斗2!AU50)/2)/1000</f>
        <v>#VALUE!</v>
      </c>
      <c r="I39" s="7" t="e">
        <f>AVERAGE(AVERAGE((正常战斗1!J50+正常战斗1!AP50)/2,(正常战斗2!J50+正常战斗2!AP50)/2,(正常战斗3!J50+正常战斗3!AP50)/2,(绕后战斗1!J50+绕后战斗1!AP50)/2,(绕后战斗2!J50+绕后战斗2!AP50)/2),AVERAGE(正常战斗1!T50,(正常战斗2!T50+正常战斗2!AZ50)/2,(绕后战斗1!T50+绕后战斗1!AZ50)/2,(绕后战斗2!T50+绕后战斗2!AZ50)/2))</f>
        <v>#VALUE!</v>
      </c>
      <c r="J39" s="7" t="e">
        <f>AVERAGE(绕后战斗1!BJ50,(绕后战斗2!AD50+绕后战斗2!BJ50)/2)</f>
        <v>#VALUE!</v>
      </c>
      <c r="K39" s="7" t="e">
        <f>AVERAGE((正常战斗1!AD50+正常战斗1!AZ50+正常战斗1!BJ50)/3,(正常战斗2!AD50+正常战斗2!BJ50)/2,(正常战斗3!T50+正常战斗3!AD50+正常战斗3!AZ50+正常战斗3!BJ50)/4,绕后战斗1!AD50)</f>
        <v>#VALUE!</v>
      </c>
      <c r="L39" s="7" t="e">
        <f t="shared" si="0"/>
        <v>#VALUE!</v>
      </c>
      <c r="M39" s="7"/>
      <c r="N39" s="7">
        <f>AVERAGE(正常战斗1!CK50,正常战斗2!CK50,正常战斗3!CK50,绕后战斗1!CK50,绕后战斗2!CK50)</f>
        <v>0</v>
      </c>
      <c r="O39" s="7">
        <f>AVERAGE(正常战斗1!CL50,正常战斗2!CL50,正常战斗3!CL50,绕后战斗1!CL50,绕后战斗2!CL50)</f>
        <v>0</v>
      </c>
      <c r="P39" s="7">
        <f>AVERAGE(正常战斗1!CM50,正常战斗2!CM50,正常战斗3!CM50,绕后战斗1!CM50,绕后战斗2!CM50)</f>
        <v>0</v>
      </c>
      <c r="Q39" s="7">
        <f>AVERAGE(正常战斗1!CN50,正常战斗2!CN50,正常战斗3!CN50,绕后战斗1!CN50,绕后战斗2!CN50)</f>
        <v>0</v>
      </c>
      <c r="R39" s="7">
        <f>AVERAGE(绕后战斗1!CO50,绕后战斗2!CO50)</f>
        <v>0</v>
      </c>
      <c r="S39" s="7">
        <f>AVERAGE(绕后战斗1!CP50,绕后战斗2!CP50)</f>
        <v>0</v>
      </c>
      <c r="T39" s="7">
        <f>AVERAGE(绕后战斗1!CQ50,绕后战斗2!CQ50)</f>
        <v>0</v>
      </c>
      <c r="U39" s="7">
        <f>AVERAGE(绕后战斗1!CR50,绕后战斗2!CR50)</f>
        <v>0</v>
      </c>
      <c r="V39" s="7">
        <f>AVERAGE(正常战斗1!CS50,正常战斗2!CS50,正常战斗3!CS50,绕后战斗1!CS50)</f>
        <v>0</v>
      </c>
      <c r="W39" s="7">
        <f>AVERAGE(正常战斗1!CT50,正常战斗2!CT50,正常战斗3!CT50,绕后战斗1!CT50)</f>
        <v>0</v>
      </c>
      <c r="X39" s="7">
        <f>AVERAGE(正常战斗1!CU50,正常战斗2!CU50,正常战斗3!CU50,绕后战斗1!CU50)</f>
        <v>0</v>
      </c>
      <c r="Y39" s="7">
        <f>AVERAGE(正常战斗1!CV50,正常战斗2!CV50,正常战斗3!CV50,绕后战斗1!CV50)</f>
        <v>0</v>
      </c>
      <c r="Z39" s="7">
        <f>AVERAGE(正常战斗1!CW50,正常战斗2!CW50,绕后战斗1!CW50,绕后战斗2!CW50)</f>
        <v>0</v>
      </c>
      <c r="AA39" s="7">
        <f>AVERAGE(正常战斗1!CX50,正常战斗2!CX50,绕后战斗1!CX50,绕后战斗2!CX50)</f>
        <v>0</v>
      </c>
      <c r="AB39" s="7">
        <f>AVERAGE(正常战斗1!CY50,正常战斗2!CY50,绕后战斗1!CY50,绕后战斗2!CY50)</f>
        <v>0</v>
      </c>
      <c r="AC39" s="7">
        <f>AVERAGE(正常战斗1!CZ50,正常战斗2!CZ50,绕后战斗1!CZ50,绕后战斗2!CZ50)</f>
        <v>0</v>
      </c>
      <c r="AD39" s="7"/>
      <c r="AE39" s="7"/>
      <c r="AU39" s="21"/>
    </row>
    <row r="40" spans="4:47" x14ac:dyDescent="0.15">
      <c r="D40" s="6">
        <v>35</v>
      </c>
      <c r="E40" s="7" t="e">
        <f>AVERAGE((正常战斗1!E51+正常战斗1!AK51)/2,(正常战斗2!E51+正常战斗2!AK51)/2,(正常战斗3!E51+正常战斗3!AK51)/2,(绕后战斗1!E51+绕后战斗1!AK51)/2,(绕后战斗2!E51+绕后战斗2!AK51)/2)/1000</f>
        <v>#VALUE!</v>
      </c>
      <c r="F40" s="7" t="e">
        <f>AVERAGE(绕后战斗1!BE51,(绕后战斗2!Y51+绕后战斗2!BE51)/2)/1000</f>
        <v>#VALUE!</v>
      </c>
      <c r="G40" s="7" t="e">
        <f>AVERAGE((正常战斗1!Y51+正常战斗1!AU51+正常战斗1!BE51)/3,(正常战斗2!Y51+正常战斗2!BE51)/2,(正常战斗3!O51+正常战斗3!Y51+正常战斗3!AU51+正常战斗3!BE51)/4,绕后战斗1!Y51)/1000</f>
        <v>#VALUE!</v>
      </c>
      <c r="H40" s="7" t="e">
        <f>AVERAGE(正常战斗1!O51,(正常战斗2!O51+正常战斗2!AU51)/2,(绕后战斗1!O51+绕后战斗1!AU51)/2,(绕后战斗2!O51+绕后战斗2!AU51)/2)/1000</f>
        <v>#VALUE!</v>
      </c>
      <c r="I40" s="7" t="e">
        <f>AVERAGE(AVERAGE((正常战斗1!J51+正常战斗1!AP51)/2,(正常战斗2!J51+正常战斗2!AP51)/2,(正常战斗3!J51+正常战斗3!AP51)/2,(绕后战斗1!J51+绕后战斗1!AP51)/2,(绕后战斗2!J51+绕后战斗2!AP51)/2),AVERAGE(正常战斗1!T51,(正常战斗2!T51+正常战斗2!AZ51)/2,(绕后战斗1!T51+绕后战斗1!AZ51)/2,(绕后战斗2!T51+绕后战斗2!AZ51)/2))</f>
        <v>#VALUE!</v>
      </c>
      <c r="J40" s="7" t="e">
        <f>AVERAGE(绕后战斗1!BJ51,(绕后战斗2!AD51+绕后战斗2!BJ51)/2)</f>
        <v>#VALUE!</v>
      </c>
      <c r="K40" s="7" t="e">
        <f>AVERAGE((正常战斗1!AD51+正常战斗1!AZ51+正常战斗1!BJ51)/3,(正常战斗2!AD51+正常战斗2!BJ51)/2,(正常战斗3!T51+正常战斗3!AD51+正常战斗3!AZ51+正常战斗3!BJ51)/4,绕后战斗1!AD51)</f>
        <v>#VALUE!</v>
      </c>
      <c r="L40" s="7" t="e">
        <f t="shared" si="0"/>
        <v>#VALUE!</v>
      </c>
      <c r="M40" s="7"/>
      <c r="N40" s="7">
        <f>AVERAGE(正常战斗1!CK51,正常战斗2!CK51,正常战斗3!CK51,绕后战斗1!CK51,绕后战斗2!CK51)</f>
        <v>0</v>
      </c>
      <c r="O40" s="7">
        <f>AVERAGE(正常战斗1!CL51,正常战斗2!CL51,正常战斗3!CL51,绕后战斗1!CL51,绕后战斗2!CL51)</f>
        <v>0</v>
      </c>
      <c r="P40" s="7">
        <f>AVERAGE(正常战斗1!CM51,正常战斗2!CM51,正常战斗3!CM51,绕后战斗1!CM51,绕后战斗2!CM51)</f>
        <v>0</v>
      </c>
      <c r="Q40" s="7">
        <f>AVERAGE(正常战斗1!CN51,正常战斗2!CN51,正常战斗3!CN51,绕后战斗1!CN51,绕后战斗2!CN51)</f>
        <v>0</v>
      </c>
      <c r="R40" s="7">
        <f>AVERAGE(绕后战斗1!CO51,绕后战斗2!CO51)</f>
        <v>0</v>
      </c>
      <c r="S40" s="7">
        <f>AVERAGE(绕后战斗1!CP51,绕后战斗2!CP51)</f>
        <v>0</v>
      </c>
      <c r="T40" s="7">
        <f>AVERAGE(绕后战斗1!CQ51,绕后战斗2!CQ51)</f>
        <v>0</v>
      </c>
      <c r="U40" s="7">
        <f>AVERAGE(绕后战斗1!CR51,绕后战斗2!CR51)</f>
        <v>0</v>
      </c>
      <c r="V40" s="7">
        <f>AVERAGE(正常战斗1!CS51,正常战斗2!CS51,正常战斗3!CS51,绕后战斗1!CS51)</f>
        <v>0</v>
      </c>
      <c r="W40" s="7">
        <f>AVERAGE(正常战斗1!CT51,正常战斗2!CT51,正常战斗3!CT51,绕后战斗1!CT51)</f>
        <v>0</v>
      </c>
      <c r="X40" s="7">
        <f>AVERAGE(正常战斗1!CU51,正常战斗2!CU51,正常战斗3!CU51,绕后战斗1!CU51)</f>
        <v>0</v>
      </c>
      <c r="Y40" s="7">
        <f>AVERAGE(正常战斗1!CV51,正常战斗2!CV51,正常战斗3!CV51,绕后战斗1!CV51)</f>
        <v>0</v>
      </c>
      <c r="Z40" s="7">
        <f>AVERAGE(正常战斗1!CW51,正常战斗2!CW51,绕后战斗1!CW51,绕后战斗2!CW51)</f>
        <v>0</v>
      </c>
      <c r="AA40" s="7">
        <f>AVERAGE(正常战斗1!CX51,正常战斗2!CX51,绕后战斗1!CX51,绕后战斗2!CX51)</f>
        <v>0</v>
      </c>
      <c r="AB40" s="7">
        <f>AVERAGE(正常战斗1!CY51,正常战斗2!CY51,绕后战斗1!CY51,绕后战斗2!CY51)</f>
        <v>0</v>
      </c>
      <c r="AC40" s="7">
        <f>AVERAGE(正常战斗1!CZ51,正常战斗2!CZ51,绕后战斗1!CZ51,绕后战斗2!CZ51)</f>
        <v>0</v>
      </c>
      <c r="AD40" s="7"/>
      <c r="AE40" s="7"/>
      <c r="AU40" s="21"/>
    </row>
    <row r="41" spans="4:47" x14ac:dyDescent="0.15">
      <c r="D41" s="6">
        <v>36</v>
      </c>
      <c r="E41" s="7" t="e">
        <f>AVERAGE((正常战斗1!E52+正常战斗1!AK52)/2,(正常战斗2!E52+正常战斗2!AK52)/2,(正常战斗3!E52+正常战斗3!AK52)/2,(绕后战斗1!E52+绕后战斗1!AK52)/2,(绕后战斗2!E52+绕后战斗2!AK52)/2)/1000</f>
        <v>#VALUE!</v>
      </c>
      <c r="F41" s="7" t="e">
        <f>AVERAGE(绕后战斗1!BE52,(绕后战斗2!Y52+绕后战斗2!BE52)/2)/1000</f>
        <v>#VALUE!</v>
      </c>
      <c r="G41" s="7" t="e">
        <f>AVERAGE((正常战斗1!Y52+正常战斗1!AU52+正常战斗1!BE52)/3,(正常战斗2!Y52+正常战斗2!BE52)/2,(正常战斗3!O52+正常战斗3!Y52+正常战斗3!AU52+正常战斗3!BE52)/4,绕后战斗1!Y52)/1000</f>
        <v>#VALUE!</v>
      </c>
      <c r="H41" s="7" t="e">
        <f>AVERAGE(正常战斗1!O52,(正常战斗2!O52+正常战斗2!AU52)/2,(绕后战斗1!O52+绕后战斗1!AU52)/2,(绕后战斗2!O52+绕后战斗2!AU52)/2)/1000</f>
        <v>#VALUE!</v>
      </c>
      <c r="I41" s="7" t="e">
        <f>AVERAGE(AVERAGE((正常战斗1!J52+正常战斗1!AP52)/2,(正常战斗2!J52+正常战斗2!AP52)/2,(正常战斗3!J52+正常战斗3!AP52)/2,(绕后战斗1!J52+绕后战斗1!AP52)/2,(绕后战斗2!J52+绕后战斗2!AP52)/2),AVERAGE(正常战斗1!T52,(正常战斗2!T52+正常战斗2!AZ52)/2,(绕后战斗1!T52+绕后战斗1!AZ52)/2,(绕后战斗2!T52+绕后战斗2!AZ52)/2))</f>
        <v>#VALUE!</v>
      </c>
      <c r="J41" s="7" t="e">
        <f>AVERAGE(绕后战斗1!BJ52,(绕后战斗2!AD52+绕后战斗2!BJ52)/2)</f>
        <v>#VALUE!</v>
      </c>
      <c r="K41" s="7" t="e">
        <f>AVERAGE((正常战斗1!AD52+正常战斗1!AZ52+正常战斗1!BJ52)/3,(正常战斗2!AD52+正常战斗2!BJ52)/2,(正常战斗3!T52+正常战斗3!AD52+正常战斗3!AZ52+正常战斗3!BJ52)/4,绕后战斗1!AD52)</f>
        <v>#VALUE!</v>
      </c>
      <c r="L41" s="7" t="e">
        <f t="shared" si="0"/>
        <v>#VALUE!</v>
      </c>
      <c r="M41" s="7"/>
      <c r="N41" s="7">
        <f>AVERAGE(正常战斗1!CK52,正常战斗2!CK52,正常战斗3!CK52,绕后战斗1!CK52,绕后战斗2!CK52)</f>
        <v>0</v>
      </c>
      <c r="O41" s="7">
        <f>AVERAGE(正常战斗1!CL52,正常战斗2!CL52,正常战斗3!CL52,绕后战斗1!CL52,绕后战斗2!CL52)</f>
        <v>0</v>
      </c>
      <c r="P41" s="7">
        <f>AVERAGE(正常战斗1!CM52,正常战斗2!CM52,正常战斗3!CM52,绕后战斗1!CM52,绕后战斗2!CM52)</f>
        <v>0</v>
      </c>
      <c r="Q41" s="7">
        <f>AVERAGE(正常战斗1!CN52,正常战斗2!CN52,正常战斗3!CN52,绕后战斗1!CN52,绕后战斗2!CN52)</f>
        <v>0</v>
      </c>
      <c r="R41" s="7">
        <f>AVERAGE(绕后战斗1!CO52,绕后战斗2!CO52)</f>
        <v>0</v>
      </c>
      <c r="S41" s="7">
        <f>AVERAGE(绕后战斗1!CP52,绕后战斗2!CP52)</f>
        <v>0</v>
      </c>
      <c r="T41" s="7">
        <f>AVERAGE(绕后战斗1!CQ52,绕后战斗2!CQ52)</f>
        <v>0</v>
      </c>
      <c r="U41" s="7">
        <f>AVERAGE(绕后战斗1!CR52,绕后战斗2!CR52)</f>
        <v>0</v>
      </c>
      <c r="V41" s="7">
        <f>AVERAGE(正常战斗1!CS52,正常战斗2!CS52,正常战斗3!CS52,绕后战斗1!CS52)</f>
        <v>0</v>
      </c>
      <c r="W41" s="7">
        <f>AVERAGE(正常战斗1!CT52,正常战斗2!CT52,正常战斗3!CT52,绕后战斗1!CT52)</f>
        <v>0</v>
      </c>
      <c r="X41" s="7">
        <f>AVERAGE(正常战斗1!CU52,正常战斗2!CU52,正常战斗3!CU52,绕后战斗1!CU52)</f>
        <v>0</v>
      </c>
      <c r="Y41" s="7">
        <f>AVERAGE(正常战斗1!CV52,正常战斗2!CV52,正常战斗3!CV52,绕后战斗1!CV52)</f>
        <v>0</v>
      </c>
      <c r="Z41" s="7">
        <f>AVERAGE(正常战斗1!CW52,正常战斗2!CW52,绕后战斗1!CW52,绕后战斗2!CW52)</f>
        <v>0</v>
      </c>
      <c r="AA41" s="7">
        <f>AVERAGE(正常战斗1!CX52,正常战斗2!CX52,绕后战斗1!CX52,绕后战斗2!CX52)</f>
        <v>0</v>
      </c>
      <c r="AB41" s="7">
        <f>AVERAGE(正常战斗1!CY52,正常战斗2!CY52,绕后战斗1!CY52,绕后战斗2!CY52)</f>
        <v>0</v>
      </c>
      <c r="AC41" s="7">
        <f>AVERAGE(正常战斗1!CZ52,正常战斗2!CZ52,绕后战斗1!CZ52,绕后战斗2!CZ52)</f>
        <v>0</v>
      </c>
      <c r="AD41" s="7"/>
      <c r="AE41" s="7"/>
      <c r="AU41" s="21"/>
    </row>
    <row r="42" spans="4:47" x14ac:dyDescent="0.15">
      <c r="D42" s="6">
        <v>37</v>
      </c>
      <c r="E42" s="7" t="e">
        <f>AVERAGE((正常战斗1!E53+正常战斗1!AK53)/2,(正常战斗2!E53+正常战斗2!AK53)/2,(正常战斗3!E53+正常战斗3!AK53)/2,(绕后战斗1!E53+绕后战斗1!AK53)/2,(绕后战斗2!E53+绕后战斗2!AK53)/2)/1000</f>
        <v>#VALUE!</v>
      </c>
      <c r="F42" s="7" t="e">
        <f>AVERAGE(绕后战斗1!BE53,(绕后战斗2!Y53+绕后战斗2!BE53)/2)/1000</f>
        <v>#VALUE!</v>
      </c>
      <c r="G42" s="7" t="e">
        <f>AVERAGE((正常战斗1!Y53+正常战斗1!AU53+正常战斗1!BE53)/3,(正常战斗2!Y53+正常战斗2!BE53)/2,(正常战斗3!O53+正常战斗3!Y53+正常战斗3!AU53+正常战斗3!BE53)/4,绕后战斗1!Y53)/1000</f>
        <v>#VALUE!</v>
      </c>
      <c r="H42" s="7" t="e">
        <f>AVERAGE(正常战斗1!O53,(正常战斗2!O53+正常战斗2!AU53)/2,(绕后战斗1!O53+绕后战斗1!AU53)/2,(绕后战斗2!O53+绕后战斗2!AU53)/2)/1000</f>
        <v>#VALUE!</v>
      </c>
      <c r="I42" s="7" t="e">
        <f>AVERAGE(AVERAGE((正常战斗1!J53+正常战斗1!AP53)/2,(正常战斗2!J53+正常战斗2!AP53)/2,(正常战斗3!J53+正常战斗3!AP53)/2,(绕后战斗1!J53+绕后战斗1!AP53)/2,(绕后战斗2!J53+绕后战斗2!AP53)/2),AVERAGE(正常战斗1!T53,(正常战斗2!T53+正常战斗2!AZ53)/2,(绕后战斗1!T53+绕后战斗1!AZ53)/2,(绕后战斗2!T53+绕后战斗2!AZ53)/2))</f>
        <v>#VALUE!</v>
      </c>
      <c r="J42" s="7" t="e">
        <f>AVERAGE(绕后战斗1!BJ53,(绕后战斗2!AD53+绕后战斗2!BJ53)/2)</f>
        <v>#VALUE!</v>
      </c>
      <c r="K42" s="7" t="e">
        <f>AVERAGE((正常战斗1!AD53+正常战斗1!AZ53+正常战斗1!BJ53)/3,(正常战斗2!AD53+正常战斗2!BJ53)/2,(正常战斗3!T53+正常战斗3!AD53+正常战斗3!AZ53+正常战斗3!BJ53)/4,绕后战斗1!AD53)</f>
        <v>#VALUE!</v>
      </c>
      <c r="L42" s="7" t="e">
        <f t="shared" si="0"/>
        <v>#VALUE!</v>
      </c>
      <c r="M42" s="7"/>
      <c r="N42" s="7">
        <f>AVERAGE(正常战斗1!CK53,正常战斗2!CK53,正常战斗3!CK53,绕后战斗1!CK53,绕后战斗2!CK53)</f>
        <v>0</v>
      </c>
      <c r="O42" s="7">
        <f>AVERAGE(正常战斗1!CL53,正常战斗2!CL53,正常战斗3!CL53,绕后战斗1!CL53,绕后战斗2!CL53)</f>
        <v>0</v>
      </c>
      <c r="P42" s="7">
        <f>AVERAGE(正常战斗1!CM53,正常战斗2!CM53,正常战斗3!CM53,绕后战斗1!CM53,绕后战斗2!CM53)</f>
        <v>0</v>
      </c>
      <c r="Q42" s="7">
        <f>AVERAGE(正常战斗1!CN53,正常战斗2!CN53,正常战斗3!CN53,绕后战斗1!CN53,绕后战斗2!CN53)</f>
        <v>0</v>
      </c>
      <c r="R42" s="7">
        <f>AVERAGE(绕后战斗1!CO53,绕后战斗2!CO53)</f>
        <v>0</v>
      </c>
      <c r="S42" s="7">
        <f>AVERAGE(绕后战斗1!CP53,绕后战斗2!CP53)</f>
        <v>0</v>
      </c>
      <c r="T42" s="7">
        <f>AVERAGE(绕后战斗1!CQ53,绕后战斗2!CQ53)</f>
        <v>0</v>
      </c>
      <c r="U42" s="7">
        <f>AVERAGE(绕后战斗1!CR53,绕后战斗2!CR53)</f>
        <v>0</v>
      </c>
      <c r="V42" s="7">
        <f>AVERAGE(正常战斗1!CS53,正常战斗2!CS53,正常战斗3!CS53,绕后战斗1!CS53)</f>
        <v>0</v>
      </c>
      <c r="W42" s="7">
        <f>AVERAGE(正常战斗1!CT53,正常战斗2!CT53,正常战斗3!CT53,绕后战斗1!CT53)</f>
        <v>0</v>
      </c>
      <c r="X42" s="7">
        <f>AVERAGE(正常战斗1!CU53,正常战斗2!CU53,正常战斗3!CU53,绕后战斗1!CU53)</f>
        <v>0</v>
      </c>
      <c r="Y42" s="7">
        <f>AVERAGE(正常战斗1!CV53,正常战斗2!CV53,正常战斗3!CV53,绕后战斗1!CV53)</f>
        <v>0</v>
      </c>
      <c r="Z42" s="7">
        <f>AVERAGE(正常战斗1!CW53,正常战斗2!CW53,绕后战斗1!CW53,绕后战斗2!CW53)</f>
        <v>0</v>
      </c>
      <c r="AA42" s="7">
        <f>AVERAGE(正常战斗1!CX53,正常战斗2!CX53,绕后战斗1!CX53,绕后战斗2!CX53)</f>
        <v>0</v>
      </c>
      <c r="AB42" s="7">
        <f>AVERAGE(正常战斗1!CY53,正常战斗2!CY53,绕后战斗1!CY53,绕后战斗2!CY53)</f>
        <v>0</v>
      </c>
      <c r="AC42" s="7">
        <f>AVERAGE(正常战斗1!CZ53,正常战斗2!CZ53,绕后战斗1!CZ53,绕后战斗2!CZ53)</f>
        <v>0</v>
      </c>
      <c r="AD42" s="7"/>
      <c r="AE42" s="7"/>
      <c r="AU42" s="21"/>
    </row>
    <row r="43" spans="4:47" x14ac:dyDescent="0.15">
      <c r="D43" s="6">
        <v>38</v>
      </c>
      <c r="E43" s="7" t="e">
        <f>AVERAGE((正常战斗1!E54+正常战斗1!AK54)/2,(正常战斗2!E54+正常战斗2!AK54)/2,(正常战斗3!E54+正常战斗3!AK54)/2,(绕后战斗1!E54+绕后战斗1!AK54)/2,(绕后战斗2!E54+绕后战斗2!AK54)/2)/1000</f>
        <v>#VALUE!</v>
      </c>
      <c r="F43" s="7" t="e">
        <f>AVERAGE(绕后战斗1!BE54,(绕后战斗2!Y54+绕后战斗2!BE54)/2)/1000</f>
        <v>#VALUE!</v>
      </c>
      <c r="G43" s="7" t="e">
        <f>AVERAGE((正常战斗1!Y54+正常战斗1!AU54+正常战斗1!BE54)/3,(正常战斗2!Y54+正常战斗2!BE54)/2,(正常战斗3!O54+正常战斗3!Y54+正常战斗3!AU54+正常战斗3!BE54)/4,绕后战斗1!Y54)/1000</f>
        <v>#VALUE!</v>
      </c>
      <c r="H43" s="7" t="e">
        <f>AVERAGE(正常战斗1!O54,(正常战斗2!O54+正常战斗2!AU54)/2,(绕后战斗1!O54+绕后战斗1!AU54)/2,(绕后战斗2!O54+绕后战斗2!AU54)/2)/1000</f>
        <v>#VALUE!</v>
      </c>
      <c r="I43" s="7" t="e">
        <f>AVERAGE(AVERAGE((正常战斗1!J54+正常战斗1!AP54)/2,(正常战斗2!J54+正常战斗2!AP54)/2,(正常战斗3!J54+正常战斗3!AP54)/2,(绕后战斗1!J54+绕后战斗1!AP54)/2,(绕后战斗2!J54+绕后战斗2!AP54)/2),AVERAGE(正常战斗1!T54,(正常战斗2!T54+正常战斗2!AZ54)/2,(绕后战斗1!T54+绕后战斗1!AZ54)/2,(绕后战斗2!T54+绕后战斗2!AZ54)/2))</f>
        <v>#VALUE!</v>
      </c>
      <c r="J43" s="7" t="e">
        <f>AVERAGE(绕后战斗1!BJ54,(绕后战斗2!AD54+绕后战斗2!BJ54)/2)</f>
        <v>#VALUE!</v>
      </c>
      <c r="K43" s="7" t="e">
        <f>AVERAGE((正常战斗1!AD54+正常战斗1!AZ54+正常战斗1!BJ54)/3,(正常战斗2!AD54+正常战斗2!BJ54)/2,(正常战斗3!T54+正常战斗3!AD54+正常战斗3!AZ54+正常战斗3!BJ54)/4,绕后战斗1!AD54)</f>
        <v>#VALUE!</v>
      </c>
      <c r="L43" s="7" t="e">
        <f t="shared" si="0"/>
        <v>#VALUE!</v>
      </c>
      <c r="M43" s="7"/>
      <c r="N43" s="7">
        <f>AVERAGE(正常战斗1!CK54,正常战斗2!CK54,正常战斗3!CK54,绕后战斗1!CK54,绕后战斗2!CK54)</f>
        <v>0</v>
      </c>
      <c r="O43" s="7">
        <f>AVERAGE(正常战斗1!CL54,正常战斗2!CL54,正常战斗3!CL54,绕后战斗1!CL54,绕后战斗2!CL54)</f>
        <v>0</v>
      </c>
      <c r="P43" s="7">
        <f>AVERAGE(正常战斗1!CM54,正常战斗2!CM54,正常战斗3!CM54,绕后战斗1!CM54,绕后战斗2!CM54)</f>
        <v>0</v>
      </c>
      <c r="Q43" s="7">
        <f>AVERAGE(正常战斗1!CN54,正常战斗2!CN54,正常战斗3!CN54,绕后战斗1!CN54,绕后战斗2!CN54)</f>
        <v>0</v>
      </c>
      <c r="R43" s="7">
        <f>AVERAGE(绕后战斗1!CO54,绕后战斗2!CO54)</f>
        <v>0</v>
      </c>
      <c r="S43" s="7">
        <f>AVERAGE(绕后战斗1!CP54,绕后战斗2!CP54)</f>
        <v>0</v>
      </c>
      <c r="T43" s="7">
        <f>AVERAGE(绕后战斗1!CQ54,绕后战斗2!CQ54)</f>
        <v>0</v>
      </c>
      <c r="U43" s="7">
        <f>AVERAGE(绕后战斗1!CR54,绕后战斗2!CR54)</f>
        <v>0</v>
      </c>
      <c r="V43" s="7">
        <f>AVERAGE(正常战斗1!CS54,正常战斗2!CS54,正常战斗3!CS54,绕后战斗1!CS54)</f>
        <v>0</v>
      </c>
      <c r="W43" s="7">
        <f>AVERAGE(正常战斗1!CT54,正常战斗2!CT54,正常战斗3!CT54,绕后战斗1!CT54)</f>
        <v>0</v>
      </c>
      <c r="X43" s="7">
        <f>AVERAGE(正常战斗1!CU54,正常战斗2!CU54,正常战斗3!CU54,绕后战斗1!CU54)</f>
        <v>0</v>
      </c>
      <c r="Y43" s="7">
        <f>AVERAGE(正常战斗1!CV54,正常战斗2!CV54,正常战斗3!CV54,绕后战斗1!CV54)</f>
        <v>0</v>
      </c>
      <c r="Z43" s="7">
        <f>AVERAGE(正常战斗1!CW54,正常战斗2!CW54,绕后战斗1!CW54,绕后战斗2!CW54)</f>
        <v>0</v>
      </c>
      <c r="AA43" s="7">
        <f>AVERAGE(正常战斗1!CX54,正常战斗2!CX54,绕后战斗1!CX54,绕后战斗2!CX54)</f>
        <v>0</v>
      </c>
      <c r="AB43" s="7">
        <f>AVERAGE(正常战斗1!CY54,正常战斗2!CY54,绕后战斗1!CY54,绕后战斗2!CY54)</f>
        <v>0</v>
      </c>
      <c r="AC43" s="7">
        <f>AVERAGE(正常战斗1!CZ54,正常战斗2!CZ54,绕后战斗1!CZ54,绕后战斗2!CZ54)</f>
        <v>0</v>
      </c>
      <c r="AD43" s="7"/>
      <c r="AE43" s="7"/>
      <c r="AU43" s="21"/>
    </row>
    <row r="44" spans="4:47" x14ac:dyDescent="0.15">
      <c r="D44" s="6">
        <v>39</v>
      </c>
      <c r="E44" s="7" t="e">
        <f>AVERAGE((正常战斗1!E55+正常战斗1!AK55)/2,(正常战斗2!E55+正常战斗2!AK55)/2,(正常战斗3!E55+正常战斗3!AK55)/2,(绕后战斗1!E55+绕后战斗1!AK55)/2,(绕后战斗2!E55+绕后战斗2!AK55)/2)/1000</f>
        <v>#VALUE!</v>
      </c>
      <c r="F44" s="7" t="e">
        <f>AVERAGE(绕后战斗1!BE55,(绕后战斗2!Y55+绕后战斗2!BE55)/2)/1000</f>
        <v>#VALUE!</v>
      </c>
      <c r="G44" s="7" t="e">
        <f>AVERAGE((正常战斗1!Y55+正常战斗1!AU55+正常战斗1!BE55)/3,(正常战斗2!Y55+正常战斗2!BE55)/2,(正常战斗3!O55+正常战斗3!Y55+正常战斗3!AU55+正常战斗3!BE55)/4,绕后战斗1!Y55)/1000</f>
        <v>#VALUE!</v>
      </c>
      <c r="H44" s="7" t="e">
        <f>AVERAGE(正常战斗1!O55,(正常战斗2!O55+正常战斗2!AU55)/2,(绕后战斗1!O55+绕后战斗1!AU55)/2,(绕后战斗2!O55+绕后战斗2!AU55)/2)/1000</f>
        <v>#VALUE!</v>
      </c>
      <c r="I44" s="7" t="e">
        <f>AVERAGE(AVERAGE((正常战斗1!J55+正常战斗1!AP55)/2,(正常战斗2!J55+正常战斗2!AP55)/2,(正常战斗3!J55+正常战斗3!AP55)/2,(绕后战斗1!J55+绕后战斗1!AP55)/2,(绕后战斗2!J55+绕后战斗2!AP55)/2),AVERAGE(正常战斗1!T55,(正常战斗2!T55+正常战斗2!AZ55)/2,(绕后战斗1!T55+绕后战斗1!AZ55)/2,(绕后战斗2!T55+绕后战斗2!AZ55)/2))</f>
        <v>#VALUE!</v>
      </c>
      <c r="J44" s="7" t="e">
        <f>AVERAGE(绕后战斗1!BJ55,(绕后战斗2!AD55+绕后战斗2!BJ55)/2)</f>
        <v>#VALUE!</v>
      </c>
      <c r="K44" s="7" t="e">
        <f>AVERAGE((正常战斗1!AD55+正常战斗1!AZ55+正常战斗1!BJ55)/3,(正常战斗2!AD55+正常战斗2!BJ55)/2,(正常战斗3!T55+正常战斗3!AD55+正常战斗3!AZ55+正常战斗3!BJ55)/4,绕后战斗1!AD55)</f>
        <v>#VALUE!</v>
      </c>
      <c r="L44" s="7" t="e">
        <f t="shared" si="0"/>
        <v>#VALUE!</v>
      </c>
      <c r="M44" s="7"/>
      <c r="N44" s="7">
        <f>AVERAGE(正常战斗1!CK55,正常战斗2!CK55,正常战斗3!CK55,绕后战斗1!CK55,绕后战斗2!CK55)</f>
        <v>0</v>
      </c>
      <c r="O44" s="7">
        <f>AVERAGE(正常战斗1!CL55,正常战斗2!CL55,正常战斗3!CL55,绕后战斗1!CL55,绕后战斗2!CL55)</f>
        <v>0</v>
      </c>
      <c r="P44" s="7">
        <f>AVERAGE(正常战斗1!CM55,正常战斗2!CM55,正常战斗3!CM55,绕后战斗1!CM55,绕后战斗2!CM55)</f>
        <v>0</v>
      </c>
      <c r="Q44" s="7">
        <f>AVERAGE(正常战斗1!CN55,正常战斗2!CN55,正常战斗3!CN55,绕后战斗1!CN55,绕后战斗2!CN55)</f>
        <v>0</v>
      </c>
      <c r="R44" s="7">
        <f>AVERAGE(绕后战斗1!CO55,绕后战斗2!CO55)</f>
        <v>0</v>
      </c>
      <c r="S44" s="7">
        <f>AVERAGE(绕后战斗1!CP55,绕后战斗2!CP55)</f>
        <v>0</v>
      </c>
      <c r="T44" s="7">
        <f>AVERAGE(绕后战斗1!CQ55,绕后战斗2!CQ55)</f>
        <v>0</v>
      </c>
      <c r="U44" s="7">
        <f>AVERAGE(绕后战斗1!CR55,绕后战斗2!CR55)</f>
        <v>0</v>
      </c>
      <c r="V44" s="7">
        <f>AVERAGE(正常战斗1!CS55,正常战斗2!CS55,正常战斗3!CS55,绕后战斗1!CS55)</f>
        <v>0</v>
      </c>
      <c r="W44" s="7">
        <f>AVERAGE(正常战斗1!CT55,正常战斗2!CT55,正常战斗3!CT55,绕后战斗1!CT55)</f>
        <v>0</v>
      </c>
      <c r="X44" s="7">
        <f>AVERAGE(正常战斗1!CU55,正常战斗2!CU55,正常战斗3!CU55,绕后战斗1!CU55)</f>
        <v>0</v>
      </c>
      <c r="Y44" s="7">
        <f>AVERAGE(正常战斗1!CV55,正常战斗2!CV55,正常战斗3!CV55,绕后战斗1!CV55)</f>
        <v>0</v>
      </c>
      <c r="Z44" s="7">
        <f>AVERAGE(正常战斗1!CW55,正常战斗2!CW55,绕后战斗1!CW55,绕后战斗2!CW55)</f>
        <v>0</v>
      </c>
      <c r="AA44" s="7">
        <f>AVERAGE(正常战斗1!CX55,正常战斗2!CX55,绕后战斗1!CX55,绕后战斗2!CX55)</f>
        <v>0</v>
      </c>
      <c r="AB44" s="7">
        <f>AVERAGE(正常战斗1!CY55,正常战斗2!CY55,绕后战斗1!CY55,绕后战斗2!CY55)</f>
        <v>0</v>
      </c>
      <c r="AC44" s="7">
        <f>AVERAGE(正常战斗1!CZ55,正常战斗2!CZ55,绕后战斗1!CZ55,绕后战斗2!CZ55)</f>
        <v>0</v>
      </c>
      <c r="AD44" s="7"/>
      <c r="AE44" s="7"/>
      <c r="AU44" s="21"/>
    </row>
    <row r="45" spans="4:47" x14ac:dyDescent="0.15">
      <c r="D45" s="6">
        <v>40</v>
      </c>
      <c r="E45" s="7" t="e">
        <f>AVERAGE((正常战斗1!E56+正常战斗1!AK56)/2,(正常战斗2!E56+正常战斗2!AK56)/2,(正常战斗3!E56+正常战斗3!AK56)/2,(绕后战斗1!E56+绕后战斗1!AK56)/2,(绕后战斗2!E56+绕后战斗2!AK56)/2)/1000</f>
        <v>#VALUE!</v>
      </c>
      <c r="F45" s="7" t="e">
        <f>AVERAGE(绕后战斗1!BE56,(绕后战斗2!Y56+绕后战斗2!BE56)/2)/1000</f>
        <v>#VALUE!</v>
      </c>
      <c r="G45" s="7" t="e">
        <f>AVERAGE((正常战斗1!Y56+正常战斗1!AU56+正常战斗1!BE56)/3,(正常战斗2!Y56+正常战斗2!BE56)/2,(正常战斗3!O56+正常战斗3!Y56+正常战斗3!AU56+正常战斗3!BE56)/4,绕后战斗1!Y56)/1000</f>
        <v>#VALUE!</v>
      </c>
      <c r="H45" s="7" t="e">
        <f>AVERAGE(正常战斗1!O56,(正常战斗2!O56+正常战斗2!AU56)/2,(绕后战斗1!O56+绕后战斗1!AU56)/2,(绕后战斗2!O56+绕后战斗2!AU56)/2)/1000</f>
        <v>#VALUE!</v>
      </c>
      <c r="I45" s="7" t="e">
        <f>AVERAGE(AVERAGE((正常战斗1!J56+正常战斗1!AP56)/2,(正常战斗2!J56+正常战斗2!AP56)/2,(正常战斗3!J56+正常战斗3!AP56)/2,(绕后战斗1!J56+绕后战斗1!AP56)/2,(绕后战斗2!J56+绕后战斗2!AP56)/2),AVERAGE(正常战斗1!T56,(正常战斗2!T56+正常战斗2!AZ56)/2,(绕后战斗1!T56+绕后战斗1!AZ56)/2,(绕后战斗2!T56+绕后战斗2!AZ56)/2))</f>
        <v>#VALUE!</v>
      </c>
      <c r="J45" s="7" t="e">
        <f>AVERAGE(绕后战斗1!BJ56,(绕后战斗2!AD56+绕后战斗2!BJ56)/2)</f>
        <v>#VALUE!</v>
      </c>
      <c r="K45" s="7" t="e">
        <f>AVERAGE((正常战斗1!AD56+正常战斗1!AZ56+正常战斗1!BJ56)/3,(正常战斗2!AD56+正常战斗2!BJ56)/2,(正常战斗3!T56+正常战斗3!AD56+正常战斗3!AZ56+正常战斗3!BJ56)/4,绕后战斗1!AD56)</f>
        <v>#VALUE!</v>
      </c>
      <c r="L45" s="7" t="e">
        <f t="shared" si="0"/>
        <v>#VALUE!</v>
      </c>
      <c r="M45" s="7"/>
      <c r="N45" s="7">
        <f>AVERAGE(正常战斗1!CK56,正常战斗2!CK56,正常战斗3!CK56,绕后战斗1!CK56,绕后战斗2!CK56)</f>
        <v>0</v>
      </c>
      <c r="O45" s="7">
        <f>AVERAGE(正常战斗1!CL56,正常战斗2!CL56,正常战斗3!CL56,绕后战斗1!CL56,绕后战斗2!CL56)</f>
        <v>0</v>
      </c>
      <c r="P45" s="7">
        <f>AVERAGE(正常战斗1!CM56,正常战斗2!CM56,正常战斗3!CM56,绕后战斗1!CM56,绕后战斗2!CM56)</f>
        <v>0</v>
      </c>
      <c r="Q45" s="7">
        <f>AVERAGE(正常战斗1!CN56,正常战斗2!CN56,正常战斗3!CN56,绕后战斗1!CN56,绕后战斗2!CN56)</f>
        <v>0</v>
      </c>
      <c r="R45" s="7">
        <f>AVERAGE(绕后战斗1!CO56,绕后战斗2!CO56)</f>
        <v>0</v>
      </c>
      <c r="S45" s="7">
        <f>AVERAGE(绕后战斗1!CP56,绕后战斗2!CP56)</f>
        <v>0</v>
      </c>
      <c r="T45" s="7">
        <f>AVERAGE(绕后战斗1!CQ56,绕后战斗2!CQ56)</f>
        <v>0</v>
      </c>
      <c r="U45" s="7">
        <f>AVERAGE(绕后战斗1!CR56,绕后战斗2!CR56)</f>
        <v>0</v>
      </c>
      <c r="V45" s="7">
        <f>AVERAGE(正常战斗1!CS56,正常战斗2!CS56,正常战斗3!CS56,绕后战斗1!CS56)</f>
        <v>0</v>
      </c>
      <c r="W45" s="7">
        <f>AVERAGE(正常战斗1!CT56,正常战斗2!CT56,正常战斗3!CT56,绕后战斗1!CT56)</f>
        <v>0</v>
      </c>
      <c r="X45" s="7">
        <f>AVERAGE(正常战斗1!CU56,正常战斗2!CU56,正常战斗3!CU56,绕后战斗1!CU56)</f>
        <v>0</v>
      </c>
      <c r="Y45" s="7">
        <f>AVERAGE(正常战斗1!CV56,正常战斗2!CV56,正常战斗3!CV56,绕后战斗1!CV56)</f>
        <v>0</v>
      </c>
      <c r="Z45" s="7">
        <f>AVERAGE(正常战斗1!CW56,正常战斗2!CW56,绕后战斗1!CW56,绕后战斗2!CW56)</f>
        <v>0</v>
      </c>
      <c r="AA45" s="7">
        <f>AVERAGE(正常战斗1!CX56,正常战斗2!CX56,绕后战斗1!CX56,绕后战斗2!CX56)</f>
        <v>0</v>
      </c>
      <c r="AB45" s="7">
        <f>AVERAGE(正常战斗1!CY56,正常战斗2!CY56,绕后战斗1!CY56,绕后战斗2!CY56)</f>
        <v>0</v>
      </c>
      <c r="AC45" s="7">
        <f>AVERAGE(正常战斗1!CZ56,正常战斗2!CZ56,绕后战斗1!CZ56,绕后战斗2!CZ56)</f>
        <v>0</v>
      </c>
      <c r="AD45" s="7"/>
      <c r="AE45" s="7"/>
      <c r="AU45" s="21"/>
    </row>
    <row r="46" spans="4:47" x14ac:dyDescent="0.15">
      <c r="D46" s="6">
        <v>41</v>
      </c>
      <c r="E46" s="7" t="e">
        <f>AVERAGE((正常战斗1!E57+正常战斗1!AK57)/2,(正常战斗2!E57+正常战斗2!AK57)/2,(正常战斗3!E57+正常战斗3!AK57)/2,(绕后战斗1!E57+绕后战斗1!AK57)/2,(绕后战斗2!E57+绕后战斗2!AK57)/2)/1000</f>
        <v>#VALUE!</v>
      </c>
      <c r="F46" s="7" t="e">
        <f>AVERAGE(绕后战斗1!BE57,(绕后战斗2!Y57+绕后战斗2!BE57)/2)/1000</f>
        <v>#VALUE!</v>
      </c>
      <c r="G46" s="7" t="e">
        <f>AVERAGE((正常战斗1!Y57+正常战斗1!AU57+正常战斗1!BE57)/3,(正常战斗2!Y57+正常战斗2!BE57)/2,(正常战斗3!O57+正常战斗3!Y57+正常战斗3!AU57+正常战斗3!BE57)/4,绕后战斗1!Y57)/1000</f>
        <v>#VALUE!</v>
      </c>
      <c r="H46" s="7" t="e">
        <f>AVERAGE(正常战斗1!O57,(正常战斗2!O57+正常战斗2!AU57)/2,(绕后战斗1!O57+绕后战斗1!AU57)/2,(绕后战斗2!O57+绕后战斗2!AU57)/2)/1000</f>
        <v>#VALUE!</v>
      </c>
      <c r="I46" s="7" t="e">
        <f>AVERAGE(AVERAGE((正常战斗1!J57+正常战斗1!AP57)/2,(正常战斗2!J57+正常战斗2!AP57)/2,(正常战斗3!J57+正常战斗3!AP57)/2,(绕后战斗1!J57+绕后战斗1!AP57)/2,(绕后战斗2!J57+绕后战斗2!AP57)/2),AVERAGE(正常战斗1!T57,(正常战斗2!T57+正常战斗2!AZ57)/2,(绕后战斗1!T57+绕后战斗1!AZ57)/2,(绕后战斗2!T57+绕后战斗2!AZ57)/2))</f>
        <v>#VALUE!</v>
      </c>
      <c r="J46" s="7" t="e">
        <f>AVERAGE(绕后战斗1!BJ57,(绕后战斗2!AD57+绕后战斗2!BJ57)/2)</f>
        <v>#VALUE!</v>
      </c>
      <c r="K46" s="7" t="e">
        <f>AVERAGE((正常战斗1!AD57+正常战斗1!AZ57+正常战斗1!BJ57)/3,(正常战斗2!AD57+正常战斗2!BJ57)/2,(正常战斗3!T57+正常战斗3!AD57+正常战斗3!AZ57+正常战斗3!BJ57)/4,绕后战斗1!AD57)</f>
        <v>#VALUE!</v>
      </c>
      <c r="L46" s="7" t="e">
        <f t="shared" si="0"/>
        <v>#VALUE!</v>
      </c>
      <c r="M46" s="7"/>
      <c r="N46" s="7">
        <f>AVERAGE(正常战斗1!CK57,正常战斗2!CK57,正常战斗3!CK57,绕后战斗1!CK57,绕后战斗2!CK57)</f>
        <v>0</v>
      </c>
      <c r="O46" s="7">
        <f>AVERAGE(正常战斗1!CL57,正常战斗2!CL57,正常战斗3!CL57,绕后战斗1!CL57,绕后战斗2!CL57)</f>
        <v>0</v>
      </c>
      <c r="P46" s="7">
        <f>AVERAGE(正常战斗1!CM57,正常战斗2!CM57,正常战斗3!CM57,绕后战斗1!CM57,绕后战斗2!CM57)</f>
        <v>0</v>
      </c>
      <c r="Q46" s="7">
        <f>AVERAGE(正常战斗1!CN57,正常战斗2!CN57,正常战斗3!CN57,绕后战斗1!CN57,绕后战斗2!CN57)</f>
        <v>0</v>
      </c>
      <c r="R46" s="7">
        <f>AVERAGE(绕后战斗1!CO57,绕后战斗2!CO57)</f>
        <v>0</v>
      </c>
      <c r="S46" s="7">
        <f>AVERAGE(绕后战斗1!CP57,绕后战斗2!CP57)</f>
        <v>0</v>
      </c>
      <c r="T46" s="7">
        <f>AVERAGE(绕后战斗1!CQ57,绕后战斗2!CQ57)</f>
        <v>0</v>
      </c>
      <c r="U46" s="7">
        <f>AVERAGE(绕后战斗1!CR57,绕后战斗2!CR57)</f>
        <v>0</v>
      </c>
      <c r="V46" s="7">
        <f>AVERAGE(正常战斗1!CS57,正常战斗2!CS57,正常战斗3!CS57,绕后战斗1!CS57)</f>
        <v>0</v>
      </c>
      <c r="W46" s="7">
        <f>AVERAGE(正常战斗1!CT57,正常战斗2!CT57,正常战斗3!CT57,绕后战斗1!CT57)</f>
        <v>0</v>
      </c>
      <c r="X46" s="7">
        <f>AVERAGE(正常战斗1!CU57,正常战斗2!CU57,正常战斗3!CU57,绕后战斗1!CU57)</f>
        <v>0</v>
      </c>
      <c r="Y46" s="7">
        <f>AVERAGE(正常战斗1!CV57,正常战斗2!CV57,正常战斗3!CV57,绕后战斗1!CV57)</f>
        <v>0</v>
      </c>
      <c r="Z46" s="7">
        <f>AVERAGE(正常战斗1!CW57,正常战斗2!CW57,绕后战斗1!CW57,绕后战斗2!CW57)</f>
        <v>0</v>
      </c>
      <c r="AA46" s="7">
        <f>AVERAGE(正常战斗1!CX57,正常战斗2!CX57,绕后战斗1!CX57,绕后战斗2!CX57)</f>
        <v>0</v>
      </c>
      <c r="AB46" s="7">
        <f>AVERAGE(正常战斗1!CY57,正常战斗2!CY57,绕后战斗1!CY57,绕后战斗2!CY57)</f>
        <v>0</v>
      </c>
      <c r="AC46" s="7">
        <f>AVERAGE(正常战斗1!CZ57,正常战斗2!CZ57,绕后战斗1!CZ57,绕后战斗2!CZ57)</f>
        <v>0</v>
      </c>
      <c r="AD46" s="7"/>
      <c r="AE46" s="7"/>
      <c r="AU46" s="21"/>
    </row>
    <row r="47" spans="4:47" x14ac:dyDescent="0.15">
      <c r="D47" s="6">
        <v>42</v>
      </c>
      <c r="E47" s="7" t="e">
        <f>AVERAGE((正常战斗1!E58+正常战斗1!AK58)/2,(正常战斗2!E58+正常战斗2!AK58)/2,(正常战斗3!E58+正常战斗3!AK58)/2,(绕后战斗1!E58+绕后战斗1!AK58)/2,(绕后战斗2!E58+绕后战斗2!AK58)/2)/1000</f>
        <v>#VALUE!</v>
      </c>
      <c r="F47" s="7" t="e">
        <f>AVERAGE(绕后战斗1!BE58,(绕后战斗2!Y58+绕后战斗2!BE58)/2)/1000</f>
        <v>#VALUE!</v>
      </c>
      <c r="G47" s="7" t="e">
        <f>AVERAGE((正常战斗1!Y58+正常战斗1!AU58+正常战斗1!BE58)/3,(正常战斗2!Y58+正常战斗2!BE58)/2,(正常战斗3!O58+正常战斗3!Y58+正常战斗3!AU58+正常战斗3!BE58)/4,绕后战斗1!Y58)/1000</f>
        <v>#VALUE!</v>
      </c>
      <c r="H47" s="7" t="e">
        <f>AVERAGE(正常战斗1!O58,(正常战斗2!O58+正常战斗2!AU58)/2,(绕后战斗1!O58+绕后战斗1!AU58)/2,(绕后战斗2!O58+绕后战斗2!AU58)/2)/1000</f>
        <v>#VALUE!</v>
      </c>
      <c r="I47" s="7" t="e">
        <f>AVERAGE(AVERAGE((正常战斗1!J58+正常战斗1!AP58)/2,(正常战斗2!J58+正常战斗2!AP58)/2,(正常战斗3!J58+正常战斗3!AP58)/2,(绕后战斗1!J58+绕后战斗1!AP58)/2,(绕后战斗2!J58+绕后战斗2!AP58)/2),AVERAGE(正常战斗1!T58,(正常战斗2!T58+正常战斗2!AZ58)/2,(绕后战斗1!T58+绕后战斗1!AZ58)/2,(绕后战斗2!T58+绕后战斗2!AZ58)/2))</f>
        <v>#VALUE!</v>
      </c>
      <c r="J47" s="7" t="e">
        <f>AVERAGE(绕后战斗1!BJ58,(绕后战斗2!AD58+绕后战斗2!BJ58)/2)</f>
        <v>#VALUE!</v>
      </c>
      <c r="K47" s="7" t="e">
        <f>AVERAGE((正常战斗1!AD58+正常战斗1!AZ58+正常战斗1!BJ58)/3,(正常战斗2!AD58+正常战斗2!BJ58)/2,(正常战斗3!T58+正常战斗3!AD58+正常战斗3!AZ58+正常战斗3!BJ58)/4,绕后战斗1!AD58)</f>
        <v>#VALUE!</v>
      </c>
      <c r="L47" s="7" t="e">
        <f t="shared" si="0"/>
        <v>#VALUE!</v>
      </c>
      <c r="M47" s="7"/>
      <c r="N47" s="7">
        <f>AVERAGE(正常战斗1!CK58,正常战斗2!CK58,正常战斗3!CK58,绕后战斗1!CK58,绕后战斗2!CK58)</f>
        <v>0</v>
      </c>
      <c r="O47" s="7">
        <f>AVERAGE(正常战斗1!CL58,正常战斗2!CL58,正常战斗3!CL58,绕后战斗1!CL58,绕后战斗2!CL58)</f>
        <v>0</v>
      </c>
      <c r="P47" s="7">
        <f>AVERAGE(正常战斗1!CM58,正常战斗2!CM58,正常战斗3!CM58,绕后战斗1!CM58,绕后战斗2!CM58)</f>
        <v>0</v>
      </c>
      <c r="Q47" s="7">
        <f>AVERAGE(正常战斗1!CN58,正常战斗2!CN58,正常战斗3!CN58,绕后战斗1!CN58,绕后战斗2!CN58)</f>
        <v>0</v>
      </c>
      <c r="R47" s="7">
        <f>AVERAGE(绕后战斗1!CO58,绕后战斗2!CO58)</f>
        <v>0</v>
      </c>
      <c r="S47" s="7">
        <f>AVERAGE(绕后战斗1!CP58,绕后战斗2!CP58)</f>
        <v>0</v>
      </c>
      <c r="T47" s="7">
        <f>AVERAGE(绕后战斗1!CQ58,绕后战斗2!CQ58)</f>
        <v>0</v>
      </c>
      <c r="U47" s="7">
        <f>AVERAGE(绕后战斗1!CR58,绕后战斗2!CR58)</f>
        <v>0</v>
      </c>
      <c r="V47" s="7">
        <f>AVERAGE(正常战斗1!CS58,正常战斗2!CS58,正常战斗3!CS58,绕后战斗1!CS58)</f>
        <v>0</v>
      </c>
      <c r="W47" s="7">
        <f>AVERAGE(正常战斗1!CT58,正常战斗2!CT58,正常战斗3!CT58,绕后战斗1!CT58)</f>
        <v>0</v>
      </c>
      <c r="X47" s="7">
        <f>AVERAGE(正常战斗1!CU58,正常战斗2!CU58,正常战斗3!CU58,绕后战斗1!CU58)</f>
        <v>0</v>
      </c>
      <c r="Y47" s="7">
        <f>AVERAGE(正常战斗1!CV58,正常战斗2!CV58,正常战斗3!CV58,绕后战斗1!CV58)</f>
        <v>0</v>
      </c>
      <c r="Z47" s="7">
        <f>AVERAGE(正常战斗1!CW58,正常战斗2!CW58,绕后战斗1!CW58,绕后战斗2!CW58)</f>
        <v>0</v>
      </c>
      <c r="AA47" s="7">
        <f>AVERAGE(正常战斗1!CX58,正常战斗2!CX58,绕后战斗1!CX58,绕后战斗2!CX58)</f>
        <v>0</v>
      </c>
      <c r="AB47" s="7">
        <f>AVERAGE(正常战斗1!CY58,正常战斗2!CY58,绕后战斗1!CY58,绕后战斗2!CY58)</f>
        <v>0</v>
      </c>
      <c r="AC47" s="7">
        <f>AVERAGE(正常战斗1!CZ58,正常战斗2!CZ58,绕后战斗1!CZ58,绕后战斗2!CZ58)</f>
        <v>0</v>
      </c>
      <c r="AD47" s="7"/>
      <c r="AE47" s="7"/>
      <c r="AU47" s="21"/>
    </row>
    <row r="48" spans="4:47" x14ac:dyDescent="0.15">
      <c r="D48" s="6">
        <v>43</v>
      </c>
      <c r="E48" s="7" t="e">
        <f>AVERAGE((正常战斗1!E59+正常战斗1!AK59)/2,(正常战斗2!E59+正常战斗2!AK59)/2,(正常战斗3!E59+正常战斗3!AK59)/2,(绕后战斗1!E59+绕后战斗1!AK59)/2,(绕后战斗2!E59+绕后战斗2!AK59)/2)/1000</f>
        <v>#VALUE!</v>
      </c>
      <c r="F48" s="7" t="e">
        <f>AVERAGE(绕后战斗1!BE59,(绕后战斗2!Y59+绕后战斗2!BE59)/2)/1000</f>
        <v>#VALUE!</v>
      </c>
      <c r="G48" s="7" t="e">
        <f>AVERAGE((正常战斗1!Y59+正常战斗1!AU59+正常战斗1!BE59)/3,(正常战斗2!Y59+正常战斗2!BE59)/2,(正常战斗3!O59+正常战斗3!Y59+正常战斗3!AU59+正常战斗3!BE59)/4,绕后战斗1!Y59)/1000</f>
        <v>#VALUE!</v>
      </c>
      <c r="H48" s="7" t="e">
        <f>AVERAGE(正常战斗1!O59,(正常战斗2!O59+正常战斗2!AU59)/2,(绕后战斗1!O59+绕后战斗1!AU59)/2,(绕后战斗2!O59+绕后战斗2!AU59)/2)/1000</f>
        <v>#VALUE!</v>
      </c>
      <c r="I48" s="7" t="e">
        <f>AVERAGE(AVERAGE((正常战斗1!J59+正常战斗1!AP59)/2,(正常战斗2!J59+正常战斗2!AP59)/2,(正常战斗3!J59+正常战斗3!AP59)/2,(绕后战斗1!J59+绕后战斗1!AP59)/2,(绕后战斗2!J59+绕后战斗2!AP59)/2),AVERAGE(正常战斗1!T59,(正常战斗2!T59+正常战斗2!AZ59)/2,(绕后战斗1!T59+绕后战斗1!AZ59)/2,(绕后战斗2!T59+绕后战斗2!AZ59)/2))</f>
        <v>#VALUE!</v>
      </c>
      <c r="J48" s="7" t="e">
        <f>AVERAGE(绕后战斗1!BJ59,(绕后战斗2!AD59+绕后战斗2!BJ59)/2)</f>
        <v>#VALUE!</v>
      </c>
      <c r="K48" s="7" t="e">
        <f>AVERAGE((正常战斗1!AD59+正常战斗1!AZ59+正常战斗1!BJ59)/3,(正常战斗2!AD59+正常战斗2!BJ59)/2,(正常战斗3!T59+正常战斗3!AD59+正常战斗3!AZ59+正常战斗3!BJ59)/4,绕后战斗1!AD59)</f>
        <v>#VALUE!</v>
      </c>
      <c r="L48" s="7" t="e">
        <f t="shared" si="0"/>
        <v>#VALUE!</v>
      </c>
      <c r="M48" s="7"/>
      <c r="N48" s="7">
        <f>AVERAGE(正常战斗1!CK59,正常战斗2!CK59,正常战斗3!CK59,绕后战斗1!CK59,绕后战斗2!CK59)</f>
        <v>0</v>
      </c>
      <c r="O48" s="7">
        <f>AVERAGE(正常战斗1!CL59,正常战斗2!CL59,正常战斗3!CL59,绕后战斗1!CL59,绕后战斗2!CL59)</f>
        <v>0</v>
      </c>
      <c r="P48" s="7">
        <f>AVERAGE(正常战斗1!CM59,正常战斗2!CM59,正常战斗3!CM59,绕后战斗1!CM59,绕后战斗2!CM59)</f>
        <v>0</v>
      </c>
      <c r="Q48" s="7">
        <f>AVERAGE(正常战斗1!CN59,正常战斗2!CN59,正常战斗3!CN59,绕后战斗1!CN59,绕后战斗2!CN59)</f>
        <v>0</v>
      </c>
      <c r="R48" s="7">
        <f>AVERAGE(绕后战斗1!CO59,绕后战斗2!CO59)</f>
        <v>0</v>
      </c>
      <c r="S48" s="7">
        <f>AVERAGE(绕后战斗1!CP59,绕后战斗2!CP59)</f>
        <v>0</v>
      </c>
      <c r="T48" s="7">
        <f>AVERAGE(绕后战斗1!CQ59,绕后战斗2!CQ59)</f>
        <v>0</v>
      </c>
      <c r="U48" s="7">
        <f>AVERAGE(绕后战斗1!CR59,绕后战斗2!CR59)</f>
        <v>0</v>
      </c>
      <c r="V48" s="7">
        <f>AVERAGE(正常战斗1!CS59,正常战斗2!CS59,正常战斗3!CS59,绕后战斗1!CS59)</f>
        <v>0</v>
      </c>
      <c r="W48" s="7">
        <f>AVERAGE(正常战斗1!CT59,正常战斗2!CT59,正常战斗3!CT59,绕后战斗1!CT59)</f>
        <v>0</v>
      </c>
      <c r="X48" s="7">
        <f>AVERAGE(正常战斗1!CU59,正常战斗2!CU59,正常战斗3!CU59,绕后战斗1!CU59)</f>
        <v>0</v>
      </c>
      <c r="Y48" s="7">
        <f>AVERAGE(正常战斗1!CV59,正常战斗2!CV59,正常战斗3!CV59,绕后战斗1!CV59)</f>
        <v>0</v>
      </c>
      <c r="Z48" s="7">
        <f>AVERAGE(正常战斗1!CW59,正常战斗2!CW59,绕后战斗1!CW59,绕后战斗2!CW59)</f>
        <v>0</v>
      </c>
      <c r="AA48" s="7">
        <f>AVERAGE(正常战斗1!CX59,正常战斗2!CX59,绕后战斗1!CX59,绕后战斗2!CX59)</f>
        <v>0</v>
      </c>
      <c r="AB48" s="7">
        <f>AVERAGE(正常战斗1!CY59,正常战斗2!CY59,绕后战斗1!CY59,绕后战斗2!CY59)</f>
        <v>0</v>
      </c>
      <c r="AC48" s="7">
        <f>AVERAGE(正常战斗1!CZ59,正常战斗2!CZ59,绕后战斗1!CZ59,绕后战斗2!CZ59)</f>
        <v>0</v>
      </c>
      <c r="AD48" s="7"/>
      <c r="AE48" s="7"/>
      <c r="AU48" s="21"/>
    </row>
    <row r="49" spans="4:47" x14ac:dyDescent="0.15">
      <c r="D49" s="6">
        <v>44</v>
      </c>
      <c r="E49" s="7" t="e">
        <f>AVERAGE((正常战斗1!E60+正常战斗1!AK60)/2,(正常战斗2!E60+正常战斗2!AK60)/2,(正常战斗3!E60+正常战斗3!AK60)/2,(绕后战斗1!E60+绕后战斗1!AK60)/2,(绕后战斗2!E60+绕后战斗2!AK60)/2)/1000</f>
        <v>#VALUE!</v>
      </c>
      <c r="F49" s="7" t="e">
        <f>AVERAGE(绕后战斗1!BE60,(绕后战斗2!Y60+绕后战斗2!BE60)/2)/1000</f>
        <v>#VALUE!</v>
      </c>
      <c r="G49" s="7" t="e">
        <f>AVERAGE((正常战斗1!Y60+正常战斗1!AU60+正常战斗1!BE60)/3,(正常战斗2!Y60+正常战斗2!BE60)/2,(正常战斗3!O60+正常战斗3!Y60+正常战斗3!AU60+正常战斗3!BE60)/4,绕后战斗1!Y60)/1000</f>
        <v>#VALUE!</v>
      </c>
      <c r="H49" s="7" t="e">
        <f>AVERAGE(正常战斗1!O60,(正常战斗2!O60+正常战斗2!AU60)/2,(绕后战斗1!O60+绕后战斗1!AU60)/2,(绕后战斗2!O60+绕后战斗2!AU60)/2)/1000</f>
        <v>#VALUE!</v>
      </c>
      <c r="I49" s="7" t="e">
        <f>AVERAGE(AVERAGE((正常战斗1!J60+正常战斗1!AP60)/2,(正常战斗2!J60+正常战斗2!AP60)/2,(正常战斗3!J60+正常战斗3!AP60)/2,(绕后战斗1!J60+绕后战斗1!AP60)/2,(绕后战斗2!J60+绕后战斗2!AP60)/2),AVERAGE(正常战斗1!T60,(正常战斗2!T60+正常战斗2!AZ60)/2,(绕后战斗1!T60+绕后战斗1!AZ60)/2,(绕后战斗2!T60+绕后战斗2!AZ60)/2))</f>
        <v>#VALUE!</v>
      </c>
      <c r="J49" s="7" t="e">
        <f>AVERAGE(绕后战斗1!BJ60,(绕后战斗2!AD60+绕后战斗2!BJ60)/2)</f>
        <v>#VALUE!</v>
      </c>
      <c r="K49" s="7" t="e">
        <f>AVERAGE((正常战斗1!AD60+正常战斗1!AZ60+正常战斗1!BJ60)/3,(正常战斗2!AD60+正常战斗2!BJ60)/2,(正常战斗3!T60+正常战斗3!AD60+正常战斗3!AZ60+正常战斗3!BJ60)/4,绕后战斗1!AD60)</f>
        <v>#VALUE!</v>
      </c>
      <c r="L49" s="7" t="e">
        <f t="shared" si="0"/>
        <v>#VALUE!</v>
      </c>
      <c r="M49" s="7"/>
      <c r="N49" s="7">
        <f>AVERAGE(正常战斗1!CK60,正常战斗2!CK60,正常战斗3!CK60,绕后战斗1!CK60,绕后战斗2!CK60)</f>
        <v>0</v>
      </c>
      <c r="O49" s="7">
        <f>AVERAGE(正常战斗1!CL60,正常战斗2!CL60,正常战斗3!CL60,绕后战斗1!CL60,绕后战斗2!CL60)</f>
        <v>0</v>
      </c>
      <c r="P49" s="7">
        <f>AVERAGE(正常战斗1!CM60,正常战斗2!CM60,正常战斗3!CM60,绕后战斗1!CM60,绕后战斗2!CM60)</f>
        <v>0</v>
      </c>
      <c r="Q49" s="7">
        <f>AVERAGE(正常战斗1!CN60,正常战斗2!CN60,正常战斗3!CN60,绕后战斗1!CN60,绕后战斗2!CN60)</f>
        <v>0</v>
      </c>
      <c r="R49" s="7">
        <f>AVERAGE(绕后战斗1!CO60,绕后战斗2!CO60)</f>
        <v>0</v>
      </c>
      <c r="S49" s="7">
        <f>AVERAGE(绕后战斗1!CP60,绕后战斗2!CP60)</f>
        <v>0</v>
      </c>
      <c r="T49" s="7">
        <f>AVERAGE(绕后战斗1!CQ60,绕后战斗2!CQ60)</f>
        <v>0</v>
      </c>
      <c r="U49" s="7">
        <f>AVERAGE(绕后战斗1!CR60,绕后战斗2!CR60)</f>
        <v>0</v>
      </c>
      <c r="V49" s="7">
        <f>AVERAGE(正常战斗1!CS60,正常战斗2!CS60,正常战斗3!CS60,绕后战斗1!CS60)</f>
        <v>0</v>
      </c>
      <c r="W49" s="7">
        <f>AVERAGE(正常战斗1!CT60,正常战斗2!CT60,正常战斗3!CT60,绕后战斗1!CT60)</f>
        <v>0</v>
      </c>
      <c r="X49" s="7">
        <f>AVERAGE(正常战斗1!CU60,正常战斗2!CU60,正常战斗3!CU60,绕后战斗1!CU60)</f>
        <v>0</v>
      </c>
      <c r="Y49" s="7">
        <f>AVERAGE(正常战斗1!CV60,正常战斗2!CV60,正常战斗3!CV60,绕后战斗1!CV60)</f>
        <v>0</v>
      </c>
      <c r="Z49" s="7">
        <f>AVERAGE(正常战斗1!CW60,正常战斗2!CW60,绕后战斗1!CW60,绕后战斗2!CW60)</f>
        <v>0</v>
      </c>
      <c r="AA49" s="7">
        <f>AVERAGE(正常战斗1!CX60,正常战斗2!CX60,绕后战斗1!CX60,绕后战斗2!CX60)</f>
        <v>0</v>
      </c>
      <c r="AB49" s="7">
        <f>AVERAGE(正常战斗1!CY60,正常战斗2!CY60,绕后战斗1!CY60,绕后战斗2!CY60)</f>
        <v>0</v>
      </c>
      <c r="AC49" s="7">
        <f>AVERAGE(正常战斗1!CZ60,正常战斗2!CZ60,绕后战斗1!CZ60,绕后战斗2!CZ60)</f>
        <v>0</v>
      </c>
      <c r="AD49" s="7"/>
      <c r="AE49" s="7"/>
      <c r="AU49" s="21"/>
    </row>
    <row r="50" spans="4:47" x14ac:dyDescent="0.15">
      <c r="D50" s="6">
        <v>45</v>
      </c>
      <c r="E50" s="7" t="e">
        <f>AVERAGE((正常战斗1!E61+正常战斗1!AK61)/2,(正常战斗2!E61+正常战斗2!AK61)/2,(正常战斗3!E61+正常战斗3!AK61)/2,(绕后战斗1!E61+绕后战斗1!AK61)/2,(绕后战斗2!E61+绕后战斗2!AK61)/2)/1000</f>
        <v>#VALUE!</v>
      </c>
      <c r="F50" s="7" t="e">
        <f>AVERAGE(绕后战斗1!BE61,(绕后战斗2!Y61+绕后战斗2!BE61)/2)/1000</f>
        <v>#VALUE!</v>
      </c>
      <c r="G50" s="7" t="e">
        <f>AVERAGE((正常战斗1!Y61+正常战斗1!AU61+正常战斗1!BE61)/3,(正常战斗2!Y61+正常战斗2!BE61)/2,(正常战斗3!O61+正常战斗3!Y61+正常战斗3!AU61+正常战斗3!BE61)/4,绕后战斗1!Y61)/1000</f>
        <v>#VALUE!</v>
      </c>
      <c r="H50" s="7" t="e">
        <f>AVERAGE(正常战斗1!O61,(正常战斗2!O61+正常战斗2!AU61)/2,(绕后战斗1!O61+绕后战斗1!AU61)/2,(绕后战斗2!O61+绕后战斗2!AU61)/2)/1000</f>
        <v>#VALUE!</v>
      </c>
      <c r="I50" s="7" t="e">
        <f>AVERAGE(AVERAGE((正常战斗1!J61+正常战斗1!AP61)/2,(正常战斗2!J61+正常战斗2!AP61)/2,(正常战斗3!J61+正常战斗3!AP61)/2,(绕后战斗1!J61+绕后战斗1!AP61)/2,(绕后战斗2!J61+绕后战斗2!AP61)/2),AVERAGE(正常战斗1!T61,(正常战斗2!T61+正常战斗2!AZ61)/2,(绕后战斗1!T61+绕后战斗1!AZ61)/2,(绕后战斗2!T61+绕后战斗2!AZ61)/2))</f>
        <v>#VALUE!</v>
      </c>
      <c r="J50" s="7" t="e">
        <f>AVERAGE(绕后战斗1!BJ61,(绕后战斗2!AD61+绕后战斗2!BJ61)/2)</f>
        <v>#VALUE!</v>
      </c>
      <c r="K50" s="7" t="e">
        <f>AVERAGE((正常战斗1!AD61+正常战斗1!AZ61+正常战斗1!BJ61)/3,(正常战斗2!AD61+正常战斗2!BJ61)/2,(正常战斗3!T61+正常战斗3!AD61+正常战斗3!AZ61+正常战斗3!BJ61)/4,绕后战斗1!AD61)</f>
        <v>#VALUE!</v>
      </c>
      <c r="L50" s="7" t="e">
        <f t="shared" si="0"/>
        <v>#VALUE!</v>
      </c>
      <c r="M50" s="7"/>
      <c r="N50" s="7">
        <f>AVERAGE(正常战斗1!CK61,正常战斗2!CK61,正常战斗3!CK61,绕后战斗1!CK61,绕后战斗2!CK61)</f>
        <v>0</v>
      </c>
      <c r="O50" s="7">
        <f>AVERAGE(正常战斗1!CL61,正常战斗2!CL61,正常战斗3!CL61,绕后战斗1!CL61,绕后战斗2!CL61)</f>
        <v>0</v>
      </c>
      <c r="P50" s="7">
        <f>AVERAGE(正常战斗1!CM61,正常战斗2!CM61,正常战斗3!CM61,绕后战斗1!CM61,绕后战斗2!CM61)</f>
        <v>0</v>
      </c>
      <c r="Q50" s="7">
        <f>AVERAGE(正常战斗1!CN61,正常战斗2!CN61,正常战斗3!CN61,绕后战斗1!CN61,绕后战斗2!CN61)</f>
        <v>0</v>
      </c>
      <c r="R50" s="7">
        <f>AVERAGE(绕后战斗1!CO61,绕后战斗2!CO61)</f>
        <v>0</v>
      </c>
      <c r="S50" s="7">
        <f>AVERAGE(绕后战斗1!CP61,绕后战斗2!CP61)</f>
        <v>0</v>
      </c>
      <c r="T50" s="7">
        <f>AVERAGE(绕后战斗1!CQ61,绕后战斗2!CQ61)</f>
        <v>0</v>
      </c>
      <c r="U50" s="7">
        <f>AVERAGE(绕后战斗1!CR61,绕后战斗2!CR61)</f>
        <v>0</v>
      </c>
      <c r="V50" s="7">
        <f>AVERAGE(正常战斗1!CS61,正常战斗2!CS61,正常战斗3!CS61,绕后战斗1!CS61)</f>
        <v>0</v>
      </c>
      <c r="W50" s="7">
        <f>AVERAGE(正常战斗1!CT61,正常战斗2!CT61,正常战斗3!CT61,绕后战斗1!CT61)</f>
        <v>0</v>
      </c>
      <c r="X50" s="7">
        <f>AVERAGE(正常战斗1!CU61,正常战斗2!CU61,正常战斗3!CU61,绕后战斗1!CU61)</f>
        <v>0</v>
      </c>
      <c r="Y50" s="7">
        <f>AVERAGE(正常战斗1!CV61,正常战斗2!CV61,正常战斗3!CV61,绕后战斗1!CV61)</f>
        <v>0</v>
      </c>
      <c r="Z50" s="7">
        <f>AVERAGE(正常战斗1!CW61,正常战斗2!CW61,绕后战斗1!CW61,绕后战斗2!CW61)</f>
        <v>0</v>
      </c>
      <c r="AA50" s="7">
        <f>AVERAGE(正常战斗1!CX61,正常战斗2!CX61,绕后战斗1!CX61,绕后战斗2!CX61)</f>
        <v>0</v>
      </c>
      <c r="AB50" s="7">
        <f>AVERAGE(正常战斗1!CY61,正常战斗2!CY61,绕后战斗1!CY61,绕后战斗2!CY61)</f>
        <v>0</v>
      </c>
      <c r="AC50" s="7">
        <f>AVERAGE(正常战斗1!CZ61,正常战斗2!CZ61,绕后战斗1!CZ61,绕后战斗2!CZ61)</f>
        <v>0</v>
      </c>
      <c r="AD50" s="7"/>
      <c r="AE50" s="7"/>
      <c r="AU50" s="21"/>
    </row>
    <row r="51" spans="4:47" x14ac:dyDescent="0.15">
      <c r="D51" s="6">
        <v>46</v>
      </c>
      <c r="E51" s="7" t="e">
        <f>AVERAGE((正常战斗1!E62+正常战斗1!AK62)/2,(正常战斗2!E62+正常战斗2!AK62)/2,(正常战斗3!E62+正常战斗3!AK62)/2,(绕后战斗1!E62+绕后战斗1!AK62)/2,(绕后战斗2!E62+绕后战斗2!AK62)/2)/1000</f>
        <v>#VALUE!</v>
      </c>
      <c r="F51" s="7" t="e">
        <f>AVERAGE(绕后战斗1!BE62,(绕后战斗2!Y62+绕后战斗2!BE62)/2)/1000</f>
        <v>#VALUE!</v>
      </c>
      <c r="G51" s="7" t="e">
        <f>AVERAGE((正常战斗1!Y62+正常战斗1!AU62+正常战斗1!BE62)/3,(正常战斗2!Y62+正常战斗2!BE62)/2,(正常战斗3!O62+正常战斗3!Y62+正常战斗3!AU62+正常战斗3!BE62)/4,绕后战斗1!Y62)/1000</f>
        <v>#VALUE!</v>
      </c>
      <c r="H51" s="7" t="e">
        <f>AVERAGE(正常战斗1!O62,(正常战斗2!O62+正常战斗2!AU62)/2,(绕后战斗1!O62+绕后战斗1!AU62)/2,(绕后战斗2!O62+绕后战斗2!AU62)/2)/1000</f>
        <v>#VALUE!</v>
      </c>
      <c r="I51" s="7" t="e">
        <f>AVERAGE(AVERAGE((正常战斗1!J62+正常战斗1!AP62)/2,(正常战斗2!J62+正常战斗2!AP62)/2,(正常战斗3!J62+正常战斗3!AP62)/2,(绕后战斗1!J62+绕后战斗1!AP62)/2,(绕后战斗2!J62+绕后战斗2!AP62)/2),AVERAGE(正常战斗1!T62,(正常战斗2!T62+正常战斗2!AZ62)/2,(绕后战斗1!T62+绕后战斗1!AZ62)/2,(绕后战斗2!T62+绕后战斗2!AZ62)/2))</f>
        <v>#VALUE!</v>
      </c>
      <c r="J51" s="7" t="e">
        <f>AVERAGE(绕后战斗1!BJ62,(绕后战斗2!AD62+绕后战斗2!BJ62)/2)</f>
        <v>#VALUE!</v>
      </c>
      <c r="K51" s="7" t="e">
        <f>AVERAGE((正常战斗1!AD62+正常战斗1!AZ62+正常战斗1!BJ62)/3,(正常战斗2!AD62+正常战斗2!BJ62)/2,(正常战斗3!T62+正常战斗3!AD62+正常战斗3!AZ62+正常战斗3!BJ62)/4,绕后战斗1!AD62)</f>
        <v>#VALUE!</v>
      </c>
      <c r="L51" s="7" t="e">
        <f t="shared" si="0"/>
        <v>#VALUE!</v>
      </c>
      <c r="M51" s="7"/>
      <c r="N51" s="7">
        <f>AVERAGE(正常战斗1!CK62,正常战斗2!CK62,正常战斗3!CK62,绕后战斗1!CK62,绕后战斗2!CK62)</f>
        <v>0</v>
      </c>
      <c r="O51" s="7">
        <f>AVERAGE(正常战斗1!CL62,正常战斗2!CL62,正常战斗3!CL62,绕后战斗1!CL62,绕后战斗2!CL62)</f>
        <v>0</v>
      </c>
      <c r="P51" s="7">
        <f>AVERAGE(正常战斗1!CM62,正常战斗2!CM62,正常战斗3!CM62,绕后战斗1!CM62,绕后战斗2!CM62)</f>
        <v>0</v>
      </c>
      <c r="Q51" s="7">
        <f>AVERAGE(正常战斗1!CN62,正常战斗2!CN62,正常战斗3!CN62,绕后战斗1!CN62,绕后战斗2!CN62)</f>
        <v>0</v>
      </c>
      <c r="R51" s="7">
        <f>AVERAGE(绕后战斗1!CO62,绕后战斗2!CO62)</f>
        <v>0</v>
      </c>
      <c r="S51" s="7">
        <f>AVERAGE(绕后战斗1!CP62,绕后战斗2!CP62)</f>
        <v>0</v>
      </c>
      <c r="T51" s="7">
        <f>AVERAGE(绕后战斗1!CQ62,绕后战斗2!CQ62)</f>
        <v>0</v>
      </c>
      <c r="U51" s="7">
        <f>AVERAGE(绕后战斗1!CR62,绕后战斗2!CR62)</f>
        <v>0</v>
      </c>
      <c r="V51" s="7">
        <f>AVERAGE(正常战斗1!CS62,正常战斗2!CS62,正常战斗3!CS62,绕后战斗1!CS62)</f>
        <v>0</v>
      </c>
      <c r="W51" s="7">
        <f>AVERAGE(正常战斗1!CT62,正常战斗2!CT62,正常战斗3!CT62,绕后战斗1!CT62)</f>
        <v>0</v>
      </c>
      <c r="X51" s="7">
        <f>AVERAGE(正常战斗1!CU62,正常战斗2!CU62,正常战斗3!CU62,绕后战斗1!CU62)</f>
        <v>0</v>
      </c>
      <c r="Y51" s="7">
        <f>AVERAGE(正常战斗1!CV62,正常战斗2!CV62,正常战斗3!CV62,绕后战斗1!CV62)</f>
        <v>0</v>
      </c>
      <c r="Z51" s="7">
        <f>AVERAGE(正常战斗1!CW62,正常战斗2!CW62,绕后战斗1!CW62,绕后战斗2!CW62)</f>
        <v>0</v>
      </c>
      <c r="AA51" s="7">
        <f>AVERAGE(正常战斗1!CX62,正常战斗2!CX62,绕后战斗1!CX62,绕后战斗2!CX62)</f>
        <v>0</v>
      </c>
      <c r="AB51" s="7">
        <f>AVERAGE(正常战斗1!CY62,正常战斗2!CY62,绕后战斗1!CY62,绕后战斗2!CY62)</f>
        <v>0</v>
      </c>
      <c r="AC51" s="7">
        <f>AVERAGE(正常战斗1!CZ62,正常战斗2!CZ62,绕后战斗1!CZ62,绕后战斗2!CZ62)</f>
        <v>0</v>
      </c>
      <c r="AD51" s="7"/>
      <c r="AE51" s="7"/>
      <c r="AU51" s="21"/>
    </row>
    <row r="52" spans="4:47" x14ac:dyDescent="0.15">
      <c r="D52" s="6">
        <v>47</v>
      </c>
      <c r="E52" s="7" t="e">
        <f>AVERAGE((正常战斗1!E63+正常战斗1!AK63)/2,(正常战斗2!E63+正常战斗2!AK63)/2,(正常战斗3!E63+正常战斗3!AK63)/2,(绕后战斗1!E63+绕后战斗1!AK63)/2,(绕后战斗2!E63+绕后战斗2!AK63)/2)/1000</f>
        <v>#VALUE!</v>
      </c>
      <c r="F52" s="7" t="e">
        <f>AVERAGE(绕后战斗1!BE63,(绕后战斗2!Y63+绕后战斗2!BE63)/2)/1000</f>
        <v>#VALUE!</v>
      </c>
      <c r="G52" s="7" t="e">
        <f>AVERAGE((正常战斗1!Y63+正常战斗1!AU63+正常战斗1!BE63)/3,(正常战斗2!Y63+正常战斗2!BE63)/2,(正常战斗3!O63+正常战斗3!Y63+正常战斗3!AU63+正常战斗3!BE63)/4,绕后战斗1!Y63)/1000</f>
        <v>#VALUE!</v>
      </c>
      <c r="H52" s="7" t="e">
        <f>AVERAGE(正常战斗1!O63,(正常战斗2!O63+正常战斗2!AU63)/2,(绕后战斗1!O63+绕后战斗1!AU63)/2,(绕后战斗2!O63+绕后战斗2!AU63)/2)/1000</f>
        <v>#VALUE!</v>
      </c>
      <c r="I52" s="7" t="e">
        <f>AVERAGE(AVERAGE((正常战斗1!J63+正常战斗1!AP63)/2,(正常战斗2!J63+正常战斗2!AP63)/2,(正常战斗3!J63+正常战斗3!AP63)/2,(绕后战斗1!J63+绕后战斗1!AP63)/2,(绕后战斗2!J63+绕后战斗2!AP63)/2),AVERAGE(正常战斗1!T63,(正常战斗2!T63+正常战斗2!AZ63)/2,(绕后战斗1!T63+绕后战斗1!AZ63)/2,(绕后战斗2!T63+绕后战斗2!AZ63)/2))</f>
        <v>#VALUE!</v>
      </c>
      <c r="J52" s="7" t="e">
        <f>AVERAGE(绕后战斗1!BJ63,(绕后战斗2!AD63+绕后战斗2!BJ63)/2)</f>
        <v>#VALUE!</v>
      </c>
      <c r="K52" s="7" t="e">
        <f>AVERAGE((正常战斗1!AD63+正常战斗1!AZ63+正常战斗1!BJ63)/3,(正常战斗2!AD63+正常战斗2!BJ63)/2,(正常战斗3!T63+正常战斗3!AD63+正常战斗3!AZ63+正常战斗3!BJ63)/4,绕后战斗1!AD63)</f>
        <v>#VALUE!</v>
      </c>
      <c r="L52" s="7" t="e">
        <f t="shared" si="0"/>
        <v>#VALUE!</v>
      </c>
      <c r="M52" s="7"/>
      <c r="N52" s="7">
        <f>AVERAGE(正常战斗1!CK63,正常战斗2!CK63,正常战斗3!CK63,绕后战斗1!CK63,绕后战斗2!CK63)</f>
        <v>0</v>
      </c>
      <c r="O52" s="7">
        <f>AVERAGE(正常战斗1!CL63,正常战斗2!CL63,正常战斗3!CL63,绕后战斗1!CL63,绕后战斗2!CL63)</f>
        <v>0</v>
      </c>
      <c r="P52" s="7">
        <f>AVERAGE(正常战斗1!CM63,正常战斗2!CM63,正常战斗3!CM63,绕后战斗1!CM63,绕后战斗2!CM63)</f>
        <v>0</v>
      </c>
      <c r="Q52" s="7">
        <f>AVERAGE(正常战斗1!CN63,正常战斗2!CN63,正常战斗3!CN63,绕后战斗1!CN63,绕后战斗2!CN63)</f>
        <v>0</v>
      </c>
      <c r="R52" s="7">
        <f>AVERAGE(绕后战斗1!CO63,绕后战斗2!CO63)</f>
        <v>0</v>
      </c>
      <c r="S52" s="7">
        <f>AVERAGE(绕后战斗1!CP63,绕后战斗2!CP63)</f>
        <v>0</v>
      </c>
      <c r="T52" s="7">
        <f>AVERAGE(绕后战斗1!CQ63,绕后战斗2!CQ63)</f>
        <v>0</v>
      </c>
      <c r="U52" s="7">
        <f>AVERAGE(绕后战斗1!CR63,绕后战斗2!CR63)</f>
        <v>0</v>
      </c>
      <c r="V52" s="7">
        <f>AVERAGE(正常战斗1!CS63,正常战斗2!CS63,正常战斗3!CS63,绕后战斗1!CS63)</f>
        <v>0</v>
      </c>
      <c r="W52" s="7">
        <f>AVERAGE(正常战斗1!CT63,正常战斗2!CT63,正常战斗3!CT63,绕后战斗1!CT63)</f>
        <v>0</v>
      </c>
      <c r="X52" s="7">
        <f>AVERAGE(正常战斗1!CU63,正常战斗2!CU63,正常战斗3!CU63,绕后战斗1!CU63)</f>
        <v>0</v>
      </c>
      <c r="Y52" s="7">
        <f>AVERAGE(正常战斗1!CV63,正常战斗2!CV63,正常战斗3!CV63,绕后战斗1!CV63)</f>
        <v>0</v>
      </c>
      <c r="Z52" s="7">
        <f>AVERAGE(正常战斗1!CW63,正常战斗2!CW63,绕后战斗1!CW63,绕后战斗2!CW63)</f>
        <v>0</v>
      </c>
      <c r="AA52" s="7">
        <f>AVERAGE(正常战斗1!CX63,正常战斗2!CX63,绕后战斗1!CX63,绕后战斗2!CX63)</f>
        <v>0</v>
      </c>
      <c r="AB52" s="7">
        <f>AVERAGE(正常战斗1!CY63,正常战斗2!CY63,绕后战斗1!CY63,绕后战斗2!CY63)</f>
        <v>0</v>
      </c>
      <c r="AC52" s="7">
        <f>AVERAGE(正常战斗1!CZ63,正常战斗2!CZ63,绕后战斗1!CZ63,绕后战斗2!CZ63)</f>
        <v>0</v>
      </c>
      <c r="AD52" s="7"/>
      <c r="AE52" s="7"/>
      <c r="AU52" s="21"/>
    </row>
    <row r="53" spans="4:47" x14ac:dyDescent="0.15">
      <c r="D53" s="6">
        <v>48</v>
      </c>
      <c r="E53" s="7" t="e">
        <f>AVERAGE((正常战斗1!E64+正常战斗1!AK64)/2,(正常战斗2!E64+正常战斗2!AK64)/2,(正常战斗3!E64+正常战斗3!AK64)/2,(绕后战斗1!E64+绕后战斗1!AK64)/2,(绕后战斗2!E64+绕后战斗2!AK64)/2)/1000</f>
        <v>#VALUE!</v>
      </c>
      <c r="F53" s="7" t="e">
        <f>AVERAGE(绕后战斗1!BE64,(绕后战斗2!Y64+绕后战斗2!BE64)/2)/1000</f>
        <v>#VALUE!</v>
      </c>
      <c r="G53" s="7" t="e">
        <f>AVERAGE((正常战斗1!Y64+正常战斗1!AU64+正常战斗1!BE64)/3,(正常战斗2!Y64+正常战斗2!BE64)/2,(正常战斗3!O64+正常战斗3!Y64+正常战斗3!AU64+正常战斗3!BE64)/4,绕后战斗1!Y64)/1000</f>
        <v>#VALUE!</v>
      </c>
      <c r="H53" s="7" t="e">
        <f>AVERAGE(正常战斗1!O64,(正常战斗2!O64+正常战斗2!AU64)/2,(绕后战斗1!O64+绕后战斗1!AU64)/2,(绕后战斗2!O64+绕后战斗2!AU64)/2)/1000</f>
        <v>#VALUE!</v>
      </c>
      <c r="I53" s="7" t="e">
        <f>AVERAGE(AVERAGE((正常战斗1!J64+正常战斗1!AP64)/2,(正常战斗2!J64+正常战斗2!AP64)/2,(正常战斗3!J64+正常战斗3!AP64)/2,(绕后战斗1!J64+绕后战斗1!AP64)/2,(绕后战斗2!J64+绕后战斗2!AP64)/2),AVERAGE(正常战斗1!T64,(正常战斗2!T64+正常战斗2!AZ64)/2,(绕后战斗1!T64+绕后战斗1!AZ64)/2,(绕后战斗2!T64+绕后战斗2!AZ64)/2))</f>
        <v>#VALUE!</v>
      </c>
      <c r="J53" s="7" t="e">
        <f>AVERAGE(绕后战斗1!BJ64,(绕后战斗2!AD64+绕后战斗2!BJ64)/2)</f>
        <v>#VALUE!</v>
      </c>
      <c r="K53" s="7" t="e">
        <f>AVERAGE((正常战斗1!AD64+正常战斗1!AZ64+正常战斗1!BJ64)/3,(正常战斗2!AD64+正常战斗2!BJ64)/2,(正常战斗3!T64+正常战斗3!AD64+正常战斗3!AZ64+正常战斗3!BJ64)/4,绕后战斗1!AD64)</f>
        <v>#VALUE!</v>
      </c>
      <c r="L53" s="7" t="e">
        <f t="shared" si="0"/>
        <v>#VALUE!</v>
      </c>
      <c r="M53" s="7"/>
      <c r="N53" s="7">
        <f>AVERAGE(正常战斗1!CK64,正常战斗2!CK64,正常战斗3!CK64,绕后战斗1!CK64,绕后战斗2!CK64)</f>
        <v>0</v>
      </c>
      <c r="O53" s="7">
        <f>AVERAGE(正常战斗1!CL64,正常战斗2!CL64,正常战斗3!CL64,绕后战斗1!CL64,绕后战斗2!CL64)</f>
        <v>0</v>
      </c>
      <c r="P53" s="7">
        <f>AVERAGE(正常战斗1!CM64,正常战斗2!CM64,正常战斗3!CM64,绕后战斗1!CM64,绕后战斗2!CM64)</f>
        <v>0</v>
      </c>
      <c r="Q53" s="7">
        <f>AVERAGE(正常战斗1!CN64,正常战斗2!CN64,正常战斗3!CN64,绕后战斗1!CN64,绕后战斗2!CN64)</f>
        <v>0</v>
      </c>
      <c r="R53" s="7">
        <f>AVERAGE(绕后战斗1!CO64,绕后战斗2!CO64)</f>
        <v>0</v>
      </c>
      <c r="S53" s="7">
        <f>AVERAGE(绕后战斗1!CP64,绕后战斗2!CP64)</f>
        <v>0</v>
      </c>
      <c r="T53" s="7">
        <f>AVERAGE(绕后战斗1!CQ64,绕后战斗2!CQ64)</f>
        <v>0</v>
      </c>
      <c r="U53" s="7">
        <f>AVERAGE(绕后战斗1!CR64,绕后战斗2!CR64)</f>
        <v>0</v>
      </c>
      <c r="V53" s="7">
        <f>AVERAGE(正常战斗1!CS64,正常战斗2!CS64,正常战斗3!CS64,绕后战斗1!CS64)</f>
        <v>0</v>
      </c>
      <c r="W53" s="7">
        <f>AVERAGE(正常战斗1!CT64,正常战斗2!CT64,正常战斗3!CT64,绕后战斗1!CT64)</f>
        <v>0</v>
      </c>
      <c r="X53" s="7">
        <f>AVERAGE(正常战斗1!CU64,正常战斗2!CU64,正常战斗3!CU64,绕后战斗1!CU64)</f>
        <v>0</v>
      </c>
      <c r="Y53" s="7">
        <f>AVERAGE(正常战斗1!CV64,正常战斗2!CV64,正常战斗3!CV64,绕后战斗1!CV64)</f>
        <v>0</v>
      </c>
      <c r="Z53" s="7">
        <f>AVERAGE(正常战斗1!CW64,正常战斗2!CW64,绕后战斗1!CW64,绕后战斗2!CW64)</f>
        <v>0</v>
      </c>
      <c r="AA53" s="7">
        <f>AVERAGE(正常战斗1!CX64,正常战斗2!CX64,绕后战斗1!CX64,绕后战斗2!CX64)</f>
        <v>0</v>
      </c>
      <c r="AB53" s="7">
        <f>AVERAGE(正常战斗1!CY64,正常战斗2!CY64,绕后战斗1!CY64,绕后战斗2!CY64)</f>
        <v>0</v>
      </c>
      <c r="AC53" s="7">
        <f>AVERAGE(正常战斗1!CZ64,正常战斗2!CZ64,绕后战斗1!CZ64,绕后战斗2!CZ64)</f>
        <v>0</v>
      </c>
      <c r="AD53" s="7"/>
      <c r="AE53" s="7"/>
      <c r="AU53" s="21"/>
    </row>
    <row r="54" spans="4:47" x14ac:dyDescent="0.15">
      <c r="D54" s="6">
        <v>49</v>
      </c>
      <c r="E54" s="7" t="e">
        <f>AVERAGE((正常战斗1!E65+正常战斗1!AK65)/2,(正常战斗2!E65+正常战斗2!AK65)/2,(正常战斗3!E65+正常战斗3!AK65)/2,(绕后战斗1!E65+绕后战斗1!AK65)/2,(绕后战斗2!E65+绕后战斗2!AK65)/2)/1000</f>
        <v>#VALUE!</v>
      </c>
      <c r="F54" s="7" t="e">
        <f>AVERAGE(绕后战斗1!BE65,(绕后战斗2!Y65+绕后战斗2!BE65)/2)/1000</f>
        <v>#VALUE!</v>
      </c>
      <c r="G54" s="7" t="e">
        <f>AVERAGE((正常战斗1!Y65+正常战斗1!AU65+正常战斗1!BE65)/3,(正常战斗2!Y65+正常战斗2!BE65)/2,(正常战斗3!O65+正常战斗3!Y65+正常战斗3!AU65+正常战斗3!BE65)/4,绕后战斗1!Y65)/1000</f>
        <v>#VALUE!</v>
      </c>
      <c r="H54" s="7" t="e">
        <f>AVERAGE(正常战斗1!O65,(正常战斗2!O65+正常战斗2!AU65)/2,(绕后战斗1!O65+绕后战斗1!AU65)/2,(绕后战斗2!O65+绕后战斗2!AU65)/2)/1000</f>
        <v>#VALUE!</v>
      </c>
      <c r="I54" s="7" t="e">
        <f>AVERAGE(AVERAGE((正常战斗1!J65+正常战斗1!AP65)/2,(正常战斗2!J65+正常战斗2!AP65)/2,(正常战斗3!J65+正常战斗3!AP65)/2,(绕后战斗1!J65+绕后战斗1!AP65)/2,(绕后战斗2!J65+绕后战斗2!AP65)/2),AVERAGE(正常战斗1!T65,(正常战斗2!T65+正常战斗2!AZ65)/2,(绕后战斗1!T65+绕后战斗1!AZ65)/2,(绕后战斗2!T65+绕后战斗2!AZ65)/2))</f>
        <v>#VALUE!</v>
      </c>
      <c r="J54" s="7" t="e">
        <f>AVERAGE(绕后战斗1!BJ65,(绕后战斗2!AD65+绕后战斗2!BJ65)/2)</f>
        <v>#VALUE!</v>
      </c>
      <c r="K54" s="7" t="e">
        <f>AVERAGE((正常战斗1!AD65+正常战斗1!AZ65+正常战斗1!BJ65)/3,(正常战斗2!AD65+正常战斗2!BJ65)/2,(正常战斗3!T65+正常战斗3!AD65+正常战斗3!AZ65+正常战斗3!BJ65)/4,绕后战斗1!AD65)</f>
        <v>#VALUE!</v>
      </c>
      <c r="L54" s="7" t="e">
        <f t="shared" si="0"/>
        <v>#VALUE!</v>
      </c>
      <c r="M54" s="7"/>
      <c r="N54" s="7">
        <f>AVERAGE(正常战斗1!CK65,正常战斗2!CK65,正常战斗3!CK65,绕后战斗1!CK65,绕后战斗2!CK65)</f>
        <v>0</v>
      </c>
      <c r="O54" s="7">
        <f>AVERAGE(正常战斗1!CL65,正常战斗2!CL65,正常战斗3!CL65,绕后战斗1!CL65,绕后战斗2!CL65)</f>
        <v>0</v>
      </c>
      <c r="P54" s="7">
        <f>AVERAGE(正常战斗1!CM65,正常战斗2!CM65,正常战斗3!CM65,绕后战斗1!CM65,绕后战斗2!CM65)</f>
        <v>0</v>
      </c>
      <c r="Q54" s="7">
        <f>AVERAGE(正常战斗1!CN65,正常战斗2!CN65,正常战斗3!CN65,绕后战斗1!CN65,绕后战斗2!CN65)</f>
        <v>0</v>
      </c>
      <c r="R54" s="7">
        <f>AVERAGE(绕后战斗1!CO65,绕后战斗2!CO65)</f>
        <v>0</v>
      </c>
      <c r="S54" s="7">
        <f>AVERAGE(绕后战斗1!CP65,绕后战斗2!CP65)</f>
        <v>0</v>
      </c>
      <c r="T54" s="7">
        <f>AVERAGE(绕后战斗1!CQ65,绕后战斗2!CQ65)</f>
        <v>0</v>
      </c>
      <c r="U54" s="7">
        <f>AVERAGE(绕后战斗1!CR65,绕后战斗2!CR65)</f>
        <v>0</v>
      </c>
      <c r="V54" s="7">
        <f>AVERAGE(正常战斗1!CS65,正常战斗2!CS65,正常战斗3!CS65,绕后战斗1!CS65)</f>
        <v>0</v>
      </c>
      <c r="W54" s="7">
        <f>AVERAGE(正常战斗1!CT65,正常战斗2!CT65,正常战斗3!CT65,绕后战斗1!CT65)</f>
        <v>0</v>
      </c>
      <c r="X54" s="7">
        <f>AVERAGE(正常战斗1!CU65,正常战斗2!CU65,正常战斗3!CU65,绕后战斗1!CU65)</f>
        <v>0</v>
      </c>
      <c r="Y54" s="7">
        <f>AVERAGE(正常战斗1!CV65,正常战斗2!CV65,正常战斗3!CV65,绕后战斗1!CV65)</f>
        <v>0</v>
      </c>
      <c r="Z54" s="7">
        <f>AVERAGE(正常战斗1!CW65,正常战斗2!CW65,绕后战斗1!CW65,绕后战斗2!CW65)</f>
        <v>0</v>
      </c>
      <c r="AA54" s="7">
        <f>AVERAGE(正常战斗1!CX65,正常战斗2!CX65,绕后战斗1!CX65,绕后战斗2!CX65)</f>
        <v>0</v>
      </c>
      <c r="AB54" s="7">
        <f>AVERAGE(正常战斗1!CY65,正常战斗2!CY65,绕后战斗1!CY65,绕后战斗2!CY65)</f>
        <v>0</v>
      </c>
      <c r="AC54" s="7">
        <f>AVERAGE(正常战斗1!CZ65,正常战斗2!CZ65,绕后战斗1!CZ65,绕后战斗2!CZ65)</f>
        <v>0</v>
      </c>
      <c r="AD54" s="7"/>
      <c r="AE54" s="7"/>
      <c r="AU54" s="21"/>
    </row>
    <row r="55" spans="4:47" x14ac:dyDescent="0.15">
      <c r="D55" s="6">
        <v>50</v>
      </c>
      <c r="E55" s="7" t="e">
        <f>AVERAGE((正常战斗1!E66+正常战斗1!AK66)/2,(正常战斗2!E66+正常战斗2!AK66)/2,(正常战斗3!E66+正常战斗3!AK66)/2,(绕后战斗1!E66+绕后战斗1!AK66)/2,(绕后战斗2!E66+绕后战斗2!AK66)/2)/1000</f>
        <v>#VALUE!</v>
      </c>
      <c r="F55" s="7" t="e">
        <f>AVERAGE(绕后战斗1!BE66,(绕后战斗2!Y66+绕后战斗2!BE66)/2)/1000</f>
        <v>#VALUE!</v>
      </c>
      <c r="G55" s="7" t="e">
        <f>AVERAGE((正常战斗1!Y66+正常战斗1!AU66+正常战斗1!BE66)/3,(正常战斗2!Y66+正常战斗2!BE66)/2,(正常战斗3!O66+正常战斗3!Y66+正常战斗3!AU66+正常战斗3!BE66)/4,绕后战斗1!Y66)/1000</f>
        <v>#VALUE!</v>
      </c>
      <c r="H55" s="7" t="e">
        <f>AVERAGE(正常战斗1!O66,(正常战斗2!O66+正常战斗2!AU66)/2,(绕后战斗1!O66+绕后战斗1!AU66)/2,(绕后战斗2!O66+绕后战斗2!AU66)/2)/1000</f>
        <v>#VALUE!</v>
      </c>
      <c r="I55" s="7" t="e">
        <f>AVERAGE(AVERAGE((正常战斗1!J66+正常战斗1!AP66)/2,(正常战斗2!J66+正常战斗2!AP66)/2,(正常战斗3!J66+正常战斗3!AP66)/2,(绕后战斗1!J66+绕后战斗1!AP66)/2,(绕后战斗2!J66+绕后战斗2!AP66)/2),AVERAGE(正常战斗1!T66,(正常战斗2!T66+正常战斗2!AZ66)/2,(绕后战斗1!T66+绕后战斗1!AZ66)/2,(绕后战斗2!T66+绕后战斗2!AZ66)/2))</f>
        <v>#VALUE!</v>
      </c>
      <c r="J55" s="7" t="e">
        <f>AVERAGE(绕后战斗1!BJ66,(绕后战斗2!AD66+绕后战斗2!BJ66)/2)</f>
        <v>#VALUE!</v>
      </c>
      <c r="K55" s="7" t="e">
        <f>AVERAGE((正常战斗1!AD66+正常战斗1!AZ66+正常战斗1!BJ66)/3,(正常战斗2!AD66+正常战斗2!BJ66)/2,(正常战斗3!T66+正常战斗3!AD66+正常战斗3!AZ66+正常战斗3!BJ66)/4,绕后战斗1!AD66)</f>
        <v>#VALUE!</v>
      </c>
      <c r="L55" s="7" t="e">
        <f t="shared" si="0"/>
        <v>#VALUE!</v>
      </c>
      <c r="M55" s="7"/>
      <c r="N55" s="7">
        <f>AVERAGE(正常战斗1!CK66,正常战斗2!CK66,正常战斗3!CK66,绕后战斗1!CK66,绕后战斗2!CK66)</f>
        <v>0</v>
      </c>
      <c r="O55" s="7">
        <f>AVERAGE(正常战斗1!CL66,正常战斗2!CL66,正常战斗3!CL66,绕后战斗1!CL66,绕后战斗2!CL66)</f>
        <v>0</v>
      </c>
      <c r="P55" s="7">
        <f>AVERAGE(正常战斗1!CM66,正常战斗2!CM66,正常战斗3!CM66,绕后战斗1!CM66,绕后战斗2!CM66)</f>
        <v>0</v>
      </c>
      <c r="Q55" s="7">
        <f>AVERAGE(正常战斗1!CN66,正常战斗2!CN66,正常战斗3!CN66,绕后战斗1!CN66,绕后战斗2!CN66)</f>
        <v>0</v>
      </c>
      <c r="R55" s="7">
        <f>AVERAGE(绕后战斗1!CO66,绕后战斗2!CO66)</f>
        <v>0</v>
      </c>
      <c r="S55" s="7">
        <f>AVERAGE(绕后战斗1!CP66,绕后战斗2!CP66)</f>
        <v>0</v>
      </c>
      <c r="T55" s="7">
        <f>AVERAGE(绕后战斗1!CQ66,绕后战斗2!CQ66)</f>
        <v>0</v>
      </c>
      <c r="U55" s="7">
        <f>AVERAGE(绕后战斗1!CR66,绕后战斗2!CR66)</f>
        <v>0</v>
      </c>
      <c r="V55" s="7">
        <f>AVERAGE(正常战斗1!CS66,正常战斗2!CS66,正常战斗3!CS66,绕后战斗1!CS66)</f>
        <v>0</v>
      </c>
      <c r="W55" s="7">
        <f>AVERAGE(正常战斗1!CT66,正常战斗2!CT66,正常战斗3!CT66,绕后战斗1!CT66)</f>
        <v>0</v>
      </c>
      <c r="X55" s="7">
        <f>AVERAGE(正常战斗1!CU66,正常战斗2!CU66,正常战斗3!CU66,绕后战斗1!CU66)</f>
        <v>0</v>
      </c>
      <c r="Y55" s="7">
        <f>AVERAGE(正常战斗1!CV66,正常战斗2!CV66,正常战斗3!CV66,绕后战斗1!CV66)</f>
        <v>0</v>
      </c>
      <c r="Z55" s="7">
        <f>AVERAGE(正常战斗1!CW66,正常战斗2!CW66,绕后战斗1!CW66,绕后战斗2!CW66)</f>
        <v>0</v>
      </c>
      <c r="AA55" s="7">
        <f>AVERAGE(正常战斗1!CX66,正常战斗2!CX66,绕后战斗1!CX66,绕后战斗2!CX66)</f>
        <v>0</v>
      </c>
      <c r="AB55" s="7">
        <f>AVERAGE(正常战斗1!CY66,正常战斗2!CY66,绕后战斗1!CY66,绕后战斗2!CY66)</f>
        <v>0</v>
      </c>
      <c r="AC55" s="7">
        <f>AVERAGE(正常战斗1!CZ66,正常战斗2!CZ66,绕后战斗1!CZ66,绕后战斗2!CZ66)</f>
        <v>0</v>
      </c>
      <c r="AD55" s="7"/>
      <c r="AE55" s="7"/>
      <c r="AU55" s="21"/>
    </row>
    <row r="56" spans="4:47" x14ac:dyDescent="0.15">
      <c r="D56" s="6">
        <v>51</v>
      </c>
      <c r="E56" s="7" t="e">
        <f>AVERAGE((正常战斗1!E67+正常战斗1!AK67)/2,(正常战斗2!E67+正常战斗2!AK67)/2,(正常战斗3!E67+正常战斗3!AK67)/2,(绕后战斗1!E67+绕后战斗1!AK67)/2,(绕后战斗2!E67+绕后战斗2!AK67)/2)/1000</f>
        <v>#VALUE!</v>
      </c>
      <c r="F56" s="7" t="e">
        <f>AVERAGE(绕后战斗1!BE67,(绕后战斗2!Y67+绕后战斗2!BE67)/2)/1000</f>
        <v>#VALUE!</v>
      </c>
      <c r="G56" s="7" t="e">
        <f>AVERAGE((正常战斗1!Y67+正常战斗1!AU67+正常战斗1!BE67)/3,(正常战斗2!Y67+正常战斗2!BE67)/2,(正常战斗3!O67+正常战斗3!Y67+正常战斗3!AU67+正常战斗3!BE67)/4,绕后战斗1!Y67)/1000</f>
        <v>#VALUE!</v>
      </c>
      <c r="H56" s="7" t="e">
        <f>AVERAGE(正常战斗1!O67,(正常战斗2!O67+正常战斗2!AU67)/2,(绕后战斗1!O67+绕后战斗1!AU67)/2,(绕后战斗2!O67+绕后战斗2!AU67)/2)/1000</f>
        <v>#VALUE!</v>
      </c>
      <c r="I56" s="7" t="e">
        <f>AVERAGE(AVERAGE((正常战斗1!J67+正常战斗1!AP67)/2,(正常战斗2!J67+正常战斗2!AP67)/2,(正常战斗3!J67+正常战斗3!AP67)/2,(绕后战斗1!J67+绕后战斗1!AP67)/2,(绕后战斗2!J67+绕后战斗2!AP67)/2),AVERAGE(正常战斗1!T67,(正常战斗2!T67+正常战斗2!AZ67)/2,(绕后战斗1!T67+绕后战斗1!AZ67)/2,(绕后战斗2!T67+绕后战斗2!AZ67)/2))</f>
        <v>#VALUE!</v>
      </c>
      <c r="J56" s="7" t="e">
        <f>AVERAGE(绕后战斗1!BJ67,(绕后战斗2!AD67+绕后战斗2!BJ67)/2)</f>
        <v>#VALUE!</v>
      </c>
      <c r="K56" s="7" t="e">
        <f>AVERAGE((正常战斗1!AD67+正常战斗1!AZ67+正常战斗1!BJ67)/3,(正常战斗2!AD67+正常战斗2!BJ67)/2,(正常战斗3!T67+正常战斗3!AD67+正常战斗3!AZ67+正常战斗3!BJ67)/4,绕后战斗1!AD67)</f>
        <v>#VALUE!</v>
      </c>
      <c r="L56" s="7" t="e">
        <f t="shared" si="0"/>
        <v>#VALUE!</v>
      </c>
      <c r="M56" s="7"/>
      <c r="N56" s="7">
        <f>AVERAGE(正常战斗1!CK67,正常战斗2!CK67,正常战斗3!CK67,绕后战斗1!CK67,绕后战斗2!CK67)</f>
        <v>0</v>
      </c>
      <c r="O56" s="7">
        <f>AVERAGE(正常战斗1!CL67,正常战斗2!CL67,正常战斗3!CL67,绕后战斗1!CL67,绕后战斗2!CL67)</f>
        <v>0</v>
      </c>
      <c r="P56" s="7">
        <f>AVERAGE(正常战斗1!CM67,正常战斗2!CM67,正常战斗3!CM67,绕后战斗1!CM67,绕后战斗2!CM67)</f>
        <v>0</v>
      </c>
      <c r="Q56" s="7">
        <f>AVERAGE(正常战斗1!CN67,正常战斗2!CN67,正常战斗3!CN67,绕后战斗1!CN67,绕后战斗2!CN67)</f>
        <v>0</v>
      </c>
      <c r="R56" s="7">
        <f>AVERAGE(绕后战斗1!CO67,绕后战斗2!CO67)</f>
        <v>0</v>
      </c>
      <c r="S56" s="7">
        <f>AVERAGE(绕后战斗1!CP67,绕后战斗2!CP67)</f>
        <v>0</v>
      </c>
      <c r="T56" s="7">
        <f>AVERAGE(绕后战斗1!CQ67,绕后战斗2!CQ67)</f>
        <v>0</v>
      </c>
      <c r="U56" s="7">
        <f>AVERAGE(绕后战斗1!CR67,绕后战斗2!CR67)</f>
        <v>0</v>
      </c>
      <c r="V56" s="7">
        <f>AVERAGE(正常战斗1!CS67,正常战斗2!CS67,正常战斗3!CS67,绕后战斗1!CS67)</f>
        <v>0</v>
      </c>
      <c r="W56" s="7">
        <f>AVERAGE(正常战斗1!CT67,正常战斗2!CT67,正常战斗3!CT67,绕后战斗1!CT67)</f>
        <v>0</v>
      </c>
      <c r="X56" s="7">
        <f>AVERAGE(正常战斗1!CU67,正常战斗2!CU67,正常战斗3!CU67,绕后战斗1!CU67)</f>
        <v>0</v>
      </c>
      <c r="Y56" s="7">
        <f>AVERAGE(正常战斗1!CV67,正常战斗2!CV67,正常战斗3!CV67,绕后战斗1!CV67)</f>
        <v>0</v>
      </c>
      <c r="Z56" s="7">
        <f>AVERAGE(正常战斗1!CW67,正常战斗2!CW67,绕后战斗1!CW67,绕后战斗2!CW67)</f>
        <v>0</v>
      </c>
      <c r="AA56" s="7">
        <f>AVERAGE(正常战斗1!CX67,正常战斗2!CX67,绕后战斗1!CX67,绕后战斗2!CX67)</f>
        <v>0</v>
      </c>
      <c r="AB56" s="7">
        <f>AVERAGE(正常战斗1!CY67,正常战斗2!CY67,绕后战斗1!CY67,绕后战斗2!CY67)</f>
        <v>0</v>
      </c>
      <c r="AC56" s="7">
        <f>AVERAGE(正常战斗1!CZ67,正常战斗2!CZ67,绕后战斗1!CZ67,绕后战斗2!CZ67)</f>
        <v>0</v>
      </c>
      <c r="AD56" s="7"/>
      <c r="AE56" s="7"/>
      <c r="AU56" s="21"/>
    </row>
    <row r="57" spans="4:47" x14ac:dyDescent="0.15">
      <c r="D57" s="6">
        <v>52</v>
      </c>
      <c r="E57" s="7" t="e">
        <f>AVERAGE((正常战斗1!E68+正常战斗1!AK68)/2,(正常战斗2!E68+正常战斗2!AK68)/2,(正常战斗3!E68+正常战斗3!AK68)/2,(绕后战斗1!E68+绕后战斗1!AK68)/2,(绕后战斗2!E68+绕后战斗2!AK68)/2)/1000</f>
        <v>#VALUE!</v>
      </c>
      <c r="F57" s="7" t="e">
        <f>AVERAGE(绕后战斗1!BE68,(绕后战斗2!Y68+绕后战斗2!BE68)/2)/1000</f>
        <v>#VALUE!</v>
      </c>
      <c r="G57" s="7" t="e">
        <f>AVERAGE((正常战斗1!Y68+正常战斗1!AU68+正常战斗1!BE68)/3,(正常战斗2!Y68+正常战斗2!BE68)/2,(正常战斗3!O68+正常战斗3!Y68+正常战斗3!AU68+正常战斗3!BE68)/4,绕后战斗1!Y68)/1000</f>
        <v>#VALUE!</v>
      </c>
      <c r="H57" s="7" t="e">
        <f>AVERAGE(正常战斗1!O68,(正常战斗2!O68+正常战斗2!AU68)/2,(绕后战斗1!O68+绕后战斗1!AU68)/2,(绕后战斗2!O68+绕后战斗2!AU68)/2)/1000</f>
        <v>#VALUE!</v>
      </c>
      <c r="I57" s="7" t="e">
        <f>AVERAGE(AVERAGE((正常战斗1!J68+正常战斗1!AP68)/2,(正常战斗2!J68+正常战斗2!AP68)/2,(正常战斗3!J68+正常战斗3!AP68)/2,(绕后战斗1!J68+绕后战斗1!AP68)/2,(绕后战斗2!J68+绕后战斗2!AP68)/2),AVERAGE(正常战斗1!T68,(正常战斗2!T68+正常战斗2!AZ68)/2,(绕后战斗1!T68+绕后战斗1!AZ68)/2,(绕后战斗2!T68+绕后战斗2!AZ68)/2))</f>
        <v>#VALUE!</v>
      </c>
      <c r="J57" s="7" t="e">
        <f>AVERAGE(绕后战斗1!BJ68,(绕后战斗2!AD68+绕后战斗2!BJ68)/2)</f>
        <v>#VALUE!</v>
      </c>
      <c r="K57" s="7" t="e">
        <f>AVERAGE((正常战斗1!AD68+正常战斗1!AZ68+正常战斗1!BJ68)/3,(正常战斗2!AD68+正常战斗2!BJ68)/2,(正常战斗3!T68+正常战斗3!AD68+正常战斗3!AZ68+正常战斗3!BJ68)/4,绕后战斗1!AD68)</f>
        <v>#VALUE!</v>
      </c>
      <c r="L57" s="7" t="e">
        <f t="shared" si="0"/>
        <v>#VALUE!</v>
      </c>
      <c r="M57" s="7"/>
      <c r="N57" s="7">
        <f>AVERAGE(正常战斗1!CK68,正常战斗2!CK68,正常战斗3!CK68,绕后战斗1!CK68,绕后战斗2!CK68)</f>
        <v>0</v>
      </c>
      <c r="O57" s="7">
        <f>AVERAGE(正常战斗1!CL68,正常战斗2!CL68,正常战斗3!CL68,绕后战斗1!CL68,绕后战斗2!CL68)</f>
        <v>0</v>
      </c>
      <c r="P57" s="7">
        <f>AVERAGE(正常战斗1!CM68,正常战斗2!CM68,正常战斗3!CM68,绕后战斗1!CM68,绕后战斗2!CM68)</f>
        <v>0</v>
      </c>
      <c r="Q57" s="7">
        <f>AVERAGE(正常战斗1!CN68,正常战斗2!CN68,正常战斗3!CN68,绕后战斗1!CN68,绕后战斗2!CN68)</f>
        <v>0</v>
      </c>
      <c r="R57" s="7">
        <f>AVERAGE(绕后战斗1!CO68,绕后战斗2!CO68)</f>
        <v>0</v>
      </c>
      <c r="S57" s="7">
        <f>AVERAGE(绕后战斗1!CP68,绕后战斗2!CP68)</f>
        <v>0</v>
      </c>
      <c r="T57" s="7">
        <f>AVERAGE(绕后战斗1!CQ68,绕后战斗2!CQ68)</f>
        <v>0</v>
      </c>
      <c r="U57" s="7">
        <f>AVERAGE(绕后战斗1!CR68,绕后战斗2!CR68)</f>
        <v>0</v>
      </c>
      <c r="V57" s="7">
        <f>AVERAGE(正常战斗1!CS68,正常战斗2!CS68,正常战斗3!CS68,绕后战斗1!CS68)</f>
        <v>0</v>
      </c>
      <c r="W57" s="7">
        <f>AVERAGE(正常战斗1!CT68,正常战斗2!CT68,正常战斗3!CT68,绕后战斗1!CT68)</f>
        <v>0</v>
      </c>
      <c r="X57" s="7">
        <f>AVERAGE(正常战斗1!CU68,正常战斗2!CU68,正常战斗3!CU68,绕后战斗1!CU68)</f>
        <v>0</v>
      </c>
      <c r="Y57" s="7">
        <f>AVERAGE(正常战斗1!CV68,正常战斗2!CV68,正常战斗3!CV68,绕后战斗1!CV68)</f>
        <v>0</v>
      </c>
      <c r="Z57" s="7">
        <f>AVERAGE(正常战斗1!CW68,正常战斗2!CW68,绕后战斗1!CW68,绕后战斗2!CW68)</f>
        <v>0</v>
      </c>
      <c r="AA57" s="7">
        <f>AVERAGE(正常战斗1!CX68,正常战斗2!CX68,绕后战斗1!CX68,绕后战斗2!CX68)</f>
        <v>0</v>
      </c>
      <c r="AB57" s="7">
        <f>AVERAGE(正常战斗1!CY68,正常战斗2!CY68,绕后战斗1!CY68,绕后战斗2!CY68)</f>
        <v>0</v>
      </c>
      <c r="AC57" s="7">
        <f>AVERAGE(正常战斗1!CZ68,正常战斗2!CZ68,绕后战斗1!CZ68,绕后战斗2!CZ68)</f>
        <v>0</v>
      </c>
      <c r="AD57" s="7"/>
      <c r="AE57" s="7"/>
      <c r="AU57" s="21"/>
    </row>
    <row r="58" spans="4:47" x14ac:dyDescent="0.15">
      <c r="D58" s="6">
        <v>53</v>
      </c>
      <c r="E58" s="7" t="e">
        <f>AVERAGE((正常战斗1!E69+正常战斗1!AK69)/2,(正常战斗2!E69+正常战斗2!AK69)/2,(正常战斗3!E69+正常战斗3!AK69)/2,(绕后战斗1!E69+绕后战斗1!AK69)/2,(绕后战斗2!E69+绕后战斗2!AK69)/2)/1000</f>
        <v>#VALUE!</v>
      </c>
      <c r="F58" s="7" t="e">
        <f>AVERAGE(绕后战斗1!BE69,(绕后战斗2!Y69+绕后战斗2!BE69)/2)/1000</f>
        <v>#VALUE!</v>
      </c>
      <c r="G58" s="7" t="e">
        <f>AVERAGE((正常战斗1!Y69+正常战斗1!AU69+正常战斗1!BE69)/3,(正常战斗2!Y69+正常战斗2!BE69)/2,(正常战斗3!O69+正常战斗3!Y69+正常战斗3!AU69+正常战斗3!BE69)/4,绕后战斗1!Y69)/1000</f>
        <v>#VALUE!</v>
      </c>
      <c r="H58" s="7" t="e">
        <f>AVERAGE(正常战斗1!O69,(正常战斗2!O69+正常战斗2!AU69)/2,(绕后战斗1!O69+绕后战斗1!AU69)/2,(绕后战斗2!O69+绕后战斗2!AU69)/2)/1000</f>
        <v>#VALUE!</v>
      </c>
      <c r="I58" s="7" t="e">
        <f>AVERAGE(AVERAGE((正常战斗1!J69+正常战斗1!AP69)/2,(正常战斗2!J69+正常战斗2!AP69)/2,(正常战斗3!J69+正常战斗3!AP69)/2,(绕后战斗1!J69+绕后战斗1!AP69)/2,(绕后战斗2!J69+绕后战斗2!AP69)/2),AVERAGE(正常战斗1!T69,(正常战斗2!T69+正常战斗2!AZ69)/2,(绕后战斗1!T69+绕后战斗1!AZ69)/2,(绕后战斗2!T69+绕后战斗2!AZ69)/2))</f>
        <v>#VALUE!</v>
      </c>
      <c r="J58" s="7" t="e">
        <f>AVERAGE(绕后战斗1!BJ69,(绕后战斗2!AD69+绕后战斗2!BJ69)/2)</f>
        <v>#VALUE!</v>
      </c>
      <c r="K58" s="7" t="e">
        <f>AVERAGE((正常战斗1!AD69+正常战斗1!AZ69+正常战斗1!BJ69)/3,(正常战斗2!AD69+正常战斗2!BJ69)/2,(正常战斗3!T69+正常战斗3!AD69+正常战斗3!AZ69+正常战斗3!BJ69)/4,绕后战斗1!AD69)</f>
        <v>#VALUE!</v>
      </c>
      <c r="L58" s="7" t="e">
        <f t="shared" si="0"/>
        <v>#VALUE!</v>
      </c>
      <c r="M58" s="7"/>
      <c r="N58" s="7">
        <f>AVERAGE(正常战斗1!CK69,正常战斗2!CK69,正常战斗3!CK69,绕后战斗1!CK69,绕后战斗2!CK69)</f>
        <v>0</v>
      </c>
      <c r="O58" s="7">
        <f>AVERAGE(正常战斗1!CL69,正常战斗2!CL69,正常战斗3!CL69,绕后战斗1!CL69,绕后战斗2!CL69)</f>
        <v>0</v>
      </c>
      <c r="P58" s="7">
        <f>AVERAGE(正常战斗1!CM69,正常战斗2!CM69,正常战斗3!CM69,绕后战斗1!CM69,绕后战斗2!CM69)</f>
        <v>0</v>
      </c>
      <c r="Q58" s="7">
        <f>AVERAGE(正常战斗1!CN69,正常战斗2!CN69,正常战斗3!CN69,绕后战斗1!CN69,绕后战斗2!CN69)</f>
        <v>0</v>
      </c>
      <c r="R58" s="7">
        <f>AVERAGE(绕后战斗1!CO69,绕后战斗2!CO69)</f>
        <v>0</v>
      </c>
      <c r="S58" s="7">
        <f>AVERAGE(绕后战斗1!CP69,绕后战斗2!CP69)</f>
        <v>0</v>
      </c>
      <c r="T58" s="7">
        <f>AVERAGE(绕后战斗1!CQ69,绕后战斗2!CQ69)</f>
        <v>0</v>
      </c>
      <c r="U58" s="7">
        <f>AVERAGE(绕后战斗1!CR69,绕后战斗2!CR69)</f>
        <v>0</v>
      </c>
      <c r="V58" s="7">
        <f>AVERAGE(正常战斗1!CS69,正常战斗2!CS69,正常战斗3!CS69,绕后战斗1!CS69)</f>
        <v>0</v>
      </c>
      <c r="W58" s="7">
        <f>AVERAGE(正常战斗1!CT69,正常战斗2!CT69,正常战斗3!CT69,绕后战斗1!CT69)</f>
        <v>0</v>
      </c>
      <c r="X58" s="7">
        <f>AVERAGE(正常战斗1!CU69,正常战斗2!CU69,正常战斗3!CU69,绕后战斗1!CU69)</f>
        <v>0</v>
      </c>
      <c r="Y58" s="7">
        <f>AVERAGE(正常战斗1!CV69,正常战斗2!CV69,正常战斗3!CV69,绕后战斗1!CV69)</f>
        <v>0</v>
      </c>
      <c r="Z58" s="7">
        <f>AVERAGE(正常战斗1!CW69,正常战斗2!CW69,绕后战斗1!CW69,绕后战斗2!CW69)</f>
        <v>0</v>
      </c>
      <c r="AA58" s="7">
        <f>AVERAGE(正常战斗1!CX69,正常战斗2!CX69,绕后战斗1!CX69,绕后战斗2!CX69)</f>
        <v>0</v>
      </c>
      <c r="AB58" s="7">
        <f>AVERAGE(正常战斗1!CY69,正常战斗2!CY69,绕后战斗1!CY69,绕后战斗2!CY69)</f>
        <v>0</v>
      </c>
      <c r="AC58" s="7">
        <f>AVERAGE(正常战斗1!CZ69,正常战斗2!CZ69,绕后战斗1!CZ69,绕后战斗2!CZ69)</f>
        <v>0</v>
      </c>
      <c r="AD58" s="7"/>
      <c r="AE58" s="7"/>
      <c r="AU58" s="21"/>
    </row>
    <row r="59" spans="4:47" x14ac:dyDescent="0.15">
      <c r="D59" s="6">
        <v>54</v>
      </c>
      <c r="E59" s="7" t="e">
        <f>AVERAGE((正常战斗1!E70+正常战斗1!AK70)/2,(正常战斗2!E70+正常战斗2!AK70)/2,(正常战斗3!E70+正常战斗3!AK70)/2,(绕后战斗1!E70+绕后战斗1!AK70)/2,(绕后战斗2!E70+绕后战斗2!AK70)/2)/1000</f>
        <v>#VALUE!</v>
      </c>
      <c r="F59" s="7" t="e">
        <f>AVERAGE(绕后战斗1!BE70,(绕后战斗2!Y70+绕后战斗2!BE70)/2)/1000</f>
        <v>#VALUE!</v>
      </c>
      <c r="G59" s="7" t="e">
        <f>AVERAGE((正常战斗1!Y70+正常战斗1!AU70+正常战斗1!BE70)/3,(正常战斗2!Y70+正常战斗2!BE70)/2,(正常战斗3!O70+正常战斗3!Y70+正常战斗3!AU70+正常战斗3!BE70)/4,绕后战斗1!Y70)/1000</f>
        <v>#VALUE!</v>
      </c>
      <c r="H59" s="7" t="e">
        <f>AVERAGE(正常战斗1!O70,(正常战斗2!O70+正常战斗2!AU70)/2,(绕后战斗1!O70+绕后战斗1!AU70)/2,(绕后战斗2!O70+绕后战斗2!AU70)/2)/1000</f>
        <v>#VALUE!</v>
      </c>
      <c r="I59" s="7" t="e">
        <f>AVERAGE(AVERAGE((正常战斗1!J70+正常战斗1!AP70)/2,(正常战斗2!J70+正常战斗2!AP70)/2,(正常战斗3!J70+正常战斗3!AP70)/2,(绕后战斗1!J70+绕后战斗1!AP70)/2,(绕后战斗2!J70+绕后战斗2!AP70)/2),AVERAGE(正常战斗1!T70,(正常战斗2!T70+正常战斗2!AZ70)/2,(绕后战斗1!T70+绕后战斗1!AZ70)/2,(绕后战斗2!T70+绕后战斗2!AZ70)/2))</f>
        <v>#VALUE!</v>
      </c>
      <c r="J59" s="7" t="e">
        <f>AVERAGE(绕后战斗1!BJ70,(绕后战斗2!AD70+绕后战斗2!BJ70)/2)</f>
        <v>#VALUE!</v>
      </c>
      <c r="K59" s="7" t="e">
        <f>AVERAGE((正常战斗1!AD70+正常战斗1!AZ70+正常战斗1!BJ70)/3,(正常战斗2!AD70+正常战斗2!BJ70)/2,(正常战斗3!T70+正常战斗3!AD70+正常战斗3!AZ70+正常战斗3!BJ70)/4,绕后战斗1!AD70)</f>
        <v>#VALUE!</v>
      </c>
      <c r="L59" s="7" t="e">
        <f t="shared" si="0"/>
        <v>#VALUE!</v>
      </c>
      <c r="M59" s="7"/>
      <c r="N59" s="7">
        <f>AVERAGE(正常战斗1!CK70,正常战斗2!CK70,正常战斗3!CK70,绕后战斗1!CK70,绕后战斗2!CK70)</f>
        <v>0</v>
      </c>
      <c r="O59" s="7">
        <f>AVERAGE(正常战斗1!CL70,正常战斗2!CL70,正常战斗3!CL70,绕后战斗1!CL70,绕后战斗2!CL70)</f>
        <v>0</v>
      </c>
      <c r="P59" s="7">
        <f>AVERAGE(正常战斗1!CM70,正常战斗2!CM70,正常战斗3!CM70,绕后战斗1!CM70,绕后战斗2!CM70)</f>
        <v>0</v>
      </c>
      <c r="Q59" s="7">
        <f>AVERAGE(正常战斗1!CN70,正常战斗2!CN70,正常战斗3!CN70,绕后战斗1!CN70,绕后战斗2!CN70)</f>
        <v>0</v>
      </c>
      <c r="R59" s="7">
        <f>AVERAGE(绕后战斗1!CO70,绕后战斗2!CO70)</f>
        <v>0</v>
      </c>
      <c r="S59" s="7">
        <f>AVERAGE(绕后战斗1!CP70,绕后战斗2!CP70)</f>
        <v>0</v>
      </c>
      <c r="T59" s="7">
        <f>AVERAGE(绕后战斗1!CQ70,绕后战斗2!CQ70)</f>
        <v>0</v>
      </c>
      <c r="U59" s="7">
        <f>AVERAGE(绕后战斗1!CR70,绕后战斗2!CR70)</f>
        <v>0</v>
      </c>
      <c r="V59" s="7">
        <f>AVERAGE(正常战斗1!CS70,正常战斗2!CS70,正常战斗3!CS70,绕后战斗1!CS70)</f>
        <v>0</v>
      </c>
      <c r="W59" s="7">
        <f>AVERAGE(正常战斗1!CT70,正常战斗2!CT70,正常战斗3!CT70,绕后战斗1!CT70)</f>
        <v>0</v>
      </c>
      <c r="X59" s="7">
        <f>AVERAGE(正常战斗1!CU70,正常战斗2!CU70,正常战斗3!CU70,绕后战斗1!CU70)</f>
        <v>0</v>
      </c>
      <c r="Y59" s="7">
        <f>AVERAGE(正常战斗1!CV70,正常战斗2!CV70,正常战斗3!CV70,绕后战斗1!CV70)</f>
        <v>0</v>
      </c>
      <c r="Z59" s="7">
        <f>AVERAGE(正常战斗1!CW70,正常战斗2!CW70,绕后战斗1!CW70,绕后战斗2!CW70)</f>
        <v>0</v>
      </c>
      <c r="AA59" s="7">
        <f>AVERAGE(正常战斗1!CX70,正常战斗2!CX70,绕后战斗1!CX70,绕后战斗2!CX70)</f>
        <v>0</v>
      </c>
      <c r="AB59" s="7">
        <f>AVERAGE(正常战斗1!CY70,正常战斗2!CY70,绕后战斗1!CY70,绕后战斗2!CY70)</f>
        <v>0</v>
      </c>
      <c r="AC59" s="7">
        <f>AVERAGE(正常战斗1!CZ70,正常战斗2!CZ70,绕后战斗1!CZ70,绕后战斗2!CZ70)</f>
        <v>0</v>
      </c>
      <c r="AD59" s="7"/>
      <c r="AE59" s="7"/>
      <c r="AU59" s="21"/>
    </row>
    <row r="60" spans="4:47" x14ac:dyDescent="0.15">
      <c r="D60" s="6">
        <v>55</v>
      </c>
      <c r="E60" s="7" t="e">
        <f>AVERAGE((正常战斗1!E71+正常战斗1!AK71)/2,(正常战斗2!E71+正常战斗2!AK71)/2,(正常战斗3!E71+正常战斗3!AK71)/2,(绕后战斗1!E71+绕后战斗1!AK71)/2,(绕后战斗2!E71+绕后战斗2!AK71)/2)/1000</f>
        <v>#VALUE!</v>
      </c>
      <c r="F60" s="7" t="e">
        <f>AVERAGE(绕后战斗1!BE71,(绕后战斗2!Y71+绕后战斗2!BE71)/2)/1000</f>
        <v>#VALUE!</v>
      </c>
      <c r="G60" s="7" t="e">
        <f>AVERAGE((正常战斗1!Y71+正常战斗1!AU71+正常战斗1!BE71)/3,(正常战斗2!Y71+正常战斗2!BE71)/2,(正常战斗3!O71+正常战斗3!Y71+正常战斗3!AU71+正常战斗3!BE71)/4,绕后战斗1!Y71)/1000</f>
        <v>#VALUE!</v>
      </c>
      <c r="H60" s="7" t="e">
        <f>AVERAGE(正常战斗1!O71,(正常战斗2!O71+正常战斗2!AU71)/2,(绕后战斗1!O71+绕后战斗1!AU71)/2,(绕后战斗2!O71+绕后战斗2!AU71)/2)/1000</f>
        <v>#VALUE!</v>
      </c>
      <c r="I60" s="7" t="e">
        <f>AVERAGE(AVERAGE((正常战斗1!J71+正常战斗1!AP71)/2,(正常战斗2!J71+正常战斗2!AP71)/2,(正常战斗3!J71+正常战斗3!AP71)/2,(绕后战斗1!J71+绕后战斗1!AP71)/2,(绕后战斗2!J71+绕后战斗2!AP71)/2),AVERAGE(正常战斗1!T71,(正常战斗2!T71+正常战斗2!AZ71)/2,(绕后战斗1!T71+绕后战斗1!AZ71)/2,(绕后战斗2!T71+绕后战斗2!AZ71)/2))</f>
        <v>#VALUE!</v>
      </c>
      <c r="J60" s="7" t="e">
        <f>AVERAGE(绕后战斗1!BJ71,(绕后战斗2!AD71+绕后战斗2!BJ71)/2)</f>
        <v>#VALUE!</v>
      </c>
      <c r="K60" s="7" t="e">
        <f>AVERAGE((正常战斗1!AD71+正常战斗1!AZ71+正常战斗1!BJ71)/3,(正常战斗2!AD71+正常战斗2!BJ71)/2,(正常战斗3!T71+正常战斗3!AD71+正常战斗3!AZ71+正常战斗3!BJ71)/4,绕后战斗1!AD71)</f>
        <v>#VALUE!</v>
      </c>
      <c r="L60" s="7" t="e">
        <f t="shared" si="0"/>
        <v>#VALUE!</v>
      </c>
      <c r="M60" s="7"/>
      <c r="N60" s="7">
        <f>AVERAGE(正常战斗1!CK71,正常战斗2!CK71,正常战斗3!CK71,绕后战斗1!CK71,绕后战斗2!CK71)</f>
        <v>0</v>
      </c>
      <c r="O60" s="7">
        <f>AVERAGE(正常战斗1!CL71,正常战斗2!CL71,正常战斗3!CL71,绕后战斗1!CL71,绕后战斗2!CL71)</f>
        <v>0</v>
      </c>
      <c r="P60" s="7">
        <f>AVERAGE(正常战斗1!CM71,正常战斗2!CM71,正常战斗3!CM71,绕后战斗1!CM71,绕后战斗2!CM71)</f>
        <v>0</v>
      </c>
      <c r="Q60" s="7">
        <f>AVERAGE(正常战斗1!CN71,正常战斗2!CN71,正常战斗3!CN71,绕后战斗1!CN71,绕后战斗2!CN71)</f>
        <v>0</v>
      </c>
      <c r="R60" s="7">
        <f>AVERAGE(绕后战斗1!CO71,绕后战斗2!CO71)</f>
        <v>0</v>
      </c>
      <c r="S60" s="7">
        <f>AVERAGE(绕后战斗1!CP71,绕后战斗2!CP71)</f>
        <v>0</v>
      </c>
      <c r="T60" s="7">
        <f>AVERAGE(绕后战斗1!CQ71,绕后战斗2!CQ71)</f>
        <v>0</v>
      </c>
      <c r="U60" s="7">
        <f>AVERAGE(绕后战斗1!CR71,绕后战斗2!CR71)</f>
        <v>0</v>
      </c>
      <c r="V60" s="7">
        <f>AVERAGE(正常战斗1!CS71,正常战斗2!CS71,正常战斗3!CS71,绕后战斗1!CS71)</f>
        <v>0</v>
      </c>
      <c r="W60" s="7">
        <f>AVERAGE(正常战斗1!CT71,正常战斗2!CT71,正常战斗3!CT71,绕后战斗1!CT71)</f>
        <v>0</v>
      </c>
      <c r="X60" s="7">
        <f>AVERAGE(正常战斗1!CU71,正常战斗2!CU71,正常战斗3!CU71,绕后战斗1!CU71)</f>
        <v>0</v>
      </c>
      <c r="Y60" s="7">
        <f>AVERAGE(正常战斗1!CV71,正常战斗2!CV71,正常战斗3!CV71,绕后战斗1!CV71)</f>
        <v>0</v>
      </c>
      <c r="Z60" s="7">
        <f>AVERAGE(正常战斗1!CW71,正常战斗2!CW71,绕后战斗1!CW71,绕后战斗2!CW71)</f>
        <v>0</v>
      </c>
      <c r="AA60" s="7">
        <f>AVERAGE(正常战斗1!CX71,正常战斗2!CX71,绕后战斗1!CX71,绕后战斗2!CX71)</f>
        <v>0</v>
      </c>
      <c r="AB60" s="7">
        <f>AVERAGE(正常战斗1!CY71,正常战斗2!CY71,绕后战斗1!CY71,绕后战斗2!CY71)</f>
        <v>0</v>
      </c>
      <c r="AC60" s="7">
        <f>AVERAGE(正常战斗1!CZ71,正常战斗2!CZ71,绕后战斗1!CZ71,绕后战斗2!CZ71)</f>
        <v>0</v>
      </c>
      <c r="AD60" s="7"/>
      <c r="AE60" s="7"/>
      <c r="AU60" s="21"/>
    </row>
    <row r="61" spans="4:47" x14ac:dyDescent="0.15">
      <c r="D61" s="6">
        <v>56</v>
      </c>
      <c r="E61" s="7" t="e">
        <f>AVERAGE((正常战斗1!E72+正常战斗1!AK72)/2,(正常战斗2!E72+正常战斗2!AK72)/2,(正常战斗3!E72+正常战斗3!AK72)/2,(绕后战斗1!E72+绕后战斗1!AK72)/2,(绕后战斗2!E72+绕后战斗2!AK72)/2)/1000</f>
        <v>#VALUE!</v>
      </c>
      <c r="F61" s="7" t="e">
        <f>AVERAGE(绕后战斗1!BE72,(绕后战斗2!Y72+绕后战斗2!BE72)/2)/1000</f>
        <v>#VALUE!</v>
      </c>
      <c r="G61" s="7" t="e">
        <f>AVERAGE((正常战斗1!Y72+正常战斗1!AU72+正常战斗1!BE72)/3,(正常战斗2!Y72+正常战斗2!BE72)/2,(正常战斗3!O72+正常战斗3!Y72+正常战斗3!AU72+正常战斗3!BE72)/4,绕后战斗1!Y72)/1000</f>
        <v>#VALUE!</v>
      </c>
      <c r="H61" s="7" t="e">
        <f>AVERAGE(正常战斗1!O72,(正常战斗2!O72+正常战斗2!AU72)/2,(绕后战斗1!O72+绕后战斗1!AU72)/2,(绕后战斗2!O72+绕后战斗2!AU72)/2)/1000</f>
        <v>#VALUE!</v>
      </c>
      <c r="I61" s="7" t="e">
        <f>AVERAGE(AVERAGE((正常战斗1!J72+正常战斗1!AP72)/2,(正常战斗2!J72+正常战斗2!AP72)/2,(正常战斗3!J72+正常战斗3!AP72)/2,(绕后战斗1!J72+绕后战斗1!AP72)/2,(绕后战斗2!J72+绕后战斗2!AP72)/2),AVERAGE(正常战斗1!T72,(正常战斗2!T72+正常战斗2!AZ72)/2,(绕后战斗1!T72+绕后战斗1!AZ72)/2,(绕后战斗2!T72+绕后战斗2!AZ72)/2))</f>
        <v>#VALUE!</v>
      </c>
      <c r="J61" s="7" t="e">
        <f>AVERAGE(绕后战斗1!BJ72,(绕后战斗2!AD72+绕后战斗2!BJ72)/2)</f>
        <v>#VALUE!</v>
      </c>
      <c r="K61" s="7" t="e">
        <f>AVERAGE((正常战斗1!AD72+正常战斗1!AZ72+正常战斗1!BJ72)/3,(正常战斗2!AD72+正常战斗2!BJ72)/2,(正常战斗3!T72+正常战斗3!AD72+正常战斗3!AZ72+正常战斗3!BJ72)/4,绕后战斗1!AD72)</f>
        <v>#VALUE!</v>
      </c>
      <c r="L61" s="7" t="e">
        <f t="shared" si="0"/>
        <v>#VALUE!</v>
      </c>
      <c r="M61" s="7"/>
      <c r="N61" s="7">
        <f>AVERAGE(正常战斗1!CK72,正常战斗2!CK72,正常战斗3!CK72,绕后战斗1!CK72,绕后战斗2!CK72)</f>
        <v>0</v>
      </c>
      <c r="O61" s="7">
        <f>AVERAGE(正常战斗1!CL72,正常战斗2!CL72,正常战斗3!CL72,绕后战斗1!CL72,绕后战斗2!CL72)</f>
        <v>0</v>
      </c>
      <c r="P61" s="7">
        <f>AVERAGE(正常战斗1!CM72,正常战斗2!CM72,正常战斗3!CM72,绕后战斗1!CM72,绕后战斗2!CM72)</f>
        <v>0</v>
      </c>
      <c r="Q61" s="7">
        <f>AVERAGE(正常战斗1!CN72,正常战斗2!CN72,正常战斗3!CN72,绕后战斗1!CN72,绕后战斗2!CN72)</f>
        <v>0</v>
      </c>
      <c r="R61" s="7">
        <f>AVERAGE(绕后战斗1!CO72,绕后战斗2!CO72)</f>
        <v>0</v>
      </c>
      <c r="S61" s="7">
        <f>AVERAGE(绕后战斗1!CP72,绕后战斗2!CP72)</f>
        <v>0</v>
      </c>
      <c r="T61" s="7">
        <f>AVERAGE(绕后战斗1!CQ72,绕后战斗2!CQ72)</f>
        <v>0</v>
      </c>
      <c r="U61" s="7">
        <f>AVERAGE(绕后战斗1!CR72,绕后战斗2!CR72)</f>
        <v>0</v>
      </c>
      <c r="V61" s="7">
        <f>AVERAGE(正常战斗1!CS72,正常战斗2!CS72,正常战斗3!CS72,绕后战斗1!CS72)</f>
        <v>0</v>
      </c>
      <c r="W61" s="7">
        <f>AVERAGE(正常战斗1!CT72,正常战斗2!CT72,正常战斗3!CT72,绕后战斗1!CT72)</f>
        <v>0</v>
      </c>
      <c r="X61" s="7">
        <f>AVERAGE(正常战斗1!CU72,正常战斗2!CU72,正常战斗3!CU72,绕后战斗1!CU72)</f>
        <v>0</v>
      </c>
      <c r="Y61" s="7">
        <f>AVERAGE(正常战斗1!CV72,正常战斗2!CV72,正常战斗3!CV72,绕后战斗1!CV72)</f>
        <v>0</v>
      </c>
      <c r="Z61" s="7">
        <f>AVERAGE(正常战斗1!CW72,正常战斗2!CW72,绕后战斗1!CW72,绕后战斗2!CW72)</f>
        <v>0</v>
      </c>
      <c r="AA61" s="7">
        <f>AVERAGE(正常战斗1!CX72,正常战斗2!CX72,绕后战斗1!CX72,绕后战斗2!CX72)</f>
        <v>0</v>
      </c>
      <c r="AB61" s="7">
        <f>AVERAGE(正常战斗1!CY72,正常战斗2!CY72,绕后战斗1!CY72,绕后战斗2!CY72)</f>
        <v>0</v>
      </c>
      <c r="AC61" s="7">
        <f>AVERAGE(正常战斗1!CZ72,正常战斗2!CZ72,绕后战斗1!CZ72,绕后战斗2!CZ72)</f>
        <v>0</v>
      </c>
      <c r="AD61" s="7"/>
      <c r="AE61" s="7"/>
      <c r="AU61" s="21"/>
    </row>
    <row r="62" spans="4:47" x14ac:dyDescent="0.15">
      <c r="D62" s="6">
        <v>57</v>
      </c>
      <c r="E62" s="7" t="e">
        <f>AVERAGE((正常战斗1!E73+正常战斗1!AK73)/2,(正常战斗2!E73+正常战斗2!AK73)/2,(正常战斗3!E73+正常战斗3!AK73)/2,(绕后战斗1!E73+绕后战斗1!AK73)/2,(绕后战斗2!E73+绕后战斗2!AK73)/2)/1000</f>
        <v>#VALUE!</v>
      </c>
      <c r="F62" s="7" t="e">
        <f>AVERAGE(绕后战斗1!BE73,(绕后战斗2!Y73+绕后战斗2!BE73)/2)/1000</f>
        <v>#VALUE!</v>
      </c>
      <c r="G62" s="7" t="e">
        <f>AVERAGE((正常战斗1!Y73+正常战斗1!AU73+正常战斗1!BE73)/3,(正常战斗2!Y73+正常战斗2!BE73)/2,(正常战斗3!O73+正常战斗3!Y73+正常战斗3!AU73+正常战斗3!BE73)/4,绕后战斗1!Y73)/1000</f>
        <v>#VALUE!</v>
      </c>
      <c r="H62" s="7" t="e">
        <f>AVERAGE(正常战斗1!O73,(正常战斗2!O73+正常战斗2!AU73)/2,(绕后战斗1!O73+绕后战斗1!AU73)/2,(绕后战斗2!O73+绕后战斗2!AU73)/2)/1000</f>
        <v>#VALUE!</v>
      </c>
      <c r="I62" s="7" t="e">
        <f>AVERAGE(AVERAGE((正常战斗1!J73+正常战斗1!AP73)/2,(正常战斗2!J73+正常战斗2!AP73)/2,(正常战斗3!J73+正常战斗3!AP73)/2,(绕后战斗1!J73+绕后战斗1!AP73)/2,(绕后战斗2!J73+绕后战斗2!AP73)/2),AVERAGE(正常战斗1!T73,(正常战斗2!T73+正常战斗2!AZ73)/2,(绕后战斗1!T73+绕后战斗1!AZ73)/2,(绕后战斗2!T73+绕后战斗2!AZ73)/2))</f>
        <v>#VALUE!</v>
      </c>
      <c r="J62" s="7" t="e">
        <f>AVERAGE(绕后战斗1!BJ73,(绕后战斗2!AD73+绕后战斗2!BJ73)/2)</f>
        <v>#VALUE!</v>
      </c>
      <c r="K62" s="7" t="e">
        <f>AVERAGE((正常战斗1!AD73+正常战斗1!AZ73+正常战斗1!BJ73)/3,(正常战斗2!AD73+正常战斗2!BJ73)/2,(正常战斗3!T73+正常战斗3!AD73+正常战斗3!AZ73+正常战斗3!BJ73)/4,绕后战斗1!AD73)</f>
        <v>#VALUE!</v>
      </c>
      <c r="L62" s="7" t="e">
        <f t="shared" si="0"/>
        <v>#VALUE!</v>
      </c>
      <c r="M62" s="7"/>
      <c r="N62" s="7">
        <f>AVERAGE(正常战斗1!CK73,正常战斗2!CK73,正常战斗3!CK73,绕后战斗1!CK73,绕后战斗2!CK73)</f>
        <v>0</v>
      </c>
      <c r="O62" s="7">
        <f>AVERAGE(正常战斗1!CL73,正常战斗2!CL73,正常战斗3!CL73,绕后战斗1!CL73,绕后战斗2!CL73)</f>
        <v>0</v>
      </c>
      <c r="P62" s="7">
        <f>AVERAGE(正常战斗1!CM73,正常战斗2!CM73,正常战斗3!CM73,绕后战斗1!CM73,绕后战斗2!CM73)</f>
        <v>0</v>
      </c>
      <c r="Q62" s="7">
        <f>AVERAGE(正常战斗1!CN73,正常战斗2!CN73,正常战斗3!CN73,绕后战斗1!CN73,绕后战斗2!CN73)</f>
        <v>0</v>
      </c>
      <c r="R62" s="7">
        <f>AVERAGE(绕后战斗1!CO73,绕后战斗2!CO73)</f>
        <v>0</v>
      </c>
      <c r="S62" s="7">
        <f>AVERAGE(绕后战斗1!CP73,绕后战斗2!CP73)</f>
        <v>0</v>
      </c>
      <c r="T62" s="7">
        <f>AVERAGE(绕后战斗1!CQ73,绕后战斗2!CQ73)</f>
        <v>0</v>
      </c>
      <c r="U62" s="7">
        <f>AVERAGE(绕后战斗1!CR73,绕后战斗2!CR73)</f>
        <v>0</v>
      </c>
      <c r="V62" s="7">
        <f>AVERAGE(正常战斗1!CS73,正常战斗2!CS73,正常战斗3!CS73,绕后战斗1!CS73)</f>
        <v>0</v>
      </c>
      <c r="W62" s="7">
        <f>AVERAGE(正常战斗1!CT73,正常战斗2!CT73,正常战斗3!CT73,绕后战斗1!CT73)</f>
        <v>0</v>
      </c>
      <c r="X62" s="7">
        <f>AVERAGE(正常战斗1!CU73,正常战斗2!CU73,正常战斗3!CU73,绕后战斗1!CU73)</f>
        <v>0</v>
      </c>
      <c r="Y62" s="7">
        <f>AVERAGE(正常战斗1!CV73,正常战斗2!CV73,正常战斗3!CV73,绕后战斗1!CV73)</f>
        <v>0</v>
      </c>
      <c r="Z62" s="7">
        <f>AVERAGE(正常战斗1!CW73,正常战斗2!CW73,绕后战斗1!CW73,绕后战斗2!CW73)</f>
        <v>0</v>
      </c>
      <c r="AA62" s="7">
        <f>AVERAGE(正常战斗1!CX73,正常战斗2!CX73,绕后战斗1!CX73,绕后战斗2!CX73)</f>
        <v>0</v>
      </c>
      <c r="AB62" s="7">
        <f>AVERAGE(正常战斗1!CY73,正常战斗2!CY73,绕后战斗1!CY73,绕后战斗2!CY73)</f>
        <v>0</v>
      </c>
      <c r="AC62" s="7">
        <f>AVERAGE(正常战斗1!CZ73,正常战斗2!CZ73,绕后战斗1!CZ73,绕后战斗2!CZ73)</f>
        <v>0</v>
      </c>
      <c r="AD62" s="7"/>
      <c r="AE62" s="7"/>
      <c r="AU62" s="21"/>
    </row>
    <row r="63" spans="4:47" x14ac:dyDescent="0.15">
      <c r="D63" s="6">
        <v>58</v>
      </c>
      <c r="E63" s="7" t="e">
        <f>AVERAGE((正常战斗1!E74+正常战斗1!AK74)/2,(正常战斗2!E74+正常战斗2!AK74)/2,(正常战斗3!E74+正常战斗3!AK74)/2,(绕后战斗1!E74+绕后战斗1!AK74)/2,(绕后战斗2!E74+绕后战斗2!AK74)/2)/1000</f>
        <v>#VALUE!</v>
      </c>
      <c r="F63" s="7" t="e">
        <f>AVERAGE(绕后战斗1!BE74,(绕后战斗2!Y74+绕后战斗2!BE74)/2)/1000</f>
        <v>#VALUE!</v>
      </c>
      <c r="G63" s="7" t="e">
        <f>AVERAGE((正常战斗1!Y74+正常战斗1!AU74+正常战斗1!BE74)/3,(正常战斗2!Y74+正常战斗2!BE74)/2,(正常战斗3!O74+正常战斗3!Y74+正常战斗3!AU74+正常战斗3!BE74)/4,绕后战斗1!Y74)/1000</f>
        <v>#VALUE!</v>
      </c>
      <c r="H63" s="7" t="e">
        <f>AVERAGE(正常战斗1!O74,(正常战斗2!O74+正常战斗2!AU74)/2,(绕后战斗1!O74+绕后战斗1!AU74)/2,(绕后战斗2!O74+绕后战斗2!AU74)/2)/1000</f>
        <v>#VALUE!</v>
      </c>
      <c r="I63" s="7" t="e">
        <f>AVERAGE(AVERAGE((正常战斗1!J74+正常战斗1!AP74)/2,(正常战斗2!J74+正常战斗2!AP74)/2,(正常战斗3!J74+正常战斗3!AP74)/2,(绕后战斗1!J74+绕后战斗1!AP74)/2,(绕后战斗2!J74+绕后战斗2!AP74)/2),AVERAGE(正常战斗1!T74,(正常战斗2!T74+正常战斗2!AZ74)/2,(绕后战斗1!T74+绕后战斗1!AZ74)/2,(绕后战斗2!T74+绕后战斗2!AZ74)/2))</f>
        <v>#VALUE!</v>
      </c>
      <c r="J63" s="7" t="e">
        <f>AVERAGE(绕后战斗1!BJ74,(绕后战斗2!AD74+绕后战斗2!BJ74)/2)</f>
        <v>#VALUE!</v>
      </c>
      <c r="K63" s="7" t="e">
        <f>AVERAGE((正常战斗1!AD74+正常战斗1!AZ74+正常战斗1!BJ74)/3,(正常战斗2!AD74+正常战斗2!BJ74)/2,(正常战斗3!T74+正常战斗3!AD74+正常战斗3!AZ74+正常战斗3!BJ74)/4,绕后战斗1!AD74)</f>
        <v>#VALUE!</v>
      </c>
      <c r="L63" s="7" t="e">
        <f t="shared" si="0"/>
        <v>#VALUE!</v>
      </c>
      <c r="M63" s="7"/>
      <c r="N63" s="7">
        <f>AVERAGE(正常战斗1!CK74,正常战斗2!CK74,正常战斗3!CK74,绕后战斗1!CK74,绕后战斗2!CK74)</f>
        <v>0</v>
      </c>
      <c r="O63" s="7">
        <f>AVERAGE(正常战斗1!CL74,正常战斗2!CL74,正常战斗3!CL74,绕后战斗1!CL74,绕后战斗2!CL74)</f>
        <v>0</v>
      </c>
      <c r="P63" s="7">
        <f>AVERAGE(正常战斗1!CM74,正常战斗2!CM74,正常战斗3!CM74,绕后战斗1!CM74,绕后战斗2!CM74)</f>
        <v>0</v>
      </c>
      <c r="Q63" s="7">
        <f>AVERAGE(正常战斗1!CN74,正常战斗2!CN74,正常战斗3!CN74,绕后战斗1!CN74,绕后战斗2!CN74)</f>
        <v>0</v>
      </c>
      <c r="R63" s="7">
        <f>AVERAGE(绕后战斗1!CO74,绕后战斗2!CO74)</f>
        <v>0</v>
      </c>
      <c r="S63" s="7">
        <f>AVERAGE(绕后战斗1!CP74,绕后战斗2!CP74)</f>
        <v>0</v>
      </c>
      <c r="T63" s="7">
        <f>AVERAGE(绕后战斗1!CQ74,绕后战斗2!CQ74)</f>
        <v>0</v>
      </c>
      <c r="U63" s="7">
        <f>AVERAGE(绕后战斗1!CR74,绕后战斗2!CR74)</f>
        <v>0</v>
      </c>
      <c r="V63" s="7">
        <f>AVERAGE(正常战斗1!CS74,正常战斗2!CS74,正常战斗3!CS74,绕后战斗1!CS74)</f>
        <v>0</v>
      </c>
      <c r="W63" s="7">
        <f>AVERAGE(正常战斗1!CT74,正常战斗2!CT74,正常战斗3!CT74,绕后战斗1!CT74)</f>
        <v>0</v>
      </c>
      <c r="X63" s="7">
        <f>AVERAGE(正常战斗1!CU74,正常战斗2!CU74,正常战斗3!CU74,绕后战斗1!CU74)</f>
        <v>0</v>
      </c>
      <c r="Y63" s="7">
        <f>AVERAGE(正常战斗1!CV74,正常战斗2!CV74,正常战斗3!CV74,绕后战斗1!CV74)</f>
        <v>0</v>
      </c>
      <c r="Z63" s="7">
        <f>AVERAGE(正常战斗1!CW74,正常战斗2!CW74,绕后战斗1!CW74,绕后战斗2!CW74)</f>
        <v>0</v>
      </c>
      <c r="AA63" s="7">
        <f>AVERAGE(正常战斗1!CX74,正常战斗2!CX74,绕后战斗1!CX74,绕后战斗2!CX74)</f>
        <v>0</v>
      </c>
      <c r="AB63" s="7">
        <f>AVERAGE(正常战斗1!CY74,正常战斗2!CY74,绕后战斗1!CY74,绕后战斗2!CY74)</f>
        <v>0</v>
      </c>
      <c r="AC63" s="7">
        <f>AVERAGE(正常战斗1!CZ74,正常战斗2!CZ74,绕后战斗1!CZ74,绕后战斗2!CZ74)</f>
        <v>0</v>
      </c>
      <c r="AD63" s="7"/>
      <c r="AE63" s="7"/>
      <c r="AU63" s="21"/>
    </row>
    <row r="64" spans="4:47" x14ac:dyDescent="0.15">
      <c r="D64" s="6">
        <v>59</v>
      </c>
      <c r="E64" s="7" t="e">
        <f>AVERAGE((正常战斗1!E75+正常战斗1!AK75)/2,(正常战斗2!E75+正常战斗2!AK75)/2,(正常战斗3!E75+正常战斗3!AK75)/2,(绕后战斗1!E75+绕后战斗1!AK75)/2,(绕后战斗2!E75+绕后战斗2!AK75)/2)/1000</f>
        <v>#VALUE!</v>
      </c>
      <c r="F64" s="7" t="e">
        <f>AVERAGE(绕后战斗1!BE75,(绕后战斗2!Y75+绕后战斗2!BE75)/2)/1000</f>
        <v>#VALUE!</v>
      </c>
      <c r="G64" s="7" t="e">
        <f>AVERAGE((正常战斗1!Y75+正常战斗1!AU75+正常战斗1!BE75)/3,(正常战斗2!Y75+正常战斗2!BE75)/2,(正常战斗3!O75+正常战斗3!Y75+正常战斗3!AU75+正常战斗3!BE75)/4,绕后战斗1!Y75)/1000</f>
        <v>#VALUE!</v>
      </c>
      <c r="H64" s="7" t="e">
        <f>AVERAGE(正常战斗1!O75,(正常战斗2!O75+正常战斗2!AU75)/2,(绕后战斗1!O75+绕后战斗1!AU75)/2,(绕后战斗2!O75+绕后战斗2!AU75)/2)/1000</f>
        <v>#VALUE!</v>
      </c>
      <c r="I64" s="7" t="e">
        <f>AVERAGE(AVERAGE((正常战斗1!J75+正常战斗1!AP75)/2,(正常战斗2!J75+正常战斗2!AP75)/2,(正常战斗3!J75+正常战斗3!AP75)/2,(绕后战斗1!J75+绕后战斗1!AP75)/2,(绕后战斗2!J75+绕后战斗2!AP75)/2),AVERAGE(正常战斗1!T75,(正常战斗2!T75+正常战斗2!AZ75)/2,(绕后战斗1!T75+绕后战斗1!AZ75)/2,(绕后战斗2!T75+绕后战斗2!AZ75)/2))</f>
        <v>#VALUE!</v>
      </c>
      <c r="J64" s="7" t="e">
        <f>AVERAGE(绕后战斗1!BJ75,(绕后战斗2!AD75+绕后战斗2!BJ75)/2)</f>
        <v>#VALUE!</v>
      </c>
      <c r="K64" s="7" t="e">
        <f>AVERAGE((正常战斗1!AD75+正常战斗1!AZ75+正常战斗1!BJ75)/3,(正常战斗2!AD75+正常战斗2!BJ75)/2,(正常战斗3!T75+正常战斗3!AD75+正常战斗3!AZ75+正常战斗3!BJ75)/4,绕后战斗1!AD75)</f>
        <v>#VALUE!</v>
      </c>
      <c r="L64" s="7" t="e">
        <f t="shared" si="0"/>
        <v>#VALUE!</v>
      </c>
      <c r="M64" s="7"/>
      <c r="N64" s="7">
        <f>AVERAGE(正常战斗1!CK75,正常战斗2!CK75,正常战斗3!CK75,绕后战斗1!CK75,绕后战斗2!CK75)</f>
        <v>0</v>
      </c>
      <c r="O64" s="7">
        <f>AVERAGE(正常战斗1!CL75,正常战斗2!CL75,正常战斗3!CL75,绕后战斗1!CL75,绕后战斗2!CL75)</f>
        <v>0</v>
      </c>
      <c r="P64" s="7">
        <f>AVERAGE(正常战斗1!CM75,正常战斗2!CM75,正常战斗3!CM75,绕后战斗1!CM75,绕后战斗2!CM75)</f>
        <v>0</v>
      </c>
      <c r="Q64" s="7">
        <f>AVERAGE(正常战斗1!CN75,正常战斗2!CN75,正常战斗3!CN75,绕后战斗1!CN75,绕后战斗2!CN75)</f>
        <v>0</v>
      </c>
      <c r="R64" s="7">
        <f>AVERAGE(绕后战斗1!CO75,绕后战斗2!CO75)</f>
        <v>0</v>
      </c>
      <c r="S64" s="7">
        <f>AVERAGE(绕后战斗1!CP75,绕后战斗2!CP75)</f>
        <v>0</v>
      </c>
      <c r="T64" s="7">
        <f>AVERAGE(绕后战斗1!CQ75,绕后战斗2!CQ75)</f>
        <v>0</v>
      </c>
      <c r="U64" s="7">
        <f>AVERAGE(绕后战斗1!CR75,绕后战斗2!CR75)</f>
        <v>0</v>
      </c>
      <c r="V64" s="7">
        <f>AVERAGE(正常战斗1!CS75,正常战斗2!CS75,正常战斗3!CS75,绕后战斗1!CS75)</f>
        <v>0</v>
      </c>
      <c r="W64" s="7">
        <f>AVERAGE(正常战斗1!CT75,正常战斗2!CT75,正常战斗3!CT75,绕后战斗1!CT75)</f>
        <v>0</v>
      </c>
      <c r="X64" s="7">
        <f>AVERAGE(正常战斗1!CU75,正常战斗2!CU75,正常战斗3!CU75,绕后战斗1!CU75)</f>
        <v>0</v>
      </c>
      <c r="Y64" s="7">
        <f>AVERAGE(正常战斗1!CV75,正常战斗2!CV75,正常战斗3!CV75,绕后战斗1!CV75)</f>
        <v>0</v>
      </c>
      <c r="Z64" s="7">
        <f>AVERAGE(正常战斗1!CW75,正常战斗2!CW75,绕后战斗1!CW75,绕后战斗2!CW75)</f>
        <v>0</v>
      </c>
      <c r="AA64" s="7">
        <f>AVERAGE(正常战斗1!CX75,正常战斗2!CX75,绕后战斗1!CX75,绕后战斗2!CX75)</f>
        <v>0</v>
      </c>
      <c r="AB64" s="7">
        <f>AVERAGE(正常战斗1!CY75,正常战斗2!CY75,绕后战斗1!CY75,绕后战斗2!CY75)</f>
        <v>0</v>
      </c>
      <c r="AC64" s="7">
        <f>AVERAGE(正常战斗1!CZ75,正常战斗2!CZ75,绕后战斗1!CZ75,绕后战斗2!CZ75)</f>
        <v>0</v>
      </c>
      <c r="AD64" s="7"/>
      <c r="AE64" s="7"/>
      <c r="AU64" s="21"/>
    </row>
    <row r="65" spans="4:47" x14ac:dyDescent="0.15">
      <c r="D65" s="6">
        <v>60</v>
      </c>
      <c r="E65" s="7" t="e">
        <f>AVERAGE((正常战斗1!E76+正常战斗1!AK76)/2,(正常战斗2!E76+正常战斗2!AK76)/2,(正常战斗3!E76+正常战斗3!AK76)/2,(绕后战斗1!E76+绕后战斗1!AK76)/2,(绕后战斗2!E76+绕后战斗2!AK76)/2)/1000</f>
        <v>#VALUE!</v>
      </c>
      <c r="F65" s="7" t="e">
        <f>AVERAGE(绕后战斗1!BE76,(绕后战斗2!Y76+绕后战斗2!BE76)/2)/1000</f>
        <v>#VALUE!</v>
      </c>
      <c r="G65" s="7" t="e">
        <f>AVERAGE((正常战斗1!Y76+正常战斗1!AU76+正常战斗1!BE76)/3,(正常战斗2!Y76+正常战斗2!BE76)/2,(正常战斗3!O76+正常战斗3!Y76+正常战斗3!AU76+正常战斗3!BE76)/4,绕后战斗1!Y76)/1000</f>
        <v>#VALUE!</v>
      </c>
      <c r="H65" s="7" t="e">
        <f>AVERAGE(正常战斗1!O76,(正常战斗2!O76+正常战斗2!AU76)/2,(绕后战斗1!O76+绕后战斗1!AU76)/2,(绕后战斗2!O76+绕后战斗2!AU76)/2)/1000</f>
        <v>#VALUE!</v>
      </c>
      <c r="I65" s="7" t="e">
        <f>AVERAGE(AVERAGE((正常战斗1!J76+正常战斗1!AP76)/2,(正常战斗2!J76+正常战斗2!AP76)/2,(正常战斗3!J76+正常战斗3!AP76)/2,(绕后战斗1!J76+绕后战斗1!AP76)/2,(绕后战斗2!J76+绕后战斗2!AP76)/2),AVERAGE(正常战斗1!T76,(正常战斗2!T76+正常战斗2!AZ76)/2,(绕后战斗1!T76+绕后战斗1!AZ76)/2,(绕后战斗2!T76+绕后战斗2!AZ76)/2))</f>
        <v>#VALUE!</v>
      </c>
      <c r="J65" s="7" t="e">
        <f>AVERAGE(绕后战斗1!BJ76,(绕后战斗2!AD76+绕后战斗2!BJ76)/2)</f>
        <v>#VALUE!</v>
      </c>
      <c r="K65" s="7" t="e">
        <f>AVERAGE((正常战斗1!AD76+正常战斗1!AZ76+正常战斗1!BJ76)/3,(正常战斗2!AD76+正常战斗2!BJ76)/2,(正常战斗3!T76+正常战斗3!AD76+正常战斗3!AZ76+正常战斗3!BJ76)/4,绕后战斗1!AD76)</f>
        <v>#VALUE!</v>
      </c>
      <c r="L65" s="7" t="e">
        <f t="shared" si="0"/>
        <v>#VALUE!</v>
      </c>
      <c r="M65" s="7"/>
      <c r="N65" s="7">
        <f>AVERAGE(正常战斗1!CK76,正常战斗2!CK76,正常战斗3!CK76,绕后战斗1!CK76,绕后战斗2!CK76)</f>
        <v>0</v>
      </c>
      <c r="O65" s="7">
        <f>AVERAGE(正常战斗1!CL76,正常战斗2!CL76,正常战斗3!CL76,绕后战斗1!CL76,绕后战斗2!CL76)</f>
        <v>0</v>
      </c>
      <c r="P65" s="7">
        <f>AVERAGE(正常战斗1!CM76,正常战斗2!CM76,正常战斗3!CM76,绕后战斗1!CM76,绕后战斗2!CM76)</f>
        <v>0</v>
      </c>
      <c r="Q65" s="7">
        <f>AVERAGE(正常战斗1!CN76,正常战斗2!CN76,正常战斗3!CN76,绕后战斗1!CN76,绕后战斗2!CN76)</f>
        <v>0</v>
      </c>
      <c r="R65" s="7">
        <f>AVERAGE(绕后战斗1!CO76,绕后战斗2!CO76)</f>
        <v>0</v>
      </c>
      <c r="S65" s="7">
        <f>AVERAGE(绕后战斗1!CP76,绕后战斗2!CP76)</f>
        <v>0</v>
      </c>
      <c r="T65" s="7">
        <f>AVERAGE(绕后战斗1!CQ76,绕后战斗2!CQ76)</f>
        <v>0</v>
      </c>
      <c r="U65" s="7">
        <f>AVERAGE(绕后战斗1!CR76,绕后战斗2!CR76)</f>
        <v>0</v>
      </c>
      <c r="V65" s="7">
        <f>AVERAGE(正常战斗1!CS76,正常战斗2!CS76,正常战斗3!CS76,绕后战斗1!CS76)</f>
        <v>0</v>
      </c>
      <c r="W65" s="7">
        <f>AVERAGE(正常战斗1!CT76,正常战斗2!CT76,正常战斗3!CT76,绕后战斗1!CT76)</f>
        <v>0</v>
      </c>
      <c r="X65" s="7">
        <f>AVERAGE(正常战斗1!CU76,正常战斗2!CU76,正常战斗3!CU76,绕后战斗1!CU76)</f>
        <v>0</v>
      </c>
      <c r="Y65" s="7">
        <f>AVERAGE(正常战斗1!CV76,正常战斗2!CV76,正常战斗3!CV76,绕后战斗1!CV76)</f>
        <v>0</v>
      </c>
      <c r="Z65" s="7">
        <f>AVERAGE(正常战斗1!CW76,正常战斗2!CW76,绕后战斗1!CW76,绕后战斗2!CW76)</f>
        <v>0</v>
      </c>
      <c r="AA65" s="7">
        <f>AVERAGE(正常战斗1!CX76,正常战斗2!CX76,绕后战斗1!CX76,绕后战斗2!CX76)</f>
        <v>0</v>
      </c>
      <c r="AB65" s="7">
        <f>AVERAGE(正常战斗1!CY76,正常战斗2!CY76,绕后战斗1!CY76,绕后战斗2!CY76)</f>
        <v>0</v>
      </c>
      <c r="AC65" s="7">
        <f>AVERAGE(正常战斗1!CZ76,正常战斗2!CZ76,绕后战斗1!CZ76,绕后战斗2!CZ76)</f>
        <v>0</v>
      </c>
      <c r="AD65" s="7"/>
      <c r="AE65" s="7"/>
      <c r="AU65" s="21"/>
    </row>
    <row r="66" spans="4:47" x14ac:dyDescent="0.15">
      <c r="D66" s="6">
        <v>61</v>
      </c>
      <c r="E66" s="7" t="e">
        <f>AVERAGE((正常战斗1!E77+正常战斗1!AK77)/2,(正常战斗2!E77+正常战斗2!AK77)/2,(正常战斗3!E77+正常战斗3!AK77)/2,(绕后战斗1!E77+绕后战斗1!AK77)/2,(绕后战斗2!E77+绕后战斗2!AK77)/2)/1000</f>
        <v>#VALUE!</v>
      </c>
      <c r="F66" s="7" t="e">
        <f>AVERAGE(绕后战斗1!BE77,(绕后战斗2!Y77+绕后战斗2!BE77)/2)/1000</f>
        <v>#VALUE!</v>
      </c>
      <c r="G66" s="7" t="e">
        <f>AVERAGE((正常战斗1!Y77+正常战斗1!AU77+正常战斗1!BE77)/3,(正常战斗2!Y77+正常战斗2!BE77)/2,(正常战斗3!O77+正常战斗3!Y77+正常战斗3!AU77+正常战斗3!BE77)/4,绕后战斗1!Y77)/1000</f>
        <v>#VALUE!</v>
      </c>
      <c r="H66" s="7" t="e">
        <f>AVERAGE(正常战斗1!O77,(正常战斗2!O77+正常战斗2!AU77)/2,(绕后战斗1!O77+绕后战斗1!AU77)/2,(绕后战斗2!O77+绕后战斗2!AU77)/2)/1000</f>
        <v>#VALUE!</v>
      </c>
      <c r="I66" s="7" t="e">
        <f>AVERAGE(AVERAGE((正常战斗1!J77+正常战斗1!AP77)/2,(正常战斗2!J77+正常战斗2!AP77)/2,(正常战斗3!J77+正常战斗3!AP77)/2,(绕后战斗1!J77+绕后战斗1!AP77)/2,(绕后战斗2!J77+绕后战斗2!AP77)/2),AVERAGE(正常战斗1!T77,(正常战斗2!T77+正常战斗2!AZ77)/2,(绕后战斗1!T77+绕后战斗1!AZ77)/2,(绕后战斗2!T77+绕后战斗2!AZ77)/2))</f>
        <v>#VALUE!</v>
      </c>
      <c r="J66" s="7" t="e">
        <f>AVERAGE(绕后战斗1!BJ77,(绕后战斗2!AD77+绕后战斗2!BJ77)/2)</f>
        <v>#VALUE!</v>
      </c>
      <c r="K66" s="7" t="e">
        <f>AVERAGE((正常战斗1!AD77+正常战斗1!AZ77+正常战斗1!BJ77)/3,(正常战斗2!AD77+正常战斗2!BJ77)/2,(正常战斗3!T77+正常战斗3!AD77+正常战斗3!AZ77+正常战斗3!BJ77)/4,绕后战斗1!AD77)</f>
        <v>#VALUE!</v>
      </c>
      <c r="L66" s="7" t="e">
        <f t="shared" si="0"/>
        <v>#VALUE!</v>
      </c>
      <c r="M66" s="7"/>
      <c r="N66" s="7">
        <f>AVERAGE(正常战斗1!CK77,正常战斗2!CK77,正常战斗3!CK77,绕后战斗1!CK77,绕后战斗2!CK77)</f>
        <v>0</v>
      </c>
      <c r="O66" s="7">
        <f>AVERAGE(正常战斗1!CL77,正常战斗2!CL77,正常战斗3!CL77,绕后战斗1!CL77,绕后战斗2!CL77)</f>
        <v>0</v>
      </c>
      <c r="P66" s="7">
        <f>AVERAGE(正常战斗1!CM77,正常战斗2!CM77,正常战斗3!CM77,绕后战斗1!CM77,绕后战斗2!CM77)</f>
        <v>0</v>
      </c>
      <c r="Q66" s="7">
        <f>AVERAGE(正常战斗1!CN77,正常战斗2!CN77,正常战斗3!CN77,绕后战斗1!CN77,绕后战斗2!CN77)</f>
        <v>0</v>
      </c>
      <c r="R66" s="7">
        <f>AVERAGE(绕后战斗1!CO77,绕后战斗2!CO77)</f>
        <v>0</v>
      </c>
      <c r="S66" s="7">
        <f>AVERAGE(绕后战斗1!CP77,绕后战斗2!CP77)</f>
        <v>0</v>
      </c>
      <c r="T66" s="7">
        <f>AVERAGE(绕后战斗1!CQ77,绕后战斗2!CQ77)</f>
        <v>0</v>
      </c>
      <c r="U66" s="7">
        <f>AVERAGE(绕后战斗1!CR77,绕后战斗2!CR77)</f>
        <v>0</v>
      </c>
      <c r="V66" s="7">
        <f>AVERAGE(正常战斗1!CS77,正常战斗2!CS77,正常战斗3!CS77,绕后战斗1!CS77)</f>
        <v>0</v>
      </c>
      <c r="W66" s="7">
        <f>AVERAGE(正常战斗1!CT77,正常战斗2!CT77,正常战斗3!CT77,绕后战斗1!CT77)</f>
        <v>0</v>
      </c>
      <c r="X66" s="7">
        <f>AVERAGE(正常战斗1!CU77,正常战斗2!CU77,正常战斗3!CU77,绕后战斗1!CU77)</f>
        <v>0</v>
      </c>
      <c r="Y66" s="7">
        <f>AVERAGE(正常战斗1!CV77,正常战斗2!CV77,正常战斗3!CV77,绕后战斗1!CV77)</f>
        <v>0</v>
      </c>
      <c r="Z66" s="7">
        <f>AVERAGE(正常战斗1!CW77,正常战斗2!CW77,绕后战斗1!CW77,绕后战斗2!CW77)</f>
        <v>0</v>
      </c>
      <c r="AA66" s="7">
        <f>AVERAGE(正常战斗1!CX77,正常战斗2!CX77,绕后战斗1!CX77,绕后战斗2!CX77)</f>
        <v>0</v>
      </c>
      <c r="AB66" s="7">
        <f>AVERAGE(正常战斗1!CY77,正常战斗2!CY77,绕后战斗1!CY77,绕后战斗2!CY77)</f>
        <v>0</v>
      </c>
      <c r="AC66" s="7">
        <f>AVERAGE(正常战斗1!CZ77,正常战斗2!CZ77,绕后战斗1!CZ77,绕后战斗2!CZ77)</f>
        <v>0</v>
      </c>
      <c r="AD66" s="7"/>
      <c r="AE66" s="7"/>
      <c r="AU66" s="21"/>
    </row>
    <row r="67" spans="4:47" x14ac:dyDescent="0.15">
      <c r="D67" s="6">
        <v>62</v>
      </c>
      <c r="E67" s="7" t="e">
        <f>AVERAGE((正常战斗1!E78+正常战斗1!AK78)/2,(正常战斗2!E78+正常战斗2!AK78)/2,(正常战斗3!E78+正常战斗3!AK78)/2,(绕后战斗1!E78+绕后战斗1!AK78)/2,(绕后战斗2!E78+绕后战斗2!AK78)/2)/1000</f>
        <v>#VALUE!</v>
      </c>
      <c r="F67" s="7" t="e">
        <f>AVERAGE(绕后战斗1!BE78,(绕后战斗2!Y78+绕后战斗2!BE78)/2)/1000</f>
        <v>#VALUE!</v>
      </c>
      <c r="G67" s="7" t="e">
        <f>AVERAGE((正常战斗1!Y78+正常战斗1!AU78+正常战斗1!BE78)/3,(正常战斗2!Y78+正常战斗2!BE78)/2,(正常战斗3!O78+正常战斗3!Y78+正常战斗3!AU78+正常战斗3!BE78)/4,绕后战斗1!Y78)/1000</f>
        <v>#VALUE!</v>
      </c>
      <c r="H67" s="7" t="e">
        <f>AVERAGE(正常战斗1!O78,(正常战斗2!O78+正常战斗2!AU78)/2,(绕后战斗1!O78+绕后战斗1!AU78)/2,(绕后战斗2!O78+绕后战斗2!AU78)/2)/1000</f>
        <v>#VALUE!</v>
      </c>
      <c r="I67" s="7" t="e">
        <f>AVERAGE(AVERAGE((正常战斗1!J78+正常战斗1!AP78)/2,(正常战斗2!J78+正常战斗2!AP78)/2,(正常战斗3!J78+正常战斗3!AP78)/2,(绕后战斗1!J78+绕后战斗1!AP78)/2,(绕后战斗2!J78+绕后战斗2!AP78)/2),AVERAGE(正常战斗1!T78,(正常战斗2!T78+正常战斗2!AZ78)/2,(绕后战斗1!T78+绕后战斗1!AZ78)/2,(绕后战斗2!T78+绕后战斗2!AZ78)/2))</f>
        <v>#VALUE!</v>
      </c>
      <c r="J67" s="7" t="e">
        <f>AVERAGE(绕后战斗1!BJ78,(绕后战斗2!AD78+绕后战斗2!BJ78)/2)</f>
        <v>#VALUE!</v>
      </c>
      <c r="K67" s="7" t="e">
        <f>AVERAGE((正常战斗1!AD78+正常战斗1!AZ78+正常战斗1!BJ78)/3,(正常战斗2!AD78+正常战斗2!BJ78)/2,(正常战斗3!T78+正常战斗3!AD78+正常战斗3!AZ78+正常战斗3!BJ78)/4,绕后战斗1!AD78)</f>
        <v>#VALUE!</v>
      </c>
      <c r="L67" s="7" t="e">
        <f t="shared" si="0"/>
        <v>#VALUE!</v>
      </c>
      <c r="M67" s="7"/>
      <c r="N67" s="7">
        <f>AVERAGE(正常战斗1!CK78,正常战斗2!CK78,正常战斗3!CK78,绕后战斗1!CK78,绕后战斗2!CK78)</f>
        <v>0</v>
      </c>
      <c r="O67" s="7">
        <f>AVERAGE(正常战斗1!CL78,正常战斗2!CL78,正常战斗3!CL78,绕后战斗1!CL78,绕后战斗2!CL78)</f>
        <v>0</v>
      </c>
      <c r="P67" s="7">
        <f>AVERAGE(正常战斗1!CM78,正常战斗2!CM78,正常战斗3!CM78,绕后战斗1!CM78,绕后战斗2!CM78)</f>
        <v>0</v>
      </c>
      <c r="Q67" s="7">
        <f>AVERAGE(正常战斗1!CN78,正常战斗2!CN78,正常战斗3!CN78,绕后战斗1!CN78,绕后战斗2!CN78)</f>
        <v>0</v>
      </c>
      <c r="R67" s="7">
        <f>AVERAGE(绕后战斗1!CO78,绕后战斗2!CO78)</f>
        <v>0</v>
      </c>
      <c r="S67" s="7">
        <f>AVERAGE(绕后战斗1!CP78,绕后战斗2!CP78)</f>
        <v>0</v>
      </c>
      <c r="T67" s="7">
        <f>AVERAGE(绕后战斗1!CQ78,绕后战斗2!CQ78)</f>
        <v>0</v>
      </c>
      <c r="U67" s="7">
        <f>AVERAGE(绕后战斗1!CR78,绕后战斗2!CR78)</f>
        <v>0</v>
      </c>
      <c r="V67" s="7">
        <f>AVERAGE(正常战斗1!CS78,正常战斗2!CS78,正常战斗3!CS78,绕后战斗1!CS78)</f>
        <v>0</v>
      </c>
      <c r="W67" s="7">
        <f>AVERAGE(正常战斗1!CT78,正常战斗2!CT78,正常战斗3!CT78,绕后战斗1!CT78)</f>
        <v>0</v>
      </c>
      <c r="X67" s="7">
        <f>AVERAGE(正常战斗1!CU78,正常战斗2!CU78,正常战斗3!CU78,绕后战斗1!CU78)</f>
        <v>0</v>
      </c>
      <c r="Y67" s="7">
        <f>AVERAGE(正常战斗1!CV78,正常战斗2!CV78,正常战斗3!CV78,绕后战斗1!CV78)</f>
        <v>0</v>
      </c>
      <c r="Z67" s="7">
        <f>AVERAGE(正常战斗1!CW78,正常战斗2!CW78,绕后战斗1!CW78,绕后战斗2!CW78)</f>
        <v>0</v>
      </c>
      <c r="AA67" s="7">
        <f>AVERAGE(正常战斗1!CX78,正常战斗2!CX78,绕后战斗1!CX78,绕后战斗2!CX78)</f>
        <v>0</v>
      </c>
      <c r="AB67" s="7">
        <f>AVERAGE(正常战斗1!CY78,正常战斗2!CY78,绕后战斗1!CY78,绕后战斗2!CY78)</f>
        <v>0</v>
      </c>
      <c r="AC67" s="7">
        <f>AVERAGE(正常战斗1!CZ78,正常战斗2!CZ78,绕后战斗1!CZ78,绕后战斗2!CZ78)</f>
        <v>0</v>
      </c>
      <c r="AD67" s="7"/>
      <c r="AE67" s="7"/>
      <c r="AU67" s="21"/>
    </row>
    <row r="68" spans="4:47" x14ac:dyDescent="0.15">
      <c r="D68" s="6">
        <v>63</v>
      </c>
      <c r="E68" s="7" t="e">
        <f>AVERAGE((正常战斗1!E79+正常战斗1!AK79)/2,(正常战斗2!E79+正常战斗2!AK79)/2,(正常战斗3!E79+正常战斗3!AK79)/2,(绕后战斗1!E79+绕后战斗1!AK79)/2,(绕后战斗2!E79+绕后战斗2!AK79)/2)/1000</f>
        <v>#VALUE!</v>
      </c>
      <c r="F68" s="7" t="e">
        <f>AVERAGE(绕后战斗1!BE79,(绕后战斗2!Y79+绕后战斗2!BE79)/2)/1000</f>
        <v>#VALUE!</v>
      </c>
      <c r="G68" s="7" t="e">
        <f>AVERAGE((正常战斗1!Y79+正常战斗1!AU79+正常战斗1!BE79)/3,(正常战斗2!Y79+正常战斗2!BE79)/2,(正常战斗3!O79+正常战斗3!Y79+正常战斗3!AU79+正常战斗3!BE79)/4,绕后战斗1!Y79)/1000</f>
        <v>#VALUE!</v>
      </c>
      <c r="H68" s="7" t="e">
        <f>AVERAGE(正常战斗1!O79,(正常战斗2!O79+正常战斗2!AU79)/2,(绕后战斗1!O79+绕后战斗1!AU79)/2,(绕后战斗2!O79+绕后战斗2!AU79)/2)/1000</f>
        <v>#VALUE!</v>
      </c>
      <c r="I68" s="7" t="e">
        <f>AVERAGE(AVERAGE((正常战斗1!J79+正常战斗1!AP79)/2,(正常战斗2!J79+正常战斗2!AP79)/2,(正常战斗3!J79+正常战斗3!AP79)/2,(绕后战斗1!J79+绕后战斗1!AP79)/2,(绕后战斗2!J79+绕后战斗2!AP79)/2),AVERAGE(正常战斗1!T79,(正常战斗2!T79+正常战斗2!AZ79)/2,(绕后战斗1!T79+绕后战斗1!AZ79)/2,(绕后战斗2!T79+绕后战斗2!AZ79)/2))</f>
        <v>#VALUE!</v>
      </c>
      <c r="J68" s="7" t="e">
        <f>AVERAGE(绕后战斗1!BJ79,(绕后战斗2!AD79+绕后战斗2!BJ79)/2)</f>
        <v>#VALUE!</v>
      </c>
      <c r="K68" s="7" t="e">
        <f>AVERAGE((正常战斗1!AD79+正常战斗1!AZ79+正常战斗1!BJ79)/3,(正常战斗2!AD79+正常战斗2!BJ79)/2,(正常战斗3!T79+正常战斗3!AD79+正常战斗3!AZ79+正常战斗3!BJ79)/4,绕后战斗1!AD79)</f>
        <v>#VALUE!</v>
      </c>
      <c r="L68" s="7" t="e">
        <f t="shared" si="0"/>
        <v>#VALUE!</v>
      </c>
      <c r="M68" s="7"/>
      <c r="N68" s="7">
        <f>AVERAGE(正常战斗1!CK79,正常战斗2!CK79,正常战斗3!CK79,绕后战斗1!CK79,绕后战斗2!CK79)</f>
        <v>0</v>
      </c>
      <c r="O68" s="7">
        <f>AVERAGE(正常战斗1!CL79,正常战斗2!CL79,正常战斗3!CL79,绕后战斗1!CL79,绕后战斗2!CL79)</f>
        <v>0</v>
      </c>
      <c r="P68" s="7">
        <f>AVERAGE(正常战斗1!CM79,正常战斗2!CM79,正常战斗3!CM79,绕后战斗1!CM79,绕后战斗2!CM79)</f>
        <v>0</v>
      </c>
      <c r="Q68" s="7">
        <f>AVERAGE(正常战斗1!CN79,正常战斗2!CN79,正常战斗3!CN79,绕后战斗1!CN79,绕后战斗2!CN79)</f>
        <v>0</v>
      </c>
      <c r="R68" s="7">
        <f>AVERAGE(绕后战斗1!CO79,绕后战斗2!CO79)</f>
        <v>0</v>
      </c>
      <c r="S68" s="7">
        <f>AVERAGE(绕后战斗1!CP79,绕后战斗2!CP79)</f>
        <v>0</v>
      </c>
      <c r="T68" s="7">
        <f>AVERAGE(绕后战斗1!CQ79,绕后战斗2!CQ79)</f>
        <v>0</v>
      </c>
      <c r="U68" s="7">
        <f>AVERAGE(绕后战斗1!CR79,绕后战斗2!CR79)</f>
        <v>0</v>
      </c>
      <c r="V68" s="7">
        <f>AVERAGE(正常战斗1!CS79,正常战斗2!CS79,正常战斗3!CS79,绕后战斗1!CS79)</f>
        <v>0</v>
      </c>
      <c r="W68" s="7">
        <f>AVERAGE(正常战斗1!CT79,正常战斗2!CT79,正常战斗3!CT79,绕后战斗1!CT79)</f>
        <v>0</v>
      </c>
      <c r="X68" s="7">
        <f>AVERAGE(正常战斗1!CU79,正常战斗2!CU79,正常战斗3!CU79,绕后战斗1!CU79)</f>
        <v>0</v>
      </c>
      <c r="Y68" s="7">
        <f>AVERAGE(正常战斗1!CV79,正常战斗2!CV79,正常战斗3!CV79,绕后战斗1!CV79)</f>
        <v>0</v>
      </c>
      <c r="Z68" s="7">
        <f>AVERAGE(正常战斗1!CW79,正常战斗2!CW79,绕后战斗1!CW79,绕后战斗2!CW79)</f>
        <v>0</v>
      </c>
      <c r="AA68" s="7">
        <f>AVERAGE(正常战斗1!CX79,正常战斗2!CX79,绕后战斗1!CX79,绕后战斗2!CX79)</f>
        <v>0</v>
      </c>
      <c r="AB68" s="7">
        <f>AVERAGE(正常战斗1!CY79,正常战斗2!CY79,绕后战斗1!CY79,绕后战斗2!CY79)</f>
        <v>0</v>
      </c>
      <c r="AC68" s="7">
        <f>AVERAGE(正常战斗1!CZ79,正常战斗2!CZ79,绕后战斗1!CZ79,绕后战斗2!CZ79)</f>
        <v>0</v>
      </c>
      <c r="AD68" s="7"/>
      <c r="AE68" s="7"/>
      <c r="AU68" s="21"/>
    </row>
    <row r="69" spans="4:47" x14ac:dyDescent="0.15">
      <c r="D69" s="6">
        <v>64</v>
      </c>
      <c r="E69" s="7" t="e">
        <f>AVERAGE((正常战斗1!E80+正常战斗1!AK80)/2,(正常战斗2!E80+正常战斗2!AK80)/2,(正常战斗3!E80+正常战斗3!AK80)/2,(绕后战斗1!E80+绕后战斗1!AK80)/2,(绕后战斗2!E80+绕后战斗2!AK80)/2)/1000</f>
        <v>#VALUE!</v>
      </c>
      <c r="F69" s="7" t="e">
        <f>AVERAGE(绕后战斗1!BE80,(绕后战斗2!Y80+绕后战斗2!BE80)/2)/1000</f>
        <v>#VALUE!</v>
      </c>
      <c r="G69" s="7" t="e">
        <f>AVERAGE((正常战斗1!Y80+正常战斗1!AU80+正常战斗1!BE80)/3,(正常战斗2!Y80+正常战斗2!BE80)/2,(正常战斗3!O80+正常战斗3!Y80+正常战斗3!AU80+正常战斗3!BE80)/4,绕后战斗1!Y80)/1000</f>
        <v>#VALUE!</v>
      </c>
      <c r="H69" s="7" t="e">
        <f>AVERAGE(正常战斗1!O80,(正常战斗2!O80+正常战斗2!AU80)/2,(绕后战斗1!O80+绕后战斗1!AU80)/2,(绕后战斗2!O80+绕后战斗2!AU80)/2)/1000</f>
        <v>#VALUE!</v>
      </c>
      <c r="I69" s="7" t="e">
        <f>AVERAGE(AVERAGE((正常战斗1!J80+正常战斗1!AP80)/2,(正常战斗2!J80+正常战斗2!AP80)/2,(正常战斗3!J80+正常战斗3!AP80)/2,(绕后战斗1!J80+绕后战斗1!AP80)/2,(绕后战斗2!J80+绕后战斗2!AP80)/2),AVERAGE(正常战斗1!T80,(正常战斗2!T80+正常战斗2!AZ80)/2,(绕后战斗1!T80+绕后战斗1!AZ80)/2,(绕后战斗2!T80+绕后战斗2!AZ80)/2))</f>
        <v>#VALUE!</v>
      </c>
      <c r="J69" s="7" t="e">
        <f>AVERAGE(绕后战斗1!BJ80,(绕后战斗2!AD80+绕后战斗2!BJ80)/2)</f>
        <v>#VALUE!</v>
      </c>
      <c r="K69" s="7" t="e">
        <f>AVERAGE((正常战斗1!AD80+正常战斗1!AZ80+正常战斗1!BJ80)/3,(正常战斗2!AD80+正常战斗2!BJ80)/2,(正常战斗3!T80+正常战斗3!AD80+正常战斗3!AZ80+正常战斗3!BJ80)/4,绕后战斗1!AD80)</f>
        <v>#VALUE!</v>
      </c>
      <c r="L69" s="7" t="e">
        <f t="shared" si="0"/>
        <v>#VALUE!</v>
      </c>
      <c r="M69" s="7"/>
      <c r="N69" s="7">
        <f>AVERAGE(正常战斗1!CK80,正常战斗2!CK80,正常战斗3!CK80,绕后战斗1!CK80,绕后战斗2!CK80)</f>
        <v>0</v>
      </c>
      <c r="O69" s="7">
        <f>AVERAGE(正常战斗1!CL80,正常战斗2!CL80,正常战斗3!CL80,绕后战斗1!CL80,绕后战斗2!CL80)</f>
        <v>0</v>
      </c>
      <c r="P69" s="7">
        <f>AVERAGE(正常战斗1!CM80,正常战斗2!CM80,正常战斗3!CM80,绕后战斗1!CM80,绕后战斗2!CM80)</f>
        <v>0</v>
      </c>
      <c r="Q69" s="7">
        <f>AVERAGE(正常战斗1!CN80,正常战斗2!CN80,正常战斗3!CN80,绕后战斗1!CN80,绕后战斗2!CN80)</f>
        <v>0</v>
      </c>
      <c r="R69" s="7">
        <f>AVERAGE(绕后战斗1!CO80,绕后战斗2!CO80)</f>
        <v>0</v>
      </c>
      <c r="S69" s="7">
        <f>AVERAGE(绕后战斗1!CP80,绕后战斗2!CP80)</f>
        <v>0</v>
      </c>
      <c r="T69" s="7">
        <f>AVERAGE(绕后战斗1!CQ80,绕后战斗2!CQ80)</f>
        <v>0</v>
      </c>
      <c r="U69" s="7">
        <f>AVERAGE(绕后战斗1!CR80,绕后战斗2!CR80)</f>
        <v>0</v>
      </c>
      <c r="V69" s="7">
        <f>AVERAGE(正常战斗1!CS80,正常战斗2!CS80,正常战斗3!CS80,绕后战斗1!CS80)</f>
        <v>0</v>
      </c>
      <c r="W69" s="7">
        <f>AVERAGE(正常战斗1!CT80,正常战斗2!CT80,正常战斗3!CT80,绕后战斗1!CT80)</f>
        <v>0</v>
      </c>
      <c r="X69" s="7">
        <f>AVERAGE(正常战斗1!CU80,正常战斗2!CU80,正常战斗3!CU80,绕后战斗1!CU80)</f>
        <v>0</v>
      </c>
      <c r="Y69" s="7">
        <f>AVERAGE(正常战斗1!CV80,正常战斗2!CV80,正常战斗3!CV80,绕后战斗1!CV80)</f>
        <v>0</v>
      </c>
      <c r="Z69" s="7">
        <f>AVERAGE(正常战斗1!CW80,正常战斗2!CW80,绕后战斗1!CW80,绕后战斗2!CW80)</f>
        <v>0</v>
      </c>
      <c r="AA69" s="7">
        <f>AVERAGE(正常战斗1!CX80,正常战斗2!CX80,绕后战斗1!CX80,绕后战斗2!CX80)</f>
        <v>0</v>
      </c>
      <c r="AB69" s="7">
        <f>AVERAGE(正常战斗1!CY80,正常战斗2!CY80,绕后战斗1!CY80,绕后战斗2!CY80)</f>
        <v>0</v>
      </c>
      <c r="AC69" s="7">
        <f>AVERAGE(正常战斗1!CZ80,正常战斗2!CZ80,绕后战斗1!CZ80,绕后战斗2!CZ80)</f>
        <v>0</v>
      </c>
      <c r="AD69" s="7"/>
      <c r="AE69" s="7"/>
      <c r="AU69" s="21"/>
    </row>
    <row r="70" spans="4:47" x14ac:dyDescent="0.15">
      <c r="D70" s="6">
        <v>65</v>
      </c>
      <c r="E70" s="7" t="e">
        <f>AVERAGE((正常战斗1!E81+正常战斗1!AK81)/2,(正常战斗2!E81+正常战斗2!AK81)/2,(正常战斗3!E81+正常战斗3!AK81)/2,(绕后战斗1!E81+绕后战斗1!AK81)/2,(绕后战斗2!E81+绕后战斗2!AK81)/2)/1000</f>
        <v>#VALUE!</v>
      </c>
      <c r="F70" s="7" t="e">
        <f>AVERAGE(绕后战斗1!BE81,(绕后战斗2!Y81+绕后战斗2!BE81)/2)/1000</f>
        <v>#VALUE!</v>
      </c>
      <c r="G70" s="7" t="e">
        <f>AVERAGE((正常战斗1!Y81+正常战斗1!AU81+正常战斗1!BE81)/3,(正常战斗2!Y81+正常战斗2!BE81)/2,(正常战斗3!O81+正常战斗3!Y81+正常战斗3!AU81+正常战斗3!BE81)/4,绕后战斗1!Y81)/1000</f>
        <v>#VALUE!</v>
      </c>
      <c r="H70" s="7" t="e">
        <f>AVERAGE(正常战斗1!O81,(正常战斗2!O81+正常战斗2!AU81)/2,(绕后战斗1!O81+绕后战斗1!AU81)/2,(绕后战斗2!O81+绕后战斗2!AU81)/2)/1000</f>
        <v>#VALUE!</v>
      </c>
      <c r="I70" s="7" t="e">
        <f>AVERAGE(AVERAGE((正常战斗1!J81+正常战斗1!AP81)/2,(正常战斗2!J81+正常战斗2!AP81)/2,(正常战斗3!J81+正常战斗3!AP81)/2,(绕后战斗1!J81+绕后战斗1!AP81)/2,(绕后战斗2!J81+绕后战斗2!AP81)/2),AVERAGE(正常战斗1!T81,(正常战斗2!T81+正常战斗2!AZ81)/2,(绕后战斗1!T81+绕后战斗1!AZ81)/2,(绕后战斗2!T81+绕后战斗2!AZ81)/2))</f>
        <v>#VALUE!</v>
      </c>
      <c r="J70" s="7" t="e">
        <f>AVERAGE(绕后战斗1!BJ81,(绕后战斗2!AD81+绕后战斗2!BJ81)/2)</f>
        <v>#VALUE!</v>
      </c>
      <c r="K70" s="7" t="e">
        <f>AVERAGE((正常战斗1!AD81+正常战斗1!AZ81+正常战斗1!BJ81)/3,(正常战斗2!AD81+正常战斗2!BJ81)/2,(正常战斗3!T81+正常战斗3!AD81+正常战斗3!AZ81+正常战斗3!BJ81)/4,绕后战斗1!AD81)</f>
        <v>#VALUE!</v>
      </c>
      <c r="L70" s="7" t="e">
        <f t="shared" ref="L70:L90" si="4">K70</f>
        <v>#VALUE!</v>
      </c>
      <c r="M70" s="7"/>
      <c r="N70" s="7">
        <f>AVERAGE(正常战斗1!CK81,正常战斗2!CK81,正常战斗3!CK81,绕后战斗1!CK81,绕后战斗2!CK81)</f>
        <v>0</v>
      </c>
      <c r="O70" s="7">
        <f>AVERAGE(正常战斗1!CL81,正常战斗2!CL81,正常战斗3!CL81,绕后战斗1!CL81,绕后战斗2!CL81)</f>
        <v>0</v>
      </c>
      <c r="P70" s="7">
        <f>AVERAGE(正常战斗1!CM81,正常战斗2!CM81,正常战斗3!CM81,绕后战斗1!CM81,绕后战斗2!CM81)</f>
        <v>0</v>
      </c>
      <c r="Q70" s="7">
        <f>AVERAGE(正常战斗1!CN81,正常战斗2!CN81,正常战斗3!CN81,绕后战斗1!CN81,绕后战斗2!CN81)</f>
        <v>0</v>
      </c>
      <c r="R70" s="7">
        <f>AVERAGE(绕后战斗1!CO81,绕后战斗2!CO81)</f>
        <v>0</v>
      </c>
      <c r="S70" s="7">
        <f>AVERAGE(绕后战斗1!CP81,绕后战斗2!CP81)</f>
        <v>0</v>
      </c>
      <c r="T70" s="7">
        <f>AVERAGE(绕后战斗1!CQ81,绕后战斗2!CQ81)</f>
        <v>0</v>
      </c>
      <c r="U70" s="7">
        <f>AVERAGE(绕后战斗1!CR81,绕后战斗2!CR81)</f>
        <v>0</v>
      </c>
      <c r="V70" s="7">
        <f>AVERAGE(正常战斗1!CS81,正常战斗2!CS81,正常战斗3!CS81,绕后战斗1!CS81)</f>
        <v>0</v>
      </c>
      <c r="W70" s="7">
        <f>AVERAGE(正常战斗1!CT81,正常战斗2!CT81,正常战斗3!CT81,绕后战斗1!CT81)</f>
        <v>0</v>
      </c>
      <c r="X70" s="7">
        <f>AVERAGE(正常战斗1!CU81,正常战斗2!CU81,正常战斗3!CU81,绕后战斗1!CU81)</f>
        <v>0</v>
      </c>
      <c r="Y70" s="7">
        <f>AVERAGE(正常战斗1!CV81,正常战斗2!CV81,正常战斗3!CV81,绕后战斗1!CV81)</f>
        <v>0</v>
      </c>
      <c r="Z70" s="7">
        <f>AVERAGE(正常战斗1!CW81,正常战斗2!CW81,绕后战斗1!CW81,绕后战斗2!CW81)</f>
        <v>0</v>
      </c>
      <c r="AA70" s="7">
        <f>AVERAGE(正常战斗1!CX81,正常战斗2!CX81,绕后战斗1!CX81,绕后战斗2!CX81)</f>
        <v>0</v>
      </c>
      <c r="AB70" s="7">
        <f>AVERAGE(正常战斗1!CY81,正常战斗2!CY81,绕后战斗1!CY81,绕后战斗2!CY81)</f>
        <v>0</v>
      </c>
      <c r="AC70" s="7">
        <f>AVERAGE(正常战斗1!CZ81,正常战斗2!CZ81,绕后战斗1!CZ81,绕后战斗2!CZ81)</f>
        <v>0</v>
      </c>
      <c r="AD70" s="7"/>
      <c r="AE70" s="7"/>
      <c r="AU70" s="21"/>
    </row>
    <row r="71" spans="4:47" x14ac:dyDescent="0.15">
      <c r="D71" s="6">
        <v>66</v>
      </c>
      <c r="E71" s="7" t="e">
        <f>AVERAGE((正常战斗1!E82+正常战斗1!AK82)/2,(正常战斗2!E82+正常战斗2!AK82)/2,(正常战斗3!E82+正常战斗3!AK82)/2,(绕后战斗1!E82+绕后战斗1!AK82)/2,(绕后战斗2!E82+绕后战斗2!AK82)/2)/1000</f>
        <v>#VALUE!</v>
      </c>
      <c r="F71" s="7" t="e">
        <f>AVERAGE(绕后战斗1!BE82,(绕后战斗2!Y82+绕后战斗2!BE82)/2)/1000</f>
        <v>#VALUE!</v>
      </c>
      <c r="G71" s="7" t="e">
        <f>AVERAGE((正常战斗1!Y82+正常战斗1!AU82+正常战斗1!BE82)/3,(正常战斗2!Y82+正常战斗2!BE82)/2,(正常战斗3!O82+正常战斗3!Y82+正常战斗3!AU82+正常战斗3!BE82)/4,绕后战斗1!Y82)/1000</f>
        <v>#VALUE!</v>
      </c>
      <c r="H71" s="7" t="e">
        <f>AVERAGE(正常战斗1!O82,(正常战斗2!O82+正常战斗2!AU82)/2,(绕后战斗1!O82+绕后战斗1!AU82)/2,(绕后战斗2!O82+绕后战斗2!AU82)/2)/1000</f>
        <v>#VALUE!</v>
      </c>
      <c r="I71" s="7" t="e">
        <f>AVERAGE(AVERAGE((正常战斗1!J82+正常战斗1!AP82)/2,(正常战斗2!J82+正常战斗2!AP82)/2,(正常战斗3!J82+正常战斗3!AP82)/2,(绕后战斗1!J82+绕后战斗1!AP82)/2,(绕后战斗2!J82+绕后战斗2!AP82)/2),AVERAGE(正常战斗1!T82,(正常战斗2!T82+正常战斗2!AZ82)/2,(绕后战斗1!T82+绕后战斗1!AZ82)/2,(绕后战斗2!T82+绕后战斗2!AZ82)/2))</f>
        <v>#VALUE!</v>
      </c>
      <c r="J71" s="7" t="e">
        <f>AVERAGE(绕后战斗1!BJ82,(绕后战斗2!AD82+绕后战斗2!BJ82)/2)</f>
        <v>#VALUE!</v>
      </c>
      <c r="K71" s="7" t="e">
        <f>AVERAGE((正常战斗1!AD82+正常战斗1!AZ82+正常战斗1!BJ82)/3,(正常战斗2!AD82+正常战斗2!BJ82)/2,(正常战斗3!T82+正常战斗3!AD82+正常战斗3!AZ82+正常战斗3!BJ82)/4,绕后战斗1!AD82)</f>
        <v>#VALUE!</v>
      </c>
      <c r="L71" s="7" t="e">
        <f t="shared" si="4"/>
        <v>#VALUE!</v>
      </c>
      <c r="M71" s="7"/>
      <c r="N71" s="7">
        <f>AVERAGE(正常战斗1!CK82,正常战斗2!CK82,正常战斗3!CK82,绕后战斗1!CK82,绕后战斗2!CK82)</f>
        <v>0</v>
      </c>
      <c r="O71" s="7">
        <f>AVERAGE(正常战斗1!CL82,正常战斗2!CL82,正常战斗3!CL82,绕后战斗1!CL82,绕后战斗2!CL82)</f>
        <v>0</v>
      </c>
      <c r="P71" s="7">
        <f>AVERAGE(正常战斗1!CM82,正常战斗2!CM82,正常战斗3!CM82,绕后战斗1!CM82,绕后战斗2!CM82)</f>
        <v>0</v>
      </c>
      <c r="Q71" s="7">
        <f>AVERAGE(正常战斗1!CN82,正常战斗2!CN82,正常战斗3!CN82,绕后战斗1!CN82,绕后战斗2!CN82)</f>
        <v>0</v>
      </c>
      <c r="R71" s="7">
        <f>AVERAGE(绕后战斗1!CO82,绕后战斗2!CO82)</f>
        <v>0</v>
      </c>
      <c r="S71" s="7">
        <f>AVERAGE(绕后战斗1!CP82,绕后战斗2!CP82)</f>
        <v>0</v>
      </c>
      <c r="T71" s="7">
        <f>AVERAGE(绕后战斗1!CQ82,绕后战斗2!CQ82)</f>
        <v>0</v>
      </c>
      <c r="U71" s="7">
        <f>AVERAGE(绕后战斗1!CR82,绕后战斗2!CR82)</f>
        <v>0</v>
      </c>
      <c r="V71" s="7">
        <f>AVERAGE(正常战斗1!CS82,正常战斗2!CS82,正常战斗3!CS82,绕后战斗1!CS82)</f>
        <v>0</v>
      </c>
      <c r="W71" s="7">
        <f>AVERAGE(正常战斗1!CT82,正常战斗2!CT82,正常战斗3!CT82,绕后战斗1!CT82)</f>
        <v>0</v>
      </c>
      <c r="X71" s="7">
        <f>AVERAGE(正常战斗1!CU82,正常战斗2!CU82,正常战斗3!CU82,绕后战斗1!CU82)</f>
        <v>0</v>
      </c>
      <c r="Y71" s="7">
        <f>AVERAGE(正常战斗1!CV82,正常战斗2!CV82,正常战斗3!CV82,绕后战斗1!CV82)</f>
        <v>0</v>
      </c>
      <c r="Z71" s="7">
        <f>AVERAGE(正常战斗1!CW82,正常战斗2!CW82,绕后战斗1!CW82,绕后战斗2!CW82)</f>
        <v>0</v>
      </c>
      <c r="AA71" s="7">
        <f>AVERAGE(正常战斗1!CX82,正常战斗2!CX82,绕后战斗1!CX82,绕后战斗2!CX82)</f>
        <v>0</v>
      </c>
      <c r="AB71" s="7">
        <f>AVERAGE(正常战斗1!CY82,正常战斗2!CY82,绕后战斗1!CY82,绕后战斗2!CY82)</f>
        <v>0</v>
      </c>
      <c r="AC71" s="7">
        <f>AVERAGE(正常战斗1!CZ82,正常战斗2!CZ82,绕后战斗1!CZ82,绕后战斗2!CZ82)</f>
        <v>0</v>
      </c>
      <c r="AD71" s="7"/>
      <c r="AE71" s="7"/>
      <c r="AU71" s="21"/>
    </row>
    <row r="72" spans="4:47" x14ac:dyDescent="0.15">
      <c r="D72" s="6">
        <v>67</v>
      </c>
      <c r="E72" s="7" t="e">
        <f>AVERAGE((正常战斗1!E83+正常战斗1!AK83)/2,(正常战斗2!E83+正常战斗2!AK83)/2,(正常战斗3!E83+正常战斗3!AK83)/2,(绕后战斗1!E83+绕后战斗1!AK83)/2,(绕后战斗2!E83+绕后战斗2!AK83)/2)/1000</f>
        <v>#VALUE!</v>
      </c>
      <c r="F72" s="7" t="e">
        <f>AVERAGE(绕后战斗1!BE83,(绕后战斗2!Y83+绕后战斗2!BE83)/2)/1000</f>
        <v>#VALUE!</v>
      </c>
      <c r="G72" s="7" t="e">
        <f>AVERAGE((正常战斗1!Y83+正常战斗1!AU83+正常战斗1!BE83)/3,(正常战斗2!Y83+正常战斗2!BE83)/2,(正常战斗3!O83+正常战斗3!Y83+正常战斗3!AU83+正常战斗3!BE83)/4,绕后战斗1!Y83)/1000</f>
        <v>#VALUE!</v>
      </c>
      <c r="H72" s="7" t="e">
        <f>AVERAGE(正常战斗1!O83,(正常战斗2!O83+正常战斗2!AU83)/2,(绕后战斗1!O83+绕后战斗1!AU83)/2,(绕后战斗2!O83+绕后战斗2!AU83)/2)/1000</f>
        <v>#VALUE!</v>
      </c>
      <c r="I72" s="7" t="e">
        <f>AVERAGE(AVERAGE((正常战斗1!J83+正常战斗1!AP83)/2,(正常战斗2!J83+正常战斗2!AP83)/2,(正常战斗3!J83+正常战斗3!AP83)/2,(绕后战斗1!J83+绕后战斗1!AP83)/2,(绕后战斗2!J83+绕后战斗2!AP83)/2),AVERAGE(正常战斗1!T83,(正常战斗2!T83+正常战斗2!AZ83)/2,(绕后战斗1!T83+绕后战斗1!AZ83)/2,(绕后战斗2!T83+绕后战斗2!AZ83)/2))</f>
        <v>#VALUE!</v>
      </c>
      <c r="J72" s="7" t="e">
        <f>AVERAGE(绕后战斗1!BJ83,(绕后战斗2!AD83+绕后战斗2!BJ83)/2)</f>
        <v>#VALUE!</v>
      </c>
      <c r="K72" s="7" t="e">
        <f>AVERAGE((正常战斗1!AD83+正常战斗1!AZ83+正常战斗1!BJ83)/3,(正常战斗2!AD83+正常战斗2!BJ83)/2,(正常战斗3!T83+正常战斗3!AD83+正常战斗3!AZ83+正常战斗3!BJ83)/4,绕后战斗1!AD83)</f>
        <v>#VALUE!</v>
      </c>
      <c r="L72" s="7" t="e">
        <f t="shared" si="4"/>
        <v>#VALUE!</v>
      </c>
      <c r="M72" s="7"/>
      <c r="N72" s="7">
        <f>AVERAGE(正常战斗1!CK83,正常战斗2!CK83,正常战斗3!CK83,绕后战斗1!CK83,绕后战斗2!CK83)</f>
        <v>0</v>
      </c>
      <c r="O72" s="7">
        <f>AVERAGE(正常战斗1!CL83,正常战斗2!CL83,正常战斗3!CL83,绕后战斗1!CL83,绕后战斗2!CL83)</f>
        <v>0</v>
      </c>
      <c r="P72" s="7">
        <f>AVERAGE(正常战斗1!CM83,正常战斗2!CM83,正常战斗3!CM83,绕后战斗1!CM83,绕后战斗2!CM83)</f>
        <v>0</v>
      </c>
      <c r="Q72" s="7">
        <f>AVERAGE(正常战斗1!CN83,正常战斗2!CN83,正常战斗3!CN83,绕后战斗1!CN83,绕后战斗2!CN83)</f>
        <v>0</v>
      </c>
      <c r="R72" s="7">
        <f>AVERAGE(绕后战斗1!CO83,绕后战斗2!CO83)</f>
        <v>0</v>
      </c>
      <c r="S72" s="7">
        <f>AVERAGE(绕后战斗1!CP83,绕后战斗2!CP83)</f>
        <v>0</v>
      </c>
      <c r="T72" s="7">
        <f>AVERAGE(绕后战斗1!CQ83,绕后战斗2!CQ83)</f>
        <v>0</v>
      </c>
      <c r="U72" s="7">
        <f>AVERAGE(绕后战斗1!CR83,绕后战斗2!CR83)</f>
        <v>0</v>
      </c>
      <c r="V72" s="7">
        <f>AVERAGE(正常战斗1!CS83,正常战斗2!CS83,正常战斗3!CS83,绕后战斗1!CS83)</f>
        <v>0</v>
      </c>
      <c r="W72" s="7">
        <f>AVERAGE(正常战斗1!CT83,正常战斗2!CT83,正常战斗3!CT83,绕后战斗1!CT83)</f>
        <v>0</v>
      </c>
      <c r="X72" s="7">
        <f>AVERAGE(正常战斗1!CU83,正常战斗2!CU83,正常战斗3!CU83,绕后战斗1!CU83)</f>
        <v>0</v>
      </c>
      <c r="Y72" s="7">
        <f>AVERAGE(正常战斗1!CV83,正常战斗2!CV83,正常战斗3!CV83,绕后战斗1!CV83)</f>
        <v>0</v>
      </c>
      <c r="Z72" s="7">
        <f>AVERAGE(正常战斗1!CW83,正常战斗2!CW83,绕后战斗1!CW83,绕后战斗2!CW83)</f>
        <v>0</v>
      </c>
      <c r="AA72" s="7">
        <f>AVERAGE(正常战斗1!CX83,正常战斗2!CX83,绕后战斗1!CX83,绕后战斗2!CX83)</f>
        <v>0</v>
      </c>
      <c r="AB72" s="7">
        <f>AVERAGE(正常战斗1!CY83,正常战斗2!CY83,绕后战斗1!CY83,绕后战斗2!CY83)</f>
        <v>0</v>
      </c>
      <c r="AC72" s="7">
        <f>AVERAGE(正常战斗1!CZ83,正常战斗2!CZ83,绕后战斗1!CZ83,绕后战斗2!CZ83)</f>
        <v>0</v>
      </c>
      <c r="AD72" s="7"/>
      <c r="AE72" s="7"/>
      <c r="AU72" s="21"/>
    </row>
    <row r="73" spans="4:47" x14ac:dyDescent="0.15">
      <c r="D73" s="6">
        <v>68</v>
      </c>
      <c r="E73" s="7" t="e">
        <f>AVERAGE((正常战斗1!E84+正常战斗1!AK84)/2,(正常战斗2!E84+正常战斗2!AK84)/2,(正常战斗3!E84+正常战斗3!AK84)/2,(绕后战斗1!E84+绕后战斗1!AK84)/2,(绕后战斗2!E84+绕后战斗2!AK84)/2)/1000</f>
        <v>#VALUE!</v>
      </c>
      <c r="F73" s="7" t="e">
        <f>AVERAGE(绕后战斗1!BE84,(绕后战斗2!Y84+绕后战斗2!BE84)/2)/1000</f>
        <v>#VALUE!</v>
      </c>
      <c r="G73" s="7" t="e">
        <f>AVERAGE((正常战斗1!Y84+正常战斗1!AU84+正常战斗1!BE84)/3,(正常战斗2!Y84+正常战斗2!BE84)/2,(正常战斗3!O84+正常战斗3!Y84+正常战斗3!AU84+正常战斗3!BE84)/4,绕后战斗1!Y84)/1000</f>
        <v>#VALUE!</v>
      </c>
      <c r="H73" s="7" t="e">
        <f>AVERAGE(正常战斗1!O84,(正常战斗2!O84+正常战斗2!AU84)/2,(绕后战斗1!O84+绕后战斗1!AU84)/2,(绕后战斗2!O84+绕后战斗2!AU84)/2)/1000</f>
        <v>#VALUE!</v>
      </c>
      <c r="I73" s="7" t="e">
        <f>AVERAGE(AVERAGE((正常战斗1!J84+正常战斗1!AP84)/2,(正常战斗2!J84+正常战斗2!AP84)/2,(正常战斗3!J84+正常战斗3!AP84)/2,(绕后战斗1!J84+绕后战斗1!AP84)/2,(绕后战斗2!J84+绕后战斗2!AP84)/2),AVERAGE(正常战斗1!T84,(正常战斗2!T84+正常战斗2!AZ84)/2,(绕后战斗1!T84+绕后战斗1!AZ84)/2,(绕后战斗2!T84+绕后战斗2!AZ84)/2))</f>
        <v>#VALUE!</v>
      </c>
      <c r="J73" s="7" t="e">
        <f>AVERAGE(绕后战斗1!BJ84,(绕后战斗2!AD84+绕后战斗2!BJ84)/2)</f>
        <v>#VALUE!</v>
      </c>
      <c r="K73" s="7" t="e">
        <f>AVERAGE((正常战斗1!AD84+正常战斗1!AZ84+正常战斗1!BJ84)/3,(正常战斗2!AD84+正常战斗2!BJ84)/2,(正常战斗3!T84+正常战斗3!AD84+正常战斗3!AZ84+正常战斗3!BJ84)/4,绕后战斗1!AD84)</f>
        <v>#VALUE!</v>
      </c>
      <c r="L73" s="7" t="e">
        <f t="shared" si="4"/>
        <v>#VALUE!</v>
      </c>
      <c r="M73" s="7"/>
      <c r="N73" s="7">
        <f>AVERAGE(正常战斗1!CK84,正常战斗2!CK84,正常战斗3!CK84,绕后战斗1!CK84,绕后战斗2!CK84)</f>
        <v>0</v>
      </c>
      <c r="O73" s="7">
        <f>AVERAGE(正常战斗1!CL84,正常战斗2!CL84,正常战斗3!CL84,绕后战斗1!CL84,绕后战斗2!CL84)</f>
        <v>0</v>
      </c>
      <c r="P73" s="7">
        <f>AVERAGE(正常战斗1!CM84,正常战斗2!CM84,正常战斗3!CM84,绕后战斗1!CM84,绕后战斗2!CM84)</f>
        <v>0</v>
      </c>
      <c r="Q73" s="7">
        <f>AVERAGE(正常战斗1!CN84,正常战斗2!CN84,正常战斗3!CN84,绕后战斗1!CN84,绕后战斗2!CN84)</f>
        <v>0</v>
      </c>
      <c r="R73" s="7">
        <f>AVERAGE(绕后战斗1!CO84,绕后战斗2!CO84)</f>
        <v>0</v>
      </c>
      <c r="S73" s="7">
        <f>AVERAGE(绕后战斗1!CP84,绕后战斗2!CP84)</f>
        <v>0</v>
      </c>
      <c r="T73" s="7">
        <f>AVERAGE(绕后战斗1!CQ84,绕后战斗2!CQ84)</f>
        <v>0</v>
      </c>
      <c r="U73" s="7">
        <f>AVERAGE(绕后战斗1!CR84,绕后战斗2!CR84)</f>
        <v>0</v>
      </c>
      <c r="V73" s="7">
        <f>AVERAGE(正常战斗1!CS84,正常战斗2!CS84,正常战斗3!CS84,绕后战斗1!CS84)</f>
        <v>0</v>
      </c>
      <c r="W73" s="7">
        <f>AVERAGE(正常战斗1!CT84,正常战斗2!CT84,正常战斗3!CT84,绕后战斗1!CT84)</f>
        <v>0</v>
      </c>
      <c r="X73" s="7">
        <f>AVERAGE(正常战斗1!CU84,正常战斗2!CU84,正常战斗3!CU84,绕后战斗1!CU84)</f>
        <v>0</v>
      </c>
      <c r="Y73" s="7">
        <f>AVERAGE(正常战斗1!CV84,正常战斗2!CV84,正常战斗3!CV84,绕后战斗1!CV84)</f>
        <v>0</v>
      </c>
      <c r="Z73" s="7">
        <f>AVERAGE(正常战斗1!CW84,正常战斗2!CW84,绕后战斗1!CW84,绕后战斗2!CW84)</f>
        <v>0</v>
      </c>
      <c r="AA73" s="7">
        <f>AVERAGE(正常战斗1!CX84,正常战斗2!CX84,绕后战斗1!CX84,绕后战斗2!CX84)</f>
        <v>0</v>
      </c>
      <c r="AB73" s="7">
        <f>AVERAGE(正常战斗1!CY84,正常战斗2!CY84,绕后战斗1!CY84,绕后战斗2!CY84)</f>
        <v>0</v>
      </c>
      <c r="AC73" s="7">
        <f>AVERAGE(正常战斗1!CZ84,正常战斗2!CZ84,绕后战斗1!CZ84,绕后战斗2!CZ84)</f>
        <v>0</v>
      </c>
      <c r="AD73" s="7"/>
      <c r="AE73" s="7"/>
      <c r="AU73" s="21"/>
    </row>
    <row r="74" spans="4:47" x14ac:dyDescent="0.15">
      <c r="D74" s="6">
        <v>69</v>
      </c>
      <c r="E74" s="7" t="e">
        <f>AVERAGE((正常战斗1!E85+正常战斗1!AK85)/2,(正常战斗2!E85+正常战斗2!AK85)/2,(正常战斗3!E85+正常战斗3!AK85)/2,(绕后战斗1!E85+绕后战斗1!AK85)/2,(绕后战斗2!E85+绕后战斗2!AK85)/2)/1000</f>
        <v>#VALUE!</v>
      </c>
      <c r="F74" s="7" t="e">
        <f>AVERAGE(绕后战斗1!BE85,(绕后战斗2!Y85+绕后战斗2!BE85)/2)/1000</f>
        <v>#VALUE!</v>
      </c>
      <c r="G74" s="7" t="e">
        <f>AVERAGE((正常战斗1!Y85+正常战斗1!AU85+正常战斗1!BE85)/3,(正常战斗2!Y85+正常战斗2!BE85)/2,(正常战斗3!O85+正常战斗3!Y85+正常战斗3!AU85+正常战斗3!BE85)/4,绕后战斗1!Y85)/1000</f>
        <v>#VALUE!</v>
      </c>
      <c r="H74" s="7" t="e">
        <f>AVERAGE(正常战斗1!O85,(正常战斗2!O85+正常战斗2!AU85)/2,(绕后战斗1!O85+绕后战斗1!AU85)/2,(绕后战斗2!O85+绕后战斗2!AU85)/2)/1000</f>
        <v>#VALUE!</v>
      </c>
      <c r="I74" s="7" t="e">
        <f>AVERAGE(AVERAGE((正常战斗1!J85+正常战斗1!AP85)/2,(正常战斗2!J85+正常战斗2!AP85)/2,(正常战斗3!J85+正常战斗3!AP85)/2,(绕后战斗1!J85+绕后战斗1!AP85)/2,(绕后战斗2!J85+绕后战斗2!AP85)/2),AVERAGE(正常战斗1!T85,(正常战斗2!T85+正常战斗2!AZ85)/2,(绕后战斗1!T85+绕后战斗1!AZ85)/2,(绕后战斗2!T85+绕后战斗2!AZ85)/2))</f>
        <v>#VALUE!</v>
      </c>
      <c r="J74" s="7" t="e">
        <f>AVERAGE(绕后战斗1!BJ85,(绕后战斗2!AD85+绕后战斗2!BJ85)/2)</f>
        <v>#VALUE!</v>
      </c>
      <c r="K74" s="7" t="e">
        <f>AVERAGE((正常战斗1!AD85+正常战斗1!AZ85+正常战斗1!BJ85)/3,(正常战斗2!AD85+正常战斗2!BJ85)/2,(正常战斗3!T85+正常战斗3!AD85+正常战斗3!AZ85+正常战斗3!BJ85)/4,绕后战斗1!AD85)</f>
        <v>#VALUE!</v>
      </c>
      <c r="L74" s="7" t="e">
        <f t="shared" si="4"/>
        <v>#VALUE!</v>
      </c>
      <c r="M74" s="7"/>
      <c r="N74" s="7">
        <f>AVERAGE(正常战斗1!CK85,正常战斗2!CK85,正常战斗3!CK85,绕后战斗1!CK85,绕后战斗2!CK85)</f>
        <v>0</v>
      </c>
      <c r="O74" s="7">
        <f>AVERAGE(正常战斗1!CL85,正常战斗2!CL85,正常战斗3!CL85,绕后战斗1!CL85,绕后战斗2!CL85)</f>
        <v>0</v>
      </c>
      <c r="P74" s="7">
        <f>AVERAGE(正常战斗1!CM85,正常战斗2!CM85,正常战斗3!CM85,绕后战斗1!CM85,绕后战斗2!CM85)</f>
        <v>0</v>
      </c>
      <c r="Q74" s="7">
        <f>AVERAGE(正常战斗1!CN85,正常战斗2!CN85,正常战斗3!CN85,绕后战斗1!CN85,绕后战斗2!CN85)</f>
        <v>0</v>
      </c>
      <c r="R74" s="7">
        <f>AVERAGE(绕后战斗1!CO85,绕后战斗2!CO85)</f>
        <v>0</v>
      </c>
      <c r="S74" s="7">
        <f>AVERAGE(绕后战斗1!CP85,绕后战斗2!CP85)</f>
        <v>0</v>
      </c>
      <c r="T74" s="7">
        <f>AVERAGE(绕后战斗1!CQ85,绕后战斗2!CQ85)</f>
        <v>0</v>
      </c>
      <c r="U74" s="7">
        <f>AVERAGE(绕后战斗1!CR85,绕后战斗2!CR85)</f>
        <v>0</v>
      </c>
      <c r="V74" s="7">
        <f>AVERAGE(正常战斗1!CS85,正常战斗2!CS85,正常战斗3!CS85,绕后战斗1!CS85)</f>
        <v>0</v>
      </c>
      <c r="W74" s="7">
        <f>AVERAGE(正常战斗1!CT85,正常战斗2!CT85,正常战斗3!CT85,绕后战斗1!CT85)</f>
        <v>0</v>
      </c>
      <c r="X74" s="7">
        <f>AVERAGE(正常战斗1!CU85,正常战斗2!CU85,正常战斗3!CU85,绕后战斗1!CU85)</f>
        <v>0</v>
      </c>
      <c r="Y74" s="7">
        <f>AVERAGE(正常战斗1!CV85,正常战斗2!CV85,正常战斗3!CV85,绕后战斗1!CV85)</f>
        <v>0</v>
      </c>
      <c r="Z74" s="7">
        <f>AVERAGE(正常战斗1!CW85,正常战斗2!CW85,绕后战斗1!CW85,绕后战斗2!CW85)</f>
        <v>0</v>
      </c>
      <c r="AA74" s="7">
        <f>AVERAGE(正常战斗1!CX85,正常战斗2!CX85,绕后战斗1!CX85,绕后战斗2!CX85)</f>
        <v>0</v>
      </c>
      <c r="AB74" s="7">
        <f>AVERAGE(正常战斗1!CY85,正常战斗2!CY85,绕后战斗1!CY85,绕后战斗2!CY85)</f>
        <v>0</v>
      </c>
      <c r="AC74" s="7">
        <f>AVERAGE(正常战斗1!CZ85,正常战斗2!CZ85,绕后战斗1!CZ85,绕后战斗2!CZ85)</f>
        <v>0</v>
      </c>
      <c r="AD74" s="7"/>
      <c r="AE74" s="7"/>
      <c r="AU74" s="21"/>
    </row>
    <row r="75" spans="4:47" x14ac:dyDescent="0.15">
      <c r="D75" s="6">
        <v>70</v>
      </c>
      <c r="E75" s="7" t="e">
        <f>AVERAGE((正常战斗1!E86+正常战斗1!AK86)/2,(正常战斗2!E86+正常战斗2!AK86)/2,(正常战斗3!E86+正常战斗3!AK86)/2,(绕后战斗1!E86+绕后战斗1!AK86)/2,(绕后战斗2!E86+绕后战斗2!AK86)/2)/1000</f>
        <v>#VALUE!</v>
      </c>
      <c r="F75" s="7" t="e">
        <f>AVERAGE(绕后战斗1!BE86,(绕后战斗2!Y86+绕后战斗2!BE86)/2)/1000</f>
        <v>#VALUE!</v>
      </c>
      <c r="G75" s="7" t="e">
        <f>AVERAGE((正常战斗1!Y86+正常战斗1!AU86+正常战斗1!BE86)/3,(正常战斗2!Y86+正常战斗2!BE86)/2,(正常战斗3!O86+正常战斗3!Y86+正常战斗3!AU86+正常战斗3!BE86)/4,绕后战斗1!Y86)/1000</f>
        <v>#VALUE!</v>
      </c>
      <c r="H75" s="7" t="e">
        <f>AVERAGE(正常战斗1!O86,(正常战斗2!O86+正常战斗2!AU86)/2,(绕后战斗1!O86+绕后战斗1!AU86)/2,(绕后战斗2!O86+绕后战斗2!AU86)/2)/1000</f>
        <v>#VALUE!</v>
      </c>
      <c r="I75" s="7" t="e">
        <f>AVERAGE(AVERAGE((正常战斗1!J86+正常战斗1!AP86)/2,(正常战斗2!J86+正常战斗2!AP86)/2,(正常战斗3!J86+正常战斗3!AP86)/2,(绕后战斗1!J86+绕后战斗1!AP86)/2,(绕后战斗2!J86+绕后战斗2!AP86)/2),AVERAGE(正常战斗1!T86,(正常战斗2!T86+正常战斗2!AZ86)/2,(绕后战斗1!T86+绕后战斗1!AZ86)/2,(绕后战斗2!T86+绕后战斗2!AZ86)/2))</f>
        <v>#VALUE!</v>
      </c>
      <c r="J75" s="7" t="e">
        <f>AVERAGE(绕后战斗1!BJ86,(绕后战斗2!AD86+绕后战斗2!BJ86)/2)</f>
        <v>#VALUE!</v>
      </c>
      <c r="K75" s="7" t="e">
        <f>AVERAGE((正常战斗1!AD86+正常战斗1!AZ86+正常战斗1!BJ86)/3,(正常战斗2!AD86+正常战斗2!BJ86)/2,(正常战斗3!T86+正常战斗3!AD86+正常战斗3!AZ86+正常战斗3!BJ86)/4,绕后战斗1!AD86)</f>
        <v>#VALUE!</v>
      </c>
      <c r="L75" s="7" t="e">
        <f t="shared" si="4"/>
        <v>#VALUE!</v>
      </c>
      <c r="M75" s="7"/>
      <c r="N75" s="7">
        <f>AVERAGE(正常战斗1!CK86,正常战斗2!CK86,正常战斗3!CK86,绕后战斗1!CK86,绕后战斗2!CK86)</f>
        <v>0</v>
      </c>
      <c r="O75" s="7">
        <f>AVERAGE(正常战斗1!CL86,正常战斗2!CL86,正常战斗3!CL86,绕后战斗1!CL86,绕后战斗2!CL86)</f>
        <v>0</v>
      </c>
      <c r="P75" s="7">
        <f>AVERAGE(正常战斗1!CM86,正常战斗2!CM86,正常战斗3!CM86,绕后战斗1!CM86,绕后战斗2!CM86)</f>
        <v>0</v>
      </c>
      <c r="Q75" s="7">
        <f>AVERAGE(正常战斗1!CN86,正常战斗2!CN86,正常战斗3!CN86,绕后战斗1!CN86,绕后战斗2!CN86)</f>
        <v>0</v>
      </c>
      <c r="R75" s="7">
        <f>AVERAGE(绕后战斗1!CO86,绕后战斗2!CO86)</f>
        <v>0</v>
      </c>
      <c r="S75" s="7">
        <f>AVERAGE(绕后战斗1!CP86,绕后战斗2!CP86)</f>
        <v>0</v>
      </c>
      <c r="T75" s="7">
        <f>AVERAGE(绕后战斗1!CQ86,绕后战斗2!CQ86)</f>
        <v>0</v>
      </c>
      <c r="U75" s="7">
        <f>AVERAGE(绕后战斗1!CR86,绕后战斗2!CR86)</f>
        <v>0</v>
      </c>
      <c r="V75" s="7">
        <f>AVERAGE(正常战斗1!CS86,正常战斗2!CS86,正常战斗3!CS86,绕后战斗1!CS86)</f>
        <v>0</v>
      </c>
      <c r="W75" s="7">
        <f>AVERAGE(正常战斗1!CT86,正常战斗2!CT86,正常战斗3!CT86,绕后战斗1!CT86)</f>
        <v>0</v>
      </c>
      <c r="X75" s="7">
        <f>AVERAGE(正常战斗1!CU86,正常战斗2!CU86,正常战斗3!CU86,绕后战斗1!CU86)</f>
        <v>0</v>
      </c>
      <c r="Y75" s="7">
        <f>AVERAGE(正常战斗1!CV86,正常战斗2!CV86,正常战斗3!CV86,绕后战斗1!CV86)</f>
        <v>0</v>
      </c>
      <c r="Z75" s="7">
        <f>AVERAGE(正常战斗1!CW86,正常战斗2!CW86,绕后战斗1!CW86,绕后战斗2!CW86)</f>
        <v>0</v>
      </c>
      <c r="AA75" s="7">
        <f>AVERAGE(正常战斗1!CX86,正常战斗2!CX86,绕后战斗1!CX86,绕后战斗2!CX86)</f>
        <v>0</v>
      </c>
      <c r="AB75" s="7">
        <f>AVERAGE(正常战斗1!CY86,正常战斗2!CY86,绕后战斗1!CY86,绕后战斗2!CY86)</f>
        <v>0</v>
      </c>
      <c r="AC75" s="7">
        <f>AVERAGE(正常战斗1!CZ86,正常战斗2!CZ86,绕后战斗1!CZ86,绕后战斗2!CZ86)</f>
        <v>0</v>
      </c>
      <c r="AD75" s="7"/>
      <c r="AE75" s="7"/>
      <c r="AU75" s="21"/>
    </row>
    <row r="76" spans="4:47" x14ac:dyDescent="0.15">
      <c r="D76" s="6">
        <v>71</v>
      </c>
      <c r="E76" s="7" t="e">
        <f>AVERAGE((正常战斗1!E87+正常战斗1!AK87)/2,(正常战斗2!E87+正常战斗2!AK87)/2,(正常战斗3!E87+正常战斗3!AK87)/2,(绕后战斗1!E87+绕后战斗1!AK87)/2,(绕后战斗2!E87+绕后战斗2!AK87)/2)/1000</f>
        <v>#VALUE!</v>
      </c>
      <c r="F76" s="7" t="e">
        <f>AVERAGE(绕后战斗1!BE87,(绕后战斗2!Y87+绕后战斗2!BE87)/2)/1000</f>
        <v>#VALUE!</v>
      </c>
      <c r="G76" s="7" t="e">
        <f>AVERAGE((正常战斗1!Y87+正常战斗1!AU87+正常战斗1!BE87)/3,(正常战斗2!Y87+正常战斗2!BE87)/2,(正常战斗3!O87+正常战斗3!Y87+正常战斗3!AU87+正常战斗3!BE87)/4,绕后战斗1!Y87)/1000</f>
        <v>#VALUE!</v>
      </c>
      <c r="H76" s="7" t="e">
        <f>AVERAGE(正常战斗1!O87,(正常战斗2!O87+正常战斗2!AU87)/2,(绕后战斗1!O87+绕后战斗1!AU87)/2,(绕后战斗2!O87+绕后战斗2!AU87)/2)/1000</f>
        <v>#VALUE!</v>
      </c>
      <c r="I76" s="7" t="e">
        <f>AVERAGE(AVERAGE((正常战斗1!J87+正常战斗1!AP87)/2,(正常战斗2!J87+正常战斗2!AP87)/2,(正常战斗3!J87+正常战斗3!AP87)/2,(绕后战斗1!J87+绕后战斗1!AP87)/2,(绕后战斗2!J87+绕后战斗2!AP87)/2),AVERAGE(正常战斗1!T87,(正常战斗2!T87+正常战斗2!AZ87)/2,(绕后战斗1!T87+绕后战斗1!AZ87)/2,(绕后战斗2!T87+绕后战斗2!AZ87)/2))</f>
        <v>#VALUE!</v>
      </c>
      <c r="J76" s="7" t="e">
        <f>AVERAGE(绕后战斗1!BJ87,(绕后战斗2!AD87+绕后战斗2!BJ87)/2)</f>
        <v>#VALUE!</v>
      </c>
      <c r="K76" s="7" t="e">
        <f>AVERAGE((正常战斗1!AD87+正常战斗1!AZ87+正常战斗1!BJ87)/3,(正常战斗2!AD87+正常战斗2!BJ87)/2,(正常战斗3!T87+正常战斗3!AD87+正常战斗3!AZ87+正常战斗3!BJ87)/4,绕后战斗1!AD87)</f>
        <v>#VALUE!</v>
      </c>
      <c r="L76" s="7" t="e">
        <f t="shared" si="4"/>
        <v>#VALUE!</v>
      </c>
      <c r="M76" s="7"/>
      <c r="N76" s="7">
        <f>AVERAGE(正常战斗1!CK87,正常战斗2!CK87,正常战斗3!CK87,绕后战斗1!CK87,绕后战斗2!CK87)</f>
        <v>0</v>
      </c>
      <c r="O76" s="7">
        <f>AVERAGE(正常战斗1!CL87,正常战斗2!CL87,正常战斗3!CL87,绕后战斗1!CL87,绕后战斗2!CL87)</f>
        <v>0</v>
      </c>
      <c r="P76" s="7">
        <f>AVERAGE(正常战斗1!CM87,正常战斗2!CM87,正常战斗3!CM87,绕后战斗1!CM87,绕后战斗2!CM87)</f>
        <v>0</v>
      </c>
      <c r="Q76" s="7">
        <f>AVERAGE(正常战斗1!CN87,正常战斗2!CN87,正常战斗3!CN87,绕后战斗1!CN87,绕后战斗2!CN87)</f>
        <v>0</v>
      </c>
      <c r="R76" s="7">
        <f>AVERAGE(绕后战斗1!CO87,绕后战斗2!CO87)</f>
        <v>0</v>
      </c>
      <c r="S76" s="7">
        <f>AVERAGE(绕后战斗1!CP87,绕后战斗2!CP87)</f>
        <v>0</v>
      </c>
      <c r="T76" s="7">
        <f>AVERAGE(绕后战斗1!CQ87,绕后战斗2!CQ87)</f>
        <v>0</v>
      </c>
      <c r="U76" s="7">
        <f>AVERAGE(绕后战斗1!CR87,绕后战斗2!CR87)</f>
        <v>0</v>
      </c>
      <c r="V76" s="7">
        <f>AVERAGE(正常战斗1!CS87,正常战斗2!CS87,正常战斗3!CS87,绕后战斗1!CS87)</f>
        <v>0</v>
      </c>
      <c r="W76" s="7">
        <f>AVERAGE(正常战斗1!CT87,正常战斗2!CT87,正常战斗3!CT87,绕后战斗1!CT87)</f>
        <v>0</v>
      </c>
      <c r="X76" s="7">
        <f>AVERAGE(正常战斗1!CU87,正常战斗2!CU87,正常战斗3!CU87,绕后战斗1!CU87)</f>
        <v>0</v>
      </c>
      <c r="Y76" s="7">
        <f>AVERAGE(正常战斗1!CV87,正常战斗2!CV87,正常战斗3!CV87,绕后战斗1!CV87)</f>
        <v>0</v>
      </c>
      <c r="Z76" s="7">
        <f>AVERAGE(正常战斗1!CW87,正常战斗2!CW87,绕后战斗1!CW87,绕后战斗2!CW87)</f>
        <v>0</v>
      </c>
      <c r="AA76" s="7">
        <f>AVERAGE(正常战斗1!CX87,正常战斗2!CX87,绕后战斗1!CX87,绕后战斗2!CX87)</f>
        <v>0</v>
      </c>
      <c r="AB76" s="7">
        <f>AVERAGE(正常战斗1!CY87,正常战斗2!CY87,绕后战斗1!CY87,绕后战斗2!CY87)</f>
        <v>0</v>
      </c>
      <c r="AC76" s="7">
        <f>AVERAGE(正常战斗1!CZ87,正常战斗2!CZ87,绕后战斗1!CZ87,绕后战斗2!CZ87)</f>
        <v>0</v>
      </c>
      <c r="AD76" s="7"/>
      <c r="AE76" s="7"/>
      <c r="AU76" s="21"/>
    </row>
    <row r="77" spans="4:47" x14ac:dyDescent="0.15">
      <c r="D77" s="6">
        <v>72</v>
      </c>
      <c r="E77" s="7" t="e">
        <f>AVERAGE((正常战斗1!E88+正常战斗1!AK88)/2,(正常战斗2!E88+正常战斗2!AK88)/2,(正常战斗3!E88+正常战斗3!AK88)/2,(绕后战斗1!E88+绕后战斗1!AK88)/2,(绕后战斗2!E88+绕后战斗2!AK88)/2)/1000</f>
        <v>#VALUE!</v>
      </c>
      <c r="F77" s="7" t="e">
        <f>AVERAGE(绕后战斗1!BE88,(绕后战斗2!Y88+绕后战斗2!BE88)/2)/1000</f>
        <v>#VALUE!</v>
      </c>
      <c r="G77" s="7" t="e">
        <f>AVERAGE((正常战斗1!Y88+正常战斗1!AU88+正常战斗1!BE88)/3,(正常战斗2!Y88+正常战斗2!BE88)/2,(正常战斗3!O88+正常战斗3!Y88+正常战斗3!AU88+正常战斗3!BE88)/4,绕后战斗1!Y88)/1000</f>
        <v>#VALUE!</v>
      </c>
      <c r="H77" s="7" t="e">
        <f>AVERAGE(正常战斗1!O88,(正常战斗2!O88+正常战斗2!AU88)/2,(绕后战斗1!O88+绕后战斗1!AU88)/2,(绕后战斗2!O88+绕后战斗2!AU88)/2)/1000</f>
        <v>#VALUE!</v>
      </c>
      <c r="I77" s="7" t="e">
        <f>AVERAGE(AVERAGE((正常战斗1!J88+正常战斗1!AP88)/2,(正常战斗2!J88+正常战斗2!AP88)/2,(正常战斗3!J88+正常战斗3!AP88)/2,(绕后战斗1!J88+绕后战斗1!AP88)/2,(绕后战斗2!J88+绕后战斗2!AP88)/2),AVERAGE(正常战斗1!T88,(正常战斗2!T88+正常战斗2!AZ88)/2,(绕后战斗1!T88+绕后战斗1!AZ88)/2,(绕后战斗2!T88+绕后战斗2!AZ88)/2))</f>
        <v>#VALUE!</v>
      </c>
      <c r="J77" s="7" t="e">
        <f>AVERAGE(绕后战斗1!BJ88,(绕后战斗2!AD88+绕后战斗2!BJ88)/2)</f>
        <v>#VALUE!</v>
      </c>
      <c r="K77" s="7" t="e">
        <f>AVERAGE((正常战斗1!AD88+正常战斗1!AZ88+正常战斗1!BJ88)/3,(正常战斗2!AD88+正常战斗2!BJ88)/2,(正常战斗3!T88+正常战斗3!AD88+正常战斗3!AZ88+正常战斗3!BJ88)/4,绕后战斗1!AD88)</f>
        <v>#VALUE!</v>
      </c>
      <c r="L77" s="7" t="e">
        <f t="shared" si="4"/>
        <v>#VALUE!</v>
      </c>
      <c r="M77" s="7"/>
      <c r="N77" s="7">
        <f>AVERAGE(正常战斗1!CK88,正常战斗2!CK88,正常战斗3!CK88,绕后战斗1!CK88,绕后战斗2!CK88)</f>
        <v>0</v>
      </c>
      <c r="O77" s="7">
        <f>AVERAGE(正常战斗1!CL88,正常战斗2!CL88,正常战斗3!CL88,绕后战斗1!CL88,绕后战斗2!CL88)</f>
        <v>0</v>
      </c>
      <c r="P77" s="7">
        <f>AVERAGE(正常战斗1!CM88,正常战斗2!CM88,正常战斗3!CM88,绕后战斗1!CM88,绕后战斗2!CM88)</f>
        <v>0</v>
      </c>
      <c r="Q77" s="7">
        <f>AVERAGE(正常战斗1!CN88,正常战斗2!CN88,正常战斗3!CN88,绕后战斗1!CN88,绕后战斗2!CN88)</f>
        <v>0</v>
      </c>
      <c r="R77" s="7">
        <f>AVERAGE(绕后战斗1!CO88,绕后战斗2!CO88)</f>
        <v>0</v>
      </c>
      <c r="S77" s="7">
        <f>AVERAGE(绕后战斗1!CP88,绕后战斗2!CP88)</f>
        <v>0</v>
      </c>
      <c r="T77" s="7">
        <f>AVERAGE(绕后战斗1!CQ88,绕后战斗2!CQ88)</f>
        <v>0</v>
      </c>
      <c r="U77" s="7">
        <f>AVERAGE(绕后战斗1!CR88,绕后战斗2!CR88)</f>
        <v>0</v>
      </c>
      <c r="V77" s="7">
        <f>AVERAGE(正常战斗1!CS88,正常战斗2!CS88,正常战斗3!CS88,绕后战斗1!CS88)</f>
        <v>0</v>
      </c>
      <c r="W77" s="7">
        <f>AVERAGE(正常战斗1!CT88,正常战斗2!CT88,正常战斗3!CT88,绕后战斗1!CT88)</f>
        <v>0</v>
      </c>
      <c r="X77" s="7">
        <f>AVERAGE(正常战斗1!CU88,正常战斗2!CU88,正常战斗3!CU88,绕后战斗1!CU88)</f>
        <v>0</v>
      </c>
      <c r="Y77" s="7">
        <f>AVERAGE(正常战斗1!CV88,正常战斗2!CV88,正常战斗3!CV88,绕后战斗1!CV88)</f>
        <v>0</v>
      </c>
      <c r="Z77" s="7">
        <f>AVERAGE(正常战斗1!CW88,正常战斗2!CW88,绕后战斗1!CW88,绕后战斗2!CW88)</f>
        <v>0</v>
      </c>
      <c r="AA77" s="7">
        <f>AVERAGE(正常战斗1!CX88,正常战斗2!CX88,绕后战斗1!CX88,绕后战斗2!CX88)</f>
        <v>0</v>
      </c>
      <c r="AB77" s="7">
        <f>AVERAGE(正常战斗1!CY88,正常战斗2!CY88,绕后战斗1!CY88,绕后战斗2!CY88)</f>
        <v>0</v>
      </c>
      <c r="AC77" s="7">
        <f>AVERAGE(正常战斗1!CZ88,正常战斗2!CZ88,绕后战斗1!CZ88,绕后战斗2!CZ88)</f>
        <v>0</v>
      </c>
      <c r="AD77" s="7"/>
      <c r="AE77" s="7"/>
      <c r="AU77" s="21"/>
    </row>
    <row r="78" spans="4:47" x14ac:dyDescent="0.15">
      <c r="D78" s="6">
        <v>73</v>
      </c>
      <c r="E78" s="7" t="e">
        <f>AVERAGE((正常战斗1!E89+正常战斗1!AK89)/2,(正常战斗2!E89+正常战斗2!AK89)/2,(正常战斗3!E89+正常战斗3!AK89)/2,(绕后战斗1!E89+绕后战斗1!AK89)/2,(绕后战斗2!E89+绕后战斗2!AK89)/2)/1000</f>
        <v>#VALUE!</v>
      </c>
      <c r="F78" s="7" t="e">
        <f>AVERAGE(绕后战斗1!BE89,(绕后战斗2!Y89+绕后战斗2!BE89)/2)/1000</f>
        <v>#VALUE!</v>
      </c>
      <c r="G78" s="7" t="e">
        <f>AVERAGE((正常战斗1!Y89+正常战斗1!AU89+正常战斗1!BE89)/3,(正常战斗2!Y89+正常战斗2!BE89)/2,(正常战斗3!O89+正常战斗3!Y89+正常战斗3!AU89+正常战斗3!BE89)/4,绕后战斗1!Y89)/1000</f>
        <v>#VALUE!</v>
      </c>
      <c r="H78" s="7" t="e">
        <f>AVERAGE(正常战斗1!O89,(正常战斗2!O89+正常战斗2!AU89)/2,(绕后战斗1!O89+绕后战斗1!AU89)/2,(绕后战斗2!O89+绕后战斗2!AU89)/2)/1000</f>
        <v>#VALUE!</v>
      </c>
      <c r="I78" s="7" t="e">
        <f>AVERAGE(AVERAGE((正常战斗1!J89+正常战斗1!AP89)/2,(正常战斗2!J89+正常战斗2!AP89)/2,(正常战斗3!J89+正常战斗3!AP89)/2,(绕后战斗1!J89+绕后战斗1!AP89)/2,(绕后战斗2!J89+绕后战斗2!AP89)/2),AVERAGE(正常战斗1!T89,(正常战斗2!T89+正常战斗2!AZ89)/2,(绕后战斗1!T89+绕后战斗1!AZ89)/2,(绕后战斗2!T89+绕后战斗2!AZ89)/2))</f>
        <v>#VALUE!</v>
      </c>
      <c r="J78" s="7" t="e">
        <f>AVERAGE(绕后战斗1!BJ89,(绕后战斗2!AD89+绕后战斗2!BJ89)/2)</f>
        <v>#VALUE!</v>
      </c>
      <c r="K78" s="7" t="e">
        <f>AVERAGE((正常战斗1!AD89+正常战斗1!AZ89+正常战斗1!BJ89)/3,(正常战斗2!AD89+正常战斗2!BJ89)/2,(正常战斗3!T89+正常战斗3!AD89+正常战斗3!AZ89+正常战斗3!BJ89)/4,绕后战斗1!AD89)</f>
        <v>#VALUE!</v>
      </c>
      <c r="L78" s="7" t="e">
        <f t="shared" si="4"/>
        <v>#VALUE!</v>
      </c>
      <c r="M78" s="7"/>
      <c r="N78" s="7">
        <f>AVERAGE(正常战斗1!CK89,正常战斗2!CK89,正常战斗3!CK89,绕后战斗1!CK89,绕后战斗2!CK89)</f>
        <v>0</v>
      </c>
      <c r="O78" s="7">
        <f>AVERAGE(正常战斗1!CL89,正常战斗2!CL89,正常战斗3!CL89,绕后战斗1!CL89,绕后战斗2!CL89)</f>
        <v>0</v>
      </c>
      <c r="P78" s="7">
        <f>AVERAGE(正常战斗1!CM89,正常战斗2!CM89,正常战斗3!CM89,绕后战斗1!CM89,绕后战斗2!CM89)</f>
        <v>0</v>
      </c>
      <c r="Q78" s="7">
        <f>AVERAGE(正常战斗1!CN89,正常战斗2!CN89,正常战斗3!CN89,绕后战斗1!CN89,绕后战斗2!CN89)</f>
        <v>0</v>
      </c>
      <c r="R78" s="7">
        <f>AVERAGE(绕后战斗1!CO89,绕后战斗2!CO89)</f>
        <v>0</v>
      </c>
      <c r="S78" s="7">
        <f>AVERAGE(绕后战斗1!CP89,绕后战斗2!CP89)</f>
        <v>0</v>
      </c>
      <c r="T78" s="7">
        <f>AVERAGE(绕后战斗1!CQ89,绕后战斗2!CQ89)</f>
        <v>0</v>
      </c>
      <c r="U78" s="7">
        <f>AVERAGE(绕后战斗1!CR89,绕后战斗2!CR89)</f>
        <v>0</v>
      </c>
      <c r="V78" s="7">
        <f>AVERAGE(正常战斗1!CS89,正常战斗2!CS89,正常战斗3!CS89,绕后战斗1!CS89)</f>
        <v>0</v>
      </c>
      <c r="W78" s="7">
        <f>AVERAGE(正常战斗1!CT89,正常战斗2!CT89,正常战斗3!CT89,绕后战斗1!CT89)</f>
        <v>0</v>
      </c>
      <c r="X78" s="7">
        <f>AVERAGE(正常战斗1!CU89,正常战斗2!CU89,正常战斗3!CU89,绕后战斗1!CU89)</f>
        <v>0</v>
      </c>
      <c r="Y78" s="7">
        <f>AVERAGE(正常战斗1!CV89,正常战斗2!CV89,正常战斗3!CV89,绕后战斗1!CV89)</f>
        <v>0</v>
      </c>
      <c r="Z78" s="7">
        <f>AVERAGE(正常战斗1!CW89,正常战斗2!CW89,绕后战斗1!CW89,绕后战斗2!CW89)</f>
        <v>0</v>
      </c>
      <c r="AA78" s="7">
        <f>AVERAGE(正常战斗1!CX89,正常战斗2!CX89,绕后战斗1!CX89,绕后战斗2!CX89)</f>
        <v>0</v>
      </c>
      <c r="AB78" s="7">
        <f>AVERAGE(正常战斗1!CY89,正常战斗2!CY89,绕后战斗1!CY89,绕后战斗2!CY89)</f>
        <v>0</v>
      </c>
      <c r="AC78" s="7">
        <f>AVERAGE(正常战斗1!CZ89,正常战斗2!CZ89,绕后战斗1!CZ89,绕后战斗2!CZ89)</f>
        <v>0</v>
      </c>
      <c r="AD78" s="7"/>
      <c r="AE78" s="7"/>
      <c r="AU78" s="21"/>
    </row>
    <row r="79" spans="4:47" x14ac:dyDescent="0.15">
      <c r="D79" s="6">
        <v>74</v>
      </c>
      <c r="E79" s="7" t="e">
        <f>AVERAGE((正常战斗1!E90+正常战斗1!AK90)/2,(正常战斗2!E90+正常战斗2!AK90)/2,(正常战斗3!E90+正常战斗3!AK90)/2,(绕后战斗1!E90+绕后战斗1!AK90)/2,(绕后战斗2!E90+绕后战斗2!AK90)/2)/1000</f>
        <v>#VALUE!</v>
      </c>
      <c r="F79" s="7" t="e">
        <f>AVERAGE(绕后战斗1!BE90,(绕后战斗2!Y90+绕后战斗2!BE90)/2)/1000</f>
        <v>#VALUE!</v>
      </c>
      <c r="G79" s="7" t="e">
        <f>AVERAGE((正常战斗1!Y90+正常战斗1!AU90+正常战斗1!BE90)/3,(正常战斗2!Y90+正常战斗2!BE90)/2,(正常战斗3!O90+正常战斗3!Y90+正常战斗3!AU90+正常战斗3!BE90)/4,绕后战斗1!Y90)/1000</f>
        <v>#VALUE!</v>
      </c>
      <c r="H79" s="7" t="e">
        <f>AVERAGE(正常战斗1!O90,(正常战斗2!O90+正常战斗2!AU90)/2,(绕后战斗1!O90+绕后战斗1!AU90)/2,(绕后战斗2!O90+绕后战斗2!AU90)/2)/1000</f>
        <v>#VALUE!</v>
      </c>
      <c r="I79" s="7" t="e">
        <f>AVERAGE(AVERAGE((正常战斗1!J90+正常战斗1!AP90)/2,(正常战斗2!J90+正常战斗2!AP90)/2,(正常战斗3!J90+正常战斗3!AP90)/2,(绕后战斗1!J90+绕后战斗1!AP90)/2,(绕后战斗2!J90+绕后战斗2!AP90)/2),AVERAGE(正常战斗1!T90,(正常战斗2!T90+正常战斗2!AZ90)/2,(绕后战斗1!T90+绕后战斗1!AZ90)/2,(绕后战斗2!T90+绕后战斗2!AZ90)/2))</f>
        <v>#VALUE!</v>
      </c>
      <c r="J79" s="7" t="e">
        <f>AVERAGE(绕后战斗1!BJ90,(绕后战斗2!AD90+绕后战斗2!BJ90)/2)</f>
        <v>#VALUE!</v>
      </c>
      <c r="K79" s="7" t="e">
        <f>AVERAGE((正常战斗1!AD90+正常战斗1!AZ90+正常战斗1!BJ90)/3,(正常战斗2!AD90+正常战斗2!BJ90)/2,(正常战斗3!T90+正常战斗3!AD90+正常战斗3!AZ90+正常战斗3!BJ90)/4,绕后战斗1!AD90)</f>
        <v>#VALUE!</v>
      </c>
      <c r="L79" s="7" t="e">
        <f t="shared" si="4"/>
        <v>#VALUE!</v>
      </c>
      <c r="M79" s="7"/>
      <c r="N79" s="7">
        <f>AVERAGE(正常战斗1!CK90,正常战斗2!CK90,正常战斗3!CK90,绕后战斗1!CK90,绕后战斗2!CK90)</f>
        <v>0</v>
      </c>
      <c r="O79" s="7">
        <f>AVERAGE(正常战斗1!CL90,正常战斗2!CL90,正常战斗3!CL90,绕后战斗1!CL90,绕后战斗2!CL90)</f>
        <v>0</v>
      </c>
      <c r="P79" s="7">
        <f>AVERAGE(正常战斗1!CM90,正常战斗2!CM90,正常战斗3!CM90,绕后战斗1!CM90,绕后战斗2!CM90)</f>
        <v>0</v>
      </c>
      <c r="Q79" s="7">
        <f>AVERAGE(正常战斗1!CN90,正常战斗2!CN90,正常战斗3!CN90,绕后战斗1!CN90,绕后战斗2!CN90)</f>
        <v>0</v>
      </c>
      <c r="R79" s="7">
        <f>AVERAGE(绕后战斗1!CO90,绕后战斗2!CO90)</f>
        <v>0</v>
      </c>
      <c r="S79" s="7">
        <f>AVERAGE(绕后战斗1!CP90,绕后战斗2!CP90)</f>
        <v>0</v>
      </c>
      <c r="T79" s="7">
        <f>AVERAGE(绕后战斗1!CQ90,绕后战斗2!CQ90)</f>
        <v>0</v>
      </c>
      <c r="U79" s="7">
        <f>AVERAGE(绕后战斗1!CR90,绕后战斗2!CR90)</f>
        <v>0</v>
      </c>
      <c r="V79" s="7">
        <f>AVERAGE(正常战斗1!CS90,正常战斗2!CS90,正常战斗3!CS90,绕后战斗1!CS90)</f>
        <v>0</v>
      </c>
      <c r="W79" s="7">
        <f>AVERAGE(正常战斗1!CT90,正常战斗2!CT90,正常战斗3!CT90,绕后战斗1!CT90)</f>
        <v>0</v>
      </c>
      <c r="X79" s="7">
        <f>AVERAGE(正常战斗1!CU90,正常战斗2!CU90,正常战斗3!CU90,绕后战斗1!CU90)</f>
        <v>0</v>
      </c>
      <c r="Y79" s="7">
        <f>AVERAGE(正常战斗1!CV90,正常战斗2!CV90,正常战斗3!CV90,绕后战斗1!CV90)</f>
        <v>0</v>
      </c>
      <c r="Z79" s="7">
        <f>AVERAGE(正常战斗1!CW90,正常战斗2!CW90,绕后战斗1!CW90,绕后战斗2!CW90)</f>
        <v>0</v>
      </c>
      <c r="AA79" s="7">
        <f>AVERAGE(正常战斗1!CX90,正常战斗2!CX90,绕后战斗1!CX90,绕后战斗2!CX90)</f>
        <v>0</v>
      </c>
      <c r="AB79" s="7">
        <f>AVERAGE(正常战斗1!CY90,正常战斗2!CY90,绕后战斗1!CY90,绕后战斗2!CY90)</f>
        <v>0</v>
      </c>
      <c r="AC79" s="7">
        <f>AVERAGE(正常战斗1!CZ90,正常战斗2!CZ90,绕后战斗1!CZ90,绕后战斗2!CZ90)</f>
        <v>0</v>
      </c>
      <c r="AD79" s="7"/>
      <c r="AE79" s="7"/>
    </row>
    <row r="80" spans="4:47" x14ac:dyDescent="0.15">
      <c r="D80" s="6">
        <v>75</v>
      </c>
      <c r="E80" s="7" t="e">
        <f>AVERAGE((正常战斗1!E91+正常战斗1!AK91)/2,(正常战斗2!E91+正常战斗2!AK91)/2,(正常战斗3!E91+正常战斗3!AK91)/2,(绕后战斗1!E91+绕后战斗1!AK91)/2,(绕后战斗2!E91+绕后战斗2!AK91)/2)/1000</f>
        <v>#VALUE!</v>
      </c>
      <c r="F80" s="7" t="e">
        <f>AVERAGE(绕后战斗1!BE91,(绕后战斗2!Y91+绕后战斗2!BE91)/2)/1000</f>
        <v>#VALUE!</v>
      </c>
      <c r="G80" s="7" t="e">
        <f>AVERAGE((正常战斗1!Y91+正常战斗1!AU91+正常战斗1!BE91)/3,(正常战斗2!Y91+正常战斗2!BE91)/2,(正常战斗3!O91+正常战斗3!Y91+正常战斗3!AU91+正常战斗3!BE91)/4,绕后战斗1!Y91)/1000</f>
        <v>#VALUE!</v>
      </c>
      <c r="H80" s="7" t="e">
        <f>AVERAGE(正常战斗1!O91,(正常战斗2!O91+正常战斗2!AU91)/2,(绕后战斗1!O91+绕后战斗1!AU91)/2,(绕后战斗2!O91+绕后战斗2!AU91)/2)/1000</f>
        <v>#VALUE!</v>
      </c>
      <c r="I80" s="7" t="e">
        <f>AVERAGE(AVERAGE((正常战斗1!J91+正常战斗1!AP91)/2,(正常战斗2!J91+正常战斗2!AP91)/2,(正常战斗3!J91+正常战斗3!AP91)/2,(绕后战斗1!J91+绕后战斗1!AP91)/2,(绕后战斗2!J91+绕后战斗2!AP91)/2),AVERAGE(正常战斗1!T91,(正常战斗2!T91+正常战斗2!AZ91)/2,(绕后战斗1!T91+绕后战斗1!AZ91)/2,(绕后战斗2!T91+绕后战斗2!AZ91)/2))</f>
        <v>#VALUE!</v>
      </c>
      <c r="J80" s="7" t="e">
        <f>AVERAGE(绕后战斗1!BJ91,(绕后战斗2!AD91+绕后战斗2!BJ91)/2)</f>
        <v>#VALUE!</v>
      </c>
      <c r="K80" s="7" t="e">
        <f>AVERAGE((正常战斗1!AD91+正常战斗1!AZ91+正常战斗1!BJ91)/3,(正常战斗2!AD91+正常战斗2!BJ91)/2,(正常战斗3!T91+正常战斗3!AD91+正常战斗3!AZ91+正常战斗3!BJ91)/4,绕后战斗1!AD91)</f>
        <v>#VALUE!</v>
      </c>
      <c r="L80" s="7" t="e">
        <f t="shared" si="4"/>
        <v>#VALUE!</v>
      </c>
      <c r="M80" s="7"/>
      <c r="N80" s="7">
        <f>AVERAGE(正常战斗1!CK91,正常战斗2!CK91,正常战斗3!CK91,绕后战斗1!CK91,绕后战斗2!CK91)</f>
        <v>0</v>
      </c>
      <c r="O80" s="7">
        <f>AVERAGE(正常战斗1!CL91,正常战斗2!CL91,正常战斗3!CL91,绕后战斗1!CL91,绕后战斗2!CL91)</f>
        <v>0</v>
      </c>
      <c r="P80" s="7">
        <f>AVERAGE(正常战斗1!CM91,正常战斗2!CM91,正常战斗3!CM91,绕后战斗1!CM91,绕后战斗2!CM91)</f>
        <v>0</v>
      </c>
      <c r="Q80" s="7">
        <f>AVERAGE(正常战斗1!CN91,正常战斗2!CN91,正常战斗3!CN91,绕后战斗1!CN91,绕后战斗2!CN91)</f>
        <v>0</v>
      </c>
      <c r="R80" s="7">
        <f>AVERAGE(绕后战斗1!CO91,绕后战斗2!CO91)</f>
        <v>0</v>
      </c>
      <c r="S80" s="7">
        <f>AVERAGE(绕后战斗1!CP91,绕后战斗2!CP91)</f>
        <v>0</v>
      </c>
      <c r="T80" s="7">
        <f>AVERAGE(绕后战斗1!CQ91,绕后战斗2!CQ91)</f>
        <v>0</v>
      </c>
      <c r="U80" s="7">
        <f>AVERAGE(绕后战斗1!CR91,绕后战斗2!CR91)</f>
        <v>0</v>
      </c>
      <c r="V80" s="7">
        <f>AVERAGE(正常战斗1!CS91,正常战斗2!CS91,正常战斗3!CS91,绕后战斗1!CS91)</f>
        <v>0</v>
      </c>
      <c r="W80" s="7">
        <f>AVERAGE(正常战斗1!CT91,正常战斗2!CT91,正常战斗3!CT91,绕后战斗1!CT91)</f>
        <v>0</v>
      </c>
      <c r="X80" s="7">
        <f>AVERAGE(正常战斗1!CU91,正常战斗2!CU91,正常战斗3!CU91,绕后战斗1!CU91)</f>
        <v>0</v>
      </c>
      <c r="Y80" s="7">
        <f>AVERAGE(正常战斗1!CV91,正常战斗2!CV91,正常战斗3!CV91,绕后战斗1!CV91)</f>
        <v>0</v>
      </c>
      <c r="Z80" s="7">
        <f>AVERAGE(正常战斗1!CW91,正常战斗2!CW91,绕后战斗1!CW91,绕后战斗2!CW91)</f>
        <v>0</v>
      </c>
      <c r="AA80" s="7">
        <f>AVERAGE(正常战斗1!CX91,正常战斗2!CX91,绕后战斗1!CX91,绕后战斗2!CX91)</f>
        <v>0</v>
      </c>
      <c r="AB80" s="7">
        <f>AVERAGE(正常战斗1!CY91,正常战斗2!CY91,绕后战斗1!CY91,绕后战斗2!CY91)</f>
        <v>0</v>
      </c>
      <c r="AC80" s="7">
        <f>AVERAGE(正常战斗1!CZ91,正常战斗2!CZ91,绕后战斗1!CZ91,绕后战斗2!CZ91)</f>
        <v>0</v>
      </c>
      <c r="AD80" s="7"/>
      <c r="AE80" s="7"/>
    </row>
    <row r="81" spans="4:47" x14ac:dyDescent="0.15">
      <c r="D81" s="6">
        <v>76</v>
      </c>
      <c r="E81" s="7" t="e">
        <f>AVERAGE((正常战斗1!E92+正常战斗1!AK92)/2,(正常战斗2!E92+正常战斗2!AK92)/2,(正常战斗3!E92+正常战斗3!AK92)/2,(绕后战斗1!E92+绕后战斗1!AK92)/2,(绕后战斗2!E92+绕后战斗2!AK92)/2)/1000</f>
        <v>#VALUE!</v>
      </c>
      <c r="F81" s="7" t="e">
        <f>AVERAGE(绕后战斗1!BE92,(绕后战斗2!Y92+绕后战斗2!BE92)/2)/1000</f>
        <v>#VALUE!</v>
      </c>
      <c r="G81" s="7" t="e">
        <f>AVERAGE((正常战斗1!Y92+正常战斗1!AU92+正常战斗1!BE92)/3,(正常战斗2!Y92+正常战斗2!BE92)/2,(正常战斗3!O92+正常战斗3!Y92+正常战斗3!AU92+正常战斗3!BE92)/4,绕后战斗1!Y92)/1000</f>
        <v>#VALUE!</v>
      </c>
      <c r="H81" s="7" t="e">
        <f>AVERAGE(正常战斗1!O92,(正常战斗2!O92+正常战斗2!AU92)/2,(绕后战斗1!O92+绕后战斗1!AU92)/2,(绕后战斗2!O92+绕后战斗2!AU92)/2)/1000</f>
        <v>#VALUE!</v>
      </c>
      <c r="I81" s="7" t="e">
        <f>AVERAGE(AVERAGE((正常战斗1!J92+正常战斗1!AP92)/2,(正常战斗2!J92+正常战斗2!AP92)/2,(正常战斗3!J92+正常战斗3!AP92)/2,(绕后战斗1!J92+绕后战斗1!AP92)/2,(绕后战斗2!J92+绕后战斗2!AP92)/2),AVERAGE(正常战斗1!T92,(正常战斗2!T92+正常战斗2!AZ92)/2,(绕后战斗1!T92+绕后战斗1!AZ92)/2,(绕后战斗2!T92+绕后战斗2!AZ92)/2))</f>
        <v>#VALUE!</v>
      </c>
      <c r="J81" s="7" t="e">
        <f>AVERAGE(绕后战斗1!BJ92,(绕后战斗2!AD92+绕后战斗2!BJ92)/2)</f>
        <v>#VALUE!</v>
      </c>
      <c r="K81" s="7" t="e">
        <f>AVERAGE((正常战斗1!AD92+正常战斗1!AZ92+正常战斗1!BJ92)/3,(正常战斗2!AD92+正常战斗2!BJ92)/2,(正常战斗3!T92+正常战斗3!AD92+正常战斗3!AZ92+正常战斗3!BJ92)/4,绕后战斗1!AD92)</f>
        <v>#VALUE!</v>
      </c>
      <c r="L81" s="7" t="e">
        <f t="shared" si="4"/>
        <v>#VALUE!</v>
      </c>
      <c r="M81" s="7"/>
      <c r="N81" s="7">
        <f>AVERAGE(正常战斗1!CK92,正常战斗2!CK92,正常战斗3!CK92,绕后战斗1!CK92,绕后战斗2!CK92)</f>
        <v>0</v>
      </c>
      <c r="O81" s="7">
        <f>AVERAGE(正常战斗1!CL92,正常战斗2!CL92,正常战斗3!CL92,绕后战斗1!CL92,绕后战斗2!CL92)</f>
        <v>0</v>
      </c>
      <c r="P81" s="7">
        <f>AVERAGE(正常战斗1!CM92,正常战斗2!CM92,正常战斗3!CM92,绕后战斗1!CM92,绕后战斗2!CM92)</f>
        <v>0</v>
      </c>
      <c r="Q81" s="7">
        <f>AVERAGE(正常战斗1!CN92,正常战斗2!CN92,正常战斗3!CN92,绕后战斗1!CN92,绕后战斗2!CN92)</f>
        <v>0</v>
      </c>
      <c r="R81" s="7">
        <f>AVERAGE(绕后战斗1!CO92,绕后战斗2!CO92)</f>
        <v>0</v>
      </c>
      <c r="S81" s="7">
        <f>AVERAGE(绕后战斗1!CP92,绕后战斗2!CP92)</f>
        <v>0</v>
      </c>
      <c r="T81" s="7">
        <f>AVERAGE(绕后战斗1!CQ92,绕后战斗2!CQ92)</f>
        <v>0</v>
      </c>
      <c r="U81" s="7">
        <f>AVERAGE(绕后战斗1!CR92,绕后战斗2!CR92)</f>
        <v>0</v>
      </c>
      <c r="V81" s="7">
        <f>AVERAGE(正常战斗1!CS92,正常战斗2!CS92,正常战斗3!CS92,绕后战斗1!CS92)</f>
        <v>0</v>
      </c>
      <c r="W81" s="7">
        <f>AVERAGE(正常战斗1!CT92,正常战斗2!CT92,正常战斗3!CT92,绕后战斗1!CT92)</f>
        <v>0</v>
      </c>
      <c r="X81" s="7">
        <f>AVERAGE(正常战斗1!CU92,正常战斗2!CU92,正常战斗3!CU92,绕后战斗1!CU92)</f>
        <v>0</v>
      </c>
      <c r="Y81" s="7">
        <f>AVERAGE(正常战斗1!CV92,正常战斗2!CV92,正常战斗3!CV92,绕后战斗1!CV92)</f>
        <v>0</v>
      </c>
      <c r="Z81" s="7">
        <f>AVERAGE(正常战斗1!CW92,正常战斗2!CW92,绕后战斗1!CW92,绕后战斗2!CW92)</f>
        <v>0</v>
      </c>
      <c r="AA81" s="7">
        <f>AVERAGE(正常战斗1!CX92,正常战斗2!CX92,绕后战斗1!CX92,绕后战斗2!CX92)</f>
        <v>0</v>
      </c>
      <c r="AB81" s="7">
        <f>AVERAGE(正常战斗1!CY92,正常战斗2!CY92,绕后战斗1!CY92,绕后战斗2!CY92)</f>
        <v>0</v>
      </c>
      <c r="AC81" s="7">
        <f>AVERAGE(正常战斗1!CZ92,正常战斗2!CZ92,绕后战斗1!CZ92,绕后战斗2!CZ92)</f>
        <v>0</v>
      </c>
      <c r="AD81" s="7"/>
      <c r="AE81" s="7"/>
    </row>
    <row r="82" spans="4:47" x14ac:dyDescent="0.15">
      <c r="D82" s="6">
        <v>77</v>
      </c>
      <c r="E82" s="7" t="e">
        <f>AVERAGE((正常战斗1!E93+正常战斗1!AK93)/2,(正常战斗2!E93+正常战斗2!AK93)/2,(正常战斗3!E93+正常战斗3!AK93)/2,(绕后战斗1!E93+绕后战斗1!AK93)/2,(绕后战斗2!E93+绕后战斗2!AK93)/2)/1000</f>
        <v>#VALUE!</v>
      </c>
      <c r="F82" s="7" t="e">
        <f>AVERAGE(绕后战斗1!BE93,(绕后战斗2!Y93+绕后战斗2!BE93)/2)/1000</f>
        <v>#VALUE!</v>
      </c>
      <c r="G82" s="7" t="e">
        <f>AVERAGE((正常战斗1!Y93+正常战斗1!AU93+正常战斗1!BE93)/3,(正常战斗2!Y93+正常战斗2!BE93)/2,(正常战斗3!O93+正常战斗3!Y93+正常战斗3!AU93+正常战斗3!BE93)/4,绕后战斗1!Y93)/1000</f>
        <v>#VALUE!</v>
      </c>
      <c r="H82" s="7" t="e">
        <f>AVERAGE(正常战斗1!O93,(正常战斗2!O93+正常战斗2!AU93)/2,(绕后战斗1!O93+绕后战斗1!AU93)/2,(绕后战斗2!O93+绕后战斗2!AU93)/2)/1000</f>
        <v>#VALUE!</v>
      </c>
      <c r="I82" s="7" t="e">
        <f>AVERAGE(AVERAGE((正常战斗1!J93+正常战斗1!AP93)/2,(正常战斗2!J93+正常战斗2!AP93)/2,(正常战斗3!J93+正常战斗3!AP93)/2,(绕后战斗1!J93+绕后战斗1!AP93)/2,(绕后战斗2!J93+绕后战斗2!AP93)/2),AVERAGE(正常战斗1!T93,(正常战斗2!T93+正常战斗2!AZ93)/2,(绕后战斗1!T93+绕后战斗1!AZ93)/2,(绕后战斗2!T93+绕后战斗2!AZ93)/2))</f>
        <v>#VALUE!</v>
      </c>
      <c r="J82" s="7" t="e">
        <f>AVERAGE(绕后战斗1!BJ93,(绕后战斗2!AD93+绕后战斗2!BJ93)/2)</f>
        <v>#VALUE!</v>
      </c>
      <c r="K82" s="7" t="e">
        <f>AVERAGE((正常战斗1!AD93+正常战斗1!AZ93+正常战斗1!BJ93)/3,(正常战斗2!AD93+正常战斗2!BJ93)/2,(正常战斗3!T93+正常战斗3!AD93+正常战斗3!AZ93+正常战斗3!BJ93)/4,绕后战斗1!AD93)</f>
        <v>#VALUE!</v>
      </c>
      <c r="L82" s="7" t="e">
        <f t="shared" si="4"/>
        <v>#VALUE!</v>
      </c>
      <c r="M82" s="7"/>
      <c r="N82" s="7">
        <f>AVERAGE(正常战斗1!CK93,正常战斗2!CK93,正常战斗3!CK93,绕后战斗1!CK93,绕后战斗2!CK93)</f>
        <v>0</v>
      </c>
      <c r="O82" s="7">
        <f>AVERAGE(正常战斗1!CL93,正常战斗2!CL93,正常战斗3!CL93,绕后战斗1!CL93,绕后战斗2!CL93)</f>
        <v>0</v>
      </c>
      <c r="P82" s="7">
        <f>AVERAGE(正常战斗1!CM93,正常战斗2!CM93,正常战斗3!CM93,绕后战斗1!CM93,绕后战斗2!CM93)</f>
        <v>0</v>
      </c>
      <c r="Q82" s="7">
        <f>AVERAGE(正常战斗1!CN93,正常战斗2!CN93,正常战斗3!CN93,绕后战斗1!CN93,绕后战斗2!CN93)</f>
        <v>0</v>
      </c>
      <c r="R82" s="7">
        <f>AVERAGE(绕后战斗1!CO93,绕后战斗2!CO93)</f>
        <v>0</v>
      </c>
      <c r="S82" s="7">
        <f>AVERAGE(绕后战斗1!CP93,绕后战斗2!CP93)</f>
        <v>0</v>
      </c>
      <c r="T82" s="7">
        <f>AVERAGE(绕后战斗1!CQ93,绕后战斗2!CQ93)</f>
        <v>0</v>
      </c>
      <c r="U82" s="7">
        <f>AVERAGE(绕后战斗1!CR93,绕后战斗2!CR93)</f>
        <v>0</v>
      </c>
      <c r="V82" s="7">
        <f>AVERAGE(正常战斗1!CS93,正常战斗2!CS93,正常战斗3!CS93,绕后战斗1!CS93)</f>
        <v>0</v>
      </c>
      <c r="W82" s="7">
        <f>AVERAGE(正常战斗1!CT93,正常战斗2!CT93,正常战斗3!CT93,绕后战斗1!CT93)</f>
        <v>0</v>
      </c>
      <c r="X82" s="7">
        <f>AVERAGE(正常战斗1!CU93,正常战斗2!CU93,正常战斗3!CU93,绕后战斗1!CU93)</f>
        <v>0</v>
      </c>
      <c r="Y82" s="7">
        <f>AVERAGE(正常战斗1!CV93,正常战斗2!CV93,正常战斗3!CV93,绕后战斗1!CV93)</f>
        <v>0</v>
      </c>
      <c r="Z82" s="7">
        <f>AVERAGE(正常战斗1!CW93,正常战斗2!CW93,绕后战斗1!CW93,绕后战斗2!CW93)</f>
        <v>0</v>
      </c>
      <c r="AA82" s="7">
        <f>AVERAGE(正常战斗1!CX93,正常战斗2!CX93,绕后战斗1!CX93,绕后战斗2!CX93)</f>
        <v>0</v>
      </c>
      <c r="AB82" s="7">
        <f>AVERAGE(正常战斗1!CY93,正常战斗2!CY93,绕后战斗1!CY93,绕后战斗2!CY93)</f>
        <v>0</v>
      </c>
      <c r="AC82" s="7">
        <f>AVERAGE(正常战斗1!CZ93,正常战斗2!CZ93,绕后战斗1!CZ93,绕后战斗2!CZ93)</f>
        <v>0</v>
      </c>
      <c r="AD82" s="7"/>
      <c r="AE82" s="7"/>
    </row>
    <row r="83" spans="4:47" x14ac:dyDescent="0.15">
      <c r="D83" s="6">
        <v>78</v>
      </c>
      <c r="E83" s="7" t="e">
        <f>AVERAGE((正常战斗1!E94+正常战斗1!AK94)/2,(正常战斗2!E94+正常战斗2!AK94)/2,(正常战斗3!E94+正常战斗3!AK94)/2,(绕后战斗1!E94+绕后战斗1!AK94)/2,(绕后战斗2!E94+绕后战斗2!AK94)/2)/1000</f>
        <v>#VALUE!</v>
      </c>
      <c r="F83" s="7" t="e">
        <f>AVERAGE(绕后战斗1!BE94,(绕后战斗2!Y94+绕后战斗2!BE94)/2)/1000</f>
        <v>#VALUE!</v>
      </c>
      <c r="G83" s="7" t="e">
        <f>AVERAGE((正常战斗1!Y94+正常战斗1!AU94+正常战斗1!BE94)/3,(正常战斗2!Y94+正常战斗2!BE94)/2,(正常战斗3!O94+正常战斗3!Y94+正常战斗3!AU94+正常战斗3!BE94)/4,绕后战斗1!Y94)/1000</f>
        <v>#VALUE!</v>
      </c>
      <c r="H83" s="7" t="e">
        <f>AVERAGE(正常战斗1!O94,(正常战斗2!O94+正常战斗2!AU94)/2,(绕后战斗1!O94+绕后战斗1!AU94)/2,(绕后战斗2!O94+绕后战斗2!AU94)/2)/1000</f>
        <v>#VALUE!</v>
      </c>
      <c r="I83" s="7" t="e">
        <f>AVERAGE(AVERAGE((正常战斗1!J94+正常战斗1!AP94)/2,(正常战斗2!J94+正常战斗2!AP94)/2,(正常战斗3!J94+正常战斗3!AP94)/2,(绕后战斗1!J94+绕后战斗1!AP94)/2,(绕后战斗2!J94+绕后战斗2!AP94)/2),AVERAGE(正常战斗1!T94,(正常战斗2!T94+正常战斗2!AZ94)/2,(绕后战斗1!T94+绕后战斗1!AZ94)/2,(绕后战斗2!T94+绕后战斗2!AZ94)/2))</f>
        <v>#VALUE!</v>
      </c>
      <c r="J83" s="7" t="e">
        <f>AVERAGE(绕后战斗1!BJ94,(绕后战斗2!AD94+绕后战斗2!BJ94)/2)</f>
        <v>#VALUE!</v>
      </c>
      <c r="K83" s="7" t="e">
        <f>AVERAGE((正常战斗1!AD94+正常战斗1!AZ94+正常战斗1!BJ94)/3,(正常战斗2!AD94+正常战斗2!BJ94)/2,(正常战斗3!T94+正常战斗3!AD94+正常战斗3!AZ94+正常战斗3!BJ94)/4,绕后战斗1!AD94)</f>
        <v>#VALUE!</v>
      </c>
      <c r="L83" s="7" t="e">
        <f t="shared" si="4"/>
        <v>#VALUE!</v>
      </c>
      <c r="M83" s="7"/>
      <c r="N83" s="7">
        <f>AVERAGE(正常战斗1!CK94,正常战斗2!CK94,正常战斗3!CK94,绕后战斗1!CK94,绕后战斗2!CK94)</f>
        <v>0</v>
      </c>
      <c r="O83" s="7">
        <f>AVERAGE(正常战斗1!CL94,正常战斗2!CL94,正常战斗3!CL94,绕后战斗1!CL94,绕后战斗2!CL94)</f>
        <v>0</v>
      </c>
      <c r="P83" s="7">
        <f>AVERAGE(正常战斗1!CM94,正常战斗2!CM94,正常战斗3!CM94,绕后战斗1!CM94,绕后战斗2!CM94)</f>
        <v>0</v>
      </c>
      <c r="Q83" s="7">
        <f>AVERAGE(正常战斗1!CN94,正常战斗2!CN94,正常战斗3!CN94,绕后战斗1!CN94,绕后战斗2!CN94)</f>
        <v>0</v>
      </c>
      <c r="R83" s="7">
        <f>AVERAGE(绕后战斗1!CO94,绕后战斗2!CO94)</f>
        <v>0</v>
      </c>
      <c r="S83" s="7">
        <f>AVERAGE(绕后战斗1!CP94,绕后战斗2!CP94)</f>
        <v>0</v>
      </c>
      <c r="T83" s="7">
        <f>AVERAGE(绕后战斗1!CQ94,绕后战斗2!CQ94)</f>
        <v>0</v>
      </c>
      <c r="U83" s="7">
        <f>AVERAGE(绕后战斗1!CR94,绕后战斗2!CR94)</f>
        <v>0</v>
      </c>
      <c r="V83" s="7">
        <f>AVERAGE(正常战斗1!CS94,正常战斗2!CS94,正常战斗3!CS94,绕后战斗1!CS94)</f>
        <v>0</v>
      </c>
      <c r="W83" s="7">
        <f>AVERAGE(正常战斗1!CT94,正常战斗2!CT94,正常战斗3!CT94,绕后战斗1!CT94)</f>
        <v>0</v>
      </c>
      <c r="X83" s="7">
        <f>AVERAGE(正常战斗1!CU94,正常战斗2!CU94,正常战斗3!CU94,绕后战斗1!CU94)</f>
        <v>0</v>
      </c>
      <c r="Y83" s="7">
        <f>AVERAGE(正常战斗1!CV94,正常战斗2!CV94,正常战斗3!CV94,绕后战斗1!CV94)</f>
        <v>0</v>
      </c>
      <c r="Z83" s="7">
        <f>AVERAGE(正常战斗1!CW94,正常战斗2!CW94,绕后战斗1!CW94,绕后战斗2!CW94)</f>
        <v>0</v>
      </c>
      <c r="AA83" s="7">
        <f>AVERAGE(正常战斗1!CX94,正常战斗2!CX94,绕后战斗1!CX94,绕后战斗2!CX94)</f>
        <v>0</v>
      </c>
      <c r="AB83" s="7">
        <f>AVERAGE(正常战斗1!CY94,正常战斗2!CY94,绕后战斗1!CY94,绕后战斗2!CY94)</f>
        <v>0</v>
      </c>
      <c r="AC83" s="7">
        <f>AVERAGE(正常战斗1!CZ94,正常战斗2!CZ94,绕后战斗1!CZ94,绕后战斗2!CZ94)</f>
        <v>0</v>
      </c>
      <c r="AD83" s="7"/>
      <c r="AE83" s="7"/>
    </row>
    <row r="84" spans="4:47" x14ac:dyDescent="0.15">
      <c r="D84" s="6">
        <v>79</v>
      </c>
      <c r="E84" s="7" t="e">
        <f>AVERAGE((正常战斗1!E95+正常战斗1!AK95)/2,(正常战斗2!E95+正常战斗2!AK95)/2,(正常战斗3!E95+正常战斗3!AK95)/2,(绕后战斗1!E95+绕后战斗1!AK95)/2,(绕后战斗2!E95+绕后战斗2!AK95)/2)/1000</f>
        <v>#VALUE!</v>
      </c>
      <c r="F84" s="7" t="e">
        <f>AVERAGE(绕后战斗1!BE95,(绕后战斗2!Y95+绕后战斗2!BE95)/2)/1000</f>
        <v>#VALUE!</v>
      </c>
      <c r="G84" s="7" t="e">
        <f>AVERAGE((正常战斗1!Y95+正常战斗1!AU95+正常战斗1!BE95)/3,(正常战斗2!Y95+正常战斗2!BE95)/2,(正常战斗3!O95+正常战斗3!Y95+正常战斗3!AU95+正常战斗3!BE95)/4,绕后战斗1!Y95)/1000</f>
        <v>#VALUE!</v>
      </c>
      <c r="H84" s="7" t="e">
        <f>AVERAGE(正常战斗1!O95,(正常战斗2!O95+正常战斗2!AU95)/2,(绕后战斗1!O95+绕后战斗1!AU95)/2,(绕后战斗2!O95+绕后战斗2!AU95)/2)/1000</f>
        <v>#VALUE!</v>
      </c>
      <c r="I84" s="7" t="e">
        <f>AVERAGE(AVERAGE((正常战斗1!J95+正常战斗1!AP95)/2,(正常战斗2!J95+正常战斗2!AP95)/2,(正常战斗3!J95+正常战斗3!AP95)/2,(绕后战斗1!J95+绕后战斗1!AP95)/2,(绕后战斗2!J95+绕后战斗2!AP95)/2),AVERAGE(正常战斗1!T95,(正常战斗2!T95+正常战斗2!AZ95)/2,(绕后战斗1!T95+绕后战斗1!AZ95)/2,(绕后战斗2!T95+绕后战斗2!AZ95)/2))</f>
        <v>#VALUE!</v>
      </c>
      <c r="J84" s="7" t="e">
        <f>AVERAGE(绕后战斗1!BJ95,(绕后战斗2!AD95+绕后战斗2!BJ95)/2)</f>
        <v>#VALUE!</v>
      </c>
      <c r="K84" s="7" t="e">
        <f>AVERAGE((正常战斗1!AD95+正常战斗1!AZ95+正常战斗1!BJ95)/3,(正常战斗2!AD95+正常战斗2!BJ95)/2,(正常战斗3!T95+正常战斗3!AD95+正常战斗3!AZ95+正常战斗3!BJ95)/4,绕后战斗1!AD95)</f>
        <v>#VALUE!</v>
      </c>
      <c r="L84" s="7" t="e">
        <f t="shared" si="4"/>
        <v>#VALUE!</v>
      </c>
      <c r="M84" s="7"/>
      <c r="N84" s="7">
        <f>AVERAGE(正常战斗1!CK95,正常战斗2!CK95,正常战斗3!CK95,绕后战斗1!CK95,绕后战斗2!CK95)</f>
        <v>0</v>
      </c>
      <c r="O84" s="7">
        <f>AVERAGE(正常战斗1!CL95,正常战斗2!CL95,正常战斗3!CL95,绕后战斗1!CL95,绕后战斗2!CL95)</f>
        <v>0</v>
      </c>
      <c r="P84" s="7">
        <f>AVERAGE(正常战斗1!CM95,正常战斗2!CM95,正常战斗3!CM95,绕后战斗1!CM95,绕后战斗2!CM95)</f>
        <v>0</v>
      </c>
      <c r="Q84" s="7">
        <f>AVERAGE(正常战斗1!CN95,正常战斗2!CN95,正常战斗3!CN95,绕后战斗1!CN95,绕后战斗2!CN95)</f>
        <v>0</v>
      </c>
      <c r="R84" s="7">
        <f>AVERAGE(绕后战斗1!CO95,绕后战斗2!CO95)</f>
        <v>0</v>
      </c>
      <c r="S84" s="7">
        <f>AVERAGE(绕后战斗1!CP95,绕后战斗2!CP95)</f>
        <v>0</v>
      </c>
      <c r="T84" s="7">
        <f>AVERAGE(绕后战斗1!CQ95,绕后战斗2!CQ95)</f>
        <v>0</v>
      </c>
      <c r="U84" s="7">
        <f>AVERAGE(绕后战斗1!CR95,绕后战斗2!CR95)</f>
        <v>0</v>
      </c>
      <c r="V84" s="7">
        <f>AVERAGE(正常战斗1!CS95,正常战斗2!CS95,正常战斗3!CS95,绕后战斗1!CS95)</f>
        <v>0</v>
      </c>
      <c r="W84" s="7">
        <f>AVERAGE(正常战斗1!CT95,正常战斗2!CT95,正常战斗3!CT95,绕后战斗1!CT95)</f>
        <v>0</v>
      </c>
      <c r="X84" s="7">
        <f>AVERAGE(正常战斗1!CU95,正常战斗2!CU95,正常战斗3!CU95,绕后战斗1!CU95)</f>
        <v>0</v>
      </c>
      <c r="Y84" s="7">
        <f>AVERAGE(正常战斗1!CV95,正常战斗2!CV95,正常战斗3!CV95,绕后战斗1!CV95)</f>
        <v>0</v>
      </c>
      <c r="Z84" s="7">
        <f>AVERAGE(正常战斗1!CW95,正常战斗2!CW95,绕后战斗1!CW95,绕后战斗2!CW95)</f>
        <v>0</v>
      </c>
      <c r="AA84" s="7">
        <f>AVERAGE(正常战斗1!CX95,正常战斗2!CX95,绕后战斗1!CX95,绕后战斗2!CX95)</f>
        <v>0</v>
      </c>
      <c r="AB84" s="7">
        <f>AVERAGE(正常战斗1!CY95,正常战斗2!CY95,绕后战斗1!CY95,绕后战斗2!CY95)</f>
        <v>0</v>
      </c>
      <c r="AC84" s="7">
        <f>AVERAGE(正常战斗1!CZ95,正常战斗2!CZ95,绕后战斗1!CZ95,绕后战斗2!CZ95)</f>
        <v>0</v>
      </c>
      <c r="AD84" s="7"/>
      <c r="AE84" s="7"/>
    </row>
    <row r="85" spans="4:47" x14ac:dyDescent="0.15">
      <c r="D85" s="6">
        <v>80</v>
      </c>
      <c r="E85" s="7" t="e">
        <f>AVERAGE((正常战斗1!E96+正常战斗1!AK96)/2,(正常战斗2!E96+正常战斗2!AK96)/2,(正常战斗3!E96+正常战斗3!AK96)/2,(绕后战斗1!E96+绕后战斗1!AK96)/2,(绕后战斗2!E96+绕后战斗2!AK96)/2)/1000</f>
        <v>#VALUE!</v>
      </c>
      <c r="F85" s="7" t="e">
        <f>AVERAGE(绕后战斗1!BE96,(绕后战斗2!Y96+绕后战斗2!BE96)/2)/1000</f>
        <v>#VALUE!</v>
      </c>
      <c r="G85" s="7" t="e">
        <f>AVERAGE((正常战斗1!Y96+正常战斗1!AU96+正常战斗1!BE96)/3,(正常战斗2!Y96+正常战斗2!BE96)/2,(正常战斗3!O96+正常战斗3!Y96+正常战斗3!AU96+正常战斗3!BE96)/4,绕后战斗1!Y96)/1000</f>
        <v>#VALUE!</v>
      </c>
      <c r="H85" s="7" t="e">
        <f>AVERAGE(正常战斗1!O96,(正常战斗2!O96+正常战斗2!AU96)/2,(绕后战斗1!O96+绕后战斗1!AU96)/2,(绕后战斗2!O96+绕后战斗2!AU96)/2)/1000</f>
        <v>#VALUE!</v>
      </c>
      <c r="I85" s="7" t="e">
        <f>AVERAGE(AVERAGE((正常战斗1!J96+正常战斗1!AP96)/2,(正常战斗2!J96+正常战斗2!AP96)/2,(正常战斗3!J96+正常战斗3!AP96)/2,(绕后战斗1!J96+绕后战斗1!AP96)/2,(绕后战斗2!J96+绕后战斗2!AP96)/2),AVERAGE(正常战斗1!T96,(正常战斗2!T96+正常战斗2!AZ96)/2,(绕后战斗1!T96+绕后战斗1!AZ96)/2,(绕后战斗2!T96+绕后战斗2!AZ96)/2))</f>
        <v>#VALUE!</v>
      </c>
      <c r="J85" s="7" t="e">
        <f>AVERAGE(绕后战斗1!BJ96,(绕后战斗2!AD96+绕后战斗2!BJ96)/2)</f>
        <v>#VALUE!</v>
      </c>
      <c r="K85" s="7" t="e">
        <f>AVERAGE((正常战斗1!AD96+正常战斗1!AZ96+正常战斗1!BJ96)/3,(正常战斗2!AD96+正常战斗2!BJ96)/2,(正常战斗3!T96+正常战斗3!AD96+正常战斗3!AZ96+正常战斗3!BJ96)/4,绕后战斗1!AD96)</f>
        <v>#VALUE!</v>
      </c>
      <c r="L85" s="7" t="e">
        <f t="shared" si="4"/>
        <v>#VALUE!</v>
      </c>
      <c r="M85" s="7"/>
      <c r="N85" s="7">
        <f>AVERAGE(正常战斗1!CK96,正常战斗2!CK96,正常战斗3!CK96,绕后战斗1!CK96,绕后战斗2!CK96)</f>
        <v>0</v>
      </c>
      <c r="O85" s="7">
        <f>AVERAGE(正常战斗1!CL96,正常战斗2!CL96,正常战斗3!CL96,绕后战斗1!CL96,绕后战斗2!CL96)</f>
        <v>0</v>
      </c>
      <c r="P85" s="7">
        <f>AVERAGE(正常战斗1!CM96,正常战斗2!CM96,正常战斗3!CM96,绕后战斗1!CM96,绕后战斗2!CM96)</f>
        <v>0</v>
      </c>
      <c r="Q85" s="7">
        <f>AVERAGE(正常战斗1!CN96,正常战斗2!CN96,正常战斗3!CN96,绕后战斗1!CN96,绕后战斗2!CN96)</f>
        <v>0</v>
      </c>
      <c r="R85" s="7">
        <f>AVERAGE(绕后战斗1!CO96,绕后战斗2!CO96)</f>
        <v>0</v>
      </c>
      <c r="S85" s="7">
        <f>AVERAGE(绕后战斗1!CP96,绕后战斗2!CP96)</f>
        <v>0</v>
      </c>
      <c r="T85" s="7">
        <f>AVERAGE(绕后战斗1!CQ96,绕后战斗2!CQ96)</f>
        <v>0</v>
      </c>
      <c r="U85" s="7">
        <f>AVERAGE(绕后战斗1!CR96,绕后战斗2!CR96)</f>
        <v>0</v>
      </c>
      <c r="V85" s="7">
        <f>AVERAGE(正常战斗1!CS96,正常战斗2!CS96,正常战斗3!CS96,绕后战斗1!CS96)</f>
        <v>0</v>
      </c>
      <c r="W85" s="7">
        <f>AVERAGE(正常战斗1!CT96,正常战斗2!CT96,正常战斗3!CT96,绕后战斗1!CT96)</f>
        <v>0</v>
      </c>
      <c r="X85" s="7">
        <f>AVERAGE(正常战斗1!CU96,正常战斗2!CU96,正常战斗3!CU96,绕后战斗1!CU96)</f>
        <v>0</v>
      </c>
      <c r="Y85" s="7">
        <f>AVERAGE(正常战斗1!CV96,正常战斗2!CV96,正常战斗3!CV96,绕后战斗1!CV96)</f>
        <v>0</v>
      </c>
      <c r="Z85" s="7">
        <f>AVERAGE(正常战斗1!CW96,正常战斗2!CW96,绕后战斗1!CW96,绕后战斗2!CW96)</f>
        <v>0</v>
      </c>
      <c r="AA85" s="7">
        <f>AVERAGE(正常战斗1!CX96,正常战斗2!CX96,绕后战斗1!CX96,绕后战斗2!CX96)</f>
        <v>0</v>
      </c>
      <c r="AB85" s="7">
        <f>AVERAGE(正常战斗1!CY96,正常战斗2!CY96,绕后战斗1!CY96,绕后战斗2!CY96)</f>
        <v>0</v>
      </c>
      <c r="AC85" s="7">
        <f>AVERAGE(正常战斗1!CZ96,正常战斗2!CZ96,绕后战斗1!CZ96,绕后战斗2!CZ96)</f>
        <v>0</v>
      </c>
      <c r="AD85" s="7"/>
      <c r="AE85" s="7"/>
    </row>
    <row r="86" spans="4:47" x14ac:dyDescent="0.15">
      <c r="D86" s="6">
        <v>81</v>
      </c>
      <c r="E86" s="7" t="e">
        <f>AVERAGE((正常战斗1!E97+正常战斗1!AK97)/2,(正常战斗2!E97+正常战斗2!AK97)/2,(正常战斗3!E97+正常战斗3!AK97)/2,(绕后战斗1!E97+绕后战斗1!AK97)/2,(绕后战斗2!E97+绕后战斗2!AK97)/2)/1000</f>
        <v>#VALUE!</v>
      </c>
      <c r="F86" s="7" t="e">
        <f>AVERAGE(绕后战斗1!BE97,(绕后战斗2!Y97+绕后战斗2!BE97)/2)/1000</f>
        <v>#VALUE!</v>
      </c>
      <c r="G86" s="7" t="e">
        <f>AVERAGE((正常战斗1!Y97+正常战斗1!AU97+正常战斗1!BE97)/3,(正常战斗2!Y97+正常战斗2!BE97)/2,(正常战斗3!O97+正常战斗3!Y97+正常战斗3!AU97+正常战斗3!BE97)/4,绕后战斗1!Y97)/1000</f>
        <v>#VALUE!</v>
      </c>
      <c r="H86" s="7" t="e">
        <f>AVERAGE(正常战斗1!O97,(正常战斗2!O97+正常战斗2!AU97)/2,(绕后战斗1!O97+绕后战斗1!AU97)/2,(绕后战斗2!O97+绕后战斗2!AU97)/2)/1000</f>
        <v>#VALUE!</v>
      </c>
      <c r="I86" s="7" t="e">
        <f>AVERAGE(AVERAGE((正常战斗1!J97+正常战斗1!AP97)/2,(正常战斗2!J97+正常战斗2!AP97)/2,(正常战斗3!J97+正常战斗3!AP97)/2,(绕后战斗1!J97+绕后战斗1!AP97)/2,(绕后战斗2!J97+绕后战斗2!AP97)/2),AVERAGE(正常战斗1!T97,(正常战斗2!T97+正常战斗2!AZ97)/2,(绕后战斗1!T97+绕后战斗1!AZ97)/2,(绕后战斗2!T97+绕后战斗2!AZ97)/2))</f>
        <v>#VALUE!</v>
      </c>
      <c r="J86" s="7" t="e">
        <f>AVERAGE(绕后战斗1!BJ97,(绕后战斗2!AD97+绕后战斗2!BJ97)/2)</f>
        <v>#VALUE!</v>
      </c>
      <c r="K86" s="7" t="e">
        <f>AVERAGE((正常战斗1!AD97+正常战斗1!AZ97+正常战斗1!BJ97)/3,(正常战斗2!AD97+正常战斗2!BJ97)/2,(正常战斗3!T97+正常战斗3!AD97+正常战斗3!AZ97+正常战斗3!BJ97)/4,绕后战斗1!AD97)</f>
        <v>#VALUE!</v>
      </c>
      <c r="L86" s="7" t="e">
        <f t="shared" si="4"/>
        <v>#VALUE!</v>
      </c>
      <c r="M86" s="7"/>
      <c r="N86" s="7">
        <f>AVERAGE(正常战斗1!CK97,正常战斗2!CK97,正常战斗3!CK97,绕后战斗1!CK97,绕后战斗2!CK97)</f>
        <v>0</v>
      </c>
      <c r="O86" s="7">
        <f>AVERAGE(正常战斗1!CL97,正常战斗2!CL97,正常战斗3!CL97,绕后战斗1!CL97,绕后战斗2!CL97)</f>
        <v>0</v>
      </c>
      <c r="P86" s="7">
        <f>AVERAGE(正常战斗1!CM97,正常战斗2!CM97,正常战斗3!CM97,绕后战斗1!CM97,绕后战斗2!CM97)</f>
        <v>0</v>
      </c>
      <c r="Q86" s="7">
        <f>AVERAGE(正常战斗1!CN97,正常战斗2!CN97,正常战斗3!CN97,绕后战斗1!CN97,绕后战斗2!CN97)</f>
        <v>0</v>
      </c>
      <c r="R86" s="7">
        <f>AVERAGE(绕后战斗1!CO97,绕后战斗2!CO97)</f>
        <v>0</v>
      </c>
      <c r="S86" s="7">
        <f>AVERAGE(绕后战斗1!CP97,绕后战斗2!CP97)</f>
        <v>0</v>
      </c>
      <c r="T86" s="7">
        <f>AVERAGE(绕后战斗1!CQ97,绕后战斗2!CQ97)</f>
        <v>0</v>
      </c>
      <c r="U86" s="7">
        <f>AVERAGE(绕后战斗1!CR97,绕后战斗2!CR97)</f>
        <v>0</v>
      </c>
      <c r="V86" s="7">
        <f>AVERAGE(正常战斗1!CS97,正常战斗2!CS97,正常战斗3!CS97,绕后战斗1!CS97)</f>
        <v>0</v>
      </c>
      <c r="W86" s="7">
        <f>AVERAGE(正常战斗1!CT97,正常战斗2!CT97,正常战斗3!CT97,绕后战斗1!CT97)</f>
        <v>0</v>
      </c>
      <c r="X86" s="7">
        <f>AVERAGE(正常战斗1!CU97,正常战斗2!CU97,正常战斗3!CU97,绕后战斗1!CU97)</f>
        <v>0</v>
      </c>
      <c r="Y86" s="7">
        <f>AVERAGE(正常战斗1!CV97,正常战斗2!CV97,正常战斗3!CV97,绕后战斗1!CV97)</f>
        <v>0</v>
      </c>
      <c r="Z86" s="7">
        <f>AVERAGE(正常战斗1!CW97,正常战斗2!CW97,绕后战斗1!CW97,绕后战斗2!CW97)</f>
        <v>0</v>
      </c>
      <c r="AA86" s="7">
        <f>AVERAGE(正常战斗1!CX97,正常战斗2!CX97,绕后战斗1!CX97,绕后战斗2!CX97)</f>
        <v>0</v>
      </c>
      <c r="AB86" s="7">
        <f>AVERAGE(正常战斗1!CY97,正常战斗2!CY97,绕后战斗1!CY97,绕后战斗2!CY97)</f>
        <v>0</v>
      </c>
      <c r="AC86" s="7">
        <f>AVERAGE(正常战斗1!CZ97,正常战斗2!CZ97,绕后战斗1!CZ97,绕后战斗2!CZ97)</f>
        <v>0</v>
      </c>
      <c r="AD86" s="7"/>
      <c r="AE86" s="7"/>
    </row>
    <row r="87" spans="4:47" x14ac:dyDescent="0.15">
      <c r="D87" s="6">
        <v>82</v>
      </c>
      <c r="E87" s="7" t="e">
        <f>AVERAGE((正常战斗1!E98+正常战斗1!AK98)/2,(正常战斗2!E98+正常战斗2!AK98)/2,(正常战斗3!E98+正常战斗3!AK98)/2,(绕后战斗1!E98+绕后战斗1!AK98)/2,(绕后战斗2!E98+绕后战斗2!AK98)/2)/1000</f>
        <v>#VALUE!</v>
      </c>
      <c r="F87" s="7" t="e">
        <f>AVERAGE(绕后战斗1!BE98,(绕后战斗2!Y98+绕后战斗2!BE98)/2)/1000</f>
        <v>#VALUE!</v>
      </c>
      <c r="G87" s="7" t="e">
        <f>AVERAGE((正常战斗1!Y98+正常战斗1!AU98+正常战斗1!BE98)/3,(正常战斗2!Y98+正常战斗2!BE98)/2,(正常战斗3!O98+正常战斗3!Y98+正常战斗3!AU98+正常战斗3!BE98)/4,绕后战斗1!Y98)/1000</f>
        <v>#VALUE!</v>
      </c>
      <c r="H87" s="7" t="e">
        <f>AVERAGE(正常战斗1!O98,(正常战斗2!O98+正常战斗2!AU98)/2,(绕后战斗1!O98+绕后战斗1!AU98)/2,(绕后战斗2!O98+绕后战斗2!AU98)/2)/1000</f>
        <v>#VALUE!</v>
      </c>
      <c r="I87" s="7" t="e">
        <f>AVERAGE(AVERAGE((正常战斗1!J98+正常战斗1!AP98)/2,(正常战斗2!J98+正常战斗2!AP98)/2,(正常战斗3!J98+正常战斗3!AP98)/2,(绕后战斗1!J98+绕后战斗1!AP98)/2,(绕后战斗2!J98+绕后战斗2!AP98)/2),AVERAGE(正常战斗1!T98,(正常战斗2!T98+正常战斗2!AZ98)/2,(绕后战斗1!T98+绕后战斗1!AZ98)/2,(绕后战斗2!T98+绕后战斗2!AZ98)/2))</f>
        <v>#VALUE!</v>
      </c>
      <c r="J87" s="7" t="e">
        <f>AVERAGE(绕后战斗1!BJ98,(绕后战斗2!AD98+绕后战斗2!BJ98)/2)</f>
        <v>#VALUE!</v>
      </c>
      <c r="K87" s="7" t="e">
        <f>AVERAGE((正常战斗1!AD98+正常战斗1!AZ98+正常战斗1!BJ98)/3,(正常战斗2!AD98+正常战斗2!BJ98)/2,(正常战斗3!T98+正常战斗3!AD98+正常战斗3!AZ98+正常战斗3!BJ98)/4,绕后战斗1!AD98)</f>
        <v>#VALUE!</v>
      </c>
      <c r="L87" s="7" t="e">
        <f t="shared" si="4"/>
        <v>#VALUE!</v>
      </c>
      <c r="M87" s="7"/>
      <c r="N87" s="7">
        <f>AVERAGE(正常战斗1!CK98,正常战斗2!CK98,正常战斗3!CK98,绕后战斗1!CK98,绕后战斗2!CK98)</f>
        <v>0</v>
      </c>
      <c r="O87" s="7">
        <f>AVERAGE(正常战斗1!CL98,正常战斗2!CL98,正常战斗3!CL98,绕后战斗1!CL98,绕后战斗2!CL98)</f>
        <v>0</v>
      </c>
      <c r="P87" s="7">
        <f>AVERAGE(正常战斗1!CM98,正常战斗2!CM98,正常战斗3!CM98,绕后战斗1!CM98,绕后战斗2!CM98)</f>
        <v>0</v>
      </c>
      <c r="Q87" s="7">
        <f>AVERAGE(正常战斗1!CN98,正常战斗2!CN98,正常战斗3!CN98,绕后战斗1!CN98,绕后战斗2!CN98)</f>
        <v>0</v>
      </c>
      <c r="R87" s="7">
        <f>AVERAGE(绕后战斗1!CO98,绕后战斗2!CO98)</f>
        <v>0</v>
      </c>
      <c r="S87" s="7">
        <f>AVERAGE(绕后战斗1!CP98,绕后战斗2!CP98)</f>
        <v>0</v>
      </c>
      <c r="T87" s="7">
        <f>AVERAGE(绕后战斗1!CQ98,绕后战斗2!CQ98)</f>
        <v>0</v>
      </c>
      <c r="U87" s="7">
        <f>AVERAGE(绕后战斗1!CR98,绕后战斗2!CR98)</f>
        <v>0</v>
      </c>
      <c r="V87" s="7">
        <f>AVERAGE(正常战斗1!CS98,正常战斗2!CS98,正常战斗3!CS98,绕后战斗1!CS98)</f>
        <v>0</v>
      </c>
      <c r="W87" s="7">
        <f>AVERAGE(正常战斗1!CT98,正常战斗2!CT98,正常战斗3!CT98,绕后战斗1!CT98)</f>
        <v>0</v>
      </c>
      <c r="X87" s="7">
        <f>AVERAGE(正常战斗1!CU98,正常战斗2!CU98,正常战斗3!CU98,绕后战斗1!CU98)</f>
        <v>0</v>
      </c>
      <c r="Y87" s="7">
        <f>AVERAGE(正常战斗1!CV98,正常战斗2!CV98,正常战斗3!CV98,绕后战斗1!CV98)</f>
        <v>0</v>
      </c>
      <c r="Z87" s="7">
        <f>AVERAGE(正常战斗1!CW98,正常战斗2!CW98,绕后战斗1!CW98,绕后战斗2!CW98)</f>
        <v>0</v>
      </c>
      <c r="AA87" s="7">
        <f>AVERAGE(正常战斗1!CX98,正常战斗2!CX98,绕后战斗1!CX98,绕后战斗2!CX98)</f>
        <v>0</v>
      </c>
      <c r="AB87" s="7">
        <f>AVERAGE(正常战斗1!CY98,正常战斗2!CY98,绕后战斗1!CY98,绕后战斗2!CY98)</f>
        <v>0</v>
      </c>
      <c r="AC87" s="7">
        <f>AVERAGE(正常战斗1!CZ98,正常战斗2!CZ98,绕后战斗1!CZ98,绕后战斗2!CZ98)</f>
        <v>0</v>
      </c>
      <c r="AD87" s="7"/>
      <c r="AE87" s="7"/>
    </row>
    <row r="88" spans="4:47" x14ac:dyDescent="0.15">
      <c r="D88" s="6">
        <v>83</v>
      </c>
      <c r="E88" s="7" t="e">
        <f>AVERAGE((正常战斗1!E99+正常战斗1!AK99)/2,(正常战斗2!E99+正常战斗2!AK99)/2,(正常战斗3!E99+正常战斗3!AK99)/2,(绕后战斗1!E99+绕后战斗1!AK99)/2,(绕后战斗2!E99+绕后战斗2!AK99)/2)/1000</f>
        <v>#VALUE!</v>
      </c>
      <c r="F88" s="7" t="e">
        <f>AVERAGE(绕后战斗1!BE99,(绕后战斗2!Y99+绕后战斗2!BE99)/2)/1000</f>
        <v>#VALUE!</v>
      </c>
      <c r="G88" s="7" t="e">
        <f>AVERAGE((正常战斗1!Y99+正常战斗1!AU99+正常战斗1!BE99)/3,(正常战斗2!Y99+正常战斗2!BE99)/2,(正常战斗3!O99+正常战斗3!Y99+正常战斗3!AU99+正常战斗3!BE99)/4,绕后战斗1!Y99)/1000</f>
        <v>#VALUE!</v>
      </c>
      <c r="H88" s="7" t="e">
        <f>AVERAGE(正常战斗1!O99,(正常战斗2!O99+正常战斗2!AU99)/2,(绕后战斗1!O99+绕后战斗1!AU99)/2,(绕后战斗2!O99+绕后战斗2!AU99)/2)/1000</f>
        <v>#VALUE!</v>
      </c>
      <c r="I88" s="7" t="e">
        <f>AVERAGE(AVERAGE((正常战斗1!J99+正常战斗1!AP99)/2,(正常战斗2!J99+正常战斗2!AP99)/2,(正常战斗3!J99+正常战斗3!AP99)/2,(绕后战斗1!J99+绕后战斗1!AP99)/2,(绕后战斗2!J99+绕后战斗2!AP99)/2),AVERAGE(正常战斗1!T99,(正常战斗2!T99+正常战斗2!AZ99)/2,(绕后战斗1!T99+绕后战斗1!AZ99)/2,(绕后战斗2!T99+绕后战斗2!AZ99)/2))</f>
        <v>#VALUE!</v>
      </c>
      <c r="J88" s="7" t="e">
        <f>AVERAGE(绕后战斗1!BJ99,(绕后战斗2!AD99+绕后战斗2!BJ99)/2)</f>
        <v>#VALUE!</v>
      </c>
      <c r="K88" s="7" t="e">
        <f>AVERAGE((正常战斗1!AD99+正常战斗1!AZ99+正常战斗1!BJ99)/3,(正常战斗2!AD99+正常战斗2!BJ99)/2,(正常战斗3!T99+正常战斗3!AD99+正常战斗3!AZ99+正常战斗3!BJ99)/4,绕后战斗1!AD99)</f>
        <v>#VALUE!</v>
      </c>
      <c r="L88" s="7" t="e">
        <f t="shared" si="4"/>
        <v>#VALUE!</v>
      </c>
      <c r="M88" s="7"/>
      <c r="N88" s="7">
        <f>AVERAGE(正常战斗1!CK99,正常战斗2!CK99,正常战斗3!CK99,绕后战斗1!CK99,绕后战斗2!CK99)</f>
        <v>0</v>
      </c>
      <c r="O88" s="7">
        <f>AVERAGE(正常战斗1!CL99,正常战斗2!CL99,正常战斗3!CL99,绕后战斗1!CL99,绕后战斗2!CL99)</f>
        <v>0</v>
      </c>
      <c r="P88" s="7">
        <f>AVERAGE(正常战斗1!CM99,正常战斗2!CM99,正常战斗3!CM99,绕后战斗1!CM99,绕后战斗2!CM99)</f>
        <v>0</v>
      </c>
      <c r="Q88" s="7">
        <f>AVERAGE(正常战斗1!CN99,正常战斗2!CN99,正常战斗3!CN99,绕后战斗1!CN99,绕后战斗2!CN99)</f>
        <v>0</v>
      </c>
      <c r="R88" s="7">
        <f>AVERAGE(绕后战斗1!CO99,绕后战斗2!CO99)</f>
        <v>0</v>
      </c>
      <c r="S88" s="7">
        <f>AVERAGE(绕后战斗1!CP99,绕后战斗2!CP99)</f>
        <v>0</v>
      </c>
      <c r="T88" s="7">
        <f>AVERAGE(绕后战斗1!CQ99,绕后战斗2!CQ99)</f>
        <v>0</v>
      </c>
      <c r="U88" s="7">
        <f>AVERAGE(绕后战斗1!CR99,绕后战斗2!CR99)</f>
        <v>0</v>
      </c>
      <c r="V88" s="7">
        <f>AVERAGE(正常战斗1!CS99,正常战斗2!CS99,正常战斗3!CS99,绕后战斗1!CS99)</f>
        <v>0</v>
      </c>
      <c r="W88" s="7">
        <f>AVERAGE(正常战斗1!CT99,正常战斗2!CT99,正常战斗3!CT99,绕后战斗1!CT99)</f>
        <v>0</v>
      </c>
      <c r="X88" s="7">
        <f>AVERAGE(正常战斗1!CU99,正常战斗2!CU99,正常战斗3!CU99,绕后战斗1!CU99)</f>
        <v>0</v>
      </c>
      <c r="Y88" s="7">
        <f>AVERAGE(正常战斗1!CV99,正常战斗2!CV99,正常战斗3!CV99,绕后战斗1!CV99)</f>
        <v>0</v>
      </c>
      <c r="Z88" s="7">
        <f>AVERAGE(正常战斗1!CW99,正常战斗2!CW99,绕后战斗1!CW99,绕后战斗2!CW99)</f>
        <v>0</v>
      </c>
      <c r="AA88" s="7">
        <f>AVERAGE(正常战斗1!CX99,正常战斗2!CX99,绕后战斗1!CX99,绕后战斗2!CX99)</f>
        <v>0</v>
      </c>
      <c r="AB88" s="7">
        <f>AVERAGE(正常战斗1!CY99,正常战斗2!CY99,绕后战斗1!CY99,绕后战斗2!CY99)</f>
        <v>0</v>
      </c>
      <c r="AC88" s="7">
        <f>AVERAGE(正常战斗1!CZ99,正常战斗2!CZ99,绕后战斗1!CZ99,绕后战斗2!CZ99)</f>
        <v>0</v>
      </c>
      <c r="AD88" s="7"/>
      <c r="AE88" s="7"/>
    </row>
    <row r="89" spans="4:47" x14ac:dyDescent="0.15">
      <c r="D89" s="6">
        <v>84</v>
      </c>
      <c r="E89" s="7" t="e">
        <f>AVERAGE((正常战斗1!E100+正常战斗1!AK100)/2,(正常战斗2!E100+正常战斗2!AK100)/2,(正常战斗3!E100+正常战斗3!AK100)/2,(绕后战斗1!E100+绕后战斗1!AK100)/2,(绕后战斗2!E100+绕后战斗2!AK100)/2)/1000</f>
        <v>#VALUE!</v>
      </c>
      <c r="F89" s="7" t="e">
        <f>AVERAGE(绕后战斗1!BE100,(绕后战斗2!Y100+绕后战斗2!BE100)/2)/1000</f>
        <v>#VALUE!</v>
      </c>
      <c r="G89" s="7" t="e">
        <f>AVERAGE((正常战斗1!Y100+正常战斗1!AU100+正常战斗1!BE100)/3,(正常战斗2!Y100+正常战斗2!BE100)/2,(正常战斗3!O100+正常战斗3!Y100+正常战斗3!AU100+正常战斗3!BE100)/4,绕后战斗1!Y100)/1000</f>
        <v>#VALUE!</v>
      </c>
      <c r="H89" s="7" t="e">
        <f>AVERAGE(正常战斗1!O100,(正常战斗2!O100+正常战斗2!AU100)/2,(绕后战斗1!O100+绕后战斗1!AU100)/2,(绕后战斗2!O100+绕后战斗2!AU100)/2)/1000</f>
        <v>#VALUE!</v>
      </c>
      <c r="I89" s="7" t="e">
        <f>AVERAGE(AVERAGE((正常战斗1!J100+正常战斗1!AP100)/2,(正常战斗2!J100+正常战斗2!AP100)/2,(正常战斗3!J100+正常战斗3!AP100)/2,(绕后战斗1!J100+绕后战斗1!AP100)/2,(绕后战斗2!J100+绕后战斗2!AP100)/2),AVERAGE(正常战斗1!T100,(正常战斗2!T100+正常战斗2!AZ100)/2,(绕后战斗1!T100+绕后战斗1!AZ100)/2,(绕后战斗2!T100+绕后战斗2!AZ100)/2))</f>
        <v>#VALUE!</v>
      </c>
      <c r="J89" s="7" t="e">
        <f>AVERAGE(绕后战斗1!BJ100,(绕后战斗2!AD100+绕后战斗2!BJ100)/2)</f>
        <v>#VALUE!</v>
      </c>
      <c r="K89" s="7" t="e">
        <f>AVERAGE((正常战斗1!AD100+正常战斗1!AZ100+正常战斗1!BJ100)/3,(正常战斗2!AD100+正常战斗2!BJ100)/2,(正常战斗3!T100+正常战斗3!AD100+正常战斗3!AZ100+正常战斗3!BJ100)/4,绕后战斗1!AD100)</f>
        <v>#VALUE!</v>
      </c>
      <c r="L89" s="7" t="e">
        <f t="shared" si="4"/>
        <v>#VALUE!</v>
      </c>
      <c r="M89" s="7"/>
      <c r="N89" s="7">
        <f>AVERAGE(正常战斗1!CK100,正常战斗2!CK100,正常战斗3!CK100,绕后战斗1!CK100,绕后战斗2!CK100)</f>
        <v>0</v>
      </c>
      <c r="O89" s="7">
        <f>AVERAGE(正常战斗1!CL100,正常战斗2!CL100,正常战斗3!CL100,绕后战斗1!CL100,绕后战斗2!CL100)</f>
        <v>0</v>
      </c>
      <c r="P89" s="7">
        <f>AVERAGE(正常战斗1!CM100,正常战斗2!CM100,正常战斗3!CM100,绕后战斗1!CM100,绕后战斗2!CM100)</f>
        <v>0</v>
      </c>
      <c r="Q89" s="7">
        <f>AVERAGE(正常战斗1!CN100,正常战斗2!CN100,正常战斗3!CN100,绕后战斗1!CN100,绕后战斗2!CN100)</f>
        <v>0</v>
      </c>
      <c r="R89" s="7">
        <f>AVERAGE(绕后战斗1!CO100,绕后战斗2!CO100)</f>
        <v>0</v>
      </c>
      <c r="S89" s="7">
        <f>AVERAGE(绕后战斗1!CP100,绕后战斗2!CP100)</f>
        <v>0</v>
      </c>
      <c r="T89" s="7">
        <f>AVERAGE(绕后战斗1!CQ100,绕后战斗2!CQ100)</f>
        <v>0</v>
      </c>
      <c r="U89" s="7">
        <f>AVERAGE(绕后战斗1!CR100,绕后战斗2!CR100)</f>
        <v>0</v>
      </c>
      <c r="V89" s="7">
        <f>AVERAGE(正常战斗1!CS100,正常战斗2!CS100,正常战斗3!CS100,绕后战斗1!CS100)</f>
        <v>0</v>
      </c>
      <c r="W89" s="7">
        <f>AVERAGE(正常战斗1!CT100,正常战斗2!CT100,正常战斗3!CT100,绕后战斗1!CT100)</f>
        <v>0</v>
      </c>
      <c r="X89" s="7">
        <f>AVERAGE(正常战斗1!CU100,正常战斗2!CU100,正常战斗3!CU100,绕后战斗1!CU100)</f>
        <v>0</v>
      </c>
      <c r="Y89" s="7">
        <f>AVERAGE(正常战斗1!CV100,正常战斗2!CV100,正常战斗3!CV100,绕后战斗1!CV100)</f>
        <v>0</v>
      </c>
      <c r="Z89" s="7">
        <f>AVERAGE(正常战斗1!CW100,正常战斗2!CW100,绕后战斗1!CW100,绕后战斗2!CW100)</f>
        <v>0</v>
      </c>
      <c r="AA89" s="7">
        <f>AVERAGE(正常战斗1!CX100,正常战斗2!CX100,绕后战斗1!CX100,绕后战斗2!CX100)</f>
        <v>0</v>
      </c>
      <c r="AB89" s="7">
        <f>AVERAGE(正常战斗1!CY100,正常战斗2!CY100,绕后战斗1!CY100,绕后战斗2!CY100)</f>
        <v>0</v>
      </c>
      <c r="AC89" s="7">
        <f>AVERAGE(正常战斗1!CZ100,正常战斗2!CZ100,绕后战斗1!CZ100,绕后战斗2!CZ100)</f>
        <v>0</v>
      </c>
      <c r="AD89" s="7"/>
      <c r="AE89" s="7"/>
    </row>
    <row r="90" spans="4:47" x14ac:dyDescent="0.15">
      <c r="D90" s="6">
        <v>85</v>
      </c>
      <c r="E90" s="7" t="e">
        <f>AVERAGE((正常战斗1!E101+正常战斗1!AK101)/2,(正常战斗2!E101+正常战斗2!AK101)/2,(正常战斗3!E101+正常战斗3!AK101)/2,(绕后战斗1!E101+绕后战斗1!AK101)/2,(绕后战斗2!E101+绕后战斗2!AK101)/2)/1000</f>
        <v>#VALUE!</v>
      </c>
      <c r="F90" s="7" t="e">
        <f>AVERAGE(绕后战斗1!BE101,(绕后战斗2!Y101+绕后战斗2!BE101)/2)/1000</f>
        <v>#VALUE!</v>
      </c>
      <c r="G90" s="7" t="e">
        <f>AVERAGE((正常战斗1!Y101+正常战斗1!AU101+正常战斗1!BE101)/3,(正常战斗2!Y101+正常战斗2!BE101)/2,(正常战斗3!O101+正常战斗3!Y101+正常战斗3!AU101+正常战斗3!BE101)/4,绕后战斗1!Y101)/1000</f>
        <v>#VALUE!</v>
      </c>
      <c r="H90" s="7" t="e">
        <f>AVERAGE(正常战斗1!O101,(正常战斗2!O101+正常战斗2!AU101)/2,(绕后战斗1!O101+绕后战斗1!AU101)/2,(绕后战斗2!O101+绕后战斗2!AU101)/2)/1000</f>
        <v>#VALUE!</v>
      </c>
      <c r="I90" s="7" t="e">
        <f>AVERAGE(AVERAGE((正常战斗1!J101+正常战斗1!AP101)/2,(正常战斗2!J101+正常战斗2!AP101)/2,(正常战斗3!J101+正常战斗3!AP101)/2,(绕后战斗1!J101+绕后战斗1!AP101)/2,(绕后战斗2!J101+绕后战斗2!AP101)/2),AVERAGE(正常战斗1!T101,(正常战斗2!T101+正常战斗2!AZ101)/2,(绕后战斗1!T101+绕后战斗1!AZ101)/2,(绕后战斗2!T101+绕后战斗2!AZ101)/2))</f>
        <v>#VALUE!</v>
      </c>
      <c r="J90" s="7" t="e">
        <f>AVERAGE(绕后战斗1!BJ101,(绕后战斗2!AD101+绕后战斗2!BJ101)/2)</f>
        <v>#VALUE!</v>
      </c>
      <c r="K90" s="7" t="e">
        <f>AVERAGE((正常战斗1!AD101+正常战斗1!AZ101+正常战斗1!BJ101)/3,(正常战斗2!AD101+正常战斗2!BJ101)/2,(正常战斗3!T101+正常战斗3!AD101+正常战斗3!AZ101+正常战斗3!BJ101)/4,绕后战斗1!AD101)</f>
        <v>#VALUE!</v>
      </c>
      <c r="L90" s="7" t="e">
        <f t="shared" si="4"/>
        <v>#VALUE!</v>
      </c>
      <c r="M90" s="7"/>
      <c r="N90" s="7">
        <f>AVERAGE(正常战斗1!CK101,正常战斗2!CK101,正常战斗3!CK101,绕后战斗1!CK101,绕后战斗2!CK101)</f>
        <v>0</v>
      </c>
      <c r="O90" s="7">
        <f>AVERAGE(正常战斗1!CL101,正常战斗2!CL101,正常战斗3!CL101,绕后战斗1!CL101,绕后战斗2!CL101)</f>
        <v>0</v>
      </c>
      <c r="P90" s="7">
        <f>AVERAGE(正常战斗1!CM101,正常战斗2!CM101,正常战斗3!CM101,绕后战斗1!CM101,绕后战斗2!CM101)</f>
        <v>0</v>
      </c>
      <c r="Q90" s="7">
        <f>AVERAGE(正常战斗1!CN101,正常战斗2!CN101,正常战斗3!CN101,绕后战斗1!CN101,绕后战斗2!CN101)</f>
        <v>0</v>
      </c>
      <c r="R90" s="7">
        <f>AVERAGE(绕后战斗1!CO101,绕后战斗2!CO101)</f>
        <v>0</v>
      </c>
      <c r="S90" s="7">
        <f>AVERAGE(绕后战斗1!CP101,绕后战斗2!CP101)</f>
        <v>0</v>
      </c>
      <c r="T90" s="7">
        <f>AVERAGE(绕后战斗1!CQ101,绕后战斗2!CQ101)</f>
        <v>0</v>
      </c>
      <c r="U90" s="7">
        <f>AVERAGE(绕后战斗1!CR101,绕后战斗2!CR101)</f>
        <v>0</v>
      </c>
      <c r="V90" s="7">
        <f>AVERAGE(正常战斗1!CS101,正常战斗2!CS101,正常战斗3!CS101,绕后战斗1!CS101)</f>
        <v>0</v>
      </c>
      <c r="W90" s="7">
        <f>AVERAGE(正常战斗1!CT101,正常战斗2!CT101,正常战斗3!CT101,绕后战斗1!CT101)</f>
        <v>0</v>
      </c>
      <c r="X90" s="7">
        <f>AVERAGE(正常战斗1!CU101,正常战斗2!CU101,正常战斗3!CU101,绕后战斗1!CU101)</f>
        <v>0</v>
      </c>
      <c r="Y90" s="7">
        <f>AVERAGE(正常战斗1!CV101,正常战斗2!CV101,正常战斗3!CV101,绕后战斗1!CV101)</f>
        <v>0</v>
      </c>
      <c r="Z90" s="7">
        <f>AVERAGE(正常战斗1!CW101,正常战斗2!CW101,绕后战斗1!CW101,绕后战斗2!CW101)</f>
        <v>0</v>
      </c>
      <c r="AA90" s="7">
        <f>AVERAGE(正常战斗1!CX101,正常战斗2!CX101,绕后战斗1!CX101,绕后战斗2!CX101)</f>
        <v>0</v>
      </c>
      <c r="AB90" s="7">
        <f>AVERAGE(正常战斗1!CY101,正常战斗2!CY101,绕后战斗1!CY101,绕后战斗2!CY101)</f>
        <v>0</v>
      </c>
      <c r="AC90" s="7">
        <f>AVERAGE(正常战斗1!CZ101,正常战斗2!CZ101,绕后战斗1!CZ101,绕后战斗2!CZ101)</f>
        <v>0</v>
      </c>
      <c r="AD90" s="7"/>
      <c r="AE90" s="7"/>
    </row>
    <row r="91" spans="4:47" x14ac:dyDescent="0.15">
      <c r="AU91" s="1"/>
    </row>
    <row r="92" spans="4:47" x14ac:dyDescent="0.15">
      <c r="AU92" s="1"/>
    </row>
    <row r="93" spans="4:47" x14ac:dyDescent="0.15">
      <c r="AU93" s="1"/>
    </row>
    <row r="94" spans="4:47" x14ac:dyDescent="0.15">
      <c r="AU94" s="1"/>
    </row>
    <row r="95" spans="4:47" x14ac:dyDescent="0.15">
      <c r="AU95" s="1"/>
    </row>
    <row r="96" spans="4:47" x14ac:dyDescent="0.15">
      <c r="AU96" s="1"/>
    </row>
    <row r="97" spans="5:51" ht="11.25" x14ac:dyDescent="0.15">
      <c r="E97" s="1"/>
      <c r="F97" s="1"/>
      <c r="G97" s="1"/>
      <c r="H97" s="1"/>
      <c r="AN97" s="1"/>
      <c r="AU97" s="1"/>
      <c r="AV97" s="6"/>
      <c r="AW97" s="6"/>
      <c r="AX97" s="6"/>
      <c r="AY97" s="6"/>
    </row>
    <row r="98" spans="5:51" x14ac:dyDescent="0.15">
      <c r="E98" s="1"/>
      <c r="F98" s="1"/>
      <c r="G98" s="1"/>
      <c r="H98" s="1"/>
      <c r="AN98" s="1"/>
      <c r="AV98" s="6"/>
      <c r="AW98" s="6"/>
      <c r="AX98" s="6"/>
      <c r="AY98" s="6"/>
    </row>
    <row r="99" spans="5:51" x14ac:dyDescent="0.15">
      <c r="E99" s="1"/>
      <c r="F99" s="1"/>
      <c r="G99" s="1"/>
      <c r="H99" s="1"/>
      <c r="AN99" s="1"/>
      <c r="AV99" s="6"/>
      <c r="AW99" s="6"/>
      <c r="AX99" s="6"/>
      <c r="AY99" s="6"/>
    </row>
    <row r="100" spans="5:51" x14ac:dyDescent="0.15">
      <c r="E100" s="1"/>
      <c r="F100" s="1"/>
      <c r="G100" s="1"/>
      <c r="H100" s="1"/>
      <c r="AN100" s="1"/>
      <c r="AV100" s="6"/>
      <c r="AW100" s="6"/>
      <c r="AX100" s="6"/>
      <c r="AY100" s="6"/>
    </row>
    <row r="101" spans="5:51" x14ac:dyDescent="0.15">
      <c r="E101" s="1"/>
      <c r="F101" s="1"/>
      <c r="G101" s="1"/>
      <c r="H101" s="1"/>
      <c r="AN101" s="1"/>
      <c r="AV101" s="6"/>
      <c r="AW101" s="6"/>
      <c r="AX101" s="6"/>
      <c r="AY101" s="6"/>
    </row>
    <row r="102" spans="5:51" x14ac:dyDescent="0.15">
      <c r="E102" s="1"/>
      <c r="F102" s="1"/>
      <c r="G102" s="1"/>
      <c r="H102" s="1"/>
      <c r="AN102" s="1"/>
      <c r="AV102" s="6"/>
      <c r="AW102" s="6"/>
      <c r="AX102" s="6"/>
      <c r="AY102" s="6"/>
    </row>
    <row r="103" spans="5:51" x14ac:dyDescent="0.15">
      <c r="E103" s="1"/>
      <c r="F103" s="1"/>
      <c r="G103" s="1"/>
      <c r="H103" s="1"/>
      <c r="AN103" s="1"/>
      <c r="AV103" s="6"/>
      <c r="AW103" s="6"/>
      <c r="AX103" s="6"/>
      <c r="AY103" s="6"/>
    </row>
  </sheetData>
  <mergeCells count="9">
    <mergeCell ref="AK8:AM8"/>
    <mergeCell ref="E3:H3"/>
    <mergeCell ref="I3:L3"/>
    <mergeCell ref="AH10:AH13"/>
    <mergeCell ref="AH14:AH17"/>
    <mergeCell ref="N3:Q3"/>
    <mergeCell ref="R3:U3"/>
    <mergeCell ref="V3:Y3"/>
    <mergeCell ref="Z3:AC3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CZ135"/>
  <sheetViews>
    <sheetView workbookViewId="0">
      <selection activeCell="B50" sqref="B50"/>
    </sheetView>
  </sheetViews>
  <sheetFormatPr defaultColWidth="9" defaultRowHeight="11.25" x14ac:dyDescent="0.15"/>
  <cols>
    <col min="1" max="7" width="9" style="10"/>
    <col min="8" max="8" width="9.75" style="10" bestFit="1" customWidth="1"/>
    <col min="9" max="11" width="9.75" style="10" customWidth="1"/>
    <col min="12" max="12" width="9" style="10"/>
    <col min="13" max="13" width="9.75" style="10" bestFit="1" customWidth="1"/>
    <col min="14" max="14" width="9" style="10"/>
    <col min="15" max="16" width="9.75" style="10" customWidth="1"/>
    <col min="17" max="23" width="9" style="10" customWidth="1"/>
    <col min="24" max="24" width="9" style="10"/>
    <col min="25" max="25" width="9" style="10" customWidth="1"/>
    <col min="26" max="26" width="4.5" style="11" customWidth="1"/>
    <col min="27" max="27" width="9.75" style="10" customWidth="1"/>
    <col min="28" max="28" width="9" style="10" customWidth="1"/>
    <col min="29" max="29" width="9.75" style="10" customWidth="1"/>
    <col min="30" max="31" width="9" style="10" customWidth="1"/>
    <col min="32" max="32" width="9.75" style="10" customWidth="1"/>
    <col min="33" max="33" width="9" style="10" customWidth="1"/>
    <col min="34" max="35" width="9" style="10"/>
    <col min="36" max="36" width="9.75" style="10" bestFit="1" customWidth="1"/>
    <col min="37" max="38" width="9" style="10" customWidth="1"/>
    <col min="39" max="39" width="9.75" style="10" customWidth="1"/>
    <col min="40" max="42" width="9" style="10" customWidth="1"/>
    <col min="43" max="43" width="9.75" style="10" customWidth="1"/>
    <col min="44" max="45" width="9" style="10" customWidth="1"/>
    <col min="46" max="46" width="9.75" style="10" bestFit="1" customWidth="1"/>
    <col min="47" max="55" width="9" style="10" customWidth="1"/>
    <col min="56" max="56" width="9" style="10"/>
    <col min="57" max="65" width="9" style="10" customWidth="1"/>
    <col min="66" max="16384" width="9" style="10"/>
  </cols>
  <sheetData>
    <row r="1" spans="2:104" x14ac:dyDescent="0.15">
      <c r="F1" s="10">
        <v>5</v>
      </c>
      <c r="G1" s="10">
        <v>3</v>
      </c>
      <c r="H1" s="10">
        <v>1</v>
      </c>
      <c r="J1" s="10">
        <v>2</v>
      </c>
      <c r="K1" s="10">
        <v>4</v>
      </c>
      <c r="L1" s="10">
        <v>6</v>
      </c>
    </row>
    <row r="2" spans="2:104" x14ac:dyDescent="0.15">
      <c r="E2" s="10" t="s">
        <v>64</v>
      </c>
      <c r="F2" s="12" t="s">
        <v>67</v>
      </c>
      <c r="G2" s="12" t="s">
        <v>50</v>
      </c>
      <c r="H2" s="12" t="s">
        <v>55</v>
      </c>
      <c r="I2" s="33" t="s">
        <v>15</v>
      </c>
      <c r="J2" s="12" t="s">
        <v>55</v>
      </c>
      <c r="K2" s="12" t="s">
        <v>67</v>
      </c>
      <c r="L2" s="12" t="s">
        <v>67</v>
      </c>
      <c r="AI2" s="13"/>
    </row>
    <row r="3" spans="2:104" x14ac:dyDescent="0.15">
      <c r="E3" s="10" t="s">
        <v>63</v>
      </c>
      <c r="F3" s="12" t="str">
        <f>INDEX(结果汇总!$AI$14:$AI$17,MATCH(F2,结果汇总!$AI$10:$AI$13,0),1)</f>
        <v>弓将</v>
      </c>
      <c r="G3" s="12" t="str">
        <f>INDEX(结果汇总!$AI$14:$AI$17,MATCH(G2,结果汇总!$AI$10:$AI$13,0),1)</f>
        <v>步将</v>
      </c>
      <c r="H3" s="12" t="str">
        <f>INDEX(结果汇总!$AI$14:$AI$17,MATCH(H2,结果汇总!$AI$10:$AI$13,0),1)</f>
        <v>步将</v>
      </c>
      <c r="I3" s="33"/>
      <c r="J3" s="12" t="str">
        <f>INDEX(结果汇总!$AI$14:$AI$17,MATCH(J2,结果汇总!$AI$10:$AI$13,0),1)</f>
        <v>步将</v>
      </c>
      <c r="K3" s="12" t="str">
        <f>INDEX(结果汇总!$AI$14:$AI$17,MATCH(K2,结果汇总!$AI$10:$AI$13,0),1)</f>
        <v>弓将</v>
      </c>
      <c r="L3" s="12" t="str">
        <f>INDEX(结果汇总!$AI$14:$AI$17,MATCH(L2,结果汇总!$AI$10:$AI$13,0),1)</f>
        <v>弓将</v>
      </c>
      <c r="AI3" s="13"/>
    </row>
    <row r="4" spans="2:104" x14ac:dyDescent="0.15">
      <c r="C4" s="10" t="s">
        <v>16</v>
      </c>
      <c r="D4" s="10" t="s">
        <v>17</v>
      </c>
      <c r="E4" s="10" t="s">
        <v>18</v>
      </c>
      <c r="F4" s="10" t="s">
        <v>19</v>
      </c>
      <c r="G4" s="10" t="s">
        <v>20</v>
      </c>
      <c r="J4" s="10" t="s">
        <v>17</v>
      </c>
      <c r="K4" s="10" t="s">
        <v>18</v>
      </c>
      <c r="L4" s="10" t="s">
        <v>19</v>
      </c>
      <c r="M4" s="10" t="s">
        <v>20</v>
      </c>
      <c r="AI4" s="13"/>
    </row>
    <row r="5" spans="2:104" x14ac:dyDescent="0.15">
      <c r="B5" s="10" t="s">
        <v>21</v>
      </c>
      <c r="C5" s="10" t="s">
        <v>2</v>
      </c>
      <c r="D5" s="14" t="str">
        <f>INDEX(结果汇总!$AL$10:$AL$13,MATCH($H$2,结果汇总!$AI$10:$AI$13,0))</f>
        <v>步兵</v>
      </c>
      <c r="E5" s="14">
        <f>INDEX(结果汇总!$AM$10:$AM$13,MATCH($H$2,结果汇总!$AI$10:$AI$13,0))</f>
        <v>324</v>
      </c>
      <c r="F5" s="10">
        <v>1000</v>
      </c>
      <c r="G5" s="14">
        <f>INDEX(结果汇总!$AN$10:$AN$13,MATCH($H$2,结果汇总!$AI$10:$AI$13,0))</f>
        <v>1</v>
      </c>
      <c r="H5" s="10" t="e">
        <f>D5*E5*F5^2/2</f>
        <v>#VALUE!</v>
      </c>
      <c r="I5" s="10" t="s">
        <v>22</v>
      </c>
      <c r="J5" s="14" t="str">
        <f>INDEX(结果汇总!$AL$10:$AL$13,MATCH(J2,结果汇总!$AI$10:$AI$13,0))</f>
        <v>步兵</v>
      </c>
      <c r="K5" s="14">
        <f>INDEX(结果汇总!$AM$10:$AM$13,MATCH(J2,结果汇总!$AI$10:$AI$13,0))</f>
        <v>324</v>
      </c>
      <c r="L5" s="10">
        <v>1000</v>
      </c>
      <c r="M5" s="14">
        <f>INDEX(结果汇总!$AN$10:$AN$13,MATCH(J2,结果汇总!$AI$10:$AI$13,0))</f>
        <v>1</v>
      </c>
      <c r="N5" s="10" t="e">
        <f>J5*K5*L5^2/2</f>
        <v>#VALUE!</v>
      </c>
      <c r="AI5" s="13"/>
    </row>
    <row r="6" spans="2:104" x14ac:dyDescent="0.15">
      <c r="C6" s="10" t="s">
        <v>23</v>
      </c>
      <c r="D6" s="14">
        <f>INDEX(结果汇总!$AL$14:$AL$17,MATCH($H$3,结果汇总!$AI$14:$AI$17,0))</f>
        <v>120000</v>
      </c>
      <c r="E6" s="14">
        <f>INDEX(结果汇总!$AM$14:$AM$17,MATCH($H$3,结果汇总!$AI$14:$AI$17,0))</f>
        <v>192000</v>
      </c>
      <c r="F6" s="10">
        <v>1</v>
      </c>
      <c r="G6" s="10">
        <v>1</v>
      </c>
      <c r="H6" s="10">
        <f>D6*E6</f>
        <v>23040000000</v>
      </c>
      <c r="I6" s="10" t="s">
        <v>24</v>
      </c>
      <c r="J6" s="14">
        <f>INDEX(结果汇总!$AL$14:$AL$17,MATCH(J3,结果汇总!$AI$14:$AI$17,0))</f>
        <v>120000</v>
      </c>
      <c r="K6" s="14">
        <f>INDEX(结果汇总!$AM$14:$AM$17,MATCH(J3,结果汇总!$AI$14:$AI$17,0))</f>
        <v>192000</v>
      </c>
      <c r="L6" s="10">
        <v>1</v>
      </c>
      <c r="M6" s="10">
        <v>1</v>
      </c>
      <c r="N6" s="10">
        <f>J6*K6</f>
        <v>23040000000</v>
      </c>
      <c r="AI6" s="13"/>
    </row>
    <row r="7" spans="2:104" x14ac:dyDescent="0.15">
      <c r="O7" s="10" t="s">
        <v>25</v>
      </c>
      <c r="P7" s="15">
        <f>结果汇总!AI3</f>
        <v>0.4</v>
      </c>
      <c r="AI7" s="13"/>
    </row>
    <row r="8" spans="2:104" x14ac:dyDescent="0.15">
      <c r="B8" s="10" t="s">
        <v>26</v>
      </c>
      <c r="C8" s="10" t="s">
        <v>27</v>
      </c>
      <c r="D8" s="14" t="str">
        <f>INDEX(结果汇总!$AL$10:$AL$13,MATCH(G2,结果汇总!$AI$10:$AI$13,0))</f>
        <v>枪兵</v>
      </c>
      <c r="E8" s="14">
        <f>INDEX(结果汇总!$AM$10:$AM$13,MATCH(G2,结果汇总!$AI$10:$AI$13,0))</f>
        <v>156</v>
      </c>
      <c r="F8" s="10">
        <v>1000</v>
      </c>
      <c r="G8" s="14">
        <f>INDEX(结果汇总!$AN$10:$AN$13,MATCH(G2,结果汇总!$AI$10:$AI$13,0))</f>
        <v>1</v>
      </c>
      <c r="H8" s="10" t="e">
        <f>D8*E8*F8^2/2</f>
        <v>#VALUE!</v>
      </c>
      <c r="I8" s="10" t="s">
        <v>28</v>
      </c>
      <c r="J8" s="14" t="str">
        <f>INDEX(结果汇总!$AL$10:$AL$13,MATCH(K2,结果汇总!$AI$10:$AI$13,0))</f>
        <v>弓兵</v>
      </c>
      <c r="K8" s="14">
        <f>INDEX(结果汇总!$AM$10:$AM$13,MATCH(K2,结果汇总!$AI$10:$AI$13,0))</f>
        <v>180</v>
      </c>
      <c r="L8" s="10">
        <v>1000</v>
      </c>
      <c r="M8" s="14">
        <f>INDEX(结果汇总!$AN$10:$AN$13,MATCH(K2,结果汇总!$AI$10:$AI$13,0))</f>
        <v>1</v>
      </c>
      <c r="N8" s="10" t="e">
        <f>J8*K8*L8^2/2</f>
        <v>#VALUE!</v>
      </c>
      <c r="O8" s="22" t="s">
        <v>51</v>
      </c>
      <c r="P8" s="23">
        <v>0</v>
      </c>
      <c r="AI8" s="13"/>
    </row>
    <row r="9" spans="2:104" x14ac:dyDescent="0.15">
      <c r="C9" s="10" t="s">
        <v>29</v>
      </c>
      <c r="D9" s="14">
        <f>INDEX(结果汇总!$AL$14:$AL$17,MATCH(G3,结果汇总!$AI$14:$AI$17,0))</f>
        <v>120000</v>
      </c>
      <c r="E9" s="14">
        <f>INDEX(结果汇总!$AM$14:$AM$17,MATCH(G3,结果汇总!$AI$14:$AI$17,0))</f>
        <v>192000</v>
      </c>
      <c r="F9" s="10">
        <v>1</v>
      </c>
      <c r="G9" s="10">
        <v>1</v>
      </c>
      <c r="H9" s="10">
        <f>D9*E9</f>
        <v>23040000000</v>
      </c>
      <c r="I9" s="10" t="s">
        <v>30</v>
      </c>
      <c r="J9" s="14">
        <f>INDEX(结果汇总!$AL$14:$AL$17,MATCH(K3,结果汇总!$AI$14:$AI$17,0))</f>
        <v>120000</v>
      </c>
      <c r="K9" s="14">
        <f>INDEX(结果汇总!$AM$14:$AM$17,MATCH(K3,结果汇总!$AI$14:$AI$17,0))</f>
        <v>192000</v>
      </c>
      <c r="L9" s="10">
        <v>1</v>
      </c>
      <c r="M9" s="10">
        <v>1</v>
      </c>
      <c r="N9" s="10">
        <f>J9*K9</f>
        <v>23040000000</v>
      </c>
      <c r="O9" s="32" t="s">
        <v>53</v>
      </c>
      <c r="P9" s="26" t="e">
        <f>MIN($E$16:$E$135)+MIN($O$16:$O$135)+MIN($Y$16:$Y$135)</f>
        <v>#VALUE!</v>
      </c>
      <c r="AI9" s="13"/>
    </row>
    <row r="10" spans="2:104" x14ac:dyDescent="0.15">
      <c r="O10" s="32"/>
      <c r="P10" s="26" t="e">
        <f>MIN($AK$16:$AK$135)+MIN($AU$16:$AU$135)+MIN($BE$16:$BE$135)</f>
        <v>#VALUE!</v>
      </c>
      <c r="AI10" s="13"/>
    </row>
    <row r="11" spans="2:104" x14ac:dyDescent="0.15">
      <c r="B11" s="10" t="s">
        <v>31</v>
      </c>
      <c r="C11" s="10" t="s">
        <v>32</v>
      </c>
      <c r="D11" s="14" t="str">
        <f>INDEX(结果汇总!$AL$10:$AL$13,MATCH(F2,结果汇总!$AI$10:$AI$13,0))</f>
        <v>弓兵</v>
      </c>
      <c r="E11" s="14">
        <f>INDEX(结果汇总!$AM$10:$AM$13,MATCH(F2,结果汇总!$AI$10:$AI$13,0))</f>
        <v>180</v>
      </c>
      <c r="F11" s="10">
        <v>1000</v>
      </c>
      <c r="G11" s="14">
        <f>INDEX(结果汇总!$AN$10:$AN$13,MATCH(F2,结果汇总!$AI$10:$AI$13,0))</f>
        <v>1</v>
      </c>
      <c r="H11" s="10" t="e">
        <f>D11*E11*F11^2/2</f>
        <v>#VALUE!</v>
      </c>
      <c r="I11" s="10" t="s">
        <v>33</v>
      </c>
      <c r="J11" s="14" t="str">
        <f>INDEX(结果汇总!$AL$10:$AL$13,MATCH(L2,结果汇总!$AI$10:$AI$13,0))</f>
        <v>弓兵</v>
      </c>
      <c r="K11" s="14">
        <f>INDEX(结果汇总!$AM$10:$AM$13,MATCH(L2,结果汇总!$AI$10:$AI$13,0))</f>
        <v>180</v>
      </c>
      <c r="L11" s="10">
        <v>1000</v>
      </c>
      <c r="M11" s="14">
        <f>INDEX(结果汇总!$AN$10:$AN$13,MATCH(L2,结果汇总!$AI$10:$AI$13,0))</f>
        <v>1</v>
      </c>
      <c r="N11" s="10" t="e">
        <f>J11*K11*L11^2/2</f>
        <v>#VALUE!</v>
      </c>
      <c r="AI11" s="13"/>
    </row>
    <row r="12" spans="2:104" x14ac:dyDescent="0.15">
      <c r="C12" s="10" t="s">
        <v>11</v>
      </c>
      <c r="D12" s="14">
        <f>INDEX(结果汇总!$AL$14:$AL$17,MATCH(F3,结果汇总!$AI$14:$AI$17,0))</f>
        <v>120000</v>
      </c>
      <c r="E12" s="14">
        <f>INDEX(结果汇总!$AM$14:$AM$17,MATCH(F3,结果汇总!$AI$14:$AI$17,0))</f>
        <v>192000</v>
      </c>
      <c r="F12" s="10">
        <v>1</v>
      </c>
      <c r="G12" s="10">
        <v>1</v>
      </c>
      <c r="H12" s="10">
        <f>D12*E12</f>
        <v>23040000000</v>
      </c>
      <c r="I12" s="10" t="s">
        <v>34</v>
      </c>
      <c r="J12" s="14">
        <f>INDEX(结果汇总!$AL$14:$AL$17,MATCH(L3,结果汇总!$AI$14:$AI$17,0))</f>
        <v>120000</v>
      </c>
      <c r="K12" s="14">
        <f>INDEX(结果汇总!$AM$14:$AM$17,MATCH(L3,结果汇总!$AI$14:$AI$17,0))</f>
        <v>192000</v>
      </c>
      <c r="L12" s="10">
        <v>1</v>
      </c>
      <c r="M12" s="10">
        <v>1</v>
      </c>
      <c r="N12" s="10">
        <f>J12*K12</f>
        <v>23040000000</v>
      </c>
      <c r="AI12" s="13"/>
      <c r="BO12" s="10" t="s">
        <v>46</v>
      </c>
      <c r="BP12" s="6" t="str">
        <f t="shared" ref="BP12:BR13" si="0">F2</f>
        <v>弓驽兵</v>
      </c>
      <c r="BQ12" s="6" t="str">
        <f t="shared" si="0"/>
        <v>枪兵</v>
      </c>
      <c r="BR12" s="6" t="str">
        <f t="shared" si="0"/>
        <v>刀兵</v>
      </c>
      <c r="BS12" s="6" t="str">
        <f t="shared" ref="BS12:BU13" si="1">J2</f>
        <v>刀兵</v>
      </c>
      <c r="BT12" s="6" t="str">
        <f t="shared" si="1"/>
        <v>弓驽兵</v>
      </c>
      <c r="BU12" s="6" t="str">
        <f t="shared" si="1"/>
        <v>弓驽兵</v>
      </c>
    </row>
    <row r="13" spans="2:104" x14ac:dyDescent="0.15">
      <c r="AI13" s="13"/>
      <c r="BP13" s="6" t="str">
        <f t="shared" si="0"/>
        <v>弓将</v>
      </c>
      <c r="BQ13" s="6" t="str">
        <f t="shared" si="0"/>
        <v>步将</v>
      </c>
      <c r="BR13" s="6" t="str">
        <f t="shared" si="0"/>
        <v>步将</v>
      </c>
      <c r="BS13" s="6" t="str">
        <f t="shared" si="1"/>
        <v>步将</v>
      </c>
      <c r="BT13" s="6" t="str">
        <f t="shared" si="1"/>
        <v>弓将</v>
      </c>
      <c r="BU13" s="6" t="str">
        <f t="shared" si="1"/>
        <v>弓将</v>
      </c>
      <c r="CK13" s="10" t="s">
        <v>78</v>
      </c>
    </row>
    <row r="14" spans="2:104" x14ac:dyDescent="0.15">
      <c r="E14" s="16" t="s">
        <v>36</v>
      </c>
      <c r="F14" s="16"/>
      <c r="G14" s="16"/>
      <c r="J14" s="16" t="s">
        <v>37</v>
      </c>
      <c r="K14" s="16"/>
      <c r="L14" s="16"/>
      <c r="O14" s="16" t="s">
        <v>27</v>
      </c>
      <c r="P14" s="16"/>
      <c r="Q14" s="16"/>
      <c r="T14" s="16" t="s">
        <v>38</v>
      </c>
      <c r="U14" s="16"/>
      <c r="V14" s="16"/>
      <c r="Y14" s="16" t="s">
        <v>32</v>
      </c>
      <c r="AA14" s="16"/>
      <c r="AD14" s="16" t="s">
        <v>11</v>
      </c>
      <c r="AE14" s="16"/>
      <c r="AF14" s="16"/>
      <c r="AI14" s="13"/>
      <c r="AK14" s="16" t="s">
        <v>22</v>
      </c>
      <c r="AL14" s="16"/>
      <c r="AM14" s="16"/>
      <c r="AP14" s="16" t="s">
        <v>24</v>
      </c>
      <c r="AQ14" s="16"/>
      <c r="AR14" s="16"/>
      <c r="AU14" s="16" t="s">
        <v>39</v>
      </c>
      <c r="AV14" s="16"/>
      <c r="AW14" s="16"/>
      <c r="AZ14" s="16" t="s">
        <v>30</v>
      </c>
      <c r="BA14" s="16"/>
      <c r="BB14" s="16"/>
      <c r="BE14" s="16" t="s">
        <v>33</v>
      </c>
      <c r="BF14" s="16"/>
      <c r="BG14" s="16"/>
      <c r="BJ14" s="16" t="s">
        <v>34</v>
      </c>
      <c r="BK14" s="16"/>
      <c r="BL14" s="16"/>
      <c r="BP14" s="18" t="s">
        <v>35</v>
      </c>
      <c r="BW14" s="10" t="s">
        <v>66</v>
      </c>
      <c r="CD14" s="10" t="s">
        <v>77</v>
      </c>
      <c r="CK14" s="31">
        <v>1</v>
      </c>
      <c r="CL14" s="31"/>
      <c r="CM14" s="31"/>
      <c r="CN14" s="31"/>
      <c r="CO14" s="31">
        <v>2</v>
      </c>
      <c r="CP14" s="31"/>
      <c r="CQ14" s="31"/>
      <c r="CR14" s="31"/>
      <c r="CS14" s="31">
        <v>3</v>
      </c>
      <c r="CT14" s="31"/>
      <c r="CU14" s="31"/>
      <c r="CV14" s="31"/>
      <c r="CW14" s="31">
        <v>4</v>
      </c>
      <c r="CX14" s="31"/>
      <c r="CY14" s="31"/>
      <c r="CZ14" s="31"/>
    </row>
    <row r="15" spans="2:104" x14ac:dyDescent="0.15">
      <c r="E15" s="10" t="s">
        <v>40</v>
      </c>
      <c r="F15" s="10" t="s">
        <v>41</v>
      </c>
      <c r="G15" s="10" t="s">
        <v>42</v>
      </c>
      <c r="H15" s="10" t="s">
        <v>43</v>
      </c>
      <c r="I15" s="10" t="s">
        <v>44</v>
      </c>
      <c r="J15" s="10" t="s">
        <v>65</v>
      </c>
      <c r="K15" s="10" t="s">
        <v>41</v>
      </c>
      <c r="L15" s="10" t="s">
        <v>42</v>
      </c>
      <c r="M15" s="10" t="s">
        <v>44</v>
      </c>
      <c r="O15" s="10" t="s">
        <v>45</v>
      </c>
      <c r="P15" s="10" t="s">
        <v>41</v>
      </c>
      <c r="Q15" s="10" t="s">
        <v>42</v>
      </c>
      <c r="R15" s="10" t="s">
        <v>43</v>
      </c>
      <c r="S15" s="10" t="s">
        <v>44</v>
      </c>
      <c r="T15" s="10" t="s">
        <v>65</v>
      </c>
      <c r="U15" s="10" t="s">
        <v>41</v>
      </c>
      <c r="V15" s="10" t="s">
        <v>42</v>
      </c>
      <c r="W15" s="10" t="s">
        <v>44</v>
      </c>
      <c r="Y15" s="10" t="s">
        <v>45</v>
      </c>
      <c r="Z15" s="11" t="s">
        <v>41</v>
      </c>
      <c r="AA15" s="10" t="s">
        <v>42</v>
      </c>
      <c r="AB15" s="10" t="s">
        <v>43</v>
      </c>
      <c r="AC15" s="10" t="s">
        <v>44</v>
      </c>
      <c r="AD15" s="10" t="s">
        <v>65</v>
      </c>
      <c r="AE15" s="10" t="s">
        <v>41</v>
      </c>
      <c r="AF15" s="10" t="s">
        <v>42</v>
      </c>
      <c r="AG15" s="10" t="s">
        <v>44</v>
      </c>
      <c r="AI15" s="13"/>
      <c r="AK15" s="10" t="s">
        <v>45</v>
      </c>
      <c r="AL15" s="10" t="s">
        <v>41</v>
      </c>
      <c r="AM15" s="10" t="s">
        <v>42</v>
      </c>
      <c r="AN15" s="10" t="s">
        <v>43</v>
      </c>
      <c r="AO15" s="10" t="s">
        <v>44</v>
      </c>
      <c r="AP15" s="10" t="s">
        <v>65</v>
      </c>
      <c r="AQ15" s="10" t="s">
        <v>41</v>
      </c>
      <c r="AR15" s="10" t="s">
        <v>42</v>
      </c>
      <c r="AS15" s="10" t="s">
        <v>44</v>
      </c>
      <c r="AU15" s="10" t="s">
        <v>45</v>
      </c>
      <c r="AV15" s="10" t="s">
        <v>41</v>
      </c>
      <c r="AW15" s="10" t="s">
        <v>42</v>
      </c>
      <c r="AX15" s="10" t="s">
        <v>43</v>
      </c>
      <c r="AY15" s="10" t="s">
        <v>44</v>
      </c>
      <c r="AZ15" s="10" t="s">
        <v>65</v>
      </c>
      <c r="BA15" s="10" t="s">
        <v>41</v>
      </c>
      <c r="BB15" s="10" t="s">
        <v>42</v>
      </c>
      <c r="BC15" s="10" t="s">
        <v>44</v>
      </c>
      <c r="BE15" s="10" t="s">
        <v>45</v>
      </c>
      <c r="BF15" s="10" t="s">
        <v>41</v>
      </c>
      <c r="BG15" s="10" t="s">
        <v>42</v>
      </c>
      <c r="BH15" s="10" t="s">
        <v>43</v>
      </c>
      <c r="BI15" s="10" t="s">
        <v>44</v>
      </c>
      <c r="BJ15" s="10" t="s">
        <v>65</v>
      </c>
      <c r="BK15" s="10" t="s">
        <v>41</v>
      </c>
      <c r="BL15" s="10" t="s">
        <v>42</v>
      </c>
      <c r="BM15" s="10" t="s">
        <v>44</v>
      </c>
      <c r="BP15" s="17">
        <v>5</v>
      </c>
      <c r="BQ15" s="17">
        <v>3</v>
      </c>
      <c r="BR15" s="17">
        <v>1</v>
      </c>
      <c r="BS15" s="17">
        <v>2</v>
      </c>
      <c r="BT15" s="17">
        <v>4</v>
      </c>
      <c r="BU15" s="17">
        <v>6</v>
      </c>
      <c r="BW15" s="17">
        <v>5</v>
      </c>
      <c r="BX15" s="17">
        <v>3</v>
      </c>
      <c r="BY15" s="17">
        <v>1</v>
      </c>
      <c r="BZ15" s="17">
        <v>2</v>
      </c>
      <c r="CA15" s="17">
        <v>4</v>
      </c>
      <c r="CB15" s="17">
        <v>6</v>
      </c>
      <c r="CD15" s="17">
        <f>MATCH(BP12,结果汇总!$AI$10:$AI$13,0)</f>
        <v>3</v>
      </c>
      <c r="CE15" s="17">
        <f>MATCH(BQ12,结果汇总!$AI$10:$AI$13,0)</f>
        <v>4</v>
      </c>
      <c r="CF15" s="17">
        <f>MATCH(BR12,结果汇总!$AI$10:$AI$13,0)</f>
        <v>1</v>
      </c>
      <c r="CG15" s="17">
        <f>MATCH(BS12,结果汇总!$AI$10:$AI$13,0)</f>
        <v>1</v>
      </c>
      <c r="CH15" s="17">
        <f>MATCH(BT12,结果汇总!$AI$10:$AI$13,0)</f>
        <v>3</v>
      </c>
      <c r="CI15" s="17">
        <f>MATCH(BU12,结果汇总!$AI$10:$AI$13,0)</f>
        <v>3</v>
      </c>
      <c r="CK15" s="10">
        <v>1</v>
      </c>
      <c r="CL15" s="10">
        <v>2</v>
      </c>
      <c r="CM15" s="10">
        <v>3</v>
      </c>
      <c r="CN15" s="10">
        <v>4</v>
      </c>
      <c r="CO15" s="10">
        <f>CK15</f>
        <v>1</v>
      </c>
      <c r="CP15" s="10">
        <f t="shared" ref="CP15:CZ15" si="2">CL15</f>
        <v>2</v>
      </c>
      <c r="CQ15" s="10">
        <f t="shared" si="2"/>
        <v>3</v>
      </c>
      <c r="CR15" s="10">
        <f t="shared" si="2"/>
        <v>4</v>
      </c>
      <c r="CS15" s="10">
        <f t="shared" si="2"/>
        <v>1</v>
      </c>
      <c r="CT15" s="10">
        <f t="shared" si="2"/>
        <v>2</v>
      </c>
      <c r="CU15" s="10">
        <f t="shared" si="2"/>
        <v>3</v>
      </c>
      <c r="CV15" s="10">
        <f t="shared" si="2"/>
        <v>4</v>
      </c>
      <c r="CW15" s="10">
        <f t="shared" si="2"/>
        <v>1</v>
      </c>
      <c r="CX15" s="10">
        <f t="shared" si="2"/>
        <v>2</v>
      </c>
      <c r="CY15" s="10">
        <f t="shared" si="2"/>
        <v>3</v>
      </c>
      <c r="CZ15" s="10">
        <f t="shared" si="2"/>
        <v>4</v>
      </c>
    </row>
    <row r="16" spans="2:104" x14ac:dyDescent="0.15">
      <c r="D16" s="10">
        <v>1</v>
      </c>
      <c r="E16" s="10">
        <f>F5</f>
        <v>1000</v>
      </c>
      <c r="F16" s="10">
        <f t="shared" ref="F16:F79" si="3">IF(E16=0,0,E16*$E$5)</f>
        <v>324000</v>
      </c>
      <c r="G16" s="10">
        <f t="shared" ref="G16:G79" si="4">F16*$P$7</f>
        <v>129600</v>
      </c>
      <c r="H16" s="10">
        <f>IF(E16=0,0,ROUNDUP(E16/$F$5*$G$5,0))</f>
        <v>1</v>
      </c>
      <c r="I16" s="10">
        <f t="shared" ref="I16:I47" si="5">IF(AND(J16=0,E16&lt;&gt;0),1,H16/(H16+$G$6))</f>
        <v>0.5</v>
      </c>
      <c r="J16" s="10">
        <f>$F$6</f>
        <v>1</v>
      </c>
      <c r="K16" s="10">
        <f t="shared" ref="K16:K79" si="6">IF(J16=0,0,ROUNDUP(J16,0)*$E$6)</f>
        <v>192000</v>
      </c>
      <c r="L16" s="10">
        <f t="shared" ref="L16:L79" si="7">K16*$P$7</f>
        <v>76800</v>
      </c>
      <c r="M16" s="10">
        <f>IF(J16=0,0,1-I16)</f>
        <v>0.5</v>
      </c>
      <c r="O16" s="10">
        <f>$F$8</f>
        <v>1000</v>
      </c>
      <c r="P16" s="10">
        <f t="shared" ref="P16:P79" si="8">IF(O16=0,0,O16*$E$8)</f>
        <v>156000</v>
      </c>
      <c r="Q16" s="10">
        <f t="shared" ref="Q16:Q79" si="9">P16*$P$7</f>
        <v>62400</v>
      </c>
      <c r="R16" s="10">
        <f>IF(O16=0,0,ROUNDUP(O16/$F$8*$G$8,0))</f>
        <v>1</v>
      </c>
      <c r="S16" s="10">
        <f>IF(AND(T16=0,O16&lt;&gt;0),1,R16/(R16+$G$9))</f>
        <v>0.5</v>
      </c>
      <c r="T16" s="10">
        <f>$F$9</f>
        <v>1</v>
      </c>
      <c r="U16" s="10">
        <f>IF(T16=0,0,ROUNDUP(T16,0)*$E$9)</f>
        <v>192000</v>
      </c>
      <c r="V16" s="10">
        <f t="shared" ref="V16:V79" si="10">U16*$P$7</f>
        <v>76800</v>
      </c>
      <c r="W16" s="10">
        <f>IF(T16=0,0,1-S16)</f>
        <v>0.5</v>
      </c>
      <c r="Y16" s="10">
        <f>$F$11</f>
        <v>1000</v>
      </c>
      <c r="Z16" s="11">
        <f>IF(Y16=0,0,Y16*$E$11)</f>
        <v>180000</v>
      </c>
      <c r="AA16" s="10">
        <f t="shared" ref="AA16:AA79" si="11">Z16*$P$7</f>
        <v>72000</v>
      </c>
      <c r="AB16" s="10">
        <f>IF(Y16=0,0,ROUNDUP(Y16/$F$11*$G$11,0))</f>
        <v>1</v>
      </c>
      <c r="AC16" s="10">
        <f>IF(AND(AD16=0,Y16&lt;&gt;0),1,AB16/(AB16+$G$12))</f>
        <v>0.5</v>
      </c>
      <c r="AD16" s="10">
        <f>$F$12</f>
        <v>1</v>
      </c>
      <c r="AE16" s="10">
        <f>IF(AD16=0,0,ROUNDUP(AD16,0)*$E$12)</f>
        <v>192000</v>
      </c>
      <c r="AF16" s="10">
        <f t="shared" ref="AF16:AF79" si="12">AE16*$P$7</f>
        <v>76800</v>
      </c>
      <c r="AG16" s="10">
        <f>IF(AD16=0,0,1-AC16)</f>
        <v>0.5</v>
      </c>
      <c r="AI16" s="13"/>
      <c r="AK16" s="10">
        <f>$L$5</f>
        <v>1000</v>
      </c>
      <c r="AL16" s="10">
        <f>IF(AK16=0,0,AK16*$K$5)</f>
        <v>324000</v>
      </c>
      <c r="AM16" s="10">
        <f t="shared" ref="AM16:AM79" si="13">AL16*$P$7</f>
        <v>129600</v>
      </c>
      <c r="AN16" s="10">
        <f>IF(AK16=0,0,ROUNDUP(AK16/$L$5*$M$5,0))</f>
        <v>1</v>
      </c>
      <c r="AO16" s="10">
        <f>IF(AND(AP16=0,AK16&lt;&gt;0),1,AN16/(AN16+$M$6))</f>
        <v>0.5</v>
      </c>
      <c r="AP16" s="10">
        <f>$L$6</f>
        <v>1</v>
      </c>
      <c r="AQ16" s="10">
        <f>IF(AP16=0,0,ROUNDUP(AP16,0)*$K$6)</f>
        <v>192000</v>
      </c>
      <c r="AR16" s="10">
        <f t="shared" ref="AR16:AR79" si="14">AQ16*$P$7</f>
        <v>76800</v>
      </c>
      <c r="AS16" s="10">
        <f>IF(AP16=0,0,1-AO16)</f>
        <v>0.5</v>
      </c>
      <c r="AU16" s="10">
        <f>$L$8</f>
        <v>1000</v>
      </c>
      <c r="AV16" s="10">
        <f>IF(AU16=0,0,AU16*$K$8)</f>
        <v>180000</v>
      </c>
      <c r="AW16" s="10">
        <f t="shared" ref="AW16:AW79" si="15">AV16*$P$7</f>
        <v>72000</v>
      </c>
      <c r="AX16" s="10">
        <f>IF(AU16=0,0,ROUNDUP(AU16/$L$8*$M$8,0))</f>
        <v>1</v>
      </c>
      <c r="AY16" s="10">
        <f>IF(AND(AZ16=0,AU16&lt;&gt;0),1,AX16/(AX16+$M$9))</f>
        <v>0.5</v>
      </c>
      <c r="AZ16" s="10">
        <f>$L$9</f>
        <v>1</v>
      </c>
      <c r="BA16" s="10">
        <f>IF(AZ16=0,0,ROUNDUP(AZ16,0)*$K$9)</f>
        <v>192000</v>
      </c>
      <c r="BB16" s="10">
        <f t="shared" ref="BB16:BB79" si="16">BA16*$P$7</f>
        <v>76800</v>
      </c>
      <c r="BC16" s="10">
        <f>IF(AZ16=0,0,1-AY16)</f>
        <v>0.5</v>
      </c>
      <c r="BE16" s="10">
        <f>$L$11</f>
        <v>1000</v>
      </c>
      <c r="BF16" s="10">
        <f>IF(BE16=0,0,BE16*$K$11)</f>
        <v>180000</v>
      </c>
      <c r="BG16" s="10">
        <f t="shared" ref="BG16:BG79" si="17">BF16*$P$7</f>
        <v>72000</v>
      </c>
      <c r="BH16" s="10">
        <f>IF(BE16=0,0,ROUNDUP(BE16/$L$11*$M$11,0))</f>
        <v>1</v>
      </c>
      <c r="BI16" s="10">
        <f>IF(AND(BJ16=0,BE16&lt;&gt;0),1,BH16/(BH16+$M$12))</f>
        <v>0.5</v>
      </c>
      <c r="BJ16" s="10">
        <f>$L$12</f>
        <v>1</v>
      </c>
      <c r="BK16" s="10">
        <f>IF(BJ16=0,0,ROUNDUP(BJ16,0)*$K$12)</f>
        <v>192000</v>
      </c>
      <c r="BL16" s="10">
        <f t="shared" ref="BL16:BL79" si="18">BK16*$P$7</f>
        <v>76800</v>
      </c>
      <c r="BM16" s="10">
        <f>IF(BJ16=0,0,1-BI16)</f>
        <v>0.5</v>
      </c>
      <c r="BP16" s="10">
        <f>IF(BZ16&gt;0,BS$15,IF(CA16&gt;0,BT$15,BU$15))</f>
        <v>2</v>
      </c>
      <c r="BQ16" s="10">
        <f>IF(BZ16&gt;0,BS$15,IF(CA16&gt;0,BT$15,BU$15))</f>
        <v>2</v>
      </c>
      <c r="BR16" s="10">
        <f>IF(BZ16&gt;0,BS$15,IF(CA16&gt;0,BT$15,BU$15))</f>
        <v>2</v>
      </c>
      <c r="BS16" s="10">
        <f>IF(BY16&gt;0,BR$15,IF(BX16&gt;0,BQ$15,BP$15))</f>
        <v>1</v>
      </c>
      <c r="BT16" s="10">
        <f>IF(BY16&gt;0,BR$15,IF(BX16&gt;0,BQ$15,BP$15))</f>
        <v>1</v>
      </c>
      <c r="BU16" s="10">
        <f>IF(BY16&gt;0,BR$15,IF(BX16&gt;0,BQ$15,BP$15))</f>
        <v>1</v>
      </c>
      <c r="BW16" s="10">
        <f>Y16+AD16*1000</f>
        <v>2000</v>
      </c>
      <c r="BX16" s="10">
        <f>O16+T16*1000</f>
        <v>2000</v>
      </c>
      <c r="BY16" s="10">
        <f>E16+J16*1000</f>
        <v>2000</v>
      </c>
      <c r="BZ16" s="10">
        <f>AK16+AP16*1000</f>
        <v>2000</v>
      </c>
      <c r="CA16" s="10">
        <f>AU16+AZ16*1000</f>
        <v>2000</v>
      </c>
      <c r="CB16" s="10">
        <f>BE16+BJ16*1000</f>
        <v>2000</v>
      </c>
      <c r="CD16" s="10">
        <f>MATCH(INDEX($BP$12:$BU$12,1,MATCH(BP16,$BP$15:$BU$15,0)),结果汇总!$AI$10:$AI$13,0)</f>
        <v>1</v>
      </c>
      <c r="CE16" s="10">
        <f>MATCH(INDEX($BP$12:$BU$12,1,MATCH(BQ16,$BP$15:$BU$15,0)),结果汇总!$AI$10:$AI$13,0)</f>
        <v>1</v>
      </c>
      <c r="CF16" s="10">
        <f>MATCH(INDEX($BP$12:$BU$12,1,MATCH(BR16,$BP$15:$BU$15,0)),结果汇总!$AI$10:$AI$13,0)</f>
        <v>1</v>
      </c>
      <c r="CG16" s="10">
        <f>MATCH(INDEX($BP$12:$BU$12,1,MATCH(BS16,$BP$15:$BU$15,0)),结果汇总!$AI$10:$AI$13,0)</f>
        <v>1</v>
      </c>
      <c r="CH16" s="10">
        <f>MATCH(INDEX($BP$12:$BU$12,1,MATCH(BT16,$BP$15:$BU$15,0)),结果汇总!$AI$10:$AI$13,0)</f>
        <v>1</v>
      </c>
      <c r="CI16" s="10">
        <f>MATCH(INDEX($BP$12:$BU$12,1,MATCH(BU16,$BP$15:$BU$15,0)),结果汇总!$AI$10:$AI$13,0)</f>
        <v>1</v>
      </c>
      <c r="CK16" s="10">
        <f>COUNTIFS($CD16:$CI16,CK$15,$CD$15:$CI$15,$CK$14)/COUNTIFS($CD$15:$CI$15,$CK$14)</f>
        <v>1</v>
      </c>
      <c r="CL16" s="10">
        <f t="shared" ref="CL16:CN31" si="19">COUNTIFS($CD16:$CI16,CL$15,$CD$15:$CI$15,$CK$14)/COUNTIFS($CD$15:$CI$15,$CK$14)</f>
        <v>0</v>
      </c>
      <c r="CM16" s="10">
        <f t="shared" si="19"/>
        <v>0</v>
      </c>
      <c r="CN16" s="10">
        <f t="shared" si="19"/>
        <v>0</v>
      </c>
      <c r="CO16" s="10" t="e">
        <f>COUNTIFS($CD16:$CI16,CO$15,$CD$15:$CI$15,$CO$14)/COUNTIFS($CD$15:$CI$15,$CO$14)</f>
        <v>#DIV/0!</v>
      </c>
      <c r="CP16" s="10" t="e">
        <f t="shared" ref="CP16:CR31" si="20">COUNTIFS($CD16:$CI16,CP$15,$CD$15:$CI$15,$CO$14)/COUNTIFS($CD$15:$CI$15,$CO$14)</f>
        <v>#DIV/0!</v>
      </c>
      <c r="CQ16" s="10" t="e">
        <f t="shared" si="20"/>
        <v>#DIV/0!</v>
      </c>
      <c r="CR16" s="10" t="e">
        <f t="shared" si="20"/>
        <v>#DIV/0!</v>
      </c>
      <c r="CS16" s="10">
        <f>COUNTIFS($CD16:$CI16,CS$15,$CD$15:$CI$15,$CS$14)/COUNTIFS($CD$15:$CI$15,$CS$14)</f>
        <v>1</v>
      </c>
      <c r="CT16" s="10">
        <f t="shared" ref="CT16:CV31" si="21">COUNTIFS($CD16:$CI16,CT$15,$CD$15:$CI$15,$CS$14)/COUNTIFS($CD$15:$CI$15,$CS$14)</f>
        <v>0</v>
      </c>
      <c r="CU16" s="10">
        <f t="shared" si="21"/>
        <v>0</v>
      </c>
      <c r="CV16" s="10">
        <f t="shared" si="21"/>
        <v>0</v>
      </c>
      <c r="CW16" s="10">
        <f>COUNTIFS($CD16:$CI16,CW$15,$CD$15:$CI$15,$CW$14)/COUNTIFS($CD$15:$CI$15,$CW$14)</f>
        <v>1</v>
      </c>
      <c r="CX16" s="10">
        <f t="shared" ref="CX16:CZ31" si="22">COUNTIFS($CD16:$CI16,CX$15,$CD$15:$CI$15,$CW$14)/COUNTIFS($CD$15:$CI$15,$CW$14)</f>
        <v>0</v>
      </c>
      <c r="CY16" s="10">
        <f t="shared" si="22"/>
        <v>0</v>
      </c>
      <c r="CZ16" s="10">
        <f t="shared" si="22"/>
        <v>0</v>
      </c>
    </row>
    <row r="17" spans="4:104" x14ac:dyDescent="0.15">
      <c r="D17" s="10">
        <v>2</v>
      </c>
      <c r="E17" s="10" t="e">
        <f t="shared" ref="E17:E48" si="23">IF(E16-((AL16+AM16+AQ16+AR16)*IF(BS16=1,1,0)+(AV16+AW16+BA16+BB16)*IF(BT16=1,1,0)+(BF16+BG16+BK16+BL16)*IF(BU16=1,1,0))*IF(J16=0,1,I16)/$D$5&lt;$E$16*$P$8,0,
E16-((AL16+AM16+AQ16+AR16)*IF(BS16=1,1,0)+(AV16+AW16+BA16+BB16)*IF(BT16=1,1,0)+(BF16+BG16+BK16+BL16)*IF(BU16=1,1,0))*IF(J16=0,1,I16)/$D$5)</f>
        <v>#VALUE!</v>
      </c>
      <c r="F17" s="10" t="e">
        <f t="shared" si="3"/>
        <v>#VALUE!</v>
      </c>
      <c r="G17" s="10" t="e">
        <f t="shared" si="4"/>
        <v>#VALUE!</v>
      </c>
      <c r="H17" s="10" t="e">
        <f t="shared" ref="H17:H80" si="24">IF(E17=0,0,ROUNDUP(E17/$F$5*$G$5,0))</f>
        <v>#VALUE!</v>
      </c>
      <c r="I17" s="10" t="e">
        <f t="shared" si="5"/>
        <v>#VALUE!</v>
      </c>
      <c r="J17" s="10">
        <f t="shared" ref="J17:J48" si="25">MAX(J16-((AL16+AM16+AQ16+AR16)*IF(BS16=1,1,0)+(AV16+AW16+BA16+BB16)*IF(BT16=1,1,0)+(BF16+BG16+BK16+BL16)*IF(BU16=1,1,0))*IF(E16=0,1,M16)/$D$6,0)</f>
        <v>0</v>
      </c>
      <c r="K17" s="10">
        <f t="shared" si="6"/>
        <v>0</v>
      </c>
      <c r="L17" s="10">
        <f t="shared" si="7"/>
        <v>0</v>
      </c>
      <c r="M17" s="10">
        <f t="shared" ref="M17:M80" si="26">IF(J17=0,0,1-I17)</f>
        <v>0</v>
      </c>
      <c r="O17" s="10" t="e">
        <f t="shared" ref="O17:O48" si="27">IF(O16-((AL16+AM16+AQ16+AR16)*IF(BS16=3,1,0)+(AV16+AW16+BA16+BB16)*IF(BT16=3,1,0)+(BF16+BG16+BK16+BL16)*IF(BU16=3,1,0))*IF(T16=0,1,S16)/$D$8&lt;$O$16*$P$8,0,
O16-((AL16+AM16+AQ16+AR16)*IF(BS16=3,1,0)+(AV16+AW16+BA16+BB16)*IF(BT16=3,1,0)+(BF16+BG16+BK16+BL16)*IF(BU16=3,1,0))*IF(T16=0,1,S16)/$D$8)</f>
        <v>#VALUE!</v>
      </c>
      <c r="P17" s="10" t="e">
        <f t="shared" si="8"/>
        <v>#VALUE!</v>
      </c>
      <c r="Q17" s="10" t="e">
        <f t="shared" si="9"/>
        <v>#VALUE!</v>
      </c>
      <c r="R17" s="10" t="e">
        <f t="shared" ref="R17:R80" si="28">IF(O17=0,0,ROUNDUP(O17/$F$8*$G$8,0))</f>
        <v>#VALUE!</v>
      </c>
      <c r="S17" s="10" t="e">
        <f t="shared" ref="S17:S80" si="29">IF(AND(T17=0,O17&lt;&gt;0),1,R17/(R17+$G$9))</f>
        <v>#VALUE!</v>
      </c>
      <c r="T17" s="10">
        <f>MAX(T16-((AL16+AM16+AQ16+AR16)*IF(BS16=3,1,0)+(AV16+AW16+BA16+BB16)*IF(BT16=3,1,0)+(BF16+BG16+BK16+BL16)*IF(BU16=3,1,0))*IF(O16=0,1,W16)/$D$9,0)</f>
        <v>1</v>
      </c>
      <c r="U17" s="10">
        <f>IF(T17=0,0,ROUNDUP(T17,0)*$E$9)</f>
        <v>192000</v>
      </c>
      <c r="V17" s="10">
        <f t="shared" si="10"/>
        <v>76800</v>
      </c>
      <c r="W17" s="10" t="e">
        <f t="shared" ref="W17:W80" si="30">IF(T17=0,0,1-S17)</f>
        <v>#VALUE!</v>
      </c>
      <c r="Y17" s="10" t="e">
        <f t="shared" ref="Y17:Y48" si="31">IF(Y16-((AL16+AM16+AQ16+AR16)*IF(BS16=5,1,0)+(AV16+AW16+BA16+BB16)*IF(BT16=5,1,0)+(BF16+BG16+BK16+BL16)*IF(BU16=5,1,0))*IF(AD16=0,1,AC16)/$D$11&lt;$Y$16*$P$8,0,
Y16-((AL16+AM16+AQ16+AR16)*IF(BS16=5,1,0)+(AV16+AW16+BA16+BB16)*IF(BT16=5,1,0)+(BF16+BG16+BK16+BL16)*IF(BU16=5,1,0))*IF(AD16=0,1,AC16)/$D$11)</f>
        <v>#VALUE!</v>
      </c>
      <c r="Z17" s="11" t="e">
        <f t="shared" ref="Z17:Z80" si="32">IF(Y17=0,0,Y17*$E$11)</f>
        <v>#VALUE!</v>
      </c>
      <c r="AA17" s="10" t="e">
        <f t="shared" si="11"/>
        <v>#VALUE!</v>
      </c>
      <c r="AB17" s="10" t="e">
        <f t="shared" ref="AB17:AB80" si="33">IF(Y17=0,0,ROUNDUP(Y17/$F$11*$G$11,0))</f>
        <v>#VALUE!</v>
      </c>
      <c r="AC17" s="10" t="e">
        <f t="shared" ref="AC17:AC80" si="34">IF(AND(AD17=0,Y17&lt;&gt;0),1,AB17/(AB17+$G$12))</f>
        <v>#VALUE!</v>
      </c>
      <c r="AD17" s="10">
        <f>MAX(AD16-((AL16+AM16+AQ16+AR16)*IF(BS16=5,1,0)+(AV16+AW16+BA16+BB16)*IF(BT16=5,1,0)+(BF16+BG16+BK16+BL16)*IF(BU16=5,1,0))*IF(Y16=0,1,AG16)/$D$12,0)</f>
        <v>1</v>
      </c>
      <c r="AE17" s="10">
        <f>IF(AD17=0,0,ROUNDUP(AD17,0)*$E$12)</f>
        <v>192000</v>
      </c>
      <c r="AF17" s="10">
        <f t="shared" si="12"/>
        <v>76800</v>
      </c>
      <c r="AG17" s="10" t="e">
        <f t="shared" ref="AG17:AG80" si="35">IF(AD17=0,0,1-AC17)</f>
        <v>#VALUE!</v>
      </c>
      <c r="AI17" s="13"/>
      <c r="AK17" s="10" t="e">
        <f t="shared" ref="AK17:AK48" si="36">IF(AK16-((F16+G16+K16+L16)*IF(BR16=2,1,0)+(P16+Q16+U16+V16)*IF(BQ16=2,1,0)+(Z16+AA16+AE16+AF16)*IF(BP16=2,1,0))*IF(AP16=0,1,AO16)/$J$5&lt;$AK$16*$P$8,0,
AK16-((F16+G16+K16+L16)*IF(BR16=2,1,0)+(P16+Q16+U16+V16)*IF(BQ16=2,1,0)+(Z16+AA16+AE16+AF16)*IF(BP16=2,1,0))*IF(AP16=0,1,AO16)/$J$5)</f>
        <v>#VALUE!</v>
      </c>
      <c r="AL17" s="10" t="e">
        <f>IF(AK17=0,0,AK17*$K$5)</f>
        <v>#VALUE!</v>
      </c>
      <c r="AM17" s="10" t="e">
        <f t="shared" si="13"/>
        <v>#VALUE!</v>
      </c>
      <c r="AN17" s="10" t="e">
        <f t="shared" ref="AN17:AN80" si="37">IF(AK17=0,0,ROUNDUP(AK17/$L$5*$M$5,0))</f>
        <v>#VALUE!</v>
      </c>
      <c r="AO17" s="10" t="e">
        <f t="shared" ref="AO17:AO80" si="38">IF(AND(AP17=0,AK17&lt;&gt;0),1,AN17/(AN17+$M$6))</f>
        <v>#VALUE!</v>
      </c>
      <c r="AP17" s="10">
        <f t="shared" ref="AP17:AP48" si="39">MAX(AP16-((F16+G16+K16+L16)*IF(BR16=2,1,0)+(P16+Q16+U16+V16)*IF(BQ16=2,1,0)+(Z16+AA16+AE16+AF16)*IF(BP16=2,1,0))*IF(AK16=0,1,AS16)/$J$6,0)</f>
        <v>0</v>
      </c>
      <c r="AQ17" s="10">
        <f>IF(AP17=0,0,ROUNDUP(AP17,0)*$K$6)</f>
        <v>0</v>
      </c>
      <c r="AR17" s="10">
        <f t="shared" si="14"/>
        <v>0</v>
      </c>
      <c r="AS17" s="10">
        <f>IF(AP17=0,0,1-AO17)</f>
        <v>0</v>
      </c>
      <c r="AU17" s="10" t="e">
        <f t="shared" ref="AU17:AU48" si="40">IF(AU16-((F16+G16+K16+L16)*IF(BR16=4,1,0)+(P16+Q16+U16+V16)*IF(BQ16=4,1,0)+(Z16+AA16+AE16+AF16)*IF(BP16=4,1,0))*IF(AZ16=0,1,AY16)/$J$8&lt;$AU$16*$P$8,0,
AU16-((F16+G16+K16+L16)*IF(BR16=4,1,0)+(P16+Q16+U16+V16)*IF(BQ16=4,1,0)+(Z16+AA16+AE16+AF16)*IF(BP16=4,1,0))*IF(AZ16=0,1,AY16)/$J$8)</f>
        <v>#VALUE!</v>
      </c>
      <c r="AV17" s="10" t="e">
        <f>IF(AU17=0,0,AU17*$K$8)</f>
        <v>#VALUE!</v>
      </c>
      <c r="AW17" s="10" t="e">
        <f t="shared" si="15"/>
        <v>#VALUE!</v>
      </c>
      <c r="AX17" s="10" t="e">
        <f t="shared" ref="AX17:AX80" si="41">IF(AU17=0,0,ROUNDUP(AU17/$L$8*$M$8,0))</f>
        <v>#VALUE!</v>
      </c>
      <c r="AY17" s="10" t="e">
        <f t="shared" ref="AY17:AY80" si="42">IF(AND(AZ17=0,AU17&lt;&gt;0),1,AX17/(AX17+$M$9))</f>
        <v>#VALUE!</v>
      </c>
      <c r="AZ17" s="10">
        <f t="shared" ref="AZ17:AZ48" si="43">MAX(AZ16-((F16+G16+K16+L16)*IF(BR16=4,1,0)+(P16+Q16+U16+V16)*IF(BQ16=4,1,0)+(Z16+AA16+AE16+AF16)*IF(BP16=4,1,0))*IF(AU16=0,1,BC16)/$J$9,0)</f>
        <v>1</v>
      </c>
      <c r="BA17" s="10">
        <f>IF(AZ17=0,0,ROUNDUP(AZ17,0)*$K$9)</f>
        <v>192000</v>
      </c>
      <c r="BB17" s="10">
        <f t="shared" si="16"/>
        <v>76800</v>
      </c>
      <c r="BC17" s="10" t="e">
        <f>IF(AZ17=0,0,1-AY17)</f>
        <v>#VALUE!</v>
      </c>
      <c r="BE17" s="10" t="e">
        <f t="shared" ref="BE17:BE48" si="44">IF(BE16-((F16+G16+K16+L16)*IF(BR16=6,1,0)+(P16+Q16+U16+V16)*IF(BQ16=6,1,0)+(Z16+AA16+AE16+AF16)*IF(BP16=6,1,0))*IF(BJ16=0,1,BI16)/$J$11&lt;$BE$16*$P$8,0,
BE16-((F16+G16+K16+L16)*IF(BR16=6,1,0)+(P16+Q16+U16+V16)*IF(BQ16=6,1,0)+(Z16+AA16+AE16+AF16)*IF(BP16=6,1,0))*IF(BJ16=0,1,BI16)/$J$11)</f>
        <v>#VALUE!</v>
      </c>
      <c r="BF17" s="10" t="e">
        <f>IF(BE17=0,0,BE17*$K$11)</f>
        <v>#VALUE!</v>
      </c>
      <c r="BG17" s="10" t="e">
        <f t="shared" si="17"/>
        <v>#VALUE!</v>
      </c>
      <c r="BH17" s="10" t="e">
        <f t="shared" ref="BH17:BH80" si="45">IF(BE17=0,0,ROUNDUP(BE17/$L$11*$M$11,0))</f>
        <v>#VALUE!</v>
      </c>
      <c r="BI17" s="10" t="e">
        <f t="shared" ref="BI17:BI80" si="46">IF(AND(BJ17=0,BE17&lt;&gt;0),1,BH17/(BH17+$M$12))</f>
        <v>#VALUE!</v>
      </c>
      <c r="BJ17" s="10">
        <f t="shared" ref="BJ17:BJ48" si="47">MAX(BJ16-((F16+G16+K16+L16)*IF(BR16=6,1,0)+(P16+Q16+U16+V16)*IF(BQ16=6,1,0)+(Z16+AA16+AE16+AF16)*IF(BP16=6,1,0))*IF(BE16=0,1,BM16)/$J$12,0)</f>
        <v>1</v>
      </c>
      <c r="BK17" s="10">
        <f>IF(BJ17=0,0,ROUNDUP(BJ17,0)*$K$12)</f>
        <v>192000</v>
      </c>
      <c r="BL17" s="10">
        <f t="shared" si="18"/>
        <v>76800</v>
      </c>
      <c r="BM17" s="10" t="e">
        <f>IF(BJ17=0,0,1-BI17)</f>
        <v>#VALUE!</v>
      </c>
      <c r="BP17" s="10" t="e">
        <f t="shared" ref="BP17:BP39" si="48">IF(BZ17&gt;0,BS$15,IF(CA17&gt;0,BT$15,BU$15))</f>
        <v>#VALUE!</v>
      </c>
      <c r="BQ17" s="10" t="e">
        <f t="shared" ref="BQ17:BQ39" si="49">IF(BZ17&gt;0,BS$15,IF(CA17&gt;0,BT$15,BU$15))</f>
        <v>#VALUE!</v>
      </c>
      <c r="BR17" s="10" t="e">
        <f t="shared" ref="BR17:BR39" si="50">IF(BZ17&gt;0,BS$15,IF(CA17&gt;0,BT$15,BU$15))</f>
        <v>#VALUE!</v>
      </c>
      <c r="BS17" s="10" t="e">
        <f t="shared" ref="BS17:BS39" si="51">IF(BY17&gt;0,BR$15,IF(BX17&gt;0,BQ$15,BP$15))</f>
        <v>#VALUE!</v>
      </c>
      <c r="BT17" s="10" t="e">
        <f t="shared" ref="BT17:BT39" si="52">IF(BY17&gt;0,BR$15,IF(BX17&gt;0,BQ$15,BP$15))</f>
        <v>#VALUE!</v>
      </c>
      <c r="BU17" s="10" t="e">
        <f t="shared" ref="BU17:BU39" si="53">IF(BY17&gt;0,BR$15,IF(BX17&gt;0,BQ$15,BP$15))</f>
        <v>#VALUE!</v>
      </c>
      <c r="BW17" s="10" t="e">
        <f t="shared" ref="BW17:BW80" si="54">Y17+AD17*1000</f>
        <v>#VALUE!</v>
      </c>
      <c r="BX17" s="10" t="e">
        <f t="shared" ref="BX17:BX80" si="55">O17+T17*1000</f>
        <v>#VALUE!</v>
      </c>
      <c r="BY17" s="10" t="e">
        <f t="shared" ref="BY17:BY80" si="56">E17+J17*1000</f>
        <v>#VALUE!</v>
      </c>
      <c r="BZ17" s="10" t="e">
        <f t="shared" ref="BZ17:BZ80" si="57">AK17+AP17*1000</f>
        <v>#VALUE!</v>
      </c>
      <c r="CA17" s="10" t="e">
        <f t="shared" ref="CA17:CA80" si="58">AU17+AZ17*1000</f>
        <v>#VALUE!</v>
      </c>
      <c r="CB17" s="10" t="e">
        <f t="shared" ref="CB17:CB80" si="59">BE17+BJ17*1000</f>
        <v>#VALUE!</v>
      </c>
      <c r="CD17" s="10" t="e">
        <f>MATCH(INDEX($BP$12:$BU$12,1,MATCH(BP17,$BP$15:$BU$15,0)),结果汇总!$AI$10:$AI$13,0)</f>
        <v>#VALUE!</v>
      </c>
      <c r="CE17" s="10" t="e">
        <f>MATCH(INDEX($BP$12:$BU$12,1,MATCH(BQ17,$BP$15:$BU$15,0)),结果汇总!$AI$10:$AI$13,0)</f>
        <v>#VALUE!</v>
      </c>
      <c r="CF17" s="10" t="e">
        <f>MATCH(INDEX($BP$12:$BU$12,1,MATCH(BR17,$BP$15:$BU$15,0)),结果汇总!$AI$10:$AI$13,0)</f>
        <v>#VALUE!</v>
      </c>
      <c r="CG17" s="10" t="e">
        <f>MATCH(INDEX($BP$12:$BU$12,1,MATCH(BS17,$BP$15:$BU$15,0)),结果汇总!$AI$10:$AI$13,0)</f>
        <v>#VALUE!</v>
      </c>
      <c r="CH17" s="10" t="e">
        <f>MATCH(INDEX($BP$12:$BU$12,1,MATCH(BT17,$BP$15:$BU$15,0)),结果汇总!$AI$10:$AI$13,0)</f>
        <v>#VALUE!</v>
      </c>
      <c r="CI17" s="10" t="e">
        <f>MATCH(INDEX($BP$12:$BU$12,1,MATCH(BU17,$BP$15:$BU$15,0)),结果汇总!$AI$10:$AI$13,0)</f>
        <v>#VALUE!</v>
      </c>
      <c r="CK17" s="10">
        <f t="shared" ref="CK17:CN48" si="60">COUNTIFS($CD17:$CI17,CK$15,$CD$15:$CI$15,$CK$14)/COUNTIFS($CD$15:$CI$15,$CK$14)</f>
        <v>0</v>
      </c>
      <c r="CL17" s="10">
        <f t="shared" si="19"/>
        <v>0</v>
      </c>
      <c r="CM17" s="10">
        <f t="shared" si="19"/>
        <v>0</v>
      </c>
      <c r="CN17" s="10">
        <f t="shared" si="19"/>
        <v>0</v>
      </c>
      <c r="CO17" s="10" t="e">
        <f t="shared" ref="CO17:CR48" si="61">COUNTIFS($CD17:$CI17,CO$15,$CD$15:$CI$15,$CO$14)/COUNTIFS($CD$15:$CI$15,$CO$14)</f>
        <v>#DIV/0!</v>
      </c>
      <c r="CP17" s="10" t="e">
        <f t="shared" si="20"/>
        <v>#DIV/0!</v>
      </c>
      <c r="CQ17" s="10" t="e">
        <f t="shared" si="20"/>
        <v>#DIV/0!</v>
      </c>
      <c r="CR17" s="10" t="e">
        <f t="shared" si="20"/>
        <v>#DIV/0!</v>
      </c>
      <c r="CS17" s="10">
        <f t="shared" ref="CS17:CV48" si="62">COUNTIFS($CD17:$CI17,CS$15,$CD$15:$CI$15,$CS$14)/COUNTIFS($CD$15:$CI$15,$CS$14)</f>
        <v>0</v>
      </c>
      <c r="CT17" s="10">
        <f t="shared" si="21"/>
        <v>0</v>
      </c>
      <c r="CU17" s="10">
        <f t="shared" si="21"/>
        <v>0</v>
      </c>
      <c r="CV17" s="10">
        <f t="shared" si="21"/>
        <v>0</v>
      </c>
      <c r="CW17" s="10">
        <f t="shared" ref="CW17:CZ48" si="63">COUNTIFS($CD17:$CI17,CW$15,$CD$15:$CI$15,$CW$14)/COUNTIFS($CD$15:$CI$15,$CW$14)</f>
        <v>0</v>
      </c>
      <c r="CX17" s="10">
        <f t="shared" si="22"/>
        <v>0</v>
      </c>
      <c r="CY17" s="10">
        <f t="shared" si="22"/>
        <v>0</v>
      </c>
      <c r="CZ17" s="10">
        <f t="shared" si="22"/>
        <v>0</v>
      </c>
    </row>
    <row r="18" spans="4:104" x14ac:dyDescent="0.15">
      <c r="D18" s="10">
        <v>3</v>
      </c>
      <c r="E18" s="10" t="e">
        <f t="shared" si="23"/>
        <v>#VALUE!</v>
      </c>
      <c r="F18" s="10" t="e">
        <f t="shared" si="3"/>
        <v>#VALUE!</v>
      </c>
      <c r="G18" s="10" t="e">
        <f t="shared" si="4"/>
        <v>#VALUE!</v>
      </c>
      <c r="H18" s="10" t="e">
        <f t="shared" si="24"/>
        <v>#VALUE!</v>
      </c>
      <c r="I18" s="10" t="e">
        <f t="shared" si="5"/>
        <v>#VALUE!</v>
      </c>
      <c r="J18" s="10" t="e">
        <f t="shared" si="25"/>
        <v>#VALUE!</v>
      </c>
      <c r="K18" s="10" t="e">
        <f t="shared" si="6"/>
        <v>#VALUE!</v>
      </c>
      <c r="L18" s="10" t="e">
        <f t="shared" si="7"/>
        <v>#VALUE!</v>
      </c>
      <c r="M18" s="10" t="e">
        <f t="shared" si="26"/>
        <v>#VALUE!</v>
      </c>
      <c r="O18" s="10" t="e">
        <f t="shared" si="27"/>
        <v>#VALUE!</v>
      </c>
      <c r="P18" s="10" t="e">
        <f t="shared" si="8"/>
        <v>#VALUE!</v>
      </c>
      <c r="Q18" s="10" t="e">
        <f t="shared" si="9"/>
        <v>#VALUE!</v>
      </c>
      <c r="R18" s="10" t="e">
        <f t="shared" si="28"/>
        <v>#VALUE!</v>
      </c>
      <c r="S18" s="10" t="e">
        <f t="shared" si="29"/>
        <v>#VALUE!</v>
      </c>
      <c r="T18" s="10" t="e">
        <f t="shared" ref="T18:T81" si="64">MAX(T17-((AL17+AM17+AQ17+AR17)*IF(BS17=3,1,0)+(AV17+AW17+BA17+BB17)*IF(BT17=3,1,0)+(BF17+BG17+BK17+BL17)*IF(BU17=3,1,0))*IF(O17=0,1,W17)/$D$9,0)</f>
        <v>#VALUE!</v>
      </c>
      <c r="U18" s="10" t="e">
        <f t="shared" ref="U18:U81" si="65">IF(T18=0,0,ROUNDUP(T18,0)*$E$9)</f>
        <v>#VALUE!</v>
      </c>
      <c r="V18" s="10" t="e">
        <f t="shared" si="10"/>
        <v>#VALUE!</v>
      </c>
      <c r="W18" s="10" t="e">
        <f t="shared" si="30"/>
        <v>#VALUE!</v>
      </c>
      <c r="Y18" s="10" t="e">
        <f t="shared" si="31"/>
        <v>#VALUE!</v>
      </c>
      <c r="Z18" s="11" t="e">
        <f t="shared" si="32"/>
        <v>#VALUE!</v>
      </c>
      <c r="AA18" s="10" t="e">
        <f t="shared" si="11"/>
        <v>#VALUE!</v>
      </c>
      <c r="AB18" s="10" t="e">
        <f t="shared" si="33"/>
        <v>#VALUE!</v>
      </c>
      <c r="AC18" s="10" t="e">
        <f t="shared" si="34"/>
        <v>#VALUE!</v>
      </c>
      <c r="AD18" s="10" t="e">
        <f t="shared" ref="AD18:AD81" si="66">MAX(AD17-((AL17+AM17+AQ17+AR17)*IF(BS17=5,1,0)+(AV17+AW17+BA17+BB17)*IF(BT17=5,1,0)+(BF17+BG17+BK17+BL17)*IF(BU17=5,1,0))*IF(Y17=0,1,AG17)/$D$12,0)</f>
        <v>#VALUE!</v>
      </c>
      <c r="AE18" s="10" t="e">
        <f t="shared" ref="AE18:AE81" si="67">IF(AD18=0,0,ROUNDUP(AD18,0)*$E$12)</f>
        <v>#VALUE!</v>
      </c>
      <c r="AF18" s="10" t="e">
        <f t="shared" si="12"/>
        <v>#VALUE!</v>
      </c>
      <c r="AG18" s="10" t="e">
        <f t="shared" si="35"/>
        <v>#VALUE!</v>
      </c>
      <c r="AI18" s="13"/>
      <c r="AK18" s="10" t="e">
        <f t="shared" si="36"/>
        <v>#VALUE!</v>
      </c>
      <c r="AL18" s="10" t="e">
        <f t="shared" ref="AL18:AL81" si="68">IF(AK18=0,0,AK18*$K$5)</f>
        <v>#VALUE!</v>
      </c>
      <c r="AM18" s="10" t="e">
        <f t="shared" si="13"/>
        <v>#VALUE!</v>
      </c>
      <c r="AN18" s="10" t="e">
        <f t="shared" si="37"/>
        <v>#VALUE!</v>
      </c>
      <c r="AO18" s="10" t="e">
        <f t="shared" si="38"/>
        <v>#VALUE!</v>
      </c>
      <c r="AP18" s="10" t="e">
        <f t="shared" si="39"/>
        <v>#VALUE!</v>
      </c>
      <c r="AQ18" s="10" t="e">
        <f t="shared" ref="AQ18:AQ81" si="69">IF(AP18=0,0,ROUNDUP(AP18,0)*$K$6)</f>
        <v>#VALUE!</v>
      </c>
      <c r="AR18" s="10" t="e">
        <f t="shared" si="14"/>
        <v>#VALUE!</v>
      </c>
      <c r="AS18" s="10" t="e">
        <f t="shared" ref="AS18:AS81" si="70">IF(AP18=0,0,1-AO18)</f>
        <v>#VALUE!</v>
      </c>
      <c r="AU18" s="10" t="e">
        <f t="shared" si="40"/>
        <v>#VALUE!</v>
      </c>
      <c r="AV18" s="10" t="e">
        <f t="shared" ref="AV18:AV81" si="71">IF(AU18=0,0,AU18*$K$8)</f>
        <v>#VALUE!</v>
      </c>
      <c r="AW18" s="10" t="e">
        <f t="shared" si="15"/>
        <v>#VALUE!</v>
      </c>
      <c r="AX18" s="10" t="e">
        <f t="shared" si="41"/>
        <v>#VALUE!</v>
      </c>
      <c r="AY18" s="10" t="e">
        <f t="shared" si="42"/>
        <v>#VALUE!</v>
      </c>
      <c r="AZ18" s="10" t="e">
        <f t="shared" si="43"/>
        <v>#VALUE!</v>
      </c>
      <c r="BA18" s="10" t="e">
        <f t="shared" ref="BA18:BA81" si="72">IF(AZ18=0,0,ROUNDUP(AZ18,0)*$K$9)</f>
        <v>#VALUE!</v>
      </c>
      <c r="BB18" s="10" t="e">
        <f t="shared" si="16"/>
        <v>#VALUE!</v>
      </c>
      <c r="BC18" s="10" t="e">
        <f t="shared" ref="BC18:BC81" si="73">IF(AZ18=0,0,1-AY18)</f>
        <v>#VALUE!</v>
      </c>
      <c r="BE18" s="10" t="e">
        <f t="shared" si="44"/>
        <v>#VALUE!</v>
      </c>
      <c r="BF18" s="10" t="e">
        <f t="shared" ref="BF18:BF81" si="74">IF(BE18=0,0,BE18*$K$11)</f>
        <v>#VALUE!</v>
      </c>
      <c r="BG18" s="10" t="e">
        <f t="shared" si="17"/>
        <v>#VALUE!</v>
      </c>
      <c r="BH18" s="10" t="e">
        <f t="shared" si="45"/>
        <v>#VALUE!</v>
      </c>
      <c r="BI18" s="10" t="e">
        <f t="shared" si="46"/>
        <v>#VALUE!</v>
      </c>
      <c r="BJ18" s="10" t="e">
        <f t="shared" si="47"/>
        <v>#VALUE!</v>
      </c>
      <c r="BK18" s="10" t="e">
        <f t="shared" ref="BK18:BK81" si="75">IF(BJ18=0,0,ROUNDUP(BJ18,0)*$K$12)</f>
        <v>#VALUE!</v>
      </c>
      <c r="BL18" s="10" t="e">
        <f t="shared" si="18"/>
        <v>#VALUE!</v>
      </c>
      <c r="BM18" s="10" t="e">
        <f t="shared" ref="BM18:BM81" si="76">IF(BJ18=0,0,1-BI18)</f>
        <v>#VALUE!</v>
      </c>
      <c r="BP18" s="10" t="e">
        <f t="shared" si="48"/>
        <v>#VALUE!</v>
      </c>
      <c r="BQ18" s="10" t="e">
        <f t="shared" si="49"/>
        <v>#VALUE!</v>
      </c>
      <c r="BR18" s="10" t="e">
        <f t="shared" si="50"/>
        <v>#VALUE!</v>
      </c>
      <c r="BS18" s="10" t="e">
        <f t="shared" si="51"/>
        <v>#VALUE!</v>
      </c>
      <c r="BT18" s="10" t="e">
        <f t="shared" si="52"/>
        <v>#VALUE!</v>
      </c>
      <c r="BU18" s="10" t="e">
        <f t="shared" si="53"/>
        <v>#VALUE!</v>
      </c>
      <c r="BW18" s="10" t="e">
        <f t="shared" si="54"/>
        <v>#VALUE!</v>
      </c>
      <c r="BX18" s="10" t="e">
        <f t="shared" si="55"/>
        <v>#VALUE!</v>
      </c>
      <c r="BY18" s="10" t="e">
        <f t="shared" si="56"/>
        <v>#VALUE!</v>
      </c>
      <c r="BZ18" s="10" t="e">
        <f t="shared" si="57"/>
        <v>#VALUE!</v>
      </c>
      <c r="CA18" s="10" t="e">
        <f t="shared" si="58"/>
        <v>#VALUE!</v>
      </c>
      <c r="CB18" s="10" t="e">
        <f t="shared" si="59"/>
        <v>#VALUE!</v>
      </c>
      <c r="CD18" s="10" t="e">
        <f>MATCH(INDEX($BP$12:$BU$12,1,MATCH(BP18,$BP$15:$BU$15,0)),结果汇总!$AI$10:$AI$13,0)</f>
        <v>#VALUE!</v>
      </c>
      <c r="CE18" s="10" t="e">
        <f>MATCH(INDEX($BP$12:$BU$12,1,MATCH(BQ18,$BP$15:$BU$15,0)),结果汇总!$AI$10:$AI$13,0)</f>
        <v>#VALUE!</v>
      </c>
      <c r="CF18" s="10" t="e">
        <f>MATCH(INDEX($BP$12:$BU$12,1,MATCH(BR18,$BP$15:$BU$15,0)),结果汇总!$AI$10:$AI$13,0)</f>
        <v>#VALUE!</v>
      </c>
      <c r="CG18" s="10" t="e">
        <f>MATCH(INDEX($BP$12:$BU$12,1,MATCH(BS18,$BP$15:$BU$15,0)),结果汇总!$AI$10:$AI$13,0)</f>
        <v>#VALUE!</v>
      </c>
      <c r="CH18" s="10" t="e">
        <f>MATCH(INDEX($BP$12:$BU$12,1,MATCH(BT18,$BP$15:$BU$15,0)),结果汇总!$AI$10:$AI$13,0)</f>
        <v>#VALUE!</v>
      </c>
      <c r="CI18" s="10" t="e">
        <f>MATCH(INDEX($BP$12:$BU$12,1,MATCH(BU18,$BP$15:$BU$15,0)),结果汇总!$AI$10:$AI$13,0)</f>
        <v>#VALUE!</v>
      </c>
      <c r="CK18" s="10">
        <f t="shared" si="60"/>
        <v>0</v>
      </c>
      <c r="CL18" s="10">
        <f t="shared" si="19"/>
        <v>0</v>
      </c>
      <c r="CM18" s="10">
        <f t="shared" si="19"/>
        <v>0</v>
      </c>
      <c r="CN18" s="10">
        <f t="shared" si="19"/>
        <v>0</v>
      </c>
      <c r="CO18" s="10" t="e">
        <f t="shared" si="61"/>
        <v>#DIV/0!</v>
      </c>
      <c r="CP18" s="10" t="e">
        <f t="shared" si="20"/>
        <v>#DIV/0!</v>
      </c>
      <c r="CQ18" s="10" t="e">
        <f t="shared" si="20"/>
        <v>#DIV/0!</v>
      </c>
      <c r="CR18" s="10" t="e">
        <f t="shared" si="20"/>
        <v>#DIV/0!</v>
      </c>
      <c r="CS18" s="10">
        <f t="shared" si="62"/>
        <v>0</v>
      </c>
      <c r="CT18" s="10">
        <f t="shared" si="21"/>
        <v>0</v>
      </c>
      <c r="CU18" s="10">
        <f t="shared" si="21"/>
        <v>0</v>
      </c>
      <c r="CV18" s="10">
        <f t="shared" si="21"/>
        <v>0</v>
      </c>
      <c r="CW18" s="10">
        <f t="shared" si="63"/>
        <v>0</v>
      </c>
      <c r="CX18" s="10">
        <f t="shared" si="22"/>
        <v>0</v>
      </c>
      <c r="CY18" s="10">
        <f t="shared" si="22"/>
        <v>0</v>
      </c>
      <c r="CZ18" s="10">
        <f t="shared" si="22"/>
        <v>0</v>
      </c>
    </row>
    <row r="19" spans="4:104" x14ac:dyDescent="0.15">
      <c r="D19" s="10">
        <v>4</v>
      </c>
      <c r="E19" s="10" t="e">
        <f t="shared" si="23"/>
        <v>#VALUE!</v>
      </c>
      <c r="F19" s="10" t="e">
        <f t="shared" si="3"/>
        <v>#VALUE!</v>
      </c>
      <c r="G19" s="10" t="e">
        <f t="shared" si="4"/>
        <v>#VALUE!</v>
      </c>
      <c r="H19" s="10" t="e">
        <f t="shared" si="24"/>
        <v>#VALUE!</v>
      </c>
      <c r="I19" s="10" t="e">
        <f t="shared" si="5"/>
        <v>#VALUE!</v>
      </c>
      <c r="J19" s="10" t="e">
        <f t="shared" si="25"/>
        <v>#VALUE!</v>
      </c>
      <c r="K19" s="10" t="e">
        <f t="shared" si="6"/>
        <v>#VALUE!</v>
      </c>
      <c r="L19" s="10" t="e">
        <f t="shared" si="7"/>
        <v>#VALUE!</v>
      </c>
      <c r="M19" s="10" t="e">
        <f t="shared" si="26"/>
        <v>#VALUE!</v>
      </c>
      <c r="O19" s="10" t="e">
        <f t="shared" si="27"/>
        <v>#VALUE!</v>
      </c>
      <c r="P19" s="10" t="e">
        <f t="shared" si="8"/>
        <v>#VALUE!</v>
      </c>
      <c r="Q19" s="10" t="e">
        <f t="shared" si="9"/>
        <v>#VALUE!</v>
      </c>
      <c r="R19" s="10" t="e">
        <f t="shared" si="28"/>
        <v>#VALUE!</v>
      </c>
      <c r="S19" s="10" t="e">
        <f t="shared" si="29"/>
        <v>#VALUE!</v>
      </c>
      <c r="T19" s="10" t="e">
        <f t="shared" si="64"/>
        <v>#VALUE!</v>
      </c>
      <c r="U19" s="10" t="e">
        <f t="shared" si="65"/>
        <v>#VALUE!</v>
      </c>
      <c r="V19" s="10" t="e">
        <f t="shared" si="10"/>
        <v>#VALUE!</v>
      </c>
      <c r="W19" s="10" t="e">
        <f t="shared" si="30"/>
        <v>#VALUE!</v>
      </c>
      <c r="Y19" s="10" t="e">
        <f t="shared" si="31"/>
        <v>#VALUE!</v>
      </c>
      <c r="Z19" s="11" t="e">
        <f t="shared" si="32"/>
        <v>#VALUE!</v>
      </c>
      <c r="AA19" s="10" t="e">
        <f t="shared" si="11"/>
        <v>#VALUE!</v>
      </c>
      <c r="AB19" s="10" t="e">
        <f t="shared" si="33"/>
        <v>#VALUE!</v>
      </c>
      <c r="AC19" s="10" t="e">
        <f t="shared" si="34"/>
        <v>#VALUE!</v>
      </c>
      <c r="AD19" s="10" t="e">
        <f t="shared" si="66"/>
        <v>#VALUE!</v>
      </c>
      <c r="AE19" s="10" t="e">
        <f t="shared" si="67"/>
        <v>#VALUE!</v>
      </c>
      <c r="AF19" s="10" t="e">
        <f t="shared" si="12"/>
        <v>#VALUE!</v>
      </c>
      <c r="AG19" s="10" t="e">
        <f t="shared" si="35"/>
        <v>#VALUE!</v>
      </c>
      <c r="AI19" s="13"/>
      <c r="AK19" s="10" t="e">
        <f t="shared" si="36"/>
        <v>#VALUE!</v>
      </c>
      <c r="AL19" s="10" t="e">
        <f t="shared" si="68"/>
        <v>#VALUE!</v>
      </c>
      <c r="AM19" s="10" t="e">
        <f t="shared" si="13"/>
        <v>#VALUE!</v>
      </c>
      <c r="AN19" s="10" t="e">
        <f t="shared" si="37"/>
        <v>#VALUE!</v>
      </c>
      <c r="AO19" s="10" t="e">
        <f t="shared" si="38"/>
        <v>#VALUE!</v>
      </c>
      <c r="AP19" s="10" t="e">
        <f t="shared" si="39"/>
        <v>#VALUE!</v>
      </c>
      <c r="AQ19" s="10" t="e">
        <f t="shared" si="69"/>
        <v>#VALUE!</v>
      </c>
      <c r="AR19" s="10" t="e">
        <f t="shared" si="14"/>
        <v>#VALUE!</v>
      </c>
      <c r="AS19" s="10" t="e">
        <f t="shared" si="70"/>
        <v>#VALUE!</v>
      </c>
      <c r="AU19" s="10" t="e">
        <f t="shared" si="40"/>
        <v>#VALUE!</v>
      </c>
      <c r="AV19" s="10" t="e">
        <f t="shared" si="71"/>
        <v>#VALUE!</v>
      </c>
      <c r="AW19" s="10" t="e">
        <f t="shared" si="15"/>
        <v>#VALUE!</v>
      </c>
      <c r="AX19" s="10" t="e">
        <f t="shared" si="41"/>
        <v>#VALUE!</v>
      </c>
      <c r="AY19" s="10" t="e">
        <f t="shared" si="42"/>
        <v>#VALUE!</v>
      </c>
      <c r="AZ19" s="10" t="e">
        <f t="shared" si="43"/>
        <v>#VALUE!</v>
      </c>
      <c r="BA19" s="10" t="e">
        <f t="shared" si="72"/>
        <v>#VALUE!</v>
      </c>
      <c r="BB19" s="10" t="e">
        <f t="shared" si="16"/>
        <v>#VALUE!</v>
      </c>
      <c r="BC19" s="10" t="e">
        <f t="shared" si="73"/>
        <v>#VALUE!</v>
      </c>
      <c r="BE19" s="10" t="e">
        <f t="shared" si="44"/>
        <v>#VALUE!</v>
      </c>
      <c r="BF19" s="10" t="e">
        <f t="shared" si="74"/>
        <v>#VALUE!</v>
      </c>
      <c r="BG19" s="10" t="e">
        <f t="shared" si="17"/>
        <v>#VALUE!</v>
      </c>
      <c r="BH19" s="10" t="e">
        <f t="shared" si="45"/>
        <v>#VALUE!</v>
      </c>
      <c r="BI19" s="10" t="e">
        <f t="shared" si="46"/>
        <v>#VALUE!</v>
      </c>
      <c r="BJ19" s="10" t="e">
        <f t="shared" si="47"/>
        <v>#VALUE!</v>
      </c>
      <c r="BK19" s="10" t="e">
        <f t="shared" si="75"/>
        <v>#VALUE!</v>
      </c>
      <c r="BL19" s="10" t="e">
        <f t="shared" si="18"/>
        <v>#VALUE!</v>
      </c>
      <c r="BM19" s="10" t="e">
        <f t="shared" si="76"/>
        <v>#VALUE!</v>
      </c>
      <c r="BP19" s="10" t="e">
        <f t="shared" si="48"/>
        <v>#VALUE!</v>
      </c>
      <c r="BQ19" s="10" t="e">
        <f t="shared" si="49"/>
        <v>#VALUE!</v>
      </c>
      <c r="BR19" s="10" t="e">
        <f t="shared" si="50"/>
        <v>#VALUE!</v>
      </c>
      <c r="BS19" s="10" t="e">
        <f t="shared" si="51"/>
        <v>#VALUE!</v>
      </c>
      <c r="BT19" s="10" t="e">
        <f t="shared" si="52"/>
        <v>#VALUE!</v>
      </c>
      <c r="BU19" s="10" t="e">
        <f t="shared" si="53"/>
        <v>#VALUE!</v>
      </c>
      <c r="BW19" s="10" t="e">
        <f t="shared" si="54"/>
        <v>#VALUE!</v>
      </c>
      <c r="BX19" s="10" t="e">
        <f t="shared" si="55"/>
        <v>#VALUE!</v>
      </c>
      <c r="BY19" s="10" t="e">
        <f t="shared" si="56"/>
        <v>#VALUE!</v>
      </c>
      <c r="BZ19" s="10" t="e">
        <f t="shared" si="57"/>
        <v>#VALUE!</v>
      </c>
      <c r="CA19" s="10" t="e">
        <f t="shared" si="58"/>
        <v>#VALUE!</v>
      </c>
      <c r="CB19" s="10" t="e">
        <f t="shared" si="59"/>
        <v>#VALUE!</v>
      </c>
      <c r="CD19" s="10" t="e">
        <f>MATCH(INDEX($BP$12:$BU$12,1,MATCH(BP19,$BP$15:$BU$15,0)),结果汇总!$AI$10:$AI$13,0)</f>
        <v>#VALUE!</v>
      </c>
      <c r="CE19" s="10" t="e">
        <f>MATCH(INDEX($BP$12:$BU$12,1,MATCH(BQ19,$BP$15:$BU$15,0)),结果汇总!$AI$10:$AI$13,0)</f>
        <v>#VALUE!</v>
      </c>
      <c r="CF19" s="10" t="e">
        <f>MATCH(INDEX($BP$12:$BU$12,1,MATCH(BR19,$BP$15:$BU$15,0)),结果汇总!$AI$10:$AI$13,0)</f>
        <v>#VALUE!</v>
      </c>
      <c r="CG19" s="10" t="e">
        <f>MATCH(INDEX($BP$12:$BU$12,1,MATCH(BS19,$BP$15:$BU$15,0)),结果汇总!$AI$10:$AI$13,0)</f>
        <v>#VALUE!</v>
      </c>
      <c r="CH19" s="10" t="e">
        <f>MATCH(INDEX($BP$12:$BU$12,1,MATCH(BT19,$BP$15:$BU$15,0)),结果汇总!$AI$10:$AI$13,0)</f>
        <v>#VALUE!</v>
      </c>
      <c r="CI19" s="10" t="e">
        <f>MATCH(INDEX($BP$12:$BU$12,1,MATCH(BU19,$BP$15:$BU$15,0)),结果汇总!$AI$10:$AI$13,0)</f>
        <v>#VALUE!</v>
      </c>
      <c r="CK19" s="10">
        <f t="shared" si="60"/>
        <v>0</v>
      </c>
      <c r="CL19" s="10">
        <f t="shared" si="19"/>
        <v>0</v>
      </c>
      <c r="CM19" s="10">
        <f t="shared" si="19"/>
        <v>0</v>
      </c>
      <c r="CN19" s="10">
        <f t="shared" si="19"/>
        <v>0</v>
      </c>
      <c r="CO19" s="10" t="e">
        <f t="shared" si="61"/>
        <v>#DIV/0!</v>
      </c>
      <c r="CP19" s="10" t="e">
        <f t="shared" si="20"/>
        <v>#DIV/0!</v>
      </c>
      <c r="CQ19" s="10" t="e">
        <f t="shared" si="20"/>
        <v>#DIV/0!</v>
      </c>
      <c r="CR19" s="10" t="e">
        <f t="shared" si="20"/>
        <v>#DIV/0!</v>
      </c>
      <c r="CS19" s="10">
        <f t="shared" si="62"/>
        <v>0</v>
      </c>
      <c r="CT19" s="10">
        <f t="shared" si="21"/>
        <v>0</v>
      </c>
      <c r="CU19" s="10">
        <f t="shared" si="21"/>
        <v>0</v>
      </c>
      <c r="CV19" s="10">
        <f t="shared" si="21"/>
        <v>0</v>
      </c>
      <c r="CW19" s="10">
        <f t="shared" si="63"/>
        <v>0</v>
      </c>
      <c r="CX19" s="10">
        <f t="shared" si="22"/>
        <v>0</v>
      </c>
      <c r="CY19" s="10">
        <f t="shared" si="22"/>
        <v>0</v>
      </c>
      <c r="CZ19" s="10">
        <f t="shared" si="22"/>
        <v>0</v>
      </c>
    </row>
    <row r="20" spans="4:104" x14ac:dyDescent="0.15">
      <c r="D20" s="10">
        <v>5</v>
      </c>
      <c r="E20" s="10" t="e">
        <f t="shared" si="23"/>
        <v>#VALUE!</v>
      </c>
      <c r="F20" s="10" t="e">
        <f t="shared" si="3"/>
        <v>#VALUE!</v>
      </c>
      <c r="G20" s="10" t="e">
        <f t="shared" si="4"/>
        <v>#VALUE!</v>
      </c>
      <c r="H20" s="10" t="e">
        <f t="shared" si="24"/>
        <v>#VALUE!</v>
      </c>
      <c r="I20" s="10" t="e">
        <f t="shared" si="5"/>
        <v>#VALUE!</v>
      </c>
      <c r="J20" s="10" t="e">
        <f t="shared" si="25"/>
        <v>#VALUE!</v>
      </c>
      <c r="K20" s="10" t="e">
        <f t="shared" si="6"/>
        <v>#VALUE!</v>
      </c>
      <c r="L20" s="10" t="e">
        <f t="shared" si="7"/>
        <v>#VALUE!</v>
      </c>
      <c r="M20" s="10" t="e">
        <f t="shared" si="26"/>
        <v>#VALUE!</v>
      </c>
      <c r="O20" s="10" t="e">
        <f t="shared" si="27"/>
        <v>#VALUE!</v>
      </c>
      <c r="P20" s="10" t="e">
        <f t="shared" si="8"/>
        <v>#VALUE!</v>
      </c>
      <c r="Q20" s="10" t="e">
        <f t="shared" si="9"/>
        <v>#VALUE!</v>
      </c>
      <c r="R20" s="10" t="e">
        <f t="shared" si="28"/>
        <v>#VALUE!</v>
      </c>
      <c r="S20" s="10" t="e">
        <f t="shared" si="29"/>
        <v>#VALUE!</v>
      </c>
      <c r="T20" s="10" t="e">
        <f t="shared" si="64"/>
        <v>#VALUE!</v>
      </c>
      <c r="U20" s="10" t="e">
        <f t="shared" si="65"/>
        <v>#VALUE!</v>
      </c>
      <c r="V20" s="10" t="e">
        <f t="shared" si="10"/>
        <v>#VALUE!</v>
      </c>
      <c r="W20" s="10" t="e">
        <f t="shared" si="30"/>
        <v>#VALUE!</v>
      </c>
      <c r="Y20" s="10" t="e">
        <f t="shared" si="31"/>
        <v>#VALUE!</v>
      </c>
      <c r="Z20" s="11" t="e">
        <f t="shared" si="32"/>
        <v>#VALUE!</v>
      </c>
      <c r="AA20" s="10" t="e">
        <f t="shared" si="11"/>
        <v>#VALUE!</v>
      </c>
      <c r="AB20" s="10" t="e">
        <f t="shared" si="33"/>
        <v>#VALUE!</v>
      </c>
      <c r="AC20" s="10" t="e">
        <f t="shared" si="34"/>
        <v>#VALUE!</v>
      </c>
      <c r="AD20" s="10" t="e">
        <f t="shared" si="66"/>
        <v>#VALUE!</v>
      </c>
      <c r="AE20" s="10" t="e">
        <f t="shared" si="67"/>
        <v>#VALUE!</v>
      </c>
      <c r="AF20" s="10" t="e">
        <f t="shared" si="12"/>
        <v>#VALUE!</v>
      </c>
      <c r="AG20" s="10" t="e">
        <f t="shared" si="35"/>
        <v>#VALUE!</v>
      </c>
      <c r="AI20" s="13"/>
      <c r="AK20" s="10" t="e">
        <f t="shared" si="36"/>
        <v>#VALUE!</v>
      </c>
      <c r="AL20" s="10" t="e">
        <f t="shared" si="68"/>
        <v>#VALUE!</v>
      </c>
      <c r="AM20" s="10" t="e">
        <f t="shared" si="13"/>
        <v>#VALUE!</v>
      </c>
      <c r="AN20" s="10" t="e">
        <f t="shared" si="37"/>
        <v>#VALUE!</v>
      </c>
      <c r="AO20" s="10" t="e">
        <f t="shared" si="38"/>
        <v>#VALUE!</v>
      </c>
      <c r="AP20" s="10" t="e">
        <f t="shared" si="39"/>
        <v>#VALUE!</v>
      </c>
      <c r="AQ20" s="10" t="e">
        <f t="shared" si="69"/>
        <v>#VALUE!</v>
      </c>
      <c r="AR20" s="10" t="e">
        <f t="shared" si="14"/>
        <v>#VALUE!</v>
      </c>
      <c r="AS20" s="10" t="e">
        <f t="shared" si="70"/>
        <v>#VALUE!</v>
      </c>
      <c r="AU20" s="10" t="e">
        <f t="shared" si="40"/>
        <v>#VALUE!</v>
      </c>
      <c r="AV20" s="10" t="e">
        <f t="shared" si="71"/>
        <v>#VALUE!</v>
      </c>
      <c r="AW20" s="10" t="e">
        <f t="shared" si="15"/>
        <v>#VALUE!</v>
      </c>
      <c r="AX20" s="10" t="e">
        <f t="shared" si="41"/>
        <v>#VALUE!</v>
      </c>
      <c r="AY20" s="10" t="e">
        <f t="shared" si="42"/>
        <v>#VALUE!</v>
      </c>
      <c r="AZ20" s="10" t="e">
        <f t="shared" si="43"/>
        <v>#VALUE!</v>
      </c>
      <c r="BA20" s="10" t="e">
        <f t="shared" si="72"/>
        <v>#VALUE!</v>
      </c>
      <c r="BB20" s="10" t="e">
        <f t="shared" si="16"/>
        <v>#VALUE!</v>
      </c>
      <c r="BC20" s="10" t="e">
        <f t="shared" si="73"/>
        <v>#VALUE!</v>
      </c>
      <c r="BE20" s="10" t="e">
        <f t="shared" si="44"/>
        <v>#VALUE!</v>
      </c>
      <c r="BF20" s="10" t="e">
        <f t="shared" si="74"/>
        <v>#VALUE!</v>
      </c>
      <c r="BG20" s="10" t="e">
        <f t="shared" si="17"/>
        <v>#VALUE!</v>
      </c>
      <c r="BH20" s="10" t="e">
        <f t="shared" si="45"/>
        <v>#VALUE!</v>
      </c>
      <c r="BI20" s="10" t="e">
        <f t="shared" si="46"/>
        <v>#VALUE!</v>
      </c>
      <c r="BJ20" s="10" t="e">
        <f t="shared" si="47"/>
        <v>#VALUE!</v>
      </c>
      <c r="BK20" s="10" t="e">
        <f t="shared" si="75"/>
        <v>#VALUE!</v>
      </c>
      <c r="BL20" s="10" t="e">
        <f t="shared" si="18"/>
        <v>#VALUE!</v>
      </c>
      <c r="BM20" s="10" t="e">
        <f t="shared" si="76"/>
        <v>#VALUE!</v>
      </c>
      <c r="BP20" s="10" t="e">
        <f t="shared" si="48"/>
        <v>#VALUE!</v>
      </c>
      <c r="BQ20" s="10" t="e">
        <f t="shared" si="49"/>
        <v>#VALUE!</v>
      </c>
      <c r="BR20" s="10" t="e">
        <f t="shared" si="50"/>
        <v>#VALUE!</v>
      </c>
      <c r="BS20" s="10" t="e">
        <f t="shared" si="51"/>
        <v>#VALUE!</v>
      </c>
      <c r="BT20" s="10" t="e">
        <f t="shared" si="52"/>
        <v>#VALUE!</v>
      </c>
      <c r="BU20" s="10" t="e">
        <f t="shared" si="53"/>
        <v>#VALUE!</v>
      </c>
      <c r="BW20" s="10" t="e">
        <f t="shared" si="54"/>
        <v>#VALUE!</v>
      </c>
      <c r="BX20" s="10" t="e">
        <f t="shared" si="55"/>
        <v>#VALUE!</v>
      </c>
      <c r="BY20" s="10" t="e">
        <f t="shared" si="56"/>
        <v>#VALUE!</v>
      </c>
      <c r="BZ20" s="10" t="e">
        <f t="shared" si="57"/>
        <v>#VALUE!</v>
      </c>
      <c r="CA20" s="10" t="e">
        <f t="shared" si="58"/>
        <v>#VALUE!</v>
      </c>
      <c r="CB20" s="10" t="e">
        <f t="shared" si="59"/>
        <v>#VALUE!</v>
      </c>
      <c r="CD20" s="10" t="e">
        <f>MATCH(INDEX($BP$12:$BU$12,1,MATCH(BP20,$BP$15:$BU$15,0)),结果汇总!$AI$10:$AI$13,0)</f>
        <v>#VALUE!</v>
      </c>
      <c r="CE20" s="10" t="e">
        <f>MATCH(INDEX($BP$12:$BU$12,1,MATCH(BQ20,$BP$15:$BU$15,0)),结果汇总!$AI$10:$AI$13,0)</f>
        <v>#VALUE!</v>
      </c>
      <c r="CF20" s="10" t="e">
        <f>MATCH(INDEX($BP$12:$BU$12,1,MATCH(BR20,$BP$15:$BU$15,0)),结果汇总!$AI$10:$AI$13,0)</f>
        <v>#VALUE!</v>
      </c>
      <c r="CG20" s="10" t="e">
        <f>MATCH(INDEX($BP$12:$BU$12,1,MATCH(BS20,$BP$15:$BU$15,0)),结果汇总!$AI$10:$AI$13,0)</f>
        <v>#VALUE!</v>
      </c>
      <c r="CH20" s="10" t="e">
        <f>MATCH(INDEX($BP$12:$BU$12,1,MATCH(BT20,$BP$15:$BU$15,0)),结果汇总!$AI$10:$AI$13,0)</f>
        <v>#VALUE!</v>
      </c>
      <c r="CI20" s="10" t="e">
        <f>MATCH(INDEX($BP$12:$BU$12,1,MATCH(BU20,$BP$15:$BU$15,0)),结果汇总!$AI$10:$AI$13,0)</f>
        <v>#VALUE!</v>
      </c>
      <c r="CK20" s="10">
        <f t="shared" si="60"/>
        <v>0</v>
      </c>
      <c r="CL20" s="10">
        <f t="shared" si="19"/>
        <v>0</v>
      </c>
      <c r="CM20" s="10">
        <f t="shared" si="19"/>
        <v>0</v>
      </c>
      <c r="CN20" s="10">
        <f t="shared" si="19"/>
        <v>0</v>
      </c>
      <c r="CO20" s="10" t="e">
        <f t="shared" si="61"/>
        <v>#DIV/0!</v>
      </c>
      <c r="CP20" s="10" t="e">
        <f t="shared" si="20"/>
        <v>#DIV/0!</v>
      </c>
      <c r="CQ20" s="10" t="e">
        <f t="shared" si="20"/>
        <v>#DIV/0!</v>
      </c>
      <c r="CR20" s="10" t="e">
        <f t="shared" si="20"/>
        <v>#DIV/0!</v>
      </c>
      <c r="CS20" s="10">
        <f t="shared" si="62"/>
        <v>0</v>
      </c>
      <c r="CT20" s="10">
        <f t="shared" si="21"/>
        <v>0</v>
      </c>
      <c r="CU20" s="10">
        <f t="shared" si="21"/>
        <v>0</v>
      </c>
      <c r="CV20" s="10">
        <f t="shared" si="21"/>
        <v>0</v>
      </c>
      <c r="CW20" s="10">
        <f t="shared" si="63"/>
        <v>0</v>
      </c>
      <c r="CX20" s="10">
        <f t="shared" si="22"/>
        <v>0</v>
      </c>
      <c r="CY20" s="10">
        <f t="shared" si="22"/>
        <v>0</v>
      </c>
      <c r="CZ20" s="10">
        <f t="shared" si="22"/>
        <v>0</v>
      </c>
    </row>
    <row r="21" spans="4:104" x14ac:dyDescent="0.15">
      <c r="D21" s="10">
        <v>6</v>
      </c>
      <c r="E21" s="10" t="e">
        <f t="shared" si="23"/>
        <v>#VALUE!</v>
      </c>
      <c r="F21" s="10" t="e">
        <f t="shared" si="3"/>
        <v>#VALUE!</v>
      </c>
      <c r="G21" s="10" t="e">
        <f t="shared" si="4"/>
        <v>#VALUE!</v>
      </c>
      <c r="H21" s="10" t="e">
        <f t="shared" si="24"/>
        <v>#VALUE!</v>
      </c>
      <c r="I21" s="10" t="e">
        <f t="shared" si="5"/>
        <v>#VALUE!</v>
      </c>
      <c r="J21" s="10" t="e">
        <f t="shared" si="25"/>
        <v>#VALUE!</v>
      </c>
      <c r="K21" s="10" t="e">
        <f t="shared" si="6"/>
        <v>#VALUE!</v>
      </c>
      <c r="L21" s="10" t="e">
        <f t="shared" si="7"/>
        <v>#VALUE!</v>
      </c>
      <c r="M21" s="10" t="e">
        <f t="shared" si="26"/>
        <v>#VALUE!</v>
      </c>
      <c r="O21" s="10" t="e">
        <f t="shared" si="27"/>
        <v>#VALUE!</v>
      </c>
      <c r="P21" s="10" t="e">
        <f t="shared" si="8"/>
        <v>#VALUE!</v>
      </c>
      <c r="Q21" s="10" t="e">
        <f t="shared" si="9"/>
        <v>#VALUE!</v>
      </c>
      <c r="R21" s="10" t="e">
        <f t="shared" si="28"/>
        <v>#VALUE!</v>
      </c>
      <c r="S21" s="10" t="e">
        <f t="shared" si="29"/>
        <v>#VALUE!</v>
      </c>
      <c r="T21" s="10" t="e">
        <f t="shared" si="64"/>
        <v>#VALUE!</v>
      </c>
      <c r="U21" s="10" t="e">
        <f t="shared" si="65"/>
        <v>#VALUE!</v>
      </c>
      <c r="V21" s="10" t="e">
        <f t="shared" si="10"/>
        <v>#VALUE!</v>
      </c>
      <c r="W21" s="10" t="e">
        <f t="shared" si="30"/>
        <v>#VALUE!</v>
      </c>
      <c r="Y21" s="10" t="e">
        <f t="shared" si="31"/>
        <v>#VALUE!</v>
      </c>
      <c r="Z21" s="11" t="e">
        <f t="shared" si="32"/>
        <v>#VALUE!</v>
      </c>
      <c r="AA21" s="10" t="e">
        <f t="shared" si="11"/>
        <v>#VALUE!</v>
      </c>
      <c r="AB21" s="10" t="e">
        <f t="shared" si="33"/>
        <v>#VALUE!</v>
      </c>
      <c r="AC21" s="10" t="e">
        <f t="shared" si="34"/>
        <v>#VALUE!</v>
      </c>
      <c r="AD21" s="10" t="e">
        <f t="shared" si="66"/>
        <v>#VALUE!</v>
      </c>
      <c r="AE21" s="10" t="e">
        <f t="shared" si="67"/>
        <v>#VALUE!</v>
      </c>
      <c r="AF21" s="10" t="e">
        <f t="shared" si="12"/>
        <v>#VALUE!</v>
      </c>
      <c r="AG21" s="10" t="e">
        <f t="shared" si="35"/>
        <v>#VALUE!</v>
      </c>
      <c r="AI21" s="13"/>
      <c r="AK21" s="10" t="e">
        <f t="shared" si="36"/>
        <v>#VALUE!</v>
      </c>
      <c r="AL21" s="10" t="e">
        <f t="shared" si="68"/>
        <v>#VALUE!</v>
      </c>
      <c r="AM21" s="10" t="e">
        <f t="shared" si="13"/>
        <v>#VALUE!</v>
      </c>
      <c r="AN21" s="10" t="e">
        <f t="shared" si="37"/>
        <v>#VALUE!</v>
      </c>
      <c r="AO21" s="10" t="e">
        <f t="shared" si="38"/>
        <v>#VALUE!</v>
      </c>
      <c r="AP21" s="10" t="e">
        <f t="shared" si="39"/>
        <v>#VALUE!</v>
      </c>
      <c r="AQ21" s="10" t="e">
        <f t="shared" si="69"/>
        <v>#VALUE!</v>
      </c>
      <c r="AR21" s="10" t="e">
        <f t="shared" si="14"/>
        <v>#VALUE!</v>
      </c>
      <c r="AS21" s="10" t="e">
        <f t="shared" si="70"/>
        <v>#VALUE!</v>
      </c>
      <c r="AU21" s="10" t="e">
        <f t="shared" si="40"/>
        <v>#VALUE!</v>
      </c>
      <c r="AV21" s="10" t="e">
        <f t="shared" si="71"/>
        <v>#VALUE!</v>
      </c>
      <c r="AW21" s="10" t="e">
        <f t="shared" si="15"/>
        <v>#VALUE!</v>
      </c>
      <c r="AX21" s="10" t="e">
        <f t="shared" si="41"/>
        <v>#VALUE!</v>
      </c>
      <c r="AY21" s="10" t="e">
        <f t="shared" si="42"/>
        <v>#VALUE!</v>
      </c>
      <c r="AZ21" s="10" t="e">
        <f t="shared" si="43"/>
        <v>#VALUE!</v>
      </c>
      <c r="BA21" s="10" t="e">
        <f t="shared" si="72"/>
        <v>#VALUE!</v>
      </c>
      <c r="BB21" s="10" t="e">
        <f t="shared" si="16"/>
        <v>#VALUE!</v>
      </c>
      <c r="BC21" s="10" t="e">
        <f t="shared" si="73"/>
        <v>#VALUE!</v>
      </c>
      <c r="BE21" s="10" t="e">
        <f t="shared" si="44"/>
        <v>#VALUE!</v>
      </c>
      <c r="BF21" s="10" t="e">
        <f t="shared" si="74"/>
        <v>#VALUE!</v>
      </c>
      <c r="BG21" s="10" t="e">
        <f t="shared" si="17"/>
        <v>#VALUE!</v>
      </c>
      <c r="BH21" s="10" t="e">
        <f t="shared" si="45"/>
        <v>#VALUE!</v>
      </c>
      <c r="BI21" s="10" t="e">
        <f t="shared" si="46"/>
        <v>#VALUE!</v>
      </c>
      <c r="BJ21" s="10" t="e">
        <f t="shared" si="47"/>
        <v>#VALUE!</v>
      </c>
      <c r="BK21" s="10" t="e">
        <f t="shared" si="75"/>
        <v>#VALUE!</v>
      </c>
      <c r="BL21" s="10" t="e">
        <f t="shared" si="18"/>
        <v>#VALUE!</v>
      </c>
      <c r="BM21" s="10" t="e">
        <f t="shared" si="76"/>
        <v>#VALUE!</v>
      </c>
      <c r="BP21" s="10" t="e">
        <f t="shared" si="48"/>
        <v>#VALUE!</v>
      </c>
      <c r="BQ21" s="10" t="e">
        <f t="shared" si="49"/>
        <v>#VALUE!</v>
      </c>
      <c r="BR21" s="10" t="e">
        <f t="shared" si="50"/>
        <v>#VALUE!</v>
      </c>
      <c r="BS21" s="10" t="e">
        <f t="shared" si="51"/>
        <v>#VALUE!</v>
      </c>
      <c r="BT21" s="10" t="e">
        <f t="shared" si="52"/>
        <v>#VALUE!</v>
      </c>
      <c r="BU21" s="10" t="e">
        <f t="shared" si="53"/>
        <v>#VALUE!</v>
      </c>
      <c r="BW21" s="10" t="e">
        <f t="shared" si="54"/>
        <v>#VALUE!</v>
      </c>
      <c r="BX21" s="10" t="e">
        <f t="shared" si="55"/>
        <v>#VALUE!</v>
      </c>
      <c r="BY21" s="10" t="e">
        <f t="shared" si="56"/>
        <v>#VALUE!</v>
      </c>
      <c r="BZ21" s="10" t="e">
        <f t="shared" si="57"/>
        <v>#VALUE!</v>
      </c>
      <c r="CA21" s="10" t="e">
        <f t="shared" si="58"/>
        <v>#VALUE!</v>
      </c>
      <c r="CB21" s="10" t="e">
        <f t="shared" si="59"/>
        <v>#VALUE!</v>
      </c>
      <c r="CD21" s="10" t="e">
        <f>MATCH(INDEX($BP$12:$BU$12,1,MATCH(BP21,$BP$15:$BU$15,0)),结果汇总!$AI$10:$AI$13,0)</f>
        <v>#VALUE!</v>
      </c>
      <c r="CE21" s="10" t="e">
        <f>MATCH(INDEX($BP$12:$BU$12,1,MATCH(BQ21,$BP$15:$BU$15,0)),结果汇总!$AI$10:$AI$13,0)</f>
        <v>#VALUE!</v>
      </c>
      <c r="CF21" s="10" t="e">
        <f>MATCH(INDEX($BP$12:$BU$12,1,MATCH(BR21,$BP$15:$BU$15,0)),结果汇总!$AI$10:$AI$13,0)</f>
        <v>#VALUE!</v>
      </c>
      <c r="CG21" s="10" t="e">
        <f>MATCH(INDEX($BP$12:$BU$12,1,MATCH(BS21,$BP$15:$BU$15,0)),结果汇总!$AI$10:$AI$13,0)</f>
        <v>#VALUE!</v>
      </c>
      <c r="CH21" s="10" t="e">
        <f>MATCH(INDEX($BP$12:$BU$12,1,MATCH(BT21,$BP$15:$BU$15,0)),结果汇总!$AI$10:$AI$13,0)</f>
        <v>#VALUE!</v>
      </c>
      <c r="CI21" s="10" t="e">
        <f>MATCH(INDEX($BP$12:$BU$12,1,MATCH(BU21,$BP$15:$BU$15,0)),结果汇总!$AI$10:$AI$13,0)</f>
        <v>#VALUE!</v>
      </c>
      <c r="CK21" s="10">
        <f t="shared" si="60"/>
        <v>0</v>
      </c>
      <c r="CL21" s="10">
        <f t="shared" si="19"/>
        <v>0</v>
      </c>
      <c r="CM21" s="10">
        <f t="shared" si="19"/>
        <v>0</v>
      </c>
      <c r="CN21" s="10">
        <f t="shared" si="19"/>
        <v>0</v>
      </c>
      <c r="CO21" s="10" t="e">
        <f t="shared" si="61"/>
        <v>#DIV/0!</v>
      </c>
      <c r="CP21" s="10" t="e">
        <f t="shared" si="20"/>
        <v>#DIV/0!</v>
      </c>
      <c r="CQ21" s="10" t="e">
        <f t="shared" si="20"/>
        <v>#DIV/0!</v>
      </c>
      <c r="CR21" s="10" t="e">
        <f t="shared" si="20"/>
        <v>#DIV/0!</v>
      </c>
      <c r="CS21" s="10">
        <f t="shared" si="62"/>
        <v>0</v>
      </c>
      <c r="CT21" s="10">
        <f t="shared" si="21"/>
        <v>0</v>
      </c>
      <c r="CU21" s="10">
        <f t="shared" si="21"/>
        <v>0</v>
      </c>
      <c r="CV21" s="10">
        <f t="shared" si="21"/>
        <v>0</v>
      </c>
      <c r="CW21" s="10">
        <f t="shared" si="63"/>
        <v>0</v>
      </c>
      <c r="CX21" s="10">
        <f t="shared" si="22"/>
        <v>0</v>
      </c>
      <c r="CY21" s="10">
        <f t="shared" si="22"/>
        <v>0</v>
      </c>
      <c r="CZ21" s="10">
        <f t="shared" si="22"/>
        <v>0</v>
      </c>
    </row>
    <row r="22" spans="4:104" x14ac:dyDescent="0.15">
      <c r="D22" s="10">
        <v>7</v>
      </c>
      <c r="E22" s="10" t="e">
        <f t="shared" si="23"/>
        <v>#VALUE!</v>
      </c>
      <c r="F22" s="10" t="e">
        <f t="shared" si="3"/>
        <v>#VALUE!</v>
      </c>
      <c r="G22" s="10" t="e">
        <f t="shared" si="4"/>
        <v>#VALUE!</v>
      </c>
      <c r="H22" s="10" t="e">
        <f t="shared" si="24"/>
        <v>#VALUE!</v>
      </c>
      <c r="I22" s="10" t="e">
        <f t="shared" si="5"/>
        <v>#VALUE!</v>
      </c>
      <c r="J22" s="10" t="e">
        <f t="shared" si="25"/>
        <v>#VALUE!</v>
      </c>
      <c r="K22" s="10" t="e">
        <f t="shared" si="6"/>
        <v>#VALUE!</v>
      </c>
      <c r="L22" s="10" t="e">
        <f t="shared" si="7"/>
        <v>#VALUE!</v>
      </c>
      <c r="M22" s="10" t="e">
        <f t="shared" si="26"/>
        <v>#VALUE!</v>
      </c>
      <c r="O22" s="10" t="e">
        <f t="shared" si="27"/>
        <v>#VALUE!</v>
      </c>
      <c r="P22" s="10" t="e">
        <f t="shared" si="8"/>
        <v>#VALUE!</v>
      </c>
      <c r="Q22" s="10" t="e">
        <f t="shared" si="9"/>
        <v>#VALUE!</v>
      </c>
      <c r="R22" s="10" t="e">
        <f t="shared" si="28"/>
        <v>#VALUE!</v>
      </c>
      <c r="S22" s="10" t="e">
        <f t="shared" si="29"/>
        <v>#VALUE!</v>
      </c>
      <c r="T22" s="10" t="e">
        <f t="shared" si="64"/>
        <v>#VALUE!</v>
      </c>
      <c r="U22" s="10" t="e">
        <f t="shared" si="65"/>
        <v>#VALUE!</v>
      </c>
      <c r="V22" s="10" t="e">
        <f t="shared" si="10"/>
        <v>#VALUE!</v>
      </c>
      <c r="W22" s="10" t="e">
        <f t="shared" si="30"/>
        <v>#VALUE!</v>
      </c>
      <c r="Y22" s="10" t="e">
        <f t="shared" si="31"/>
        <v>#VALUE!</v>
      </c>
      <c r="Z22" s="11" t="e">
        <f t="shared" si="32"/>
        <v>#VALUE!</v>
      </c>
      <c r="AA22" s="10" t="e">
        <f t="shared" si="11"/>
        <v>#VALUE!</v>
      </c>
      <c r="AB22" s="10" t="e">
        <f t="shared" si="33"/>
        <v>#VALUE!</v>
      </c>
      <c r="AC22" s="10" t="e">
        <f t="shared" si="34"/>
        <v>#VALUE!</v>
      </c>
      <c r="AD22" s="10" t="e">
        <f t="shared" si="66"/>
        <v>#VALUE!</v>
      </c>
      <c r="AE22" s="10" t="e">
        <f t="shared" si="67"/>
        <v>#VALUE!</v>
      </c>
      <c r="AF22" s="10" t="e">
        <f t="shared" si="12"/>
        <v>#VALUE!</v>
      </c>
      <c r="AG22" s="10" t="e">
        <f t="shared" si="35"/>
        <v>#VALUE!</v>
      </c>
      <c r="AI22" s="13"/>
      <c r="AK22" s="10" t="e">
        <f t="shared" si="36"/>
        <v>#VALUE!</v>
      </c>
      <c r="AL22" s="10" t="e">
        <f t="shared" si="68"/>
        <v>#VALUE!</v>
      </c>
      <c r="AM22" s="10" t="e">
        <f t="shared" si="13"/>
        <v>#VALUE!</v>
      </c>
      <c r="AN22" s="10" t="e">
        <f t="shared" si="37"/>
        <v>#VALUE!</v>
      </c>
      <c r="AO22" s="10" t="e">
        <f t="shared" si="38"/>
        <v>#VALUE!</v>
      </c>
      <c r="AP22" s="10" t="e">
        <f t="shared" si="39"/>
        <v>#VALUE!</v>
      </c>
      <c r="AQ22" s="10" t="e">
        <f t="shared" si="69"/>
        <v>#VALUE!</v>
      </c>
      <c r="AR22" s="10" t="e">
        <f t="shared" si="14"/>
        <v>#VALUE!</v>
      </c>
      <c r="AS22" s="10" t="e">
        <f t="shared" si="70"/>
        <v>#VALUE!</v>
      </c>
      <c r="AU22" s="10" t="e">
        <f t="shared" si="40"/>
        <v>#VALUE!</v>
      </c>
      <c r="AV22" s="10" t="e">
        <f t="shared" si="71"/>
        <v>#VALUE!</v>
      </c>
      <c r="AW22" s="10" t="e">
        <f t="shared" si="15"/>
        <v>#VALUE!</v>
      </c>
      <c r="AX22" s="10" t="e">
        <f t="shared" si="41"/>
        <v>#VALUE!</v>
      </c>
      <c r="AY22" s="10" t="e">
        <f t="shared" si="42"/>
        <v>#VALUE!</v>
      </c>
      <c r="AZ22" s="10" t="e">
        <f t="shared" si="43"/>
        <v>#VALUE!</v>
      </c>
      <c r="BA22" s="10" t="e">
        <f t="shared" si="72"/>
        <v>#VALUE!</v>
      </c>
      <c r="BB22" s="10" t="e">
        <f t="shared" si="16"/>
        <v>#VALUE!</v>
      </c>
      <c r="BC22" s="10" t="e">
        <f t="shared" si="73"/>
        <v>#VALUE!</v>
      </c>
      <c r="BE22" s="10" t="e">
        <f t="shared" si="44"/>
        <v>#VALUE!</v>
      </c>
      <c r="BF22" s="10" t="e">
        <f t="shared" si="74"/>
        <v>#VALUE!</v>
      </c>
      <c r="BG22" s="10" t="e">
        <f t="shared" si="17"/>
        <v>#VALUE!</v>
      </c>
      <c r="BH22" s="10" t="e">
        <f t="shared" si="45"/>
        <v>#VALUE!</v>
      </c>
      <c r="BI22" s="10" t="e">
        <f t="shared" si="46"/>
        <v>#VALUE!</v>
      </c>
      <c r="BJ22" s="10" t="e">
        <f t="shared" si="47"/>
        <v>#VALUE!</v>
      </c>
      <c r="BK22" s="10" t="e">
        <f t="shared" si="75"/>
        <v>#VALUE!</v>
      </c>
      <c r="BL22" s="10" t="e">
        <f t="shared" si="18"/>
        <v>#VALUE!</v>
      </c>
      <c r="BM22" s="10" t="e">
        <f t="shared" si="76"/>
        <v>#VALUE!</v>
      </c>
      <c r="BP22" s="10" t="e">
        <f t="shared" si="48"/>
        <v>#VALUE!</v>
      </c>
      <c r="BQ22" s="10" t="e">
        <f t="shared" si="49"/>
        <v>#VALUE!</v>
      </c>
      <c r="BR22" s="10" t="e">
        <f t="shared" si="50"/>
        <v>#VALUE!</v>
      </c>
      <c r="BS22" s="10" t="e">
        <f t="shared" si="51"/>
        <v>#VALUE!</v>
      </c>
      <c r="BT22" s="10" t="e">
        <f t="shared" si="52"/>
        <v>#VALUE!</v>
      </c>
      <c r="BU22" s="10" t="e">
        <f t="shared" si="53"/>
        <v>#VALUE!</v>
      </c>
      <c r="BW22" s="10" t="e">
        <f t="shared" si="54"/>
        <v>#VALUE!</v>
      </c>
      <c r="BX22" s="10" t="e">
        <f t="shared" si="55"/>
        <v>#VALUE!</v>
      </c>
      <c r="BY22" s="10" t="e">
        <f t="shared" si="56"/>
        <v>#VALUE!</v>
      </c>
      <c r="BZ22" s="10" t="e">
        <f t="shared" si="57"/>
        <v>#VALUE!</v>
      </c>
      <c r="CA22" s="10" t="e">
        <f t="shared" si="58"/>
        <v>#VALUE!</v>
      </c>
      <c r="CB22" s="10" t="e">
        <f t="shared" si="59"/>
        <v>#VALUE!</v>
      </c>
      <c r="CD22" s="10" t="e">
        <f>MATCH(INDEX($BP$12:$BU$12,1,MATCH(BP22,$BP$15:$BU$15,0)),结果汇总!$AI$10:$AI$13,0)</f>
        <v>#VALUE!</v>
      </c>
      <c r="CE22" s="10" t="e">
        <f>MATCH(INDEX($BP$12:$BU$12,1,MATCH(BQ22,$BP$15:$BU$15,0)),结果汇总!$AI$10:$AI$13,0)</f>
        <v>#VALUE!</v>
      </c>
      <c r="CF22" s="10" t="e">
        <f>MATCH(INDEX($BP$12:$BU$12,1,MATCH(BR22,$BP$15:$BU$15,0)),结果汇总!$AI$10:$AI$13,0)</f>
        <v>#VALUE!</v>
      </c>
      <c r="CG22" s="10" t="e">
        <f>MATCH(INDEX($BP$12:$BU$12,1,MATCH(BS22,$BP$15:$BU$15,0)),结果汇总!$AI$10:$AI$13,0)</f>
        <v>#VALUE!</v>
      </c>
      <c r="CH22" s="10" t="e">
        <f>MATCH(INDEX($BP$12:$BU$12,1,MATCH(BT22,$BP$15:$BU$15,0)),结果汇总!$AI$10:$AI$13,0)</f>
        <v>#VALUE!</v>
      </c>
      <c r="CI22" s="10" t="e">
        <f>MATCH(INDEX($BP$12:$BU$12,1,MATCH(BU22,$BP$15:$BU$15,0)),结果汇总!$AI$10:$AI$13,0)</f>
        <v>#VALUE!</v>
      </c>
      <c r="CK22" s="10">
        <f t="shared" si="60"/>
        <v>0</v>
      </c>
      <c r="CL22" s="10">
        <f t="shared" si="19"/>
        <v>0</v>
      </c>
      <c r="CM22" s="10">
        <f t="shared" si="19"/>
        <v>0</v>
      </c>
      <c r="CN22" s="10">
        <f t="shared" si="19"/>
        <v>0</v>
      </c>
      <c r="CO22" s="10" t="e">
        <f t="shared" si="61"/>
        <v>#DIV/0!</v>
      </c>
      <c r="CP22" s="10" t="e">
        <f t="shared" si="20"/>
        <v>#DIV/0!</v>
      </c>
      <c r="CQ22" s="10" t="e">
        <f t="shared" si="20"/>
        <v>#DIV/0!</v>
      </c>
      <c r="CR22" s="10" t="e">
        <f t="shared" si="20"/>
        <v>#DIV/0!</v>
      </c>
      <c r="CS22" s="10">
        <f t="shared" si="62"/>
        <v>0</v>
      </c>
      <c r="CT22" s="10">
        <f t="shared" si="21"/>
        <v>0</v>
      </c>
      <c r="CU22" s="10">
        <f t="shared" si="21"/>
        <v>0</v>
      </c>
      <c r="CV22" s="10">
        <f t="shared" si="21"/>
        <v>0</v>
      </c>
      <c r="CW22" s="10">
        <f t="shared" si="63"/>
        <v>0</v>
      </c>
      <c r="CX22" s="10">
        <f t="shared" si="22"/>
        <v>0</v>
      </c>
      <c r="CY22" s="10">
        <f t="shared" si="22"/>
        <v>0</v>
      </c>
      <c r="CZ22" s="10">
        <f t="shared" si="22"/>
        <v>0</v>
      </c>
    </row>
    <row r="23" spans="4:104" x14ac:dyDescent="0.15">
      <c r="D23" s="10">
        <v>8</v>
      </c>
      <c r="E23" s="10" t="e">
        <f t="shared" si="23"/>
        <v>#VALUE!</v>
      </c>
      <c r="F23" s="10" t="e">
        <f t="shared" si="3"/>
        <v>#VALUE!</v>
      </c>
      <c r="G23" s="10" t="e">
        <f t="shared" si="4"/>
        <v>#VALUE!</v>
      </c>
      <c r="H23" s="10" t="e">
        <f t="shared" si="24"/>
        <v>#VALUE!</v>
      </c>
      <c r="I23" s="10" t="e">
        <f t="shared" si="5"/>
        <v>#VALUE!</v>
      </c>
      <c r="J23" s="10" t="e">
        <f t="shared" si="25"/>
        <v>#VALUE!</v>
      </c>
      <c r="K23" s="10" t="e">
        <f t="shared" si="6"/>
        <v>#VALUE!</v>
      </c>
      <c r="L23" s="10" t="e">
        <f t="shared" si="7"/>
        <v>#VALUE!</v>
      </c>
      <c r="M23" s="10" t="e">
        <f t="shared" si="26"/>
        <v>#VALUE!</v>
      </c>
      <c r="O23" s="10" t="e">
        <f t="shared" si="27"/>
        <v>#VALUE!</v>
      </c>
      <c r="P23" s="10" t="e">
        <f t="shared" si="8"/>
        <v>#VALUE!</v>
      </c>
      <c r="Q23" s="10" t="e">
        <f t="shared" si="9"/>
        <v>#VALUE!</v>
      </c>
      <c r="R23" s="10" t="e">
        <f t="shared" si="28"/>
        <v>#VALUE!</v>
      </c>
      <c r="S23" s="10" t="e">
        <f t="shared" si="29"/>
        <v>#VALUE!</v>
      </c>
      <c r="T23" s="10" t="e">
        <f t="shared" si="64"/>
        <v>#VALUE!</v>
      </c>
      <c r="U23" s="10" t="e">
        <f t="shared" si="65"/>
        <v>#VALUE!</v>
      </c>
      <c r="V23" s="10" t="e">
        <f t="shared" si="10"/>
        <v>#VALUE!</v>
      </c>
      <c r="W23" s="10" t="e">
        <f t="shared" si="30"/>
        <v>#VALUE!</v>
      </c>
      <c r="Y23" s="10" t="e">
        <f t="shared" si="31"/>
        <v>#VALUE!</v>
      </c>
      <c r="Z23" s="11" t="e">
        <f t="shared" si="32"/>
        <v>#VALUE!</v>
      </c>
      <c r="AA23" s="10" t="e">
        <f t="shared" si="11"/>
        <v>#VALUE!</v>
      </c>
      <c r="AB23" s="10" t="e">
        <f t="shared" si="33"/>
        <v>#VALUE!</v>
      </c>
      <c r="AC23" s="10" t="e">
        <f t="shared" si="34"/>
        <v>#VALUE!</v>
      </c>
      <c r="AD23" s="10" t="e">
        <f t="shared" si="66"/>
        <v>#VALUE!</v>
      </c>
      <c r="AE23" s="10" t="e">
        <f t="shared" si="67"/>
        <v>#VALUE!</v>
      </c>
      <c r="AF23" s="10" t="e">
        <f t="shared" si="12"/>
        <v>#VALUE!</v>
      </c>
      <c r="AG23" s="10" t="e">
        <f t="shared" si="35"/>
        <v>#VALUE!</v>
      </c>
      <c r="AI23" s="13"/>
      <c r="AK23" s="10" t="e">
        <f t="shared" si="36"/>
        <v>#VALUE!</v>
      </c>
      <c r="AL23" s="10" t="e">
        <f t="shared" si="68"/>
        <v>#VALUE!</v>
      </c>
      <c r="AM23" s="10" t="e">
        <f t="shared" si="13"/>
        <v>#VALUE!</v>
      </c>
      <c r="AN23" s="10" t="e">
        <f t="shared" si="37"/>
        <v>#VALUE!</v>
      </c>
      <c r="AO23" s="10" t="e">
        <f t="shared" si="38"/>
        <v>#VALUE!</v>
      </c>
      <c r="AP23" s="10" t="e">
        <f t="shared" si="39"/>
        <v>#VALUE!</v>
      </c>
      <c r="AQ23" s="10" t="e">
        <f t="shared" si="69"/>
        <v>#VALUE!</v>
      </c>
      <c r="AR23" s="10" t="e">
        <f t="shared" si="14"/>
        <v>#VALUE!</v>
      </c>
      <c r="AS23" s="10" t="e">
        <f t="shared" si="70"/>
        <v>#VALUE!</v>
      </c>
      <c r="AU23" s="10" t="e">
        <f t="shared" si="40"/>
        <v>#VALUE!</v>
      </c>
      <c r="AV23" s="10" t="e">
        <f t="shared" si="71"/>
        <v>#VALUE!</v>
      </c>
      <c r="AW23" s="10" t="e">
        <f t="shared" si="15"/>
        <v>#VALUE!</v>
      </c>
      <c r="AX23" s="10" t="e">
        <f t="shared" si="41"/>
        <v>#VALUE!</v>
      </c>
      <c r="AY23" s="10" t="e">
        <f t="shared" si="42"/>
        <v>#VALUE!</v>
      </c>
      <c r="AZ23" s="10" t="e">
        <f t="shared" si="43"/>
        <v>#VALUE!</v>
      </c>
      <c r="BA23" s="10" t="e">
        <f t="shared" si="72"/>
        <v>#VALUE!</v>
      </c>
      <c r="BB23" s="10" t="e">
        <f t="shared" si="16"/>
        <v>#VALUE!</v>
      </c>
      <c r="BC23" s="10" t="e">
        <f t="shared" si="73"/>
        <v>#VALUE!</v>
      </c>
      <c r="BE23" s="10" t="e">
        <f t="shared" si="44"/>
        <v>#VALUE!</v>
      </c>
      <c r="BF23" s="10" t="e">
        <f t="shared" si="74"/>
        <v>#VALUE!</v>
      </c>
      <c r="BG23" s="10" t="e">
        <f t="shared" si="17"/>
        <v>#VALUE!</v>
      </c>
      <c r="BH23" s="10" t="e">
        <f t="shared" si="45"/>
        <v>#VALUE!</v>
      </c>
      <c r="BI23" s="10" t="e">
        <f t="shared" si="46"/>
        <v>#VALUE!</v>
      </c>
      <c r="BJ23" s="10" t="e">
        <f t="shared" si="47"/>
        <v>#VALUE!</v>
      </c>
      <c r="BK23" s="10" t="e">
        <f t="shared" si="75"/>
        <v>#VALUE!</v>
      </c>
      <c r="BL23" s="10" t="e">
        <f t="shared" si="18"/>
        <v>#VALUE!</v>
      </c>
      <c r="BM23" s="10" t="e">
        <f t="shared" si="76"/>
        <v>#VALUE!</v>
      </c>
      <c r="BP23" s="10" t="e">
        <f t="shared" si="48"/>
        <v>#VALUE!</v>
      </c>
      <c r="BQ23" s="10" t="e">
        <f t="shared" si="49"/>
        <v>#VALUE!</v>
      </c>
      <c r="BR23" s="10" t="e">
        <f t="shared" si="50"/>
        <v>#VALUE!</v>
      </c>
      <c r="BS23" s="10" t="e">
        <f t="shared" si="51"/>
        <v>#VALUE!</v>
      </c>
      <c r="BT23" s="10" t="e">
        <f t="shared" si="52"/>
        <v>#VALUE!</v>
      </c>
      <c r="BU23" s="10" t="e">
        <f t="shared" si="53"/>
        <v>#VALUE!</v>
      </c>
      <c r="BW23" s="10" t="e">
        <f t="shared" si="54"/>
        <v>#VALUE!</v>
      </c>
      <c r="BX23" s="10" t="e">
        <f t="shared" si="55"/>
        <v>#VALUE!</v>
      </c>
      <c r="BY23" s="10" t="e">
        <f t="shared" si="56"/>
        <v>#VALUE!</v>
      </c>
      <c r="BZ23" s="10" t="e">
        <f t="shared" si="57"/>
        <v>#VALUE!</v>
      </c>
      <c r="CA23" s="10" t="e">
        <f t="shared" si="58"/>
        <v>#VALUE!</v>
      </c>
      <c r="CB23" s="10" t="e">
        <f t="shared" si="59"/>
        <v>#VALUE!</v>
      </c>
      <c r="CD23" s="10" t="e">
        <f>MATCH(INDEX($BP$12:$BU$12,1,MATCH(BP23,$BP$15:$BU$15,0)),结果汇总!$AI$10:$AI$13,0)</f>
        <v>#VALUE!</v>
      </c>
      <c r="CE23" s="10" t="e">
        <f>MATCH(INDEX($BP$12:$BU$12,1,MATCH(BQ23,$BP$15:$BU$15,0)),结果汇总!$AI$10:$AI$13,0)</f>
        <v>#VALUE!</v>
      </c>
      <c r="CF23" s="10" t="e">
        <f>MATCH(INDEX($BP$12:$BU$12,1,MATCH(BR23,$BP$15:$BU$15,0)),结果汇总!$AI$10:$AI$13,0)</f>
        <v>#VALUE!</v>
      </c>
      <c r="CG23" s="10" t="e">
        <f>MATCH(INDEX($BP$12:$BU$12,1,MATCH(BS23,$BP$15:$BU$15,0)),结果汇总!$AI$10:$AI$13,0)</f>
        <v>#VALUE!</v>
      </c>
      <c r="CH23" s="10" t="e">
        <f>MATCH(INDEX($BP$12:$BU$12,1,MATCH(BT23,$BP$15:$BU$15,0)),结果汇总!$AI$10:$AI$13,0)</f>
        <v>#VALUE!</v>
      </c>
      <c r="CI23" s="10" t="e">
        <f>MATCH(INDEX($BP$12:$BU$12,1,MATCH(BU23,$BP$15:$BU$15,0)),结果汇总!$AI$10:$AI$13,0)</f>
        <v>#VALUE!</v>
      </c>
      <c r="CK23" s="10">
        <f t="shared" si="60"/>
        <v>0</v>
      </c>
      <c r="CL23" s="10">
        <f t="shared" si="19"/>
        <v>0</v>
      </c>
      <c r="CM23" s="10">
        <f t="shared" si="19"/>
        <v>0</v>
      </c>
      <c r="CN23" s="10">
        <f t="shared" si="19"/>
        <v>0</v>
      </c>
      <c r="CO23" s="10" t="e">
        <f t="shared" si="61"/>
        <v>#DIV/0!</v>
      </c>
      <c r="CP23" s="10" t="e">
        <f t="shared" si="20"/>
        <v>#DIV/0!</v>
      </c>
      <c r="CQ23" s="10" t="e">
        <f t="shared" si="20"/>
        <v>#DIV/0!</v>
      </c>
      <c r="CR23" s="10" t="e">
        <f t="shared" si="20"/>
        <v>#DIV/0!</v>
      </c>
      <c r="CS23" s="10">
        <f t="shared" si="62"/>
        <v>0</v>
      </c>
      <c r="CT23" s="10">
        <f t="shared" si="21"/>
        <v>0</v>
      </c>
      <c r="CU23" s="10">
        <f t="shared" si="21"/>
        <v>0</v>
      </c>
      <c r="CV23" s="10">
        <f t="shared" si="21"/>
        <v>0</v>
      </c>
      <c r="CW23" s="10">
        <f t="shared" si="63"/>
        <v>0</v>
      </c>
      <c r="CX23" s="10">
        <f t="shared" si="22"/>
        <v>0</v>
      </c>
      <c r="CY23" s="10">
        <f t="shared" si="22"/>
        <v>0</v>
      </c>
      <c r="CZ23" s="10">
        <f t="shared" si="22"/>
        <v>0</v>
      </c>
    </row>
    <row r="24" spans="4:104" x14ac:dyDescent="0.15">
      <c r="D24" s="10">
        <v>9</v>
      </c>
      <c r="E24" s="10" t="e">
        <f t="shared" si="23"/>
        <v>#VALUE!</v>
      </c>
      <c r="F24" s="10" t="e">
        <f t="shared" si="3"/>
        <v>#VALUE!</v>
      </c>
      <c r="G24" s="10" t="e">
        <f t="shared" si="4"/>
        <v>#VALUE!</v>
      </c>
      <c r="H24" s="10" t="e">
        <f t="shared" si="24"/>
        <v>#VALUE!</v>
      </c>
      <c r="I24" s="10" t="e">
        <f t="shared" si="5"/>
        <v>#VALUE!</v>
      </c>
      <c r="J24" s="10" t="e">
        <f t="shared" si="25"/>
        <v>#VALUE!</v>
      </c>
      <c r="K24" s="10" t="e">
        <f t="shared" si="6"/>
        <v>#VALUE!</v>
      </c>
      <c r="L24" s="10" t="e">
        <f t="shared" si="7"/>
        <v>#VALUE!</v>
      </c>
      <c r="M24" s="10" t="e">
        <f t="shared" si="26"/>
        <v>#VALUE!</v>
      </c>
      <c r="O24" s="10" t="e">
        <f t="shared" si="27"/>
        <v>#VALUE!</v>
      </c>
      <c r="P24" s="10" t="e">
        <f t="shared" si="8"/>
        <v>#VALUE!</v>
      </c>
      <c r="Q24" s="10" t="e">
        <f t="shared" si="9"/>
        <v>#VALUE!</v>
      </c>
      <c r="R24" s="10" t="e">
        <f t="shared" si="28"/>
        <v>#VALUE!</v>
      </c>
      <c r="S24" s="10" t="e">
        <f t="shared" si="29"/>
        <v>#VALUE!</v>
      </c>
      <c r="T24" s="10" t="e">
        <f t="shared" si="64"/>
        <v>#VALUE!</v>
      </c>
      <c r="U24" s="10" t="e">
        <f t="shared" si="65"/>
        <v>#VALUE!</v>
      </c>
      <c r="V24" s="10" t="e">
        <f t="shared" si="10"/>
        <v>#VALUE!</v>
      </c>
      <c r="W24" s="10" t="e">
        <f t="shared" si="30"/>
        <v>#VALUE!</v>
      </c>
      <c r="Y24" s="10" t="e">
        <f t="shared" si="31"/>
        <v>#VALUE!</v>
      </c>
      <c r="Z24" s="11" t="e">
        <f t="shared" si="32"/>
        <v>#VALUE!</v>
      </c>
      <c r="AA24" s="10" t="e">
        <f t="shared" si="11"/>
        <v>#VALUE!</v>
      </c>
      <c r="AB24" s="10" t="e">
        <f t="shared" si="33"/>
        <v>#VALUE!</v>
      </c>
      <c r="AC24" s="10" t="e">
        <f t="shared" si="34"/>
        <v>#VALUE!</v>
      </c>
      <c r="AD24" s="10" t="e">
        <f t="shared" si="66"/>
        <v>#VALUE!</v>
      </c>
      <c r="AE24" s="10" t="e">
        <f t="shared" si="67"/>
        <v>#VALUE!</v>
      </c>
      <c r="AF24" s="10" t="e">
        <f t="shared" si="12"/>
        <v>#VALUE!</v>
      </c>
      <c r="AG24" s="10" t="e">
        <f t="shared" si="35"/>
        <v>#VALUE!</v>
      </c>
      <c r="AI24" s="13"/>
      <c r="AK24" s="10" t="e">
        <f t="shared" si="36"/>
        <v>#VALUE!</v>
      </c>
      <c r="AL24" s="10" t="e">
        <f t="shared" si="68"/>
        <v>#VALUE!</v>
      </c>
      <c r="AM24" s="10" t="e">
        <f t="shared" si="13"/>
        <v>#VALUE!</v>
      </c>
      <c r="AN24" s="10" t="e">
        <f t="shared" si="37"/>
        <v>#VALUE!</v>
      </c>
      <c r="AO24" s="10" t="e">
        <f t="shared" si="38"/>
        <v>#VALUE!</v>
      </c>
      <c r="AP24" s="10" t="e">
        <f t="shared" si="39"/>
        <v>#VALUE!</v>
      </c>
      <c r="AQ24" s="10" t="e">
        <f t="shared" si="69"/>
        <v>#VALUE!</v>
      </c>
      <c r="AR24" s="10" t="e">
        <f t="shared" si="14"/>
        <v>#VALUE!</v>
      </c>
      <c r="AS24" s="10" t="e">
        <f t="shared" si="70"/>
        <v>#VALUE!</v>
      </c>
      <c r="AU24" s="10" t="e">
        <f t="shared" si="40"/>
        <v>#VALUE!</v>
      </c>
      <c r="AV24" s="10" t="e">
        <f t="shared" si="71"/>
        <v>#VALUE!</v>
      </c>
      <c r="AW24" s="10" t="e">
        <f t="shared" si="15"/>
        <v>#VALUE!</v>
      </c>
      <c r="AX24" s="10" t="e">
        <f t="shared" si="41"/>
        <v>#VALUE!</v>
      </c>
      <c r="AY24" s="10" t="e">
        <f t="shared" si="42"/>
        <v>#VALUE!</v>
      </c>
      <c r="AZ24" s="10" t="e">
        <f t="shared" si="43"/>
        <v>#VALUE!</v>
      </c>
      <c r="BA24" s="10" t="e">
        <f t="shared" si="72"/>
        <v>#VALUE!</v>
      </c>
      <c r="BB24" s="10" t="e">
        <f t="shared" si="16"/>
        <v>#VALUE!</v>
      </c>
      <c r="BC24" s="10" t="e">
        <f t="shared" si="73"/>
        <v>#VALUE!</v>
      </c>
      <c r="BE24" s="10" t="e">
        <f t="shared" si="44"/>
        <v>#VALUE!</v>
      </c>
      <c r="BF24" s="10" t="e">
        <f t="shared" si="74"/>
        <v>#VALUE!</v>
      </c>
      <c r="BG24" s="10" t="e">
        <f t="shared" si="17"/>
        <v>#VALUE!</v>
      </c>
      <c r="BH24" s="10" t="e">
        <f t="shared" si="45"/>
        <v>#VALUE!</v>
      </c>
      <c r="BI24" s="10" t="e">
        <f t="shared" si="46"/>
        <v>#VALUE!</v>
      </c>
      <c r="BJ24" s="10" t="e">
        <f t="shared" si="47"/>
        <v>#VALUE!</v>
      </c>
      <c r="BK24" s="10" t="e">
        <f t="shared" si="75"/>
        <v>#VALUE!</v>
      </c>
      <c r="BL24" s="10" t="e">
        <f t="shared" si="18"/>
        <v>#VALUE!</v>
      </c>
      <c r="BM24" s="10" t="e">
        <f t="shared" si="76"/>
        <v>#VALUE!</v>
      </c>
      <c r="BP24" s="10" t="e">
        <f t="shared" si="48"/>
        <v>#VALUE!</v>
      </c>
      <c r="BQ24" s="10" t="e">
        <f t="shared" si="49"/>
        <v>#VALUE!</v>
      </c>
      <c r="BR24" s="10" t="e">
        <f t="shared" si="50"/>
        <v>#VALUE!</v>
      </c>
      <c r="BS24" s="10" t="e">
        <f t="shared" si="51"/>
        <v>#VALUE!</v>
      </c>
      <c r="BT24" s="10" t="e">
        <f t="shared" si="52"/>
        <v>#VALUE!</v>
      </c>
      <c r="BU24" s="10" t="e">
        <f t="shared" si="53"/>
        <v>#VALUE!</v>
      </c>
      <c r="BW24" s="10" t="e">
        <f t="shared" si="54"/>
        <v>#VALUE!</v>
      </c>
      <c r="BX24" s="10" t="e">
        <f t="shared" si="55"/>
        <v>#VALUE!</v>
      </c>
      <c r="BY24" s="10" t="e">
        <f t="shared" si="56"/>
        <v>#VALUE!</v>
      </c>
      <c r="BZ24" s="10" t="e">
        <f t="shared" si="57"/>
        <v>#VALUE!</v>
      </c>
      <c r="CA24" s="10" t="e">
        <f t="shared" si="58"/>
        <v>#VALUE!</v>
      </c>
      <c r="CB24" s="10" t="e">
        <f t="shared" si="59"/>
        <v>#VALUE!</v>
      </c>
      <c r="CD24" s="10" t="e">
        <f>MATCH(INDEX($BP$12:$BU$12,1,MATCH(BP24,$BP$15:$BU$15,0)),结果汇总!$AI$10:$AI$13,0)</f>
        <v>#VALUE!</v>
      </c>
      <c r="CE24" s="10" t="e">
        <f>MATCH(INDEX($BP$12:$BU$12,1,MATCH(BQ24,$BP$15:$BU$15,0)),结果汇总!$AI$10:$AI$13,0)</f>
        <v>#VALUE!</v>
      </c>
      <c r="CF24" s="10" t="e">
        <f>MATCH(INDEX($BP$12:$BU$12,1,MATCH(BR24,$BP$15:$BU$15,0)),结果汇总!$AI$10:$AI$13,0)</f>
        <v>#VALUE!</v>
      </c>
      <c r="CG24" s="10" t="e">
        <f>MATCH(INDEX($BP$12:$BU$12,1,MATCH(BS24,$BP$15:$BU$15,0)),结果汇总!$AI$10:$AI$13,0)</f>
        <v>#VALUE!</v>
      </c>
      <c r="CH24" s="10" t="e">
        <f>MATCH(INDEX($BP$12:$BU$12,1,MATCH(BT24,$BP$15:$BU$15,0)),结果汇总!$AI$10:$AI$13,0)</f>
        <v>#VALUE!</v>
      </c>
      <c r="CI24" s="10" t="e">
        <f>MATCH(INDEX($BP$12:$BU$12,1,MATCH(BU24,$BP$15:$BU$15,0)),结果汇总!$AI$10:$AI$13,0)</f>
        <v>#VALUE!</v>
      </c>
      <c r="CK24" s="10">
        <f t="shared" si="60"/>
        <v>0</v>
      </c>
      <c r="CL24" s="10">
        <f t="shared" si="19"/>
        <v>0</v>
      </c>
      <c r="CM24" s="10">
        <f t="shared" si="19"/>
        <v>0</v>
      </c>
      <c r="CN24" s="10">
        <f t="shared" si="19"/>
        <v>0</v>
      </c>
      <c r="CO24" s="10" t="e">
        <f t="shared" si="61"/>
        <v>#DIV/0!</v>
      </c>
      <c r="CP24" s="10" t="e">
        <f t="shared" si="20"/>
        <v>#DIV/0!</v>
      </c>
      <c r="CQ24" s="10" t="e">
        <f t="shared" si="20"/>
        <v>#DIV/0!</v>
      </c>
      <c r="CR24" s="10" t="e">
        <f t="shared" si="20"/>
        <v>#DIV/0!</v>
      </c>
      <c r="CS24" s="10">
        <f t="shared" si="62"/>
        <v>0</v>
      </c>
      <c r="CT24" s="10">
        <f t="shared" si="21"/>
        <v>0</v>
      </c>
      <c r="CU24" s="10">
        <f t="shared" si="21"/>
        <v>0</v>
      </c>
      <c r="CV24" s="10">
        <f t="shared" si="21"/>
        <v>0</v>
      </c>
      <c r="CW24" s="10">
        <f t="shared" si="63"/>
        <v>0</v>
      </c>
      <c r="CX24" s="10">
        <f t="shared" si="22"/>
        <v>0</v>
      </c>
      <c r="CY24" s="10">
        <f t="shared" si="22"/>
        <v>0</v>
      </c>
      <c r="CZ24" s="10">
        <f t="shared" si="22"/>
        <v>0</v>
      </c>
    </row>
    <row r="25" spans="4:104" x14ac:dyDescent="0.15">
      <c r="D25" s="10">
        <v>10</v>
      </c>
      <c r="E25" s="10" t="e">
        <f t="shared" si="23"/>
        <v>#VALUE!</v>
      </c>
      <c r="F25" s="10" t="e">
        <f t="shared" si="3"/>
        <v>#VALUE!</v>
      </c>
      <c r="G25" s="10" t="e">
        <f t="shared" si="4"/>
        <v>#VALUE!</v>
      </c>
      <c r="H25" s="10" t="e">
        <f t="shared" si="24"/>
        <v>#VALUE!</v>
      </c>
      <c r="I25" s="10" t="e">
        <f t="shared" si="5"/>
        <v>#VALUE!</v>
      </c>
      <c r="J25" s="10" t="e">
        <f t="shared" si="25"/>
        <v>#VALUE!</v>
      </c>
      <c r="K25" s="10" t="e">
        <f t="shared" si="6"/>
        <v>#VALUE!</v>
      </c>
      <c r="L25" s="10" t="e">
        <f t="shared" si="7"/>
        <v>#VALUE!</v>
      </c>
      <c r="M25" s="10" t="e">
        <f t="shared" si="26"/>
        <v>#VALUE!</v>
      </c>
      <c r="O25" s="10" t="e">
        <f t="shared" si="27"/>
        <v>#VALUE!</v>
      </c>
      <c r="P25" s="10" t="e">
        <f t="shared" si="8"/>
        <v>#VALUE!</v>
      </c>
      <c r="Q25" s="10" t="e">
        <f t="shared" si="9"/>
        <v>#VALUE!</v>
      </c>
      <c r="R25" s="10" t="e">
        <f t="shared" si="28"/>
        <v>#VALUE!</v>
      </c>
      <c r="S25" s="10" t="e">
        <f t="shared" si="29"/>
        <v>#VALUE!</v>
      </c>
      <c r="T25" s="10" t="e">
        <f t="shared" si="64"/>
        <v>#VALUE!</v>
      </c>
      <c r="U25" s="10" t="e">
        <f t="shared" si="65"/>
        <v>#VALUE!</v>
      </c>
      <c r="V25" s="10" t="e">
        <f t="shared" si="10"/>
        <v>#VALUE!</v>
      </c>
      <c r="W25" s="10" t="e">
        <f t="shared" si="30"/>
        <v>#VALUE!</v>
      </c>
      <c r="Y25" s="10" t="e">
        <f t="shared" si="31"/>
        <v>#VALUE!</v>
      </c>
      <c r="Z25" s="11" t="e">
        <f t="shared" si="32"/>
        <v>#VALUE!</v>
      </c>
      <c r="AA25" s="10" t="e">
        <f t="shared" si="11"/>
        <v>#VALUE!</v>
      </c>
      <c r="AB25" s="10" t="e">
        <f t="shared" si="33"/>
        <v>#VALUE!</v>
      </c>
      <c r="AC25" s="10" t="e">
        <f t="shared" si="34"/>
        <v>#VALUE!</v>
      </c>
      <c r="AD25" s="10" t="e">
        <f t="shared" si="66"/>
        <v>#VALUE!</v>
      </c>
      <c r="AE25" s="10" t="e">
        <f t="shared" si="67"/>
        <v>#VALUE!</v>
      </c>
      <c r="AF25" s="10" t="e">
        <f t="shared" si="12"/>
        <v>#VALUE!</v>
      </c>
      <c r="AG25" s="10" t="e">
        <f t="shared" si="35"/>
        <v>#VALUE!</v>
      </c>
      <c r="AI25" s="13"/>
      <c r="AK25" s="10" t="e">
        <f t="shared" si="36"/>
        <v>#VALUE!</v>
      </c>
      <c r="AL25" s="10" t="e">
        <f t="shared" si="68"/>
        <v>#VALUE!</v>
      </c>
      <c r="AM25" s="10" t="e">
        <f t="shared" si="13"/>
        <v>#VALUE!</v>
      </c>
      <c r="AN25" s="10" t="e">
        <f t="shared" si="37"/>
        <v>#VALUE!</v>
      </c>
      <c r="AO25" s="10" t="e">
        <f t="shared" si="38"/>
        <v>#VALUE!</v>
      </c>
      <c r="AP25" s="10" t="e">
        <f t="shared" si="39"/>
        <v>#VALUE!</v>
      </c>
      <c r="AQ25" s="10" t="e">
        <f t="shared" si="69"/>
        <v>#VALUE!</v>
      </c>
      <c r="AR25" s="10" t="e">
        <f t="shared" si="14"/>
        <v>#VALUE!</v>
      </c>
      <c r="AS25" s="10" t="e">
        <f t="shared" si="70"/>
        <v>#VALUE!</v>
      </c>
      <c r="AU25" s="10" t="e">
        <f t="shared" si="40"/>
        <v>#VALUE!</v>
      </c>
      <c r="AV25" s="10" t="e">
        <f t="shared" si="71"/>
        <v>#VALUE!</v>
      </c>
      <c r="AW25" s="10" t="e">
        <f t="shared" si="15"/>
        <v>#VALUE!</v>
      </c>
      <c r="AX25" s="10" t="e">
        <f t="shared" si="41"/>
        <v>#VALUE!</v>
      </c>
      <c r="AY25" s="10" t="e">
        <f t="shared" si="42"/>
        <v>#VALUE!</v>
      </c>
      <c r="AZ25" s="10" t="e">
        <f t="shared" si="43"/>
        <v>#VALUE!</v>
      </c>
      <c r="BA25" s="10" t="e">
        <f t="shared" si="72"/>
        <v>#VALUE!</v>
      </c>
      <c r="BB25" s="10" t="e">
        <f t="shared" si="16"/>
        <v>#VALUE!</v>
      </c>
      <c r="BC25" s="10" t="e">
        <f t="shared" si="73"/>
        <v>#VALUE!</v>
      </c>
      <c r="BE25" s="10" t="e">
        <f t="shared" si="44"/>
        <v>#VALUE!</v>
      </c>
      <c r="BF25" s="10" t="e">
        <f t="shared" si="74"/>
        <v>#VALUE!</v>
      </c>
      <c r="BG25" s="10" t="e">
        <f t="shared" si="17"/>
        <v>#VALUE!</v>
      </c>
      <c r="BH25" s="10" t="e">
        <f t="shared" si="45"/>
        <v>#VALUE!</v>
      </c>
      <c r="BI25" s="10" t="e">
        <f t="shared" si="46"/>
        <v>#VALUE!</v>
      </c>
      <c r="BJ25" s="10" t="e">
        <f t="shared" si="47"/>
        <v>#VALUE!</v>
      </c>
      <c r="BK25" s="10" t="e">
        <f t="shared" si="75"/>
        <v>#VALUE!</v>
      </c>
      <c r="BL25" s="10" t="e">
        <f t="shared" si="18"/>
        <v>#VALUE!</v>
      </c>
      <c r="BM25" s="10" t="e">
        <f t="shared" si="76"/>
        <v>#VALUE!</v>
      </c>
      <c r="BP25" s="10" t="e">
        <f t="shared" si="48"/>
        <v>#VALUE!</v>
      </c>
      <c r="BQ25" s="10" t="e">
        <f t="shared" si="49"/>
        <v>#VALUE!</v>
      </c>
      <c r="BR25" s="10" t="e">
        <f t="shared" si="50"/>
        <v>#VALUE!</v>
      </c>
      <c r="BS25" s="10" t="e">
        <f t="shared" si="51"/>
        <v>#VALUE!</v>
      </c>
      <c r="BT25" s="10" t="e">
        <f t="shared" si="52"/>
        <v>#VALUE!</v>
      </c>
      <c r="BU25" s="10" t="e">
        <f t="shared" si="53"/>
        <v>#VALUE!</v>
      </c>
      <c r="BW25" s="10" t="e">
        <f t="shared" si="54"/>
        <v>#VALUE!</v>
      </c>
      <c r="BX25" s="10" t="e">
        <f t="shared" si="55"/>
        <v>#VALUE!</v>
      </c>
      <c r="BY25" s="10" t="e">
        <f t="shared" si="56"/>
        <v>#VALUE!</v>
      </c>
      <c r="BZ25" s="10" t="e">
        <f t="shared" si="57"/>
        <v>#VALUE!</v>
      </c>
      <c r="CA25" s="10" t="e">
        <f t="shared" si="58"/>
        <v>#VALUE!</v>
      </c>
      <c r="CB25" s="10" t="e">
        <f t="shared" si="59"/>
        <v>#VALUE!</v>
      </c>
      <c r="CD25" s="10" t="e">
        <f>MATCH(INDEX($BP$12:$BU$12,1,MATCH(BP25,$BP$15:$BU$15,0)),结果汇总!$AI$10:$AI$13,0)</f>
        <v>#VALUE!</v>
      </c>
      <c r="CE25" s="10" t="e">
        <f>MATCH(INDEX($BP$12:$BU$12,1,MATCH(BQ25,$BP$15:$BU$15,0)),结果汇总!$AI$10:$AI$13,0)</f>
        <v>#VALUE!</v>
      </c>
      <c r="CF25" s="10" t="e">
        <f>MATCH(INDEX($BP$12:$BU$12,1,MATCH(BR25,$BP$15:$BU$15,0)),结果汇总!$AI$10:$AI$13,0)</f>
        <v>#VALUE!</v>
      </c>
      <c r="CG25" s="10" t="e">
        <f>MATCH(INDEX($BP$12:$BU$12,1,MATCH(BS25,$BP$15:$BU$15,0)),结果汇总!$AI$10:$AI$13,0)</f>
        <v>#VALUE!</v>
      </c>
      <c r="CH25" s="10" t="e">
        <f>MATCH(INDEX($BP$12:$BU$12,1,MATCH(BT25,$BP$15:$BU$15,0)),结果汇总!$AI$10:$AI$13,0)</f>
        <v>#VALUE!</v>
      </c>
      <c r="CI25" s="10" t="e">
        <f>MATCH(INDEX($BP$12:$BU$12,1,MATCH(BU25,$BP$15:$BU$15,0)),结果汇总!$AI$10:$AI$13,0)</f>
        <v>#VALUE!</v>
      </c>
      <c r="CK25" s="10">
        <f t="shared" si="60"/>
        <v>0</v>
      </c>
      <c r="CL25" s="10">
        <f t="shared" si="19"/>
        <v>0</v>
      </c>
      <c r="CM25" s="10">
        <f t="shared" si="19"/>
        <v>0</v>
      </c>
      <c r="CN25" s="10">
        <f t="shared" si="19"/>
        <v>0</v>
      </c>
      <c r="CO25" s="10" t="e">
        <f t="shared" si="61"/>
        <v>#DIV/0!</v>
      </c>
      <c r="CP25" s="10" t="e">
        <f t="shared" si="20"/>
        <v>#DIV/0!</v>
      </c>
      <c r="CQ25" s="10" t="e">
        <f t="shared" si="20"/>
        <v>#DIV/0!</v>
      </c>
      <c r="CR25" s="10" t="e">
        <f t="shared" si="20"/>
        <v>#DIV/0!</v>
      </c>
      <c r="CS25" s="10">
        <f t="shared" si="62"/>
        <v>0</v>
      </c>
      <c r="CT25" s="10">
        <f t="shared" si="21"/>
        <v>0</v>
      </c>
      <c r="CU25" s="10">
        <f t="shared" si="21"/>
        <v>0</v>
      </c>
      <c r="CV25" s="10">
        <f t="shared" si="21"/>
        <v>0</v>
      </c>
      <c r="CW25" s="10">
        <f t="shared" si="63"/>
        <v>0</v>
      </c>
      <c r="CX25" s="10">
        <f t="shared" si="22"/>
        <v>0</v>
      </c>
      <c r="CY25" s="10">
        <f t="shared" si="22"/>
        <v>0</v>
      </c>
      <c r="CZ25" s="10">
        <f t="shared" si="22"/>
        <v>0</v>
      </c>
    </row>
    <row r="26" spans="4:104" x14ac:dyDescent="0.15">
      <c r="D26" s="10">
        <v>11</v>
      </c>
      <c r="E26" s="10" t="e">
        <f t="shared" si="23"/>
        <v>#VALUE!</v>
      </c>
      <c r="F26" s="10" t="e">
        <f t="shared" si="3"/>
        <v>#VALUE!</v>
      </c>
      <c r="G26" s="10" t="e">
        <f t="shared" si="4"/>
        <v>#VALUE!</v>
      </c>
      <c r="H26" s="10" t="e">
        <f t="shared" si="24"/>
        <v>#VALUE!</v>
      </c>
      <c r="I26" s="10" t="e">
        <f t="shared" si="5"/>
        <v>#VALUE!</v>
      </c>
      <c r="J26" s="10" t="e">
        <f t="shared" si="25"/>
        <v>#VALUE!</v>
      </c>
      <c r="K26" s="10" t="e">
        <f t="shared" si="6"/>
        <v>#VALUE!</v>
      </c>
      <c r="L26" s="10" t="e">
        <f t="shared" si="7"/>
        <v>#VALUE!</v>
      </c>
      <c r="M26" s="10" t="e">
        <f t="shared" si="26"/>
        <v>#VALUE!</v>
      </c>
      <c r="O26" s="10" t="e">
        <f t="shared" si="27"/>
        <v>#VALUE!</v>
      </c>
      <c r="P26" s="10" t="e">
        <f t="shared" si="8"/>
        <v>#VALUE!</v>
      </c>
      <c r="Q26" s="10" t="e">
        <f t="shared" si="9"/>
        <v>#VALUE!</v>
      </c>
      <c r="R26" s="10" t="e">
        <f t="shared" si="28"/>
        <v>#VALUE!</v>
      </c>
      <c r="S26" s="10" t="e">
        <f t="shared" si="29"/>
        <v>#VALUE!</v>
      </c>
      <c r="T26" s="10" t="e">
        <f t="shared" si="64"/>
        <v>#VALUE!</v>
      </c>
      <c r="U26" s="10" t="e">
        <f t="shared" si="65"/>
        <v>#VALUE!</v>
      </c>
      <c r="V26" s="10" t="e">
        <f t="shared" si="10"/>
        <v>#VALUE!</v>
      </c>
      <c r="W26" s="10" t="e">
        <f t="shared" si="30"/>
        <v>#VALUE!</v>
      </c>
      <c r="Y26" s="10" t="e">
        <f t="shared" si="31"/>
        <v>#VALUE!</v>
      </c>
      <c r="Z26" s="11" t="e">
        <f t="shared" si="32"/>
        <v>#VALUE!</v>
      </c>
      <c r="AA26" s="10" t="e">
        <f t="shared" si="11"/>
        <v>#VALUE!</v>
      </c>
      <c r="AB26" s="10" t="e">
        <f t="shared" si="33"/>
        <v>#VALUE!</v>
      </c>
      <c r="AC26" s="10" t="e">
        <f t="shared" si="34"/>
        <v>#VALUE!</v>
      </c>
      <c r="AD26" s="10" t="e">
        <f t="shared" si="66"/>
        <v>#VALUE!</v>
      </c>
      <c r="AE26" s="10" t="e">
        <f t="shared" si="67"/>
        <v>#VALUE!</v>
      </c>
      <c r="AF26" s="10" t="e">
        <f t="shared" si="12"/>
        <v>#VALUE!</v>
      </c>
      <c r="AG26" s="10" t="e">
        <f t="shared" si="35"/>
        <v>#VALUE!</v>
      </c>
      <c r="AI26" s="13"/>
      <c r="AK26" s="10" t="e">
        <f t="shared" si="36"/>
        <v>#VALUE!</v>
      </c>
      <c r="AL26" s="10" t="e">
        <f t="shared" si="68"/>
        <v>#VALUE!</v>
      </c>
      <c r="AM26" s="10" t="e">
        <f t="shared" si="13"/>
        <v>#VALUE!</v>
      </c>
      <c r="AN26" s="10" t="e">
        <f t="shared" si="37"/>
        <v>#VALUE!</v>
      </c>
      <c r="AO26" s="10" t="e">
        <f t="shared" si="38"/>
        <v>#VALUE!</v>
      </c>
      <c r="AP26" s="10" t="e">
        <f t="shared" si="39"/>
        <v>#VALUE!</v>
      </c>
      <c r="AQ26" s="10" t="e">
        <f t="shared" si="69"/>
        <v>#VALUE!</v>
      </c>
      <c r="AR26" s="10" t="e">
        <f t="shared" si="14"/>
        <v>#VALUE!</v>
      </c>
      <c r="AS26" s="10" t="e">
        <f t="shared" si="70"/>
        <v>#VALUE!</v>
      </c>
      <c r="AU26" s="10" t="e">
        <f t="shared" si="40"/>
        <v>#VALUE!</v>
      </c>
      <c r="AV26" s="10" t="e">
        <f t="shared" si="71"/>
        <v>#VALUE!</v>
      </c>
      <c r="AW26" s="10" t="e">
        <f t="shared" si="15"/>
        <v>#VALUE!</v>
      </c>
      <c r="AX26" s="10" t="e">
        <f t="shared" si="41"/>
        <v>#VALUE!</v>
      </c>
      <c r="AY26" s="10" t="e">
        <f t="shared" si="42"/>
        <v>#VALUE!</v>
      </c>
      <c r="AZ26" s="10" t="e">
        <f t="shared" si="43"/>
        <v>#VALUE!</v>
      </c>
      <c r="BA26" s="10" t="e">
        <f t="shared" si="72"/>
        <v>#VALUE!</v>
      </c>
      <c r="BB26" s="10" t="e">
        <f t="shared" si="16"/>
        <v>#VALUE!</v>
      </c>
      <c r="BC26" s="10" t="e">
        <f t="shared" si="73"/>
        <v>#VALUE!</v>
      </c>
      <c r="BE26" s="10" t="e">
        <f t="shared" si="44"/>
        <v>#VALUE!</v>
      </c>
      <c r="BF26" s="10" t="e">
        <f t="shared" si="74"/>
        <v>#VALUE!</v>
      </c>
      <c r="BG26" s="10" t="e">
        <f t="shared" si="17"/>
        <v>#VALUE!</v>
      </c>
      <c r="BH26" s="10" t="e">
        <f t="shared" si="45"/>
        <v>#VALUE!</v>
      </c>
      <c r="BI26" s="10" t="e">
        <f t="shared" si="46"/>
        <v>#VALUE!</v>
      </c>
      <c r="BJ26" s="10" t="e">
        <f t="shared" si="47"/>
        <v>#VALUE!</v>
      </c>
      <c r="BK26" s="10" t="e">
        <f t="shared" si="75"/>
        <v>#VALUE!</v>
      </c>
      <c r="BL26" s="10" t="e">
        <f t="shared" si="18"/>
        <v>#VALUE!</v>
      </c>
      <c r="BM26" s="10" t="e">
        <f t="shared" si="76"/>
        <v>#VALUE!</v>
      </c>
      <c r="BP26" s="10" t="e">
        <f t="shared" si="48"/>
        <v>#VALUE!</v>
      </c>
      <c r="BQ26" s="10" t="e">
        <f t="shared" si="49"/>
        <v>#VALUE!</v>
      </c>
      <c r="BR26" s="10" t="e">
        <f t="shared" si="50"/>
        <v>#VALUE!</v>
      </c>
      <c r="BS26" s="10" t="e">
        <f t="shared" si="51"/>
        <v>#VALUE!</v>
      </c>
      <c r="BT26" s="10" t="e">
        <f t="shared" si="52"/>
        <v>#VALUE!</v>
      </c>
      <c r="BU26" s="10" t="e">
        <f t="shared" si="53"/>
        <v>#VALUE!</v>
      </c>
      <c r="BW26" s="10" t="e">
        <f t="shared" si="54"/>
        <v>#VALUE!</v>
      </c>
      <c r="BX26" s="10" t="e">
        <f t="shared" si="55"/>
        <v>#VALUE!</v>
      </c>
      <c r="BY26" s="10" t="e">
        <f t="shared" si="56"/>
        <v>#VALUE!</v>
      </c>
      <c r="BZ26" s="10" t="e">
        <f t="shared" si="57"/>
        <v>#VALUE!</v>
      </c>
      <c r="CA26" s="10" t="e">
        <f t="shared" si="58"/>
        <v>#VALUE!</v>
      </c>
      <c r="CB26" s="10" t="e">
        <f t="shared" si="59"/>
        <v>#VALUE!</v>
      </c>
      <c r="CD26" s="10" t="e">
        <f>MATCH(INDEX($BP$12:$BU$12,1,MATCH(BP26,$BP$15:$BU$15,0)),结果汇总!$AI$10:$AI$13,0)</f>
        <v>#VALUE!</v>
      </c>
      <c r="CE26" s="10" t="e">
        <f>MATCH(INDEX($BP$12:$BU$12,1,MATCH(BQ26,$BP$15:$BU$15,0)),结果汇总!$AI$10:$AI$13,0)</f>
        <v>#VALUE!</v>
      </c>
      <c r="CF26" s="10" t="e">
        <f>MATCH(INDEX($BP$12:$BU$12,1,MATCH(BR26,$BP$15:$BU$15,0)),结果汇总!$AI$10:$AI$13,0)</f>
        <v>#VALUE!</v>
      </c>
      <c r="CG26" s="10" t="e">
        <f>MATCH(INDEX($BP$12:$BU$12,1,MATCH(BS26,$BP$15:$BU$15,0)),结果汇总!$AI$10:$AI$13,0)</f>
        <v>#VALUE!</v>
      </c>
      <c r="CH26" s="10" t="e">
        <f>MATCH(INDEX($BP$12:$BU$12,1,MATCH(BT26,$BP$15:$BU$15,0)),结果汇总!$AI$10:$AI$13,0)</f>
        <v>#VALUE!</v>
      </c>
      <c r="CI26" s="10" t="e">
        <f>MATCH(INDEX($BP$12:$BU$12,1,MATCH(BU26,$BP$15:$BU$15,0)),结果汇总!$AI$10:$AI$13,0)</f>
        <v>#VALUE!</v>
      </c>
      <c r="CK26" s="10">
        <f t="shared" si="60"/>
        <v>0</v>
      </c>
      <c r="CL26" s="10">
        <f t="shared" si="19"/>
        <v>0</v>
      </c>
      <c r="CM26" s="10">
        <f t="shared" si="19"/>
        <v>0</v>
      </c>
      <c r="CN26" s="10">
        <f t="shared" si="19"/>
        <v>0</v>
      </c>
      <c r="CO26" s="10" t="e">
        <f t="shared" si="61"/>
        <v>#DIV/0!</v>
      </c>
      <c r="CP26" s="10" t="e">
        <f t="shared" si="20"/>
        <v>#DIV/0!</v>
      </c>
      <c r="CQ26" s="10" t="e">
        <f t="shared" si="20"/>
        <v>#DIV/0!</v>
      </c>
      <c r="CR26" s="10" t="e">
        <f t="shared" si="20"/>
        <v>#DIV/0!</v>
      </c>
      <c r="CS26" s="10">
        <f t="shared" si="62"/>
        <v>0</v>
      </c>
      <c r="CT26" s="10">
        <f t="shared" si="21"/>
        <v>0</v>
      </c>
      <c r="CU26" s="10">
        <f t="shared" si="21"/>
        <v>0</v>
      </c>
      <c r="CV26" s="10">
        <f t="shared" si="21"/>
        <v>0</v>
      </c>
      <c r="CW26" s="10">
        <f t="shared" si="63"/>
        <v>0</v>
      </c>
      <c r="CX26" s="10">
        <f t="shared" si="22"/>
        <v>0</v>
      </c>
      <c r="CY26" s="10">
        <f t="shared" si="22"/>
        <v>0</v>
      </c>
      <c r="CZ26" s="10">
        <f t="shared" si="22"/>
        <v>0</v>
      </c>
    </row>
    <row r="27" spans="4:104" x14ac:dyDescent="0.15">
      <c r="D27" s="10">
        <v>12</v>
      </c>
      <c r="E27" s="10" t="e">
        <f t="shared" si="23"/>
        <v>#VALUE!</v>
      </c>
      <c r="F27" s="10" t="e">
        <f t="shared" si="3"/>
        <v>#VALUE!</v>
      </c>
      <c r="G27" s="10" t="e">
        <f t="shared" si="4"/>
        <v>#VALUE!</v>
      </c>
      <c r="H27" s="10" t="e">
        <f t="shared" si="24"/>
        <v>#VALUE!</v>
      </c>
      <c r="I27" s="10" t="e">
        <f t="shared" si="5"/>
        <v>#VALUE!</v>
      </c>
      <c r="J27" s="10" t="e">
        <f t="shared" si="25"/>
        <v>#VALUE!</v>
      </c>
      <c r="K27" s="10" t="e">
        <f t="shared" si="6"/>
        <v>#VALUE!</v>
      </c>
      <c r="L27" s="10" t="e">
        <f t="shared" si="7"/>
        <v>#VALUE!</v>
      </c>
      <c r="M27" s="10" t="e">
        <f t="shared" si="26"/>
        <v>#VALUE!</v>
      </c>
      <c r="O27" s="10" t="e">
        <f t="shared" si="27"/>
        <v>#VALUE!</v>
      </c>
      <c r="P27" s="10" t="e">
        <f t="shared" si="8"/>
        <v>#VALUE!</v>
      </c>
      <c r="Q27" s="10" t="e">
        <f t="shared" si="9"/>
        <v>#VALUE!</v>
      </c>
      <c r="R27" s="10" t="e">
        <f t="shared" si="28"/>
        <v>#VALUE!</v>
      </c>
      <c r="S27" s="10" t="e">
        <f t="shared" si="29"/>
        <v>#VALUE!</v>
      </c>
      <c r="T27" s="10" t="e">
        <f t="shared" si="64"/>
        <v>#VALUE!</v>
      </c>
      <c r="U27" s="10" t="e">
        <f t="shared" si="65"/>
        <v>#VALUE!</v>
      </c>
      <c r="V27" s="10" t="e">
        <f t="shared" si="10"/>
        <v>#VALUE!</v>
      </c>
      <c r="W27" s="10" t="e">
        <f t="shared" si="30"/>
        <v>#VALUE!</v>
      </c>
      <c r="Y27" s="10" t="e">
        <f t="shared" si="31"/>
        <v>#VALUE!</v>
      </c>
      <c r="Z27" s="11" t="e">
        <f t="shared" si="32"/>
        <v>#VALUE!</v>
      </c>
      <c r="AA27" s="10" t="e">
        <f t="shared" si="11"/>
        <v>#VALUE!</v>
      </c>
      <c r="AB27" s="10" t="e">
        <f t="shared" si="33"/>
        <v>#VALUE!</v>
      </c>
      <c r="AC27" s="10" t="e">
        <f t="shared" si="34"/>
        <v>#VALUE!</v>
      </c>
      <c r="AD27" s="10" t="e">
        <f t="shared" si="66"/>
        <v>#VALUE!</v>
      </c>
      <c r="AE27" s="10" t="e">
        <f t="shared" si="67"/>
        <v>#VALUE!</v>
      </c>
      <c r="AF27" s="10" t="e">
        <f t="shared" si="12"/>
        <v>#VALUE!</v>
      </c>
      <c r="AG27" s="10" t="e">
        <f t="shared" si="35"/>
        <v>#VALUE!</v>
      </c>
      <c r="AI27" s="13"/>
      <c r="AK27" s="10" t="e">
        <f t="shared" si="36"/>
        <v>#VALUE!</v>
      </c>
      <c r="AL27" s="10" t="e">
        <f t="shared" si="68"/>
        <v>#VALUE!</v>
      </c>
      <c r="AM27" s="10" t="e">
        <f t="shared" si="13"/>
        <v>#VALUE!</v>
      </c>
      <c r="AN27" s="10" t="e">
        <f t="shared" si="37"/>
        <v>#VALUE!</v>
      </c>
      <c r="AO27" s="10" t="e">
        <f t="shared" si="38"/>
        <v>#VALUE!</v>
      </c>
      <c r="AP27" s="10" t="e">
        <f t="shared" si="39"/>
        <v>#VALUE!</v>
      </c>
      <c r="AQ27" s="10" t="e">
        <f t="shared" si="69"/>
        <v>#VALUE!</v>
      </c>
      <c r="AR27" s="10" t="e">
        <f t="shared" si="14"/>
        <v>#VALUE!</v>
      </c>
      <c r="AS27" s="10" t="e">
        <f t="shared" si="70"/>
        <v>#VALUE!</v>
      </c>
      <c r="AU27" s="10" t="e">
        <f t="shared" si="40"/>
        <v>#VALUE!</v>
      </c>
      <c r="AV27" s="10" t="e">
        <f t="shared" si="71"/>
        <v>#VALUE!</v>
      </c>
      <c r="AW27" s="10" t="e">
        <f t="shared" si="15"/>
        <v>#VALUE!</v>
      </c>
      <c r="AX27" s="10" t="e">
        <f t="shared" si="41"/>
        <v>#VALUE!</v>
      </c>
      <c r="AY27" s="10" t="e">
        <f t="shared" si="42"/>
        <v>#VALUE!</v>
      </c>
      <c r="AZ27" s="10" t="e">
        <f t="shared" si="43"/>
        <v>#VALUE!</v>
      </c>
      <c r="BA27" s="10" t="e">
        <f t="shared" si="72"/>
        <v>#VALUE!</v>
      </c>
      <c r="BB27" s="10" t="e">
        <f t="shared" si="16"/>
        <v>#VALUE!</v>
      </c>
      <c r="BC27" s="10" t="e">
        <f t="shared" si="73"/>
        <v>#VALUE!</v>
      </c>
      <c r="BE27" s="10" t="e">
        <f t="shared" si="44"/>
        <v>#VALUE!</v>
      </c>
      <c r="BF27" s="10" t="e">
        <f t="shared" si="74"/>
        <v>#VALUE!</v>
      </c>
      <c r="BG27" s="10" t="e">
        <f t="shared" si="17"/>
        <v>#VALUE!</v>
      </c>
      <c r="BH27" s="10" t="e">
        <f t="shared" si="45"/>
        <v>#VALUE!</v>
      </c>
      <c r="BI27" s="10" t="e">
        <f t="shared" si="46"/>
        <v>#VALUE!</v>
      </c>
      <c r="BJ27" s="10" t="e">
        <f t="shared" si="47"/>
        <v>#VALUE!</v>
      </c>
      <c r="BK27" s="10" t="e">
        <f t="shared" si="75"/>
        <v>#VALUE!</v>
      </c>
      <c r="BL27" s="10" t="e">
        <f t="shared" si="18"/>
        <v>#VALUE!</v>
      </c>
      <c r="BM27" s="10" t="e">
        <f t="shared" si="76"/>
        <v>#VALUE!</v>
      </c>
      <c r="BP27" s="10" t="e">
        <f t="shared" si="48"/>
        <v>#VALUE!</v>
      </c>
      <c r="BQ27" s="10" t="e">
        <f t="shared" si="49"/>
        <v>#VALUE!</v>
      </c>
      <c r="BR27" s="10" t="e">
        <f t="shared" si="50"/>
        <v>#VALUE!</v>
      </c>
      <c r="BS27" s="10" t="e">
        <f t="shared" si="51"/>
        <v>#VALUE!</v>
      </c>
      <c r="BT27" s="10" t="e">
        <f t="shared" si="52"/>
        <v>#VALUE!</v>
      </c>
      <c r="BU27" s="10" t="e">
        <f t="shared" si="53"/>
        <v>#VALUE!</v>
      </c>
      <c r="BW27" s="10" t="e">
        <f t="shared" si="54"/>
        <v>#VALUE!</v>
      </c>
      <c r="BX27" s="10" t="e">
        <f t="shared" si="55"/>
        <v>#VALUE!</v>
      </c>
      <c r="BY27" s="10" t="e">
        <f t="shared" si="56"/>
        <v>#VALUE!</v>
      </c>
      <c r="BZ27" s="10" t="e">
        <f t="shared" si="57"/>
        <v>#VALUE!</v>
      </c>
      <c r="CA27" s="10" t="e">
        <f t="shared" si="58"/>
        <v>#VALUE!</v>
      </c>
      <c r="CB27" s="10" t="e">
        <f t="shared" si="59"/>
        <v>#VALUE!</v>
      </c>
      <c r="CD27" s="10" t="e">
        <f>MATCH(INDEX($BP$12:$BU$12,1,MATCH(BP27,$BP$15:$BU$15,0)),结果汇总!$AI$10:$AI$13,0)</f>
        <v>#VALUE!</v>
      </c>
      <c r="CE27" s="10" t="e">
        <f>MATCH(INDEX($BP$12:$BU$12,1,MATCH(BQ27,$BP$15:$BU$15,0)),结果汇总!$AI$10:$AI$13,0)</f>
        <v>#VALUE!</v>
      </c>
      <c r="CF27" s="10" t="e">
        <f>MATCH(INDEX($BP$12:$BU$12,1,MATCH(BR27,$BP$15:$BU$15,0)),结果汇总!$AI$10:$AI$13,0)</f>
        <v>#VALUE!</v>
      </c>
      <c r="CG27" s="10" t="e">
        <f>MATCH(INDEX($BP$12:$BU$12,1,MATCH(BS27,$BP$15:$BU$15,0)),结果汇总!$AI$10:$AI$13,0)</f>
        <v>#VALUE!</v>
      </c>
      <c r="CH27" s="10" t="e">
        <f>MATCH(INDEX($BP$12:$BU$12,1,MATCH(BT27,$BP$15:$BU$15,0)),结果汇总!$AI$10:$AI$13,0)</f>
        <v>#VALUE!</v>
      </c>
      <c r="CI27" s="10" t="e">
        <f>MATCH(INDEX($BP$12:$BU$12,1,MATCH(BU27,$BP$15:$BU$15,0)),结果汇总!$AI$10:$AI$13,0)</f>
        <v>#VALUE!</v>
      </c>
      <c r="CK27" s="10">
        <f t="shared" si="60"/>
        <v>0</v>
      </c>
      <c r="CL27" s="10">
        <f t="shared" si="19"/>
        <v>0</v>
      </c>
      <c r="CM27" s="10">
        <f t="shared" si="19"/>
        <v>0</v>
      </c>
      <c r="CN27" s="10">
        <f t="shared" si="19"/>
        <v>0</v>
      </c>
      <c r="CO27" s="10" t="e">
        <f t="shared" si="61"/>
        <v>#DIV/0!</v>
      </c>
      <c r="CP27" s="10" t="e">
        <f t="shared" si="20"/>
        <v>#DIV/0!</v>
      </c>
      <c r="CQ27" s="10" t="e">
        <f t="shared" si="20"/>
        <v>#DIV/0!</v>
      </c>
      <c r="CR27" s="10" t="e">
        <f t="shared" si="20"/>
        <v>#DIV/0!</v>
      </c>
      <c r="CS27" s="10">
        <f t="shared" si="62"/>
        <v>0</v>
      </c>
      <c r="CT27" s="10">
        <f t="shared" si="21"/>
        <v>0</v>
      </c>
      <c r="CU27" s="10">
        <f t="shared" si="21"/>
        <v>0</v>
      </c>
      <c r="CV27" s="10">
        <f t="shared" si="21"/>
        <v>0</v>
      </c>
      <c r="CW27" s="10">
        <f t="shared" si="63"/>
        <v>0</v>
      </c>
      <c r="CX27" s="10">
        <f t="shared" si="22"/>
        <v>0</v>
      </c>
      <c r="CY27" s="10">
        <f t="shared" si="22"/>
        <v>0</v>
      </c>
      <c r="CZ27" s="10">
        <f t="shared" si="22"/>
        <v>0</v>
      </c>
    </row>
    <row r="28" spans="4:104" x14ac:dyDescent="0.15">
      <c r="D28" s="10">
        <v>13</v>
      </c>
      <c r="E28" s="10" t="e">
        <f t="shared" si="23"/>
        <v>#VALUE!</v>
      </c>
      <c r="F28" s="10" t="e">
        <f t="shared" si="3"/>
        <v>#VALUE!</v>
      </c>
      <c r="G28" s="10" t="e">
        <f t="shared" si="4"/>
        <v>#VALUE!</v>
      </c>
      <c r="H28" s="10" t="e">
        <f t="shared" si="24"/>
        <v>#VALUE!</v>
      </c>
      <c r="I28" s="10" t="e">
        <f t="shared" si="5"/>
        <v>#VALUE!</v>
      </c>
      <c r="J28" s="10" t="e">
        <f t="shared" si="25"/>
        <v>#VALUE!</v>
      </c>
      <c r="K28" s="10" t="e">
        <f t="shared" si="6"/>
        <v>#VALUE!</v>
      </c>
      <c r="L28" s="10" t="e">
        <f t="shared" si="7"/>
        <v>#VALUE!</v>
      </c>
      <c r="M28" s="10" t="e">
        <f t="shared" si="26"/>
        <v>#VALUE!</v>
      </c>
      <c r="O28" s="10" t="e">
        <f t="shared" si="27"/>
        <v>#VALUE!</v>
      </c>
      <c r="P28" s="10" t="e">
        <f t="shared" si="8"/>
        <v>#VALUE!</v>
      </c>
      <c r="Q28" s="10" t="e">
        <f t="shared" si="9"/>
        <v>#VALUE!</v>
      </c>
      <c r="R28" s="10" t="e">
        <f t="shared" si="28"/>
        <v>#VALUE!</v>
      </c>
      <c r="S28" s="10" t="e">
        <f t="shared" si="29"/>
        <v>#VALUE!</v>
      </c>
      <c r="T28" s="10" t="e">
        <f t="shared" si="64"/>
        <v>#VALUE!</v>
      </c>
      <c r="U28" s="10" t="e">
        <f t="shared" si="65"/>
        <v>#VALUE!</v>
      </c>
      <c r="V28" s="10" t="e">
        <f t="shared" si="10"/>
        <v>#VALUE!</v>
      </c>
      <c r="W28" s="10" t="e">
        <f t="shared" si="30"/>
        <v>#VALUE!</v>
      </c>
      <c r="Y28" s="10" t="e">
        <f t="shared" si="31"/>
        <v>#VALUE!</v>
      </c>
      <c r="Z28" s="11" t="e">
        <f t="shared" si="32"/>
        <v>#VALUE!</v>
      </c>
      <c r="AA28" s="10" t="e">
        <f t="shared" si="11"/>
        <v>#VALUE!</v>
      </c>
      <c r="AB28" s="10" t="e">
        <f t="shared" si="33"/>
        <v>#VALUE!</v>
      </c>
      <c r="AC28" s="10" t="e">
        <f t="shared" si="34"/>
        <v>#VALUE!</v>
      </c>
      <c r="AD28" s="10" t="e">
        <f t="shared" si="66"/>
        <v>#VALUE!</v>
      </c>
      <c r="AE28" s="10" t="e">
        <f t="shared" si="67"/>
        <v>#VALUE!</v>
      </c>
      <c r="AF28" s="10" t="e">
        <f t="shared" si="12"/>
        <v>#VALUE!</v>
      </c>
      <c r="AG28" s="10" t="e">
        <f t="shared" si="35"/>
        <v>#VALUE!</v>
      </c>
      <c r="AI28" s="13"/>
      <c r="AK28" s="10" t="e">
        <f t="shared" si="36"/>
        <v>#VALUE!</v>
      </c>
      <c r="AL28" s="10" t="e">
        <f t="shared" si="68"/>
        <v>#VALUE!</v>
      </c>
      <c r="AM28" s="10" t="e">
        <f t="shared" si="13"/>
        <v>#VALUE!</v>
      </c>
      <c r="AN28" s="10" t="e">
        <f t="shared" si="37"/>
        <v>#VALUE!</v>
      </c>
      <c r="AO28" s="10" t="e">
        <f t="shared" si="38"/>
        <v>#VALUE!</v>
      </c>
      <c r="AP28" s="10" t="e">
        <f t="shared" si="39"/>
        <v>#VALUE!</v>
      </c>
      <c r="AQ28" s="10" t="e">
        <f t="shared" si="69"/>
        <v>#VALUE!</v>
      </c>
      <c r="AR28" s="10" t="e">
        <f t="shared" si="14"/>
        <v>#VALUE!</v>
      </c>
      <c r="AS28" s="10" t="e">
        <f t="shared" si="70"/>
        <v>#VALUE!</v>
      </c>
      <c r="AU28" s="10" t="e">
        <f t="shared" si="40"/>
        <v>#VALUE!</v>
      </c>
      <c r="AV28" s="10" t="e">
        <f t="shared" si="71"/>
        <v>#VALUE!</v>
      </c>
      <c r="AW28" s="10" t="e">
        <f t="shared" si="15"/>
        <v>#VALUE!</v>
      </c>
      <c r="AX28" s="10" t="e">
        <f t="shared" si="41"/>
        <v>#VALUE!</v>
      </c>
      <c r="AY28" s="10" t="e">
        <f t="shared" si="42"/>
        <v>#VALUE!</v>
      </c>
      <c r="AZ28" s="10" t="e">
        <f t="shared" si="43"/>
        <v>#VALUE!</v>
      </c>
      <c r="BA28" s="10" t="e">
        <f t="shared" si="72"/>
        <v>#VALUE!</v>
      </c>
      <c r="BB28" s="10" t="e">
        <f t="shared" si="16"/>
        <v>#VALUE!</v>
      </c>
      <c r="BC28" s="10" t="e">
        <f t="shared" si="73"/>
        <v>#VALUE!</v>
      </c>
      <c r="BE28" s="10" t="e">
        <f t="shared" si="44"/>
        <v>#VALUE!</v>
      </c>
      <c r="BF28" s="10" t="e">
        <f t="shared" si="74"/>
        <v>#VALUE!</v>
      </c>
      <c r="BG28" s="10" t="e">
        <f t="shared" si="17"/>
        <v>#VALUE!</v>
      </c>
      <c r="BH28" s="10" t="e">
        <f t="shared" si="45"/>
        <v>#VALUE!</v>
      </c>
      <c r="BI28" s="10" t="e">
        <f t="shared" si="46"/>
        <v>#VALUE!</v>
      </c>
      <c r="BJ28" s="10" t="e">
        <f t="shared" si="47"/>
        <v>#VALUE!</v>
      </c>
      <c r="BK28" s="10" t="e">
        <f t="shared" si="75"/>
        <v>#VALUE!</v>
      </c>
      <c r="BL28" s="10" t="e">
        <f t="shared" si="18"/>
        <v>#VALUE!</v>
      </c>
      <c r="BM28" s="10" t="e">
        <f t="shared" si="76"/>
        <v>#VALUE!</v>
      </c>
      <c r="BP28" s="10" t="e">
        <f t="shared" si="48"/>
        <v>#VALUE!</v>
      </c>
      <c r="BQ28" s="10" t="e">
        <f t="shared" si="49"/>
        <v>#VALUE!</v>
      </c>
      <c r="BR28" s="10" t="e">
        <f t="shared" si="50"/>
        <v>#VALUE!</v>
      </c>
      <c r="BS28" s="10" t="e">
        <f t="shared" si="51"/>
        <v>#VALUE!</v>
      </c>
      <c r="BT28" s="10" t="e">
        <f t="shared" si="52"/>
        <v>#VALUE!</v>
      </c>
      <c r="BU28" s="10" t="e">
        <f t="shared" si="53"/>
        <v>#VALUE!</v>
      </c>
      <c r="BW28" s="10" t="e">
        <f t="shared" si="54"/>
        <v>#VALUE!</v>
      </c>
      <c r="BX28" s="10" t="e">
        <f t="shared" si="55"/>
        <v>#VALUE!</v>
      </c>
      <c r="BY28" s="10" t="e">
        <f t="shared" si="56"/>
        <v>#VALUE!</v>
      </c>
      <c r="BZ28" s="10" t="e">
        <f t="shared" si="57"/>
        <v>#VALUE!</v>
      </c>
      <c r="CA28" s="10" t="e">
        <f t="shared" si="58"/>
        <v>#VALUE!</v>
      </c>
      <c r="CB28" s="10" t="e">
        <f t="shared" si="59"/>
        <v>#VALUE!</v>
      </c>
      <c r="CD28" s="10" t="e">
        <f>MATCH(INDEX($BP$12:$BU$12,1,MATCH(BP28,$BP$15:$BU$15,0)),结果汇总!$AI$10:$AI$13,0)</f>
        <v>#VALUE!</v>
      </c>
      <c r="CE28" s="10" t="e">
        <f>MATCH(INDEX($BP$12:$BU$12,1,MATCH(BQ28,$BP$15:$BU$15,0)),结果汇总!$AI$10:$AI$13,0)</f>
        <v>#VALUE!</v>
      </c>
      <c r="CF28" s="10" t="e">
        <f>MATCH(INDEX($BP$12:$BU$12,1,MATCH(BR28,$BP$15:$BU$15,0)),结果汇总!$AI$10:$AI$13,0)</f>
        <v>#VALUE!</v>
      </c>
      <c r="CG28" s="10" t="e">
        <f>MATCH(INDEX($BP$12:$BU$12,1,MATCH(BS28,$BP$15:$BU$15,0)),结果汇总!$AI$10:$AI$13,0)</f>
        <v>#VALUE!</v>
      </c>
      <c r="CH28" s="10" t="e">
        <f>MATCH(INDEX($BP$12:$BU$12,1,MATCH(BT28,$BP$15:$BU$15,0)),结果汇总!$AI$10:$AI$13,0)</f>
        <v>#VALUE!</v>
      </c>
      <c r="CI28" s="10" t="e">
        <f>MATCH(INDEX($BP$12:$BU$12,1,MATCH(BU28,$BP$15:$BU$15,0)),结果汇总!$AI$10:$AI$13,0)</f>
        <v>#VALUE!</v>
      </c>
      <c r="CK28" s="10">
        <f t="shared" si="60"/>
        <v>0</v>
      </c>
      <c r="CL28" s="10">
        <f t="shared" si="19"/>
        <v>0</v>
      </c>
      <c r="CM28" s="10">
        <f t="shared" si="19"/>
        <v>0</v>
      </c>
      <c r="CN28" s="10">
        <f t="shared" si="19"/>
        <v>0</v>
      </c>
      <c r="CO28" s="10" t="e">
        <f t="shared" si="61"/>
        <v>#DIV/0!</v>
      </c>
      <c r="CP28" s="10" t="e">
        <f t="shared" si="20"/>
        <v>#DIV/0!</v>
      </c>
      <c r="CQ28" s="10" t="e">
        <f t="shared" si="20"/>
        <v>#DIV/0!</v>
      </c>
      <c r="CR28" s="10" t="e">
        <f t="shared" si="20"/>
        <v>#DIV/0!</v>
      </c>
      <c r="CS28" s="10">
        <f t="shared" si="62"/>
        <v>0</v>
      </c>
      <c r="CT28" s="10">
        <f t="shared" si="21"/>
        <v>0</v>
      </c>
      <c r="CU28" s="10">
        <f t="shared" si="21"/>
        <v>0</v>
      </c>
      <c r="CV28" s="10">
        <f t="shared" si="21"/>
        <v>0</v>
      </c>
      <c r="CW28" s="10">
        <f t="shared" si="63"/>
        <v>0</v>
      </c>
      <c r="CX28" s="10">
        <f t="shared" si="22"/>
        <v>0</v>
      </c>
      <c r="CY28" s="10">
        <f t="shared" si="22"/>
        <v>0</v>
      </c>
      <c r="CZ28" s="10">
        <f t="shared" si="22"/>
        <v>0</v>
      </c>
    </row>
    <row r="29" spans="4:104" x14ac:dyDescent="0.15">
      <c r="D29" s="10">
        <v>14</v>
      </c>
      <c r="E29" s="10" t="e">
        <f t="shared" si="23"/>
        <v>#VALUE!</v>
      </c>
      <c r="F29" s="10" t="e">
        <f t="shared" si="3"/>
        <v>#VALUE!</v>
      </c>
      <c r="G29" s="10" t="e">
        <f t="shared" si="4"/>
        <v>#VALUE!</v>
      </c>
      <c r="H29" s="10" t="e">
        <f t="shared" si="24"/>
        <v>#VALUE!</v>
      </c>
      <c r="I29" s="10" t="e">
        <f t="shared" si="5"/>
        <v>#VALUE!</v>
      </c>
      <c r="J29" s="10" t="e">
        <f t="shared" si="25"/>
        <v>#VALUE!</v>
      </c>
      <c r="K29" s="10" t="e">
        <f t="shared" si="6"/>
        <v>#VALUE!</v>
      </c>
      <c r="L29" s="10" t="e">
        <f t="shared" si="7"/>
        <v>#VALUE!</v>
      </c>
      <c r="M29" s="10" t="e">
        <f t="shared" si="26"/>
        <v>#VALUE!</v>
      </c>
      <c r="O29" s="10" t="e">
        <f t="shared" si="27"/>
        <v>#VALUE!</v>
      </c>
      <c r="P29" s="10" t="e">
        <f t="shared" si="8"/>
        <v>#VALUE!</v>
      </c>
      <c r="Q29" s="10" t="e">
        <f t="shared" si="9"/>
        <v>#VALUE!</v>
      </c>
      <c r="R29" s="10" t="e">
        <f t="shared" si="28"/>
        <v>#VALUE!</v>
      </c>
      <c r="S29" s="10" t="e">
        <f t="shared" si="29"/>
        <v>#VALUE!</v>
      </c>
      <c r="T29" s="10" t="e">
        <f t="shared" si="64"/>
        <v>#VALUE!</v>
      </c>
      <c r="U29" s="10" t="e">
        <f t="shared" si="65"/>
        <v>#VALUE!</v>
      </c>
      <c r="V29" s="10" t="e">
        <f t="shared" si="10"/>
        <v>#VALUE!</v>
      </c>
      <c r="W29" s="10" t="e">
        <f t="shared" si="30"/>
        <v>#VALUE!</v>
      </c>
      <c r="Y29" s="10" t="e">
        <f t="shared" si="31"/>
        <v>#VALUE!</v>
      </c>
      <c r="Z29" s="11" t="e">
        <f t="shared" si="32"/>
        <v>#VALUE!</v>
      </c>
      <c r="AA29" s="10" t="e">
        <f t="shared" si="11"/>
        <v>#VALUE!</v>
      </c>
      <c r="AB29" s="10" t="e">
        <f t="shared" si="33"/>
        <v>#VALUE!</v>
      </c>
      <c r="AC29" s="10" t="e">
        <f t="shared" si="34"/>
        <v>#VALUE!</v>
      </c>
      <c r="AD29" s="10" t="e">
        <f t="shared" si="66"/>
        <v>#VALUE!</v>
      </c>
      <c r="AE29" s="10" t="e">
        <f t="shared" si="67"/>
        <v>#VALUE!</v>
      </c>
      <c r="AF29" s="10" t="e">
        <f t="shared" si="12"/>
        <v>#VALUE!</v>
      </c>
      <c r="AG29" s="10" t="e">
        <f t="shared" si="35"/>
        <v>#VALUE!</v>
      </c>
      <c r="AI29" s="13"/>
      <c r="AK29" s="10" t="e">
        <f t="shared" si="36"/>
        <v>#VALUE!</v>
      </c>
      <c r="AL29" s="10" t="e">
        <f t="shared" si="68"/>
        <v>#VALUE!</v>
      </c>
      <c r="AM29" s="10" t="e">
        <f t="shared" si="13"/>
        <v>#VALUE!</v>
      </c>
      <c r="AN29" s="10" t="e">
        <f t="shared" si="37"/>
        <v>#VALUE!</v>
      </c>
      <c r="AO29" s="10" t="e">
        <f t="shared" si="38"/>
        <v>#VALUE!</v>
      </c>
      <c r="AP29" s="10" t="e">
        <f t="shared" si="39"/>
        <v>#VALUE!</v>
      </c>
      <c r="AQ29" s="10" t="e">
        <f t="shared" si="69"/>
        <v>#VALUE!</v>
      </c>
      <c r="AR29" s="10" t="e">
        <f t="shared" si="14"/>
        <v>#VALUE!</v>
      </c>
      <c r="AS29" s="10" t="e">
        <f t="shared" si="70"/>
        <v>#VALUE!</v>
      </c>
      <c r="AU29" s="10" t="e">
        <f t="shared" si="40"/>
        <v>#VALUE!</v>
      </c>
      <c r="AV29" s="10" t="e">
        <f t="shared" si="71"/>
        <v>#VALUE!</v>
      </c>
      <c r="AW29" s="10" t="e">
        <f t="shared" si="15"/>
        <v>#VALUE!</v>
      </c>
      <c r="AX29" s="10" t="e">
        <f t="shared" si="41"/>
        <v>#VALUE!</v>
      </c>
      <c r="AY29" s="10" t="e">
        <f t="shared" si="42"/>
        <v>#VALUE!</v>
      </c>
      <c r="AZ29" s="10" t="e">
        <f t="shared" si="43"/>
        <v>#VALUE!</v>
      </c>
      <c r="BA29" s="10" t="e">
        <f t="shared" si="72"/>
        <v>#VALUE!</v>
      </c>
      <c r="BB29" s="10" t="e">
        <f t="shared" si="16"/>
        <v>#VALUE!</v>
      </c>
      <c r="BC29" s="10" t="e">
        <f t="shared" si="73"/>
        <v>#VALUE!</v>
      </c>
      <c r="BE29" s="10" t="e">
        <f t="shared" si="44"/>
        <v>#VALUE!</v>
      </c>
      <c r="BF29" s="10" t="e">
        <f t="shared" si="74"/>
        <v>#VALUE!</v>
      </c>
      <c r="BG29" s="10" t="e">
        <f t="shared" si="17"/>
        <v>#VALUE!</v>
      </c>
      <c r="BH29" s="10" t="e">
        <f t="shared" si="45"/>
        <v>#VALUE!</v>
      </c>
      <c r="BI29" s="10" t="e">
        <f t="shared" si="46"/>
        <v>#VALUE!</v>
      </c>
      <c r="BJ29" s="10" t="e">
        <f t="shared" si="47"/>
        <v>#VALUE!</v>
      </c>
      <c r="BK29" s="10" t="e">
        <f t="shared" si="75"/>
        <v>#VALUE!</v>
      </c>
      <c r="BL29" s="10" t="e">
        <f t="shared" si="18"/>
        <v>#VALUE!</v>
      </c>
      <c r="BM29" s="10" t="e">
        <f t="shared" si="76"/>
        <v>#VALUE!</v>
      </c>
      <c r="BP29" s="10" t="e">
        <f t="shared" si="48"/>
        <v>#VALUE!</v>
      </c>
      <c r="BQ29" s="10" t="e">
        <f t="shared" si="49"/>
        <v>#VALUE!</v>
      </c>
      <c r="BR29" s="10" t="e">
        <f t="shared" si="50"/>
        <v>#VALUE!</v>
      </c>
      <c r="BS29" s="10" t="e">
        <f t="shared" si="51"/>
        <v>#VALUE!</v>
      </c>
      <c r="BT29" s="10" t="e">
        <f t="shared" si="52"/>
        <v>#VALUE!</v>
      </c>
      <c r="BU29" s="10" t="e">
        <f t="shared" si="53"/>
        <v>#VALUE!</v>
      </c>
      <c r="BW29" s="10" t="e">
        <f t="shared" si="54"/>
        <v>#VALUE!</v>
      </c>
      <c r="BX29" s="10" t="e">
        <f t="shared" si="55"/>
        <v>#VALUE!</v>
      </c>
      <c r="BY29" s="10" t="e">
        <f t="shared" si="56"/>
        <v>#VALUE!</v>
      </c>
      <c r="BZ29" s="10" t="e">
        <f t="shared" si="57"/>
        <v>#VALUE!</v>
      </c>
      <c r="CA29" s="10" t="e">
        <f t="shared" si="58"/>
        <v>#VALUE!</v>
      </c>
      <c r="CB29" s="10" t="e">
        <f t="shared" si="59"/>
        <v>#VALUE!</v>
      </c>
      <c r="CD29" s="10" t="e">
        <f>MATCH(INDEX($BP$12:$BU$12,1,MATCH(BP29,$BP$15:$BU$15,0)),结果汇总!$AI$10:$AI$13,0)</f>
        <v>#VALUE!</v>
      </c>
      <c r="CE29" s="10" t="e">
        <f>MATCH(INDEX($BP$12:$BU$12,1,MATCH(BQ29,$BP$15:$BU$15,0)),结果汇总!$AI$10:$AI$13,0)</f>
        <v>#VALUE!</v>
      </c>
      <c r="CF29" s="10" t="e">
        <f>MATCH(INDEX($BP$12:$BU$12,1,MATCH(BR29,$BP$15:$BU$15,0)),结果汇总!$AI$10:$AI$13,0)</f>
        <v>#VALUE!</v>
      </c>
      <c r="CG29" s="10" t="e">
        <f>MATCH(INDEX($BP$12:$BU$12,1,MATCH(BS29,$BP$15:$BU$15,0)),结果汇总!$AI$10:$AI$13,0)</f>
        <v>#VALUE!</v>
      </c>
      <c r="CH29" s="10" t="e">
        <f>MATCH(INDEX($BP$12:$BU$12,1,MATCH(BT29,$BP$15:$BU$15,0)),结果汇总!$AI$10:$AI$13,0)</f>
        <v>#VALUE!</v>
      </c>
      <c r="CI29" s="10" t="e">
        <f>MATCH(INDEX($BP$12:$BU$12,1,MATCH(BU29,$BP$15:$BU$15,0)),结果汇总!$AI$10:$AI$13,0)</f>
        <v>#VALUE!</v>
      </c>
      <c r="CK29" s="10">
        <f t="shared" si="60"/>
        <v>0</v>
      </c>
      <c r="CL29" s="10">
        <f t="shared" si="19"/>
        <v>0</v>
      </c>
      <c r="CM29" s="10">
        <f t="shared" si="19"/>
        <v>0</v>
      </c>
      <c r="CN29" s="10">
        <f t="shared" si="19"/>
        <v>0</v>
      </c>
      <c r="CO29" s="10" t="e">
        <f t="shared" si="61"/>
        <v>#DIV/0!</v>
      </c>
      <c r="CP29" s="10" t="e">
        <f t="shared" si="20"/>
        <v>#DIV/0!</v>
      </c>
      <c r="CQ29" s="10" t="e">
        <f t="shared" si="20"/>
        <v>#DIV/0!</v>
      </c>
      <c r="CR29" s="10" t="e">
        <f t="shared" si="20"/>
        <v>#DIV/0!</v>
      </c>
      <c r="CS29" s="10">
        <f t="shared" si="62"/>
        <v>0</v>
      </c>
      <c r="CT29" s="10">
        <f t="shared" si="21"/>
        <v>0</v>
      </c>
      <c r="CU29" s="10">
        <f t="shared" si="21"/>
        <v>0</v>
      </c>
      <c r="CV29" s="10">
        <f t="shared" si="21"/>
        <v>0</v>
      </c>
      <c r="CW29" s="10">
        <f t="shared" si="63"/>
        <v>0</v>
      </c>
      <c r="CX29" s="10">
        <f t="shared" si="22"/>
        <v>0</v>
      </c>
      <c r="CY29" s="10">
        <f t="shared" si="22"/>
        <v>0</v>
      </c>
      <c r="CZ29" s="10">
        <f t="shared" si="22"/>
        <v>0</v>
      </c>
    </row>
    <row r="30" spans="4:104" x14ac:dyDescent="0.15">
      <c r="D30" s="10">
        <v>15</v>
      </c>
      <c r="E30" s="10" t="e">
        <f t="shared" si="23"/>
        <v>#VALUE!</v>
      </c>
      <c r="F30" s="10" t="e">
        <f t="shared" si="3"/>
        <v>#VALUE!</v>
      </c>
      <c r="G30" s="10" t="e">
        <f t="shared" si="4"/>
        <v>#VALUE!</v>
      </c>
      <c r="H30" s="10" t="e">
        <f t="shared" si="24"/>
        <v>#VALUE!</v>
      </c>
      <c r="I30" s="10" t="e">
        <f t="shared" si="5"/>
        <v>#VALUE!</v>
      </c>
      <c r="J30" s="10" t="e">
        <f t="shared" si="25"/>
        <v>#VALUE!</v>
      </c>
      <c r="K30" s="10" t="e">
        <f t="shared" si="6"/>
        <v>#VALUE!</v>
      </c>
      <c r="L30" s="10" t="e">
        <f t="shared" si="7"/>
        <v>#VALUE!</v>
      </c>
      <c r="M30" s="10" t="e">
        <f t="shared" si="26"/>
        <v>#VALUE!</v>
      </c>
      <c r="O30" s="10" t="e">
        <f t="shared" si="27"/>
        <v>#VALUE!</v>
      </c>
      <c r="P30" s="10" t="e">
        <f t="shared" si="8"/>
        <v>#VALUE!</v>
      </c>
      <c r="Q30" s="10" t="e">
        <f t="shared" si="9"/>
        <v>#VALUE!</v>
      </c>
      <c r="R30" s="10" t="e">
        <f t="shared" si="28"/>
        <v>#VALUE!</v>
      </c>
      <c r="S30" s="10" t="e">
        <f t="shared" si="29"/>
        <v>#VALUE!</v>
      </c>
      <c r="T30" s="10" t="e">
        <f t="shared" si="64"/>
        <v>#VALUE!</v>
      </c>
      <c r="U30" s="10" t="e">
        <f t="shared" si="65"/>
        <v>#VALUE!</v>
      </c>
      <c r="V30" s="10" t="e">
        <f t="shared" si="10"/>
        <v>#VALUE!</v>
      </c>
      <c r="W30" s="10" t="e">
        <f t="shared" si="30"/>
        <v>#VALUE!</v>
      </c>
      <c r="Y30" s="10" t="e">
        <f t="shared" si="31"/>
        <v>#VALUE!</v>
      </c>
      <c r="Z30" s="11" t="e">
        <f t="shared" si="32"/>
        <v>#VALUE!</v>
      </c>
      <c r="AA30" s="10" t="e">
        <f t="shared" si="11"/>
        <v>#VALUE!</v>
      </c>
      <c r="AB30" s="10" t="e">
        <f t="shared" si="33"/>
        <v>#VALUE!</v>
      </c>
      <c r="AC30" s="10" t="e">
        <f t="shared" si="34"/>
        <v>#VALUE!</v>
      </c>
      <c r="AD30" s="10" t="e">
        <f t="shared" si="66"/>
        <v>#VALUE!</v>
      </c>
      <c r="AE30" s="10" t="e">
        <f t="shared" si="67"/>
        <v>#VALUE!</v>
      </c>
      <c r="AF30" s="10" t="e">
        <f t="shared" si="12"/>
        <v>#VALUE!</v>
      </c>
      <c r="AG30" s="10" t="e">
        <f t="shared" si="35"/>
        <v>#VALUE!</v>
      </c>
      <c r="AI30" s="13"/>
      <c r="AK30" s="10" t="e">
        <f t="shared" si="36"/>
        <v>#VALUE!</v>
      </c>
      <c r="AL30" s="10" t="e">
        <f t="shared" si="68"/>
        <v>#VALUE!</v>
      </c>
      <c r="AM30" s="10" t="e">
        <f t="shared" si="13"/>
        <v>#VALUE!</v>
      </c>
      <c r="AN30" s="10" t="e">
        <f t="shared" si="37"/>
        <v>#VALUE!</v>
      </c>
      <c r="AO30" s="10" t="e">
        <f t="shared" si="38"/>
        <v>#VALUE!</v>
      </c>
      <c r="AP30" s="10" t="e">
        <f t="shared" si="39"/>
        <v>#VALUE!</v>
      </c>
      <c r="AQ30" s="10" t="e">
        <f t="shared" si="69"/>
        <v>#VALUE!</v>
      </c>
      <c r="AR30" s="10" t="e">
        <f t="shared" si="14"/>
        <v>#VALUE!</v>
      </c>
      <c r="AS30" s="10" t="e">
        <f t="shared" si="70"/>
        <v>#VALUE!</v>
      </c>
      <c r="AU30" s="10" t="e">
        <f t="shared" si="40"/>
        <v>#VALUE!</v>
      </c>
      <c r="AV30" s="10" t="e">
        <f t="shared" si="71"/>
        <v>#VALUE!</v>
      </c>
      <c r="AW30" s="10" t="e">
        <f t="shared" si="15"/>
        <v>#VALUE!</v>
      </c>
      <c r="AX30" s="10" t="e">
        <f t="shared" si="41"/>
        <v>#VALUE!</v>
      </c>
      <c r="AY30" s="10" t="e">
        <f t="shared" si="42"/>
        <v>#VALUE!</v>
      </c>
      <c r="AZ30" s="10" t="e">
        <f t="shared" si="43"/>
        <v>#VALUE!</v>
      </c>
      <c r="BA30" s="10" t="e">
        <f t="shared" si="72"/>
        <v>#VALUE!</v>
      </c>
      <c r="BB30" s="10" t="e">
        <f t="shared" si="16"/>
        <v>#VALUE!</v>
      </c>
      <c r="BC30" s="10" t="e">
        <f t="shared" si="73"/>
        <v>#VALUE!</v>
      </c>
      <c r="BE30" s="10" t="e">
        <f t="shared" si="44"/>
        <v>#VALUE!</v>
      </c>
      <c r="BF30" s="10" t="e">
        <f t="shared" si="74"/>
        <v>#VALUE!</v>
      </c>
      <c r="BG30" s="10" t="e">
        <f t="shared" si="17"/>
        <v>#VALUE!</v>
      </c>
      <c r="BH30" s="10" t="e">
        <f t="shared" si="45"/>
        <v>#VALUE!</v>
      </c>
      <c r="BI30" s="10" t="e">
        <f t="shared" si="46"/>
        <v>#VALUE!</v>
      </c>
      <c r="BJ30" s="10" t="e">
        <f t="shared" si="47"/>
        <v>#VALUE!</v>
      </c>
      <c r="BK30" s="10" t="e">
        <f t="shared" si="75"/>
        <v>#VALUE!</v>
      </c>
      <c r="BL30" s="10" t="e">
        <f t="shared" si="18"/>
        <v>#VALUE!</v>
      </c>
      <c r="BM30" s="10" t="e">
        <f t="shared" si="76"/>
        <v>#VALUE!</v>
      </c>
      <c r="BP30" s="10" t="e">
        <f t="shared" si="48"/>
        <v>#VALUE!</v>
      </c>
      <c r="BQ30" s="10" t="e">
        <f t="shared" si="49"/>
        <v>#VALUE!</v>
      </c>
      <c r="BR30" s="10" t="e">
        <f t="shared" si="50"/>
        <v>#VALUE!</v>
      </c>
      <c r="BS30" s="10" t="e">
        <f t="shared" si="51"/>
        <v>#VALUE!</v>
      </c>
      <c r="BT30" s="10" t="e">
        <f t="shared" si="52"/>
        <v>#VALUE!</v>
      </c>
      <c r="BU30" s="10" t="e">
        <f t="shared" si="53"/>
        <v>#VALUE!</v>
      </c>
      <c r="BW30" s="10" t="e">
        <f t="shared" si="54"/>
        <v>#VALUE!</v>
      </c>
      <c r="BX30" s="10" t="e">
        <f t="shared" si="55"/>
        <v>#VALUE!</v>
      </c>
      <c r="BY30" s="10" t="e">
        <f t="shared" si="56"/>
        <v>#VALUE!</v>
      </c>
      <c r="BZ30" s="10" t="e">
        <f t="shared" si="57"/>
        <v>#VALUE!</v>
      </c>
      <c r="CA30" s="10" t="e">
        <f t="shared" si="58"/>
        <v>#VALUE!</v>
      </c>
      <c r="CB30" s="10" t="e">
        <f t="shared" si="59"/>
        <v>#VALUE!</v>
      </c>
      <c r="CD30" s="10" t="e">
        <f>MATCH(INDEX($BP$12:$BU$12,1,MATCH(BP30,$BP$15:$BU$15,0)),结果汇总!$AI$10:$AI$13,0)</f>
        <v>#VALUE!</v>
      </c>
      <c r="CE30" s="10" t="e">
        <f>MATCH(INDEX($BP$12:$BU$12,1,MATCH(BQ30,$BP$15:$BU$15,0)),结果汇总!$AI$10:$AI$13,0)</f>
        <v>#VALUE!</v>
      </c>
      <c r="CF30" s="10" t="e">
        <f>MATCH(INDEX($BP$12:$BU$12,1,MATCH(BR30,$BP$15:$BU$15,0)),结果汇总!$AI$10:$AI$13,0)</f>
        <v>#VALUE!</v>
      </c>
      <c r="CG30" s="10" t="e">
        <f>MATCH(INDEX($BP$12:$BU$12,1,MATCH(BS30,$BP$15:$BU$15,0)),结果汇总!$AI$10:$AI$13,0)</f>
        <v>#VALUE!</v>
      </c>
      <c r="CH30" s="10" t="e">
        <f>MATCH(INDEX($BP$12:$BU$12,1,MATCH(BT30,$BP$15:$BU$15,0)),结果汇总!$AI$10:$AI$13,0)</f>
        <v>#VALUE!</v>
      </c>
      <c r="CI30" s="10" t="e">
        <f>MATCH(INDEX($BP$12:$BU$12,1,MATCH(BU30,$BP$15:$BU$15,0)),结果汇总!$AI$10:$AI$13,0)</f>
        <v>#VALUE!</v>
      </c>
      <c r="CK30" s="10">
        <f t="shared" si="60"/>
        <v>0</v>
      </c>
      <c r="CL30" s="10">
        <f t="shared" si="19"/>
        <v>0</v>
      </c>
      <c r="CM30" s="10">
        <f t="shared" si="19"/>
        <v>0</v>
      </c>
      <c r="CN30" s="10">
        <f t="shared" si="19"/>
        <v>0</v>
      </c>
      <c r="CO30" s="10" t="e">
        <f t="shared" si="61"/>
        <v>#DIV/0!</v>
      </c>
      <c r="CP30" s="10" t="e">
        <f t="shared" si="20"/>
        <v>#DIV/0!</v>
      </c>
      <c r="CQ30" s="10" t="e">
        <f t="shared" si="20"/>
        <v>#DIV/0!</v>
      </c>
      <c r="CR30" s="10" t="e">
        <f t="shared" si="20"/>
        <v>#DIV/0!</v>
      </c>
      <c r="CS30" s="10">
        <f t="shared" si="62"/>
        <v>0</v>
      </c>
      <c r="CT30" s="10">
        <f t="shared" si="21"/>
        <v>0</v>
      </c>
      <c r="CU30" s="10">
        <f t="shared" si="21"/>
        <v>0</v>
      </c>
      <c r="CV30" s="10">
        <f t="shared" si="21"/>
        <v>0</v>
      </c>
      <c r="CW30" s="10">
        <f t="shared" si="63"/>
        <v>0</v>
      </c>
      <c r="CX30" s="10">
        <f t="shared" si="22"/>
        <v>0</v>
      </c>
      <c r="CY30" s="10">
        <f t="shared" si="22"/>
        <v>0</v>
      </c>
      <c r="CZ30" s="10">
        <f t="shared" si="22"/>
        <v>0</v>
      </c>
    </row>
    <row r="31" spans="4:104" x14ac:dyDescent="0.15">
      <c r="D31" s="10">
        <v>16</v>
      </c>
      <c r="E31" s="10" t="e">
        <f t="shared" si="23"/>
        <v>#VALUE!</v>
      </c>
      <c r="F31" s="10" t="e">
        <f t="shared" si="3"/>
        <v>#VALUE!</v>
      </c>
      <c r="G31" s="10" t="e">
        <f t="shared" si="4"/>
        <v>#VALUE!</v>
      </c>
      <c r="H31" s="10" t="e">
        <f t="shared" si="24"/>
        <v>#VALUE!</v>
      </c>
      <c r="I31" s="10" t="e">
        <f t="shared" si="5"/>
        <v>#VALUE!</v>
      </c>
      <c r="J31" s="10" t="e">
        <f t="shared" si="25"/>
        <v>#VALUE!</v>
      </c>
      <c r="K31" s="10" t="e">
        <f t="shared" si="6"/>
        <v>#VALUE!</v>
      </c>
      <c r="L31" s="10" t="e">
        <f t="shared" si="7"/>
        <v>#VALUE!</v>
      </c>
      <c r="M31" s="10" t="e">
        <f t="shared" si="26"/>
        <v>#VALUE!</v>
      </c>
      <c r="O31" s="10" t="e">
        <f t="shared" si="27"/>
        <v>#VALUE!</v>
      </c>
      <c r="P31" s="10" t="e">
        <f t="shared" si="8"/>
        <v>#VALUE!</v>
      </c>
      <c r="Q31" s="10" t="e">
        <f t="shared" si="9"/>
        <v>#VALUE!</v>
      </c>
      <c r="R31" s="10" t="e">
        <f t="shared" si="28"/>
        <v>#VALUE!</v>
      </c>
      <c r="S31" s="10" t="e">
        <f t="shared" si="29"/>
        <v>#VALUE!</v>
      </c>
      <c r="T31" s="10" t="e">
        <f t="shared" si="64"/>
        <v>#VALUE!</v>
      </c>
      <c r="U31" s="10" t="e">
        <f t="shared" si="65"/>
        <v>#VALUE!</v>
      </c>
      <c r="V31" s="10" t="e">
        <f t="shared" si="10"/>
        <v>#VALUE!</v>
      </c>
      <c r="W31" s="10" t="e">
        <f t="shared" si="30"/>
        <v>#VALUE!</v>
      </c>
      <c r="Y31" s="10" t="e">
        <f t="shared" si="31"/>
        <v>#VALUE!</v>
      </c>
      <c r="Z31" s="11" t="e">
        <f t="shared" si="32"/>
        <v>#VALUE!</v>
      </c>
      <c r="AA31" s="10" t="e">
        <f t="shared" si="11"/>
        <v>#VALUE!</v>
      </c>
      <c r="AB31" s="10" t="e">
        <f t="shared" si="33"/>
        <v>#VALUE!</v>
      </c>
      <c r="AC31" s="10" t="e">
        <f t="shared" si="34"/>
        <v>#VALUE!</v>
      </c>
      <c r="AD31" s="10" t="e">
        <f t="shared" si="66"/>
        <v>#VALUE!</v>
      </c>
      <c r="AE31" s="10" t="e">
        <f t="shared" si="67"/>
        <v>#VALUE!</v>
      </c>
      <c r="AF31" s="10" t="e">
        <f t="shared" si="12"/>
        <v>#VALUE!</v>
      </c>
      <c r="AG31" s="10" t="e">
        <f t="shared" si="35"/>
        <v>#VALUE!</v>
      </c>
      <c r="AI31" s="13"/>
      <c r="AK31" s="10" t="e">
        <f t="shared" si="36"/>
        <v>#VALUE!</v>
      </c>
      <c r="AL31" s="10" t="e">
        <f t="shared" si="68"/>
        <v>#VALUE!</v>
      </c>
      <c r="AM31" s="10" t="e">
        <f t="shared" si="13"/>
        <v>#VALUE!</v>
      </c>
      <c r="AN31" s="10" t="e">
        <f t="shared" si="37"/>
        <v>#VALUE!</v>
      </c>
      <c r="AO31" s="10" t="e">
        <f t="shared" si="38"/>
        <v>#VALUE!</v>
      </c>
      <c r="AP31" s="10" t="e">
        <f t="shared" si="39"/>
        <v>#VALUE!</v>
      </c>
      <c r="AQ31" s="10" t="e">
        <f t="shared" si="69"/>
        <v>#VALUE!</v>
      </c>
      <c r="AR31" s="10" t="e">
        <f t="shared" si="14"/>
        <v>#VALUE!</v>
      </c>
      <c r="AS31" s="10" t="e">
        <f t="shared" si="70"/>
        <v>#VALUE!</v>
      </c>
      <c r="AU31" s="10" t="e">
        <f t="shared" si="40"/>
        <v>#VALUE!</v>
      </c>
      <c r="AV31" s="10" t="e">
        <f t="shared" si="71"/>
        <v>#VALUE!</v>
      </c>
      <c r="AW31" s="10" t="e">
        <f t="shared" si="15"/>
        <v>#VALUE!</v>
      </c>
      <c r="AX31" s="10" t="e">
        <f t="shared" si="41"/>
        <v>#VALUE!</v>
      </c>
      <c r="AY31" s="10" t="e">
        <f t="shared" si="42"/>
        <v>#VALUE!</v>
      </c>
      <c r="AZ31" s="10" t="e">
        <f t="shared" si="43"/>
        <v>#VALUE!</v>
      </c>
      <c r="BA31" s="10" t="e">
        <f t="shared" si="72"/>
        <v>#VALUE!</v>
      </c>
      <c r="BB31" s="10" t="e">
        <f t="shared" si="16"/>
        <v>#VALUE!</v>
      </c>
      <c r="BC31" s="10" t="e">
        <f t="shared" si="73"/>
        <v>#VALUE!</v>
      </c>
      <c r="BE31" s="10" t="e">
        <f t="shared" si="44"/>
        <v>#VALUE!</v>
      </c>
      <c r="BF31" s="10" t="e">
        <f t="shared" si="74"/>
        <v>#VALUE!</v>
      </c>
      <c r="BG31" s="10" t="e">
        <f t="shared" si="17"/>
        <v>#VALUE!</v>
      </c>
      <c r="BH31" s="10" t="e">
        <f t="shared" si="45"/>
        <v>#VALUE!</v>
      </c>
      <c r="BI31" s="10" t="e">
        <f t="shared" si="46"/>
        <v>#VALUE!</v>
      </c>
      <c r="BJ31" s="10" t="e">
        <f t="shared" si="47"/>
        <v>#VALUE!</v>
      </c>
      <c r="BK31" s="10" t="e">
        <f t="shared" si="75"/>
        <v>#VALUE!</v>
      </c>
      <c r="BL31" s="10" t="e">
        <f t="shared" si="18"/>
        <v>#VALUE!</v>
      </c>
      <c r="BM31" s="10" t="e">
        <f t="shared" si="76"/>
        <v>#VALUE!</v>
      </c>
      <c r="BP31" s="10" t="e">
        <f t="shared" si="48"/>
        <v>#VALUE!</v>
      </c>
      <c r="BQ31" s="10" t="e">
        <f t="shared" si="49"/>
        <v>#VALUE!</v>
      </c>
      <c r="BR31" s="10" t="e">
        <f t="shared" si="50"/>
        <v>#VALUE!</v>
      </c>
      <c r="BS31" s="10" t="e">
        <f t="shared" si="51"/>
        <v>#VALUE!</v>
      </c>
      <c r="BT31" s="10" t="e">
        <f t="shared" si="52"/>
        <v>#VALUE!</v>
      </c>
      <c r="BU31" s="10" t="e">
        <f t="shared" si="53"/>
        <v>#VALUE!</v>
      </c>
      <c r="BW31" s="10" t="e">
        <f t="shared" si="54"/>
        <v>#VALUE!</v>
      </c>
      <c r="BX31" s="10" t="e">
        <f t="shared" si="55"/>
        <v>#VALUE!</v>
      </c>
      <c r="BY31" s="10" t="e">
        <f t="shared" si="56"/>
        <v>#VALUE!</v>
      </c>
      <c r="BZ31" s="10" t="e">
        <f t="shared" si="57"/>
        <v>#VALUE!</v>
      </c>
      <c r="CA31" s="10" t="e">
        <f t="shared" si="58"/>
        <v>#VALUE!</v>
      </c>
      <c r="CB31" s="10" t="e">
        <f t="shared" si="59"/>
        <v>#VALUE!</v>
      </c>
      <c r="CD31" s="10" t="e">
        <f>MATCH(INDEX($BP$12:$BU$12,1,MATCH(BP31,$BP$15:$BU$15,0)),结果汇总!$AI$10:$AI$13,0)</f>
        <v>#VALUE!</v>
      </c>
      <c r="CE31" s="10" t="e">
        <f>MATCH(INDEX($BP$12:$BU$12,1,MATCH(BQ31,$BP$15:$BU$15,0)),结果汇总!$AI$10:$AI$13,0)</f>
        <v>#VALUE!</v>
      </c>
      <c r="CF31" s="10" t="e">
        <f>MATCH(INDEX($BP$12:$BU$12,1,MATCH(BR31,$BP$15:$BU$15,0)),结果汇总!$AI$10:$AI$13,0)</f>
        <v>#VALUE!</v>
      </c>
      <c r="CG31" s="10" t="e">
        <f>MATCH(INDEX($BP$12:$BU$12,1,MATCH(BS31,$BP$15:$BU$15,0)),结果汇总!$AI$10:$AI$13,0)</f>
        <v>#VALUE!</v>
      </c>
      <c r="CH31" s="10" t="e">
        <f>MATCH(INDEX($BP$12:$BU$12,1,MATCH(BT31,$BP$15:$BU$15,0)),结果汇总!$AI$10:$AI$13,0)</f>
        <v>#VALUE!</v>
      </c>
      <c r="CI31" s="10" t="e">
        <f>MATCH(INDEX($BP$12:$BU$12,1,MATCH(BU31,$BP$15:$BU$15,0)),结果汇总!$AI$10:$AI$13,0)</f>
        <v>#VALUE!</v>
      </c>
      <c r="CK31" s="10">
        <f t="shared" si="60"/>
        <v>0</v>
      </c>
      <c r="CL31" s="10">
        <f t="shared" si="19"/>
        <v>0</v>
      </c>
      <c r="CM31" s="10">
        <f t="shared" si="19"/>
        <v>0</v>
      </c>
      <c r="CN31" s="10">
        <f t="shared" si="19"/>
        <v>0</v>
      </c>
      <c r="CO31" s="10" t="e">
        <f t="shared" si="61"/>
        <v>#DIV/0!</v>
      </c>
      <c r="CP31" s="10" t="e">
        <f t="shared" si="20"/>
        <v>#DIV/0!</v>
      </c>
      <c r="CQ31" s="10" t="e">
        <f t="shared" si="20"/>
        <v>#DIV/0!</v>
      </c>
      <c r="CR31" s="10" t="e">
        <f t="shared" si="20"/>
        <v>#DIV/0!</v>
      </c>
      <c r="CS31" s="10">
        <f t="shared" si="62"/>
        <v>0</v>
      </c>
      <c r="CT31" s="10">
        <f t="shared" si="21"/>
        <v>0</v>
      </c>
      <c r="CU31" s="10">
        <f t="shared" si="21"/>
        <v>0</v>
      </c>
      <c r="CV31" s="10">
        <f t="shared" si="21"/>
        <v>0</v>
      </c>
      <c r="CW31" s="10">
        <f t="shared" si="63"/>
        <v>0</v>
      </c>
      <c r="CX31" s="10">
        <f t="shared" si="22"/>
        <v>0</v>
      </c>
      <c r="CY31" s="10">
        <f t="shared" si="22"/>
        <v>0</v>
      </c>
      <c r="CZ31" s="10">
        <f t="shared" si="22"/>
        <v>0</v>
      </c>
    </row>
    <row r="32" spans="4:104" x14ac:dyDescent="0.15">
      <c r="D32" s="10">
        <v>17</v>
      </c>
      <c r="E32" s="10" t="e">
        <f t="shared" si="23"/>
        <v>#VALUE!</v>
      </c>
      <c r="F32" s="10" t="e">
        <f t="shared" si="3"/>
        <v>#VALUE!</v>
      </c>
      <c r="G32" s="10" t="e">
        <f t="shared" si="4"/>
        <v>#VALUE!</v>
      </c>
      <c r="H32" s="10" t="e">
        <f t="shared" si="24"/>
        <v>#VALUE!</v>
      </c>
      <c r="I32" s="10" t="e">
        <f t="shared" si="5"/>
        <v>#VALUE!</v>
      </c>
      <c r="J32" s="10" t="e">
        <f t="shared" si="25"/>
        <v>#VALUE!</v>
      </c>
      <c r="K32" s="10" t="e">
        <f t="shared" si="6"/>
        <v>#VALUE!</v>
      </c>
      <c r="L32" s="10" t="e">
        <f t="shared" si="7"/>
        <v>#VALUE!</v>
      </c>
      <c r="M32" s="10" t="e">
        <f t="shared" si="26"/>
        <v>#VALUE!</v>
      </c>
      <c r="O32" s="10" t="e">
        <f t="shared" si="27"/>
        <v>#VALUE!</v>
      </c>
      <c r="P32" s="10" t="e">
        <f t="shared" si="8"/>
        <v>#VALUE!</v>
      </c>
      <c r="Q32" s="10" t="e">
        <f t="shared" si="9"/>
        <v>#VALUE!</v>
      </c>
      <c r="R32" s="10" t="e">
        <f t="shared" si="28"/>
        <v>#VALUE!</v>
      </c>
      <c r="S32" s="10" t="e">
        <f t="shared" si="29"/>
        <v>#VALUE!</v>
      </c>
      <c r="T32" s="10" t="e">
        <f t="shared" si="64"/>
        <v>#VALUE!</v>
      </c>
      <c r="U32" s="10" t="e">
        <f t="shared" si="65"/>
        <v>#VALUE!</v>
      </c>
      <c r="V32" s="10" t="e">
        <f t="shared" si="10"/>
        <v>#VALUE!</v>
      </c>
      <c r="W32" s="10" t="e">
        <f t="shared" si="30"/>
        <v>#VALUE!</v>
      </c>
      <c r="Y32" s="10" t="e">
        <f t="shared" si="31"/>
        <v>#VALUE!</v>
      </c>
      <c r="Z32" s="11" t="e">
        <f t="shared" si="32"/>
        <v>#VALUE!</v>
      </c>
      <c r="AA32" s="10" t="e">
        <f t="shared" si="11"/>
        <v>#VALUE!</v>
      </c>
      <c r="AB32" s="10" t="e">
        <f t="shared" si="33"/>
        <v>#VALUE!</v>
      </c>
      <c r="AC32" s="10" t="e">
        <f t="shared" si="34"/>
        <v>#VALUE!</v>
      </c>
      <c r="AD32" s="10" t="e">
        <f t="shared" si="66"/>
        <v>#VALUE!</v>
      </c>
      <c r="AE32" s="10" t="e">
        <f t="shared" si="67"/>
        <v>#VALUE!</v>
      </c>
      <c r="AF32" s="10" t="e">
        <f t="shared" si="12"/>
        <v>#VALUE!</v>
      </c>
      <c r="AG32" s="10" t="e">
        <f t="shared" si="35"/>
        <v>#VALUE!</v>
      </c>
      <c r="AI32" s="13"/>
      <c r="AK32" s="10" t="e">
        <f t="shared" si="36"/>
        <v>#VALUE!</v>
      </c>
      <c r="AL32" s="10" t="e">
        <f t="shared" si="68"/>
        <v>#VALUE!</v>
      </c>
      <c r="AM32" s="10" t="e">
        <f t="shared" si="13"/>
        <v>#VALUE!</v>
      </c>
      <c r="AN32" s="10" t="e">
        <f t="shared" si="37"/>
        <v>#VALUE!</v>
      </c>
      <c r="AO32" s="10" t="e">
        <f t="shared" si="38"/>
        <v>#VALUE!</v>
      </c>
      <c r="AP32" s="10" t="e">
        <f t="shared" si="39"/>
        <v>#VALUE!</v>
      </c>
      <c r="AQ32" s="10" t="e">
        <f t="shared" si="69"/>
        <v>#VALUE!</v>
      </c>
      <c r="AR32" s="10" t="e">
        <f t="shared" si="14"/>
        <v>#VALUE!</v>
      </c>
      <c r="AS32" s="10" t="e">
        <f t="shared" si="70"/>
        <v>#VALUE!</v>
      </c>
      <c r="AU32" s="10" t="e">
        <f t="shared" si="40"/>
        <v>#VALUE!</v>
      </c>
      <c r="AV32" s="10" t="e">
        <f t="shared" si="71"/>
        <v>#VALUE!</v>
      </c>
      <c r="AW32" s="10" t="e">
        <f t="shared" si="15"/>
        <v>#VALUE!</v>
      </c>
      <c r="AX32" s="10" t="e">
        <f t="shared" si="41"/>
        <v>#VALUE!</v>
      </c>
      <c r="AY32" s="10" t="e">
        <f t="shared" si="42"/>
        <v>#VALUE!</v>
      </c>
      <c r="AZ32" s="10" t="e">
        <f t="shared" si="43"/>
        <v>#VALUE!</v>
      </c>
      <c r="BA32" s="10" t="e">
        <f t="shared" si="72"/>
        <v>#VALUE!</v>
      </c>
      <c r="BB32" s="10" t="e">
        <f t="shared" si="16"/>
        <v>#VALUE!</v>
      </c>
      <c r="BC32" s="10" t="e">
        <f t="shared" si="73"/>
        <v>#VALUE!</v>
      </c>
      <c r="BE32" s="10" t="e">
        <f t="shared" si="44"/>
        <v>#VALUE!</v>
      </c>
      <c r="BF32" s="10" t="e">
        <f t="shared" si="74"/>
        <v>#VALUE!</v>
      </c>
      <c r="BG32" s="10" t="e">
        <f t="shared" si="17"/>
        <v>#VALUE!</v>
      </c>
      <c r="BH32" s="10" t="e">
        <f t="shared" si="45"/>
        <v>#VALUE!</v>
      </c>
      <c r="BI32" s="10" t="e">
        <f t="shared" si="46"/>
        <v>#VALUE!</v>
      </c>
      <c r="BJ32" s="10" t="e">
        <f t="shared" si="47"/>
        <v>#VALUE!</v>
      </c>
      <c r="BK32" s="10" t="e">
        <f t="shared" si="75"/>
        <v>#VALUE!</v>
      </c>
      <c r="BL32" s="10" t="e">
        <f t="shared" si="18"/>
        <v>#VALUE!</v>
      </c>
      <c r="BM32" s="10" t="e">
        <f t="shared" si="76"/>
        <v>#VALUE!</v>
      </c>
      <c r="BP32" s="10" t="e">
        <f t="shared" si="48"/>
        <v>#VALUE!</v>
      </c>
      <c r="BQ32" s="10" t="e">
        <f t="shared" si="49"/>
        <v>#VALUE!</v>
      </c>
      <c r="BR32" s="10" t="e">
        <f t="shared" si="50"/>
        <v>#VALUE!</v>
      </c>
      <c r="BS32" s="10" t="e">
        <f t="shared" si="51"/>
        <v>#VALUE!</v>
      </c>
      <c r="BT32" s="10" t="e">
        <f t="shared" si="52"/>
        <v>#VALUE!</v>
      </c>
      <c r="BU32" s="10" t="e">
        <f t="shared" si="53"/>
        <v>#VALUE!</v>
      </c>
      <c r="BW32" s="10" t="e">
        <f t="shared" si="54"/>
        <v>#VALUE!</v>
      </c>
      <c r="BX32" s="10" t="e">
        <f t="shared" si="55"/>
        <v>#VALUE!</v>
      </c>
      <c r="BY32" s="10" t="e">
        <f t="shared" si="56"/>
        <v>#VALUE!</v>
      </c>
      <c r="BZ32" s="10" t="e">
        <f t="shared" si="57"/>
        <v>#VALUE!</v>
      </c>
      <c r="CA32" s="10" t="e">
        <f t="shared" si="58"/>
        <v>#VALUE!</v>
      </c>
      <c r="CB32" s="10" t="e">
        <f t="shared" si="59"/>
        <v>#VALUE!</v>
      </c>
      <c r="CD32" s="10" t="e">
        <f>MATCH(INDEX($BP$12:$BU$12,1,MATCH(BP32,$BP$15:$BU$15,0)),结果汇总!$AI$10:$AI$13,0)</f>
        <v>#VALUE!</v>
      </c>
      <c r="CE32" s="10" t="e">
        <f>MATCH(INDEX($BP$12:$BU$12,1,MATCH(BQ32,$BP$15:$BU$15,0)),结果汇总!$AI$10:$AI$13,0)</f>
        <v>#VALUE!</v>
      </c>
      <c r="CF32" s="10" t="e">
        <f>MATCH(INDEX($BP$12:$BU$12,1,MATCH(BR32,$BP$15:$BU$15,0)),结果汇总!$AI$10:$AI$13,0)</f>
        <v>#VALUE!</v>
      </c>
      <c r="CG32" s="10" t="e">
        <f>MATCH(INDEX($BP$12:$BU$12,1,MATCH(BS32,$BP$15:$BU$15,0)),结果汇总!$AI$10:$AI$13,0)</f>
        <v>#VALUE!</v>
      </c>
      <c r="CH32" s="10" t="e">
        <f>MATCH(INDEX($BP$12:$BU$12,1,MATCH(BT32,$BP$15:$BU$15,0)),结果汇总!$AI$10:$AI$13,0)</f>
        <v>#VALUE!</v>
      </c>
      <c r="CI32" s="10" t="e">
        <f>MATCH(INDEX($BP$12:$BU$12,1,MATCH(BU32,$BP$15:$BU$15,0)),结果汇总!$AI$10:$AI$13,0)</f>
        <v>#VALUE!</v>
      </c>
      <c r="CK32" s="10">
        <f t="shared" si="60"/>
        <v>0</v>
      </c>
      <c r="CL32" s="10">
        <f t="shared" si="60"/>
        <v>0</v>
      </c>
      <c r="CM32" s="10">
        <f t="shared" si="60"/>
        <v>0</v>
      </c>
      <c r="CN32" s="10">
        <f t="shared" si="60"/>
        <v>0</v>
      </c>
      <c r="CO32" s="10" t="e">
        <f t="shared" si="61"/>
        <v>#DIV/0!</v>
      </c>
      <c r="CP32" s="10" t="e">
        <f t="shared" si="61"/>
        <v>#DIV/0!</v>
      </c>
      <c r="CQ32" s="10" t="e">
        <f t="shared" si="61"/>
        <v>#DIV/0!</v>
      </c>
      <c r="CR32" s="10" t="e">
        <f t="shared" si="61"/>
        <v>#DIV/0!</v>
      </c>
      <c r="CS32" s="10">
        <f t="shared" si="62"/>
        <v>0</v>
      </c>
      <c r="CT32" s="10">
        <f t="shared" si="62"/>
        <v>0</v>
      </c>
      <c r="CU32" s="10">
        <f t="shared" si="62"/>
        <v>0</v>
      </c>
      <c r="CV32" s="10">
        <f t="shared" si="62"/>
        <v>0</v>
      </c>
      <c r="CW32" s="10">
        <f t="shared" si="63"/>
        <v>0</v>
      </c>
      <c r="CX32" s="10">
        <f t="shared" si="63"/>
        <v>0</v>
      </c>
      <c r="CY32" s="10">
        <f t="shared" si="63"/>
        <v>0</v>
      </c>
      <c r="CZ32" s="10">
        <f t="shared" si="63"/>
        <v>0</v>
      </c>
    </row>
    <row r="33" spans="4:104" x14ac:dyDescent="0.15">
      <c r="D33" s="10">
        <v>18</v>
      </c>
      <c r="E33" s="10" t="e">
        <f t="shared" si="23"/>
        <v>#VALUE!</v>
      </c>
      <c r="F33" s="10" t="e">
        <f t="shared" si="3"/>
        <v>#VALUE!</v>
      </c>
      <c r="G33" s="10" t="e">
        <f t="shared" si="4"/>
        <v>#VALUE!</v>
      </c>
      <c r="H33" s="10" t="e">
        <f t="shared" si="24"/>
        <v>#VALUE!</v>
      </c>
      <c r="I33" s="10" t="e">
        <f t="shared" si="5"/>
        <v>#VALUE!</v>
      </c>
      <c r="J33" s="10" t="e">
        <f t="shared" si="25"/>
        <v>#VALUE!</v>
      </c>
      <c r="K33" s="10" t="e">
        <f t="shared" si="6"/>
        <v>#VALUE!</v>
      </c>
      <c r="L33" s="10" t="e">
        <f t="shared" si="7"/>
        <v>#VALUE!</v>
      </c>
      <c r="M33" s="10" t="e">
        <f t="shared" si="26"/>
        <v>#VALUE!</v>
      </c>
      <c r="O33" s="10" t="e">
        <f t="shared" si="27"/>
        <v>#VALUE!</v>
      </c>
      <c r="P33" s="10" t="e">
        <f t="shared" si="8"/>
        <v>#VALUE!</v>
      </c>
      <c r="Q33" s="10" t="e">
        <f t="shared" si="9"/>
        <v>#VALUE!</v>
      </c>
      <c r="R33" s="10" t="e">
        <f t="shared" si="28"/>
        <v>#VALUE!</v>
      </c>
      <c r="S33" s="10" t="e">
        <f t="shared" si="29"/>
        <v>#VALUE!</v>
      </c>
      <c r="T33" s="10" t="e">
        <f t="shared" si="64"/>
        <v>#VALUE!</v>
      </c>
      <c r="U33" s="10" t="e">
        <f t="shared" si="65"/>
        <v>#VALUE!</v>
      </c>
      <c r="V33" s="10" t="e">
        <f t="shared" si="10"/>
        <v>#VALUE!</v>
      </c>
      <c r="W33" s="10" t="e">
        <f t="shared" si="30"/>
        <v>#VALUE!</v>
      </c>
      <c r="Y33" s="10" t="e">
        <f t="shared" si="31"/>
        <v>#VALUE!</v>
      </c>
      <c r="Z33" s="11" t="e">
        <f t="shared" si="32"/>
        <v>#VALUE!</v>
      </c>
      <c r="AA33" s="10" t="e">
        <f t="shared" si="11"/>
        <v>#VALUE!</v>
      </c>
      <c r="AB33" s="10" t="e">
        <f t="shared" si="33"/>
        <v>#VALUE!</v>
      </c>
      <c r="AC33" s="10" t="e">
        <f t="shared" si="34"/>
        <v>#VALUE!</v>
      </c>
      <c r="AD33" s="10" t="e">
        <f t="shared" si="66"/>
        <v>#VALUE!</v>
      </c>
      <c r="AE33" s="10" t="e">
        <f t="shared" si="67"/>
        <v>#VALUE!</v>
      </c>
      <c r="AF33" s="10" t="e">
        <f t="shared" si="12"/>
        <v>#VALUE!</v>
      </c>
      <c r="AG33" s="10" t="e">
        <f t="shared" si="35"/>
        <v>#VALUE!</v>
      </c>
      <c r="AI33" s="13"/>
      <c r="AK33" s="10" t="e">
        <f t="shared" si="36"/>
        <v>#VALUE!</v>
      </c>
      <c r="AL33" s="10" t="e">
        <f t="shared" si="68"/>
        <v>#VALUE!</v>
      </c>
      <c r="AM33" s="10" t="e">
        <f t="shared" si="13"/>
        <v>#VALUE!</v>
      </c>
      <c r="AN33" s="10" t="e">
        <f t="shared" si="37"/>
        <v>#VALUE!</v>
      </c>
      <c r="AO33" s="10" t="e">
        <f t="shared" si="38"/>
        <v>#VALUE!</v>
      </c>
      <c r="AP33" s="10" t="e">
        <f t="shared" si="39"/>
        <v>#VALUE!</v>
      </c>
      <c r="AQ33" s="10" t="e">
        <f t="shared" si="69"/>
        <v>#VALUE!</v>
      </c>
      <c r="AR33" s="10" t="e">
        <f t="shared" si="14"/>
        <v>#VALUE!</v>
      </c>
      <c r="AS33" s="10" t="e">
        <f t="shared" si="70"/>
        <v>#VALUE!</v>
      </c>
      <c r="AU33" s="10" t="e">
        <f t="shared" si="40"/>
        <v>#VALUE!</v>
      </c>
      <c r="AV33" s="10" t="e">
        <f t="shared" si="71"/>
        <v>#VALUE!</v>
      </c>
      <c r="AW33" s="10" t="e">
        <f t="shared" si="15"/>
        <v>#VALUE!</v>
      </c>
      <c r="AX33" s="10" t="e">
        <f t="shared" si="41"/>
        <v>#VALUE!</v>
      </c>
      <c r="AY33" s="10" t="e">
        <f t="shared" si="42"/>
        <v>#VALUE!</v>
      </c>
      <c r="AZ33" s="10" t="e">
        <f t="shared" si="43"/>
        <v>#VALUE!</v>
      </c>
      <c r="BA33" s="10" t="e">
        <f t="shared" si="72"/>
        <v>#VALUE!</v>
      </c>
      <c r="BB33" s="10" t="e">
        <f t="shared" si="16"/>
        <v>#VALUE!</v>
      </c>
      <c r="BC33" s="10" t="e">
        <f t="shared" si="73"/>
        <v>#VALUE!</v>
      </c>
      <c r="BE33" s="10" t="e">
        <f t="shared" si="44"/>
        <v>#VALUE!</v>
      </c>
      <c r="BF33" s="10" t="e">
        <f t="shared" si="74"/>
        <v>#VALUE!</v>
      </c>
      <c r="BG33" s="10" t="e">
        <f t="shared" si="17"/>
        <v>#VALUE!</v>
      </c>
      <c r="BH33" s="10" t="e">
        <f t="shared" si="45"/>
        <v>#VALUE!</v>
      </c>
      <c r="BI33" s="10" t="e">
        <f t="shared" si="46"/>
        <v>#VALUE!</v>
      </c>
      <c r="BJ33" s="10" t="e">
        <f t="shared" si="47"/>
        <v>#VALUE!</v>
      </c>
      <c r="BK33" s="10" t="e">
        <f t="shared" si="75"/>
        <v>#VALUE!</v>
      </c>
      <c r="BL33" s="10" t="e">
        <f t="shared" si="18"/>
        <v>#VALUE!</v>
      </c>
      <c r="BM33" s="10" t="e">
        <f t="shared" si="76"/>
        <v>#VALUE!</v>
      </c>
      <c r="BP33" s="10" t="e">
        <f t="shared" si="48"/>
        <v>#VALUE!</v>
      </c>
      <c r="BQ33" s="10" t="e">
        <f t="shared" si="49"/>
        <v>#VALUE!</v>
      </c>
      <c r="BR33" s="10" t="e">
        <f t="shared" si="50"/>
        <v>#VALUE!</v>
      </c>
      <c r="BS33" s="10" t="e">
        <f t="shared" si="51"/>
        <v>#VALUE!</v>
      </c>
      <c r="BT33" s="10" t="e">
        <f t="shared" si="52"/>
        <v>#VALUE!</v>
      </c>
      <c r="BU33" s="10" t="e">
        <f t="shared" si="53"/>
        <v>#VALUE!</v>
      </c>
      <c r="BW33" s="10" t="e">
        <f t="shared" si="54"/>
        <v>#VALUE!</v>
      </c>
      <c r="BX33" s="10" t="e">
        <f t="shared" si="55"/>
        <v>#VALUE!</v>
      </c>
      <c r="BY33" s="10" t="e">
        <f t="shared" si="56"/>
        <v>#VALUE!</v>
      </c>
      <c r="BZ33" s="10" t="e">
        <f t="shared" si="57"/>
        <v>#VALUE!</v>
      </c>
      <c r="CA33" s="10" t="e">
        <f t="shared" si="58"/>
        <v>#VALUE!</v>
      </c>
      <c r="CB33" s="10" t="e">
        <f t="shared" si="59"/>
        <v>#VALUE!</v>
      </c>
      <c r="CD33" s="10" t="e">
        <f>MATCH(INDEX($BP$12:$BU$12,1,MATCH(BP33,$BP$15:$BU$15,0)),结果汇总!$AI$10:$AI$13,0)</f>
        <v>#VALUE!</v>
      </c>
      <c r="CE33" s="10" t="e">
        <f>MATCH(INDEX($BP$12:$BU$12,1,MATCH(BQ33,$BP$15:$BU$15,0)),结果汇总!$AI$10:$AI$13,0)</f>
        <v>#VALUE!</v>
      </c>
      <c r="CF33" s="10" t="e">
        <f>MATCH(INDEX($BP$12:$BU$12,1,MATCH(BR33,$BP$15:$BU$15,0)),结果汇总!$AI$10:$AI$13,0)</f>
        <v>#VALUE!</v>
      </c>
      <c r="CG33" s="10" t="e">
        <f>MATCH(INDEX($BP$12:$BU$12,1,MATCH(BS33,$BP$15:$BU$15,0)),结果汇总!$AI$10:$AI$13,0)</f>
        <v>#VALUE!</v>
      </c>
      <c r="CH33" s="10" t="e">
        <f>MATCH(INDEX($BP$12:$BU$12,1,MATCH(BT33,$BP$15:$BU$15,0)),结果汇总!$AI$10:$AI$13,0)</f>
        <v>#VALUE!</v>
      </c>
      <c r="CI33" s="10" t="e">
        <f>MATCH(INDEX($BP$12:$BU$12,1,MATCH(BU33,$BP$15:$BU$15,0)),结果汇总!$AI$10:$AI$13,0)</f>
        <v>#VALUE!</v>
      </c>
      <c r="CK33" s="10">
        <f t="shared" si="60"/>
        <v>0</v>
      </c>
      <c r="CL33" s="10">
        <f t="shared" si="60"/>
        <v>0</v>
      </c>
      <c r="CM33" s="10">
        <f t="shared" si="60"/>
        <v>0</v>
      </c>
      <c r="CN33" s="10">
        <f t="shared" si="60"/>
        <v>0</v>
      </c>
      <c r="CO33" s="10" t="e">
        <f t="shared" si="61"/>
        <v>#DIV/0!</v>
      </c>
      <c r="CP33" s="10" t="e">
        <f t="shared" si="61"/>
        <v>#DIV/0!</v>
      </c>
      <c r="CQ33" s="10" t="e">
        <f t="shared" si="61"/>
        <v>#DIV/0!</v>
      </c>
      <c r="CR33" s="10" t="e">
        <f t="shared" si="61"/>
        <v>#DIV/0!</v>
      </c>
      <c r="CS33" s="10">
        <f t="shared" si="62"/>
        <v>0</v>
      </c>
      <c r="CT33" s="10">
        <f t="shared" si="62"/>
        <v>0</v>
      </c>
      <c r="CU33" s="10">
        <f t="shared" si="62"/>
        <v>0</v>
      </c>
      <c r="CV33" s="10">
        <f t="shared" si="62"/>
        <v>0</v>
      </c>
      <c r="CW33" s="10">
        <f t="shared" si="63"/>
        <v>0</v>
      </c>
      <c r="CX33" s="10">
        <f t="shared" si="63"/>
        <v>0</v>
      </c>
      <c r="CY33" s="10">
        <f t="shared" si="63"/>
        <v>0</v>
      </c>
      <c r="CZ33" s="10">
        <f t="shared" si="63"/>
        <v>0</v>
      </c>
    </row>
    <row r="34" spans="4:104" x14ac:dyDescent="0.15">
      <c r="D34" s="10">
        <v>19</v>
      </c>
      <c r="E34" s="10" t="e">
        <f t="shared" si="23"/>
        <v>#VALUE!</v>
      </c>
      <c r="F34" s="10" t="e">
        <f t="shared" si="3"/>
        <v>#VALUE!</v>
      </c>
      <c r="G34" s="10" t="e">
        <f t="shared" si="4"/>
        <v>#VALUE!</v>
      </c>
      <c r="H34" s="10" t="e">
        <f t="shared" si="24"/>
        <v>#VALUE!</v>
      </c>
      <c r="I34" s="10" t="e">
        <f t="shared" si="5"/>
        <v>#VALUE!</v>
      </c>
      <c r="J34" s="10" t="e">
        <f t="shared" si="25"/>
        <v>#VALUE!</v>
      </c>
      <c r="K34" s="10" t="e">
        <f t="shared" si="6"/>
        <v>#VALUE!</v>
      </c>
      <c r="L34" s="10" t="e">
        <f t="shared" si="7"/>
        <v>#VALUE!</v>
      </c>
      <c r="M34" s="10" t="e">
        <f t="shared" si="26"/>
        <v>#VALUE!</v>
      </c>
      <c r="O34" s="10" t="e">
        <f t="shared" si="27"/>
        <v>#VALUE!</v>
      </c>
      <c r="P34" s="10" t="e">
        <f t="shared" si="8"/>
        <v>#VALUE!</v>
      </c>
      <c r="Q34" s="10" t="e">
        <f t="shared" si="9"/>
        <v>#VALUE!</v>
      </c>
      <c r="R34" s="10" t="e">
        <f t="shared" si="28"/>
        <v>#VALUE!</v>
      </c>
      <c r="S34" s="10" t="e">
        <f t="shared" si="29"/>
        <v>#VALUE!</v>
      </c>
      <c r="T34" s="10" t="e">
        <f t="shared" si="64"/>
        <v>#VALUE!</v>
      </c>
      <c r="U34" s="10" t="e">
        <f t="shared" si="65"/>
        <v>#VALUE!</v>
      </c>
      <c r="V34" s="10" t="e">
        <f t="shared" si="10"/>
        <v>#VALUE!</v>
      </c>
      <c r="W34" s="10" t="e">
        <f t="shared" si="30"/>
        <v>#VALUE!</v>
      </c>
      <c r="Y34" s="10" t="e">
        <f t="shared" si="31"/>
        <v>#VALUE!</v>
      </c>
      <c r="Z34" s="11" t="e">
        <f t="shared" si="32"/>
        <v>#VALUE!</v>
      </c>
      <c r="AA34" s="10" t="e">
        <f t="shared" si="11"/>
        <v>#VALUE!</v>
      </c>
      <c r="AB34" s="10" t="e">
        <f t="shared" si="33"/>
        <v>#VALUE!</v>
      </c>
      <c r="AC34" s="10" t="e">
        <f t="shared" si="34"/>
        <v>#VALUE!</v>
      </c>
      <c r="AD34" s="10" t="e">
        <f t="shared" si="66"/>
        <v>#VALUE!</v>
      </c>
      <c r="AE34" s="10" t="e">
        <f t="shared" si="67"/>
        <v>#VALUE!</v>
      </c>
      <c r="AF34" s="10" t="e">
        <f t="shared" si="12"/>
        <v>#VALUE!</v>
      </c>
      <c r="AG34" s="10" t="e">
        <f t="shared" si="35"/>
        <v>#VALUE!</v>
      </c>
      <c r="AI34" s="13"/>
      <c r="AK34" s="10" t="e">
        <f t="shared" si="36"/>
        <v>#VALUE!</v>
      </c>
      <c r="AL34" s="10" t="e">
        <f t="shared" si="68"/>
        <v>#VALUE!</v>
      </c>
      <c r="AM34" s="10" t="e">
        <f t="shared" si="13"/>
        <v>#VALUE!</v>
      </c>
      <c r="AN34" s="10" t="e">
        <f t="shared" si="37"/>
        <v>#VALUE!</v>
      </c>
      <c r="AO34" s="10" t="e">
        <f t="shared" si="38"/>
        <v>#VALUE!</v>
      </c>
      <c r="AP34" s="10" t="e">
        <f t="shared" si="39"/>
        <v>#VALUE!</v>
      </c>
      <c r="AQ34" s="10" t="e">
        <f t="shared" si="69"/>
        <v>#VALUE!</v>
      </c>
      <c r="AR34" s="10" t="e">
        <f t="shared" si="14"/>
        <v>#VALUE!</v>
      </c>
      <c r="AS34" s="10" t="e">
        <f t="shared" si="70"/>
        <v>#VALUE!</v>
      </c>
      <c r="AU34" s="10" t="e">
        <f t="shared" si="40"/>
        <v>#VALUE!</v>
      </c>
      <c r="AV34" s="10" t="e">
        <f t="shared" si="71"/>
        <v>#VALUE!</v>
      </c>
      <c r="AW34" s="10" t="e">
        <f t="shared" si="15"/>
        <v>#VALUE!</v>
      </c>
      <c r="AX34" s="10" t="e">
        <f t="shared" si="41"/>
        <v>#VALUE!</v>
      </c>
      <c r="AY34" s="10" t="e">
        <f t="shared" si="42"/>
        <v>#VALUE!</v>
      </c>
      <c r="AZ34" s="10" t="e">
        <f t="shared" si="43"/>
        <v>#VALUE!</v>
      </c>
      <c r="BA34" s="10" t="e">
        <f t="shared" si="72"/>
        <v>#VALUE!</v>
      </c>
      <c r="BB34" s="10" t="e">
        <f t="shared" si="16"/>
        <v>#VALUE!</v>
      </c>
      <c r="BC34" s="10" t="e">
        <f t="shared" si="73"/>
        <v>#VALUE!</v>
      </c>
      <c r="BE34" s="10" t="e">
        <f t="shared" si="44"/>
        <v>#VALUE!</v>
      </c>
      <c r="BF34" s="10" t="e">
        <f t="shared" si="74"/>
        <v>#VALUE!</v>
      </c>
      <c r="BG34" s="10" t="e">
        <f t="shared" si="17"/>
        <v>#VALUE!</v>
      </c>
      <c r="BH34" s="10" t="e">
        <f t="shared" si="45"/>
        <v>#VALUE!</v>
      </c>
      <c r="BI34" s="10" t="e">
        <f t="shared" si="46"/>
        <v>#VALUE!</v>
      </c>
      <c r="BJ34" s="10" t="e">
        <f t="shared" si="47"/>
        <v>#VALUE!</v>
      </c>
      <c r="BK34" s="10" t="e">
        <f t="shared" si="75"/>
        <v>#VALUE!</v>
      </c>
      <c r="BL34" s="10" t="e">
        <f t="shared" si="18"/>
        <v>#VALUE!</v>
      </c>
      <c r="BM34" s="10" t="e">
        <f t="shared" si="76"/>
        <v>#VALUE!</v>
      </c>
      <c r="BP34" s="10" t="e">
        <f t="shared" si="48"/>
        <v>#VALUE!</v>
      </c>
      <c r="BQ34" s="10" t="e">
        <f t="shared" si="49"/>
        <v>#VALUE!</v>
      </c>
      <c r="BR34" s="10" t="e">
        <f t="shared" si="50"/>
        <v>#VALUE!</v>
      </c>
      <c r="BS34" s="10" t="e">
        <f t="shared" si="51"/>
        <v>#VALUE!</v>
      </c>
      <c r="BT34" s="10" t="e">
        <f t="shared" si="52"/>
        <v>#VALUE!</v>
      </c>
      <c r="BU34" s="10" t="e">
        <f t="shared" si="53"/>
        <v>#VALUE!</v>
      </c>
      <c r="BW34" s="10" t="e">
        <f t="shared" si="54"/>
        <v>#VALUE!</v>
      </c>
      <c r="BX34" s="10" t="e">
        <f t="shared" si="55"/>
        <v>#VALUE!</v>
      </c>
      <c r="BY34" s="10" t="e">
        <f t="shared" si="56"/>
        <v>#VALUE!</v>
      </c>
      <c r="BZ34" s="10" t="e">
        <f t="shared" si="57"/>
        <v>#VALUE!</v>
      </c>
      <c r="CA34" s="10" t="e">
        <f t="shared" si="58"/>
        <v>#VALUE!</v>
      </c>
      <c r="CB34" s="10" t="e">
        <f t="shared" si="59"/>
        <v>#VALUE!</v>
      </c>
      <c r="CD34" s="10" t="e">
        <f>MATCH(INDEX($BP$12:$BU$12,1,MATCH(BP34,$BP$15:$BU$15,0)),结果汇总!$AI$10:$AI$13,0)</f>
        <v>#VALUE!</v>
      </c>
      <c r="CE34" s="10" t="e">
        <f>MATCH(INDEX($BP$12:$BU$12,1,MATCH(BQ34,$BP$15:$BU$15,0)),结果汇总!$AI$10:$AI$13,0)</f>
        <v>#VALUE!</v>
      </c>
      <c r="CF34" s="10" t="e">
        <f>MATCH(INDEX($BP$12:$BU$12,1,MATCH(BR34,$BP$15:$BU$15,0)),结果汇总!$AI$10:$AI$13,0)</f>
        <v>#VALUE!</v>
      </c>
      <c r="CG34" s="10" t="e">
        <f>MATCH(INDEX($BP$12:$BU$12,1,MATCH(BS34,$BP$15:$BU$15,0)),结果汇总!$AI$10:$AI$13,0)</f>
        <v>#VALUE!</v>
      </c>
      <c r="CH34" s="10" t="e">
        <f>MATCH(INDEX($BP$12:$BU$12,1,MATCH(BT34,$BP$15:$BU$15,0)),结果汇总!$AI$10:$AI$13,0)</f>
        <v>#VALUE!</v>
      </c>
      <c r="CI34" s="10" t="e">
        <f>MATCH(INDEX($BP$12:$BU$12,1,MATCH(BU34,$BP$15:$BU$15,0)),结果汇总!$AI$10:$AI$13,0)</f>
        <v>#VALUE!</v>
      </c>
      <c r="CK34" s="10">
        <f t="shared" si="60"/>
        <v>0</v>
      </c>
      <c r="CL34" s="10">
        <f t="shared" si="60"/>
        <v>0</v>
      </c>
      <c r="CM34" s="10">
        <f t="shared" si="60"/>
        <v>0</v>
      </c>
      <c r="CN34" s="10">
        <f t="shared" si="60"/>
        <v>0</v>
      </c>
      <c r="CO34" s="10" t="e">
        <f t="shared" si="61"/>
        <v>#DIV/0!</v>
      </c>
      <c r="CP34" s="10" t="e">
        <f t="shared" si="61"/>
        <v>#DIV/0!</v>
      </c>
      <c r="CQ34" s="10" t="e">
        <f t="shared" si="61"/>
        <v>#DIV/0!</v>
      </c>
      <c r="CR34" s="10" t="e">
        <f t="shared" si="61"/>
        <v>#DIV/0!</v>
      </c>
      <c r="CS34" s="10">
        <f t="shared" si="62"/>
        <v>0</v>
      </c>
      <c r="CT34" s="10">
        <f t="shared" si="62"/>
        <v>0</v>
      </c>
      <c r="CU34" s="10">
        <f t="shared" si="62"/>
        <v>0</v>
      </c>
      <c r="CV34" s="10">
        <f t="shared" si="62"/>
        <v>0</v>
      </c>
      <c r="CW34" s="10">
        <f t="shared" si="63"/>
        <v>0</v>
      </c>
      <c r="CX34" s="10">
        <f t="shared" si="63"/>
        <v>0</v>
      </c>
      <c r="CY34" s="10">
        <f t="shared" si="63"/>
        <v>0</v>
      </c>
      <c r="CZ34" s="10">
        <f t="shared" si="63"/>
        <v>0</v>
      </c>
    </row>
    <row r="35" spans="4:104" x14ac:dyDescent="0.15">
      <c r="D35" s="10">
        <v>20</v>
      </c>
      <c r="E35" s="10" t="e">
        <f t="shared" si="23"/>
        <v>#VALUE!</v>
      </c>
      <c r="F35" s="10" t="e">
        <f t="shared" si="3"/>
        <v>#VALUE!</v>
      </c>
      <c r="G35" s="10" t="e">
        <f t="shared" si="4"/>
        <v>#VALUE!</v>
      </c>
      <c r="H35" s="10" t="e">
        <f t="shared" si="24"/>
        <v>#VALUE!</v>
      </c>
      <c r="I35" s="10" t="e">
        <f t="shared" si="5"/>
        <v>#VALUE!</v>
      </c>
      <c r="J35" s="10" t="e">
        <f t="shared" si="25"/>
        <v>#VALUE!</v>
      </c>
      <c r="K35" s="10" t="e">
        <f t="shared" si="6"/>
        <v>#VALUE!</v>
      </c>
      <c r="L35" s="10" t="e">
        <f t="shared" si="7"/>
        <v>#VALUE!</v>
      </c>
      <c r="M35" s="10" t="e">
        <f t="shared" si="26"/>
        <v>#VALUE!</v>
      </c>
      <c r="O35" s="10" t="e">
        <f t="shared" si="27"/>
        <v>#VALUE!</v>
      </c>
      <c r="P35" s="10" t="e">
        <f t="shared" si="8"/>
        <v>#VALUE!</v>
      </c>
      <c r="Q35" s="10" t="e">
        <f t="shared" si="9"/>
        <v>#VALUE!</v>
      </c>
      <c r="R35" s="10" t="e">
        <f t="shared" si="28"/>
        <v>#VALUE!</v>
      </c>
      <c r="S35" s="10" t="e">
        <f t="shared" si="29"/>
        <v>#VALUE!</v>
      </c>
      <c r="T35" s="10" t="e">
        <f t="shared" si="64"/>
        <v>#VALUE!</v>
      </c>
      <c r="U35" s="10" t="e">
        <f t="shared" si="65"/>
        <v>#VALUE!</v>
      </c>
      <c r="V35" s="10" t="e">
        <f t="shared" si="10"/>
        <v>#VALUE!</v>
      </c>
      <c r="W35" s="10" t="e">
        <f t="shared" si="30"/>
        <v>#VALUE!</v>
      </c>
      <c r="Y35" s="10" t="e">
        <f t="shared" si="31"/>
        <v>#VALUE!</v>
      </c>
      <c r="Z35" s="11" t="e">
        <f t="shared" si="32"/>
        <v>#VALUE!</v>
      </c>
      <c r="AA35" s="10" t="e">
        <f t="shared" si="11"/>
        <v>#VALUE!</v>
      </c>
      <c r="AB35" s="10" t="e">
        <f t="shared" si="33"/>
        <v>#VALUE!</v>
      </c>
      <c r="AC35" s="10" t="e">
        <f t="shared" si="34"/>
        <v>#VALUE!</v>
      </c>
      <c r="AD35" s="10" t="e">
        <f t="shared" si="66"/>
        <v>#VALUE!</v>
      </c>
      <c r="AE35" s="10" t="e">
        <f t="shared" si="67"/>
        <v>#VALUE!</v>
      </c>
      <c r="AF35" s="10" t="e">
        <f t="shared" si="12"/>
        <v>#VALUE!</v>
      </c>
      <c r="AG35" s="10" t="e">
        <f t="shared" si="35"/>
        <v>#VALUE!</v>
      </c>
      <c r="AI35" s="13"/>
      <c r="AK35" s="10" t="e">
        <f t="shared" si="36"/>
        <v>#VALUE!</v>
      </c>
      <c r="AL35" s="10" t="e">
        <f t="shared" si="68"/>
        <v>#VALUE!</v>
      </c>
      <c r="AM35" s="10" t="e">
        <f t="shared" si="13"/>
        <v>#VALUE!</v>
      </c>
      <c r="AN35" s="10" t="e">
        <f t="shared" si="37"/>
        <v>#VALUE!</v>
      </c>
      <c r="AO35" s="10" t="e">
        <f t="shared" si="38"/>
        <v>#VALUE!</v>
      </c>
      <c r="AP35" s="10" t="e">
        <f t="shared" si="39"/>
        <v>#VALUE!</v>
      </c>
      <c r="AQ35" s="10" t="e">
        <f t="shared" si="69"/>
        <v>#VALUE!</v>
      </c>
      <c r="AR35" s="10" t="e">
        <f t="shared" si="14"/>
        <v>#VALUE!</v>
      </c>
      <c r="AS35" s="10" t="e">
        <f t="shared" si="70"/>
        <v>#VALUE!</v>
      </c>
      <c r="AU35" s="10" t="e">
        <f t="shared" si="40"/>
        <v>#VALUE!</v>
      </c>
      <c r="AV35" s="10" t="e">
        <f t="shared" si="71"/>
        <v>#VALUE!</v>
      </c>
      <c r="AW35" s="10" t="e">
        <f t="shared" si="15"/>
        <v>#VALUE!</v>
      </c>
      <c r="AX35" s="10" t="e">
        <f t="shared" si="41"/>
        <v>#VALUE!</v>
      </c>
      <c r="AY35" s="10" t="e">
        <f t="shared" si="42"/>
        <v>#VALUE!</v>
      </c>
      <c r="AZ35" s="10" t="e">
        <f t="shared" si="43"/>
        <v>#VALUE!</v>
      </c>
      <c r="BA35" s="10" t="e">
        <f t="shared" si="72"/>
        <v>#VALUE!</v>
      </c>
      <c r="BB35" s="10" t="e">
        <f t="shared" si="16"/>
        <v>#VALUE!</v>
      </c>
      <c r="BC35" s="10" t="e">
        <f t="shared" si="73"/>
        <v>#VALUE!</v>
      </c>
      <c r="BE35" s="10" t="e">
        <f t="shared" si="44"/>
        <v>#VALUE!</v>
      </c>
      <c r="BF35" s="10" t="e">
        <f t="shared" si="74"/>
        <v>#VALUE!</v>
      </c>
      <c r="BG35" s="10" t="e">
        <f t="shared" si="17"/>
        <v>#VALUE!</v>
      </c>
      <c r="BH35" s="10" t="e">
        <f t="shared" si="45"/>
        <v>#VALUE!</v>
      </c>
      <c r="BI35" s="10" t="e">
        <f t="shared" si="46"/>
        <v>#VALUE!</v>
      </c>
      <c r="BJ35" s="10" t="e">
        <f t="shared" si="47"/>
        <v>#VALUE!</v>
      </c>
      <c r="BK35" s="10" t="e">
        <f t="shared" si="75"/>
        <v>#VALUE!</v>
      </c>
      <c r="BL35" s="10" t="e">
        <f t="shared" si="18"/>
        <v>#VALUE!</v>
      </c>
      <c r="BM35" s="10" t="e">
        <f t="shared" si="76"/>
        <v>#VALUE!</v>
      </c>
      <c r="BP35" s="10" t="e">
        <f t="shared" si="48"/>
        <v>#VALUE!</v>
      </c>
      <c r="BQ35" s="10" t="e">
        <f t="shared" si="49"/>
        <v>#VALUE!</v>
      </c>
      <c r="BR35" s="10" t="e">
        <f t="shared" si="50"/>
        <v>#VALUE!</v>
      </c>
      <c r="BS35" s="10" t="e">
        <f t="shared" si="51"/>
        <v>#VALUE!</v>
      </c>
      <c r="BT35" s="10" t="e">
        <f t="shared" si="52"/>
        <v>#VALUE!</v>
      </c>
      <c r="BU35" s="10" t="e">
        <f t="shared" si="53"/>
        <v>#VALUE!</v>
      </c>
      <c r="BW35" s="10" t="e">
        <f t="shared" si="54"/>
        <v>#VALUE!</v>
      </c>
      <c r="BX35" s="10" t="e">
        <f t="shared" si="55"/>
        <v>#VALUE!</v>
      </c>
      <c r="BY35" s="10" t="e">
        <f t="shared" si="56"/>
        <v>#VALUE!</v>
      </c>
      <c r="BZ35" s="10" t="e">
        <f t="shared" si="57"/>
        <v>#VALUE!</v>
      </c>
      <c r="CA35" s="10" t="e">
        <f t="shared" si="58"/>
        <v>#VALUE!</v>
      </c>
      <c r="CB35" s="10" t="e">
        <f t="shared" si="59"/>
        <v>#VALUE!</v>
      </c>
      <c r="CD35" s="10" t="e">
        <f>MATCH(INDEX($BP$12:$BU$12,1,MATCH(BP35,$BP$15:$BU$15,0)),结果汇总!$AI$10:$AI$13,0)</f>
        <v>#VALUE!</v>
      </c>
      <c r="CE35" s="10" t="e">
        <f>MATCH(INDEX($BP$12:$BU$12,1,MATCH(BQ35,$BP$15:$BU$15,0)),结果汇总!$AI$10:$AI$13,0)</f>
        <v>#VALUE!</v>
      </c>
      <c r="CF35" s="10" t="e">
        <f>MATCH(INDEX($BP$12:$BU$12,1,MATCH(BR35,$BP$15:$BU$15,0)),结果汇总!$AI$10:$AI$13,0)</f>
        <v>#VALUE!</v>
      </c>
      <c r="CG35" s="10" t="e">
        <f>MATCH(INDEX($BP$12:$BU$12,1,MATCH(BS35,$BP$15:$BU$15,0)),结果汇总!$AI$10:$AI$13,0)</f>
        <v>#VALUE!</v>
      </c>
      <c r="CH35" s="10" t="e">
        <f>MATCH(INDEX($BP$12:$BU$12,1,MATCH(BT35,$BP$15:$BU$15,0)),结果汇总!$AI$10:$AI$13,0)</f>
        <v>#VALUE!</v>
      </c>
      <c r="CI35" s="10" t="e">
        <f>MATCH(INDEX($BP$12:$BU$12,1,MATCH(BU35,$BP$15:$BU$15,0)),结果汇总!$AI$10:$AI$13,0)</f>
        <v>#VALUE!</v>
      </c>
      <c r="CK35" s="10">
        <f t="shared" si="60"/>
        <v>0</v>
      </c>
      <c r="CL35" s="10">
        <f t="shared" si="60"/>
        <v>0</v>
      </c>
      <c r="CM35" s="10">
        <f t="shared" si="60"/>
        <v>0</v>
      </c>
      <c r="CN35" s="10">
        <f t="shared" si="60"/>
        <v>0</v>
      </c>
      <c r="CO35" s="10" t="e">
        <f t="shared" si="61"/>
        <v>#DIV/0!</v>
      </c>
      <c r="CP35" s="10" t="e">
        <f t="shared" si="61"/>
        <v>#DIV/0!</v>
      </c>
      <c r="CQ35" s="10" t="e">
        <f t="shared" si="61"/>
        <v>#DIV/0!</v>
      </c>
      <c r="CR35" s="10" t="e">
        <f t="shared" si="61"/>
        <v>#DIV/0!</v>
      </c>
      <c r="CS35" s="10">
        <f t="shared" si="62"/>
        <v>0</v>
      </c>
      <c r="CT35" s="10">
        <f t="shared" si="62"/>
        <v>0</v>
      </c>
      <c r="CU35" s="10">
        <f t="shared" si="62"/>
        <v>0</v>
      </c>
      <c r="CV35" s="10">
        <f t="shared" si="62"/>
        <v>0</v>
      </c>
      <c r="CW35" s="10">
        <f t="shared" si="63"/>
        <v>0</v>
      </c>
      <c r="CX35" s="10">
        <f t="shared" si="63"/>
        <v>0</v>
      </c>
      <c r="CY35" s="10">
        <f t="shared" si="63"/>
        <v>0</v>
      </c>
      <c r="CZ35" s="10">
        <f t="shared" si="63"/>
        <v>0</v>
      </c>
    </row>
    <row r="36" spans="4:104" x14ac:dyDescent="0.15">
      <c r="D36" s="10">
        <v>21</v>
      </c>
      <c r="E36" s="10" t="e">
        <f t="shared" si="23"/>
        <v>#VALUE!</v>
      </c>
      <c r="F36" s="10" t="e">
        <f t="shared" si="3"/>
        <v>#VALUE!</v>
      </c>
      <c r="G36" s="10" t="e">
        <f t="shared" si="4"/>
        <v>#VALUE!</v>
      </c>
      <c r="H36" s="10" t="e">
        <f t="shared" si="24"/>
        <v>#VALUE!</v>
      </c>
      <c r="I36" s="10" t="e">
        <f t="shared" si="5"/>
        <v>#VALUE!</v>
      </c>
      <c r="J36" s="10" t="e">
        <f t="shared" si="25"/>
        <v>#VALUE!</v>
      </c>
      <c r="K36" s="10" t="e">
        <f t="shared" si="6"/>
        <v>#VALUE!</v>
      </c>
      <c r="L36" s="10" t="e">
        <f t="shared" si="7"/>
        <v>#VALUE!</v>
      </c>
      <c r="M36" s="10" t="e">
        <f t="shared" si="26"/>
        <v>#VALUE!</v>
      </c>
      <c r="O36" s="10" t="e">
        <f t="shared" si="27"/>
        <v>#VALUE!</v>
      </c>
      <c r="P36" s="10" t="e">
        <f t="shared" si="8"/>
        <v>#VALUE!</v>
      </c>
      <c r="Q36" s="10" t="e">
        <f t="shared" si="9"/>
        <v>#VALUE!</v>
      </c>
      <c r="R36" s="10" t="e">
        <f t="shared" si="28"/>
        <v>#VALUE!</v>
      </c>
      <c r="S36" s="10" t="e">
        <f t="shared" si="29"/>
        <v>#VALUE!</v>
      </c>
      <c r="T36" s="10" t="e">
        <f t="shared" si="64"/>
        <v>#VALUE!</v>
      </c>
      <c r="U36" s="10" t="e">
        <f t="shared" si="65"/>
        <v>#VALUE!</v>
      </c>
      <c r="V36" s="10" t="e">
        <f t="shared" si="10"/>
        <v>#VALUE!</v>
      </c>
      <c r="W36" s="10" t="e">
        <f t="shared" si="30"/>
        <v>#VALUE!</v>
      </c>
      <c r="Y36" s="10" t="e">
        <f t="shared" si="31"/>
        <v>#VALUE!</v>
      </c>
      <c r="Z36" s="11" t="e">
        <f t="shared" si="32"/>
        <v>#VALUE!</v>
      </c>
      <c r="AA36" s="10" t="e">
        <f t="shared" si="11"/>
        <v>#VALUE!</v>
      </c>
      <c r="AB36" s="10" t="e">
        <f t="shared" si="33"/>
        <v>#VALUE!</v>
      </c>
      <c r="AC36" s="10" t="e">
        <f t="shared" si="34"/>
        <v>#VALUE!</v>
      </c>
      <c r="AD36" s="10" t="e">
        <f t="shared" si="66"/>
        <v>#VALUE!</v>
      </c>
      <c r="AE36" s="10" t="e">
        <f t="shared" si="67"/>
        <v>#VALUE!</v>
      </c>
      <c r="AF36" s="10" t="e">
        <f t="shared" si="12"/>
        <v>#VALUE!</v>
      </c>
      <c r="AG36" s="10" t="e">
        <f t="shared" si="35"/>
        <v>#VALUE!</v>
      </c>
      <c r="AI36" s="13"/>
      <c r="AK36" s="10" t="e">
        <f t="shared" si="36"/>
        <v>#VALUE!</v>
      </c>
      <c r="AL36" s="10" t="e">
        <f t="shared" si="68"/>
        <v>#VALUE!</v>
      </c>
      <c r="AM36" s="10" t="e">
        <f t="shared" si="13"/>
        <v>#VALUE!</v>
      </c>
      <c r="AN36" s="10" t="e">
        <f t="shared" si="37"/>
        <v>#VALUE!</v>
      </c>
      <c r="AO36" s="10" t="e">
        <f t="shared" si="38"/>
        <v>#VALUE!</v>
      </c>
      <c r="AP36" s="10" t="e">
        <f t="shared" si="39"/>
        <v>#VALUE!</v>
      </c>
      <c r="AQ36" s="10" t="e">
        <f t="shared" si="69"/>
        <v>#VALUE!</v>
      </c>
      <c r="AR36" s="10" t="e">
        <f t="shared" si="14"/>
        <v>#VALUE!</v>
      </c>
      <c r="AS36" s="10" t="e">
        <f t="shared" si="70"/>
        <v>#VALUE!</v>
      </c>
      <c r="AU36" s="10" t="e">
        <f t="shared" si="40"/>
        <v>#VALUE!</v>
      </c>
      <c r="AV36" s="10" t="e">
        <f t="shared" si="71"/>
        <v>#VALUE!</v>
      </c>
      <c r="AW36" s="10" t="e">
        <f t="shared" si="15"/>
        <v>#VALUE!</v>
      </c>
      <c r="AX36" s="10" t="e">
        <f t="shared" si="41"/>
        <v>#VALUE!</v>
      </c>
      <c r="AY36" s="10" t="e">
        <f t="shared" si="42"/>
        <v>#VALUE!</v>
      </c>
      <c r="AZ36" s="10" t="e">
        <f t="shared" si="43"/>
        <v>#VALUE!</v>
      </c>
      <c r="BA36" s="10" t="e">
        <f t="shared" si="72"/>
        <v>#VALUE!</v>
      </c>
      <c r="BB36" s="10" t="e">
        <f t="shared" si="16"/>
        <v>#VALUE!</v>
      </c>
      <c r="BC36" s="10" t="e">
        <f t="shared" si="73"/>
        <v>#VALUE!</v>
      </c>
      <c r="BE36" s="10" t="e">
        <f t="shared" si="44"/>
        <v>#VALUE!</v>
      </c>
      <c r="BF36" s="10" t="e">
        <f t="shared" si="74"/>
        <v>#VALUE!</v>
      </c>
      <c r="BG36" s="10" t="e">
        <f t="shared" si="17"/>
        <v>#VALUE!</v>
      </c>
      <c r="BH36" s="10" t="e">
        <f t="shared" si="45"/>
        <v>#VALUE!</v>
      </c>
      <c r="BI36" s="10" t="e">
        <f t="shared" si="46"/>
        <v>#VALUE!</v>
      </c>
      <c r="BJ36" s="10" t="e">
        <f t="shared" si="47"/>
        <v>#VALUE!</v>
      </c>
      <c r="BK36" s="10" t="e">
        <f t="shared" si="75"/>
        <v>#VALUE!</v>
      </c>
      <c r="BL36" s="10" t="e">
        <f t="shared" si="18"/>
        <v>#VALUE!</v>
      </c>
      <c r="BM36" s="10" t="e">
        <f t="shared" si="76"/>
        <v>#VALUE!</v>
      </c>
      <c r="BP36" s="10" t="e">
        <f t="shared" si="48"/>
        <v>#VALUE!</v>
      </c>
      <c r="BQ36" s="10" t="e">
        <f t="shared" si="49"/>
        <v>#VALUE!</v>
      </c>
      <c r="BR36" s="10" t="e">
        <f t="shared" si="50"/>
        <v>#VALUE!</v>
      </c>
      <c r="BS36" s="10" t="e">
        <f t="shared" si="51"/>
        <v>#VALUE!</v>
      </c>
      <c r="BT36" s="10" t="e">
        <f t="shared" si="52"/>
        <v>#VALUE!</v>
      </c>
      <c r="BU36" s="10" t="e">
        <f t="shared" si="53"/>
        <v>#VALUE!</v>
      </c>
      <c r="BW36" s="10" t="e">
        <f t="shared" si="54"/>
        <v>#VALUE!</v>
      </c>
      <c r="BX36" s="10" t="e">
        <f t="shared" si="55"/>
        <v>#VALUE!</v>
      </c>
      <c r="BY36" s="10" t="e">
        <f t="shared" si="56"/>
        <v>#VALUE!</v>
      </c>
      <c r="BZ36" s="10" t="e">
        <f t="shared" si="57"/>
        <v>#VALUE!</v>
      </c>
      <c r="CA36" s="10" t="e">
        <f t="shared" si="58"/>
        <v>#VALUE!</v>
      </c>
      <c r="CB36" s="10" t="e">
        <f t="shared" si="59"/>
        <v>#VALUE!</v>
      </c>
      <c r="CD36" s="10" t="e">
        <f>MATCH(INDEX($BP$12:$BU$12,1,MATCH(BP36,$BP$15:$BU$15,0)),结果汇总!$AI$10:$AI$13,0)</f>
        <v>#VALUE!</v>
      </c>
      <c r="CE36" s="10" t="e">
        <f>MATCH(INDEX($BP$12:$BU$12,1,MATCH(BQ36,$BP$15:$BU$15,0)),结果汇总!$AI$10:$AI$13,0)</f>
        <v>#VALUE!</v>
      </c>
      <c r="CF36" s="10" t="e">
        <f>MATCH(INDEX($BP$12:$BU$12,1,MATCH(BR36,$BP$15:$BU$15,0)),结果汇总!$AI$10:$AI$13,0)</f>
        <v>#VALUE!</v>
      </c>
      <c r="CG36" s="10" t="e">
        <f>MATCH(INDEX($BP$12:$BU$12,1,MATCH(BS36,$BP$15:$BU$15,0)),结果汇总!$AI$10:$AI$13,0)</f>
        <v>#VALUE!</v>
      </c>
      <c r="CH36" s="10" t="e">
        <f>MATCH(INDEX($BP$12:$BU$12,1,MATCH(BT36,$BP$15:$BU$15,0)),结果汇总!$AI$10:$AI$13,0)</f>
        <v>#VALUE!</v>
      </c>
      <c r="CI36" s="10" t="e">
        <f>MATCH(INDEX($BP$12:$BU$12,1,MATCH(BU36,$BP$15:$BU$15,0)),结果汇总!$AI$10:$AI$13,0)</f>
        <v>#VALUE!</v>
      </c>
      <c r="CK36" s="10">
        <f t="shared" si="60"/>
        <v>0</v>
      </c>
      <c r="CL36" s="10">
        <f t="shared" si="60"/>
        <v>0</v>
      </c>
      <c r="CM36" s="10">
        <f t="shared" si="60"/>
        <v>0</v>
      </c>
      <c r="CN36" s="10">
        <f t="shared" si="60"/>
        <v>0</v>
      </c>
      <c r="CO36" s="10" t="e">
        <f t="shared" si="61"/>
        <v>#DIV/0!</v>
      </c>
      <c r="CP36" s="10" t="e">
        <f t="shared" si="61"/>
        <v>#DIV/0!</v>
      </c>
      <c r="CQ36" s="10" t="e">
        <f t="shared" si="61"/>
        <v>#DIV/0!</v>
      </c>
      <c r="CR36" s="10" t="e">
        <f t="shared" si="61"/>
        <v>#DIV/0!</v>
      </c>
      <c r="CS36" s="10">
        <f t="shared" si="62"/>
        <v>0</v>
      </c>
      <c r="CT36" s="10">
        <f t="shared" si="62"/>
        <v>0</v>
      </c>
      <c r="CU36" s="10">
        <f t="shared" si="62"/>
        <v>0</v>
      </c>
      <c r="CV36" s="10">
        <f t="shared" si="62"/>
        <v>0</v>
      </c>
      <c r="CW36" s="10">
        <f t="shared" si="63"/>
        <v>0</v>
      </c>
      <c r="CX36" s="10">
        <f t="shared" si="63"/>
        <v>0</v>
      </c>
      <c r="CY36" s="10">
        <f t="shared" si="63"/>
        <v>0</v>
      </c>
      <c r="CZ36" s="10">
        <f t="shared" si="63"/>
        <v>0</v>
      </c>
    </row>
    <row r="37" spans="4:104" x14ac:dyDescent="0.15">
      <c r="D37" s="10">
        <v>22</v>
      </c>
      <c r="E37" s="10" t="e">
        <f t="shared" si="23"/>
        <v>#VALUE!</v>
      </c>
      <c r="F37" s="10" t="e">
        <f t="shared" si="3"/>
        <v>#VALUE!</v>
      </c>
      <c r="G37" s="10" t="e">
        <f t="shared" si="4"/>
        <v>#VALUE!</v>
      </c>
      <c r="H37" s="10" t="e">
        <f t="shared" si="24"/>
        <v>#VALUE!</v>
      </c>
      <c r="I37" s="10" t="e">
        <f t="shared" si="5"/>
        <v>#VALUE!</v>
      </c>
      <c r="J37" s="10" t="e">
        <f t="shared" si="25"/>
        <v>#VALUE!</v>
      </c>
      <c r="K37" s="10" t="e">
        <f t="shared" si="6"/>
        <v>#VALUE!</v>
      </c>
      <c r="L37" s="10" t="e">
        <f t="shared" si="7"/>
        <v>#VALUE!</v>
      </c>
      <c r="M37" s="10" t="e">
        <f t="shared" si="26"/>
        <v>#VALUE!</v>
      </c>
      <c r="O37" s="10" t="e">
        <f t="shared" si="27"/>
        <v>#VALUE!</v>
      </c>
      <c r="P37" s="10" t="e">
        <f t="shared" si="8"/>
        <v>#VALUE!</v>
      </c>
      <c r="Q37" s="10" t="e">
        <f t="shared" si="9"/>
        <v>#VALUE!</v>
      </c>
      <c r="R37" s="10" t="e">
        <f t="shared" si="28"/>
        <v>#VALUE!</v>
      </c>
      <c r="S37" s="10" t="e">
        <f t="shared" si="29"/>
        <v>#VALUE!</v>
      </c>
      <c r="T37" s="10" t="e">
        <f t="shared" si="64"/>
        <v>#VALUE!</v>
      </c>
      <c r="U37" s="10" t="e">
        <f t="shared" si="65"/>
        <v>#VALUE!</v>
      </c>
      <c r="V37" s="10" t="e">
        <f t="shared" si="10"/>
        <v>#VALUE!</v>
      </c>
      <c r="W37" s="10" t="e">
        <f t="shared" si="30"/>
        <v>#VALUE!</v>
      </c>
      <c r="Y37" s="10" t="e">
        <f t="shared" si="31"/>
        <v>#VALUE!</v>
      </c>
      <c r="Z37" s="11" t="e">
        <f t="shared" si="32"/>
        <v>#VALUE!</v>
      </c>
      <c r="AA37" s="10" t="e">
        <f t="shared" si="11"/>
        <v>#VALUE!</v>
      </c>
      <c r="AB37" s="10" t="e">
        <f t="shared" si="33"/>
        <v>#VALUE!</v>
      </c>
      <c r="AC37" s="10" t="e">
        <f t="shared" si="34"/>
        <v>#VALUE!</v>
      </c>
      <c r="AD37" s="10" t="e">
        <f t="shared" si="66"/>
        <v>#VALUE!</v>
      </c>
      <c r="AE37" s="10" t="e">
        <f t="shared" si="67"/>
        <v>#VALUE!</v>
      </c>
      <c r="AF37" s="10" t="e">
        <f t="shared" si="12"/>
        <v>#VALUE!</v>
      </c>
      <c r="AG37" s="10" t="e">
        <f t="shared" si="35"/>
        <v>#VALUE!</v>
      </c>
      <c r="AI37" s="13"/>
      <c r="AK37" s="10" t="e">
        <f t="shared" si="36"/>
        <v>#VALUE!</v>
      </c>
      <c r="AL37" s="10" t="e">
        <f t="shared" si="68"/>
        <v>#VALUE!</v>
      </c>
      <c r="AM37" s="10" t="e">
        <f t="shared" si="13"/>
        <v>#VALUE!</v>
      </c>
      <c r="AN37" s="10" t="e">
        <f t="shared" si="37"/>
        <v>#VALUE!</v>
      </c>
      <c r="AO37" s="10" t="e">
        <f t="shared" si="38"/>
        <v>#VALUE!</v>
      </c>
      <c r="AP37" s="10" t="e">
        <f t="shared" si="39"/>
        <v>#VALUE!</v>
      </c>
      <c r="AQ37" s="10" t="e">
        <f t="shared" si="69"/>
        <v>#VALUE!</v>
      </c>
      <c r="AR37" s="10" t="e">
        <f t="shared" si="14"/>
        <v>#VALUE!</v>
      </c>
      <c r="AS37" s="10" t="e">
        <f t="shared" si="70"/>
        <v>#VALUE!</v>
      </c>
      <c r="AU37" s="10" t="e">
        <f t="shared" si="40"/>
        <v>#VALUE!</v>
      </c>
      <c r="AV37" s="10" t="e">
        <f t="shared" si="71"/>
        <v>#VALUE!</v>
      </c>
      <c r="AW37" s="10" t="e">
        <f t="shared" si="15"/>
        <v>#VALUE!</v>
      </c>
      <c r="AX37" s="10" t="e">
        <f t="shared" si="41"/>
        <v>#VALUE!</v>
      </c>
      <c r="AY37" s="10" t="e">
        <f t="shared" si="42"/>
        <v>#VALUE!</v>
      </c>
      <c r="AZ37" s="10" t="e">
        <f t="shared" si="43"/>
        <v>#VALUE!</v>
      </c>
      <c r="BA37" s="10" t="e">
        <f t="shared" si="72"/>
        <v>#VALUE!</v>
      </c>
      <c r="BB37" s="10" t="e">
        <f t="shared" si="16"/>
        <v>#VALUE!</v>
      </c>
      <c r="BC37" s="10" t="e">
        <f t="shared" si="73"/>
        <v>#VALUE!</v>
      </c>
      <c r="BE37" s="10" t="e">
        <f t="shared" si="44"/>
        <v>#VALUE!</v>
      </c>
      <c r="BF37" s="10" t="e">
        <f t="shared" si="74"/>
        <v>#VALUE!</v>
      </c>
      <c r="BG37" s="10" t="e">
        <f t="shared" si="17"/>
        <v>#VALUE!</v>
      </c>
      <c r="BH37" s="10" t="e">
        <f t="shared" si="45"/>
        <v>#VALUE!</v>
      </c>
      <c r="BI37" s="10" t="e">
        <f t="shared" si="46"/>
        <v>#VALUE!</v>
      </c>
      <c r="BJ37" s="10" t="e">
        <f t="shared" si="47"/>
        <v>#VALUE!</v>
      </c>
      <c r="BK37" s="10" t="e">
        <f t="shared" si="75"/>
        <v>#VALUE!</v>
      </c>
      <c r="BL37" s="10" t="e">
        <f t="shared" si="18"/>
        <v>#VALUE!</v>
      </c>
      <c r="BM37" s="10" t="e">
        <f t="shared" si="76"/>
        <v>#VALUE!</v>
      </c>
      <c r="BP37" s="10" t="e">
        <f t="shared" si="48"/>
        <v>#VALUE!</v>
      </c>
      <c r="BQ37" s="10" t="e">
        <f t="shared" si="49"/>
        <v>#VALUE!</v>
      </c>
      <c r="BR37" s="10" t="e">
        <f t="shared" si="50"/>
        <v>#VALUE!</v>
      </c>
      <c r="BS37" s="10" t="e">
        <f t="shared" si="51"/>
        <v>#VALUE!</v>
      </c>
      <c r="BT37" s="10" t="e">
        <f t="shared" si="52"/>
        <v>#VALUE!</v>
      </c>
      <c r="BU37" s="10" t="e">
        <f t="shared" si="53"/>
        <v>#VALUE!</v>
      </c>
      <c r="BW37" s="10" t="e">
        <f t="shared" si="54"/>
        <v>#VALUE!</v>
      </c>
      <c r="BX37" s="10" t="e">
        <f t="shared" si="55"/>
        <v>#VALUE!</v>
      </c>
      <c r="BY37" s="10" t="e">
        <f t="shared" si="56"/>
        <v>#VALUE!</v>
      </c>
      <c r="BZ37" s="10" t="e">
        <f t="shared" si="57"/>
        <v>#VALUE!</v>
      </c>
      <c r="CA37" s="10" t="e">
        <f t="shared" si="58"/>
        <v>#VALUE!</v>
      </c>
      <c r="CB37" s="10" t="e">
        <f t="shared" si="59"/>
        <v>#VALUE!</v>
      </c>
      <c r="CD37" s="10" t="e">
        <f>MATCH(INDEX($BP$12:$BU$12,1,MATCH(BP37,$BP$15:$BU$15,0)),结果汇总!$AI$10:$AI$13,0)</f>
        <v>#VALUE!</v>
      </c>
      <c r="CE37" s="10" t="e">
        <f>MATCH(INDEX($BP$12:$BU$12,1,MATCH(BQ37,$BP$15:$BU$15,0)),结果汇总!$AI$10:$AI$13,0)</f>
        <v>#VALUE!</v>
      </c>
      <c r="CF37" s="10" t="e">
        <f>MATCH(INDEX($BP$12:$BU$12,1,MATCH(BR37,$BP$15:$BU$15,0)),结果汇总!$AI$10:$AI$13,0)</f>
        <v>#VALUE!</v>
      </c>
      <c r="CG37" s="10" t="e">
        <f>MATCH(INDEX($BP$12:$BU$12,1,MATCH(BS37,$BP$15:$BU$15,0)),结果汇总!$AI$10:$AI$13,0)</f>
        <v>#VALUE!</v>
      </c>
      <c r="CH37" s="10" t="e">
        <f>MATCH(INDEX($BP$12:$BU$12,1,MATCH(BT37,$BP$15:$BU$15,0)),结果汇总!$AI$10:$AI$13,0)</f>
        <v>#VALUE!</v>
      </c>
      <c r="CI37" s="10" t="e">
        <f>MATCH(INDEX($BP$12:$BU$12,1,MATCH(BU37,$BP$15:$BU$15,0)),结果汇总!$AI$10:$AI$13,0)</f>
        <v>#VALUE!</v>
      </c>
      <c r="CK37" s="10">
        <f t="shared" si="60"/>
        <v>0</v>
      </c>
      <c r="CL37" s="10">
        <f t="shared" si="60"/>
        <v>0</v>
      </c>
      <c r="CM37" s="10">
        <f t="shared" si="60"/>
        <v>0</v>
      </c>
      <c r="CN37" s="10">
        <f t="shared" si="60"/>
        <v>0</v>
      </c>
      <c r="CO37" s="10" t="e">
        <f t="shared" si="61"/>
        <v>#DIV/0!</v>
      </c>
      <c r="CP37" s="10" t="e">
        <f t="shared" si="61"/>
        <v>#DIV/0!</v>
      </c>
      <c r="CQ37" s="10" t="e">
        <f t="shared" si="61"/>
        <v>#DIV/0!</v>
      </c>
      <c r="CR37" s="10" t="e">
        <f t="shared" si="61"/>
        <v>#DIV/0!</v>
      </c>
      <c r="CS37" s="10">
        <f t="shared" si="62"/>
        <v>0</v>
      </c>
      <c r="CT37" s="10">
        <f t="shared" si="62"/>
        <v>0</v>
      </c>
      <c r="CU37" s="10">
        <f t="shared" si="62"/>
        <v>0</v>
      </c>
      <c r="CV37" s="10">
        <f t="shared" si="62"/>
        <v>0</v>
      </c>
      <c r="CW37" s="10">
        <f t="shared" si="63"/>
        <v>0</v>
      </c>
      <c r="CX37" s="10">
        <f t="shared" si="63"/>
        <v>0</v>
      </c>
      <c r="CY37" s="10">
        <f t="shared" si="63"/>
        <v>0</v>
      </c>
      <c r="CZ37" s="10">
        <f t="shared" si="63"/>
        <v>0</v>
      </c>
    </row>
    <row r="38" spans="4:104" x14ac:dyDescent="0.15">
      <c r="D38" s="10">
        <v>23</v>
      </c>
      <c r="E38" s="10" t="e">
        <f t="shared" si="23"/>
        <v>#VALUE!</v>
      </c>
      <c r="F38" s="10" t="e">
        <f t="shared" si="3"/>
        <v>#VALUE!</v>
      </c>
      <c r="G38" s="10" t="e">
        <f t="shared" si="4"/>
        <v>#VALUE!</v>
      </c>
      <c r="H38" s="10" t="e">
        <f t="shared" si="24"/>
        <v>#VALUE!</v>
      </c>
      <c r="I38" s="10" t="e">
        <f t="shared" si="5"/>
        <v>#VALUE!</v>
      </c>
      <c r="J38" s="10" t="e">
        <f t="shared" si="25"/>
        <v>#VALUE!</v>
      </c>
      <c r="K38" s="10" t="e">
        <f t="shared" si="6"/>
        <v>#VALUE!</v>
      </c>
      <c r="L38" s="10" t="e">
        <f t="shared" si="7"/>
        <v>#VALUE!</v>
      </c>
      <c r="M38" s="10" t="e">
        <f t="shared" si="26"/>
        <v>#VALUE!</v>
      </c>
      <c r="O38" s="10" t="e">
        <f t="shared" si="27"/>
        <v>#VALUE!</v>
      </c>
      <c r="P38" s="10" t="e">
        <f t="shared" si="8"/>
        <v>#VALUE!</v>
      </c>
      <c r="Q38" s="10" t="e">
        <f t="shared" si="9"/>
        <v>#VALUE!</v>
      </c>
      <c r="R38" s="10" t="e">
        <f t="shared" si="28"/>
        <v>#VALUE!</v>
      </c>
      <c r="S38" s="10" t="e">
        <f t="shared" si="29"/>
        <v>#VALUE!</v>
      </c>
      <c r="T38" s="10" t="e">
        <f t="shared" si="64"/>
        <v>#VALUE!</v>
      </c>
      <c r="U38" s="10" t="e">
        <f t="shared" si="65"/>
        <v>#VALUE!</v>
      </c>
      <c r="V38" s="10" t="e">
        <f t="shared" si="10"/>
        <v>#VALUE!</v>
      </c>
      <c r="W38" s="10" t="e">
        <f t="shared" si="30"/>
        <v>#VALUE!</v>
      </c>
      <c r="Y38" s="10" t="e">
        <f t="shared" si="31"/>
        <v>#VALUE!</v>
      </c>
      <c r="Z38" s="11" t="e">
        <f t="shared" si="32"/>
        <v>#VALUE!</v>
      </c>
      <c r="AA38" s="10" t="e">
        <f t="shared" si="11"/>
        <v>#VALUE!</v>
      </c>
      <c r="AB38" s="10" t="e">
        <f t="shared" si="33"/>
        <v>#VALUE!</v>
      </c>
      <c r="AC38" s="10" t="e">
        <f t="shared" si="34"/>
        <v>#VALUE!</v>
      </c>
      <c r="AD38" s="10" t="e">
        <f t="shared" si="66"/>
        <v>#VALUE!</v>
      </c>
      <c r="AE38" s="10" t="e">
        <f t="shared" si="67"/>
        <v>#VALUE!</v>
      </c>
      <c r="AF38" s="10" t="e">
        <f t="shared" si="12"/>
        <v>#VALUE!</v>
      </c>
      <c r="AG38" s="10" t="e">
        <f t="shared" si="35"/>
        <v>#VALUE!</v>
      </c>
      <c r="AI38" s="13"/>
      <c r="AK38" s="10" t="e">
        <f t="shared" si="36"/>
        <v>#VALUE!</v>
      </c>
      <c r="AL38" s="10" t="e">
        <f t="shared" si="68"/>
        <v>#VALUE!</v>
      </c>
      <c r="AM38" s="10" t="e">
        <f t="shared" si="13"/>
        <v>#VALUE!</v>
      </c>
      <c r="AN38" s="10" t="e">
        <f t="shared" si="37"/>
        <v>#VALUE!</v>
      </c>
      <c r="AO38" s="10" t="e">
        <f t="shared" si="38"/>
        <v>#VALUE!</v>
      </c>
      <c r="AP38" s="10" t="e">
        <f t="shared" si="39"/>
        <v>#VALUE!</v>
      </c>
      <c r="AQ38" s="10" t="e">
        <f t="shared" si="69"/>
        <v>#VALUE!</v>
      </c>
      <c r="AR38" s="10" t="e">
        <f t="shared" si="14"/>
        <v>#VALUE!</v>
      </c>
      <c r="AS38" s="10" t="e">
        <f t="shared" si="70"/>
        <v>#VALUE!</v>
      </c>
      <c r="AU38" s="10" t="e">
        <f t="shared" si="40"/>
        <v>#VALUE!</v>
      </c>
      <c r="AV38" s="10" t="e">
        <f t="shared" si="71"/>
        <v>#VALUE!</v>
      </c>
      <c r="AW38" s="10" t="e">
        <f t="shared" si="15"/>
        <v>#VALUE!</v>
      </c>
      <c r="AX38" s="10" t="e">
        <f t="shared" si="41"/>
        <v>#VALUE!</v>
      </c>
      <c r="AY38" s="10" t="e">
        <f t="shared" si="42"/>
        <v>#VALUE!</v>
      </c>
      <c r="AZ38" s="10" t="e">
        <f t="shared" si="43"/>
        <v>#VALUE!</v>
      </c>
      <c r="BA38" s="10" t="e">
        <f t="shared" si="72"/>
        <v>#VALUE!</v>
      </c>
      <c r="BB38" s="10" t="e">
        <f t="shared" si="16"/>
        <v>#VALUE!</v>
      </c>
      <c r="BC38" s="10" t="e">
        <f t="shared" si="73"/>
        <v>#VALUE!</v>
      </c>
      <c r="BE38" s="10" t="e">
        <f t="shared" si="44"/>
        <v>#VALUE!</v>
      </c>
      <c r="BF38" s="10" t="e">
        <f t="shared" si="74"/>
        <v>#VALUE!</v>
      </c>
      <c r="BG38" s="10" t="e">
        <f t="shared" si="17"/>
        <v>#VALUE!</v>
      </c>
      <c r="BH38" s="10" t="e">
        <f t="shared" si="45"/>
        <v>#VALUE!</v>
      </c>
      <c r="BI38" s="10" t="e">
        <f t="shared" si="46"/>
        <v>#VALUE!</v>
      </c>
      <c r="BJ38" s="10" t="e">
        <f t="shared" si="47"/>
        <v>#VALUE!</v>
      </c>
      <c r="BK38" s="10" t="e">
        <f t="shared" si="75"/>
        <v>#VALUE!</v>
      </c>
      <c r="BL38" s="10" t="e">
        <f t="shared" si="18"/>
        <v>#VALUE!</v>
      </c>
      <c r="BM38" s="10" t="e">
        <f t="shared" si="76"/>
        <v>#VALUE!</v>
      </c>
      <c r="BP38" s="10" t="e">
        <f t="shared" si="48"/>
        <v>#VALUE!</v>
      </c>
      <c r="BQ38" s="10" t="e">
        <f t="shared" si="49"/>
        <v>#VALUE!</v>
      </c>
      <c r="BR38" s="10" t="e">
        <f t="shared" si="50"/>
        <v>#VALUE!</v>
      </c>
      <c r="BS38" s="10" t="e">
        <f t="shared" si="51"/>
        <v>#VALUE!</v>
      </c>
      <c r="BT38" s="10" t="e">
        <f t="shared" si="52"/>
        <v>#VALUE!</v>
      </c>
      <c r="BU38" s="10" t="e">
        <f t="shared" si="53"/>
        <v>#VALUE!</v>
      </c>
      <c r="BW38" s="10" t="e">
        <f t="shared" si="54"/>
        <v>#VALUE!</v>
      </c>
      <c r="BX38" s="10" t="e">
        <f t="shared" si="55"/>
        <v>#VALUE!</v>
      </c>
      <c r="BY38" s="10" t="e">
        <f t="shared" si="56"/>
        <v>#VALUE!</v>
      </c>
      <c r="BZ38" s="10" t="e">
        <f t="shared" si="57"/>
        <v>#VALUE!</v>
      </c>
      <c r="CA38" s="10" t="e">
        <f t="shared" si="58"/>
        <v>#VALUE!</v>
      </c>
      <c r="CB38" s="10" t="e">
        <f t="shared" si="59"/>
        <v>#VALUE!</v>
      </c>
      <c r="CD38" s="10" t="e">
        <f>MATCH(INDEX($BP$12:$BU$12,1,MATCH(BP38,$BP$15:$BU$15,0)),结果汇总!$AI$10:$AI$13,0)</f>
        <v>#VALUE!</v>
      </c>
      <c r="CE38" s="10" t="e">
        <f>MATCH(INDEX($BP$12:$BU$12,1,MATCH(BQ38,$BP$15:$BU$15,0)),结果汇总!$AI$10:$AI$13,0)</f>
        <v>#VALUE!</v>
      </c>
      <c r="CF38" s="10" t="e">
        <f>MATCH(INDEX($BP$12:$BU$12,1,MATCH(BR38,$BP$15:$BU$15,0)),结果汇总!$AI$10:$AI$13,0)</f>
        <v>#VALUE!</v>
      </c>
      <c r="CG38" s="10" t="e">
        <f>MATCH(INDEX($BP$12:$BU$12,1,MATCH(BS38,$BP$15:$BU$15,0)),结果汇总!$AI$10:$AI$13,0)</f>
        <v>#VALUE!</v>
      </c>
      <c r="CH38" s="10" t="e">
        <f>MATCH(INDEX($BP$12:$BU$12,1,MATCH(BT38,$BP$15:$BU$15,0)),结果汇总!$AI$10:$AI$13,0)</f>
        <v>#VALUE!</v>
      </c>
      <c r="CI38" s="10" t="e">
        <f>MATCH(INDEX($BP$12:$BU$12,1,MATCH(BU38,$BP$15:$BU$15,0)),结果汇总!$AI$10:$AI$13,0)</f>
        <v>#VALUE!</v>
      </c>
      <c r="CK38" s="10">
        <f t="shared" si="60"/>
        <v>0</v>
      </c>
      <c r="CL38" s="10">
        <f t="shared" si="60"/>
        <v>0</v>
      </c>
      <c r="CM38" s="10">
        <f t="shared" si="60"/>
        <v>0</v>
      </c>
      <c r="CN38" s="10">
        <f t="shared" si="60"/>
        <v>0</v>
      </c>
      <c r="CO38" s="10" t="e">
        <f t="shared" si="61"/>
        <v>#DIV/0!</v>
      </c>
      <c r="CP38" s="10" t="e">
        <f t="shared" si="61"/>
        <v>#DIV/0!</v>
      </c>
      <c r="CQ38" s="10" t="e">
        <f t="shared" si="61"/>
        <v>#DIV/0!</v>
      </c>
      <c r="CR38" s="10" t="e">
        <f t="shared" si="61"/>
        <v>#DIV/0!</v>
      </c>
      <c r="CS38" s="10">
        <f t="shared" si="62"/>
        <v>0</v>
      </c>
      <c r="CT38" s="10">
        <f t="shared" si="62"/>
        <v>0</v>
      </c>
      <c r="CU38" s="10">
        <f t="shared" si="62"/>
        <v>0</v>
      </c>
      <c r="CV38" s="10">
        <f t="shared" si="62"/>
        <v>0</v>
      </c>
      <c r="CW38" s="10">
        <f t="shared" si="63"/>
        <v>0</v>
      </c>
      <c r="CX38" s="10">
        <f t="shared" si="63"/>
        <v>0</v>
      </c>
      <c r="CY38" s="10">
        <f t="shared" si="63"/>
        <v>0</v>
      </c>
      <c r="CZ38" s="10">
        <f t="shared" si="63"/>
        <v>0</v>
      </c>
    </row>
    <row r="39" spans="4:104" x14ac:dyDescent="0.15">
      <c r="D39" s="10">
        <v>24</v>
      </c>
      <c r="E39" s="10" t="e">
        <f t="shared" si="23"/>
        <v>#VALUE!</v>
      </c>
      <c r="F39" s="10" t="e">
        <f t="shared" si="3"/>
        <v>#VALUE!</v>
      </c>
      <c r="G39" s="10" t="e">
        <f t="shared" si="4"/>
        <v>#VALUE!</v>
      </c>
      <c r="H39" s="10" t="e">
        <f t="shared" si="24"/>
        <v>#VALUE!</v>
      </c>
      <c r="I39" s="10" t="e">
        <f t="shared" si="5"/>
        <v>#VALUE!</v>
      </c>
      <c r="J39" s="10" t="e">
        <f t="shared" si="25"/>
        <v>#VALUE!</v>
      </c>
      <c r="K39" s="10" t="e">
        <f t="shared" si="6"/>
        <v>#VALUE!</v>
      </c>
      <c r="L39" s="10" t="e">
        <f t="shared" si="7"/>
        <v>#VALUE!</v>
      </c>
      <c r="M39" s="10" t="e">
        <f t="shared" si="26"/>
        <v>#VALUE!</v>
      </c>
      <c r="O39" s="10" t="e">
        <f t="shared" si="27"/>
        <v>#VALUE!</v>
      </c>
      <c r="P39" s="10" t="e">
        <f t="shared" si="8"/>
        <v>#VALUE!</v>
      </c>
      <c r="Q39" s="10" t="e">
        <f t="shared" si="9"/>
        <v>#VALUE!</v>
      </c>
      <c r="R39" s="10" t="e">
        <f t="shared" si="28"/>
        <v>#VALUE!</v>
      </c>
      <c r="S39" s="10" t="e">
        <f t="shared" si="29"/>
        <v>#VALUE!</v>
      </c>
      <c r="T39" s="10" t="e">
        <f t="shared" si="64"/>
        <v>#VALUE!</v>
      </c>
      <c r="U39" s="10" t="e">
        <f t="shared" si="65"/>
        <v>#VALUE!</v>
      </c>
      <c r="V39" s="10" t="e">
        <f t="shared" si="10"/>
        <v>#VALUE!</v>
      </c>
      <c r="W39" s="10" t="e">
        <f t="shared" si="30"/>
        <v>#VALUE!</v>
      </c>
      <c r="Y39" s="10" t="e">
        <f t="shared" si="31"/>
        <v>#VALUE!</v>
      </c>
      <c r="Z39" s="11" t="e">
        <f t="shared" si="32"/>
        <v>#VALUE!</v>
      </c>
      <c r="AA39" s="10" t="e">
        <f t="shared" si="11"/>
        <v>#VALUE!</v>
      </c>
      <c r="AB39" s="10" t="e">
        <f t="shared" si="33"/>
        <v>#VALUE!</v>
      </c>
      <c r="AC39" s="10" t="e">
        <f t="shared" si="34"/>
        <v>#VALUE!</v>
      </c>
      <c r="AD39" s="10" t="e">
        <f t="shared" si="66"/>
        <v>#VALUE!</v>
      </c>
      <c r="AE39" s="10" t="e">
        <f t="shared" si="67"/>
        <v>#VALUE!</v>
      </c>
      <c r="AF39" s="10" t="e">
        <f t="shared" si="12"/>
        <v>#VALUE!</v>
      </c>
      <c r="AG39" s="10" t="e">
        <f t="shared" si="35"/>
        <v>#VALUE!</v>
      </c>
      <c r="AI39" s="13"/>
      <c r="AK39" s="10" t="e">
        <f t="shared" si="36"/>
        <v>#VALUE!</v>
      </c>
      <c r="AL39" s="10" t="e">
        <f t="shared" si="68"/>
        <v>#VALUE!</v>
      </c>
      <c r="AM39" s="10" t="e">
        <f t="shared" si="13"/>
        <v>#VALUE!</v>
      </c>
      <c r="AN39" s="10" t="e">
        <f t="shared" si="37"/>
        <v>#VALUE!</v>
      </c>
      <c r="AO39" s="10" t="e">
        <f t="shared" si="38"/>
        <v>#VALUE!</v>
      </c>
      <c r="AP39" s="10" t="e">
        <f t="shared" si="39"/>
        <v>#VALUE!</v>
      </c>
      <c r="AQ39" s="10" t="e">
        <f t="shared" si="69"/>
        <v>#VALUE!</v>
      </c>
      <c r="AR39" s="10" t="e">
        <f t="shared" si="14"/>
        <v>#VALUE!</v>
      </c>
      <c r="AS39" s="10" t="e">
        <f t="shared" si="70"/>
        <v>#VALUE!</v>
      </c>
      <c r="AU39" s="10" t="e">
        <f t="shared" si="40"/>
        <v>#VALUE!</v>
      </c>
      <c r="AV39" s="10" t="e">
        <f t="shared" si="71"/>
        <v>#VALUE!</v>
      </c>
      <c r="AW39" s="10" t="e">
        <f t="shared" si="15"/>
        <v>#VALUE!</v>
      </c>
      <c r="AX39" s="10" t="e">
        <f t="shared" si="41"/>
        <v>#VALUE!</v>
      </c>
      <c r="AY39" s="10" t="e">
        <f t="shared" si="42"/>
        <v>#VALUE!</v>
      </c>
      <c r="AZ39" s="10" t="e">
        <f t="shared" si="43"/>
        <v>#VALUE!</v>
      </c>
      <c r="BA39" s="10" t="e">
        <f t="shared" si="72"/>
        <v>#VALUE!</v>
      </c>
      <c r="BB39" s="10" t="e">
        <f t="shared" si="16"/>
        <v>#VALUE!</v>
      </c>
      <c r="BC39" s="10" t="e">
        <f t="shared" si="73"/>
        <v>#VALUE!</v>
      </c>
      <c r="BE39" s="10" t="e">
        <f t="shared" si="44"/>
        <v>#VALUE!</v>
      </c>
      <c r="BF39" s="10" t="e">
        <f t="shared" si="74"/>
        <v>#VALUE!</v>
      </c>
      <c r="BG39" s="10" t="e">
        <f t="shared" si="17"/>
        <v>#VALUE!</v>
      </c>
      <c r="BH39" s="10" t="e">
        <f t="shared" si="45"/>
        <v>#VALUE!</v>
      </c>
      <c r="BI39" s="10" t="e">
        <f t="shared" si="46"/>
        <v>#VALUE!</v>
      </c>
      <c r="BJ39" s="10" t="e">
        <f t="shared" si="47"/>
        <v>#VALUE!</v>
      </c>
      <c r="BK39" s="10" t="e">
        <f t="shared" si="75"/>
        <v>#VALUE!</v>
      </c>
      <c r="BL39" s="10" t="e">
        <f t="shared" si="18"/>
        <v>#VALUE!</v>
      </c>
      <c r="BM39" s="10" t="e">
        <f t="shared" si="76"/>
        <v>#VALUE!</v>
      </c>
      <c r="BP39" s="10" t="e">
        <f t="shared" si="48"/>
        <v>#VALUE!</v>
      </c>
      <c r="BQ39" s="10" t="e">
        <f t="shared" si="49"/>
        <v>#VALUE!</v>
      </c>
      <c r="BR39" s="10" t="e">
        <f t="shared" si="50"/>
        <v>#VALUE!</v>
      </c>
      <c r="BS39" s="10" t="e">
        <f t="shared" si="51"/>
        <v>#VALUE!</v>
      </c>
      <c r="BT39" s="10" t="e">
        <f t="shared" si="52"/>
        <v>#VALUE!</v>
      </c>
      <c r="BU39" s="10" t="e">
        <f t="shared" si="53"/>
        <v>#VALUE!</v>
      </c>
      <c r="BW39" s="10" t="e">
        <f t="shared" si="54"/>
        <v>#VALUE!</v>
      </c>
      <c r="BX39" s="10" t="e">
        <f t="shared" si="55"/>
        <v>#VALUE!</v>
      </c>
      <c r="BY39" s="10" t="e">
        <f t="shared" si="56"/>
        <v>#VALUE!</v>
      </c>
      <c r="BZ39" s="10" t="e">
        <f t="shared" si="57"/>
        <v>#VALUE!</v>
      </c>
      <c r="CA39" s="10" t="e">
        <f t="shared" si="58"/>
        <v>#VALUE!</v>
      </c>
      <c r="CB39" s="10" t="e">
        <f t="shared" si="59"/>
        <v>#VALUE!</v>
      </c>
      <c r="CD39" s="10" t="e">
        <f>MATCH(INDEX($BP$12:$BU$12,1,MATCH(BP39,$BP$15:$BU$15,0)),结果汇总!$AI$10:$AI$13,0)</f>
        <v>#VALUE!</v>
      </c>
      <c r="CE39" s="10" t="e">
        <f>MATCH(INDEX($BP$12:$BU$12,1,MATCH(BQ39,$BP$15:$BU$15,0)),结果汇总!$AI$10:$AI$13,0)</f>
        <v>#VALUE!</v>
      </c>
      <c r="CF39" s="10" t="e">
        <f>MATCH(INDEX($BP$12:$BU$12,1,MATCH(BR39,$BP$15:$BU$15,0)),结果汇总!$AI$10:$AI$13,0)</f>
        <v>#VALUE!</v>
      </c>
      <c r="CG39" s="10" t="e">
        <f>MATCH(INDEX($BP$12:$BU$12,1,MATCH(BS39,$BP$15:$BU$15,0)),结果汇总!$AI$10:$AI$13,0)</f>
        <v>#VALUE!</v>
      </c>
      <c r="CH39" s="10" t="e">
        <f>MATCH(INDEX($BP$12:$BU$12,1,MATCH(BT39,$BP$15:$BU$15,0)),结果汇总!$AI$10:$AI$13,0)</f>
        <v>#VALUE!</v>
      </c>
      <c r="CI39" s="10" t="e">
        <f>MATCH(INDEX($BP$12:$BU$12,1,MATCH(BU39,$BP$15:$BU$15,0)),结果汇总!$AI$10:$AI$13,0)</f>
        <v>#VALUE!</v>
      </c>
      <c r="CK39" s="10">
        <f t="shared" si="60"/>
        <v>0</v>
      </c>
      <c r="CL39" s="10">
        <f t="shared" si="60"/>
        <v>0</v>
      </c>
      <c r="CM39" s="10">
        <f t="shared" si="60"/>
        <v>0</v>
      </c>
      <c r="CN39" s="10">
        <f t="shared" si="60"/>
        <v>0</v>
      </c>
      <c r="CO39" s="10" t="e">
        <f t="shared" si="61"/>
        <v>#DIV/0!</v>
      </c>
      <c r="CP39" s="10" t="e">
        <f t="shared" si="61"/>
        <v>#DIV/0!</v>
      </c>
      <c r="CQ39" s="10" t="e">
        <f t="shared" si="61"/>
        <v>#DIV/0!</v>
      </c>
      <c r="CR39" s="10" t="e">
        <f t="shared" si="61"/>
        <v>#DIV/0!</v>
      </c>
      <c r="CS39" s="10">
        <f t="shared" si="62"/>
        <v>0</v>
      </c>
      <c r="CT39" s="10">
        <f t="shared" si="62"/>
        <v>0</v>
      </c>
      <c r="CU39" s="10">
        <f t="shared" si="62"/>
        <v>0</v>
      </c>
      <c r="CV39" s="10">
        <f t="shared" si="62"/>
        <v>0</v>
      </c>
      <c r="CW39" s="10">
        <f t="shared" si="63"/>
        <v>0</v>
      </c>
      <c r="CX39" s="10">
        <f t="shared" si="63"/>
        <v>0</v>
      </c>
      <c r="CY39" s="10">
        <f t="shared" si="63"/>
        <v>0</v>
      </c>
      <c r="CZ39" s="10">
        <f t="shared" si="63"/>
        <v>0</v>
      </c>
    </row>
    <row r="40" spans="4:104" x14ac:dyDescent="0.15">
      <c r="D40" s="10">
        <v>25</v>
      </c>
      <c r="E40" s="10" t="e">
        <f t="shared" si="23"/>
        <v>#VALUE!</v>
      </c>
      <c r="F40" s="10" t="e">
        <f t="shared" si="3"/>
        <v>#VALUE!</v>
      </c>
      <c r="G40" s="10" t="e">
        <f t="shared" si="4"/>
        <v>#VALUE!</v>
      </c>
      <c r="H40" s="10" t="e">
        <f t="shared" si="24"/>
        <v>#VALUE!</v>
      </c>
      <c r="I40" s="10" t="e">
        <f t="shared" si="5"/>
        <v>#VALUE!</v>
      </c>
      <c r="J40" s="10" t="e">
        <f t="shared" si="25"/>
        <v>#VALUE!</v>
      </c>
      <c r="K40" s="10" t="e">
        <f t="shared" si="6"/>
        <v>#VALUE!</v>
      </c>
      <c r="L40" s="10" t="e">
        <f t="shared" si="7"/>
        <v>#VALUE!</v>
      </c>
      <c r="M40" s="10" t="e">
        <f t="shared" si="26"/>
        <v>#VALUE!</v>
      </c>
      <c r="O40" s="10" t="e">
        <f t="shared" si="27"/>
        <v>#VALUE!</v>
      </c>
      <c r="P40" s="10" t="e">
        <f t="shared" si="8"/>
        <v>#VALUE!</v>
      </c>
      <c r="Q40" s="10" t="e">
        <f t="shared" si="9"/>
        <v>#VALUE!</v>
      </c>
      <c r="R40" s="10" t="e">
        <f t="shared" si="28"/>
        <v>#VALUE!</v>
      </c>
      <c r="S40" s="10" t="e">
        <f t="shared" si="29"/>
        <v>#VALUE!</v>
      </c>
      <c r="T40" s="10" t="e">
        <f t="shared" si="64"/>
        <v>#VALUE!</v>
      </c>
      <c r="U40" s="10" t="e">
        <f t="shared" si="65"/>
        <v>#VALUE!</v>
      </c>
      <c r="V40" s="10" t="e">
        <f t="shared" si="10"/>
        <v>#VALUE!</v>
      </c>
      <c r="W40" s="10" t="e">
        <f t="shared" si="30"/>
        <v>#VALUE!</v>
      </c>
      <c r="Y40" s="10" t="e">
        <f t="shared" si="31"/>
        <v>#VALUE!</v>
      </c>
      <c r="Z40" s="11" t="e">
        <f t="shared" si="32"/>
        <v>#VALUE!</v>
      </c>
      <c r="AA40" s="10" t="e">
        <f t="shared" si="11"/>
        <v>#VALUE!</v>
      </c>
      <c r="AB40" s="10" t="e">
        <f t="shared" si="33"/>
        <v>#VALUE!</v>
      </c>
      <c r="AC40" s="10" t="e">
        <f t="shared" si="34"/>
        <v>#VALUE!</v>
      </c>
      <c r="AD40" s="10" t="e">
        <f t="shared" si="66"/>
        <v>#VALUE!</v>
      </c>
      <c r="AE40" s="10" t="e">
        <f t="shared" si="67"/>
        <v>#VALUE!</v>
      </c>
      <c r="AF40" s="10" t="e">
        <f t="shared" si="12"/>
        <v>#VALUE!</v>
      </c>
      <c r="AG40" s="10" t="e">
        <f t="shared" si="35"/>
        <v>#VALUE!</v>
      </c>
      <c r="AI40" s="13"/>
      <c r="AK40" s="10" t="e">
        <f t="shared" si="36"/>
        <v>#VALUE!</v>
      </c>
      <c r="AL40" s="10" t="e">
        <f t="shared" si="68"/>
        <v>#VALUE!</v>
      </c>
      <c r="AM40" s="10" t="e">
        <f t="shared" si="13"/>
        <v>#VALUE!</v>
      </c>
      <c r="AN40" s="10" t="e">
        <f t="shared" si="37"/>
        <v>#VALUE!</v>
      </c>
      <c r="AO40" s="10" t="e">
        <f t="shared" si="38"/>
        <v>#VALUE!</v>
      </c>
      <c r="AP40" s="10" t="e">
        <f t="shared" si="39"/>
        <v>#VALUE!</v>
      </c>
      <c r="AQ40" s="10" t="e">
        <f t="shared" si="69"/>
        <v>#VALUE!</v>
      </c>
      <c r="AR40" s="10" t="e">
        <f t="shared" si="14"/>
        <v>#VALUE!</v>
      </c>
      <c r="AS40" s="10" t="e">
        <f t="shared" si="70"/>
        <v>#VALUE!</v>
      </c>
      <c r="AU40" s="10" t="e">
        <f t="shared" si="40"/>
        <v>#VALUE!</v>
      </c>
      <c r="AV40" s="10" t="e">
        <f t="shared" si="71"/>
        <v>#VALUE!</v>
      </c>
      <c r="AW40" s="10" t="e">
        <f t="shared" si="15"/>
        <v>#VALUE!</v>
      </c>
      <c r="AX40" s="10" t="e">
        <f t="shared" si="41"/>
        <v>#VALUE!</v>
      </c>
      <c r="AY40" s="10" t="e">
        <f t="shared" si="42"/>
        <v>#VALUE!</v>
      </c>
      <c r="AZ40" s="10" t="e">
        <f t="shared" si="43"/>
        <v>#VALUE!</v>
      </c>
      <c r="BA40" s="10" t="e">
        <f t="shared" si="72"/>
        <v>#VALUE!</v>
      </c>
      <c r="BB40" s="10" t="e">
        <f t="shared" si="16"/>
        <v>#VALUE!</v>
      </c>
      <c r="BC40" s="10" t="e">
        <f t="shared" si="73"/>
        <v>#VALUE!</v>
      </c>
      <c r="BE40" s="10" t="e">
        <f t="shared" si="44"/>
        <v>#VALUE!</v>
      </c>
      <c r="BF40" s="10" t="e">
        <f t="shared" si="74"/>
        <v>#VALUE!</v>
      </c>
      <c r="BG40" s="10" t="e">
        <f t="shared" si="17"/>
        <v>#VALUE!</v>
      </c>
      <c r="BH40" s="10" t="e">
        <f t="shared" si="45"/>
        <v>#VALUE!</v>
      </c>
      <c r="BI40" s="10" t="e">
        <f t="shared" si="46"/>
        <v>#VALUE!</v>
      </c>
      <c r="BJ40" s="10" t="e">
        <f t="shared" si="47"/>
        <v>#VALUE!</v>
      </c>
      <c r="BK40" s="10" t="e">
        <f t="shared" si="75"/>
        <v>#VALUE!</v>
      </c>
      <c r="BL40" s="10" t="e">
        <f t="shared" si="18"/>
        <v>#VALUE!</v>
      </c>
      <c r="BM40" s="10" t="e">
        <f t="shared" si="76"/>
        <v>#VALUE!</v>
      </c>
      <c r="BP40" s="10" t="e">
        <f t="shared" ref="BP40:BP103" si="77">IF(BZ40&gt;0,BS$15,IF(CA40&gt;0,BT$15,BU$15))</f>
        <v>#VALUE!</v>
      </c>
      <c r="BQ40" s="10" t="e">
        <f t="shared" ref="BQ40:BQ103" si="78">IF(BZ40&gt;0,BS$15,IF(CA40&gt;0,BT$15,BU$15))</f>
        <v>#VALUE!</v>
      </c>
      <c r="BR40" s="10" t="e">
        <f t="shared" ref="BR40:BR103" si="79">IF(BZ40&gt;0,BS$15,IF(CA40&gt;0,BT$15,BU$15))</f>
        <v>#VALUE!</v>
      </c>
      <c r="BS40" s="10" t="e">
        <f t="shared" ref="BS40:BS103" si="80">IF(BY40&gt;0,BR$15,IF(BX40&gt;0,BQ$15,BP$15))</f>
        <v>#VALUE!</v>
      </c>
      <c r="BT40" s="10" t="e">
        <f t="shared" ref="BT40:BT103" si="81">IF(BY40&gt;0,BR$15,IF(BX40&gt;0,BQ$15,BP$15))</f>
        <v>#VALUE!</v>
      </c>
      <c r="BU40" s="10" t="e">
        <f t="shared" ref="BU40:BU103" si="82">IF(BY40&gt;0,BR$15,IF(BX40&gt;0,BQ$15,BP$15))</f>
        <v>#VALUE!</v>
      </c>
      <c r="BW40" s="10" t="e">
        <f t="shared" si="54"/>
        <v>#VALUE!</v>
      </c>
      <c r="BX40" s="10" t="e">
        <f t="shared" si="55"/>
        <v>#VALUE!</v>
      </c>
      <c r="BY40" s="10" t="e">
        <f t="shared" si="56"/>
        <v>#VALUE!</v>
      </c>
      <c r="BZ40" s="10" t="e">
        <f t="shared" si="57"/>
        <v>#VALUE!</v>
      </c>
      <c r="CA40" s="10" t="e">
        <f t="shared" si="58"/>
        <v>#VALUE!</v>
      </c>
      <c r="CB40" s="10" t="e">
        <f t="shared" si="59"/>
        <v>#VALUE!</v>
      </c>
      <c r="CD40" s="10" t="e">
        <f>MATCH(INDEX($BP$12:$BU$12,1,MATCH(BP40,$BP$15:$BU$15,0)),结果汇总!$AI$10:$AI$13,0)</f>
        <v>#VALUE!</v>
      </c>
      <c r="CE40" s="10" t="e">
        <f>MATCH(INDEX($BP$12:$BU$12,1,MATCH(BQ40,$BP$15:$BU$15,0)),结果汇总!$AI$10:$AI$13,0)</f>
        <v>#VALUE!</v>
      </c>
      <c r="CF40" s="10" t="e">
        <f>MATCH(INDEX($BP$12:$BU$12,1,MATCH(BR40,$BP$15:$BU$15,0)),结果汇总!$AI$10:$AI$13,0)</f>
        <v>#VALUE!</v>
      </c>
      <c r="CG40" s="10" t="e">
        <f>MATCH(INDEX($BP$12:$BU$12,1,MATCH(BS40,$BP$15:$BU$15,0)),结果汇总!$AI$10:$AI$13,0)</f>
        <v>#VALUE!</v>
      </c>
      <c r="CH40" s="10" t="e">
        <f>MATCH(INDEX($BP$12:$BU$12,1,MATCH(BT40,$BP$15:$BU$15,0)),结果汇总!$AI$10:$AI$13,0)</f>
        <v>#VALUE!</v>
      </c>
      <c r="CI40" s="10" t="e">
        <f>MATCH(INDEX($BP$12:$BU$12,1,MATCH(BU40,$BP$15:$BU$15,0)),结果汇总!$AI$10:$AI$13,0)</f>
        <v>#VALUE!</v>
      </c>
      <c r="CK40" s="10">
        <f t="shared" si="60"/>
        <v>0</v>
      </c>
      <c r="CL40" s="10">
        <f t="shared" si="60"/>
        <v>0</v>
      </c>
      <c r="CM40" s="10">
        <f t="shared" si="60"/>
        <v>0</v>
      </c>
      <c r="CN40" s="10">
        <f t="shared" si="60"/>
        <v>0</v>
      </c>
      <c r="CO40" s="10" t="e">
        <f t="shared" si="61"/>
        <v>#DIV/0!</v>
      </c>
      <c r="CP40" s="10" t="e">
        <f t="shared" si="61"/>
        <v>#DIV/0!</v>
      </c>
      <c r="CQ40" s="10" t="e">
        <f t="shared" si="61"/>
        <v>#DIV/0!</v>
      </c>
      <c r="CR40" s="10" t="e">
        <f t="shared" si="61"/>
        <v>#DIV/0!</v>
      </c>
      <c r="CS40" s="10">
        <f t="shared" si="62"/>
        <v>0</v>
      </c>
      <c r="CT40" s="10">
        <f t="shared" si="62"/>
        <v>0</v>
      </c>
      <c r="CU40" s="10">
        <f t="shared" si="62"/>
        <v>0</v>
      </c>
      <c r="CV40" s="10">
        <f t="shared" si="62"/>
        <v>0</v>
      </c>
      <c r="CW40" s="10">
        <f t="shared" si="63"/>
        <v>0</v>
      </c>
      <c r="CX40" s="10">
        <f t="shared" si="63"/>
        <v>0</v>
      </c>
      <c r="CY40" s="10">
        <f t="shared" si="63"/>
        <v>0</v>
      </c>
      <c r="CZ40" s="10">
        <f t="shared" si="63"/>
        <v>0</v>
      </c>
    </row>
    <row r="41" spans="4:104" x14ac:dyDescent="0.15">
      <c r="D41" s="10">
        <v>26</v>
      </c>
      <c r="E41" s="10" t="e">
        <f t="shared" si="23"/>
        <v>#VALUE!</v>
      </c>
      <c r="F41" s="10" t="e">
        <f t="shared" si="3"/>
        <v>#VALUE!</v>
      </c>
      <c r="G41" s="10" t="e">
        <f t="shared" si="4"/>
        <v>#VALUE!</v>
      </c>
      <c r="H41" s="10" t="e">
        <f t="shared" si="24"/>
        <v>#VALUE!</v>
      </c>
      <c r="I41" s="10" t="e">
        <f t="shared" si="5"/>
        <v>#VALUE!</v>
      </c>
      <c r="J41" s="10" t="e">
        <f t="shared" si="25"/>
        <v>#VALUE!</v>
      </c>
      <c r="K41" s="10" t="e">
        <f t="shared" si="6"/>
        <v>#VALUE!</v>
      </c>
      <c r="L41" s="10" t="e">
        <f t="shared" si="7"/>
        <v>#VALUE!</v>
      </c>
      <c r="M41" s="10" t="e">
        <f t="shared" si="26"/>
        <v>#VALUE!</v>
      </c>
      <c r="O41" s="10" t="e">
        <f t="shared" si="27"/>
        <v>#VALUE!</v>
      </c>
      <c r="P41" s="10" t="e">
        <f t="shared" si="8"/>
        <v>#VALUE!</v>
      </c>
      <c r="Q41" s="10" t="e">
        <f t="shared" si="9"/>
        <v>#VALUE!</v>
      </c>
      <c r="R41" s="10" t="e">
        <f t="shared" si="28"/>
        <v>#VALUE!</v>
      </c>
      <c r="S41" s="10" t="e">
        <f t="shared" si="29"/>
        <v>#VALUE!</v>
      </c>
      <c r="T41" s="10" t="e">
        <f t="shared" si="64"/>
        <v>#VALUE!</v>
      </c>
      <c r="U41" s="10" t="e">
        <f t="shared" si="65"/>
        <v>#VALUE!</v>
      </c>
      <c r="V41" s="10" t="e">
        <f t="shared" si="10"/>
        <v>#VALUE!</v>
      </c>
      <c r="W41" s="10" t="e">
        <f t="shared" si="30"/>
        <v>#VALUE!</v>
      </c>
      <c r="Y41" s="10" t="e">
        <f t="shared" si="31"/>
        <v>#VALUE!</v>
      </c>
      <c r="Z41" s="11" t="e">
        <f t="shared" si="32"/>
        <v>#VALUE!</v>
      </c>
      <c r="AA41" s="10" t="e">
        <f t="shared" si="11"/>
        <v>#VALUE!</v>
      </c>
      <c r="AB41" s="10" t="e">
        <f t="shared" si="33"/>
        <v>#VALUE!</v>
      </c>
      <c r="AC41" s="10" t="e">
        <f t="shared" si="34"/>
        <v>#VALUE!</v>
      </c>
      <c r="AD41" s="10" t="e">
        <f t="shared" si="66"/>
        <v>#VALUE!</v>
      </c>
      <c r="AE41" s="10" t="e">
        <f t="shared" si="67"/>
        <v>#VALUE!</v>
      </c>
      <c r="AF41" s="10" t="e">
        <f t="shared" si="12"/>
        <v>#VALUE!</v>
      </c>
      <c r="AG41" s="10" t="e">
        <f t="shared" si="35"/>
        <v>#VALUE!</v>
      </c>
      <c r="AI41" s="13"/>
      <c r="AK41" s="10" t="e">
        <f t="shared" si="36"/>
        <v>#VALUE!</v>
      </c>
      <c r="AL41" s="10" t="e">
        <f t="shared" si="68"/>
        <v>#VALUE!</v>
      </c>
      <c r="AM41" s="10" t="e">
        <f t="shared" si="13"/>
        <v>#VALUE!</v>
      </c>
      <c r="AN41" s="10" t="e">
        <f t="shared" si="37"/>
        <v>#VALUE!</v>
      </c>
      <c r="AO41" s="10" t="e">
        <f t="shared" si="38"/>
        <v>#VALUE!</v>
      </c>
      <c r="AP41" s="10" t="e">
        <f t="shared" si="39"/>
        <v>#VALUE!</v>
      </c>
      <c r="AQ41" s="10" t="e">
        <f t="shared" si="69"/>
        <v>#VALUE!</v>
      </c>
      <c r="AR41" s="10" t="e">
        <f t="shared" si="14"/>
        <v>#VALUE!</v>
      </c>
      <c r="AS41" s="10" t="e">
        <f t="shared" si="70"/>
        <v>#VALUE!</v>
      </c>
      <c r="AU41" s="10" t="e">
        <f t="shared" si="40"/>
        <v>#VALUE!</v>
      </c>
      <c r="AV41" s="10" t="e">
        <f t="shared" si="71"/>
        <v>#VALUE!</v>
      </c>
      <c r="AW41" s="10" t="e">
        <f t="shared" si="15"/>
        <v>#VALUE!</v>
      </c>
      <c r="AX41" s="10" t="e">
        <f t="shared" si="41"/>
        <v>#VALUE!</v>
      </c>
      <c r="AY41" s="10" t="e">
        <f t="shared" si="42"/>
        <v>#VALUE!</v>
      </c>
      <c r="AZ41" s="10" t="e">
        <f t="shared" si="43"/>
        <v>#VALUE!</v>
      </c>
      <c r="BA41" s="10" t="e">
        <f t="shared" si="72"/>
        <v>#VALUE!</v>
      </c>
      <c r="BB41" s="10" t="e">
        <f t="shared" si="16"/>
        <v>#VALUE!</v>
      </c>
      <c r="BC41" s="10" t="e">
        <f t="shared" si="73"/>
        <v>#VALUE!</v>
      </c>
      <c r="BE41" s="10" t="e">
        <f t="shared" si="44"/>
        <v>#VALUE!</v>
      </c>
      <c r="BF41" s="10" t="e">
        <f t="shared" si="74"/>
        <v>#VALUE!</v>
      </c>
      <c r="BG41" s="10" t="e">
        <f t="shared" si="17"/>
        <v>#VALUE!</v>
      </c>
      <c r="BH41" s="10" t="e">
        <f t="shared" si="45"/>
        <v>#VALUE!</v>
      </c>
      <c r="BI41" s="10" t="e">
        <f t="shared" si="46"/>
        <v>#VALUE!</v>
      </c>
      <c r="BJ41" s="10" t="e">
        <f t="shared" si="47"/>
        <v>#VALUE!</v>
      </c>
      <c r="BK41" s="10" t="e">
        <f t="shared" si="75"/>
        <v>#VALUE!</v>
      </c>
      <c r="BL41" s="10" t="e">
        <f t="shared" si="18"/>
        <v>#VALUE!</v>
      </c>
      <c r="BM41" s="10" t="e">
        <f t="shared" si="76"/>
        <v>#VALUE!</v>
      </c>
      <c r="BP41" s="10" t="e">
        <f t="shared" si="77"/>
        <v>#VALUE!</v>
      </c>
      <c r="BQ41" s="10" t="e">
        <f t="shared" si="78"/>
        <v>#VALUE!</v>
      </c>
      <c r="BR41" s="10" t="e">
        <f t="shared" si="79"/>
        <v>#VALUE!</v>
      </c>
      <c r="BS41" s="10" t="e">
        <f t="shared" si="80"/>
        <v>#VALUE!</v>
      </c>
      <c r="BT41" s="10" t="e">
        <f t="shared" si="81"/>
        <v>#VALUE!</v>
      </c>
      <c r="BU41" s="10" t="e">
        <f t="shared" si="82"/>
        <v>#VALUE!</v>
      </c>
      <c r="BW41" s="10" t="e">
        <f t="shared" si="54"/>
        <v>#VALUE!</v>
      </c>
      <c r="BX41" s="10" t="e">
        <f t="shared" si="55"/>
        <v>#VALUE!</v>
      </c>
      <c r="BY41" s="10" t="e">
        <f t="shared" si="56"/>
        <v>#VALUE!</v>
      </c>
      <c r="BZ41" s="10" t="e">
        <f t="shared" si="57"/>
        <v>#VALUE!</v>
      </c>
      <c r="CA41" s="10" t="e">
        <f t="shared" si="58"/>
        <v>#VALUE!</v>
      </c>
      <c r="CB41" s="10" t="e">
        <f t="shared" si="59"/>
        <v>#VALUE!</v>
      </c>
      <c r="CD41" s="10" t="e">
        <f>MATCH(INDEX($BP$12:$BU$12,1,MATCH(BP41,$BP$15:$BU$15,0)),结果汇总!$AI$10:$AI$13,0)</f>
        <v>#VALUE!</v>
      </c>
      <c r="CE41" s="10" t="e">
        <f>MATCH(INDEX($BP$12:$BU$12,1,MATCH(BQ41,$BP$15:$BU$15,0)),结果汇总!$AI$10:$AI$13,0)</f>
        <v>#VALUE!</v>
      </c>
      <c r="CF41" s="10" t="e">
        <f>MATCH(INDEX($BP$12:$BU$12,1,MATCH(BR41,$BP$15:$BU$15,0)),结果汇总!$AI$10:$AI$13,0)</f>
        <v>#VALUE!</v>
      </c>
      <c r="CG41" s="10" t="e">
        <f>MATCH(INDEX($BP$12:$BU$12,1,MATCH(BS41,$BP$15:$BU$15,0)),结果汇总!$AI$10:$AI$13,0)</f>
        <v>#VALUE!</v>
      </c>
      <c r="CH41" s="10" t="e">
        <f>MATCH(INDEX($BP$12:$BU$12,1,MATCH(BT41,$BP$15:$BU$15,0)),结果汇总!$AI$10:$AI$13,0)</f>
        <v>#VALUE!</v>
      </c>
      <c r="CI41" s="10" t="e">
        <f>MATCH(INDEX($BP$12:$BU$12,1,MATCH(BU41,$BP$15:$BU$15,0)),结果汇总!$AI$10:$AI$13,0)</f>
        <v>#VALUE!</v>
      </c>
      <c r="CK41" s="10">
        <f t="shared" si="60"/>
        <v>0</v>
      </c>
      <c r="CL41" s="10">
        <f t="shared" si="60"/>
        <v>0</v>
      </c>
      <c r="CM41" s="10">
        <f t="shared" si="60"/>
        <v>0</v>
      </c>
      <c r="CN41" s="10">
        <f t="shared" si="60"/>
        <v>0</v>
      </c>
      <c r="CO41" s="10" t="e">
        <f t="shared" si="61"/>
        <v>#DIV/0!</v>
      </c>
      <c r="CP41" s="10" t="e">
        <f t="shared" si="61"/>
        <v>#DIV/0!</v>
      </c>
      <c r="CQ41" s="10" t="e">
        <f t="shared" si="61"/>
        <v>#DIV/0!</v>
      </c>
      <c r="CR41" s="10" t="e">
        <f t="shared" si="61"/>
        <v>#DIV/0!</v>
      </c>
      <c r="CS41" s="10">
        <f t="shared" si="62"/>
        <v>0</v>
      </c>
      <c r="CT41" s="10">
        <f t="shared" si="62"/>
        <v>0</v>
      </c>
      <c r="CU41" s="10">
        <f t="shared" si="62"/>
        <v>0</v>
      </c>
      <c r="CV41" s="10">
        <f t="shared" si="62"/>
        <v>0</v>
      </c>
      <c r="CW41" s="10">
        <f t="shared" si="63"/>
        <v>0</v>
      </c>
      <c r="CX41" s="10">
        <f t="shared" si="63"/>
        <v>0</v>
      </c>
      <c r="CY41" s="10">
        <f t="shared" si="63"/>
        <v>0</v>
      </c>
      <c r="CZ41" s="10">
        <f t="shared" si="63"/>
        <v>0</v>
      </c>
    </row>
    <row r="42" spans="4:104" x14ac:dyDescent="0.15">
      <c r="D42" s="10">
        <v>27</v>
      </c>
      <c r="E42" s="10" t="e">
        <f t="shared" si="23"/>
        <v>#VALUE!</v>
      </c>
      <c r="F42" s="10" t="e">
        <f t="shared" si="3"/>
        <v>#VALUE!</v>
      </c>
      <c r="G42" s="10" t="e">
        <f t="shared" si="4"/>
        <v>#VALUE!</v>
      </c>
      <c r="H42" s="10" t="e">
        <f t="shared" si="24"/>
        <v>#VALUE!</v>
      </c>
      <c r="I42" s="10" t="e">
        <f t="shared" si="5"/>
        <v>#VALUE!</v>
      </c>
      <c r="J42" s="10" t="e">
        <f t="shared" si="25"/>
        <v>#VALUE!</v>
      </c>
      <c r="K42" s="10" t="e">
        <f t="shared" si="6"/>
        <v>#VALUE!</v>
      </c>
      <c r="L42" s="10" t="e">
        <f t="shared" si="7"/>
        <v>#VALUE!</v>
      </c>
      <c r="M42" s="10" t="e">
        <f t="shared" si="26"/>
        <v>#VALUE!</v>
      </c>
      <c r="O42" s="10" t="e">
        <f t="shared" si="27"/>
        <v>#VALUE!</v>
      </c>
      <c r="P42" s="10" t="e">
        <f t="shared" si="8"/>
        <v>#VALUE!</v>
      </c>
      <c r="Q42" s="10" t="e">
        <f t="shared" si="9"/>
        <v>#VALUE!</v>
      </c>
      <c r="R42" s="10" t="e">
        <f t="shared" si="28"/>
        <v>#VALUE!</v>
      </c>
      <c r="S42" s="10" t="e">
        <f t="shared" si="29"/>
        <v>#VALUE!</v>
      </c>
      <c r="T42" s="10" t="e">
        <f t="shared" si="64"/>
        <v>#VALUE!</v>
      </c>
      <c r="U42" s="10" t="e">
        <f t="shared" si="65"/>
        <v>#VALUE!</v>
      </c>
      <c r="V42" s="10" t="e">
        <f t="shared" si="10"/>
        <v>#VALUE!</v>
      </c>
      <c r="W42" s="10" t="e">
        <f t="shared" si="30"/>
        <v>#VALUE!</v>
      </c>
      <c r="Y42" s="10" t="e">
        <f t="shared" si="31"/>
        <v>#VALUE!</v>
      </c>
      <c r="Z42" s="11" t="e">
        <f t="shared" si="32"/>
        <v>#VALUE!</v>
      </c>
      <c r="AA42" s="10" t="e">
        <f t="shared" si="11"/>
        <v>#VALUE!</v>
      </c>
      <c r="AB42" s="10" t="e">
        <f t="shared" si="33"/>
        <v>#VALUE!</v>
      </c>
      <c r="AC42" s="10" t="e">
        <f t="shared" si="34"/>
        <v>#VALUE!</v>
      </c>
      <c r="AD42" s="10" t="e">
        <f t="shared" si="66"/>
        <v>#VALUE!</v>
      </c>
      <c r="AE42" s="10" t="e">
        <f t="shared" si="67"/>
        <v>#VALUE!</v>
      </c>
      <c r="AF42" s="10" t="e">
        <f t="shared" si="12"/>
        <v>#VALUE!</v>
      </c>
      <c r="AG42" s="10" t="e">
        <f t="shared" si="35"/>
        <v>#VALUE!</v>
      </c>
      <c r="AI42" s="13"/>
      <c r="AK42" s="10" t="e">
        <f t="shared" si="36"/>
        <v>#VALUE!</v>
      </c>
      <c r="AL42" s="10" t="e">
        <f t="shared" si="68"/>
        <v>#VALUE!</v>
      </c>
      <c r="AM42" s="10" t="e">
        <f t="shared" si="13"/>
        <v>#VALUE!</v>
      </c>
      <c r="AN42" s="10" t="e">
        <f t="shared" si="37"/>
        <v>#VALUE!</v>
      </c>
      <c r="AO42" s="10" t="e">
        <f t="shared" si="38"/>
        <v>#VALUE!</v>
      </c>
      <c r="AP42" s="10" t="e">
        <f t="shared" si="39"/>
        <v>#VALUE!</v>
      </c>
      <c r="AQ42" s="10" t="e">
        <f t="shared" si="69"/>
        <v>#VALUE!</v>
      </c>
      <c r="AR42" s="10" t="e">
        <f t="shared" si="14"/>
        <v>#VALUE!</v>
      </c>
      <c r="AS42" s="10" t="e">
        <f t="shared" si="70"/>
        <v>#VALUE!</v>
      </c>
      <c r="AU42" s="10" t="e">
        <f t="shared" si="40"/>
        <v>#VALUE!</v>
      </c>
      <c r="AV42" s="10" t="e">
        <f t="shared" si="71"/>
        <v>#VALUE!</v>
      </c>
      <c r="AW42" s="10" t="e">
        <f t="shared" si="15"/>
        <v>#VALUE!</v>
      </c>
      <c r="AX42" s="10" t="e">
        <f t="shared" si="41"/>
        <v>#VALUE!</v>
      </c>
      <c r="AY42" s="10" t="e">
        <f t="shared" si="42"/>
        <v>#VALUE!</v>
      </c>
      <c r="AZ42" s="10" t="e">
        <f t="shared" si="43"/>
        <v>#VALUE!</v>
      </c>
      <c r="BA42" s="10" t="e">
        <f t="shared" si="72"/>
        <v>#VALUE!</v>
      </c>
      <c r="BB42" s="10" t="e">
        <f t="shared" si="16"/>
        <v>#VALUE!</v>
      </c>
      <c r="BC42" s="10" t="e">
        <f t="shared" si="73"/>
        <v>#VALUE!</v>
      </c>
      <c r="BE42" s="10" t="e">
        <f t="shared" si="44"/>
        <v>#VALUE!</v>
      </c>
      <c r="BF42" s="10" t="e">
        <f t="shared" si="74"/>
        <v>#VALUE!</v>
      </c>
      <c r="BG42" s="10" t="e">
        <f t="shared" si="17"/>
        <v>#VALUE!</v>
      </c>
      <c r="BH42" s="10" t="e">
        <f t="shared" si="45"/>
        <v>#VALUE!</v>
      </c>
      <c r="BI42" s="10" t="e">
        <f t="shared" si="46"/>
        <v>#VALUE!</v>
      </c>
      <c r="BJ42" s="10" t="e">
        <f t="shared" si="47"/>
        <v>#VALUE!</v>
      </c>
      <c r="BK42" s="10" t="e">
        <f t="shared" si="75"/>
        <v>#VALUE!</v>
      </c>
      <c r="BL42" s="10" t="e">
        <f t="shared" si="18"/>
        <v>#VALUE!</v>
      </c>
      <c r="BM42" s="10" t="e">
        <f t="shared" si="76"/>
        <v>#VALUE!</v>
      </c>
      <c r="BP42" s="10" t="e">
        <f t="shared" si="77"/>
        <v>#VALUE!</v>
      </c>
      <c r="BQ42" s="10" t="e">
        <f t="shared" si="78"/>
        <v>#VALUE!</v>
      </c>
      <c r="BR42" s="10" t="e">
        <f t="shared" si="79"/>
        <v>#VALUE!</v>
      </c>
      <c r="BS42" s="10" t="e">
        <f t="shared" si="80"/>
        <v>#VALUE!</v>
      </c>
      <c r="BT42" s="10" t="e">
        <f t="shared" si="81"/>
        <v>#VALUE!</v>
      </c>
      <c r="BU42" s="10" t="e">
        <f t="shared" si="82"/>
        <v>#VALUE!</v>
      </c>
      <c r="BW42" s="10" t="e">
        <f t="shared" si="54"/>
        <v>#VALUE!</v>
      </c>
      <c r="BX42" s="10" t="e">
        <f t="shared" si="55"/>
        <v>#VALUE!</v>
      </c>
      <c r="BY42" s="10" t="e">
        <f t="shared" si="56"/>
        <v>#VALUE!</v>
      </c>
      <c r="BZ42" s="10" t="e">
        <f t="shared" si="57"/>
        <v>#VALUE!</v>
      </c>
      <c r="CA42" s="10" t="e">
        <f t="shared" si="58"/>
        <v>#VALUE!</v>
      </c>
      <c r="CB42" s="10" t="e">
        <f t="shared" si="59"/>
        <v>#VALUE!</v>
      </c>
      <c r="CD42" s="10" t="e">
        <f>MATCH(INDEX($BP$12:$BU$12,1,MATCH(BP42,$BP$15:$BU$15,0)),结果汇总!$AI$10:$AI$13,0)</f>
        <v>#VALUE!</v>
      </c>
      <c r="CE42" s="10" t="e">
        <f>MATCH(INDEX($BP$12:$BU$12,1,MATCH(BQ42,$BP$15:$BU$15,0)),结果汇总!$AI$10:$AI$13,0)</f>
        <v>#VALUE!</v>
      </c>
      <c r="CF42" s="10" t="e">
        <f>MATCH(INDEX($BP$12:$BU$12,1,MATCH(BR42,$BP$15:$BU$15,0)),结果汇总!$AI$10:$AI$13,0)</f>
        <v>#VALUE!</v>
      </c>
      <c r="CG42" s="10" t="e">
        <f>MATCH(INDEX($BP$12:$BU$12,1,MATCH(BS42,$BP$15:$BU$15,0)),结果汇总!$AI$10:$AI$13,0)</f>
        <v>#VALUE!</v>
      </c>
      <c r="CH42" s="10" t="e">
        <f>MATCH(INDEX($BP$12:$BU$12,1,MATCH(BT42,$BP$15:$BU$15,0)),结果汇总!$AI$10:$AI$13,0)</f>
        <v>#VALUE!</v>
      </c>
      <c r="CI42" s="10" t="e">
        <f>MATCH(INDEX($BP$12:$BU$12,1,MATCH(BU42,$BP$15:$BU$15,0)),结果汇总!$AI$10:$AI$13,0)</f>
        <v>#VALUE!</v>
      </c>
      <c r="CK42" s="10">
        <f t="shared" si="60"/>
        <v>0</v>
      </c>
      <c r="CL42" s="10">
        <f t="shared" si="60"/>
        <v>0</v>
      </c>
      <c r="CM42" s="10">
        <f t="shared" si="60"/>
        <v>0</v>
      </c>
      <c r="CN42" s="10">
        <f t="shared" si="60"/>
        <v>0</v>
      </c>
      <c r="CO42" s="10" t="e">
        <f t="shared" si="61"/>
        <v>#DIV/0!</v>
      </c>
      <c r="CP42" s="10" t="e">
        <f t="shared" si="61"/>
        <v>#DIV/0!</v>
      </c>
      <c r="CQ42" s="10" t="e">
        <f t="shared" si="61"/>
        <v>#DIV/0!</v>
      </c>
      <c r="CR42" s="10" t="e">
        <f t="shared" si="61"/>
        <v>#DIV/0!</v>
      </c>
      <c r="CS42" s="10">
        <f t="shared" si="62"/>
        <v>0</v>
      </c>
      <c r="CT42" s="10">
        <f t="shared" si="62"/>
        <v>0</v>
      </c>
      <c r="CU42" s="10">
        <f t="shared" si="62"/>
        <v>0</v>
      </c>
      <c r="CV42" s="10">
        <f t="shared" si="62"/>
        <v>0</v>
      </c>
      <c r="CW42" s="10">
        <f t="shared" si="63"/>
        <v>0</v>
      </c>
      <c r="CX42" s="10">
        <f t="shared" si="63"/>
        <v>0</v>
      </c>
      <c r="CY42" s="10">
        <f t="shared" si="63"/>
        <v>0</v>
      </c>
      <c r="CZ42" s="10">
        <f t="shared" si="63"/>
        <v>0</v>
      </c>
    </row>
    <row r="43" spans="4:104" x14ac:dyDescent="0.15">
      <c r="D43" s="10">
        <v>28</v>
      </c>
      <c r="E43" s="10" t="e">
        <f t="shared" si="23"/>
        <v>#VALUE!</v>
      </c>
      <c r="F43" s="10" t="e">
        <f t="shared" si="3"/>
        <v>#VALUE!</v>
      </c>
      <c r="G43" s="10" t="e">
        <f t="shared" si="4"/>
        <v>#VALUE!</v>
      </c>
      <c r="H43" s="10" t="e">
        <f t="shared" si="24"/>
        <v>#VALUE!</v>
      </c>
      <c r="I43" s="10" t="e">
        <f t="shared" si="5"/>
        <v>#VALUE!</v>
      </c>
      <c r="J43" s="10" t="e">
        <f t="shared" si="25"/>
        <v>#VALUE!</v>
      </c>
      <c r="K43" s="10" t="e">
        <f t="shared" si="6"/>
        <v>#VALUE!</v>
      </c>
      <c r="L43" s="10" t="e">
        <f t="shared" si="7"/>
        <v>#VALUE!</v>
      </c>
      <c r="M43" s="10" t="e">
        <f t="shared" si="26"/>
        <v>#VALUE!</v>
      </c>
      <c r="O43" s="10" t="e">
        <f t="shared" si="27"/>
        <v>#VALUE!</v>
      </c>
      <c r="P43" s="10" t="e">
        <f t="shared" si="8"/>
        <v>#VALUE!</v>
      </c>
      <c r="Q43" s="10" t="e">
        <f t="shared" si="9"/>
        <v>#VALUE!</v>
      </c>
      <c r="R43" s="10" t="e">
        <f t="shared" si="28"/>
        <v>#VALUE!</v>
      </c>
      <c r="S43" s="10" t="e">
        <f t="shared" si="29"/>
        <v>#VALUE!</v>
      </c>
      <c r="T43" s="10" t="e">
        <f t="shared" si="64"/>
        <v>#VALUE!</v>
      </c>
      <c r="U43" s="10" t="e">
        <f t="shared" si="65"/>
        <v>#VALUE!</v>
      </c>
      <c r="V43" s="10" t="e">
        <f t="shared" si="10"/>
        <v>#VALUE!</v>
      </c>
      <c r="W43" s="10" t="e">
        <f t="shared" si="30"/>
        <v>#VALUE!</v>
      </c>
      <c r="Y43" s="10" t="e">
        <f t="shared" si="31"/>
        <v>#VALUE!</v>
      </c>
      <c r="Z43" s="11" t="e">
        <f t="shared" si="32"/>
        <v>#VALUE!</v>
      </c>
      <c r="AA43" s="10" t="e">
        <f t="shared" si="11"/>
        <v>#VALUE!</v>
      </c>
      <c r="AB43" s="10" t="e">
        <f t="shared" si="33"/>
        <v>#VALUE!</v>
      </c>
      <c r="AC43" s="10" t="e">
        <f t="shared" si="34"/>
        <v>#VALUE!</v>
      </c>
      <c r="AD43" s="10" t="e">
        <f t="shared" si="66"/>
        <v>#VALUE!</v>
      </c>
      <c r="AE43" s="10" t="e">
        <f t="shared" si="67"/>
        <v>#VALUE!</v>
      </c>
      <c r="AF43" s="10" t="e">
        <f t="shared" si="12"/>
        <v>#VALUE!</v>
      </c>
      <c r="AG43" s="10" t="e">
        <f t="shared" si="35"/>
        <v>#VALUE!</v>
      </c>
      <c r="AI43" s="13"/>
      <c r="AK43" s="10" t="e">
        <f t="shared" si="36"/>
        <v>#VALUE!</v>
      </c>
      <c r="AL43" s="10" t="e">
        <f t="shared" si="68"/>
        <v>#VALUE!</v>
      </c>
      <c r="AM43" s="10" t="e">
        <f t="shared" si="13"/>
        <v>#VALUE!</v>
      </c>
      <c r="AN43" s="10" t="e">
        <f t="shared" si="37"/>
        <v>#VALUE!</v>
      </c>
      <c r="AO43" s="10" t="e">
        <f t="shared" si="38"/>
        <v>#VALUE!</v>
      </c>
      <c r="AP43" s="10" t="e">
        <f t="shared" si="39"/>
        <v>#VALUE!</v>
      </c>
      <c r="AQ43" s="10" t="e">
        <f t="shared" si="69"/>
        <v>#VALUE!</v>
      </c>
      <c r="AR43" s="10" t="e">
        <f t="shared" si="14"/>
        <v>#VALUE!</v>
      </c>
      <c r="AS43" s="10" t="e">
        <f t="shared" si="70"/>
        <v>#VALUE!</v>
      </c>
      <c r="AU43" s="10" t="e">
        <f t="shared" si="40"/>
        <v>#VALUE!</v>
      </c>
      <c r="AV43" s="10" t="e">
        <f t="shared" si="71"/>
        <v>#VALUE!</v>
      </c>
      <c r="AW43" s="10" t="e">
        <f t="shared" si="15"/>
        <v>#VALUE!</v>
      </c>
      <c r="AX43" s="10" t="e">
        <f t="shared" si="41"/>
        <v>#VALUE!</v>
      </c>
      <c r="AY43" s="10" t="e">
        <f t="shared" si="42"/>
        <v>#VALUE!</v>
      </c>
      <c r="AZ43" s="10" t="e">
        <f t="shared" si="43"/>
        <v>#VALUE!</v>
      </c>
      <c r="BA43" s="10" t="e">
        <f t="shared" si="72"/>
        <v>#VALUE!</v>
      </c>
      <c r="BB43" s="10" t="e">
        <f t="shared" si="16"/>
        <v>#VALUE!</v>
      </c>
      <c r="BC43" s="10" t="e">
        <f t="shared" si="73"/>
        <v>#VALUE!</v>
      </c>
      <c r="BE43" s="10" t="e">
        <f t="shared" si="44"/>
        <v>#VALUE!</v>
      </c>
      <c r="BF43" s="10" t="e">
        <f t="shared" si="74"/>
        <v>#VALUE!</v>
      </c>
      <c r="BG43" s="10" t="e">
        <f t="shared" si="17"/>
        <v>#VALUE!</v>
      </c>
      <c r="BH43" s="10" t="e">
        <f t="shared" si="45"/>
        <v>#VALUE!</v>
      </c>
      <c r="BI43" s="10" t="e">
        <f t="shared" si="46"/>
        <v>#VALUE!</v>
      </c>
      <c r="BJ43" s="10" t="e">
        <f t="shared" si="47"/>
        <v>#VALUE!</v>
      </c>
      <c r="BK43" s="10" t="e">
        <f t="shared" si="75"/>
        <v>#VALUE!</v>
      </c>
      <c r="BL43" s="10" t="e">
        <f t="shared" si="18"/>
        <v>#VALUE!</v>
      </c>
      <c r="BM43" s="10" t="e">
        <f t="shared" si="76"/>
        <v>#VALUE!</v>
      </c>
      <c r="BP43" s="10" t="e">
        <f t="shared" si="77"/>
        <v>#VALUE!</v>
      </c>
      <c r="BQ43" s="10" t="e">
        <f t="shared" si="78"/>
        <v>#VALUE!</v>
      </c>
      <c r="BR43" s="10" t="e">
        <f t="shared" si="79"/>
        <v>#VALUE!</v>
      </c>
      <c r="BS43" s="10" t="e">
        <f t="shared" si="80"/>
        <v>#VALUE!</v>
      </c>
      <c r="BT43" s="10" t="e">
        <f t="shared" si="81"/>
        <v>#VALUE!</v>
      </c>
      <c r="BU43" s="10" t="e">
        <f t="shared" si="82"/>
        <v>#VALUE!</v>
      </c>
      <c r="BW43" s="10" t="e">
        <f t="shared" si="54"/>
        <v>#VALUE!</v>
      </c>
      <c r="BX43" s="10" t="e">
        <f t="shared" si="55"/>
        <v>#VALUE!</v>
      </c>
      <c r="BY43" s="10" t="e">
        <f t="shared" si="56"/>
        <v>#VALUE!</v>
      </c>
      <c r="BZ43" s="10" t="e">
        <f t="shared" si="57"/>
        <v>#VALUE!</v>
      </c>
      <c r="CA43" s="10" t="e">
        <f t="shared" si="58"/>
        <v>#VALUE!</v>
      </c>
      <c r="CB43" s="10" t="e">
        <f t="shared" si="59"/>
        <v>#VALUE!</v>
      </c>
      <c r="CD43" s="10" t="e">
        <f>MATCH(INDEX($BP$12:$BU$12,1,MATCH(BP43,$BP$15:$BU$15,0)),结果汇总!$AI$10:$AI$13,0)</f>
        <v>#VALUE!</v>
      </c>
      <c r="CE43" s="10" t="e">
        <f>MATCH(INDEX($BP$12:$BU$12,1,MATCH(BQ43,$BP$15:$BU$15,0)),结果汇总!$AI$10:$AI$13,0)</f>
        <v>#VALUE!</v>
      </c>
      <c r="CF43" s="10" t="e">
        <f>MATCH(INDEX($BP$12:$BU$12,1,MATCH(BR43,$BP$15:$BU$15,0)),结果汇总!$AI$10:$AI$13,0)</f>
        <v>#VALUE!</v>
      </c>
      <c r="CG43" s="10" t="e">
        <f>MATCH(INDEX($BP$12:$BU$12,1,MATCH(BS43,$BP$15:$BU$15,0)),结果汇总!$AI$10:$AI$13,0)</f>
        <v>#VALUE!</v>
      </c>
      <c r="CH43" s="10" t="e">
        <f>MATCH(INDEX($BP$12:$BU$12,1,MATCH(BT43,$BP$15:$BU$15,0)),结果汇总!$AI$10:$AI$13,0)</f>
        <v>#VALUE!</v>
      </c>
      <c r="CI43" s="10" t="e">
        <f>MATCH(INDEX($BP$12:$BU$12,1,MATCH(BU43,$BP$15:$BU$15,0)),结果汇总!$AI$10:$AI$13,0)</f>
        <v>#VALUE!</v>
      </c>
      <c r="CK43" s="10">
        <f t="shared" si="60"/>
        <v>0</v>
      </c>
      <c r="CL43" s="10">
        <f t="shared" si="60"/>
        <v>0</v>
      </c>
      <c r="CM43" s="10">
        <f t="shared" si="60"/>
        <v>0</v>
      </c>
      <c r="CN43" s="10">
        <f t="shared" si="60"/>
        <v>0</v>
      </c>
      <c r="CO43" s="10" t="e">
        <f t="shared" si="61"/>
        <v>#DIV/0!</v>
      </c>
      <c r="CP43" s="10" t="e">
        <f t="shared" si="61"/>
        <v>#DIV/0!</v>
      </c>
      <c r="CQ43" s="10" t="e">
        <f t="shared" si="61"/>
        <v>#DIV/0!</v>
      </c>
      <c r="CR43" s="10" t="e">
        <f t="shared" si="61"/>
        <v>#DIV/0!</v>
      </c>
      <c r="CS43" s="10">
        <f t="shared" si="62"/>
        <v>0</v>
      </c>
      <c r="CT43" s="10">
        <f t="shared" si="62"/>
        <v>0</v>
      </c>
      <c r="CU43" s="10">
        <f t="shared" si="62"/>
        <v>0</v>
      </c>
      <c r="CV43" s="10">
        <f t="shared" si="62"/>
        <v>0</v>
      </c>
      <c r="CW43" s="10">
        <f t="shared" si="63"/>
        <v>0</v>
      </c>
      <c r="CX43" s="10">
        <f t="shared" si="63"/>
        <v>0</v>
      </c>
      <c r="CY43" s="10">
        <f t="shared" si="63"/>
        <v>0</v>
      </c>
      <c r="CZ43" s="10">
        <f t="shared" si="63"/>
        <v>0</v>
      </c>
    </row>
    <row r="44" spans="4:104" x14ac:dyDescent="0.15">
      <c r="D44" s="10">
        <v>29</v>
      </c>
      <c r="E44" s="10" t="e">
        <f t="shared" si="23"/>
        <v>#VALUE!</v>
      </c>
      <c r="F44" s="10" t="e">
        <f t="shared" si="3"/>
        <v>#VALUE!</v>
      </c>
      <c r="G44" s="10" t="e">
        <f t="shared" si="4"/>
        <v>#VALUE!</v>
      </c>
      <c r="H44" s="10" t="e">
        <f t="shared" si="24"/>
        <v>#VALUE!</v>
      </c>
      <c r="I44" s="10" t="e">
        <f t="shared" si="5"/>
        <v>#VALUE!</v>
      </c>
      <c r="J44" s="10" t="e">
        <f t="shared" si="25"/>
        <v>#VALUE!</v>
      </c>
      <c r="K44" s="10" t="e">
        <f t="shared" si="6"/>
        <v>#VALUE!</v>
      </c>
      <c r="L44" s="10" t="e">
        <f t="shared" si="7"/>
        <v>#VALUE!</v>
      </c>
      <c r="M44" s="10" t="e">
        <f t="shared" si="26"/>
        <v>#VALUE!</v>
      </c>
      <c r="O44" s="10" t="e">
        <f t="shared" si="27"/>
        <v>#VALUE!</v>
      </c>
      <c r="P44" s="10" t="e">
        <f t="shared" si="8"/>
        <v>#VALUE!</v>
      </c>
      <c r="Q44" s="10" t="e">
        <f t="shared" si="9"/>
        <v>#VALUE!</v>
      </c>
      <c r="R44" s="10" t="e">
        <f t="shared" si="28"/>
        <v>#VALUE!</v>
      </c>
      <c r="S44" s="10" t="e">
        <f t="shared" si="29"/>
        <v>#VALUE!</v>
      </c>
      <c r="T44" s="10" t="e">
        <f t="shared" si="64"/>
        <v>#VALUE!</v>
      </c>
      <c r="U44" s="10" t="e">
        <f t="shared" si="65"/>
        <v>#VALUE!</v>
      </c>
      <c r="V44" s="10" t="e">
        <f t="shared" si="10"/>
        <v>#VALUE!</v>
      </c>
      <c r="W44" s="10" t="e">
        <f t="shared" si="30"/>
        <v>#VALUE!</v>
      </c>
      <c r="Y44" s="10" t="e">
        <f t="shared" si="31"/>
        <v>#VALUE!</v>
      </c>
      <c r="Z44" s="11" t="e">
        <f t="shared" si="32"/>
        <v>#VALUE!</v>
      </c>
      <c r="AA44" s="10" t="e">
        <f t="shared" si="11"/>
        <v>#VALUE!</v>
      </c>
      <c r="AB44" s="10" t="e">
        <f t="shared" si="33"/>
        <v>#VALUE!</v>
      </c>
      <c r="AC44" s="10" t="e">
        <f t="shared" si="34"/>
        <v>#VALUE!</v>
      </c>
      <c r="AD44" s="10" t="e">
        <f t="shared" si="66"/>
        <v>#VALUE!</v>
      </c>
      <c r="AE44" s="10" t="e">
        <f t="shared" si="67"/>
        <v>#VALUE!</v>
      </c>
      <c r="AF44" s="10" t="e">
        <f t="shared" si="12"/>
        <v>#VALUE!</v>
      </c>
      <c r="AG44" s="10" t="e">
        <f t="shared" si="35"/>
        <v>#VALUE!</v>
      </c>
      <c r="AI44" s="13"/>
      <c r="AK44" s="10" t="e">
        <f t="shared" si="36"/>
        <v>#VALUE!</v>
      </c>
      <c r="AL44" s="10" t="e">
        <f t="shared" si="68"/>
        <v>#VALUE!</v>
      </c>
      <c r="AM44" s="10" t="e">
        <f t="shared" si="13"/>
        <v>#VALUE!</v>
      </c>
      <c r="AN44" s="10" t="e">
        <f t="shared" si="37"/>
        <v>#VALUE!</v>
      </c>
      <c r="AO44" s="10" t="e">
        <f t="shared" si="38"/>
        <v>#VALUE!</v>
      </c>
      <c r="AP44" s="10" t="e">
        <f t="shared" si="39"/>
        <v>#VALUE!</v>
      </c>
      <c r="AQ44" s="10" t="e">
        <f t="shared" si="69"/>
        <v>#VALUE!</v>
      </c>
      <c r="AR44" s="10" t="e">
        <f t="shared" si="14"/>
        <v>#VALUE!</v>
      </c>
      <c r="AS44" s="10" t="e">
        <f t="shared" si="70"/>
        <v>#VALUE!</v>
      </c>
      <c r="AU44" s="10" t="e">
        <f t="shared" si="40"/>
        <v>#VALUE!</v>
      </c>
      <c r="AV44" s="10" t="e">
        <f t="shared" si="71"/>
        <v>#VALUE!</v>
      </c>
      <c r="AW44" s="10" t="e">
        <f t="shared" si="15"/>
        <v>#VALUE!</v>
      </c>
      <c r="AX44" s="10" t="e">
        <f t="shared" si="41"/>
        <v>#VALUE!</v>
      </c>
      <c r="AY44" s="10" t="e">
        <f t="shared" si="42"/>
        <v>#VALUE!</v>
      </c>
      <c r="AZ44" s="10" t="e">
        <f t="shared" si="43"/>
        <v>#VALUE!</v>
      </c>
      <c r="BA44" s="10" t="e">
        <f t="shared" si="72"/>
        <v>#VALUE!</v>
      </c>
      <c r="BB44" s="10" t="e">
        <f t="shared" si="16"/>
        <v>#VALUE!</v>
      </c>
      <c r="BC44" s="10" t="e">
        <f t="shared" si="73"/>
        <v>#VALUE!</v>
      </c>
      <c r="BE44" s="10" t="e">
        <f t="shared" si="44"/>
        <v>#VALUE!</v>
      </c>
      <c r="BF44" s="10" t="e">
        <f t="shared" si="74"/>
        <v>#VALUE!</v>
      </c>
      <c r="BG44" s="10" t="e">
        <f t="shared" si="17"/>
        <v>#VALUE!</v>
      </c>
      <c r="BH44" s="10" t="e">
        <f t="shared" si="45"/>
        <v>#VALUE!</v>
      </c>
      <c r="BI44" s="10" t="e">
        <f t="shared" si="46"/>
        <v>#VALUE!</v>
      </c>
      <c r="BJ44" s="10" t="e">
        <f t="shared" si="47"/>
        <v>#VALUE!</v>
      </c>
      <c r="BK44" s="10" t="e">
        <f t="shared" si="75"/>
        <v>#VALUE!</v>
      </c>
      <c r="BL44" s="10" t="e">
        <f t="shared" si="18"/>
        <v>#VALUE!</v>
      </c>
      <c r="BM44" s="10" t="e">
        <f t="shared" si="76"/>
        <v>#VALUE!</v>
      </c>
      <c r="BP44" s="10" t="e">
        <f t="shared" si="77"/>
        <v>#VALUE!</v>
      </c>
      <c r="BQ44" s="10" t="e">
        <f t="shared" si="78"/>
        <v>#VALUE!</v>
      </c>
      <c r="BR44" s="10" t="e">
        <f t="shared" si="79"/>
        <v>#VALUE!</v>
      </c>
      <c r="BS44" s="10" t="e">
        <f t="shared" si="80"/>
        <v>#VALUE!</v>
      </c>
      <c r="BT44" s="10" t="e">
        <f t="shared" si="81"/>
        <v>#VALUE!</v>
      </c>
      <c r="BU44" s="10" t="e">
        <f t="shared" si="82"/>
        <v>#VALUE!</v>
      </c>
      <c r="BW44" s="10" t="e">
        <f t="shared" si="54"/>
        <v>#VALUE!</v>
      </c>
      <c r="BX44" s="10" t="e">
        <f t="shared" si="55"/>
        <v>#VALUE!</v>
      </c>
      <c r="BY44" s="10" t="e">
        <f t="shared" si="56"/>
        <v>#VALUE!</v>
      </c>
      <c r="BZ44" s="10" t="e">
        <f t="shared" si="57"/>
        <v>#VALUE!</v>
      </c>
      <c r="CA44" s="10" t="e">
        <f t="shared" si="58"/>
        <v>#VALUE!</v>
      </c>
      <c r="CB44" s="10" t="e">
        <f t="shared" si="59"/>
        <v>#VALUE!</v>
      </c>
      <c r="CD44" s="10" t="e">
        <f>MATCH(INDEX($BP$12:$BU$12,1,MATCH(BP44,$BP$15:$BU$15,0)),结果汇总!$AI$10:$AI$13,0)</f>
        <v>#VALUE!</v>
      </c>
      <c r="CE44" s="10" t="e">
        <f>MATCH(INDEX($BP$12:$BU$12,1,MATCH(BQ44,$BP$15:$BU$15,0)),结果汇总!$AI$10:$AI$13,0)</f>
        <v>#VALUE!</v>
      </c>
      <c r="CF44" s="10" t="e">
        <f>MATCH(INDEX($BP$12:$BU$12,1,MATCH(BR44,$BP$15:$BU$15,0)),结果汇总!$AI$10:$AI$13,0)</f>
        <v>#VALUE!</v>
      </c>
      <c r="CG44" s="10" t="e">
        <f>MATCH(INDEX($BP$12:$BU$12,1,MATCH(BS44,$BP$15:$BU$15,0)),结果汇总!$AI$10:$AI$13,0)</f>
        <v>#VALUE!</v>
      </c>
      <c r="CH44" s="10" t="e">
        <f>MATCH(INDEX($BP$12:$BU$12,1,MATCH(BT44,$BP$15:$BU$15,0)),结果汇总!$AI$10:$AI$13,0)</f>
        <v>#VALUE!</v>
      </c>
      <c r="CI44" s="10" t="e">
        <f>MATCH(INDEX($BP$12:$BU$12,1,MATCH(BU44,$BP$15:$BU$15,0)),结果汇总!$AI$10:$AI$13,0)</f>
        <v>#VALUE!</v>
      </c>
      <c r="CK44" s="10">
        <f t="shared" si="60"/>
        <v>0</v>
      </c>
      <c r="CL44" s="10">
        <f t="shared" si="60"/>
        <v>0</v>
      </c>
      <c r="CM44" s="10">
        <f t="shared" si="60"/>
        <v>0</v>
      </c>
      <c r="CN44" s="10">
        <f t="shared" si="60"/>
        <v>0</v>
      </c>
      <c r="CO44" s="10" t="e">
        <f t="shared" si="61"/>
        <v>#DIV/0!</v>
      </c>
      <c r="CP44" s="10" t="e">
        <f t="shared" si="61"/>
        <v>#DIV/0!</v>
      </c>
      <c r="CQ44" s="10" t="e">
        <f t="shared" si="61"/>
        <v>#DIV/0!</v>
      </c>
      <c r="CR44" s="10" t="e">
        <f t="shared" si="61"/>
        <v>#DIV/0!</v>
      </c>
      <c r="CS44" s="10">
        <f t="shared" si="62"/>
        <v>0</v>
      </c>
      <c r="CT44" s="10">
        <f t="shared" si="62"/>
        <v>0</v>
      </c>
      <c r="CU44" s="10">
        <f t="shared" si="62"/>
        <v>0</v>
      </c>
      <c r="CV44" s="10">
        <f t="shared" si="62"/>
        <v>0</v>
      </c>
      <c r="CW44" s="10">
        <f t="shared" si="63"/>
        <v>0</v>
      </c>
      <c r="CX44" s="10">
        <f t="shared" si="63"/>
        <v>0</v>
      </c>
      <c r="CY44" s="10">
        <f t="shared" si="63"/>
        <v>0</v>
      </c>
      <c r="CZ44" s="10">
        <f t="shared" si="63"/>
        <v>0</v>
      </c>
    </row>
    <row r="45" spans="4:104" x14ac:dyDescent="0.15">
      <c r="D45" s="10">
        <v>30</v>
      </c>
      <c r="E45" s="10" t="e">
        <f t="shared" si="23"/>
        <v>#VALUE!</v>
      </c>
      <c r="F45" s="10" t="e">
        <f t="shared" si="3"/>
        <v>#VALUE!</v>
      </c>
      <c r="G45" s="10" t="e">
        <f t="shared" si="4"/>
        <v>#VALUE!</v>
      </c>
      <c r="H45" s="10" t="e">
        <f t="shared" si="24"/>
        <v>#VALUE!</v>
      </c>
      <c r="I45" s="10" t="e">
        <f t="shared" si="5"/>
        <v>#VALUE!</v>
      </c>
      <c r="J45" s="10" t="e">
        <f t="shared" si="25"/>
        <v>#VALUE!</v>
      </c>
      <c r="K45" s="10" t="e">
        <f t="shared" si="6"/>
        <v>#VALUE!</v>
      </c>
      <c r="L45" s="10" t="e">
        <f t="shared" si="7"/>
        <v>#VALUE!</v>
      </c>
      <c r="M45" s="10" t="e">
        <f t="shared" si="26"/>
        <v>#VALUE!</v>
      </c>
      <c r="O45" s="10" t="e">
        <f t="shared" si="27"/>
        <v>#VALUE!</v>
      </c>
      <c r="P45" s="10" t="e">
        <f t="shared" si="8"/>
        <v>#VALUE!</v>
      </c>
      <c r="Q45" s="10" t="e">
        <f t="shared" si="9"/>
        <v>#VALUE!</v>
      </c>
      <c r="R45" s="10" t="e">
        <f t="shared" si="28"/>
        <v>#VALUE!</v>
      </c>
      <c r="S45" s="10" t="e">
        <f t="shared" si="29"/>
        <v>#VALUE!</v>
      </c>
      <c r="T45" s="10" t="e">
        <f t="shared" si="64"/>
        <v>#VALUE!</v>
      </c>
      <c r="U45" s="10" t="e">
        <f t="shared" si="65"/>
        <v>#VALUE!</v>
      </c>
      <c r="V45" s="10" t="e">
        <f t="shared" si="10"/>
        <v>#VALUE!</v>
      </c>
      <c r="W45" s="10" t="e">
        <f t="shared" si="30"/>
        <v>#VALUE!</v>
      </c>
      <c r="Y45" s="10" t="e">
        <f t="shared" si="31"/>
        <v>#VALUE!</v>
      </c>
      <c r="Z45" s="11" t="e">
        <f t="shared" si="32"/>
        <v>#VALUE!</v>
      </c>
      <c r="AA45" s="10" t="e">
        <f t="shared" si="11"/>
        <v>#VALUE!</v>
      </c>
      <c r="AB45" s="10" t="e">
        <f t="shared" si="33"/>
        <v>#VALUE!</v>
      </c>
      <c r="AC45" s="10" t="e">
        <f t="shared" si="34"/>
        <v>#VALUE!</v>
      </c>
      <c r="AD45" s="10" t="e">
        <f t="shared" si="66"/>
        <v>#VALUE!</v>
      </c>
      <c r="AE45" s="10" t="e">
        <f t="shared" si="67"/>
        <v>#VALUE!</v>
      </c>
      <c r="AF45" s="10" t="e">
        <f t="shared" si="12"/>
        <v>#VALUE!</v>
      </c>
      <c r="AG45" s="10" t="e">
        <f t="shared" si="35"/>
        <v>#VALUE!</v>
      </c>
      <c r="AI45" s="13"/>
      <c r="AK45" s="10" t="e">
        <f t="shared" si="36"/>
        <v>#VALUE!</v>
      </c>
      <c r="AL45" s="10" t="e">
        <f t="shared" si="68"/>
        <v>#VALUE!</v>
      </c>
      <c r="AM45" s="10" t="e">
        <f t="shared" si="13"/>
        <v>#VALUE!</v>
      </c>
      <c r="AN45" s="10" t="e">
        <f t="shared" si="37"/>
        <v>#VALUE!</v>
      </c>
      <c r="AO45" s="10" t="e">
        <f t="shared" si="38"/>
        <v>#VALUE!</v>
      </c>
      <c r="AP45" s="10" t="e">
        <f t="shared" si="39"/>
        <v>#VALUE!</v>
      </c>
      <c r="AQ45" s="10" t="e">
        <f t="shared" si="69"/>
        <v>#VALUE!</v>
      </c>
      <c r="AR45" s="10" t="e">
        <f t="shared" si="14"/>
        <v>#VALUE!</v>
      </c>
      <c r="AS45" s="10" t="e">
        <f t="shared" si="70"/>
        <v>#VALUE!</v>
      </c>
      <c r="AU45" s="10" t="e">
        <f t="shared" si="40"/>
        <v>#VALUE!</v>
      </c>
      <c r="AV45" s="10" t="e">
        <f t="shared" si="71"/>
        <v>#VALUE!</v>
      </c>
      <c r="AW45" s="10" t="e">
        <f t="shared" si="15"/>
        <v>#VALUE!</v>
      </c>
      <c r="AX45" s="10" t="e">
        <f t="shared" si="41"/>
        <v>#VALUE!</v>
      </c>
      <c r="AY45" s="10" t="e">
        <f t="shared" si="42"/>
        <v>#VALUE!</v>
      </c>
      <c r="AZ45" s="10" t="e">
        <f t="shared" si="43"/>
        <v>#VALUE!</v>
      </c>
      <c r="BA45" s="10" t="e">
        <f t="shared" si="72"/>
        <v>#VALUE!</v>
      </c>
      <c r="BB45" s="10" t="e">
        <f t="shared" si="16"/>
        <v>#VALUE!</v>
      </c>
      <c r="BC45" s="10" t="e">
        <f t="shared" si="73"/>
        <v>#VALUE!</v>
      </c>
      <c r="BE45" s="10" t="e">
        <f t="shared" si="44"/>
        <v>#VALUE!</v>
      </c>
      <c r="BF45" s="10" t="e">
        <f t="shared" si="74"/>
        <v>#VALUE!</v>
      </c>
      <c r="BG45" s="10" t="e">
        <f t="shared" si="17"/>
        <v>#VALUE!</v>
      </c>
      <c r="BH45" s="10" t="e">
        <f t="shared" si="45"/>
        <v>#VALUE!</v>
      </c>
      <c r="BI45" s="10" t="e">
        <f t="shared" si="46"/>
        <v>#VALUE!</v>
      </c>
      <c r="BJ45" s="10" t="e">
        <f t="shared" si="47"/>
        <v>#VALUE!</v>
      </c>
      <c r="BK45" s="10" t="e">
        <f t="shared" si="75"/>
        <v>#VALUE!</v>
      </c>
      <c r="BL45" s="10" t="e">
        <f t="shared" si="18"/>
        <v>#VALUE!</v>
      </c>
      <c r="BM45" s="10" t="e">
        <f t="shared" si="76"/>
        <v>#VALUE!</v>
      </c>
      <c r="BP45" s="10" t="e">
        <f t="shared" si="77"/>
        <v>#VALUE!</v>
      </c>
      <c r="BQ45" s="10" t="e">
        <f t="shared" si="78"/>
        <v>#VALUE!</v>
      </c>
      <c r="BR45" s="10" t="e">
        <f t="shared" si="79"/>
        <v>#VALUE!</v>
      </c>
      <c r="BS45" s="10" t="e">
        <f t="shared" si="80"/>
        <v>#VALUE!</v>
      </c>
      <c r="BT45" s="10" t="e">
        <f t="shared" si="81"/>
        <v>#VALUE!</v>
      </c>
      <c r="BU45" s="10" t="e">
        <f t="shared" si="82"/>
        <v>#VALUE!</v>
      </c>
      <c r="BW45" s="10" t="e">
        <f t="shared" si="54"/>
        <v>#VALUE!</v>
      </c>
      <c r="BX45" s="10" t="e">
        <f t="shared" si="55"/>
        <v>#VALUE!</v>
      </c>
      <c r="BY45" s="10" t="e">
        <f t="shared" si="56"/>
        <v>#VALUE!</v>
      </c>
      <c r="BZ45" s="10" t="e">
        <f t="shared" si="57"/>
        <v>#VALUE!</v>
      </c>
      <c r="CA45" s="10" t="e">
        <f t="shared" si="58"/>
        <v>#VALUE!</v>
      </c>
      <c r="CB45" s="10" t="e">
        <f t="shared" si="59"/>
        <v>#VALUE!</v>
      </c>
      <c r="CD45" s="10" t="e">
        <f>MATCH(INDEX($BP$12:$BU$12,1,MATCH(BP45,$BP$15:$BU$15,0)),结果汇总!$AI$10:$AI$13,0)</f>
        <v>#VALUE!</v>
      </c>
      <c r="CE45" s="10" t="e">
        <f>MATCH(INDEX($BP$12:$BU$12,1,MATCH(BQ45,$BP$15:$BU$15,0)),结果汇总!$AI$10:$AI$13,0)</f>
        <v>#VALUE!</v>
      </c>
      <c r="CF45" s="10" t="e">
        <f>MATCH(INDEX($BP$12:$BU$12,1,MATCH(BR45,$BP$15:$BU$15,0)),结果汇总!$AI$10:$AI$13,0)</f>
        <v>#VALUE!</v>
      </c>
      <c r="CG45" s="10" t="e">
        <f>MATCH(INDEX($BP$12:$BU$12,1,MATCH(BS45,$BP$15:$BU$15,0)),结果汇总!$AI$10:$AI$13,0)</f>
        <v>#VALUE!</v>
      </c>
      <c r="CH45" s="10" t="e">
        <f>MATCH(INDEX($BP$12:$BU$12,1,MATCH(BT45,$BP$15:$BU$15,0)),结果汇总!$AI$10:$AI$13,0)</f>
        <v>#VALUE!</v>
      </c>
      <c r="CI45" s="10" t="e">
        <f>MATCH(INDEX($BP$12:$BU$12,1,MATCH(BU45,$BP$15:$BU$15,0)),结果汇总!$AI$10:$AI$13,0)</f>
        <v>#VALUE!</v>
      </c>
      <c r="CK45" s="10">
        <f t="shared" si="60"/>
        <v>0</v>
      </c>
      <c r="CL45" s="10">
        <f t="shared" si="60"/>
        <v>0</v>
      </c>
      <c r="CM45" s="10">
        <f t="shared" si="60"/>
        <v>0</v>
      </c>
      <c r="CN45" s="10">
        <f t="shared" si="60"/>
        <v>0</v>
      </c>
      <c r="CO45" s="10" t="e">
        <f t="shared" si="61"/>
        <v>#DIV/0!</v>
      </c>
      <c r="CP45" s="10" t="e">
        <f t="shared" si="61"/>
        <v>#DIV/0!</v>
      </c>
      <c r="CQ45" s="10" t="e">
        <f t="shared" si="61"/>
        <v>#DIV/0!</v>
      </c>
      <c r="CR45" s="10" t="e">
        <f t="shared" si="61"/>
        <v>#DIV/0!</v>
      </c>
      <c r="CS45" s="10">
        <f t="shared" si="62"/>
        <v>0</v>
      </c>
      <c r="CT45" s="10">
        <f t="shared" si="62"/>
        <v>0</v>
      </c>
      <c r="CU45" s="10">
        <f t="shared" si="62"/>
        <v>0</v>
      </c>
      <c r="CV45" s="10">
        <f t="shared" si="62"/>
        <v>0</v>
      </c>
      <c r="CW45" s="10">
        <f t="shared" si="63"/>
        <v>0</v>
      </c>
      <c r="CX45" s="10">
        <f t="shared" si="63"/>
        <v>0</v>
      </c>
      <c r="CY45" s="10">
        <f t="shared" si="63"/>
        <v>0</v>
      </c>
      <c r="CZ45" s="10">
        <f t="shared" si="63"/>
        <v>0</v>
      </c>
    </row>
    <row r="46" spans="4:104" x14ac:dyDescent="0.15">
      <c r="D46" s="10">
        <v>31</v>
      </c>
      <c r="E46" s="10" t="e">
        <f t="shared" si="23"/>
        <v>#VALUE!</v>
      </c>
      <c r="F46" s="10" t="e">
        <f t="shared" si="3"/>
        <v>#VALUE!</v>
      </c>
      <c r="G46" s="10" t="e">
        <f t="shared" si="4"/>
        <v>#VALUE!</v>
      </c>
      <c r="H46" s="10" t="e">
        <f t="shared" si="24"/>
        <v>#VALUE!</v>
      </c>
      <c r="I46" s="10" t="e">
        <f t="shared" si="5"/>
        <v>#VALUE!</v>
      </c>
      <c r="J46" s="10" t="e">
        <f t="shared" si="25"/>
        <v>#VALUE!</v>
      </c>
      <c r="K46" s="10" t="e">
        <f t="shared" si="6"/>
        <v>#VALUE!</v>
      </c>
      <c r="L46" s="10" t="e">
        <f t="shared" si="7"/>
        <v>#VALUE!</v>
      </c>
      <c r="M46" s="10" t="e">
        <f t="shared" si="26"/>
        <v>#VALUE!</v>
      </c>
      <c r="O46" s="10" t="e">
        <f t="shared" si="27"/>
        <v>#VALUE!</v>
      </c>
      <c r="P46" s="10" t="e">
        <f t="shared" si="8"/>
        <v>#VALUE!</v>
      </c>
      <c r="Q46" s="10" t="e">
        <f t="shared" si="9"/>
        <v>#VALUE!</v>
      </c>
      <c r="R46" s="10" t="e">
        <f t="shared" si="28"/>
        <v>#VALUE!</v>
      </c>
      <c r="S46" s="10" t="e">
        <f t="shared" si="29"/>
        <v>#VALUE!</v>
      </c>
      <c r="T46" s="10" t="e">
        <f t="shared" si="64"/>
        <v>#VALUE!</v>
      </c>
      <c r="U46" s="10" t="e">
        <f t="shared" si="65"/>
        <v>#VALUE!</v>
      </c>
      <c r="V46" s="10" t="e">
        <f t="shared" si="10"/>
        <v>#VALUE!</v>
      </c>
      <c r="W46" s="10" t="e">
        <f t="shared" si="30"/>
        <v>#VALUE!</v>
      </c>
      <c r="Y46" s="10" t="e">
        <f t="shared" si="31"/>
        <v>#VALUE!</v>
      </c>
      <c r="Z46" s="11" t="e">
        <f t="shared" si="32"/>
        <v>#VALUE!</v>
      </c>
      <c r="AA46" s="10" t="e">
        <f t="shared" si="11"/>
        <v>#VALUE!</v>
      </c>
      <c r="AB46" s="10" t="e">
        <f t="shared" si="33"/>
        <v>#VALUE!</v>
      </c>
      <c r="AC46" s="10" t="e">
        <f t="shared" si="34"/>
        <v>#VALUE!</v>
      </c>
      <c r="AD46" s="10" t="e">
        <f t="shared" si="66"/>
        <v>#VALUE!</v>
      </c>
      <c r="AE46" s="10" t="e">
        <f t="shared" si="67"/>
        <v>#VALUE!</v>
      </c>
      <c r="AF46" s="10" t="e">
        <f t="shared" si="12"/>
        <v>#VALUE!</v>
      </c>
      <c r="AG46" s="10" t="e">
        <f t="shared" si="35"/>
        <v>#VALUE!</v>
      </c>
      <c r="AI46" s="13"/>
      <c r="AK46" s="10" t="e">
        <f t="shared" si="36"/>
        <v>#VALUE!</v>
      </c>
      <c r="AL46" s="10" t="e">
        <f t="shared" si="68"/>
        <v>#VALUE!</v>
      </c>
      <c r="AM46" s="10" t="e">
        <f t="shared" si="13"/>
        <v>#VALUE!</v>
      </c>
      <c r="AN46" s="10" t="e">
        <f t="shared" si="37"/>
        <v>#VALUE!</v>
      </c>
      <c r="AO46" s="10" t="e">
        <f t="shared" si="38"/>
        <v>#VALUE!</v>
      </c>
      <c r="AP46" s="10" t="e">
        <f t="shared" si="39"/>
        <v>#VALUE!</v>
      </c>
      <c r="AQ46" s="10" t="e">
        <f t="shared" si="69"/>
        <v>#VALUE!</v>
      </c>
      <c r="AR46" s="10" t="e">
        <f t="shared" si="14"/>
        <v>#VALUE!</v>
      </c>
      <c r="AS46" s="10" t="e">
        <f t="shared" si="70"/>
        <v>#VALUE!</v>
      </c>
      <c r="AU46" s="10" t="e">
        <f t="shared" si="40"/>
        <v>#VALUE!</v>
      </c>
      <c r="AV46" s="10" t="e">
        <f t="shared" si="71"/>
        <v>#VALUE!</v>
      </c>
      <c r="AW46" s="10" t="e">
        <f t="shared" si="15"/>
        <v>#VALUE!</v>
      </c>
      <c r="AX46" s="10" t="e">
        <f t="shared" si="41"/>
        <v>#VALUE!</v>
      </c>
      <c r="AY46" s="10" t="e">
        <f t="shared" si="42"/>
        <v>#VALUE!</v>
      </c>
      <c r="AZ46" s="10" t="e">
        <f t="shared" si="43"/>
        <v>#VALUE!</v>
      </c>
      <c r="BA46" s="10" t="e">
        <f t="shared" si="72"/>
        <v>#VALUE!</v>
      </c>
      <c r="BB46" s="10" t="e">
        <f t="shared" si="16"/>
        <v>#VALUE!</v>
      </c>
      <c r="BC46" s="10" t="e">
        <f t="shared" si="73"/>
        <v>#VALUE!</v>
      </c>
      <c r="BE46" s="10" t="e">
        <f t="shared" si="44"/>
        <v>#VALUE!</v>
      </c>
      <c r="BF46" s="10" t="e">
        <f t="shared" si="74"/>
        <v>#VALUE!</v>
      </c>
      <c r="BG46" s="10" t="e">
        <f t="shared" si="17"/>
        <v>#VALUE!</v>
      </c>
      <c r="BH46" s="10" t="e">
        <f t="shared" si="45"/>
        <v>#VALUE!</v>
      </c>
      <c r="BI46" s="10" t="e">
        <f t="shared" si="46"/>
        <v>#VALUE!</v>
      </c>
      <c r="BJ46" s="10" t="e">
        <f t="shared" si="47"/>
        <v>#VALUE!</v>
      </c>
      <c r="BK46" s="10" t="e">
        <f t="shared" si="75"/>
        <v>#VALUE!</v>
      </c>
      <c r="BL46" s="10" t="e">
        <f t="shared" si="18"/>
        <v>#VALUE!</v>
      </c>
      <c r="BM46" s="10" t="e">
        <f t="shared" si="76"/>
        <v>#VALUE!</v>
      </c>
      <c r="BP46" s="10" t="e">
        <f t="shared" si="77"/>
        <v>#VALUE!</v>
      </c>
      <c r="BQ46" s="10" t="e">
        <f t="shared" si="78"/>
        <v>#VALUE!</v>
      </c>
      <c r="BR46" s="10" t="e">
        <f t="shared" si="79"/>
        <v>#VALUE!</v>
      </c>
      <c r="BS46" s="10" t="e">
        <f t="shared" si="80"/>
        <v>#VALUE!</v>
      </c>
      <c r="BT46" s="10" t="e">
        <f t="shared" si="81"/>
        <v>#VALUE!</v>
      </c>
      <c r="BU46" s="10" t="e">
        <f t="shared" si="82"/>
        <v>#VALUE!</v>
      </c>
      <c r="BW46" s="10" t="e">
        <f t="shared" si="54"/>
        <v>#VALUE!</v>
      </c>
      <c r="BX46" s="10" t="e">
        <f t="shared" si="55"/>
        <v>#VALUE!</v>
      </c>
      <c r="BY46" s="10" t="e">
        <f t="shared" si="56"/>
        <v>#VALUE!</v>
      </c>
      <c r="BZ46" s="10" t="e">
        <f t="shared" si="57"/>
        <v>#VALUE!</v>
      </c>
      <c r="CA46" s="10" t="e">
        <f t="shared" si="58"/>
        <v>#VALUE!</v>
      </c>
      <c r="CB46" s="10" t="e">
        <f t="shared" si="59"/>
        <v>#VALUE!</v>
      </c>
      <c r="CD46" s="10" t="e">
        <f>MATCH(INDEX($BP$12:$BU$12,1,MATCH(BP46,$BP$15:$BU$15,0)),结果汇总!$AI$10:$AI$13,0)</f>
        <v>#VALUE!</v>
      </c>
      <c r="CE46" s="10" t="e">
        <f>MATCH(INDEX($BP$12:$BU$12,1,MATCH(BQ46,$BP$15:$BU$15,0)),结果汇总!$AI$10:$AI$13,0)</f>
        <v>#VALUE!</v>
      </c>
      <c r="CF46" s="10" t="e">
        <f>MATCH(INDEX($BP$12:$BU$12,1,MATCH(BR46,$BP$15:$BU$15,0)),结果汇总!$AI$10:$AI$13,0)</f>
        <v>#VALUE!</v>
      </c>
      <c r="CG46" s="10" t="e">
        <f>MATCH(INDEX($BP$12:$BU$12,1,MATCH(BS46,$BP$15:$BU$15,0)),结果汇总!$AI$10:$AI$13,0)</f>
        <v>#VALUE!</v>
      </c>
      <c r="CH46" s="10" t="e">
        <f>MATCH(INDEX($BP$12:$BU$12,1,MATCH(BT46,$BP$15:$BU$15,0)),结果汇总!$AI$10:$AI$13,0)</f>
        <v>#VALUE!</v>
      </c>
      <c r="CI46" s="10" t="e">
        <f>MATCH(INDEX($BP$12:$BU$12,1,MATCH(BU46,$BP$15:$BU$15,0)),结果汇总!$AI$10:$AI$13,0)</f>
        <v>#VALUE!</v>
      </c>
      <c r="CK46" s="10">
        <f t="shared" si="60"/>
        <v>0</v>
      </c>
      <c r="CL46" s="10">
        <f t="shared" si="60"/>
        <v>0</v>
      </c>
      <c r="CM46" s="10">
        <f t="shared" si="60"/>
        <v>0</v>
      </c>
      <c r="CN46" s="10">
        <f t="shared" si="60"/>
        <v>0</v>
      </c>
      <c r="CO46" s="10" t="e">
        <f t="shared" si="61"/>
        <v>#DIV/0!</v>
      </c>
      <c r="CP46" s="10" t="e">
        <f t="shared" si="61"/>
        <v>#DIV/0!</v>
      </c>
      <c r="CQ46" s="10" t="e">
        <f t="shared" si="61"/>
        <v>#DIV/0!</v>
      </c>
      <c r="CR46" s="10" t="e">
        <f t="shared" si="61"/>
        <v>#DIV/0!</v>
      </c>
      <c r="CS46" s="10">
        <f t="shared" si="62"/>
        <v>0</v>
      </c>
      <c r="CT46" s="10">
        <f t="shared" si="62"/>
        <v>0</v>
      </c>
      <c r="CU46" s="10">
        <f t="shared" si="62"/>
        <v>0</v>
      </c>
      <c r="CV46" s="10">
        <f t="shared" si="62"/>
        <v>0</v>
      </c>
      <c r="CW46" s="10">
        <f t="shared" si="63"/>
        <v>0</v>
      </c>
      <c r="CX46" s="10">
        <f t="shared" si="63"/>
        <v>0</v>
      </c>
      <c r="CY46" s="10">
        <f t="shared" si="63"/>
        <v>0</v>
      </c>
      <c r="CZ46" s="10">
        <f t="shared" si="63"/>
        <v>0</v>
      </c>
    </row>
    <row r="47" spans="4:104" x14ac:dyDescent="0.15">
      <c r="D47" s="10">
        <v>32</v>
      </c>
      <c r="E47" s="10" t="e">
        <f t="shared" si="23"/>
        <v>#VALUE!</v>
      </c>
      <c r="F47" s="10" t="e">
        <f t="shared" si="3"/>
        <v>#VALUE!</v>
      </c>
      <c r="G47" s="10" t="e">
        <f t="shared" si="4"/>
        <v>#VALUE!</v>
      </c>
      <c r="H47" s="10" t="e">
        <f t="shared" si="24"/>
        <v>#VALUE!</v>
      </c>
      <c r="I47" s="10" t="e">
        <f t="shared" si="5"/>
        <v>#VALUE!</v>
      </c>
      <c r="J47" s="10" t="e">
        <f t="shared" si="25"/>
        <v>#VALUE!</v>
      </c>
      <c r="K47" s="10" t="e">
        <f t="shared" si="6"/>
        <v>#VALUE!</v>
      </c>
      <c r="L47" s="10" t="e">
        <f t="shared" si="7"/>
        <v>#VALUE!</v>
      </c>
      <c r="M47" s="10" t="e">
        <f t="shared" si="26"/>
        <v>#VALUE!</v>
      </c>
      <c r="O47" s="10" t="e">
        <f t="shared" si="27"/>
        <v>#VALUE!</v>
      </c>
      <c r="P47" s="10" t="e">
        <f t="shared" si="8"/>
        <v>#VALUE!</v>
      </c>
      <c r="Q47" s="10" t="e">
        <f t="shared" si="9"/>
        <v>#VALUE!</v>
      </c>
      <c r="R47" s="10" t="e">
        <f t="shared" si="28"/>
        <v>#VALUE!</v>
      </c>
      <c r="S47" s="10" t="e">
        <f t="shared" si="29"/>
        <v>#VALUE!</v>
      </c>
      <c r="T47" s="10" t="e">
        <f t="shared" si="64"/>
        <v>#VALUE!</v>
      </c>
      <c r="U47" s="10" t="e">
        <f t="shared" si="65"/>
        <v>#VALUE!</v>
      </c>
      <c r="V47" s="10" t="e">
        <f t="shared" si="10"/>
        <v>#VALUE!</v>
      </c>
      <c r="W47" s="10" t="e">
        <f t="shared" si="30"/>
        <v>#VALUE!</v>
      </c>
      <c r="Y47" s="10" t="e">
        <f t="shared" si="31"/>
        <v>#VALUE!</v>
      </c>
      <c r="Z47" s="11" t="e">
        <f t="shared" si="32"/>
        <v>#VALUE!</v>
      </c>
      <c r="AA47" s="10" t="e">
        <f t="shared" si="11"/>
        <v>#VALUE!</v>
      </c>
      <c r="AB47" s="10" t="e">
        <f t="shared" si="33"/>
        <v>#VALUE!</v>
      </c>
      <c r="AC47" s="10" t="e">
        <f t="shared" si="34"/>
        <v>#VALUE!</v>
      </c>
      <c r="AD47" s="10" t="e">
        <f t="shared" si="66"/>
        <v>#VALUE!</v>
      </c>
      <c r="AE47" s="10" t="e">
        <f t="shared" si="67"/>
        <v>#VALUE!</v>
      </c>
      <c r="AF47" s="10" t="e">
        <f t="shared" si="12"/>
        <v>#VALUE!</v>
      </c>
      <c r="AG47" s="10" t="e">
        <f t="shared" si="35"/>
        <v>#VALUE!</v>
      </c>
      <c r="AI47" s="13"/>
      <c r="AK47" s="10" t="e">
        <f t="shared" si="36"/>
        <v>#VALUE!</v>
      </c>
      <c r="AL47" s="10" t="e">
        <f t="shared" si="68"/>
        <v>#VALUE!</v>
      </c>
      <c r="AM47" s="10" t="e">
        <f t="shared" si="13"/>
        <v>#VALUE!</v>
      </c>
      <c r="AN47" s="10" t="e">
        <f t="shared" si="37"/>
        <v>#VALUE!</v>
      </c>
      <c r="AO47" s="10" t="e">
        <f t="shared" si="38"/>
        <v>#VALUE!</v>
      </c>
      <c r="AP47" s="10" t="e">
        <f t="shared" si="39"/>
        <v>#VALUE!</v>
      </c>
      <c r="AQ47" s="10" t="e">
        <f t="shared" si="69"/>
        <v>#VALUE!</v>
      </c>
      <c r="AR47" s="10" t="e">
        <f t="shared" si="14"/>
        <v>#VALUE!</v>
      </c>
      <c r="AS47" s="10" t="e">
        <f t="shared" si="70"/>
        <v>#VALUE!</v>
      </c>
      <c r="AU47" s="10" t="e">
        <f t="shared" si="40"/>
        <v>#VALUE!</v>
      </c>
      <c r="AV47" s="10" t="e">
        <f t="shared" si="71"/>
        <v>#VALUE!</v>
      </c>
      <c r="AW47" s="10" t="e">
        <f t="shared" si="15"/>
        <v>#VALUE!</v>
      </c>
      <c r="AX47" s="10" t="e">
        <f t="shared" si="41"/>
        <v>#VALUE!</v>
      </c>
      <c r="AY47" s="10" t="e">
        <f t="shared" si="42"/>
        <v>#VALUE!</v>
      </c>
      <c r="AZ47" s="10" t="e">
        <f t="shared" si="43"/>
        <v>#VALUE!</v>
      </c>
      <c r="BA47" s="10" t="e">
        <f t="shared" si="72"/>
        <v>#VALUE!</v>
      </c>
      <c r="BB47" s="10" t="e">
        <f t="shared" si="16"/>
        <v>#VALUE!</v>
      </c>
      <c r="BC47" s="10" t="e">
        <f t="shared" si="73"/>
        <v>#VALUE!</v>
      </c>
      <c r="BE47" s="10" t="e">
        <f t="shared" si="44"/>
        <v>#VALUE!</v>
      </c>
      <c r="BF47" s="10" t="e">
        <f t="shared" si="74"/>
        <v>#VALUE!</v>
      </c>
      <c r="BG47" s="10" t="e">
        <f t="shared" si="17"/>
        <v>#VALUE!</v>
      </c>
      <c r="BH47" s="10" t="e">
        <f t="shared" si="45"/>
        <v>#VALUE!</v>
      </c>
      <c r="BI47" s="10" t="e">
        <f t="shared" si="46"/>
        <v>#VALUE!</v>
      </c>
      <c r="BJ47" s="10" t="e">
        <f t="shared" si="47"/>
        <v>#VALUE!</v>
      </c>
      <c r="BK47" s="10" t="e">
        <f t="shared" si="75"/>
        <v>#VALUE!</v>
      </c>
      <c r="BL47" s="10" t="e">
        <f t="shared" si="18"/>
        <v>#VALUE!</v>
      </c>
      <c r="BM47" s="10" t="e">
        <f t="shared" si="76"/>
        <v>#VALUE!</v>
      </c>
      <c r="BP47" s="10" t="e">
        <f t="shared" si="77"/>
        <v>#VALUE!</v>
      </c>
      <c r="BQ47" s="10" t="e">
        <f t="shared" si="78"/>
        <v>#VALUE!</v>
      </c>
      <c r="BR47" s="10" t="e">
        <f t="shared" si="79"/>
        <v>#VALUE!</v>
      </c>
      <c r="BS47" s="10" t="e">
        <f t="shared" si="80"/>
        <v>#VALUE!</v>
      </c>
      <c r="BT47" s="10" t="e">
        <f t="shared" si="81"/>
        <v>#VALUE!</v>
      </c>
      <c r="BU47" s="10" t="e">
        <f t="shared" si="82"/>
        <v>#VALUE!</v>
      </c>
      <c r="BW47" s="10" t="e">
        <f t="shared" si="54"/>
        <v>#VALUE!</v>
      </c>
      <c r="BX47" s="10" t="e">
        <f t="shared" si="55"/>
        <v>#VALUE!</v>
      </c>
      <c r="BY47" s="10" t="e">
        <f t="shared" si="56"/>
        <v>#VALUE!</v>
      </c>
      <c r="BZ47" s="10" t="e">
        <f t="shared" si="57"/>
        <v>#VALUE!</v>
      </c>
      <c r="CA47" s="10" t="e">
        <f t="shared" si="58"/>
        <v>#VALUE!</v>
      </c>
      <c r="CB47" s="10" t="e">
        <f t="shared" si="59"/>
        <v>#VALUE!</v>
      </c>
      <c r="CD47" s="10" t="e">
        <f>MATCH(INDEX($BP$12:$BU$12,1,MATCH(BP47,$BP$15:$BU$15,0)),结果汇总!$AI$10:$AI$13,0)</f>
        <v>#VALUE!</v>
      </c>
      <c r="CE47" s="10" t="e">
        <f>MATCH(INDEX($BP$12:$BU$12,1,MATCH(BQ47,$BP$15:$BU$15,0)),结果汇总!$AI$10:$AI$13,0)</f>
        <v>#VALUE!</v>
      </c>
      <c r="CF47" s="10" t="e">
        <f>MATCH(INDEX($BP$12:$BU$12,1,MATCH(BR47,$BP$15:$BU$15,0)),结果汇总!$AI$10:$AI$13,0)</f>
        <v>#VALUE!</v>
      </c>
      <c r="CG47" s="10" t="e">
        <f>MATCH(INDEX($BP$12:$BU$12,1,MATCH(BS47,$BP$15:$BU$15,0)),结果汇总!$AI$10:$AI$13,0)</f>
        <v>#VALUE!</v>
      </c>
      <c r="CH47" s="10" t="e">
        <f>MATCH(INDEX($BP$12:$BU$12,1,MATCH(BT47,$BP$15:$BU$15,0)),结果汇总!$AI$10:$AI$13,0)</f>
        <v>#VALUE!</v>
      </c>
      <c r="CI47" s="10" t="e">
        <f>MATCH(INDEX($BP$12:$BU$12,1,MATCH(BU47,$BP$15:$BU$15,0)),结果汇总!$AI$10:$AI$13,0)</f>
        <v>#VALUE!</v>
      </c>
      <c r="CK47" s="10">
        <f t="shared" si="60"/>
        <v>0</v>
      </c>
      <c r="CL47" s="10">
        <f t="shared" si="60"/>
        <v>0</v>
      </c>
      <c r="CM47" s="10">
        <f t="shared" si="60"/>
        <v>0</v>
      </c>
      <c r="CN47" s="10">
        <f t="shared" si="60"/>
        <v>0</v>
      </c>
      <c r="CO47" s="10" t="e">
        <f t="shared" si="61"/>
        <v>#DIV/0!</v>
      </c>
      <c r="CP47" s="10" t="e">
        <f t="shared" si="61"/>
        <v>#DIV/0!</v>
      </c>
      <c r="CQ47" s="10" t="e">
        <f t="shared" si="61"/>
        <v>#DIV/0!</v>
      </c>
      <c r="CR47" s="10" t="e">
        <f t="shared" si="61"/>
        <v>#DIV/0!</v>
      </c>
      <c r="CS47" s="10">
        <f t="shared" si="62"/>
        <v>0</v>
      </c>
      <c r="CT47" s="10">
        <f t="shared" si="62"/>
        <v>0</v>
      </c>
      <c r="CU47" s="10">
        <f t="shared" si="62"/>
        <v>0</v>
      </c>
      <c r="CV47" s="10">
        <f t="shared" si="62"/>
        <v>0</v>
      </c>
      <c r="CW47" s="10">
        <f t="shared" si="63"/>
        <v>0</v>
      </c>
      <c r="CX47" s="10">
        <f t="shared" si="63"/>
        <v>0</v>
      </c>
      <c r="CY47" s="10">
        <f t="shared" si="63"/>
        <v>0</v>
      </c>
      <c r="CZ47" s="10">
        <f t="shared" si="63"/>
        <v>0</v>
      </c>
    </row>
    <row r="48" spans="4:104" x14ac:dyDescent="0.15">
      <c r="D48" s="10">
        <v>33</v>
      </c>
      <c r="E48" s="10" t="e">
        <f t="shared" si="23"/>
        <v>#VALUE!</v>
      </c>
      <c r="F48" s="10" t="e">
        <f t="shared" si="3"/>
        <v>#VALUE!</v>
      </c>
      <c r="G48" s="10" t="e">
        <f t="shared" si="4"/>
        <v>#VALUE!</v>
      </c>
      <c r="H48" s="10" t="e">
        <f t="shared" si="24"/>
        <v>#VALUE!</v>
      </c>
      <c r="I48" s="10" t="e">
        <f t="shared" ref="I48:I79" si="83">IF(AND(J48=0,E48&lt;&gt;0),1,H48/(H48+$G$6))</f>
        <v>#VALUE!</v>
      </c>
      <c r="J48" s="10" t="e">
        <f t="shared" si="25"/>
        <v>#VALUE!</v>
      </c>
      <c r="K48" s="10" t="e">
        <f t="shared" si="6"/>
        <v>#VALUE!</v>
      </c>
      <c r="L48" s="10" t="e">
        <f t="shared" si="7"/>
        <v>#VALUE!</v>
      </c>
      <c r="M48" s="10" t="e">
        <f t="shared" si="26"/>
        <v>#VALUE!</v>
      </c>
      <c r="O48" s="10" t="e">
        <f t="shared" si="27"/>
        <v>#VALUE!</v>
      </c>
      <c r="P48" s="10" t="e">
        <f t="shared" si="8"/>
        <v>#VALUE!</v>
      </c>
      <c r="Q48" s="10" t="e">
        <f t="shared" si="9"/>
        <v>#VALUE!</v>
      </c>
      <c r="R48" s="10" t="e">
        <f t="shared" si="28"/>
        <v>#VALUE!</v>
      </c>
      <c r="S48" s="10" t="e">
        <f t="shared" si="29"/>
        <v>#VALUE!</v>
      </c>
      <c r="T48" s="10" t="e">
        <f t="shared" si="64"/>
        <v>#VALUE!</v>
      </c>
      <c r="U48" s="10" t="e">
        <f t="shared" si="65"/>
        <v>#VALUE!</v>
      </c>
      <c r="V48" s="10" t="e">
        <f t="shared" si="10"/>
        <v>#VALUE!</v>
      </c>
      <c r="W48" s="10" t="e">
        <f t="shared" si="30"/>
        <v>#VALUE!</v>
      </c>
      <c r="Y48" s="10" t="e">
        <f t="shared" si="31"/>
        <v>#VALUE!</v>
      </c>
      <c r="Z48" s="11" t="e">
        <f t="shared" si="32"/>
        <v>#VALUE!</v>
      </c>
      <c r="AA48" s="10" t="e">
        <f t="shared" si="11"/>
        <v>#VALUE!</v>
      </c>
      <c r="AB48" s="10" t="e">
        <f t="shared" si="33"/>
        <v>#VALUE!</v>
      </c>
      <c r="AC48" s="10" t="e">
        <f t="shared" si="34"/>
        <v>#VALUE!</v>
      </c>
      <c r="AD48" s="10" t="e">
        <f t="shared" si="66"/>
        <v>#VALUE!</v>
      </c>
      <c r="AE48" s="10" t="e">
        <f t="shared" si="67"/>
        <v>#VALUE!</v>
      </c>
      <c r="AF48" s="10" t="e">
        <f t="shared" si="12"/>
        <v>#VALUE!</v>
      </c>
      <c r="AG48" s="10" t="e">
        <f t="shared" si="35"/>
        <v>#VALUE!</v>
      </c>
      <c r="AI48" s="13"/>
      <c r="AK48" s="10" t="e">
        <f t="shared" si="36"/>
        <v>#VALUE!</v>
      </c>
      <c r="AL48" s="10" t="e">
        <f t="shared" si="68"/>
        <v>#VALUE!</v>
      </c>
      <c r="AM48" s="10" t="e">
        <f t="shared" si="13"/>
        <v>#VALUE!</v>
      </c>
      <c r="AN48" s="10" t="e">
        <f t="shared" si="37"/>
        <v>#VALUE!</v>
      </c>
      <c r="AO48" s="10" t="e">
        <f t="shared" si="38"/>
        <v>#VALUE!</v>
      </c>
      <c r="AP48" s="10" t="e">
        <f t="shared" si="39"/>
        <v>#VALUE!</v>
      </c>
      <c r="AQ48" s="10" t="e">
        <f t="shared" si="69"/>
        <v>#VALUE!</v>
      </c>
      <c r="AR48" s="10" t="e">
        <f t="shared" si="14"/>
        <v>#VALUE!</v>
      </c>
      <c r="AS48" s="10" t="e">
        <f t="shared" si="70"/>
        <v>#VALUE!</v>
      </c>
      <c r="AU48" s="10" t="e">
        <f t="shared" si="40"/>
        <v>#VALUE!</v>
      </c>
      <c r="AV48" s="10" t="e">
        <f t="shared" si="71"/>
        <v>#VALUE!</v>
      </c>
      <c r="AW48" s="10" t="e">
        <f t="shared" si="15"/>
        <v>#VALUE!</v>
      </c>
      <c r="AX48" s="10" t="e">
        <f t="shared" si="41"/>
        <v>#VALUE!</v>
      </c>
      <c r="AY48" s="10" t="e">
        <f t="shared" si="42"/>
        <v>#VALUE!</v>
      </c>
      <c r="AZ48" s="10" t="e">
        <f t="shared" si="43"/>
        <v>#VALUE!</v>
      </c>
      <c r="BA48" s="10" t="e">
        <f t="shared" si="72"/>
        <v>#VALUE!</v>
      </c>
      <c r="BB48" s="10" t="e">
        <f t="shared" si="16"/>
        <v>#VALUE!</v>
      </c>
      <c r="BC48" s="10" t="e">
        <f t="shared" si="73"/>
        <v>#VALUE!</v>
      </c>
      <c r="BE48" s="10" t="e">
        <f t="shared" si="44"/>
        <v>#VALUE!</v>
      </c>
      <c r="BF48" s="10" t="e">
        <f t="shared" si="74"/>
        <v>#VALUE!</v>
      </c>
      <c r="BG48" s="10" t="e">
        <f t="shared" si="17"/>
        <v>#VALUE!</v>
      </c>
      <c r="BH48" s="10" t="e">
        <f t="shared" si="45"/>
        <v>#VALUE!</v>
      </c>
      <c r="BI48" s="10" t="e">
        <f t="shared" si="46"/>
        <v>#VALUE!</v>
      </c>
      <c r="BJ48" s="10" t="e">
        <f t="shared" si="47"/>
        <v>#VALUE!</v>
      </c>
      <c r="BK48" s="10" t="e">
        <f t="shared" si="75"/>
        <v>#VALUE!</v>
      </c>
      <c r="BL48" s="10" t="e">
        <f t="shared" si="18"/>
        <v>#VALUE!</v>
      </c>
      <c r="BM48" s="10" t="e">
        <f t="shared" si="76"/>
        <v>#VALUE!</v>
      </c>
      <c r="BP48" s="10" t="e">
        <f t="shared" si="77"/>
        <v>#VALUE!</v>
      </c>
      <c r="BQ48" s="10" t="e">
        <f t="shared" si="78"/>
        <v>#VALUE!</v>
      </c>
      <c r="BR48" s="10" t="e">
        <f t="shared" si="79"/>
        <v>#VALUE!</v>
      </c>
      <c r="BS48" s="10" t="e">
        <f t="shared" si="80"/>
        <v>#VALUE!</v>
      </c>
      <c r="BT48" s="10" t="e">
        <f t="shared" si="81"/>
        <v>#VALUE!</v>
      </c>
      <c r="BU48" s="10" t="e">
        <f t="shared" si="82"/>
        <v>#VALUE!</v>
      </c>
      <c r="BW48" s="10" t="e">
        <f t="shared" si="54"/>
        <v>#VALUE!</v>
      </c>
      <c r="BX48" s="10" t="e">
        <f t="shared" si="55"/>
        <v>#VALUE!</v>
      </c>
      <c r="BY48" s="10" t="e">
        <f t="shared" si="56"/>
        <v>#VALUE!</v>
      </c>
      <c r="BZ48" s="10" t="e">
        <f t="shared" si="57"/>
        <v>#VALUE!</v>
      </c>
      <c r="CA48" s="10" t="e">
        <f t="shared" si="58"/>
        <v>#VALUE!</v>
      </c>
      <c r="CB48" s="10" t="e">
        <f t="shared" si="59"/>
        <v>#VALUE!</v>
      </c>
      <c r="CD48" s="10" t="e">
        <f>MATCH(INDEX($BP$12:$BU$12,1,MATCH(BP48,$BP$15:$BU$15,0)),结果汇总!$AI$10:$AI$13,0)</f>
        <v>#VALUE!</v>
      </c>
      <c r="CE48" s="10" t="e">
        <f>MATCH(INDEX($BP$12:$BU$12,1,MATCH(BQ48,$BP$15:$BU$15,0)),结果汇总!$AI$10:$AI$13,0)</f>
        <v>#VALUE!</v>
      </c>
      <c r="CF48" s="10" t="e">
        <f>MATCH(INDEX($BP$12:$BU$12,1,MATCH(BR48,$BP$15:$BU$15,0)),结果汇总!$AI$10:$AI$13,0)</f>
        <v>#VALUE!</v>
      </c>
      <c r="CG48" s="10" t="e">
        <f>MATCH(INDEX($BP$12:$BU$12,1,MATCH(BS48,$BP$15:$BU$15,0)),结果汇总!$AI$10:$AI$13,0)</f>
        <v>#VALUE!</v>
      </c>
      <c r="CH48" s="10" t="e">
        <f>MATCH(INDEX($BP$12:$BU$12,1,MATCH(BT48,$BP$15:$BU$15,0)),结果汇总!$AI$10:$AI$13,0)</f>
        <v>#VALUE!</v>
      </c>
      <c r="CI48" s="10" t="e">
        <f>MATCH(INDEX($BP$12:$BU$12,1,MATCH(BU48,$BP$15:$BU$15,0)),结果汇总!$AI$10:$AI$13,0)</f>
        <v>#VALUE!</v>
      </c>
      <c r="CK48" s="10">
        <f t="shared" si="60"/>
        <v>0</v>
      </c>
      <c r="CL48" s="10">
        <f t="shared" si="60"/>
        <v>0</v>
      </c>
      <c r="CM48" s="10">
        <f t="shared" si="60"/>
        <v>0</v>
      </c>
      <c r="CN48" s="10">
        <f t="shared" si="60"/>
        <v>0</v>
      </c>
      <c r="CO48" s="10" t="e">
        <f t="shared" si="61"/>
        <v>#DIV/0!</v>
      </c>
      <c r="CP48" s="10" t="e">
        <f t="shared" si="61"/>
        <v>#DIV/0!</v>
      </c>
      <c r="CQ48" s="10" t="e">
        <f t="shared" si="61"/>
        <v>#DIV/0!</v>
      </c>
      <c r="CR48" s="10" t="e">
        <f t="shared" si="61"/>
        <v>#DIV/0!</v>
      </c>
      <c r="CS48" s="10">
        <f t="shared" si="62"/>
        <v>0</v>
      </c>
      <c r="CT48" s="10">
        <f t="shared" si="62"/>
        <v>0</v>
      </c>
      <c r="CU48" s="10">
        <f t="shared" si="62"/>
        <v>0</v>
      </c>
      <c r="CV48" s="10">
        <f t="shared" si="62"/>
        <v>0</v>
      </c>
      <c r="CW48" s="10">
        <f t="shared" si="63"/>
        <v>0</v>
      </c>
      <c r="CX48" s="10">
        <f t="shared" si="63"/>
        <v>0</v>
      </c>
      <c r="CY48" s="10">
        <f t="shared" si="63"/>
        <v>0</v>
      </c>
      <c r="CZ48" s="10">
        <f t="shared" si="63"/>
        <v>0</v>
      </c>
    </row>
    <row r="49" spans="4:104" x14ac:dyDescent="0.15">
      <c r="D49" s="10">
        <v>34</v>
      </c>
      <c r="E49" s="10" t="e">
        <f t="shared" ref="E49:E80" si="84">IF(E48-((AL48+AM48+AQ48+AR48)*IF(BS48=1,1,0)+(AV48+AW48+BA48+BB48)*IF(BT48=1,1,0)+(BF48+BG48+BK48+BL48)*IF(BU48=1,1,0))*IF(J48=0,1,I48)/$D$5&lt;$E$16*$P$8,0,
E48-((AL48+AM48+AQ48+AR48)*IF(BS48=1,1,0)+(AV48+AW48+BA48+BB48)*IF(BT48=1,1,0)+(BF48+BG48+BK48+BL48)*IF(BU48=1,1,0))*IF(J48=0,1,I48)/$D$5)</f>
        <v>#VALUE!</v>
      </c>
      <c r="F49" s="10" t="e">
        <f t="shared" si="3"/>
        <v>#VALUE!</v>
      </c>
      <c r="G49" s="10" t="e">
        <f t="shared" si="4"/>
        <v>#VALUE!</v>
      </c>
      <c r="H49" s="10" t="e">
        <f t="shared" si="24"/>
        <v>#VALUE!</v>
      </c>
      <c r="I49" s="10" t="e">
        <f t="shared" si="83"/>
        <v>#VALUE!</v>
      </c>
      <c r="J49" s="10" t="e">
        <f t="shared" ref="J49:J80" si="85">MAX(J48-((AL48+AM48+AQ48+AR48)*IF(BS48=1,1,0)+(AV48+AW48+BA48+BB48)*IF(BT48=1,1,0)+(BF48+BG48+BK48+BL48)*IF(BU48=1,1,0))*IF(E48=0,1,M48)/$D$6,0)</f>
        <v>#VALUE!</v>
      </c>
      <c r="K49" s="10" t="e">
        <f t="shared" si="6"/>
        <v>#VALUE!</v>
      </c>
      <c r="L49" s="10" t="e">
        <f t="shared" si="7"/>
        <v>#VALUE!</v>
      </c>
      <c r="M49" s="10" t="e">
        <f t="shared" si="26"/>
        <v>#VALUE!</v>
      </c>
      <c r="O49" s="10" t="e">
        <f t="shared" ref="O49:O80" si="86">IF(O48-((AL48+AM48+AQ48+AR48)*IF(BS48=3,1,0)+(AV48+AW48+BA48+BB48)*IF(BT48=3,1,0)+(BF48+BG48+BK48+BL48)*IF(BU48=3,1,0))*IF(T48=0,1,S48)/$D$8&lt;$O$16*$P$8,0,
O48-((AL48+AM48+AQ48+AR48)*IF(BS48=3,1,0)+(AV48+AW48+BA48+BB48)*IF(BT48=3,1,0)+(BF48+BG48+BK48+BL48)*IF(BU48=3,1,0))*IF(T48=0,1,S48)/$D$8)</f>
        <v>#VALUE!</v>
      </c>
      <c r="P49" s="10" t="e">
        <f t="shared" si="8"/>
        <v>#VALUE!</v>
      </c>
      <c r="Q49" s="10" t="e">
        <f t="shared" si="9"/>
        <v>#VALUE!</v>
      </c>
      <c r="R49" s="10" t="e">
        <f t="shared" si="28"/>
        <v>#VALUE!</v>
      </c>
      <c r="S49" s="10" t="e">
        <f t="shared" si="29"/>
        <v>#VALUE!</v>
      </c>
      <c r="T49" s="10" t="e">
        <f t="shared" si="64"/>
        <v>#VALUE!</v>
      </c>
      <c r="U49" s="10" t="e">
        <f t="shared" si="65"/>
        <v>#VALUE!</v>
      </c>
      <c r="V49" s="10" t="e">
        <f t="shared" si="10"/>
        <v>#VALUE!</v>
      </c>
      <c r="W49" s="10" t="e">
        <f t="shared" si="30"/>
        <v>#VALUE!</v>
      </c>
      <c r="Y49" s="10" t="e">
        <f t="shared" ref="Y49:Y80" si="87">IF(Y48-((AL48+AM48+AQ48+AR48)*IF(BS48=5,1,0)+(AV48+AW48+BA48+BB48)*IF(BT48=5,1,0)+(BF48+BG48+BK48+BL48)*IF(BU48=5,1,0))*IF(AD48=0,1,AC48)/$D$11&lt;$Y$16*$P$8,0,
Y48-((AL48+AM48+AQ48+AR48)*IF(BS48=5,1,0)+(AV48+AW48+BA48+BB48)*IF(BT48=5,1,0)+(BF48+BG48+BK48+BL48)*IF(BU48=5,1,0))*IF(AD48=0,1,AC48)/$D$11)</f>
        <v>#VALUE!</v>
      </c>
      <c r="Z49" s="11" t="e">
        <f t="shared" si="32"/>
        <v>#VALUE!</v>
      </c>
      <c r="AA49" s="10" t="e">
        <f t="shared" si="11"/>
        <v>#VALUE!</v>
      </c>
      <c r="AB49" s="10" t="e">
        <f t="shared" si="33"/>
        <v>#VALUE!</v>
      </c>
      <c r="AC49" s="10" t="e">
        <f t="shared" si="34"/>
        <v>#VALUE!</v>
      </c>
      <c r="AD49" s="10" t="e">
        <f t="shared" si="66"/>
        <v>#VALUE!</v>
      </c>
      <c r="AE49" s="10" t="e">
        <f t="shared" si="67"/>
        <v>#VALUE!</v>
      </c>
      <c r="AF49" s="10" t="e">
        <f t="shared" si="12"/>
        <v>#VALUE!</v>
      </c>
      <c r="AG49" s="10" t="e">
        <f t="shared" si="35"/>
        <v>#VALUE!</v>
      </c>
      <c r="AI49" s="13"/>
      <c r="AK49" s="10" t="e">
        <f t="shared" ref="AK49:AK80" si="88">IF(AK48-((F48+G48+K48+L48)*IF(BR48=2,1,0)+(P48+Q48+U48+V48)*IF(BQ48=2,1,0)+(Z48+AA48+AE48+AF48)*IF(BP48=2,1,0))*IF(AP48=0,1,AO48)/$J$5&lt;$AK$16*$P$8,0,
AK48-((F48+G48+K48+L48)*IF(BR48=2,1,0)+(P48+Q48+U48+V48)*IF(BQ48=2,1,0)+(Z48+AA48+AE48+AF48)*IF(BP48=2,1,0))*IF(AP48=0,1,AO48)/$J$5)</f>
        <v>#VALUE!</v>
      </c>
      <c r="AL49" s="10" t="e">
        <f t="shared" si="68"/>
        <v>#VALUE!</v>
      </c>
      <c r="AM49" s="10" t="e">
        <f t="shared" si="13"/>
        <v>#VALUE!</v>
      </c>
      <c r="AN49" s="10" t="e">
        <f t="shared" si="37"/>
        <v>#VALUE!</v>
      </c>
      <c r="AO49" s="10" t="e">
        <f t="shared" si="38"/>
        <v>#VALUE!</v>
      </c>
      <c r="AP49" s="10" t="e">
        <f t="shared" ref="AP49:AP80" si="89">MAX(AP48-((F48+G48+K48+L48)*IF(BR48=2,1,0)+(P48+Q48+U48+V48)*IF(BQ48=2,1,0)+(Z48+AA48+AE48+AF48)*IF(BP48=2,1,0))*IF(AK48=0,1,AS48)/$J$6,0)</f>
        <v>#VALUE!</v>
      </c>
      <c r="AQ49" s="10" t="e">
        <f t="shared" si="69"/>
        <v>#VALUE!</v>
      </c>
      <c r="AR49" s="10" t="e">
        <f t="shared" si="14"/>
        <v>#VALUE!</v>
      </c>
      <c r="AS49" s="10" t="e">
        <f t="shared" si="70"/>
        <v>#VALUE!</v>
      </c>
      <c r="AU49" s="10" t="e">
        <f t="shared" ref="AU49:AU80" si="90">IF(AU48-((F48+G48+K48+L48)*IF(BR48=4,1,0)+(P48+Q48+U48+V48)*IF(BQ48=4,1,0)+(Z48+AA48+AE48+AF48)*IF(BP48=4,1,0))*IF(AZ48=0,1,AY48)/$J$8&lt;$AU$16*$P$8,0,
AU48-((F48+G48+K48+L48)*IF(BR48=4,1,0)+(P48+Q48+U48+V48)*IF(BQ48=4,1,0)+(Z48+AA48+AE48+AF48)*IF(BP48=4,1,0))*IF(AZ48=0,1,AY48)/$J$8)</f>
        <v>#VALUE!</v>
      </c>
      <c r="AV49" s="10" t="e">
        <f t="shared" si="71"/>
        <v>#VALUE!</v>
      </c>
      <c r="AW49" s="10" t="e">
        <f t="shared" si="15"/>
        <v>#VALUE!</v>
      </c>
      <c r="AX49" s="10" t="e">
        <f t="shared" si="41"/>
        <v>#VALUE!</v>
      </c>
      <c r="AY49" s="10" t="e">
        <f t="shared" si="42"/>
        <v>#VALUE!</v>
      </c>
      <c r="AZ49" s="10" t="e">
        <f t="shared" ref="AZ49:AZ80" si="91">MAX(AZ48-((F48+G48+K48+L48)*IF(BR48=4,1,0)+(P48+Q48+U48+V48)*IF(BQ48=4,1,0)+(Z48+AA48+AE48+AF48)*IF(BP48=4,1,0))*IF(AU48=0,1,BC48)/$J$9,0)</f>
        <v>#VALUE!</v>
      </c>
      <c r="BA49" s="10" t="e">
        <f t="shared" si="72"/>
        <v>#VALUE!</v>
      </c>
      <c r="BB49" s="10" t="e">
        <f t="shared" si="16"/>
        <v>#VALUE!</v>
      </c>
      <c r="BC49" s="10" t="e">
        <f t="shared" si="73"/>
        <v>#VALUE!</v>
      </c>
      <c r="BE49" s="10" t="e">
        <f t="shared" ref="BE49:BE80" si="92">IF(BE48-((F48+G48+K48+L48)*IF(BR48=6,1,0)+(P48+Q48+U48+V48)*IF(BQ48=6,1,0)+(Z48+AA48+AE48+AF48)*IF(BP48=6,1,0))*IF(BJ48=0,1,BI48)/$J$11&lt;$BE$16*$P$8,0,
BE48-((F48+G48+K48+L48)*IF(BR48=6,1,0)+(P48+Q48+U48+V48)*IF(BQ48=6,1,0)+(Z48+AA48+AE48+AF48)*IF(BP48=6,1,0))*IF(BJ48=0,1,BI48)/$J$11)</f>
        <v>#VALUE!</v>
      </c>
      <c r="BF49" s="10" t="e">
        <f t="shared" si="74"/>
        <v>#VALUE!</v>
      </c>
      <c r="BG49" s="10" t="e">
        <f t="shared" si="17"/>
        <v>#VALUE!</v>
      </c>
      <c r="BH49" s="10" t="e">
        <f t="shared" si="45"/>
        <v>#VALUE!</v>
      </c>
      <c r="BI49" s="10" t="e">
        <f t="shared" si="46"/>
        <v>#VALUE!</v>
      </c>
      <c r="BJ49" s="10" t="e">
        <f t="shared" ref="BJ49:BJ80" si="93">MAX(BJ48-((F48+G48+K48+L48)*IF(BR48=6,1,0)+(P48+Q48+U48+V48)*IF(BQ48=6,1,0)+(Z48+AA48+AE48+AF48)*IF(BP48=6,1,0))*IF(BE48=0,1,BM48)/$J$12,0)</f>
        <v>#VALUE!</v>
      </c>
      <c r="BK49" s="10" t="e">
        <f t="shared" si="75"/>
        <v>#VALUE!</v>
      </c>
      <c r="BL49" s="10" t="e">
        <f t="shared" si="18"/>
        <v>#VALUE!</v>
      </c>
      <c r="BM49" s="10" t="e">
        <f t="shared" si="76"/>
        <v>#VALUE!</v>
      </c>
      <c r="BP49" s="10" t="e">
        <f t="shared" si="77"/>
        <v>#VALUE!</v>
      </c>
      <c r="BQ49" s="10" t="e">
        <f t="shared" si="78"/>
        <v>#VALUE!</v>
      </c>
      <c r="BR49" s="10" t="e">
        <f t="shared" si="79"/>
        <v>#VALUE!</v>
      </c>
      <c r="BS49" s="10" t="e">
        <f t="shared" si="80"/>
        <v>#VALUE!</v>
      </c>
      <c r="BT49" s="10" t="e">
        <f t="shared" si="81"/>
        <v>#VALUE!</v>
      </c>
      <c r="BU49" s="10" t="e">
        <f t="shared" si="82"/>
        <v>#VALUE!</v>
      </c>
      <c r="BW49" s="10" t="e">
        <f t="shared" si="54"/>
        <v>#VALUE!</v>
      </c>
      <c r="BX49" s="10" t="e">
        <f t="shared" si="55"/>
        <v>#VALUE!</v>
      </c>
      <c r="BY49" s="10" t="e">
        <f t="shared" si="56"/>
        <v>#VALUE!</v>
      </c>
      <c r="BZ49" s="10" t="e">
        <f t="shared" si="57"/>
        <v>#VALUE!</v>
      </c>
      <c r="CA49" s="10" t="e">
        <f t="shared" si="58"/>
        <v>#VALUE!</v>
      </c>
      <c r="CB49" s="10" t="e">
        <f t="shared" si="59"/>
        <v>#VALUE!</v>
      </c>
      <c r="CD49" s="10" t="e">
        <f>MATCH(INDEX($BP$12:$BU$12,1,MATCH(BP49,$BP$15:$BU$15,0)),结果汇总!$AI$10:$AI$13,0)</f>
        <v>#VALUE!</v>
      </c>
      <c r="CE49" s="10" t="e">
        <f>MATCH(INDEX($BP$12:$BU$12,1,MATCH(BQ49,$BP$15:$BU$15,0)),结果汇总!$AI$10:$AI$13,0)</f>
        <v>#VALUE!</v>
      </c>
      <c r="CF49" s="10" t="e">
        <f>MATCH(INDEX($BP$12:$BU$12,1,MATCH(BR49,$BP$15:$BU$15,0)),结果汇总!$AI$10:$AI$13,0)</f>
        <v>#VALUE!</v>
      </c>
      <c r="CG49" s="10" t="e">
        <f>MATCH(INDEX($BP$12:$BU$12,1,MATCH(BS49,$BP$15:$BU$15,0)),结果汇总!$AI$10:$AI$13,0)</f>
        <v>#VALUE!</v>
      </c>
      <c r="CH49" s="10" t="e">
        <f>MATCH(INDEX($BP$12:$BU$12,1,MATCH(BT49,$BP$15:$BU$15,0)),结果汇总!$AI$10:$AI$13,0)</f>
        <v>#VALUE!</v>
      </c>
      <c r="CI49" s="10" t="e">
        <f>MATCH(INDEX($BP$12:$BU$12,1,MATCH(BU49,$BP$15:$BU$15,0)),结果汇总!$AI$10:$AI$13,0)</f>
        <v>#VALUE!</v>
      </c>
      <c r="CK49" s="10">
        <f t="shared" ref="CK49:CN80" si="94">COUNTIFS($CD49:$CI49,CK$15,$CD$15:$CI$15,$CK$14)/COUNTIFS($CD$15:$CI$15,$CK$14)</f>
        <v>0</v>
      </c>
      <c r="CL49" s="10">
        <f t="shared" si="94"/>
        <v>0</v>
      </c>
      <c r="CM49" s="10">
        <f t="shared" si="94"/>
        <v>0</v>
      </c>
      <c r="CN49" s="10">
        <f t="shared" si="94"/>
        <v>0</v>
      </c>
      <c r="CO49" s="10" t="e">
        <f t="shared" ref="CO49:CR80" si="95">COUNTIFS($CD49:$CI49,CO$15,$CD$15:$CI$15,$CO$14)/COUNTIFS($CD$15:$CI$15,$CO$14)</f>
        <v>#DIV/0!</v>
      </c>
      <c r="CP49" s="10" t="e">
        <f t="shared" si="95"/>
        <v>#DIV/0!</v>
      </c>
      <c r="CQ49" s="10" t="e">
        <f t="shared" si="95"/>
        <v>#DIV/0!</v>
      </c>
      <c r="CR49" s="10" t="e">
        <f t="shared" si="95"/>
        <v>#DIV/0!</v>
      </c>
      <c r="CS49" s="10">
        <f t="shared" ref="CS49:CV80" si="96">COUNTIFS($CD49:$CI49,CS$15,$CD$15:$CI$15,$CS$14)/COUNTIFS($CD$15:$CI$15,$CS$14)</f>
        <v>0</v>
      </c>
      <c r="CT49" s="10">
        <f t="shared" si="96"/>
        <v>0</v>
      </c>
      <c r="CU49" s="10">
        <f t="shared" si="96"/>
        <v>0</v>
      </c>
      <c r="CV49" s="10">
        <f t="shared" si="96"/>
        <v>0</v>
      </c>
      <c r="CW49" s="10">
        <f t="shared" ref="CW49:CZ80" si="97">COUNTIFS($CD49:$CI49,CW$15,$CD$15:$CI$15,$CW$14)/COUNTIFS($CD$15:$CI$15,$CW$14)</f>
        <v>0</v>
      </c>
      <c r="CX49" s="10">
        <f t="shared" si="97"/>
        <v>0</v>
      </c>
      <c r="CY49" s="10">
        <f t="shared" si="97"/>
        <v>0</v>
      </c>
      <c r="CZ49" s="10">
        <f t="shared" si="97"/>
        <v>0</v>
      </c>
    </row>
    <row r="50" spans="4:104" x14ac:dyDescent="0.15">
      <c r="D50" s="10">
        <v>35</v>
      </c>
      <c r="E50" s="10" t="e">
        <f t="shared" si="84"/>
        <v>#VALUE!</v>
      </c>
      <c r="F50" s="10" t="e">
        <f t="shared" si="3"/>
        <v>#VALUE!</v>
      </c>
      <c r="G50" s="10" t="e">
        <f t="shared" si="4"/>
        <v>#VALUE!</v>
      </c>
      <c r="H50" s="10" t="e">
        <f t="shared" si="24"/>
        <v>#VALUE!</v>
      </c>
      <c r="I50" s="10" t="e">
        <f t="shared" si="83"/>
        <v>#VALUE!</v>
      </c>
      <c r="J50" s="10" t="e">
        <f t="shared" si="85"/>
        <v>#VALUE!</v>
      </c>
      <c r="K50" s="10" t="e">
        <f t="shared" si="6"/>
        <v>#VALUE!</v>
      </c>
      <c r="L50" s="10" t="e">
        <f t="shared" si="7"/>
        <v>#VALUE!</v>
      </c>
      <c r="M50" s="10" t="e">
        <f t="shared" si="26"/>
        <v>#VALUE!</v>
      </c>
      <c r="O50" s="10" t="e">
        <f t="shared" si="86"/>
        <v>#VALUE!</v>
      </c>
      <c r="P50" s="10" t="e">
        <f t="shared" si="8"/>
        <v>#VALUE!</v>
      </c>
      <c r="Q50" s="10" t="e">
        <f t="shared" si="9"/>
        <v>#VALUE!</v>
      </c>
      <c r="R50" s="10" t="e">
        <f t="shared" si="28"/>
        <v>#VALUE!</v>
      </c>
      <c r="S50" s="10" t="e">
        <f t="shared" si="29"/>
        <v>#VALUE!</v>
      </c>
      <c r="T50" s="10" t="e">
        <f t="shared" si="64"/>
        <v>#VALUE!</v>
      </c>
      <c r="U50" s="10" t="e">
        <f t="shared" si="65"/>
        <v>#VALUE!</v>
      </c>
      <c r="V50" s="10" t="e">
        <f t="shared" si="10"/>
        <v>#VALUE!</v>
      </c>
      <c r="W50" s="10" t="e">
        <f t="shared" si="30"/>
        <v>#VALUE!</v>
      </c>
      <c r="Y50" s="10" t="e">
        <f t="shared" si="87"/>
        <v>#VALUE!</v>
      </c>
      <c r="Z50" s="11" t="e">
        <f t="shared" si="32"/>
        <v>#VALUE!</v>
      </c>
      <c r="AA50" s="10" t="e">
        <f t="shared" si="11"/>
        <v>#VALUE!</v>
      </c>
      <c r="AB50" s="10" t="e">
        <f t="shared" si="33"/>
        <v>#VALUE!</v>
      </c>
      <c r="AC50" s="10" t="e">
        <f t="shared" si="34"/>
        <v>#VALUE!</v>
      </c>
      <c r="AD50" s="10" t="e">
        <f t="shared" si="66"/>
        <v>#VALUE!</v>
      </c>
      <c r="AE50" s="10" t="e">
        <f t="shared" si="67"/>
        <v>#VALUE!</v>
      </c>
      <c r="AF50" s="10" t="e">
        <f t="shared" si="12"/>
        <v>#VALUE!</v>
      </c>
      <c r="AG50" s="10" t="e">
        <f t="shared" si="35"/>
        <v>#VALUE!</v>
      </c>
      <c r="AI50" s="13"/>
      <c r="AK50" s="10" t="e">
        <f t="shared" si="88"/>
        <v>#VALUE!</v>
      </c>
      <c r="AL50" s="10" t="e">
        <f t="shared" si="68"/>
        <v>#VALUE!</v>
      </c>
      <c r="AM50" s="10" t="e">
        <f t="shared" si="13"/>
        <v>#VALUE!</v>
      </c>
      <c r="AN50" s="10" t="e">
        <f t="shared" si="37"/>
        <v>#VALUE!</v>
      </c>
      <c r="AO50" s="10" t="e">
        <f t="shared" si="38"/>
        <v>#VALUE!</v>
      </c>
      <c r="AP50" s="10" t="e">
        <f t="shared" si="89"/>
        <v>#VALUE!</v>
      </c>
      <c r="AQ50" s="10" t="e">
        <f t="shared" si="69"/>
        <v>#VALUE!</v>
      </c>
      <c r="AR50" s="10" t="e">
        <f t="shared" si="14"/>
        <v>#VALUE!</v>
      </c>
      <c r="AS50" s="10" t="e">
        <f t="shared" si="70"/>
        <v>#VALUE!</v>
      </c>
      <c r="AU50" s="10" t="e">
        <f t="shared" si="90"/>
        <v>#VALUE!</v>
      </c>
      <c r="AV50" s="10" t="e">
        <f t="shared" si="71"/>
        <v>#VALUE!</v>
      </c>
      <c r="AW50" s="10" t="e">
        <f t="shared" si="15"/>
        <v>#VALUE!</v>
      </c>
      <c r="AX50" s="10" t="e">
        <f t="shared" si="41"/>
        <v>#VALUE!</v>
      </c>
      <c r="AY50" s="10" t="e">
        <f t="shared" si="42"/>
        <v>#VALUE!</v>
      </c>
      <c r="AZ50" s="10" t="e">
        <f t="shared" si="91"/>
        <v>#VALUE!</v>
      </c>
      <c r="BA50" s="10" t="e">
        <f t="shared" si="72"/>
        <v>#VALUE!</v>
      </c>
      <c r="BB50" s="10" t="e">
        <f t="shared" si="16"/>
        <v>#VALUE!</v>
      </c>
      <c r="BC50" s="10" t="e">
        <f t="shared" si="73"/>
        <v>#VALUE!</v>
      </c>
      <c r="BE50" s="10" t="e">
        <f t="shared" si="92"/>
        <v>#VALUE!</v>
      </c>
      <c r="BF50" s="10" t="e">
        <f t="shared" si="74"/>
        <v>#VALUE!</v>
      </c>
      <c r="BG50" s="10" t="e">
        <f t="shared" si="17"/>
        <v>#VALUE!</v>
      </c>
      <c r="BH50" s="10" t="e">
        <f t="shared" si="45"/>
        <v>#VALUE!</v>
      </c>
      <c r="BI50" s="10" t="e">
        <f t="shared" si="46"/>
        <v>#VALUE!</v>
      </c>
      <c r="BJ50" s="10" t="e">
        <f t="shared" si="93"/>
        <v>#VALUE!</v>
      </c>
      <c r="BK50" s="10" t="e">
        <f t="shared" si="75"/>
        <v>#VALUE!</v>
      </c>
      <c r="BL50" s="10" t="e">
        <f t="shared" si="18"/>
        <v>#VALUE!</v>
      </c>
      <c r="BM50" s="10" t="e">
        <f t="shared" si="76"/>
        <v>#VALUE!</v>
      </c>
      <c r="BP50" s="10" t="e">
        <f t="shared" si="77"/>
        <v>#VALUE!</v>
      </c>
      <c r="BQ50" s="10" t="e">
        <f t="shared" si="78"/>
        <v>#VALUE!</v>
      </c>
      <c r="BR50" s="10" t="e">
        <f t="shared" si="79"/>
        <v>#VALUE!</v>
      </c>
      <c r="BS50" s="10" t="e">
        <f t="shared" si="80"/>
        <v>#VALUE!</v>
      </c>
      <c r="BT50" s="10" t="e">
        <f t="shared" si="81"/>
        <v>#VALUE!</v>
      </c>
      <c r="BU50" s="10" t="e">
        <f t="shared" si="82"/>
        <v>#VALUE!</v>
      </c>
      <c r="BW50" s="10" t="e">
        <f t="shared" si="54"/>
        <v>#VALUE!</v>
      </c>
      <c r="BX50" s="10" t="e">
        <f t="shared" si="55"/>
        <v>#VALUE!</v>
      </c>
      <c r="BY50" s="10" t="e">
        <f t="shared" si="56"/>
        <v>#VALUE!</v>
      </c>
      <c r="BZ50" s="10" t="e">
        <f t="shared" si="57"/>
        <v>#VALUE!</v>
      </c>
      <c r="CA50" s="10" t="e">
        <f t="shared" si="58"/>
        <v>#VALUE!</v>
      </c>
      <c r="CB50" s="10" t="e">
        <f t="shared" si="59"/>
        <v>#VALUE!</v>
      </c>
      <c r="CD50" s="10" t="e">
        <f>MATCH(INDEX($BP$12:$BU$12,1,MATCH(BP50,$BP$15:$BU$15,0)),结果汇总!$AI$10:$AI$13,0)</f>
        <v>#VALUE!</v>
      </c>
      <c r="CE50" s="10" t="e">
        <f>MATCH(INDEX($BP$12:$BU$12,1,MATCH(BQ50,$BP$15:$BU$15,0)),结果汇总!$AI$10:$AI$13,0)</f>
        <v>#VALUE!</v>
      </c>
      <c r="CF50" s="10" t="e">
        <f>MATCH(INDEX($BP$12:$BU$12,1,MATCH(BR50,$BP$15:$BU$15,0)),结果汇总!$AI$10:$AI$13,0)</f>
        <v>#VALUE!</v>
      </c>
      <c r="CG50" s="10" t="e">
        <f>MATCH(INDEX($BP$12:$BU$12,1,MATCH(BS50,$BP$15:$BU$15,0)),结果汇总!$AI$10:$AI$13,0)</f>
        <v>#VALUE!</v>
      </c>
      <c r="CH50" s="10" t="e">
        <f>MATCH(INDEX($BP$12:$BU$12,1,MATCH(BT50,$BP$15:$BU$15,0)),结果汇总!$AI$10:$AI$13,0)</f>
        <v>#VALUE!</v>
      </c>
      <c r="CI50" s="10" t="e">
        <f>MATCH(INDEX($BP$12:$BU$12,1,MATCH(BU50,$BP$15:$BU$15,0)),结果汇总!$AI$10:$AI$13,0)</f>
        <v>#VALUE!</v>
      </c>
      <c r="CK50" s="10">
        <f t="shared" si="94"/>
        <v>0</v>
      </c>
      <c r="CL50" s="10">
        <f t="shared" si="94"/>
        <v>0</v>
      </c>
      <c r="CM50" s="10">
        <f t="shared" si="94"/>
        <v>0</v>
      </c>
      <c r="CN50" s="10">
        <f t="shared" si="94"/>
        <v>0</v>
      </c>
      <c r="CO50" s="10" t="e">
        <f t="shared" si="95"/>
        <v>#DIV/0!</v>
      </c>
      <c r="CP50" s="10" t="e">
        <f t="shared" si="95"/>
        <v>#DIV/0!</v>
      </c>
      <c r="CQ50" s="10" t="e">
        <f t="shared" si="95"/>
        <v>#DIV/0!</v>
      </c>
      <c r="CR50" s="10" t="e">
        <f t="shared" si="95"/>
        <v>#DIV/0!</v>
      </c>
      <c r="CS50" s="10">
        <f t="shared" si="96"/>
        <v>0</v>
      </c>
      <c r="CT50" s="10">
        <f t="shared" si="96"/>
        <v>0</v>
      </c>
      <c r="CU50" s="10">
        <f t="shared" si="96"/>
        <v>0</v>
      </c>
      <c r="CV50" s="10">
        <f t="shared" si="96"/>
        <v>0</v>
      </c>
      <c r="CW50" s="10">
        <f t="shared" si="97"/>
        <v>0</v>
      </c>
      <c r="CX50" s="10">
        <f t="shared" si="97"/>
        <v>0</v>
      </c>
      <c r="CY50" s="10">
        <f t="shared" si="97"/>
        <v>0</v>
      </c>
      <c r="CZ50" s="10">
        <f t="shared" si="97"/>
        <v>0</v>
      </c>
    </row>
    <row r="51" spans="4:104" x14ac:dyDescent="0.15">
      <c r="D51" s="10">
        <v>36</v>
      </c>
      <c r="E51" s="10" t="e">
        <f t="shared" si="84"/>
        <v>#VALUE!</v>
      </c>
      <c r="F51" s="10" t="e">
        <f t="shared" si="3"/>
        <v>#VALUE!</v>
      </c>
      <c r="G51" s="10" t="e">
        <f t="shared" si="4"/>
        <v>#VALUE!</v>
      </c>
      <c r="H51" s="10" t="e">
        <f t="shared" si="24"/>
        <v>#VALUE!</v>
      </c>
      <c r="I51" s="10" t="e">
        <f t="shared" si="83"/>
        <v>#VALUE!</v>
      </c>
      <c r="J51" s="10" t="e">
        <f t="shared" si="85"/>
        <v>#VALUE!</v>
      </c>
      <c r="K51" s="10" t="e">
        <f t="shared" si="6"/>
        <v>#VALUE!</v>
      </c>
      <c r="L51" s="10" t="e">
        <f t="shared" si="7"/>
        <v>#VALUE!</v>
      </c>
      <c r="M51" s="10" t="e">
        <f t="shared" si="26"/>
        <v>#VALUE!</v>
      </c>
      <c r="O51" s="10" t="e">
        <f t="shared" si="86"/>
        <v>#VALUE!</v>
      </c>
      <c r="P51" s="10" t="e">
        <f t="shared" si="8"/>
        <v>#VALUE!</v>
      </c>
      <c r="Q51" s="10" t="e">
        <f t="shared" si="9"/>
        <v>#VALUE!</v>
      </c>
      <c r="R51" s="10" t="e">
        <f t="shared" si="28"/>
        <v>#VALUE!</v>
      </c>
      <c r="S51" s="10" t="e">
        <f t="shared" si="29"/>
        <v>#VALUE!</v>
      </c>
      <c r="T51" s="10" t="e">
        <f t="shared" si="64"/>
        <v>#VALUE!</v>
      </c>
      <c r="U51" s="10" t="e">
        <f t="shared" si="65"/>
        <v>#VALUE!</v>
      </c>
      <c r="V51" s="10" t="e">
        <f t="shared" si="10"/>
        <v>#VALUE!</v>
      </c>
      <c r="W51" s="10" t="e">
        <f t="shared" si="30"/>
        <v>#VALUE!</v>
      </c>
      <c r="Y51" s="10" t="e">
        <f t="shared" si="87"/>
        <v>#VALUE!</v>
      </c>
      <c r="Z51" s="11" t="e">
        <f t="shared" si="32"/>
        <v>#VALUE!</v>
      </c>
      <c r="AA51" s="10" t="e">
        <f t="shared" si="11"/>
        <v>#VALUE!</v>
      </c>
      <c r="AB51" s="10" t="e">
        <f t="shared" si="33"/>
        <v>#VALUE!</v>
      </c>
      <c r="AC51" s="10" t="e">
        <f t="shared" si="34"/>
        <v>#VALUE!</v>
      </c>
      <c r="AD51" s="10" t="e">
        <f t="shared" si="66"/>
        <v>#VALUE!</v>
      </c>
      <c r="AE51" s="10" t="e">
        <f t="shared" si="67"/>
        <v>#VALUE!</v>
      </c>
      <c r="AF51" s="10" t="e">
        <f t="shared" si="12"/>
        <v>#VALUE!</v>
      </c>
      <c r="AG51" s="10" t="e">
        <f t="shared" si="35"/>
        <v>#VALUE!</v>
      </c>
      <c r="AI51" s="13"/>
      <c r="AK51" s="10" t="e">
        <f t="shared" si="88"/>
        <v>#VALUE!</v>
      </c>
      <c r="AL51" s="10" t="e">
        <f t="shared" si="68"/>
        <v>#VALUE!</v>
      </c>
      <c r="AM51" s="10" t="e">
        <f t="shared" si="13"/>
        <v>#VALUE!</v>
      </c>
      <c r="AN51" s="10" t="e">
        <f t="shared" si="37"/>
        <v>#VALUE!</v>
      </c>
      <c r="AO51" s="10" t="e">
        <f t="shared" si="38"/>
        <v>#VALUE!</v>
      </c>
      <c r="AP51" s="10" t="e">
        <f t="shared" si="89"/>
        <v>#VALUE!</v>
      </c>
      <c r="AQ51" s="10" t="e">
        <f t="shared" si="69"/>
        <v>#VALUE!</v>
      </c>
      <c r="AR51" s="10" t="e">
        <f t="shared" si="14"/>
        <v>#VALUE!</v>
      </c>
      <c r="AS51" s="10" t="e">
        <f t="shared" si="70"/>
        <v>#VALUE!</v>
      </c>
      <c r="AU51" s="10" t="e">
        <f t="shared" si="90"/>
        <v>#VALUE!</v>
      </c>
      <c r="AV51" s="10" t="e">
        <f t="shared" si="71"/>
        <v>#VALUE!</v>
      </c>
      <c r="AW51" s="10" t="e">
        <f t="shared" si="15"/>
        <v>#VALUE!</v>
      </c>
      <c r="AX51" s="10" t="e">
        <f t="shared" si="41"/>
        <v>#VALUE!</v>
      </c>
      <c r="AY51" s="10" t="e">
        <f t="shared" si="42"/>
        <v>#VALUE!</v>
      </c>
      <c r="AZ51" s="10" t="e">
        <f t="shared" si="91"/>
        <v>#VALUE!</v>
      </c>
      <c r="BA51" s="10" t="e">
        <f t="shared" si="72"/>
        <v>#VALUE!</v>
      </c>
      <c r="BB51" s="10" t="e">
        <f t="shared" si="16"/>
        <v>#VALUE!</v>
      </c>
      <c r="BC51" s="10" t="e">
        <f t="shared" si="73"/>
        <v>#VALUE!</v>
      </c>
      <c r="BE51" s="10" t="e">
        <f t="shared" si="92"/>
        <v>#VALUE!</v>
      </c>
      <c r="BF51" s="10" t="e">
        <f t="shared" si="74"/>
        <v>#VALUE!</v>
      </c>
      <c r="BG51" s="10" t="e">
        <f t="shared" si="17"/>
        <v>#VALUE!</v>
      </c>
      <c r="BH51" s="10" t="e">
        <f t="shared" si="45"/>
        <v>#VALUE!</v>
      </c>
      <c r="BI51" s="10" t="e">
        <f t="shared" si="46"/>
        <v>#VALUE!</v>
      </c>
      <c r="BJ51" s="10" t="e">
        <f t="shared" si="93"/>
        <v>#VALUE!</v>
      </c>
      <c r="BK51" s="10" t="e">
        <f t="shared" si="75"/>
        <v>#VALUE!</v>
      </c>
      <c r="BL51" s="10" t="e">
        <f t="shared" si="18"/>
        <v>#VALUE!</v>
      </c>
      <c r="BM51" s="10" t="e">
        <f t="shared" si="76"/>
        <v>#VALUE!</v>
      </c>
      <c r="BP51" s="10" t="e">
        <f t="shared" si="77"/>
        <v>#VALUE!</v>
      </c>
      <c r="BQ51" s="10" t="e">
        <f t="shared" si="78"/>
        <v>#VALUE!</v>
      </c>
      <c r="BR51" s="10" t="e">
        <f t="shared" si="79"/>
        <v>#VALUE!</v>
      </c>
      <c r="BS51" s="10" t="e">
        <f t="shared" si="80"/>
        <v>#VALUE!</v>
      </c>
      <c r="BT51" s="10" t="e">
        <f t="shared" si="81"/>
        <v>#VALUE!</v>
      </c>
      <c r="BU51" s="10" t="e">
        <f t="shared" si="82"/>
        <v>#VALUE!</v>
      </c>
      <c r="BW51" s="10" t="e">
        <f t="shared" si="54"/>
        <v>#VALUE!</v>
      </c>
      <c r="BX51" s="10" t="e">
        <f t="shared" si="55"/>
        <v>#VALUE!</v>
      </c>
      <c r="BY51" s="10" t="e">
        <f t="shared" si="56"/>
        <v>#VALUE!</v>
      </c>
      <c r="BZ51" s="10" t="e">
        <f t="shared" si="57"/>
        <v>#VALUE!</v>
      </c>
      <c r="CA51" s="10" t="e">
        <f t="shared" si="58"/>
        <v>#VALUE!</v>
      </c>
      <c r="CB51" s="10" t="e">
        <f t="shared" si="59"/>
        <v>#VALUE!</v>
      </c>
      <c r="CD51" s="10" t="e">
        <f>MATCH(INDEX($BP$12:$BU$12,1,MATCH(BP51,$BP$15:$BU$15,0)),结果汇总!$AI$10:$AI$13,0)</f>
        <v>#VALUE!</v>
      </c>
      <c r="CE51" s="10" t="e">
        <f>MATCH(INDEX($BP$12:$BU$12,1,MATCH(BQ51,$BP$15:$BU$15,0)),结果汇总!$AI$10:$AI$13,0)</f>
        <v>#VALUE!</v>
      </c>
      <c r="CF51" s="10" t="e">
        <f>MATCH(INDEX($BP$12:$BU$12,1,MATCH(BR51,$BP$15:$BU$15,0)),结果汇总!$AI$10:$AI$13,0)</f>
        <v>#VALUE!</v>
      </c>
      <c r="CG51" s="10" t="e">
        <f>MATCH(INDEX($BP$12:$BU$12,1,MATCH(BS51,$BP$15:$BU$15,0)),结果汇总!$AI$10:$AI$13,0)</f>
        <v>#VALUE!</v>
      </c>
      <c r="CH51" s="10" t="e">
        <f>MATCH(INDEX($BP$12:$BU$12,1,MATCH(BT51,$BP$15:$BU$15,0)),结果汇总!$AI$10:$AI$13,0)</f>
        <v>#VALUE!</v>
      </c>
      <c r="CI51" s="10" t="e">
        <f>MATCH(INDEX($BP$12:$BU$12,1,MATCH(BU51,$BP$15:$BU$15,0)),结果汇总!$AI$10:$AI$13,0)</f>
        <v>#VALUE!</v>
      </c>
      <c r="CK51" s="10">
        <f t="shared" si="94"/>
        <v>0</v>
      </c>
      <c r="CL51" s="10">
        <f t="shared" si="94"/>
        <v>0</v>
      </c>
      <c r="CM51" s="10">
        <f t="shared" si="94"/>
        <v>0</v>
      </c>
      <c r="CN51" s="10">
        <f t="shared" si="94"/>
        <v>0</v>
      </c>
      <c r="CO51" s="10" t="e">
        <f t="shared" si="95"/>
        <v>#DIV/0!</v>
      </c>
      <c r="CP51" s="10" t="e">
        <f t="shared" si="95"/>
        <v>#DIV/0!</v>
      </c>
      <c r="CQ51" s="10" t="e">
        <f t="shared" si="95"/>
        <v>#DIV/0!</v>
      </c>
      <c r="CR51" s="10" t="e">
        <f t="shared" si="95"/>
        <v>#DIV/0!</v>
      </c>
      <c r="CS51" s="10">
        <f t="shared" si="96"/>
        <v>0</v>
      </c>
      <c r="CT51" s="10">
        <f t="shared" si="96"/>
        <v>0</v>
      </c>
      <c r="CU51" s="10">
        <f t="shared" si="96"/>
        <v>0</v>
      </c>
      <c r="CV51" s="10">
        <f t="shared" si="96"/>
        <v>0</v>
      </c>
      <c r="CW51" s="10">
        <f t="shared" si="97"/>
        <v>0</v>
      </c>
      <c r="CX51" s="10">
        <f t="shared" si="97"/>
        <v>0</v>
      </c>
      <c r="CY51" s="10">
        <f t="shared" si="97"/>
        <v>0</v>
      </c>
      <c r="CZ51" s="10">
        <f t="shared" si="97"/>
        <v>0</v>
      </c>
    </row>
    <row r="52" spans="4:104" x14ac:dyDescent="0.15">
      <c r="D52" s="10">
        <v>37</v>
      </c>
      <c r="E52" s="10" t="e">
        <f t="shared" si="84"/>
        <v>#VALUE!</v>
      </c>
      <c r="F52" s="10" t="e">
        <f t="shared" si="3"/>
        <v>#VALUE!</v>
      </c>
      <c r="G52" s="10" t="e">
        <f t="shared" si="4"/>
        <v>#VALUE!</v>
      </c>
      <c r="H52" s="10" t="e">
        <f t="shared" si="24"/>
        <v>#VALUE!</v>
      </c>
      <c r="I52" s="10" t="e">
        <f t="shared" si="83"/>
        <v>#VALUE!</v>
      </c>
      <c r="J52" s="10" t="e">
        <f t="shared" si="85"/>
        <v>#VALUE!</v>
      </c>
      <c r="K52" s="10" t="e">
        <f t="shared" si="6"/>
        <v>#VALUE!</v>
      </c>
      <c r="L52" s="10" t="e">
        <f t="shared" si="7"/>
        <v>#VALUE!</v>
      </c>
      <c r="M52" s="10" t="e">
        <f t="shared" si="26"/>
        <v>#VALUE!</v>
      </c>
      <c r="O52" s="10" t="e">
        <f t="shared" si="86"/>
        <v>#VALUE!</v>
      </c>
      <c r="P52" s="10" t="e">
        <f t="shared" si="8"/>
        <v>#VALUE!</v>
      </c>
      <c r="Q52" s="10" t="e">
        <f t="shared" si="9"/>
        <v>#VALUE!</v>
      </c>
      <c r="R52" s="10" t="e">
        <f t="shared" si="28"/>
        <v>#VALUE!</v>
      </c>
      <c r="S52" s="10" t="e">
        <f t="shared" si="29"/>
        <v>#VALUE!</v>
      </c>
      <c r="T52" s="10" t="e">
        <f t="shared" si="64"/>
        <v>#VALUE!</v>
      </c>
      <c r="U52" s="10" t="e">
        <f t="shared" si="65"/>
        <v>#VALUE!</v>
      </c>
      <c r="V52" s="10" t="e">
        <f t="shared" si="10"/>
        <v>#VALUE!</v>
      </c>
      <c r="W52" s="10" t="e">
        <f t="shared" si="30"/>
        <v>#VALUE!</v>
      </c>
      <c r="Y52" s="10" t="e">
        <f t="shared" si="87"/>
        <v>#VALUE!</v>
      </c>
      <c r="Z52" s="11" t="e">
        <f t="shared" si="32"/>
        <v>#VALUE!</v>
      </c>
      <c r="AA52" s="10" t="e">
        <f t="shared" si="11"/>
        <v>#VALUE!</v>
      </c>
      <c r="AB52" s="10" t="e">
        <f t="shared" si="33"/>
        <v>#VALUE!</v>
      </c>
      <c r="AC52" s="10" t="e">
        <f t="shared" si="34"/>
        <v>#VALUE!</v>
      </c>
      <c r="AD52" s="10" t="e">
        <f t="shared" si="66"/>
        <v>#VALUE!</v>
      </c>
      <c r="AE52" s="10" t="e">
        <f t="shared" si="67"/>
        <v>#VALUE!</v>
      </c>
      <c r="AF52" s="10" t="e">
        <f t="shared" si="12"/>
        <v>#VALUE!</v>
      </c>
      <c r="AG52" s="10" t="e">
        <f t="shared" si="35"/>
        <v>#VALUE!</v>
      </c>
      <c r="AI52" s="13"/>
      <c r="AK52" s="10" t="e">
        <f t="shared" si="88"/>
        <v>#VALUE!</v>
      </c>
      <c r="AL52" s="10" t="e">
        <f t="shared" si="68"/>
        <v>#VALUE!</v>
      </c>
      <c r="AM52" s="10" t="e">
        <f t="shared" si="13"/>
        <v>#VALUE!</v>
      </c>
      <c r="AN52" s="10" t="e">
        <f t="shared" si="37"/>
        <v>#VALUE!</v>
      </c>
      <c r="AO52" s="10" t="e">
        <f t="shared" si="38"/>
        <v>#VALUE!</v>
      </c>
      <c r="AP52" s="10" t="e">
        <f t="shared" si="89"/>
        <v>#VALUE!</v>
      </c>
      <c r="AQ52" s="10" t="e">
        <f t="shared" si="69"/>
        <v>#VALUE!</v>
      </c>
      <c r="AR52" s="10" t="e">
        <f t="shared" si="14"/>
        <v>#VALUE!</v>
      </c>
      <c r="AS52" s="10" t="e">
        <f t="shared" si="70"/>
        <v>#VALUE!</v>
      </c>
      <c r="AU52" s="10" t="e">
        <f t="shared" si="90"/>
        <v>#VALUE!</v>
      </c>
      <c r="AV52" s="10" t="e">
        <f t="shared" si="71"/>
        <v>#VALUE!</v>
      </c>
      <c r="AW52" s="10" t="e">
        <f t="shared" si="15"/>
        <v>#VALUE!</v>
      </c>
      <c r="AX52" s="10" t="e">
        <f t="shared" si="41"/>
        <v>#VALUE!</v>
      </c>
      <c r="AY52" s="10" t="e">
        <f t="shared" si="42"/>
        <v>#VALUE!</v>
      </c>
      <c r="AZ52" s="10" t="e">
        <f t="shared" si="91"/>
        <v>#VALUE!</v>
      </c>
      <c r="BA52" s="10" t="e">
        <f t="shared" si="72"/>
        <v>#VALUE!</v>
      </c>
      <c r="BB52" s="10" t="e">
        <f t="shared" si="16"/>
        <v>#VALUE!</v>
      </c>
      <c r="BC52" s="10" t="e">
        <f t="shared" si="73"/>
        <v>#VALUE!</v>
      </c>
      <c r="BE52" s="10" t="e">
        <f t="shared" si="92"/>
        <v>#VALUE!</v>
      </c>
      <c r="BF52" s="10" t="e">
        <f t="shared" si="74"/>
        <v>#VALUE!</v>
      </c>
      <c r="BG52" s="10" t="e">
        <f t="shared" si="17"/>
        <v>#VALUE!</v>
      </c>
      <c r="BH52" s="10" t="e">
        <f t="shared" si="45"/>
        <v>#VALUE!</v>
      </c>
      <c r="BI52" s="10" t="e">
        <f t="shared" si="46"/>
        <v>#VALUE!</v>
      </c>
      <c r="BJ52" s="10" t="e">
        <f t="shared" si="93"/>
        <v>#VALUE!</v>
      </c>
      <c r="BK52" s="10" t="e">
        <f t="shared" si="75"/>
        <v>#VALUE!</v>
      </c>
      <c r="BL52" s="10" t="e">
        <f t="shared" si="18"/>
        <v>#VALUE!</v>
      </c>
      <c r="BM52" s="10" t="e">
        <f t="shared" si="76"/>
        <v>#VALUE!</v>
      </c>
      <c r="BP52" s="10" t="e">
        <f t="shared" si="77"/>
        <v>#VALUE!</v>
      </c>
      <c r="BQ52" s="10" t="e">
        <f t="shared" si="78"/>
        <v>#VALUE!</v>
      </c>
      <c r="BR52" s="10" t="e">
        <f t="shared" si="79"/>
        <v>#VALUE!</v>
      </c>
      <c r="BS52" s="10" t="e">
        <f t="shared" si="80"/>
        <v>#VALUE!</v>
      </c>
      <c r="BT52" s="10" t="e">
        <f t="shared" si="81"/>
        <v>#VALUE!</v>
      </c>
      <c r="BU52" s="10" t="e">
        <f t="shared" si="82"/>
        <v>#VALUE!</v>
      </c>
      <c r="BW52" s="10" t="e">
        <f t="shared" si="54"/>
        <v>#VALUE!</v>
      </c>
      <c r="BX52" s="10" t="e">
        <f t="shared" si="55"/>
        <v>#VALUE!</v>
      </c>
      <c r="BY52" s="10" t="e">
        <f t="shared" si="56"/>
        <v>#VALUE!</v>
      </c>
      <c r="BZ52" s="10" t="e">
        <f t="shared" si="57"/>
        <v>#VALUE!</v>
      </c>
      <c r="CA52" s="10" t="e">
        <f t="shared" si="58"/>
        <v>#VALUE!</v>
      </c>
      <c r="CB52" s="10" t="e">
        <f t="shared" si="59"/>
        <v>#VALUE!</v>
      </c>
      <c r="CD52" s="10" t="e">
        <f>MATCH(INDEX($BP$12:$BU$12,1,MATCH(BP52,$BP$15:$BU$15,0)),结果汇总!$AI$10:$AI$13,0)</f>
        <v>#VALUE!</v>
      </c>
      <c r="CE52" s="10" t="e">
        <f>MATCH(INDEX($BP$12:$BU$12,1,MATCH(BQ52,$BP$15:$BU$15,0)),结果汇总!$AI$10:$AI$13,0)</f>
        <v>#VALUE!</v>
      </c>
      <c r="CF52" s="10" t="e">
        <f>MATCH(INDEX($BP$12:$BU$12,1,MATCH(BR52,$BP$15:$BU$15,0)),结果汇总!$AI$10:$AI$13,0)</f>
        <v>#VALUE!</v>
      </c>
      <c r="CG52" s="10" t="e">
        <f>MATCH(INDEX($BP$12:$BU$12,1,MATCH(BS52,$BP$15:$BU$15,0)),结果汇总!$AI$10:$AI$13,0)</f>
        <v>#VALUE!</v>
      </c>
      <c r="CH52" s="10" t="e">
        <f>MATCH(INDEX($BP$12:$BU$12,1,MATCH(BT52,$BP$15:$BU$15,0)),结果汇总!$AI$10:$AI$13,0)</f>
        <v>#VALUE!</v>
      </c>
      <c r="CI52" s="10" t="e">
        <f>MATCH(INDEX($BP$12:$BU$12,1,MATCH(BU52,$BP$15:$BU$15,0)),结果汇总!$AI$10:$AI$13,0)</f>
        <v>#VALUE!</v>
      </c>
      <c r="CK52" s="10">
        <f t="shared" si="94"/>
        <v>0</v>
      </c>
      <c r="CL52" s="10">
        <f t="shared" si="94"/>
        <v>0</v>
      </c>
      <c r="CM52" s="10">
        <f t="shared" si="94"/>
        <v>0</v>
      </c>
      <c r="CN52" s="10">
        <f t="shared" si="94"/>
        <v>0</v>
      </c>
      <c r="CO52" s="10" t="e">
        <f t="shared" si="95"/>
        <v>#DIV/0!</v>
      </c>
      <c r="CP52" s="10" t="e">
        <f t="shared" si="95"/>
        <v>#DIV/0!</v>
      </c>
      <c r="CQ52" s="10" t="e">
        <f t="shared" si="95"/>
        <v>#DIV/0!</v>
      </c>
      <c r="CR52" s="10" t="e">
        <f t="shared" si="95"/>
        <v>#DIV/0!</v>
      </c>
      <c r="CS52" s="10">
        <f t="shared" si="96"/>
        <v>0</v>
      </c>
      <c r="CT52" s="10">
        <f t="shared" si="96"/>
        <v>0</v>
      </c>
      <c r="CU52" s="10">
        <f t="shared" si="96"/>
        <v>0</v>
      </c>
      <c r="CV52" s="10">
        <f t="shared" si="96"/>
        <v>0</v>
      </c>
      <c r="CW52" s="10">
        <f t="shared" si="97"/>
        <v>0</v>
      </c>
      <c r="CX52" s="10">
        <f t="shared" si="97"/>
        <v>0</v>
      </c>
      <c r="CY52" s="10">
        <f t="shared" si="97"/>
        <v>0</v>
      </c>
      <c r="CZ52" s="10">
        <f t="shared" si="97"/>
        <v>0</v>
      </c>
    </row>
    <row r="53" spans="4:104" x14ac:dyDescent="0.15">
      <c r="D53" s="10">
        <v>38</v>
      </c>
      <c r="E53" s="10" t="e">
        <f t="shared" si="84"/>
        <v>#VALUE!</v>
      </c>
      <c r="F53" s="10" t="e">
        <f t="shared" si="3"/>
        <v>#VALUE!</v>
      </c>
      <c r="G53" s="10" t="e">
        <f t="shared" si="4"/>
        <v>#VALUE!</v>
      </c>
      <c r="H53" s="10" t="e">
        <f t="shared" si="24"/>
        <v>#VALUE!</v>
      </c>
      <c r="I53" s="10" t="e">
        <f t="shared" si="83"/>
        <v>#VALUE!</v>
      </c>
      <c r="J53" s="10" t="e">
        <f t="shared" si="85"/>
        <v>#VALUE!</v>
      </c>
      <c r="K53" s="10" t="e">
        <f t="shared" si="6"/>
        <v>#VALUE!</v>
      </c>
      <c r="L53" s="10" t="e">
        <f t="shared" si="7"/>
        <v>#VALUE!</v>
      </c>
      <c r="M53" s="10" t="e">
        <f t="shared" si="26"/>
        <v>#VALUE!</v>
      </c>
      <c r="O53" s="10" t="e">
        <f t="shared" si="86"/>
        <v>#VALUE!</v>
      </c>
      <c r="P53" s="10" t="e">
        <f t="shared" si="8"/>
        <v>#VALUE!</v>
      </c>
      <c r="Q53" s="10" t="e">
        <f t="shared" si="9"/>
        <v>#VALUE!</v>
      </c>
      <c r="R53" s="10" t="e">
        <f t="shared" si="28"/>
        <v>#VALUE!</v>
      </c>
      <c r="S53" s="10" t="e">
        <f t="shared" si="29"/>
        <v>#VALUE!</v>
      </c>
      <c r="T53" s="10" t="e">
        <f t="shared" si="64"/>
        <v>#VALUE!</v>
      </c>
      <c r="U53" s="10" t="e">
        <f t="shared" si="65"/>
        <v>#VALUE!</v>
      </c>
      <c r="V53" s="10" t="e">
        <f t="shared" si="10"/>
        <v>#VALUE!</v>
      </c>
      <c r="W53" s="10" t="e">
        <f t="shared" si="30"/>
        <v>#VALUE!</v>
      </c>
      <c r="Y53" s="10" t="e">
        <f t="shared" si="87"/>
        <v>#VALUE!</v>
      </c>
      <c r="Z53" s="11" t="e">
        <f t="shared" si="32"/>
        <v>#VALUE!</v>
      </c>
      <c r="AA53" s="10" t="e">
        <f t="shared" si="11"/>
        <v>#VALUE!</v>
      </c>
      <c r="AB53" s="10" t="e">
        <f t="shared" si="33"/>
        <v>#VALUE!</v>
      </c>
      <c r="AC53" s="10" t="e">
        <f t="shared" si="34"/>
        <v>#VALUE!</v>
      </c>
      <c r="AD53" s="10" t="e">
        <f t="shared" si="66"/>
        <v>#VALUE!</v>
      </c>
      <c r="AE53" s="10" t="e">
        <f t="shared" si="67"/>
        <v>#VALUE!</v>
      </c>
      <c r="AF53" s="10" t="e">
        <f t="shared" si="12"/>
        <v>#VALUE!</v>
      </c>
      <c r="AG53" s="10" t="e">
        <f t="shared" si="35"/>
        <v>#VALUE!</v>
      </c>
      <c r="AI53" s="13"/>
      <c r="AK53" s="10" t="e">
        <f t="shared" si="88"/>
        <v>#VALUE!</v>
      </c>
      <c r="AL53" s="10" t="e">
        <f t="shared" si="68"/>
        <v>#VALUE!</v>
      </c>
      <c r="AM53" s="10" t="e">
        <f t="shared" si="13"/>
        <v>#VALUE!</v>
      </c>
      <c r="AN53" s="10" t="e">
        <f t="shared" si="37"/>
        <v>#VALUE!</v>
      </c>
      <c r="AO53" s="10" t="e">
        <f t="shared" si="38"/>
        <v>#VALUE!</v>
      </c>
      <c r="AP53" s="10" t="e">
        <f t="shared" si="89"/>
        <v>#VALUE!</v>
      </c>
      <c r="AQ53" s="10" t="e">
        <f t="shared" si="69"/>
        <v>#VALUE!</v>
      </c>
      <c r="AR53" s="10" t="e">
        <f t="shared" si="14"/>
        <v>#VALUE!</v>
      </c>
      <c r="AS53" s="10" t="e">
        <f t="shared" si="70"/>
        <v>#VALUE!</v>
      </c>
      <c r="AU53" s="10" t="e">
        <f t="shared" si="90"/>
        <v>#VALUE!</v>
      </c>
      <c r="AV53" s="10" t="e">
        <f t="shared" si="71"/>
        <v>#VALUE!</v>
      </c>
      <c r="AW53" s="10" t="e">
        <f t="shared" si="15"/>
        <v>#VALUE!</v>
      </c>
      <c r="AX53" s="10" t="e">
        <f t="shared" si="41"/>
        <v>#VALUE!</v>
      </c>
      <c r="AY53" s="10" t="e">
        <f t="shared" si="42"/>
        <v>#VALUE!</v>
      </c>
      <c r="AZ53" s="10" t="e">
        <f t="shared" si="91"/>
        <v>#VALUE!</v>
      </c>
      <c r="BA53" s="10" t="e">
        <f t="shared" si="72"/>
        <v>#VALUE!</v>
      </c>
      <c r="BB53" s="10" t="e">
        <f t="shared" si="16"/>
        <v>#VALUE!</v>
      </c>
      <c r="BC53" s="10" t="e">
        <f t="shared" si="73"/>
        <v>#VALUE!</v>
      </c>
      <c r="BE53" s="10" t="e">
        <f t="shared" si="92"/>
        <v>#VALUE!</v>
      </c>
      <c r="BF53" s="10" t="e">
        <f t="shared" si="74"/>
        <v>#VALUE!</v>
      </c>
      <c r="BG53" s="10" t="e">
        <f t="shared" si="17"/>
        <v>#VALUE!</v>
      </c>
      <c r="BH53" s="10" t="e">
        <f t="shared" si="45"/>
        <v>#VALUE!</v>
      </c>
      <c r="BI53" s="10" t="e">
        <f t="shared" si="46"/>
        <v>#VALUE!</v>
      </c>
      <c r="BJ53" s="10" t="e">
        <f t="shared" si="93"/>
        <v>#VALUE!</v>
      </c>
      <c r="BK53" s="10" t="e">
        <f t="shared" si="75"/>
        <v>#VALUE!</v>
      </c>
      <c r="BL53" s="10" t="e">
        <f t="shared" si="18"/>
        <v>#VALUE!</v>
      </c>
      <c r="BM53" s="10" t="e">
        <f t="shared" si="76"/>
        <v>#VALUE!</v>
      </c>
      <c r="BP53" s="10" t="e">
        <f t="shared" si="77"/>
        <v>#VALUE!</v>
      </c>
      <c r="BQ53" s="10" t="e">
        <f t="shared" si="78"/>
        <v>#VALUE!</v>
      </c>
      <c r="BR53" s="10" t="e">
        <f t="shared" si="79"/>
        <v>#VALUE!</v>
      </c>
      <c r="BS53" s="10" t="e">
        <f t="shared" si="80"/>
        <v>#VALUE!</v>
      </c>
      <c r="BT53" s="10" t="e">
        <f t="shared" si="81"/>
        <v>#VALUE!</v>
      </c>
      <c r="BU53" s="10" t="e">
        <f t="shared" si="82"/>
        <v>#VALUE!</v>
      </c>
      <c r="BW53" s="10" t="e">
        <f t="shared" si="54"/>
        <v>#VALUE!</v>
      </c>
      <c r="BX53" s="10" t="e">
        <f t="shared" si="55"/>
        <v>#VALUE!</v>
      </c>
      <c r="BY53" s="10" t="e">
        <f t="shared" si="56"/>
        <v>#VALUE!</v>
      </c>
      <c r="BZ53" s="10" t="e">
        <f t="shared" si="57"/>
        <v>#VALUE!</v>
      </c>
      <c r="CA53" s="10" t="e">
        <f t="shared" si="58"/>
        <v>#VALUE!</v>
      </c>
      <c r="CB53" s="10" t="e">
        <f t="shared" si="59"/>
        <v>#VALUE!</v>
      </c>
      <c r="CD53" s="10" t="e">
        <f>MATCH(INDEX($BP$12:$BU$12,1,MATCH(BP53,$BP$15:$BU$15,0)),结果汇总!$AI$10:$AI$13,0)</f>
        <v>#VALUE!</v>
      </c>
      <c r="CE53" s="10" t="e">
        <f>MATCH(INDEX($BP$12:$BU$12,1,MATCH(BQ53,$BP$15:$BU$15,0)),结果汇总!$AI$10:$AI$13,0)</f>
        <v>#VALUE!</v>
      </c>
      <c r="CF53" s="10" t="e">
        <f>MATCH(INDEX($BP$12:$BU$12,1,MATCH(BR53,$BP$15:$BU$15,0)),结果汇总!$AI$10:$AI$13,0)</f>
        <v>#VALUE!</v>
      </c>
      <c r="CG53" s="10" t="e">
        <f>MATCH(INDEX($BP$12:$BU$12,1,MATCH(BS53,$BP$15:$BU$15,0)),结果汇总!$AI$10:$AI$13,0)</f>
        <v>#VALUE!</v>
      </c>
      <c r="CH53" s="10" t="e">
        <f>MATCH(INDEX($BP$12:$BU$12,1,MATCH(BT53,$BP$15:$BU$15,0)),结果汇总!$AI$10:$AI$13,0)</f>
        <v>#VALUE!</v>
      </c>
      <c r="CI53" s="10" t="e">
        <f>MATCH(INDEX($BP$12:$BU$12,1,MATCH(BU53,$BP$15:$BU$15,0)),结果汇总!$AI$10:$AI$13,0)</f>
        <v>#VALUE!</v>
      </c>
      <c r="CK53" s="10">
        <f t="shared" si="94"/>
        <v>0</v>
      </c>
      <c r="CL53" s="10">
        <f t="shared" si="94"/>
        <v>0</v>
      </c>
      <c r="CM53" s="10">
        <f t="shared" si="94"/>
        <v>0</v>
      </c>
      <c r="CN53" s="10">
        <f t="shared" si="94"/>
        <v>0</v>
      </c>
      <c r="CO53" s="10" t="e">
        <f t="shared" si="95"/>
        <v>#DIV/0!</v>
      </c>
      <c r="CP53" s="10" t="e">
        <f t="shared" si="95"/>
        <v>#DIV/0!</v>
      </c>
      <c r="CQ53" s="10" t="e">
        <f t="shared" si="95"/>
        <v>#DIV/0!</v>
      </c>
      <c r="CR53" s="10" t="e">
        <f t="shared" si="95"/>
        <v>#DIV/0!</v>
      </c>
      <c r="CS53" s="10">
        <f t="shared" si="96"/>
        <v>0</v>
      </c>
      <c r="CT53" s="10">
        <f t="shared" si="96"/>
        <v>0</v>
      </c>
      <c r="CU53" s="10">
        <f t="shared" si="96"/>
        <v>0</v>
      </c>
      <c r="CV53" s="10">
        <f t="shared" si="96"/>
        <v>0</v>
      </c>
      <c r="CW53" s="10">
        <f t="shared" si="97"/>
        <v>0</v>
      </c>
      <c r="CX53" s="10">
        <f t="shared" si="97"/>
        <v>0</v>
      </c>
      <c r="CY53" s="10">
        <f t="shared" si="97"/>
        <v>0</v>
      </c>
      <c r="CZ53" s="10">
        <f t="shared" si="97"/>
        <v>0</v>
      </c>
    </row>
    <row r="54" spans="4:104" x14ac:dyDescent="0.15">
      <c r="D54" s="10">
        <v>39</v>
      </c>
      <c r="E54" s="10" t="e">
        <f t="shared" si="84"/>
        <v>#VALUE!</v>
      </c>
      <c r="F54" s="10" t="e">
        <f t="shared" si="3"/>
        <v>#VALUE!</v>
      </c>
      <c r="G54" s="10" t="e">
        <f t="shared" si="4"/>
        <v>#VALUE!</v>
      </c>
      <c r="H54" s="10" t="e">
        <f t="shared" si="24"/>
        <v>#VALUE!</v>
      </c>
      <c r="I54" s="10" t="e">
        <f t="shared" si="83"/>
        <v>#VALUE!</v>
      </c>
      <c r="J54" s="10" t="e">
        <f t="shared" si="85"/>
        <v>#VALUE!</v>
      </c>
      <c r="K54" s="10" t="e">
        <f t="shared" si="6"/>
        <v>#VALUE!</v>
      </c>
      <c r="L54" s="10" t="e">
        <f t="shared" si="7"/>
        <v>#VALUE!</v>
      </c>
      <c r="M54" s="10" t="e">
        <f t="shared" si="26"/>
        <v>#VALUE!</v>
      </c>
      <c r="O54" s="10" t="e">
        <f t="shared" si="86"/>
        <v>#VALUE!</v>
      </c>
      <c r="P54" s="10" t="e">
        <f t="shared" si="8"/>
        <v>#VALUE!</v>
      </c>
      <c r="Q54" s="10" t="e">
        <f t="shared" si="9"/>
        <v>#VALUE!</v>
      </c>
      <c r="R54" s="10" t="e">
        <f t="shared" si="28"/>
        <v>#VALUE!</v>
      </c>
      <c r="S54" s="10" t="e">
        <f t="shared" si="29"/>
        <v>#VALUE!</v>
      </c>
      <c r="T54" s="10" t="e">
        <f t="shared" si="64"/>
        <v>#VALUE!</v>
      </c>
      <c r="U54" s="10" t="e">
        <f t="shared" si="65"/>
        <v>#VALUE!</v>
      </c>
      <c r="V54" s="10" t="e">
        <f t="shared" si="10"/>
        <v>#VALUE!</v>
      </c>
      <c r="W54" s="10" t="e">
        <f t="shared" si="30"/>
        <v>#VALUE!</v>
      </c>
      <c r="Y54" s="10" t="e">
        <f t="shared" si="87"/>
        <v>#VALUE!</v>
      </c>
      <c r="Z54" s="11" t="e">
        <f t="shared" si="32"/>
        <v>#VALUE!</v>
      </c>
      <c r="AA54" s="10" t="e">
        <f t="shared" si="11"/>
        <v>#VALUE!</v>
      </c>
      <c r="AB54" s="10" t="e">
        <f t="shared" si="33"/>
        <v>#VALUE!</v>
      </c>
      <c r="AC54" s="10" t="e">
        <f t="shared" si="34"/>
        <v>#VALUE!</v>
      </c>
      <c r="AD54" s="10" t="e">
        <f t="shared" si="66"/>
        <v>#VALUE!</v>
      </c>
      <c r="AE54" s="10" t="e">
        <f t="shared" si="67"/>
        <v>#VALUE!</v>
      </c>
      <c r="AF54" s="10" t="e">
        <f t="shared" si="12"/>
        <v>#VALUE!</v>
      </c>
      <c r="AG54" s="10" t="e">
        <f t="shared" si="35"/>
        <v>#VALUE!</v>
      </c>
      <c r="AI54" s="13"/>
      <c r="AK54" s="10" t="e">
        <f t="shared" si="88"/>
        <v>#VALUE!</v>
      </c>
      <c r="AL54" s="10" t="e">
        <f t="shared" si="68"/>
        <v>#VALUE!</v>
      </c>
      <c r="AM54" s="10" t="e">
        <f t="shared" si="13"/>
        <v>#VALUE!</v>
      </c>
      <c r="AN54" s="10" t="e">
        <f t="shared" si="37"/>
        <v>#VALUE!</v>
      </c>
      <c r="AO54" s="10" t="e">
        <f t="shared" si="38"/>
        <v>#VALUE!</v>
      </c>
      <c r="AP54" s="10" t="e">
        <f t="shared" si="89"/>
        <v>#VALUE!</v>
      </c>
      <c r="AQ54" s="10" t="e">
        <f t="shared" si="69"/>
        <v>#VALUE!</v>
      </c>
      <c r="AR54" s="10" t="e">
        <f t="shared" si="14"/>
        <v>#VALUE!</v>
      </c>
      <c r="AS54" s="10" t="e">
        <f t="shared" si="70"/>
        <v>#VALUE!</v>
      </c>
      <c r="AU54" s="10" t="e">
        <f t="shared" si="90"/>
        <v>#VALUE!</v>
      </c>
      <c r="AV54" s="10" t="e">
        <f t="shared" si="71"/>
        <v>#VALUE!</v>
      </c>
      <c r="AW54" s="10" t="e">
        <f t="shared" si="15"/>
        <v>#VALUE!</v>
      </c>
      <c r="AX54" s="10" t="e">
        <f t="shared" si="41"/>
        <v>#VALUE!</v>
      </c>
      <c r="AY54" s="10" t="e">
        <f t="shared" si="42"/>
        <v>#VALUE!</v>
      </c>
      <c r="AZ54" s="10" t="e">
        <f t="shared" si="91"/>
        <v>#VALUE!</v>
      </c>
      <c r="BA54" s="10" t="e">
        <f t="shared" si="72"/>
        <v>#VALUE!</v>
      </c>
      <c r="BB54" s="10" t="e">
        <f t="shared" si="16"/>
        <v>#VALUE!</v>
      </c>
      <c r="BC54" s="10" t="e">
        <f t="shared" si="73"/>
        <v>#VALUE!</v>
      </c>
      <c r="BE54" s="10" t="e">
        <f t="shared" si="92"/>
        <v>#VALUE!</v>
      </c>
      <c r="BF54" s="10" t="e">
        <f t="shared" si="74"/>
        <v>#VALUE!</v>
      </c>
      <c r="BG54" s="10" t="e">
        <f t="shared" si="17"/>
        <v>#VALUE!</v>
      </c>
      <c r="BH54" s="10" t="e">
        <f t="shared" si="45"/>
        <v>#VALUE!</v>
      </c>
      <c r="BI54" s="10" t="e">
        <f t="shared" si="46"/>
        <v>#VALUE!</v>
      </c>
      <c r="BJ54" s="10" t="e">
        <f t="shared" si="93"/>
        <v>#VALUE!</v>
      </c>
      <c r="BK54" s="10" t="e">
        <f t="shared" si="75"/>
        <v>#VALUE!</v>
      </c>
      <c r="BL54" s="10" t="e">
        <f t="shared" si="18"/>
        <v>#VALUE!</v>
      </c>
      <c r="BM54" s="10" t="e">
        <f t="shared" si="76"/>
        <v>#VALUE!</v>
      </c>
      <c r="BP54" s="10" t="e">
        <f t="shared" si="77"/>
        <v>#VALUE!</v>
      </c>
      <c r="BQ54" s="10" t="e">
        <f t="shared" si="78"/>
        <v>#VALUE!</v>
      </c>
      <c r="BR54" s="10" t="e">
        <f t="shared" si="79"/>
        <v>#VALUE!</v>
      </c>
      <c r="BS54" s="10" t="e">
        <f t="shared" si="80"/>
        <v>#VALUE!</v>
      </c>
      <c r="BT54" s="10" t="e">
        <f t="shared" si="81"/>
        <v>#VALUE!</v>
      </c>
      <c r="BU54" s="10" t="e">
        <f t="shared" si="82"/>
        <v>#VALUE!</v>
      </c>
      <c r="BW54" s="10" t="e">
        <f t="shared" si="54"/>
        <v>#VALUE!</v>
      </c>
      <c r="BX54" s="10" t="e">
        <f t="shared" si="55"/>
        <v>#VALUE!</v>
      </c>
      <c r="BY54" s="10" t="e">
        <f t="shared" si="56"/>
        <v>#VALUE!</v>
      </c>
      <c r="BZ54" s="10" t="e">
        <f t="shared" si="57"/>
        <v>#VALUE!</v>
      </c>
      <c r="CA54" s="10" t="e">
        <f t="shared" si="58"/>
        <v>#VALUE!</v>
      </c>
      <c r="CB54" s="10" t="e">
        <f t="shared" si="59"/>
        <v>#VALUE!</v>
      </c>
      <c r="CD54" s="10" t="e">
        <f>MATCH(INDEX($BP$12:$BU$12,1,MATCH(BP54,$BP$15:$BU$15,0)),结果汇总!$AI$10:$AI$13,0)</f>
        <v>#VALUE!</v>
      </c>
      <c r="CE54" s="10" t="e">
        <f>MATCH(INDEX($BP$12:$BU$12,1,MATCH(BQ54,$BP$15:$BU$15,0)),结果汇总!$AI$10:$AI$13,0)</f>
        <v>#VALUE!</v>
      </c>
      <c r="CF54" s="10" t="e">
        <f>MATCH(INDEX($BP$12:$BU$12,1,MATCH(BR54,$BP$15:$BU$15,0)),结果汇总!$AI$10:$AI$13,0)</f>
        <v>#VALUE!</v>
      </c>
      <c r="CG54" s="10" t="e">
        <f>MATCH(INDEX($BP$12:$BU$12,1,MATCH(BS54,$BP$15:$BU$15,0)),结果汇总!$AI$10:$AI$13,0)</f>
        <v>#VALUE!</v>
      </c>
      <c r="CH54" s="10" t="e">
        <f>MATCH(INDEX($BP$12:$BU$12,1,MATCH(BT54,$BP$15:$BU$15,0)),结果汇总!$AI$10:$AI$13,0)</f>
        <v>#VALUE!</v>
      </c>
      <c r="CI54" s="10" t="e">
        <f>MATCH(INDEX($BP$12:$BU$12,1,MATCH(BU54,$BP$15:$BU$15,0)),结果汇总!$AI$10:$AI$13,0)</f>
        <v>#VALUE!</v>
      </c>
      <c r="CK54" s="10">
        <f t="shared" si="94"/>
        <v>0</v>
      </c>
      <c r="CL54" s="10">
        <f t="shared" si="94"/>
        <v>0</v>
      </c>
      <c r="CM54" s="10">
        <f t="shared" si="94"/>
        <v>0</v>
      </c>
      <c r="CN54" s="10">
        <f t="shared" si="94"/>
        <v>0</v>
      </c>
      <c r="CO54" s="10" t="e">
        <f t="shared" si="95"/>
        <v>#DIV/0!</v>
      </c>
      <c r="CP54" s="10" t="e">
        <f t="shared" si="95"/>
        <v>#DIV/0!</v>
      </c>
      <c r="CQ54" s="10" t="e">
        <f t="shared" si="95"/>
        <v>#DIV/0!</v>
      </c>
      <c r="CR54" s="10" t="e">
        <f t="shared" si="95"/>
        <v>#DIV/0!</v>
      </c>
      <c r="CS54" s="10">
        <f t="shared" si="96"/>
        <v>0</v>
      </c>
      <c r="CT54" s="10">
        <f t="shared" si="96"/>
        <v>0</v>
      </c>
      <c r="CU54" s="10">
        <f t="shared" si="96"/>
        <v>0</v>
      </c>
      <c r="CV54" s="10">
        <f t="shared" si="96"/>
        <v>0</v>
      </c>
      <c r="CW54" s="10">
        <f t="shared" si="97"/>
        <v>0</v>
      </c>
      <c r="CX54" s="10">
        <f t="shared" si="97"/>
        <v>0</v>
      </c>
      <c r="CY54" s="10">
        <f t="shared" si="97"/>
        <v>0</v>
      </c>
      <c r="CZ54" s="10">
        <f t="shared" si="97"/>
        <v>0</v>
      </c>
    </row>
    <row r="55" spans="4:104" x14ac:dyDescent="0.15">
      <c r="D55" s="10">
        <v>40</v>
      </c>
      <c r="E55" s="10" t="e">
        <f t="shared" si="84"/>
        <v>#VALUE!</v>
      </c>
      <c r="F55" s="10" t="e">
        <f t="shared" si="3"/>
        <v>#VALUE!</v>
      </c>
      <c r="G55" s="10" t="e">
        <f t="shared" si="4"/>
        <v>#VALUE!</v>
      </c>
      <c r="H55" s="10" t="e">
        <f t="shared" si="24"/>
        <v>#VALUE!</v>
      </c>
      <c r="I55" s="10" t="e">
        <f t="shared" si="83"/>
        <v>#VALUE!</v>
      </c>
      <c r="J55" s="10" t="e">
        <f t="shared" si="85"/>
        <v>#VALUE!</v>
      </c>
      <c r="K55" s="10" t="e">
        <f t="shared" si="6"/>
        <v>#VALUE!</v>
      </c>
      <c r="L55" s="10" t="e">
        <f t="shared" si="7"/>
        <v>#VALUE!</v>
      </c>
      <c r="M55" s="10" t="e">
        <f t="shared" si="26"/>
        <v>#VALUE!</v>
      </c>
      <c r="O55" s="10" t="e">
        <f t="shared" si="86"/>
        <v>#VALUE!</v>
      </c>
      <c r="P55" s="10" t="e">
        <f t="shared" si="8"/>
        <v>#VALUE!</v>
      </c>
      <c r="Q55" s="10" t="e">
        <f t="shared" si="9"/>
        <v>#VALUE!</v>
      </c>
      <c r="R55" s="10" t="e">
        <f t="shared" si="28"/>
        <v>#VALUE!</v>
      </c>
      <c r="S55" s="10" t="e">
        <f t="shared" si="29"/>
        <v>#VALUE!</v>
      </c>
      <c r="T55" s="10" t="e">
        <f t="shared" si="64"/>
        <v>#VALUE!</v>
      </c>
      <c r="U55" s="10" t="e">
        <f t="shared" si="65"/>
        <v>#VALUE!</v>
      </c>
      <c r="V55" s="10" t="e">
        <f t="shared" si="10"/>
        <v>#VALUE!</v>
      </c>
      <c r="W55" s="10" t="e">
        <f t="shared" si="30"/>
        <v>#VALUE!</v>
      </c>
      <c r="Y55" s="10" t="e">
        <f t="shared" si="87"/>
        <v>#VALUE!</v>
      </c>
      <c r="Z55" s="11" t="e">
        <f t="shared" si="32"/>
        <v>#VALUE!</v>
      </c>
      <c r="AA55" s="10" t="e">
        <f t="shared" si="11"/>
        <v>#VALUE!</v>
      </c>
      <c r="AB55" s="10" t="e">
        <f t="shared" si="33"/>
        <v>#VALUE!</v>
      </c>
      <c r="AC55" s="10" t="e">
        <f t="shared" si="34"/>
        <v>#VALUE!</v>
      </c>
      <c r="AD55" s="10" t="e">
        <f t="shared" si="66"/>
        <v>#VALUE!</v>
      </c>
      <c r="AE55" s="10" t="e">
        <f t="shared" si="67"/>
        <v>#VALUE!</v>
      </c>
      <c r="AF55" s="10" t="e">
        <f t="shared" si="12"/>
        <v>#VALUE!</v>
      </c>
      <c r="AG55" s="10" t="e">
        <f t="shared" si="35"/>
        <v>#VALUE!</v>
      </c>
      <c r="AI55" s="13"/>
      <c r="AK55" s="10" t="e">
        <f t="shared" si="88"/>
        <v>#VALUE!</v>
      </c>
      <c r="AL55" s="10" t="e">
        <f t="shared" si="68"/>
        <v>#VALUE!</v>
      </c>
      <c r="AM55" s="10" t="e">
        <f t="shared" si="13"/>
        <v>#VALUE!</v>
      </c>
      <c r="AN55" s="10" t="e">
        <f t="shared" si="37"/>
        <v>#VALUE!</v>
      </c>
      <c r="AO55" s="10" t="e">
        <f t="shared" si="38"/>
        <v>#VALUE!</v>
      </c>
      <c r="AP55" s="10" t="e">
        <f t="shared" si="89"/>
        <v>#VALUE!</v>
      </c>
      <c r="AQ55" s="10" t="e">
        <f t="shared" si="69"/>
        <v>#VALUE!</v>
      </c>
      <c r="AR55" s="10" t="e">
        <f t="shared" si="14"/>
        <v>#VALUE!</v>
      </c>
      <c r="AS55" s="10" t="e">
        <f t="shared" si="70"/>
        <v>#VALUE!</v>
      </c>
      <c r="AU55" s="10" t="e">
        <f t="shared" si="90"/>
        <v>#VALUE!</v>
      </c>
      <c r="AV55" s="10" t="e">
        <f t="shared" si="71"/>
        <v>#VALUE!</v>
      </c>
      <c r="AW55" s="10" t="e">
        <f t="shared" si="15"/>
        <v>#VALUE!</v>
      </c>
      <c r="AX55" s="10" t="e">
        <f t="shared" si="41"/>
        <v>#VALUE!</v>
      </c>
      <c r="AY55" s="10" t="e">
        <f t="shared" si="42"/>
        <v>#VALUE!</v>
      </c>
      <c r="AZ55" s="10" t="e">
        <f t="shared" si="91"/>
        <v>#VALUE!</v>
      </c>
      <c r="BA55" s="10" t="e">
        <f t="shared" si="72"/>
        <v>#VALUE!</v>
      </c>
      <c r="BB55" s="10" t="e">
        <f t="shared" si="16"/>
        <v>#VALUE!</v>
      </c>
      <c r="BC55" s="10" t="e">
        <f t="shared" si="73"/>
        <v>#VALUE!</v>
      </c>
      <c r="BE55" s="10" t="e">
        <f t="shared" si="92"/>
        <v>#VALUE!</v>
      </c>
      <c r="BF55" s="10" t="e">
        <f t="shared" si="74"/>
        <v>#VALUE!</v>
      </c>
      <c r="BG55" s="10" t="e">
        <f t="shared" si="17"/>
        <v>#VALUE!</v>
      </c>
      <c r="BH55" s="10" t="e">
        <f t="shared" si="45"/>
        <v>#VALUE!</v>
      </c>
      <c r="BI55" s="10" t="e">
        <f t="shared" si="46"/>
        <v>#VALUE!</v>
      </c>
      <c r="BJ55" s="10" t="e">
        <f t="shared" si="93"/>
        <v>#VALUE!</v>
      </c>
      <c r="BK55" s="10" t="e">
        <f t="shared" si="75"/>
        <v>#VALUE!</v>
      </c>
      <c r="BL55" s="10" t="e">
        <f t="shared" si="18"/>
        <v>#VALUE!</v>
      </c>
      <c r="BM55" s="10" t="e">
        <f t="shared" si="76"/>
        <v>#VALUE!</v>
      </c>
      <c r="BP55" s="10" t="e">
        <f t="shared" si="77"/>
        <v>#VALUE!</v>
      </c>
      <c r="BQ55" s="10" t="e">
        <f t="shared" si="78"/>
        <v>#VALUE!</v>
      </c>
      <c r="BR55" s="10" t="e">
        <f t="shared" si="79"/>
        <v>#VALUE!</v>
      </c>
      <c r="BS55" s="10" t="e">
        <f t="shared" si="80"/>
        <v>#VALUE!</v>
      </c>
      <c r="BT55" s="10" t="e">
        <f t="shared" si="81"/>
        <v>#VALUE!</v>
      </c>
      <c r="BU55" s="10" t="e">
        <f t="shared" si="82"/>
        <v>#VALUE!</v>
      </c>
      <c r="BW55" s="10" t="e">
        <f t="shared" si="54"/>
        <v>#VALUE!</v>
      </c>
      <c r="BX55" s="10" t="e">
        <f t="shared" si="55"/>
        <v>#VALUE!</v>
      </c>
      <c r="BY55" s="10" t="e">
        <f t="shared" si="56"/>
        <v>#VALUE!</v>
      </c>
      <c r="BZ55" s="10" t="e">
        <f t="shared" si="57"/>
        <v>#VALUE!</v>
      </c>
      <c r="CA55" s="10" t="e">
        <f t="shared" si="58"/>
        <v>#VALUE!</v>
      </c>
      <c r="CB55" s="10" t="e">
        <f t="shared" si="59"/>
        <v>#VALUE!</v>
      </c>
      <c r="CD55" s="10" t="e">
        <f>MATCH(INDEX($BP$12:$BU$12,1,MATCH(BP55,$BP$15:$BU$15,0)),结果汇总!$AI$10:$AI$13,0)</f>
        <v>#VALUE!</v>
      </c>
      <c r="CE55" s="10" t="e">
        <f>MATCH(INDEX($BP$12:$BU$12,1,MATCH(BQ55,$BP$15:$BU$15,0)),结果汇总!$AI$10:$AI$13,0)</f>
        <v>#VALUE!</v>
      </c>
      <c r="CF55" s="10" t="e">
        <f>MATCH(INDEX($BP$12:$BU$12,1,MATCH(BR55,$BP$15:$BU$15,0)),结果汇总!$AI$10:$AI$13,0)</f>
        <v>#VALUE!</v>
      </c>
      <c r="CG55" s="10" t="e">
        <f>MATCH(INDEX($BP$12:$BU$12,1,MATCH(BS55,$BP$15:$BU$15,0)),结果汇总!$AI$10:$AI$13,0)</f>
        <v>#VALUE!</v>
      </c>
      <c r="CH55" s="10" t="e">
        <f>MATCH(INDEX($BP$12:$BU$12,1,MATCH(BT55,$BP$15:$BU$15,0)),结果汇总!$AI$10:$AI$13,0)</f>
        <v>#VALUE!</v>
      </c>
      <c r="CI55" s="10" t="e">
        <f>MATCH(INDEX($BP$12:$BU$12,1,MATCH(BU55,$BP$15:$BU$15,0)),结果汇总!$AI$10:$AI$13,0)</f>
        <v>#VALUE!</v>
      </c>
      <c r="CK55" s="10">
        <f t="shared" si="94"/>
        <v>0</v>
      </c>
      <c r="CL55" s="10">
        <f t="shared" si="94"/>
        <v>0</v>
      </c>
      <c r="CM55" s="10">
        <f t="shared" si="94"/>
        <v>0</v>
      </c>
      <c r="CN55" s="10">
        <f t="shared" si="94"/>
        <v>0</v>
      </c>
      <c r="CO55" s="10" t="e">
        <f t="shared" si="95"/>
        <v>#DIV/0!</v>
      </c>
      <c r="CP55" s="10" t="e">
        <f t="shared" si="95"/>
        <v>#DIV/0!</v>
      </c>
      <c r="CQ55" s="10" t="e">
        <f t="shared" si="95"/>
        <v>#DIV/0!</v>
      </c>
      <c r="CR55" s="10" t="e">
        <f t="shared" si="95"/>
        <v>#DIV/0!</v>
      </c>
      <c r="CS55" s="10">
        <f t="shared" si="96"/>
        <v>0</v>
      </c>
      <c r="CT55" s="10">
        <f t="shared" si="96"/>
        <v>0</v>
      </c>
      <c r="CU55" s="10">
        <f t="shared" si="96"/>
        <v>0</v>
      </c>
      <c r="CV55" s="10">
        <f t="shared" si="96"/>
        <v>0</v>
      </c>
      <c r="CW55" s="10">
        <f t="shared" si="97"/>
        <v>0</v>
      </c>
      <c r="CX55" s="10">
        <f t="shared" si="97"/>
        <v>0</v>
      </c>
      <c r="CY55" s="10">
        <f t="shared" si="97"/>
        <v>0</v>
      </c>
      <c r="CZ55" s="10">
        <f t="shared" si="97"/>
        <v>0</v>
      </c>
    </row>
    <row r="56" spans="4:104" x14ac:dyDescent="0.15">
      <c r="D56" s="10">
        <v>41</v>
      </c>
      <c r="E56" s="10" t="e">
        <f t="shared" si="84"/>
        <v>#VALUE!</v>
      </c>
      <c r="F56" s="10" t="e">
        <f t="shared" si="3"/>
        <v>#VALUE!</v>
      </c>
      <c r="G56" s="10" t="e">
        <f t="shared" si="4"/>
        <v>#VALUE!</v>
      </c>
      <c r="H56" s="10" t="e">
        <f t="shared" si="24"/>
        <v>#VALUE!</v>
      </c>
      <c r="I56" s="10" t="e">
        <f t="shared" si="83"/>
        <v>#VALUE!</v>
      </c>
      <c r="J56" s="10" t="e">
        <f t="shared" si="85"/>
        <v>#VALUE!</v>
      </c>
      <c r="K56" s="10" t="e">
        <f t="shared" si="6"/>
        <v>#VALUE!</v>
      </c>
      <c r="L56" s="10" t="e">
        <f t="shared" si="7"/>
        <v>#VALUE!</v>
      </c>
      <c r="M56" s="10" t="e">
        <f t="shared" si="26"/>
        <v>#VALUE!</v>
      </c>
      <c r="O56" s="10" t="e">
        <f t="shared" si="86"/>
        <v>#VALUE!</v>
      </c>
      <c r="P56" s="10" t="e">
        <f t="shared" si="8"/>
        <v>#VALUE!</v>
      </c>
      <c r="Q56" s="10" t="e">
        <f t="shared" si="9"/>
        <v>#VALUE!</v>
      </c>
      <c r="R56" s="10" t="e">
        <f t="shared" si="28"/>
        <v>#VALUE!</v>
      </c>
      <c r="S56" s="10" t="e">
        <f t="shared" si="29"/>
        <v>#VALUE!</v>
      </c>
      <c r="T56" s="10" t="e">
        <f t="shared" si="64"/>
        <v>#VALUE!</v>
      </c>
      <c r="U56" s="10" t="e">
        <f t="shared" si="65"/>
        <v>#VALUE!</v>
      </c>
      <c r="V56" s="10" t="e">
        <f t="shared" si="10"/>
        <v>#VALUE!</v>
      </c>
      <c r="W56" s="10" t="e">
        <f t="shared" si="30"/>
        <v>#VALUE!</v>
      </c>
      <c r="Y56" s="10" t="e">
        <f t="shared" si="87"/>
        <v>#VALUE!</v>
      </c>
      <c r="Z56" s="11" t="e">
        <f t="shared" si="32"/>
        <v>#VALUE!</v>
      </c>
      <c r="AA56" s="10" t="e">
        <f t="shared" si="11"/>
        <v>#VALUE!</v>
      </c>
      <c r="AB56" s="10" t="e">
        <f t="shared" si="33"/>
        <v>#VALUE!</v>
      </c>
      <c r="AC56" s="10" t="e">
        <f t="shared" si="34"/>
        <v>#VALUE!</v>
      </c>
      <c r="AD56" s="10" t="e">
        <f t="shared" si="66"/>
        <v>#VALUE!</v>
      </c>
      <c r="AE56" s="10" t="e">
        <f t="shared" si="67"/>
        <v>#VALUE!</v>
      </c>
      <c r="AF56" s="10" t="e">
        <f t="shared" si="12"/>
        <v>#VALUE!</v>
      </c>
      <c r="AG56" s="10" t="e">
        <f t="shared" si="35"/>
        <v>#VALUE!</v>
      </c>
      <c r="AI56" s="13"/>
      <c r="AK56" s="10" t="e">
        <f t="shared" si="88"/>
        <v>#VALUE!</v>
      </c>
      <c r="AL56" s="10" t="e">
        <f t="shared" si="68"/>
        <v>#VALUE!</v>
      </c>
      <c r="AM56" s="10" t="e">
        <f t="shared" si="13"/>
        <v>#VALUE!</v>
      </c>
      <c r="AN56" s="10" t="e">
        <f t="shared" si="37"/>
        <v>#VALUE!</v>
      </c>
      <c r="AO56" s="10" t="e">
        <f t="shared" si="38"/>
        <v>#VALUE!</v>
      </c>
      <c r="AP56" s="10" t="e">
        <f t="shared" si="89"/>
        <v>#VALUE!</v>
      </c>
      <c r="AQ56" s="10" t="e">
        <f t="shared" si="69"/>
        <v>#VALUE!</v>
      </c>
      <c r="AR56" s="10" t="e">
        <f t="shared" si="14"/>
        <v>#VALUE!</v>
      </c>
      <c r="AS56" s="10" t="e">
        <f t="shared" si="70"/>
        <v>#VALUE!</v>
      </c>
      <c r="AU56" s="10" t="e">
        <f t="shared" si="90"/>
        <v>#VALUE!</v>
      </c>
      <c r="AV56" s="10" t="e">
        <f t="shared" si="71"/>
        <v>#VALUE!</v>
      </c>
      <c r="AW56" s="10" t="e">
        <f t="shared" si="15"/>
        <v>#VALUE!</v>
      </c>
      <c r="AX56" s="10" t="e">
        <f t="shared" si="41"/>
        <v>#VALUE!</v>
      </c>
      <c r="AY56" s="10" t="e">
        <f t="shared" si="42"/>
        <v>#VALUE!</v>
      </c>
      <c r="AZ56" s="10" t="e">
        <f t="shared" si="91"/>
        <v>#VALUE!</v>
      </c>
      <c r="BA56" s="10" t="e">
        <f t="shared" si="72"/>
        <v>#VALUE!</v>
      </c>
      <c r="BB56" s="10" t="e">
        <f t="shared" si="16"/>
        <v>#VALUE!</v>
      </c>
      <c r="BC56" s="10" t="e">
        <f t="shared" si="73"/>
        <v>#VALUE!</v>
      </c>
      <c r="BE56" s="10" t="e">
        <f t="shared" si="92"/>
        <v>#VALUE!</v>
      </c>
      <c r="BF56" s="10" t="e">
        <f t="shared" si="74"/>
        <v>#VALUE!</v>
      </c>
      <c r="BG56" s="10" t="e">
        <f t="shared" si="17"/>
        <v>#VALUE!</v>
      </c>
      <c r="BH56" s="10" t="e">
        <f t="shared" si="45"/>
        <v>#VALUE!</v>
      </c>
      <c r="BI56" s="10" t="e">
        <f t="shared" si="46"/>
        <v>#VALUE!</v>
      </c>
      <c r="BJ56" s="10" t="e">
        <f t="shared" si="93"/>
        <v>#VALUE!</v>
      </c>
      <c r="BK56" s="10" t="e">
        <f t="shared" si="75"/>
        <v>#VALUE!</v>
      </c>
      <c r="BL56" s="10" t="e">
        <f t="shared" si="18"/>
        <v>#VALUE!</v>
      </c>
      <c r="BM56" s="10" t="e">
        <f t="shared" si="76"/>
        <v>#VALUE!</v>
      </c>
      <c r="BP56" s="10" t="e">
        <f t="shared" si="77"/>
        <v>#VALUE!</v>
      </c>
      <c r="BQ56" s="10" t="e">
        <f t="shared" si="78"/>
        <v>#VALUE!</v>
      </c>
      <c r="BR56" s="10" t="e">
        <f t="shared" si="79"/>
        <v>#VALUE!</v>
      </c>
      <c r="BS56" s="10" t="e">
        <f t="shared" si="80"/>
        <v>#VALUE!</v>
      </c>
      <c r="BT56" s="10" t="e">
        <f t="shared" si="81"/>
        <v>#VALUE!</v>
      </c>
      <c r="BU56" s="10" t="e">
        <f t="shared" si="82"/>
        <v>#VALUE!</v>
      </c>
      <c r="BW56" s="10" t="e">
        <f t="shared" si="54"/>
        <v>#VALUE!</v>
      </c>
      <c r="BX56" s="10" t="e">
        <f t="shared" si="55"/>
        <v>#VALUE!</v>
      </c>
      <c r="BY56" s="10" t="e">
        <f t="shared" si="56"/>
        <v>#VALUE!</v>
      </c>
      <c r="BZ56" s="10" t="e">
        <f t="shared" si="57"/>
        <v>#VALUE!</v>
      </c>
      <c r="CA56" s="10" t="e">
        <f t="shared" si="58"/>
        <v>#VALUE!</v>
      </c>
      <c r="CB56" s="10" t="e">
        <f t="shared" si="59"/>
        <v>#VALUE!</v>
      </c>
      <c r="CD56" s="10" t="e">
        <f>MATCH(INDEX($BP$12:$BU$12,1,MATCH(BP56,$BP$15:$BU$15,0)),结果汇总!$AI$10:$AI$13,0)</f>
        <v>#VALUE!</v>
      </c>
      <c r="CE56" s="10" t="e">
        <f>MATCH(INDEX($BP$12:$BU$12,1,MATCH(BQ56,$BP$15:$BU$15,0)),结果汇总!$AI$10:$AI$13,0)</f>
        <v>#VALUE!</v>
      </c>
      <c r="CF56" s="10" t="e">
        <f>MATCH(INDEX($BP$12:$BU$12,1,MATCH(BR56,$BP$15:$BU$15,0)),结果汇总!$AI$10:$AI$13,0)</f>
        <v>#VALUE!</v>
      </c>
      <c r="CG56" s="10" t="e">
        <f>MATCH(INDEX($BP$12:$BU$12,1,MATCH(BS56,$BP$15:$BU$15,0)),结果汇总!$AI$10:$AI$13,0)</f>
        <v>#VALUE!</v>
      </c>
      <c r="CH56" s="10" t="e">
        <f>MATCH(INDEX($BP$12:$BU$12,1,MATCH(BT56,$BP$15:$BU$15,0)),结果汇总!$AI$10:$AI$13,0)</f>
        <v>#VALUE!</v>
      </c>
      <c r="CI56" s="10" t="e">
        <f>MATCH(INDEX($BP$12:$BU$12,1,MATCH(BU56,$BP$15:$BU$15,0)),结果汇总!$AI$10:$AI$13,0)</f>
        <v>#VALUE!</v>
      </c>
      <c r="CK56" s="10">
        <f t="shared" si="94"/>
        <v>0</v>
      </c>
      <c r="CL56" s="10">
        <f t="shared" si="94"/>
        <v>0</v>
      </c>
      <c r="CM56" s="10">
        <f t="shared" si="94"/>
        <v>0</v>
      </c>
      <c r="CN56" s="10">
        <f t="shared" si="94"/>
        <v>0</v>
      </c>
      <c r="CO56" s="10" t="e">
        <f t="shared" si="95"/>
        <v>#DIV/0!</v>
      </c>
      <c r="CP56" s="10" t="e">
        <f t="shared" si="95"/>
        <v>#DIV/0!</v>
      </c>
      <c r="CQ56" s="10" t="e">
        <f t="shared" si="95"/>
        <v>#DIV/0!</v>
      </c>
      <c r="CR56" s="10" t="e">
        <f t="shared" si="95"/>
        <v>#DIV/0!</v>
      </c>
      <c r="CS56" s="10">
        <f t="shared" si="96"/>
        <v>0</v>
      </c>
      <c r="CT56" s="10">
        <f t="shared" si="96"/>
        <v>0</v>
      </c>
      <c r="CU56" s="10">
        <f t="shared" si="96"/>
        <v>0</v>
      </c>
      <c r="CV56" s="10">
        <f t="shared" si="96"/>
        <v>0</v>
      </c>
      <c r="CW56" s="10">
        <f t="shared" si="97"/>
        <v>0</v>
      </c>
      <c r="CX56" s="10">
        <f t="shared" si="97"/>
        <v>0</v>
      </c>
      <c r="CY56" s="10">
        <f t="shared" si="97"/>
        <v>0</v>
      </c>
      <c r="CZ56" s="10">
        <f t="shared" si="97"/>
        <v>0</v>
      </c>
    </row>
    <row r="57" spans="4:104" x14ac:dyDescent="0.15">
      <c r="D57" s="10">
        <v>42</v>
      </c>
      <c r="E57" s="10" t="e">
        <f t="shared" si="84"/>
        <v>#VALUE!</v>
      </c>
      <c r="F57" s="10" t="e">
        <f t="shared" si="3"/>
        <v>#VALUE!</v>
      </c>
      <c r="G57" s="10" t="e">
        <f t="shared" si="4"/>
        <v>#VALUE!</v>
      </c>
      <c r="H57" s="10" t="e">
        <f t="shared" si="24"/>
        <v>#VALUE!</v>
      </c>
      <c r="I57" s="10" t="e">
        <f t="shared" si="83"/>
        <v>#VALUE!</v>
      </c>
      <c r="J57" s="10" t="e">
        <f t="shared" si="85"/>
        <v>#VALUE!</v>
      </c>
      <c r="K57" s="10" t="e">
        <f t="shared" si="6"/>
        <v>#VALUE!</v>
      </c>
      <c r="L57" s="10" t="e">
        <f t="shared" si="7"/>
        <v>#VALUE!</v>
      </c>
      <c r="M57" s="10" t="e">
        <f t="shared" si="26"/>
        <v>#VALUE!</v>
      </c>
      <c r="O57" s="10" t="e">
        <f t="shared" si="86"/>
        <v>#VALUE!</v>
      </c>
      <c r="P57" s="10" t="e">
        <f t="shared" si="8"/>
        <v>#VALUE!</v>
      </c>
      <c r="Q57" s="10" t="e">
        <f t="shared" si="9"/>
        <v>#VALUE!</v>
      </c>
      <c r="R57" s="10" t="e">
        <f t="shared" si="28"/>
        <v>#VALUE!</v>
      </c>
      <c r="S57" s="10" t="e">
        <f t="shared" si="29"/>
        <v>#VALUE!</v>
      </c>
      <c r="T57" s="10" t="e">
        <f t="shared" si="64"/>
        <v>#VALUE!</v>
      </c>
      <c r="U57" s="10" t="e">
        <f t="shared" si="65"/>
        <v>#VALUE!</v>
      </c>
      <c r="V57" s="10" t="e">
        <f t="shared" si="10"/>
        <v>#VALUE!</v>
      </c>
      <c r="W57" s="10" t="e">
        <f t="shared" si="30"/>
        <v>#VALUE!</v>
      </c>
      <c r="Y57" s="10" t="e">
        <f t="shared" si="87"/>
        <v>#VALUE!</v>
      </c>
      <c r="Z57" s="11" t="e">
        <f t="shared" si="32"/>
        <v>#VALUE!</v>
      </c>
      <c r="AA57" s="10" t="e">
        <f t="shared" si="11"/>
        <v>#VALUE!</v>
      </c>
      <c r="AB57" s="10" t="e">
        <f t="shared" si="33"/>
        <v>#VALUE!</v>
      </c>
      <c r="AC57" s="10" t="e">
        <f t="shared" si="34"/>
        <v>#VALUE!</v>
      </c>
      <c r="AD57" s="10" t="e">
        <f t="shared" si="66"/>
        <v>#VALUE!</v>
      </c>
      <c r="AE57" s="10" t="e">
        <f t="shared" si="67"/>
        <v>#VALUE!</v>
      </c>
      <c r="AF57" s="10" t="e">
        <f t="shared" si="12"/>
        <v>#VALUE!</v>
      </c>
      <c r="AG57" s="10" t="e">
        <f t="shared" si="35"/>
        <v>#VALUE!</v>
      </c>
      <c r="AI57" s="13"/>
      <c r="AK57" s="10" t="e">
        <f t="shared" si="88"/>
        <v>#VALUE!</v>
      </c>
      <c r="AL57" s="10" t="e">
        <f t="shared" si="68"/>
        <v>#VALUE!</v>
      </c>
      <c r="AM57" s="10" t="e">
        <f t="shared" si="13"/>
        <v>#VALUE!</v>
      </c>
      <c r="AN57" s="10" t="e">
        <f t="shared" si="37"/>
        <v>#VALUE!</v>
      </c>
      <c r="AO57" s="10" t="e">
        <f t="shared" si="38"/>
        <v>#VALUE!</v>
      </c>
      <c r="AP57" s="10" t="e">
        <f t="shared" si="89"/>
        <v>#VALUE!</v>
      </c>
      <c r="AQ57" s="10" t="e">
        <f t="shared" si="69"/>
        <v>#VALUE!</v>
      </c>
      <c r="AR57" s="10" t="e">
        <f t="shared" si="14"/>
        <v>#VALUE!</v>
      </c>
      <c r="AS57" s="10" t="e">
        <f t="shared" si="70"/>
        <v>#VALUE!</v>
      </c>
      <c r="AU57" s="10" t="e">
        <f t="shared" si="90"/>
        <v>#VALUE!</v>
      </c>
      <c r="AV57" s="10" t="e">
        <f t="shared" si="71"/>
        <v>#VALUE!</v>
      </c>
      <c r="AW57" s="10" t="e">
        <f t="shared" si="15"/>
        <v>#VALUE!</v>
      </c>
      <c r="AX57" s="10" t="e">
        <f t="shared" si="41"/>
        <v>#VALUE!</v>
      </c>
      <c r="AY57" s="10" t="e">
        <f t="shared" si="42"/>
        <v>#VALUE!</v>
      </c>
      <c r="AZ57" s="10" t="e">
        <f t="shared" si="91"/>
        <v>#VALUE!</v>
      </c>
      <c r="BA57" s="10" t="e">
        <f t="shared" si="72"/>
        <v>#VALUE!</v>
      </c>
      <c r="BB57" s="10" t="e">
        <f t="shared" si="16"/>
        <v>#VALUE!</v>
      </c>
      <c r="BC57" s="10" t="e">
        <f t="shared" si="73"/>
        <v>#VALUE!</v>
      </c>
      <c r="BE57" s="10" t="e">
        <f t="shared" si="92"/>
        <v>#VALUE!</v>
      </c>
      <c r="BF57" s="10" t="e">
        <f t="shared" si="74"/>
        <v>#VALUE!</v>
      </c>
      <c r="BG57" s="10" t="e">
        <f t="shared" si="17"/>
        <v>#VALUE!</v>
      </c>
      <c r="BH57" s="10" t="e">
        <f t="shared" si="45"/>
        <v>#VALUE!</v>
      </c>
      <c r="BI57" s="10" t="e">
        <f t="shared" si="46"/>
        <v>#VALUE!</v>
      </c>
      <c r="BJ57" s="10" t="e">
        <f t="shared" si="93"/>
        <v>#VALUE!</v>
      </c>
      <c r="BK57" s="10" t="e">
        <f t="shared" si="75"/>
        <v>#VALUE!</v>
      </c>
      <c r="BL57" s="10" t="e">
        <f t="shared" si="18"/>
        <v>#VALUE!</v>
      </c>
      <c r="BM57" s="10" t="e">
        <f t="shared" si="76"/>
        <v>#VALUE!</v>
      </c>
      <c r="BP57" s="10" t="e">
        <f t="shared" si="77"/>
        <v>#VALUE!</v>
      </c>
      <c r="BQ57" s="10" t="e">
        <f t="shared" si="78"/>
        <v>#VALUE!</v>
      </c>
      <c r="BR57" s="10" t="e">
        <f t="shared" si="79"/>
        <v>#VALUE!</v>
      </c>
      <c r="BS57" s="10" t="e">
        <f t="shared" si="80"/>
        <v>#VALUE!</v>
      </c>
      <c r="BT57" s="10" t="e">
        <f t="shared" si="81"/>
        <v>#VALUE!</v>
      </c>
      <c r="BU57" s="10" t="e">
        <f t="shared" si="82"/>
        <v>#VALUE!</v>
      </c>
      <c r="BW57" s="10" t="e">
        <f t="shared" si="54"/>
        <v>#VALUE!</v>
      </c>
      <c r="BX57" s="10" t="e">
        <f t="shared" si="55"/>
        <v>#VALUE!</v>
      </c>
      <c r="BY57" s="10" t="e">
        <f t="shared" si="56"/>
        <v>#VALUE!</v>
      </c>
      <c r="BZ57" s="10" t="e">
        <f t="shared" si="57"/>
        <v>#VALUE!</v>
      </c>
      <c r="CA57" s="10" t="e">
        <f t="shared" si="58"/>
        <v>#VALUE!</v>
      </c>
      <c r="CB57" s="10" t="e">
        <f t="shared" si="59"/>
        <v>#VALUE!</v>
      </c>
      <c r="CD57" s="10" t="e">
        <f>MATCH(INDEX($BP$12:$BU$12,1,MATCH(BP57,$BP$15:$BU$15,0)),结果汇总!$AI$10:$AI$13,0)</f>
        <v>#VALUE!</v>
      </c>
      <c r="CE57" s="10" t="e">
        <f>MATCH(INDEX($BP$12:$BU$12,1,MATCH(BQ57,$BP$15:$BU$15,0)),结果汇总!$AI$10:$AI$13,0)</f>
        <v>#VALUE!</v>
      </c>
      <c r="CF57" s="10" t="e">
        <f>MATCH(INDEX($BP$12:$BU$12,1,MATCH(BR57,$BP$15:$BU$15,0)),结果汇总!$AI$10:$AI$13,0)</f>
        <v>#VALUE!</v>
      </c>
      <c r="CG57" s="10" t="e">
        <f>MATCH(INDEX($BP$12:$BU$12,1,MATCH(BS57,$BP$15:$BU$15,0)),结果汇总!$AI$10:$AI$13,0)</f>
        <v>#VALUE!</v>
      </c>
      <c r="CH57" s="10" t="e">
        <f>MATCH(INDEX($BP$12:$BU$12,1,MATCH(BT57,$BP$15:$BU$15,0)),结果汇总!$AI$10:$AI$13,0)</f>
        <v>#VALUE!</v>
      </c>
      <c r="CI57" s="10" t="e">
        <f>MATCH(INDEX($BP$12:$BU$12,1,MATCH(BU57,$BP$15:$BU$15,0)),结果汇总!$AI$10:$AI$13,0)</f>
        <v>#VALUE!</v>
      </c>
      <c r="CK57" s="10">
        <f t="shared" si="94"/>
        <v>0</v>
      </c>
      <c r="CL57" s="10">
        <f t="shared" si="94"/>
        <v>0</v>
      </c>
      <c r="CM57" s="10">
        <f t="shared" si="94"/>
        <v>0</v>
      </c>
      <c r="CN57" s="10">
        <f t="shared" si="94"/>
        <v>0</v>
      </c>
      <c r="CO57" s="10" t="e">
        <f t="shared" si="95"/>
        <v>#DIV/0!</v>
      </c>
      <c r="CP57" s="10" t="e">
        <f t="shared" si="95"/>
        <v>#DIV/0!</v>
      </c>
      <c r="CQ57" s="10" t="e">
        <f t="shared" si="95"/>
        <v>#DIV/0!</v>
      </c>
      <c r="CR57" s="10" t="e">
        <f t="shared" si="95"/>
        <v>#DIV/0!</v>
      </c>
      <c r="CS57" s="10">
        <f t="shared" si="96"/>
        <v>0</v>
      </c>
      <c r="CT57" s="10">
        <f t="shared" si="96"/>
        <v>0</v>
      </c>
      <c r="CU57" s="10">
        <f t="shared" si="96"/>
        <v>0</v>
      </c>
      <c r="CV57" s="10">
        <f t="shared" si="96"/>
        <v>0</v>
      </c>
      <c r="CW57" s="10">
        <f t="shared" si="97"/>
        <v>0</v>
      </c>
      <c r="CX57" s="10">
        <f t="shared" si="97"/>
        <v>0</v>
      </c>
      <c r="CY57" s="10">
        <f t="shared" si="97"/>
        <v>0</v>
      </c>
      <c r="CZ57" s="10">
        <f t="shared" si="97"/>
        <v>0</v>
      </c>
    </row>
    <row r="58" spans="4:104" x14ac:dyDescent="0.15">
      <c r="D58" s="10">
        <v>43</v>
      </c>
      <c r="E58" s="10" t="e">
        <f t="shared" si="84"/>
        <v>#VALUE!</v>
      </c>
      <c r="F58" s="10" t="e">
        <f t="shared" si="3"/>
        <v>#VALUE!</v>
      </c>
      <c r="G58" s="10" t="e">
        <f t="shared" si="4"/>
        <v>#VALUE!</v>
      </c>
      <c r="H58" s="10" t="e">
        <f t="shared" si="24"/>
        <v>#VALUE!</v>
      </c>
      <c r="I58" s="10" t="e">
        <f t="shared" si="83"/>
        <v>#VALUE!</v>
      </c>
      <c r="J58" s="10" t="e">
        <f t="shared" si="85"/>
        <v>#VALUE!</v>
      </c>
      <c r="K58" s="10" t="e">
        <f t="shared" si="6"/>
        <v>#VALUE!</v>
      </c>
      <c r="L58" s="10" t="e">
        <f t="shared" si="7"/>
        <v>#VALUE!</v>
      </c>
      <c r="M58" s="10" t="e">
        <f t="shared" si="26"/>
        <v>#VALUE!</v>
      </c>
      <c r="O58" s="10" t="e">
        <f t="shared" si="86"/>
        <v>#VALUE!</v>
      </c>
      <c r="P58" s="10" t="e">
        <f t="shared" si="8"/>
        <v>#VALUE!</v>
      </c>
      <c r="Q58" s="10" t="e">
        <f t="shared" si="9"/>
        <v>#VALUE!</v>
      </c>
      <c r="R58" s="10" t="e">
        <f t="shared" si="28"/>
        <v>#VALUE!</v>
      </c>
      <c r="S58" s="10" t="e">
        <f t="shared" si="29"/>
        <v>#VALUE!</v>
      </c>
      <c r="T58" s="10" t="e">
        <f t="shared" si="64"/>
        <v>#VALUE!</v>
      </c>
      <c r="U58" s="10" t="e">
        <f t="shared" si="65"/>
        <v>#VALUE!</v>
      </c>
      <c r="V58" s="10" t="e">
        <f t="shared" si="10"/>
        <v>#VALUE!</v>
      </c>
      <c r="W58" s="10" t="e">
        <f t="shared" si="30"/>
        <v>#VALUE!</v>
      </c>
      <c r="Y58" s="10" t="e">
        <f t="shared" si="87"/>
        <v>#VALUE!</v>
      </c>
      <c r="Z58" s="11" t="e">
        <f t="shared" si="32"/>
        <v>#VALUE!</v>
      </c>
      <c r="AA58" s="10" t="e">
        <f t="shared" si="11"/>
        <v>#VALUE!</v>
      </c>
      <c r="AB58" s="10" t="e">
        <f t="shared" si="33"/>
        <v>#VALUE!</v>
      </c>
      <c r="AC58" s="10" t="e">
        <f t="shared" si="34"/>
        <v>#VALUE!</v>
      </c>
      <c r="AD58" s="10" t="e">
        <f t="shared" si="66"/>
        <v>#VALUE!</v>
      </c>
      <c r="AE58" s="10" t="e">
        <f t="shared" si="67"/>
        <v>#VALUE!</v>
      </c>
      <c r="AF58" s="10" t="e">
        <f t="shared" si="12"/>
        <v>#VALUE!</v>
      </c>
      <c r="AG58" s="10" t="e">
        <f t="shared" si="35"/>
        <v>#VALUE!</v>
      </c>
      <c r="AI58" s="13"/>
      <c r="AK58" s="10" t="e">
        <f t="shared" si="88"/>
        <v>#VALUE!</v>
      </c>
      <c r="AL58" s="10" t="e">
        <f t="shared" si="68"/>
        <v>#VALUE!</v>
      </c>
      <c r="AM58" s="10" t="e">
        <f t="shared" si="13"/>
        <v>#VALUE!</v>
      </c>
      <c r="AN58" s="10" t="e">
        <f t="shared" si="37"/>
        <v>#VALUE!</v>
      </c>
      <c r="AO58" s="10" t="e">
        <f t="shared" si="38"/>
        <v>#VALUE!</v>
      </c>
      <c r="AP58" s="10" t="e">
        <f t="shared" si="89"/>
        <v>#VALUE!</v>
      </c>
      <c r="AQ58" s="10" t="e">
        <f t="shared" si="69"/>
        <v>#VALUE!</v>
      </c>
      <c r="AR58" s="10" t="e">
        <f t="shared" si="14"/>
        <v>#VALUE!</v>
      </c>
      <c r="AS58" s="10" t="e">
        <f t="shared" si="70"/>
        <v>#VALUE!</v>
      </c>
      <c r="AU58" s="10" t="e">
        <f t="shared" si="90"/>
        <v>#VALUE!</v>
      </c>
      <c r="AV58" s="10" t="e">
        <f t="shared" si="71"/>
        <v>#VALUE!</v>
      </c>
      <c r="AW58" s="10" t="e">
        <f t="shared" si="15"/>
        <v>#VALUE!</v>
      </c>
      <c r="AX58" s="10" t="e">
        <f t="shared" si="41"/>
        <v>#VALUE!</v>
      </c>
      <c r="AY58" s="10" t="e">
        <f t="shared" si="42"/>
        <v>#VALUE!</v>
      </c>
      <c r="AZ58" s="10" t="e">
        <f t="shared" si="91"/>
        <v>#VALUE!</v>
      </c>
      <c r="BA58" s="10" t="e">
        <f t="shared" si="72"/>
        <v>#VALUE!</v>
      </c>
      <c r="BB58" s="10" t="e">
        <f t="shared" si="16"/>
        <v>#VALUE!</v>
      </c>
      <c r="BC58" s="10" t="e">
        <f t="shared" si="73"/>
        <v>#VALUE!</v>
      </c>
      <c r="BE58" s="10" t="e">
        <f t="shared" si="92"/>
        <v>#VALUE!</v>
      </c>
      <c r="BF58" s="10" t="e">
        <f t="shared" si="74"/>
        <v>#VALUE!</v>
      </c>
      <c r="BG58" s="10" t="e">
        <f t="shared" si="17"/>
        <v>#VALUE!</v>
      </c>
      <c r="BH58" s="10" t="e">
        <f t="shared" si="45"/>
        <v>#VALUE!</v>
      </c>
      <c r="BI58" s="10" t="e">
        <f t="shared" si="46"/>
        <v>#VALUE!</v>
      </c>
      <c r="BJ58" s="10" t="e">
        <f t="shared" si="93"/>
        <v>#VALUE!</v>
      </c>
      <c r="BK58" s="10" t="e">
        <f t="shared" si="75"/>
        <v>#VALUE!</v>
      </c>
      <c r="BL58" s="10" t="e">
        <f t="shared" si="18"/>
        <v>#VALUE!</v>
      </c>
      <c r="BM58" s="10" t="e">
        <f t="shared" si="76"/>
        <v>#VALUE!</v>
      </c>
      <c r="BP58" s="10" t="e">
        <f t="shared" si="77"/>
        <v>#VALUE!</v>
      </c>
      <c r="BQ58" s="10" t="e">
        <f t="shared" si="78"/>
        <v>#VALUE!</v>
      </c>
      <c r="BR58" s="10" t="e">
        <f t="shared" si="79"/>
        <v>#VALUE!</v>
      </c>
      <c r="BS58" s="10" t="e">
        <f t="shared" si="80"/>
        <v>#VALUE!</v>
      </c>
      <c r="BT58" s="10" t="e">
        <f t="shared" si="81"/>
        <v>#VALUE!</v>
      </c>
      <c r="BU58" s="10" t="e">
        <f t="shared" si="82"/>
        <v>#VALUE!</v>
      </c>
      <c r="BW58" s="10" t="e">
        <f t="shared" si="54"/>
        <v>#VALUE!</v>
      </c>
      <c r="BX58" s="10" t="e">
        <f t="shared" si="55"/>
        <v>#VALUE!</v>
      </c>
      <c r="BY58" s="10" t="e">
        <f t="shared" si="56"/>
        <v>#VALUE!</v>
      </c>
      <c r="BZ58" s="10" t="e">
        <f t="shared" si="57"/>
        <v>#VALUE!</v>
      </c>
      <c r="CA58" s="10" t="e">
        <f t="shared" si="58"/>
        <v>#VALUE!</v>
      </c>
      <c r="CB58" s="10" t="e">
        <f t="shared" si="59"/>
        <v>#VALUE!</v>
      </c>
      <c r="CD58" s="10" t="e">
        <f>MATCH(INDEX($BP$12:$BU$12,1,MATCH(BP58,$BP$15:$BU$15,0)),结果汇总!$AI$10:$AI$13,0)</f>
        <v>#VALUE!</v>
      </c>
      <c r="CE58" s="10" t="e">
        <f>MATCH(INDEX($BP$12:$BU$12,1,MATCH(BQ58,$BP$15:$BU$15,0)),结果汇总!$AI$10:$AI$13,0)</f>
        <v>#VALUE!</v>
      </c>
      <c r="CF58" s="10" t="e">
        <f>MATCH(INDEX($BP$12:$BU$12,1,MATCH(BR58,$BP$15:$BU$15,0)),结果汇总!$AI$10:$AI$13,0)</f>
        <v>#VALUE!</v>
      </c>
      <c r="CG58" s="10" t="e">
        <f>MATCH(INDEX($BP$12:$BU$12,1,MATCH(BS58,$BP$15:$BU$15,0)),结果汇总!$AI$10:$AI$13,0)</f>
        <v>#VALUE!</v>
      </c>
      <c r="CH58" s="10" t="e">
        <f>MATCH(INDEX($BP$12:$BU$12,1,MATCH(BT58,$BP$15:$BU$15,0)),结果汇总!$AI$10:$AI$13,0)</f>
        <v>#VALUE!</v>
      </c>
      <c r="CI58" s="10" t="e">
        <f>MATCH(INDEX($BP$12:$BU$12,1,MATCH(BU58,$BP$15:$BU$15,0)),结果汇总!$AI$10:$AI$13,0)</f>
        <v>#VALUE!</v>
      </c>
      <c r="CK58" s="10">
        <f t="shared" si="94"/>
        <v>0</v>
      </c>
      <c r="CL58" s="10">
        <f t="shared" si="94"/>
        <v>0</v>
      </c>
      <c r="CM58" s="10">
        <f t="shared" si="94"/>
        <v>0</v>
      </c>
      <c r="CN58" s="10">
        <f t="shared" si="94"/>
        <v>0</v>
      </c>
      <c r="CO58" s="10" t="e">
        <f t="shared" si="95"/>
        <v>#DIV/0!</v>
      </c>
      <c r="CP58" s="10" t="e">
        <f t="shared" si="95"/>
        <v>#DIV/0!</v>
      </c>
      <c r="CQ58" s="10" t="e">
        <f t="shared" si="95"/>
        <v>#DIV/0!</v>
      </c>
      <c r="CR58" s="10" t="e">
        <f t="shared" si="95"/>
        <v>#DIV/0!</v>
      </c>
      <c r="CS58" s="10">
        <f t="shared" si="96"/>
        <v>0</v>
      </c>
      <c r="CT58" s="10">
        <f t="shared" si="96"/>
        <v>0</v>
      </c>
      <c r="CU58" s="10">
        <f t="shared" si="96"/>
        <v>0</v>
      </c>
      <c r="CV58" s="10">
        <f t="shared" si="96"/>
        <v>0</v>
      </c>
      <c r="CW58" s="10">
        <f t="shared" si="97"/>
        <v>0</v>
      </c>
      <c r="CX58" s="10">
        <f t="shared" si="97"/>
        <v>0</v>
      </c>
      <c r="CY58" s="10">
        <f t="shared" si="97"/>
        <v>0</v>
      </c>
      <c r="CZ58" s="10">
        <f t="shared" si="97"/>
        <v>0</v>
      </c>
    </row>
    <row r="59" spans="4:104" x14ac:dyDescent="0.15">
      <c r="D59" s="10">
        <v>44</v>
      </c>
      <c r="E59" s="10" t="e">
        <f t="shared" si="84"/>
        <v>#VALUE!</v>
      </c>
      <c r="F59" s="10" t="e">
        <f t="shared" si="3"/>
        <v>#VALUE!</v>
      </c>
      <c r="G59" s="10" t="e">
        <f t="shared" si="4"/>
        <v>#VALUE!</v>
      </c>
      <c r="H59" s="10" t="e">
        <f t="shared" si="24"/>
        <v>#VALUE!</v>
      </c>
      <c r="I59" s="10" t="e">
        <f t="shared" si="83"/>
        <v>#VALUE!</v>
      </c>
      <c r="J59" s="10" t="e">
        <f t="shared" si="85"/>
        <v>#VALUE!</v>
      </c>
      <c r="K59" s="10" t="e">
        <f t="shared" si="6"/>
        <v>#VALUE!</v>
      </c>
      <c r="L59" s="10" t="e">
        <f t="shared" si="7"/>
        <v>#VALUE!</v>
      </c>
      <c r="M59" s="10" t="e">
        <f t="shared" si="26"/>
        <v>#VALUE!</v>
      </c>
      <c r="O59" s="10" t="e">
        <f t="shared" si="86"/>
        <v>#VALUE!</v>
      </c>
      <c r="P59" s="10" t="e">
        <f t="shared" si="8"/>
        <v>#VALUE!</v>
      </c>
      <c r="Q59" s="10" t="e">
        <f t="shared" si="9"/>
        <v>#VALUE!</v>
      </c>
      <c r="R59" s="10" t="e">
        <f t="shared" si="28"/>
        <v>#VALUE!</v>
      </c>
      <c r="S59" s="10" t="e">
        <f t="shared" si="29"/>
        <v>#VALUE!</v>
      </c>
      <c r="T59" s="10" t="e">
        <f t="shared" si="64"/>
        <v>#VALUE!</v>
      </c>
      <c r="U59" s="10" t="e">
        <f t="shared" si="65"/>
        <v>#VALUE!</v>
      </c>
      <c r="V59" s="10" t="e">
        <f t="shared" si="10"/>
        <v>#VALUE!</v>
      </c>
      <c r="W59" s="10" t="e">
        <f t="shared" si="30"/>
        <v>#VALUE!</v>
      </c>
      <c r="Y59" s="10" t="e">
        <f t="shared" si="87"/>
        <v>#VALUE!</v>
      </c>
      <c r="Z59" s="11" t="e">
        <f t="shared" si="32"/>
        <v>#VALUE!</v>
      </c>
      <c r="AA59" s="10" t="e">
        <f t="shared" si="11"/>
        <v>#VALUE!</v>
      </c>
      <c r="AB59" s="10" t="e">
        <f t="shared" si="33"/>
        <v>#VALUE!</v>
      </c>
      <c r="AC59" s="10" t="e">
        <f t="shared" si="34"/>
        <v>#VALUE!</v>
      </c>
      <c r="AD59" s="10" t="e">
        <f t="shared" si="66"/>
        <v>#VALUE!</v>
      </c>
      <c r="AE59" s="10" t="e">
        <f t="shared" si="67"/>
        <v>#VALUE!</v>
      </c>
      <c r="AF59" s="10" t="e">
        <f t="shared" si="12"/>
        <v>#VALUE!</v>
      </c>
      <c r="AG59" s="10" t="e">
        <f t="shared" si="35"/>
        <v>#VALUE!</v>
      </c>
      <c r="AI59" s="13"/>
      <c r="AK59" s="10" t="e">
        <f t="shared" si="88"/>
        <v>#VALUE!</v>
      </c>
      <c r="AL59" s="10" t="e">
        <f t="shared" si="68"/>
        <v>#VALUE!</v>
      </c>
      <c r="AM59" s="10" t="e">
        <f t="shared" si="13"/>
        <v>#VALUE!</v>
      </c>
      <c r="AN59" s="10" t="e">
        <f t="shared" si="37"/>
        <v>#VALUE!</v>
      </c>
      <c r="AO59" s="10" t="e">
        <f t="shared" si="38"/>
        <v>#VALUE!</v>
      </c>
      <c r="AP59" s="10" t="e">
        <f t="shared" si="89"/>
        <v>#VALUE!</v>
      </c>
      <c r="AQ59" s="10" t="e">
        <f t="shared" si="69"/>
        <v>#VALUE!</v>
      </c>
      <c r="AR59" s="10" t="e">
        <f t="shared" si="14"/>
        <v>#VALUE!</v>
      </c>
      <c r="AS59" s="10" t="e">
        <f t="shared" si="70"/>
        <v>#VALUE!</v>
      </c>
      <c r="AU59" s="10" t="e">
        <f t="shared" si="90"/>
        <v>#VALUE!</v>
      </c>
      <c r="AV59" s="10" t="e">
        <f t="shared" si="71"/>
        <v>#VALUE!</v>
      </c>
      <c r="AW59" s="10" t="e">
        <f t="shared" si="15"/>
        <v>#VALUE!</v>
      </c>
      <c r="AX59" s="10" t="e">
        <f t="shared" si="41"/>
        <v>#VALUE!</v>
      </c>
      <c r="AY59" s="10" t="e">
        <f t="shared" si="42"/>
        <v>#VALUE!</v>
      </c>
      <c r="AZ59" s="10" t="e">
        <f t="shared" si="91"/>
        <v>#VALUE!</v>
      </c>
      <c r="BA59" s="10" t="e">
        <f t="shared" si="72"/>
        <v>#VALUE!</v>
      </c>
      <c r="BB59" s="10" t="e">
        <f t="shared" si="16"/>
        <v>#VALUE!</v>
      </c>
      <c r="BC59" s="10" t="e">
        <f t="shared" si="73"/>
        <v>#VALUE!</v>
      </c>
      <c r="BE59" s="10" t="e">
        <f t="shared" si="92"/>
        <v>#VALUE!</v>
      </c>
      <c r="BF59" s="10" t="e">
        <f t="shared" si="74"/>
        <v>#VALUE!</v>
      </c>
      <c r="BG59" s="10" t="e">
        <f t="shared" si="17"/>
        <v>#VALUE!</v>
      </c>
      <c r="BH59" s="10" t="e">
        <f t="shared" si="45"/>
        <v>#VALUE!</v>
      </c>
      <c r="BI59" s="10" t="e">
        <f t="shared" si="46"/>
        <v>#VALUE!</v>
      </c>
      <c r="BJ59" s="10" t="e">
        <f t="shared" si="93"/>
        <v>#VALUE!</v>
      </c>
      <c r="BK59" s="10" t="e">
        <f t="shared" si="75"/>
        <v>#VALUE!</v>
      </c>
      <c r="BL59" s="10" t="e">
        <f t="shared" si="18"/>
        <v>#VALUE!</v>
      </c>
      <c r="BM59" s="10" t="e">
        <f t="shared" si="76"/>
        <v>#VALUE!</v>
      </c>
      <c r="BP59" s="10" t="e">
        <f t="shared" si="77"/>
        <v>#VALUE!</v>
      </c>
      <c r="BQ59" s="10" t="e">
        <f t="shared" si="78"/>
        <v>#VALUE!</v>
      </c>
      <c r="BR59" s="10" t="e">
        <f t="shared" si="79"/>
        <v>#VALUE!</v>
      </c>
      <c r="BS59" s="10" t="e">
        <f t="shared" si="80"/>
        <v>#VALUE!</v>
      </c>
      <c r="BT59" s="10" t="e">
        <f t="shared" si="81"/>
        <v>#VALUE!</v>
      </c>
      <c r="BU59" s="10" t="e">
        <f t="shared" si="82"/>
        <v>#VALUE!</v>
      </c>
      <c r="BW59" s="10" t="e">
        <f t="shared" si="54"/>
        <v>#VALUE!</v>
      </c>
      <c r="BX59" s="10" t="e">
        <f t="shared" si="55"/>
        <v>#VALUE!</v>
      </c>
      <c r="BY59" s="10" t="e">
        <f t="shared" si="56"/>
        <v>#VALUE!</v>
      </c>
      <c r="BZ59" s="10" t="e">
        <f t="shared" si="57"/>
        <v>#VALUE!</v>
      </c>
      <c r="CA59" s="10" t="e">
        <f t="shared" si="58"/>
        <v>#VALUE!</v>
      </c>
      <c r="CB59" s="10" t="e">
        <f t="shared" si="59"/>
        <v>#VALUE!</v>
      </c>
      <c r="CD59" s="10" t="e">
        <f>MATCH(INDEX($BP$12:$BU$12,1,MATCH(BP59,$BP$15:$BU$15,0)),结果汇总!$AI$10:$AI$13,0)</f>
        <v>#VALUE!</v>
      </c>
      <c r="CE59" s="10" t="e">
        <f>MATCH(INDEX($BP$12:$BU$12,1,MATCH(BQ59,$BP$15:$BU$15,0)),结果汇总!$AI$10:$AI$13,0)</f>
        <v>#VALUE!</v>
      </c>
      <c r="CF59" s="10" t="e">
        <f>MATCH(INDEX($BP$12:$BU$12,1,MATCH(BR59,$BP$15:$BU$15,0)),结果汇总!$AI$10:$AI$13,0)</f>
        <v>#VALUE!</v>
      </c>
      <c r="CG59" s="10" t="e">
        <f>MATCH(INDEX($BP$12:$BU$12,1,MATCH(BS59,$BP$15:$BU$15,0)),结果汇总!$AI$10:$AI$13,0)</f>
        <v>#VALUE!</v>
      </c>
      <c r="CH59" s="10" t="e">
        <f>MATCH(INDEX($BP$12:$BU$12,1,MATCH(BT59,$BP$15:$BU$15,0)),结果汇总!$AI$10:$AI$13,0)</f>
        <v>#VALUE!</v>
      </c>
      <c r="CI59" s="10" t="e">
        <f>MATCH(INDEX($BP$12:$BU$12,1,MATCH(BU59,$BP$15:$BU$15,0)),结果汇总!$AI$10:$AI$13,0)</f>
        <v>#VALUE!</v>
      </c>
      <c r="CK59" s="10">
        <f t="shared" si="94"/>
        <v>0</v>
      </c>
      <c r="CL59" s="10">
        <f t="shared" si="94"/>
        <v>0</v>
      </c>
      <c r="CM59" s="10">
        <f t="shared" si="94"/>
        <v>0</v>
      </c>
      <c r="CN59" s="10">
        <f t="shared" si="94"/>
        <v>0</v>
      </c>
      <c r="CO59" s="10" t="e">
        <f t="shared" si="95"/>
        <v>#DIV/0!</v>
      </c>
      <c r="CP59" s="10" t="e">
        <f t="shared" si="95"/>
        <v>#DIV/0!</v>
      </c>
      <c r="CQ59" s="10" t="e">
        <f t="shared" si="95"/>
        <v>#DIV/0!</v>
      </c>
      <c r="CR59" s="10" t="e">
        <f t="shared" si="95"/>
        <v>#DIV/0!</v>
      </c>
      <c r="CS59" s="10">
        <f t="shared" si="96"/>
        <v>0</v>
      </c>
      <c r="CT59" s="10">
        <f t="shared" si="96"/>
        <v>0</v>
      </c>
      <c r="CU59" s="10">
        <f t="shared" si="96"/>
        <v>0</v>
      </c>
      <c r="CV59" s="10">
        <f t="shared" si="96"/>
        <v>0</v>
      </c>
      <c r="CW59" s="10">
        <f t="shared" si="97"/>
        <v>0</v>
      </c>
      <c r="CX59" s="10">
        <f t="shared" si="97"/>
        <v>0</v>
      </c>
      <c r="CY59" s="10">
        <f t="shared" si="97"/>
        <v>0</v>
      </c>
      <c r="CZ59" s="10">
        <f t="shared" si="97"/>
        <v>0</v>
      </c>
    </row>
    <row r="60" spans="4:104" x14ac:dyDescent="0.15">
      <c r="D60" s="10">
        <v>45</v>
      </c>
      <c r="E60" s="10" t="e">
        <f t="shared" si="84"/>
        <v>#VALUE!</v>
      </c>
      <c r="F60" s="10" t="e">
        <f t="shared" si="3"/>
        <v>#VALUE!</v>
      </c>
      <c r="G60" s="10" t="e">
        <f t="shared" si="4"/>
        <v>#VALUE!</v>
      </c>
      <c r="H60" s="10" t="e">
        <f t="shared" si="24"/>
        <v>#VALUE!</v>
      </c>
      <c r="I60" s="10" t="e">
        <f t="shared" si="83"/>
        <v>#VALUE!</v>
      </c>
      <c r="J60" s="10" t="e">
        <f t="shared" si="85"/>
        <v>#VALUE!</v>
      </c>
      <c r="K60" s="10" t="e">
        <f t="shared" si="6"/>
        <v>#VALUE!</v>
      </c>
      <c r="L60" s="10" t="e">
        <f t="shared" si="7"/>
        <v>#VALUE!</v>
      </c>
      <c r="M60" s="10" t="e">
        <f t="shared" si="26"/>
        <v>#VALUE!</v>
      </c>
      <c r="O60" s="10" t="e">
        <f t="shared" si="86"/>
        <v>#VALUE!</v>
      </c>
      <c r="P60" s="10" t="e">
        <f t="shared" si="8"/>
        <v>#VALUE!</v>
      </c>
      <c r="Q60" s="10" t="e">
        <f t="shared" si="9"/>
        <v>#VALUE!</v>
      </c>
      <c r="R60" s="10" t="e">
        <f t="shared" si="28"/>
        <v>#VALUE!</v>
      </c>
      <c r="S60" s="10" t="e">
        <f t="shared" si="29"/>
        <v>#VALUE!</v>
      </c>
      <c r="T60" s="10" t="e">
        <f t="shared" si="64"/>
        <v>#VALUE!</v>
      </c>
      <c r="U60" s="10" t="e">
        <f t="shared" si="65"/>
        <v>#VALUE!</v>
      </c>
      <c r="V60" s="10" t="e">
        <f t="shared" si="10"/>
        <v>#VALUE!</v>
      </c>
      <c r="W60" s="10" t="e">
        <f t="shared" si="30"/>
        <v>#VALUE!</v>
      </c>
      <c r="Y60" s="10" t="e">
        <f t="shared" si="87"/>
        <v>#VALUE!</v>
      </c>
      <c r="Z60" s="11" t="e">
        <f t="shared" si="32"/>
        <v>#VALUE!</v>
      </c>
      <c r="AA60" s="10" t="e">
        <f t="shared" si="11"/>
        <v>#VALUE!</v>
      </c>
      <c r="AB60" s="10" t="e">
        <f t="shared" si="33"/>
        <v>#VALUE!</v>
      </c>
      <c r="AC60" s="10" t="e">
        <f t="shared" si="34"/>
        <v>#VALUE!</v>
      </c>
      <c r="AD60" s="10" t="e">
        <f t="shared" si="66"/>
        <v>#VALUE!</v>
      </c>
      <c r="AE60" s="10" t="e">
        <f t="shared" si="67"/>
        <v>#VALUE!</v>
      </c>
      <c r="AF60" s="10" t="e">
        <f t="shared" si="12"/>
        <v>#VALUE!</v>
      </c>
      <c r="AG60" s="10" t="e">
        <f t="shared" si="35"/>
        <v>#VALUE!</v>
      </c>
      <c r="AI60" s="13"/>
      <c r="AK60" s="10" t="e">
        <f t="shared" si="88"/>
        <v>#VALUE!</v>
      </c>
      <c r="AL60" s="10" t="e">
        <f t="shared" si="68"/>
        <v>#VALUE!</v>
      </c>
      <c r="AM60" s="10" t="e">
        <f t="shared" si="13"/>
        <v>#VALUE!</v>
      </c>
      <c r="AN60" s="10" t="e">
        <f t="shared" si="37"/>
        <v>#VALUE!</v>
      </c>
      <c r="AO60" s="10" t="e">
        <f t="shared" si="38"/>
        <v>#VALUE!</v>
      </c>
      <c r="AP60" s="10" t="e">
        <f t="shared" si="89"/>
        <v>#VALUE!</v>
      </c>
      <c r="AQ60" s="10" t="e">
        <f t="shared" si="69"/>
        <v>#VALUE!</v>
      </c>
      <c r="AR60" s="10" t="e">
        <f t="shared" si="14"/>
        <v>#VALUE!</v>
      </c>
      <c r="AS60" s="10" t="e">
        <f t="shared" si="70"/>
        <v>#VALUE!</v>
      </c>
      <c r="AU60" s="10" t="e">
        <f t="shared" si="90"/>
        <v>#VALUE!</v>
      </c>
      <c r="AV60" s="10" t="e">
        <f t="shared" si="71"/>
        <v>#VALUE!</v>
      </c>
      <c r="AW60" s="10" t="e">
        <f t="shared" si="15"/>
        <v>#VALUE!</v>
      </c>
      <c r="AX60" s="10" t="e">
        <f t="shared" si="41"/>
        <v>#VALUE!</v>
      </c>
      <c r="AY60" s="10" t="e">
        <f t="shared" si="42"/>
        <v>#VALUE!</v>
      </c>
      <c r="AZ60" s="10" t="e">
        <f t="shared" si="91"/>
        <v>#VALUE!</v>
      </c>
      <c r="BA60" s="10" t="e">
        <f t="shared" si="72"/>
        <v>#VALUE!</v>
      </c>
      <c r="BB60" s="10" t="e">
        <f t="shared" si="16"/>
        <v>#VALUE!</v>
      </c>
      <c r="BC60" s="10" t="e">
        <f t="shared" si="73"/>
        <v>#VALUE!</v>
      </c>
      <c r="BE60" s="10" t="e">
        <f t="shared" si="92"/>
        <v>#VALUE!</v>
      </c>
      <c r="BF60" s="10" t="e">
        <f t="shared" si="74"/>
        <v>#VALUE!</v>
      </c>
      <c r="BG60" s="10" t="e">
        <f t="shared" si="17"/>
        <v>#VALUE!</v>
      </c>
      <c r="BH60" s="10" t="e">
        <f t="shared" si="45"/>
        <v>#VALUE!</v>
      </c>
      <c r="BI60" s="10" t="e">
        <f t="shared" si="46"/>
        <v>#VALUE!</v>
      </c>
      <c r="BJ60" s="10" t="e">
        <f t="shared" si="93"/>
        <v>#VALUE!</v>
      </c>
      <c r="BK60" s="10" t="e">
        <f t="shared" si="75"/>
        <v>#VALUE!</v>
      </c>
      <c r="BL60" s="10" t="e">
        <f t="shared" si="18"/>
        <v>#VALUE!</v>
      </c>
      <c r="BM60" s="10" t="e">
        <f t="shared" si="76"/>
        <v>#VALUE!</v>
      </c>
      <c r="BP60" s="10" t="e">
        <f t="shared" si="77"/>
        <v>#VALUE!</v>
      </c>
      <c r="BQ60" s="10" t="e">
        <f t="shared" si="78"/>
        <v>#VALUE!</v>
      </c>
      <c r="BR60" s="10" t="e">
        <f t="shared" si="79"/>
        <v>#VALUE!</v>
      </c>
      <c r="BS60" s="10" t="e">
        <f t="shared" si="80"/>
        <v>#VALUE!</v>
      </c>
      <c r="BT60" s="10" t="e">
        <f t="shared" si="81"/>
        <v>#VALUE!</v>
      </c>
      <c r="BU60" s="10" t="e">
        <f t="shared" si="82"/>
        <v>#VALUE!</v>
      </c>
      <c r="BW60" s="10" t="e">
        <f t="shared" si="54"/>
        <v>#VALUE!</v>
      </c>
      <c r="BX60" s="10" t="e">
        <f t="shared" si="55"/>
        <v>#VALUE!</v>
      </c>
      <c r="BY60" s="10" t="e">
        <f t="shared" si="56"/>
        <v>#VALUE!</v>
      </c>
      <c r="BZ60" s="10" t="e">
        <f t="shared" si="57"/>
        <v>#VALUE!</v>
      </c>
      <c r="CA60" s="10" t="e">
        <f t="shared" si="58"/>
        <v>#VALUE!</v>
      </c>
      <c r="CB60" s="10" t="e">
        <f t="shared" si="59"/>
        <v>#VALUE!</v>
      </c>
      <c r="CD60" s="10" t="e">
        <f>MATCH(INDEX($BP$12:$BU$12,1,MATCH(BP60,$BP$15:$BU$15,0)),结果汇总!$AI$10:$AI$13,0)</f>
        <v>#VALUE!</v>
      </c>
      <c r="CE60" s="10" t="e">
        <f>MATCH(INDEX($BP$12:$BU$12,1,MATCH(BQ60,$BP$15:$BU$15,0)),结果汇总!$AI$10:$AI$13,0)</f>
        <v>#VALUE!</v>
      </c>
      <c r="CF60" s="10" t="e">
        <f>MATCH(INDEX($BP$12:$BU$12,1,MATCH(BR60,$BP$15:$BU$15,0)),结果汇总!$AI$10:$AI$13,0)</f>
        <v>#VALUE!</v>
      </c>
      <c r="CG60" s="10" t="e">
        <f>MATCH(INDEX($BP$12:$BU$12,1,MATCH(BS60,$BP$15:$BU$15,0)),结果汇总!$AI$10:$AI$13,0)</f>
        <v>#VALUE!</v>
      </c>
      <c r="CH60" s="10" t="e">
        <f>MATCH(INDEX($BP$12:$BU$12,1,MATCH(BT60,$BP$15:$BU$15,0)),结果汇总!$AI$10:$AI$13,0)</f>
        <v>#VALUE!</v>
      </c>
      <c r="CI60" s="10" t="e">
        <f>MATCH(INDEX($BP$12:$BU$12,1,MATCH(BU60,$BP$15:$BU$15,0)),结果汇总!$AI$10:$AI$13,0)</f>
        <v>#VALUE!</v>
      </c>
      <c r="CK60" s="10">
        <f t="shared" si="94"/>
        <v>0</v>
      </c>
      <c r="CL60" s="10">
        <f t="shared" si="94"/>
        <v>0</v>
      </c>
      <c r="CM60" s="10">
        <f t="shared" si="94"/>
        <v>0</v>
      </c>
      <c r="CN60" s="10">
        <f t="shared" si="94"/>
        <v>0</v>
      </c>
      <c r="CO60" s="10" t="e">
        <f t="shared" si="95"/>
        <v>#DIV/0!</v>
      </c>
      <c r="CP60" s="10" t="e">
        <f t="shared" si="95"/>
        <v>#DIV/0!</v>
      </c>
      <c r="CQ60" s="10" t="e">
        <f t="shared" si="95"/>
        <v>#DIV/0!</v>
      </c>
      <c r="CR60" s="10" t="e">
        <f t="shared" si="95"/>
        <v>#DIV/0!</v>
      </c>
      <c r="CS60" s="10">
        <f t="shared" si="96"/>
        <v>0</v>
      </c>
      <c r="CT60" s="10">
        <f t="shared" si="96"/>
        <v>0</v>
      </c>
      <c r="CU60" s="10">
        <f t="shared" si="96"/>
        <v>0</v>
      </c>
      <c r="CV60" s="10">
        <f t="shared" si="96"/>
        <v>0</v>
      </c>
      <c r="CW60" s="10">
        <f t="shared" si="97"/>
        <v>0</v>
      </c>
      <c r="CX60" s="10">
        <f t="shared" si="97"/>
        <v>0</v>
      </c>
      <c r="CY60" s="10">
        <f t="shared" si="97"/>
        <v>0</v>
      </c>
      <c r="CZ60" s="10">
        <f t="shared" si="97"/>
        <v>0</v>
      </c>
    </row>
    <row r="61" spans="4:104" x14ac:dyDescent="0.15">
      <c r="D61" s="10">
        <v>46</v>
      </c>
      <c r="E61" s="10" t="e">
        <f t="shared" si="84"/>
        <v>#VALUE!</v>
      </c>
      <c r="F61" s="10" t="e">
        <f t="shared" si="3"/>
        <v>#VALUE!</v>
      </c>
      <c r="G61" s="10" t="e">
        <f t="shared" si="4"/>
        <v>#VALUE!</v>
      </c>
      <c r="H61" s="10" t="e">
        <f t="shared" si="24"/>
        <v>#VALUE!</v>
      </c>
      <c r="I61" s="10" t="e">
        <f t="shared" si="83"/>
        <v>#VALUE!</v>
      </c>
      <c r="J61" s="10" t="e">
        <f t="shared" si="85"/>
        <v>#VALUE!</v>
      </c>
      <c r="K61" s="10" t="e">
        <f t="shared" si="6"/>
        <v>#VALUE!</v>
      </c>
      <c r="L61" s="10" t="e">
        <f t="shared" si="7"/>
        <v>#VALUE!</v>
      </c>
      <c r="M61" s="10" t="e">
        <f t="shared" si="26"/>
        <v>#VALUE!</v>
      </c>
      <c r="O61" s="10" t="e">
        <f t="shared" si="86"/>
        <v>#VALUE!</v>
      </c>
      <c r="P61" s="10" t="e">
        <f t="shared" si="8"/>
        <v>#VALUE!</v>
      </c>
      <c r="Q61" s="10" t="e">
        <f t="shared" si="9"/>
        <v>#VALUE!</v>
      </c>
      <c r="R61" s="10" t="e">
        <f t="shared" si="28"/>
        <v>#VALUE!</v>
      </c>
      <c r="S61" s="10" t="e">
        <f t="shared" si="29"/>
        <v>#VALUE!</v>
      </c>
      <c r="T61" s="10" t="e">
        <f t="shared" si="64"/>
        <v>#VALUE!</v>
      </c>
      <c r="U61" s="10" t="e">
        <f t="shared" si="65"/>
        <v>#VALUE!</v>
      </c>
      <c r="V61" s="10" t="e">
        <f t="shared" si="10"/>
        <v>#VALUE!</v>
      </c>
      <c r="W61" s="10" t="e">
        <f t="shared" si="30"/>
        <v>#VALUE!</v>
      </c>
      <c r="Y61" s="10" t="e">
        <f t="shared" si="87"/>
        <v>#VALUE!</v>
      </c>
      <c r="Z61" s="11" t="e">
        <f t="shared" si="32"/>
        <v>#VALUE!</v>
      </c>
      <c r="AA61" s="10" t="e">
        <f t="shared" si="11"/>
        <v>#VALUE!</v>
      </c>
      <c r="AB61" s="10" t="e">
        <f t="shared" si="33"/>
        <v>#VALUE!</v>
      </c>
      <c r="AC61" s="10" t="e">
        <f t="shared" si="34"/>
        <v>#VALUE!</v>
      </c>
      <c r="AD61" s="10" t="e">
        <f t="shared" si="66"/>
        <v>#VALUE!</v>
      </c>
      <c r="AE61" s="10" t="e">
        <f t="shared" si="67"/>
        <v>#VALUE!</v>
      </c>
      <c r="AF61" s="10" t="e">
        <f t="shared" si="12"/>
        <v>#VALUE!</v>
      </c>
      <c r="AG61" s="10" t="e">
        <f t="shared" si="35"/>
        <v>#VALUE!</v>
      </c>
      <c r="AI61" s="13"/>
      <c r="AK61" s="10" t="e">
        <f t="shared" si="88"/>
        <v>#VALUE!</v>
      </c>
      <c r="AL61" s="10" t="e">
        <f t="shared" si="68"/>
        <v>#VALUE!</v>
      </c>
      <c r="AM61" s="10" t="e">
        <f t="shared" si="13"/>
        <v>#VALUE!</v>
      </c>
      <c r="AN61" s="10" t="e">
        <f t="shared" si="37"/>
        <v>#VALUE!</v>
      </c>
      <c r="AO61" s="10" t="e">
        <f t="shared" si="38"/>
        <v>#VALUE!</v>
      </c>
      <c r="AP61" s="10" t="e">
        <f t="shared" si="89"/>
        <v>#VALUE!</v>
      </c>
      <c r="AQ61" s="10" t="e">
        <f t="shared" si="69"/>
        <v>#VALUE!</v>
      </c>
      <c r="AR61" s="10" t="e">
        <f t="shared" si="14"/>
        <v>#VALUE!</v>
      </c>
      <c r="AS61" s="10" t="e">
        <f t="shared" si="70"/>
        <v>#VALUE!</v>
      </c>
      <c r="AU61" s="10" t="e">
        <f t="shared" si="90"/>
        <v>#VALUE!</v>
      </c>
      <c r="AV61" s="10" t="e">
        <f t="shared" si="71"/>
        <v>#VALUE!</v>
      </c>
      <c r="AW61" s="10" t="e">
        <f t="shared" si="15"/>
        <v>#VALUE!</v>
      </c>
      <c r="AX61" s="10" t="e">
        <f t="shared" si="41"/>
        <v>#VALUE!</v>
      </c>
      <c r="AY61" s="10" t="e">
        <f t="shared" si="42"/>
        <v>#VALUE!</v>
      </c>
      <c r="AZ61" s="10" t="e">
        <f t="shared" si="91"/>
        <v>#VALUE!</v>
      </c>
      <c r="BA61" s="10" t="e">
        <f t="shared" si="72"/>
        <v>#VALUE!</v>
      </c>
      <c r="BB61" s="10" t="e">
        <f t="shared" si="16"/>
        <v>#VALUE!</v>
      </c>
      <c r="BC61" s="10" t="e">
        <f t="shared" si="73"/>
        <v>#VALUE!</v>
      </c>
      <c r="BE61" s="10" t="e">
        <f t="shared" si="92"/>
        <v>#VALUE!</v>
      </c>
      <c r="BF61" s="10" t="e">
        <f t="shared" si="74"/>
        <v>#VALUE!</v>
      </c>
      <c r="BG61" s="10" t="e">
        <f t="shared" si="17"/>
        <v>#VALUE!</v>
      </c>
      <c r="BH61" s="10" t="e">
        <f t="shared" si="45"/>
        <v>#VALUE!</v>
      </c>
      <c r="BI61" s="10" t="e">
        <f t="shared" si="46"/>
        <v>#VALUE!</v>
      </c>
      <c r="BJ61" s="10" t="e">
        <f t="shared" si="93"/>
        <v>#VALUE!</v>
      </c>
      <c r="BK61" s="10" t="e">
        <f t="shared" si="75"/>
        <v>#VALUE!</v>
      </c>
      <c r="BL61" s="10" t="e">
        <f t="shared" si="18"/>
        <v>#VALUE!</v>
      </c>
      <c r="BM61" s="10" t="e">
        <f t="shared" si="76"/>
        <v>#VALUE!</v>
      </c>
      <c r="BP61" s="10" t="e">
        <f t="shared" si="77"/>
        <v>#VALUE!</v>
      </c>
      <c r="BQ61" s="10" t="e">
        <f t="shared" si="78"/>
        <v>#VALUE!</v>
      </c>
      <c r="BR61" s="10" t="e">
        <f t="shared" si="79"/>
        <v>#VALUE!</v>
      </c>
      <c r="BS61" s="10" t="e">
        <f t="shared" si="80"/>
        <v>#VALUE!</v>
      </c>
      <c r="BT61" s="10" t="e">
        <f t="shared" si="81"/>
        <v>#VALUE!</v>
      </c>
      <c r="BU61" s="10" t="e">
        <f t="shared" si="82"/>
        <v>#VALUE!</v>
      </c>
      <c r="BW61" s="10" t="e">
        <f t="shared" si="54"/>
        <v>#VALUE!</v>
      </c>
      <c r="BX61" s="10" t="e">
        <f t="shared" si="55"/>
        <v>#VALUE!</v>
      </c>
      <c r="BY61" s="10" t="e">
        <f t="shared" si="56"/>
        <v>#VALUE!</v>
      </c>
      <c r="BZ61" s="10" t="e">
        <f t="shared" si="57"/>
        <v>#VALUE!</v>
      </c>
      <c r="CA61" s="10" t="e">
        <f t="shared" si="58"/>
        <v>#VALUE!</v>
      </c>
      <c r="CB61" s="10" t="e">
        <f t="shared" si="59"/>
        <v>#VALUE!</v>
      </c>
      <c r="CD61" s="10" t="e">
        <f>MATCH(INDEX($BP$12:$BU$12,1,MATCH(BP61,$BP$15:$BU$15,0)),结果汇总!$AI$10:$AI$13,0)</f>
        <v>#VALUE!</v>
      </c>
      <c r="CE61" s="10" t="e">
        <f>MATCH(INDEX($BP$12:$BU$12,1,MATCH(BQ61,$BP$15:$BU$15,0)),结果汇总!$AI$10:$AI$13,0)</f>
        <v>#VALUE!</v>
      </c>
      <c r="CF61" s="10" t="e">
        <f>MATCH(INDEX($BP$12:$BU$12,1,MATCH(BR61,$BP$15:$BU$15,0)),结果汇总!$AI$10:$AI$13,0)</f>
        <v>#VALUE!</v>
      </c>
      <c r="CG61" s="10" t="e">
        <f>MATCH(INDEX($BP$12:$BU$12,1,MATCH(BS61,$BP$15:$BU$15,0)),结果汇总!$AI$10:$AI$13,0)</f>
        <v>#VALUE!</v>
      </c>
      <c r="CH61" s="10" t="e">
        <f>MATCH(INDEX($BP$12:$BU$12,1,MATCH(BT61,$BP$15:$BU$15,0)),结果汇总!$AI$10:$AI$13,0)</f>
        <v>#VALUE!</v>
      </c>
      <c r="CI61" s="10" t="e">
        <f>MATCH(INDEX($BP$12:$BU$12,1,MATCH(BU61,$BP$15:$BU$15,0)),结果汇总!$AI$10:$AI$13,0)</f>
        <v>#VALUE!</v>
      </c>
      <c r="CK61" s="10">
        <f t="shared" si="94"/>
        <v>0</v>
      </c>
      <c r="CL61" s="10">
        <f t="shared" si="94"/>
        <v>0</v>
      </c>
      <c r="CM61" s="10">
        <f t="shared" si="94"/>
        <v>0</v>
      </c>
      <c r="CN61" s="10">
        <f t="shared" si="94"/>
        <v>0</v>
      </c>
      <c r="CO61" s="10" t="e">
        <f t="shared" si="95"/>
        <v>#DIV/0!</v>
      </c>
      <c r="CP61" s="10" t="e">
        <f t="shared" si="95"/>
        <v>#DIV/0!</v>
      </c>
      <c r="CQ61" s="10" t="e">
        <f t="shared" si="95"/>
        <v>#DIV/0!</v>
      </c>
      <c r="CR61" s="10" t="e">
        <f t="shared" si="95"/>
        <v>#DIV/0!</v>
      </c>
      <c r="CS61" s="10">
        <f t="shared" si="96"/>
        <v>0</v>
      </c>
      <c r="CT61" s="10">
        <f t="shared" si="96"/>
        <v>0</v>
      </c>
      <c r="CU61" s="10">
        <f t="shared" si="96"/>
        <v>0</v>
      </c>
      <c r="CV61" s="10">
        <f t="shared" si="96"/>
        <v>0</v>
      </c>
      <c r="CW61" s="10">
        <f t="shared" si="97"/>
        <v>0</v>
      </c>
      <c r="CX61" s="10">
        <f t="shared" si="97"/>
        <v>0</v>
      </c>
      <c r="CY61" s="10">
        <f t="shared" si="97"/>
        <v>0</v>
      </c>
      <c r="CZ61" s="10">
        <f t="shared" si="97"/>
        <v>0</v>
      </c>
    </row>
    <row r="62" spans="4:104" x14ac:dyDescent="0.15">
      <c r="D62" s="10">
        <v>47</v>
      </c>
      <c r="E62" s="10" t="e">
        <f t="shared" si="84"/>
        <v>#VALUE!</v>
      </c>
      <c r="F62" s="10" t="e">
        <f t="shared" si="3"/>
        <v>#VALUE!</v>
      </c>
      <c r="G62" s="10" t="e">
        <f t="shared" si="4"/>
        <v>#VALUE!</v>
      </c>
      <c r="H62" s="10" t="e">
        <f t="shared" si="24"/>
        <v>#VALUE!</v>
      </c>
      <c r="I62" s="10" t="e">
        <f t="shared" si="83"/>
        <v>#VALUE!</v>
      </c>
      <c r="J62" s="10" t="e">
        <f t="shared" si="85"/>
        <v>#VALUE!</v>
      </c>
      <c r="K62" s="10" t="e">
        <f t="shared" si="6"/>
        <v>#VALUE!</v>
      </c>
      <c r="L62" s="10" t="e">
        <f t="shared" si="7"/>
        <v>#VALUE!</v>
      </c>
      <c r="M62" s="10" t="e">
        <f t="shared" si="26"/>
        <v>#VALUE!</v>
      </c>
      <c r="O62" s="10" t="e">
        <f t="shared" si="86"/>
        <v>#VALUE!</v>
      </c>
      <c r="P62" s="10" t="e">
        <f t="shared" si="8"/>
        <v>#VALUE!</v>
      </c>
      <c r="Q62" s="10" t="e">
        <f t="shared" si="9"/>
        <v>#VALUE!</v>
      </c>
      <c r="R62" s="10" t="e">
        <f t="shared" si="28"/>
        <v>#VALUE!</v>
      </c>
      <c r="S62" s="10" t="e">
        <f t="shared" si="29"/>
        <v>#VALUE!</v>
      </c>
      <c r="T62" s="10" t="e">
        <f t="shared" si="64"/>
        <v>#VALUE!</v>
      </c>
      <c r="U62" s="10" t="e">
        <f t="shared" si="65"/>
        <v>#VALUE!</v>
      </c>
      <c r="V62" s="10" t="e">
        <f t="shared" si="10"/>
        <v>#VALUE!</v>
      </c>
      <c r="W62" s="10" t="e">
        <f t="shared" si="30"/>
        <v>#VALUE!</v>
      </c>
      <c r="Y62" s="10" t="e">
        <f t="shared" si="87"/>
        <v>#VALUE!</v>
      </c>
      <c r="Z62" s="11" t="e">
        <f t="shared" si="32"/>
        <v>#VALUE!</v>
      </c>
      <c r="AA62" s="10" t="e">
        <f t="shared" si="11"/>
        <v>#VALUE!</v>
      </c>
      <c r="AB62" s="10" t="e">
        <f t="shared" si="33"/>
        <v>#VALUE!</v>
      </c>
      <c r="AC62" s="10" t="e">
        <f t="shared" si="34"/>
        <v>#VALUE!</v>
      </c>
      <c r="AD62" s="10" t="e">
        <f t="shared" si="66"/>
        <v>#VALUE!</v>
      </c>
      <c r="AE62" s="10" t="e">
        <f t="shared" si="67"/>
        <v>#VALUE!</v>
      </c>
      <c r="AF62" s="10" t="e">
        <f t="shared" si="12"/>
        <v>#VALUE!</v>
      </c>
      <c r="AG62" s="10" t="e">
        <f t="shared" si="35"/>
        <v>#VALUE!</v>
      </c>
      <c r="AI62" s="13"/>
      <c r="AK62" s="10" t="e">
        <f t="shared" si="88"/>
        <v>#VALUE!</v>
      </c>
      <c r="AL62" s="10" t="e">
        <f t="shared" si="68"/>
        <v>#VALUE!</v>
      </c>
      <c r="AM62" s="10" t="e">
        <f t="shared" si="13"/>
        <v>#VALUE!</v>
      </c>
      <c r="AN62" s="10" t="e">
        <f t="shared" si="37"/>
        <v>#VALUE!</v>
      </c>
      <c r="AO62" s="10" t="e">
        <f t="shared" si="38"/>
        <v>#VALUE!</v>
      </c>
      <c r="AP62" s="10" t="e">
        <f t="shared" si="89"/>
        <v>#VALUE!</v>
      </c>
      <c r="AQ62" s="10" t="e">
        <f t="shared" si="69"/>
        <v>#VALUE!</v>
      </c>
      <c r="AR62" s="10" t="e">
        <f t="shared" si="14"/>
        <v>#VALUE!</v>
      </c>
      <c r="AS62" s="10" t="e">
        <f t="shared" si="70"/>
        <v>#VALUE!</v>
      </c>
      <c r="AU62" s="10" t="e">
        <f t="shared" si="90"/>
        <v>#VALUE!</v>
      </c>
      <c r="AV62" s="10" t="e">
        <f t="shared" si="71"/>
        <v>#VALUE!</v>
      </c>
      <c r="AW62" s="10" t="e">
        <f t="shared" si="15"/>
        <v>#VALUE!</v>
      </c>
      <c r="AX62" s="10" t="e">
        <f t="shared" si="41"/>
        <v>#VALUE!</v>
      </c>
      <c r="AY62" s="10" t="e">
        <f t="shared" si="42"/>
        <v>#VALUE!</v>
      </c>
      <c r="AZ62" s="10" t="e">
        <f t="shared" si="91"/>
        <v>#VALUE!</v>
      </c>
      <c r="BA62" s="10" t="e">
        <f t="shared" si="72"/>
        <v>#VALUE!</v>
      </c>
      <c r="BB62" s="10" t="e">
        <f t="shared" si="16"/>
        <v>#VALUE!</v>
      </c>
      <c r="BC62" s="10" t="e">
        <f t="shared" si="73"/>
        <v>#VALUE!</v>
      </c>
      <c r="BE62" s="10" t="e">
        <f t="shared" si="92"/>
        <v>#VALUE!</v>
      </c>
      <c r="BF62" s="10" t="e">
        <f t="shared" si="74"/>
        <v>#VALUE!</v>
      </c>
      <c r="BG62" s="10" t="e">
        <f t="shared" si="17"/>
        <v>#VALUE!</v>
      </c>
      <c r="BH62" s="10" t="e">
        <f t="shared" si="45"/>
        <v>#VALUE!</v>
      </c>
      <c r="BI62" s="10" t="e">
        <f t="shared" si="46"/>
        <v>#VALUE!</v>
      </c>
      <c r="BJ62" s="10" t="e">
        <f t="shared" si="93"/>
        <v>#VALUE!</v>
      </c>
      <c r="BK62" s="10" t="e">
        <f t="shared" si="75"/>
        <v>#VALUE!</v>
      </c>
      <c r="BL62" s="10" t="e">
        <f t="shared" si="18"/>
        <v>#VALUE!</v>
      </c>
      <c r="BM62" s="10" t="e">
        <f t="shared" si="76"/>
        <v>#VALUE!</v>
      </c>
      <c r="BP62" s="10" t="e">
        <f t="shared" si="77"/>
        <v>#VALUE!</v>
      </c>
      <c r="BQ62" s="10" t="e">
        <f t="shared" si="78"/>
        <v>#VALUE!</v>
      </c>
      <c r="BR62" s="10" t="e">
        <f t="shared" si="79"/>
        <v>#VALUE!</v>
      </c>
      <c r="BS62" s="10" t="e">
        <f t="shared" si="80"/>
        <v>#VALUE!</v>
      </c>
      <c r="BT62" s="10" t="e">
        <f t="shared" si="81"/>
        <v>#VALUE!</v>
      </c>
      <c r="BU62" s="10" t="e">
        <f t="shared" si="82"/>
        <v>#VALUE!</v>
      </c>
      <c r="BW62" s="10" t="e">
        <f t="shared" si="54"/>
        <v>#VALUE!</v>
      </c>
      <c r="BX62" s="10" t="e">
        <f t="shared" si="55"/>
        <v>#VALUE!</v>
      </c>
      <c r="BY62" s="10" t="e">
        <f t="shared" si="56"/>
        <v>#VALUE!</v>
      </c>
      <c r="BZ62" s="10" t="e">
        <f t="shared" si="57"/>
        <v>#VALUE!</v>
      </c>
      <c r="CA62" s="10" t="e">
        <f t="shared" si="58"/>
        <v>#VALUE!</v>
      </c>
      <c r="CB62" s="10" t="e">
        <f t="shared" si="59"/>
        <v>#VALUE!</v>
      </c>
      <c r="CD62" s="10" t="e">
        <f>MATCH(INDEX($BP$12:$BU$12,1,MATCH(BP62,$BP$15:$BU$15,0)),结果汇总!$AI$10:$AI$13,0)</f>
        <v>#VALUE!</v>
      </c>
      <c r="CE62" s="10" t="e">
        <f>MATCH(INDEX($BP$12:$BU$12,1,MATCH(BQ62,$BP$15:$BU$15,0)),结果汇总!$AI$10:$AI$13,0)</f>
        <v>#VALUE!</v>
      </c>
      <c r="CF62" s="10" t="e">
        <f>MATCH(INDEX($BP$12:$BU$12,1,MATCH(BR62,$BP$15:$BU$15,0)),结果汇总!$AI$10:$AI$13,0)</f>
        <v>#VALUE!</v>
      </c>
      <c r="CG62" s="10" t="e">
        <f>MATCH(INDEX($BP$12:$BU$12,1,MATCH(BS62,$BP$15:$BU$15,0)),结果汇总!$AI$10:$AI$13,0)</f>
        <v>#VALUE!</v>
      </c>
      <c r="CH62" s="10" t="e">
        <f>MATCH(INDEX($BP$12:$BU$12,1,MATCH(BT62,$BP$15:$BU$15,0)),结果汇总!$AI$10:$AI$13,0)</f>
        <v>#VALUE!</v>
      </c>
      <c r="CI62" s="10" t="e">
        <f>MATCH(INDEX($BP$12:$BU$12,1,MATCH(BU62,$BP$15:$BU$15,0)),结果汇总!$AI$10:$AI$13,0)</f>
        <v>#VALUE!</v>
      </c>
      <c r="CK62" s="10">
        <f t="shared" si="94"/>
        <v>0</v>
      </c>
      <c r="CL62" s="10">
        <f t="shared" si="94"/>
        <v>0</v>
      </c>
      <c r="CM62" s="10">
        <f t="shared" si="94"/>
        <v>0</v>
      </c>
      <c r="CN62" s="10">
        <f t="shared" si="94"/>
        <v>0</v>
      </c>
      <c r="CO62" s="10" t="e">
        <f t="shared" si="95"/>
        <v>#DIV/0!</v>
      </c>
      <c r="CP62" s="10" t="e">
        <f t="shared" si="95"/>
        <v>#DIV/0!</v>
      </c>
      <c r="CQ62" s="10" t="e">
        <f t="shared" si="95"/>
        <v>#DIV/0!</v>
      </c>
      <c r="CR62" s="10" t="e">
        <f t="shared" si="95"/>
        <v>#DIV/0!</v>
      </c>
      <c r="CS62" s="10">
        <f t="shared" si="96"/>
        <v>0</v>
      </c>
      <c r="CT62" s="10">
        <f t="shared" si="96"/>
        <v>0</v>
      </c>
      <c r="CU62" s="10">
        <f t="shared" si="96"/>
        <v>0</v>
      </c>
      <c r="CV62" s="10">
        <f t="shared" si="96"/>
        <v>0</v>
      </c>
      <c r="CW62" s="10">
        <f t="shared" si="97"/>
        <v>0</v>
      </c>
      <c r="CX62" s="10">
        <f t="shared" si="97"/>
        <v>0</v>
      </c>
      <c r="CY62" s="10">
        <f t="shared" si="97"/>
        <v>0</v>
      </c>
      <c r="CZ62" s="10">
        <f t="shared" si="97"/>
        <v>0</v>
      </c>
    </row>
    <row r="63" spans="4:104" x14ac:dyDescent="0.15">
      <c r="D63" s="10">
        <v>48</v>
      </c>
      <c r="E63" s="10" t="e">
        <f t="shared" si="84"/>
        <v>#VALUE!</v>
      </c>
      <c r="F63" s="10" t="e">
        <f t="shared" si="3"/>
        <v>#VALUE!</v>
      </c>
      <c r="G63" s="10" t="e">
        <f t="shared" si="4"/>
        <v>#VALUE!</v>
      </c>
      <c r="H63" s="10" t="e">
        <f t="shared" si="24"/>
        <v>#VALUE!</v>
      </c>
      <c r="I63" s="10" t="e">
        <f t="shared" si="83"/>
        <v>#VALUE!</v>
      </c>
      <c r="J63" s="10" t="e">
        <f t="shared" si="85"/>
        <v>#VALUE!</v>
      </c>
      <c r="K63" s="10" t="e">
        <f t="shared" si="6"/>
        <v>#VALUE!</v>
      </c>
      <c r="L63" s="10" t="e">
        <f t="shared" si="7"/>
        <v>#VALUE!</v>
      </c>
      <c r="M63" s="10" t="e">
        <f t="shared" si="26"/>
        <v>#VALUE!</v>
      </c>
      <c r="O63" s="10" t="e">
        <f t="shared" si="86"/>
        <v>#VALUE!</v>
      </c>
      <c r="P63" s="10" t="e">
        <f t="shared" si="8"/>
        <v>#VALUE!</v>
      </c>
      <c r="Q63" s="10" t="e">
        <f t="shared" si="9"/>
        <v>#VALUE!</v>
      </c>
      <c r="R63" s="10" t="e">
        <f t="shared" si="28"/>
        <v>#VALUE!</v>
      </c>
      <c r="S63" s="10" t="e">
        <f t="shared" si="29"/>
        <v>#VALUE!</v>
      </c>
      <c r="T63" s="10" t="e">
        <f t="shared" si="64"/>
        <v>#VALUE!</v>
      </c>
      <c r="U63" s="10" t="e">
        <f t="shared" si="65"/>
        <v>#VALUE!</v>
      </c>
      <c r="V63" s="10" t="e">
        <f t="shared" si="10"/>
        <v>#VALUE!</v>
      </c>
      <c r="W63" s="10" t="e">
        <f t="shared" si="30"/>
        <v>#VALUE!</v>
      </c>
      <c r="Y63" s="10" t="e">
        <f t="shared" si="87"/>
        <v>#VALUE!</v>
      </c>
      <c r="Z63" s="11" t="e">
        <f t="shared" si="32"/>
        <v>#VALUE!</v>
      </c>
      <c r="AA63" s="10" t="e">
        <f t="shared" si="11"/>
        <v>#VALUE!</v>
      </c>
      <c r="AB63" s="10" t="e">
        <f t="shared" si="33"/>
        <v>#VALUE!</v>
      </c>
      <c r="AC63" s="10" t="e">
        <f t="shared" si="34"/>
        <v>#VALUE!</v>
      </c>
      <c r="AD63" s="10" t="e">
        <f t="shared" si="66"/>
        <v>#VALUE!</v>
      </c>
      <c r="AE63" s="10" t="e">
        <f t="shared" si="67"/>
        <v>#VALUE!</v>
      </c>
      <c r="AF63" s="10" t="e">
        <f t="shared" si="12"/>
        <v>#VALUE!</v>
      </c>
      <c r="AG63" s="10" t="e">
        <f t="shared" si="35"/>
        <v>#VALUE!</v>
      </c>
      <c r="AI63" s="13"/>
      <c r="AK63" s="10" t="e">
        <f t="shared" si="88"/>
        <v>#VALUE!</v>
      </c>
      <c r="AL63" s="10" t="e">
        <f t="shared" si="68"/>
        <v>#VALUE!</v>
      </c>
      <c r="AM63" s="10" t="e">
        <f t="shared" si="13"/>
        <v>#VALUE!</v>
      </c>
      <c r="AN63" s="10" t="e">
        <f t="shared" si="37"/>
        <v>#VALUE!</v>
      </c>
      <c r="AO63" s="10" t="e">
        <f t="shared" si="38"/>
        <v>#VALUE!</v>
      </c>
      <c r="AP63" s="10" t="e">
        <f t="shared" si="89"/>
        <v>#VALUE!</v>
      </c>
      <c r="AQ63" s="10" t="e">
        <f t="shared" si="69"/>
        <v>#VALUE!</v>
      </c>
      <c r="AR63" s="10" t="e">
        <f t="shared" si="14"/>
        <v>#VALUE!</v>
      </c>
      <c r="AS63" s="10" t="e">
        <f t="shared" si="70"/>
        <v>#VALUE!</v>
      </c>
      <c r="AU63" s="10" t="e">
        <f t="shared" si="90"/>
        <v>#VALUE!</v>
      </c>
      <c r="AV63" s="10" t="e">
        <f t="shared" si="71"/>
        <v>#VALUE!</v>
      </c>
      <c r="AW63" s="10" t="e">
        <f t="shared" si="15"/>
        <v>#VALUE!</v>
      </c>
      <c r="AX63" s="10" t="e">
        <f t="shared" si="41"/>
        <v>#VALUE!</v>
      </c>
      <c r="AY63" s="10" t="e">
        <f t="shared" si="42"/>
        <v>#VALUE!</v>
      </c>
      <c r="AZ63" s="10" t="e">
        <f t="shared" si="91"/>
        <v>#VALUE!</v>
      </c>
      <c r="BA63" s="10" t="e">
        <f t="shared" si="72"/>
        <v>#VALUE!</v>
      </c>
      <c r="BB63" s="10" t="e">
        <f t="shared" si="16"/>
        <v>#VALUE!</v>
      </c>
      <c r="BC63" s="10" t="e">
        <f t="shared" si="73"/>
        <v>#VALUE!</v>
      </c>
      <c r="BE63" s="10" t="e">
        <f t="shared" si="92"/>
        <v>#VALUE!</v>
      </c>
      <c r="BF63" s="10" t="e">
        <f t="shared" si="74"/>
        <v>#VALUE!</v>
      </c>
      <c r="BG63" s="10" t="e">
        <f t="shared" si="17"/>
        <v>#VALUE!</v>
      </c>
      <c r="BH63" s="10" t="e">
        <f t="shared" si="45"/>
        <v>#VALUE!</v>
      </c>
      <c r="BI63" s="10" t="e">
        <f t="shared" si="46"/>
        <v>#VALUE!</v>
      </c>
      <c r="BJ63" s="10" t="e">
        <f t="shared" si="93"/>
        <v>#VALUE!</v>
      </c>
      <c r="BK63" s="10" t="e">
        <f t="shared" si="75"/>
        <v>#VALUE!</v>
      </c>
      <c r="BL63" s="10" t="e">
        <f t="shared" si="18"/>
        <v>#VALUE!</v>
      </c>
      <c r="BM63" s="10" t="e">
        <f t="shared" si="76"/>
        <v>#VALUE!</v>
      </c>
      <c r="BP63" s="10" t="e">
        <f t="shared" si="77"/>
        <v>#VALUE!</v>
      </c>
      <c r="BQ63" s="10" t="e">
        <f t="shared" si="78"/>
        <v>#VALUE!</v>
      </c>
      <c r="BR63" s="10" t="e">
        <f t="shared" si="79"/>
        <v>#VALUE!</v>
      </c>
      <c r="BS63" s="10" t="e">
        <f t="shared" si="80"/>
        <v>#VALUE!</v>
      </c>
      <c r="BT63" s="10" t="e">
        <f t="shared" si="81"/>
        <v>#VALUE!</v>
      </c>
      <c r="BU63" s="10" t="e">
        <f t="shared" si="82"/>
        <v>#VALUE!</v>
      </c>
      <c r="BW63" s="10" t="e">
        <f t="shared" si="54"/>
        <v>#VALUE!</v>
      </c>
      <c r="BX63" s="10" t="e">
        <f t="shared" si="55"/>
        <v>#VALUE!</v>
      </c>
      <c r="BY63" s="10" t="e">
        <f t="shared" si="56"/>
        <v>#VALUE!</v>
      </c>
      <c r="BZ63" s="10" t="e">
        <f t="shared" si="57"/>
        <v>#VALUE!</v>
      </c>
      <c r="CA63" s="10" t="e">
        <f t="shared" si="58"/>
        <v>#VALUE!</v>
      </c>
      <c r="CB63" s="10" t="e">
        <f t="shared" si="59"/>
        <v>#VALUE!</v>
      </c>
      <c r="CD63" s="10" t="e">
        <f>MATCH(INDEX($BP$12:$BU$12,1,MATCH(BP63,$BP$15:$BU$15,0)),结果汇总!$AI$10:$AI$13,0)</f>
        <v>#VALUE!</v>
      </c>
      <c r="CE63" s="10" t="e">
        <f>MATCH(INDEX($BP$12:$BU$12,1,MATCH(BQ63,$BP$15:$BU$15,0)),结果汇总!$AI$10:$AI$13,0)</f>
        <v>#VALUE!</v>
      </c>
      <c r="CF63" s="10" t="e">
        <f>MATCH(INDEX($BP$12:$BU$12,1,MATCH(BR63,$BP$15:$BU$15,0)),结果汇总!$AI$10:$AI$13,0)</f>
        <v>#VALUE!</v>
      </c>
      <c r="CG63" s="10" t="e">
        <f>MATCH(INDEX($BP$12:$BU$12,1,MATCH(BS63,$BP$15:$BU$15,0)),结果汇总!$AI$10:$AI$13,0)</f>
        <v>#VALUE!</v>
      </c>
      <c r="CH63" s="10" t="e">
        <f>MATCH(INDEX($BP$12:$BU$12,1,MATCH(BT63,$BP$15:$BU$15,0)),结果汇总!$AI$10:$AI$13,0)</f>
        <v>#VALUE!</v>
      </c>
      <c r="CI63" s="10" t="e">
        <f>MATCH(INDEX($BP$12:$BU$12,1,MATCH(BU63,$BP$15:$BU$15,0)),结果汇总!$AI$10:$AI$13,0)</f>
        <v>#VALUE!</v>
      </c>
      <c r="CK63" s="10">
        <f t="shared" si="94"/>
        <v>0</v>
      </c>
      <c r="CL63" s="10">
        <f t="shared" si="94"/>
        <v>0</v>
      </c>
      <c r="CM63" s="10">
        <f t="shared" si="94"/>
        <v>0</v>
      </c>
      <c r="CN63" s="10">
        <f t="shared" si="94"/>
        <v>0</v>
      </c>
      <c r="CO63" s="10" t="e">
        <f t="shared" si="95"/>
        <v>#DIV/0!</v>
      </c>
      <c r="CP63" s="10" t="e">
        <f t="shared" si="95"/>
        <v>#DIV/0!</v>
      </c>
      <c r="CQ63" s="10" t="e">
        <f t="shared" si="95"/>
        <v>#DIV/0!</v>
      </c>
      <c r="CR63" s="10" t="e">
        <f t="shared" si="95"/>
        <v>#DIV/0!</v>
      </c>
      <c r="CS63" s="10">
        <f t="shared" si="96"/>
        <v>0</v>
      </c>
      <c r="CT63" s="10">
        <f t="shared" si="96"/>
        <v>0</v>
      </c>
      <c r="CU63" s="10">
        <f t="shared" si="96"/>
        <v>0</v>
      </c>
      <c r="CV63" s="10">
        <f t="shared" si="96"/>
        <v>0</v>
      </c>
      <c r="CW63" s="10">
        <f t="shared" si="97"/>
        <v>0</v>
      </c>
      <c r="CX63" s="10">
        <f t="shared" si="97"/>
        <v>0</v>
      </c>
      <c r="CY63" s="10">
        <f t="shared" si="97"/>
        <v>0</v>
      </c>
      <c r="CZ63" s="10">
        <f t="shared" si="97"/>
        <v>0</v>
      </c>
    </row>
    <row r="64" spans="4:104" x14ac:dyDescent="0.15">
      <c r="D64" s="10">
        <v>49</v>
      </c>
      <c r="E64" s="10" t="e">
        <f t="shared" si="84"/>
        <v>#VALUE!</v>
      </c>
      <c r="F64" s="10" t="e">
        <f t="shared" si="3"/>
        <v>#VALUE!</v>
      </c>
      <c r="G64" s="10" t="e">
        <f t="shared" si="4"/>
        <v>#VALUE!</v>
      </c>
      <c r="H64" s="10" t="e">
        <f t="shared" si="24"/>
        <v>#VALUE!</v>
      </c>
      <c r="I64" s="10" t="e">
        <f t="shared" si="83"/>
        <v>#VALUE!</v>
      </c>
      <c r="J64" s="10" t="e">
        <f t="shared" si="85"/>
        <v>#VALUE!</v>
      </c>
      <c r="K64" s="10" t="e">
        <f t="shared" si="6"/>
        <v>#VALUE!</v>
      </c>
      <c r="L64" s="10" t="e">
        <f t="shared" si="7"/>
        <v>#VALUE!</v>
      </c>
      <c r="M64" s="10" t="e">
        <f t="shared" si="26"/>
        <v>#VALUE!</v>
      </c>
      <c r="O64" s="10" t="e">
        <f t="shared" si="86"/>
        <v>#VALUE!</v>
      </c>
      <c r="P64" s="10" t="e">
        <f t="shared" si="8"/>
        <v>#VALUE!</v>
      </c>
      <c r="Q64" s="10" t="e">
        <f t="shared" si="9"/>
        <v>#VALUE!</v>
      </c>
      <c r="R64" s="10" t="e">
        <f t="shared" si="28"/>
        <v>#VALUE!</v>
      </c>
      <c r="S64" s="10" t="e">
        <f t="shared" si="29"/>
        <v>#VALUE!</v>
      </c>
      <c r="T64" s="10" t="e">
        <f t="shared" si="64"/>
        <v>#VALUE!</v>
      </c>
      <c r="U64" s="10" t="e">
        <f t="shared" si="65"/>
        <v>#VALUE!</v>
      </c>
      <c r="V64" s="10" t="e">
        <f t="shared" si="10"/>
        <v>#VALUE!</v>
      </c>
      <c r="W64" s="10" t="e">
        <f t="shared" si="30"/>
        <v>#VALUE!</v>
      </c>
      <c r="Y64" s="10" t="e">
        <f t="shared" si="87"/>
        <v>#VALUE!</v>
      </c>
      <c r="Z64" s="11" t="e">
        <f t="shared" si="32"/>
        <v>#VALUE!</v>
      </c>
      <c r="AA64" s="10" t="e">
        <f t="shared" si="11"/>
        <v>#VALUE!</v>
      </c>
      <c r="AB64" s="10" t="e">
        <f t="shared" si="33"/>
        <v>#VALUE!</v>
      </c>
      <c r="AC64" s="10" t="e">
        <f t="shared" si="34"/>
        <v>#VALUE!</v>
      </c>
      <c r="AD64" s="10" t="e">
        <f t="shared" si="66"/>
        <v>#VALUE!</v>
      </c>
      <c r="AE64" s="10" t="e">
        <f t="shared" si="67"/>
        <v>#VALUE!</v>
      </c>
      <c r="AF64" s="10" t="e">
        <f t="shared" si="12"/>
        <v>#VALUE!</v>
      </c>
      <c r="AG64" s="10" t="e">
        <f t="shared" si="35"/>
        <v>#VALUE!</v>
      </c>
      <c r="AI64" s="13"/>
      <c r="AK64" s="10" t="e">
        <f t="shared" si="88"/>
        <v>#VALUE!</v>
      </c>
      <c r="AL64" s="10" t="e">
        <f t="shared" si="68"/>
        <v>#VALUE!</v>
      </c>
      <c r="AM64" s="10" t="e">
        <f t="shared" si="13"/>
        <v>#VALUE!</v>
      </c>
      <c r="AN64" s="10" t="e">
        <f t="shared" si="37"/>
        <v>#VALUE!</v>
      </c>
      <c r="AO64" s="10" t="e">
        <f t="shared" si="38"/>
        <v>#VALUE!</v>
      </c>
      <c r="AP64" s="10" t="e">
        <f t="shared" si="89"/>
        <v>#VALUE!</v>
      </c>
      <c r="AQ64" s="10" t="e">
        <f t="shared" si="69"/>
        <v>#VALUE!</v>
      </c>
      <c r="AR64" s="10" t="e">
        <f t="shared" si="14"/>
        <v>#VALUE!</v>
      </c>
      <c r="AS64" s="10" t="e">
        <f t="shared" si="70"/>
        <v>#VALUE!</v>
      </c>
      <c r="AU64" s="10" t="e">
        <f t="shared" si="90"/>
        <v>#VALUE!</v>
      </c>
      <c r="AV64" s="10" t="e">
        <f t="shared" si="71"/>
        <v>#VALUE!</v>
      </c>
      <c r="AW64" s="10" t="e">
        <f t="shared" si="15"/>
        <v>#VALUE!</v>
      </c>
      <c r="AX64" s="10" t="e">
        <f t="shared" si="41"/>
        <v>#VALUE!</v>
      </c>
      <c r="AY64" s="10" t="e">
        <f t="shared" si="42"/>
        <v>#VALUE!</v>
      </c>
      <c r="AZ64" s="10" t="e">
        <f t="shared" si="91"/>
        <v>#VALUE!</v>
      </c>
      <c r="BA64" s="10" t="e">
        <f t="shared" si="72"/>
        <v>#VALUE!</v>
      </c>
      <c r="BB64" s="10" t="e">
        <f t="shared" si="16"/>
        <v>#VALUE!</v>
      </c>
      <c r="BC64" s="10" t="e">
        <f t="shared" si="73"/>
        <v>#VALUE!</v>
      </c>
      <c r="BE64" s="10" t="e">
        <f t="shared" si="92"/>
        <v>#VALUE!</v>
      </c>
      <c r="BF64" s="10" t="e">
        <f t="shared" si="74"/>
        <v>#VALUE!</v>
      </c>
      <c r="BG64" s="10" t="e">
        <f t="shared" si="17"/>
        <v>#VALUE!</v>
      </c>
      <c r="BH64" s="10" t="e">
        <f t="shared" si="45"/>
        <v>#VALUE!</v>
      </c>
      <c r="BI64" s="10" t="e">
        <f t="shared" si="46"/>
        <v>#VALUE!</v>
      </c>
      <c r="BJ64" s="10" t="e">
        <f t="shared" si="93"/>
        <v>#VALUE!</v>
      </c>
      <c r="BK64" s="10" t="e">
        <f t="shared" si="75"/>
        <v>#VALUE!</v>
      </c>
      <c r="BL64" s="10" t="e">
        <f t="shared" si="18"/>
        <v>#VALUE!</v>
      </c>
      <c r="BM64" s="10" t="e">
        <f t="shared" si="76"/>
        <v>#VALUE!</v>
      </c>
      <c r="BP64" s="10" t="e">
        <f t="shared" si="77"/>
        <v>#VALUE!</v>
      </c>
      <c r="BQ64" s="10" t="e">
        <f t="shared" si="78"/>
        <v>#VALUE!</v>
      </c>
      <c r="BR64" s="10" t="e">
        <f t="shared" si="79"/>
        <v>#VALUE!</v>
      </c>
      <c r="BS64" s="10" t="e">
        <f t="shared" si="80"/>
        <v>#VALUE!</v>
      </c>
      <c r="BT64" s="10" t="e">
        <f t="shared" si="81"/>
        <v>#VALUE!</v>
      </c>
      <c r="BU64" s="10" t="e">
        <f t="shared" si="82"/>
        <v>#VALUE!</v>
      </c>
      <c r="BW64" s="10" t="e">
        <f t="shared" si="54"/>
        <v>#VALUE!</v>
      </c>
      <c r="BX64" s="10" t="e">
        <f t="shared" si="55"/>
        <v>#VALUE!</v>
      </c>
      <c r="BY64" s="10" t="e">
        <f t="shared" si="56"/>
        <v>#VALUE!</v>
      </c>
      <c r="BZ64" s="10" t="e">
        <f t="shared" si="57"/>
        <v>#VALUE!</v>
      </c>
      <c r="CA64" s="10" t="e">
        <f t="shared" si="58"/>
        <v>#VALUE!</v>
      </c>
      <c r="CB64" s="10" t="e">
        <f t="shared" si="59"/>
        <v>#VALUE!</v>
      </c>
      <c r="CD64" s="10" t="e">
        <f>MATCH(INDEX($BP$12:$BU$12,1,MATCH(BP64,$BP$15:$BU$15,0)),结果汇总!$AI$10:$AI$13,0)</f>
        <v>#VALUE!</v>
      </c>
      <c r="CE64" s="10" t="e">
        <f>MATCH(INDEX($BP$12:$BU$12,1,MATCH(BQ64,$BP$15:$BU$15,0)),结果汇总!$AI$10:$AI$13,0)</f>
        <v>#VALUE!</v>
      </c>
      <c r="CF64" s="10" t="e">
        <f>MATCH(INDEX($BP$12:$BU$12,1,MATCH(BR64,$BP$15:$BU$15,0)),结果汇总!$AI$10:$AI$13,0)</f>
        <v>#VALUE!</v>
      </c>
      <c r="CG64" s="10" t="e">
        <f>MATCH(INDEX($BP$12:$BU$12,1,MATCH(BS64,$BP$15:$BU$15,0)),结果汇总!$AI$10:$AI$13,0)</f>
        <v>#VALUE!</v>
      </c>
      <c r="CH64" s="10" t="e">
        <f>MATCH(INDEX($BP$12:$BU$12,1,MATCH(BT64,$BP$15:$BU$15,0)),结果汇总!$AI$10:$AI$13,0)</f>
        <v>#VALUE!</v>
      </c>
      <c r="CI64" s="10" t="e">
        <f>MATCH(INDEX($BP$12:$BU$12,1,MATCH(BU64,$BP$15:$BU$15,0)),结果汇总!$AI$10:$AI$13,0)</f>
        <v>#VALUE!</v>
      </c>
      <c r="CK64" s="10">
        <f t="shared" si="94"/>
        <v>0</v>
      </c>
      <c r="CL64" s="10">
        <f t="shared" si="94"/>
        <v>0</v>
      </c>
      <c r="CM64" s="10">
        <f t="shared" si="94"/>
        <v>0</v>
      </c>
      <c r="CN64" s="10">
        <f t="shared" si="94"/>
        <v>0</v>
      </c>
      <c r="CO64" s="10" t="e">
        <f t="shared" si="95"/>
        <v>#DIV/0!</v>
      </c>
      <c r="CP64" s="10" t="e">
        <f t="shared" si="95"/>
        <v>#DIV/0!</v>
      </c>
      <c r="CQ64" s="10" t="e">
        <f t="shared" si="95"/>
        <v>#DIV/0!</v>
      </c>
      <c r="CR64" s="10" t="e">
        <f t="shared" si="95"/>
        <v>#DIV/0!</v>
      </c>
      <c r="CS64" s="10">
        <f t="shared" si="96"/>
        <v>0</v>
      </c>
      <c r="CT64" s="10">
        <f t="shared" si="96"/>
        <v>0</v>
      </c>
      <c r="CU64" s="10">
        <f t="shared" si="96"/>
        <v>0</v>
      </c>
      <c r="CV64" s="10">
        <f t="shared" si="96"/>
        <v>0</v>
      </c>
      <c r="CW64" s="10">
        <f t="shared" si="97"/>
        <v>0</v>
      </c>
      <c r="CX64" s="10">
        <f t="shared" si="97"/>
        <v>0</v>
      </c>
      <c r="CY64" s="10">
        <f t="shared" si="97"/>
        <v>0</v>
      </c>
      <c r="CZ64" s="10">
        <f t="shared" si="97"/>
        <v>0</v>
      </c>
    </row>
    <row r="65" spans="4:104" x14ac:dyDescent="0.15">
      <c r="D65" s="10">
        <v>50</v>
      </c>
      <c r="E65" s="10" t="e">
        <f t="shared" si="84"/>
        <v>#VALUE!</v>
      </c>
      <c r="F65" s="10" t="e">
        <f t="shared" si="3"/>
        <v>#VALUE!</v>
      </c>
      <c r="G65" s="10" t="e">
        <f t="shared" si="4"/>
        <v>#VALUE!</v>
      </c>
      <c r="H65" s="10" t="e">
        <f t="shared" si="24"/>
        <v>#VALUE!</v>
      </c>
      <c r="I65" s="10" t="e">
        <f t="shared" si="83"/>
        <v>#VALUE!</v>
      </c>
      <c r="J65" s="10" t="e">
        <f t="shared" si="85"/>
        <v>#VALUE!</v>
      </c>
      <c r="K65" s="10" t="e">
        <f t="shared" si="6"/>
        <v>#VALUE!</v>
      </c>
      <c r="L65" s="10" t="e">
        <f t="shared" si="7"/>
        <v>#VALUE!</v>
      </c>
      <c r="M65" s="10" t="e">
        <f t="shared" si="26"/>
        <v>#VALUE!</v>
      </c>
      <c r="O65" s="10" t="e">
        <f t="shared" si="86"/>
        <v>#VALUE!</v>
      </c>
      <c r="P65" s="10" t="e">
        <f t="shared" si="8"/>
        <v>#VALUE!</v>
      </c>
      <c r="Q65" s="10" t="e">
        <f t="shared" si="9"/>
        <v>#VALUE!</v>
      </c>
      <c r="R65" s="10" t="e">
        <f t="shared" si="28"/>
        <v>#VALUE!</v>
      </c>
      <c r="S65" s="10" t="e">
        <f t="shared" si="29"/>
        <v>#VALUE!</v>
      </c>
      <c r="T65" s="10" t="e">
        <f t="shared" si="64"/>
        <v>#VALUE!</v>
      </c>
      <c r="U65" s="10" t="e">
        <f t="shared" si="65"/>
        <v>#VALUE!</v>
      </c>
      <c r="V65" s="10" t="e">
        <f t="shared" si="10"/>
        <v>#VALUE!</v>
      </c>
      <c r="W65" s="10" t="e">
        <f t="shared" si="30"/>
        <v>#VALUE!</v>
      </c>
      <c r="Y65" s="10" t="e">
        <f t="shared" si="87"/>
        <v>#VALUE!</v>
      </c>
      <c r="Z65" s="11" t="e">
        <f t="shared" si="32"/>
        <v>#VALUE!</v>
      </c>
      <c r="AA65" s="10" t="e">
        <f t="shared" si="11"/>
        <v>#VALUE!</v>
      </c>
      <c r="AB65" s="10" t="e">
        <f t="shared" si="33"/>
        <v>#VALUE!</v>
      </c>
      <c r="AC65" s="10" t="e">
        <f t="shared" si="34"/>
        <v>#VALUE!</v>
      </c>
      <c r="AD65" s="10" t="e">
        <f t="shared" si="66"/>
        <v>#VALUE!</v>
      </c>
      <c r="AE65" s="10" t="e">
        <f t="shared" si="67"/>
        <v>#VALUE!</v>
      </c>
      <c r="AF65" s="10" t="e">
        <f t="shared" si="12"/>
        <v>#VALUE!</v>
      </c>
      <c r="AG65" s="10" t="e">
        <f t="shared" si="35"/>
        <v>#VALUE!</v>
      </c>
      <c r="AI65" s="13"/>
      <c r="AK65" s="10" t="e">
        <f t="shared" si="88"/>
        <v>#VALUE!</v>
      </c>
      <c r="AL65" s="10" t="e">
        <f t="shared" si="68"/>
        <v>#VALUE!</v>
      </c>
      <c r="AM65" s="10" t="e">
        <f t="shared" si="13"/>
        <v>#VALUE!</v>
      </c>
      <c r="AN65" s="10" t="e">
        <f t="shared" si="37"/>
        <v>#VALUE!</v>
      </c>
      <c r="AO65" s="10" t="e">
        <f t="shared" si="38"/>
        <v>#VALUE!</v>
      </c>
      <c r="AP65" s="10" t="e">
        <f t="shared" si="89"/>
        <v>#VALUE!</v>
      </c>
      <c r="AQ65" s="10" t="e">
        <f t="shared" si="69"/>
        <v>#VALUE!</v>
      </c>
      <c r="AR65" s="10" t="e">
        <f t="shared" si="14"/>
        <v>#VALUE!</v>
      </c>
      <c r="AS65" s="10" t="e">
        <f t="shared" si="70"/>
        <v>#VALUE!</v>
      </c>
      <c r="AU65" s="10" t="e">
        <f t="shared" si="90"/>
        <v>#VALUE!</v>
      </c>
      <c r="AV65" s="10" t="e">
        <f t="shared" si="71"/>
        <v>#VALUE!</v>
      </c>
      <c r="AW65" s="10" t="e">
        <f t="shared" si="15"/>
        <v>#VALUE!</v>
      </c>
      <c r="AX65" s="10" t="e">
        <f t="shared" si="41"/>
        <v>#VALUE!</v>
      </c>
      <c r="AY65" s="10" t="e">
        <f t="shared" si="42"/>
        <v>#VALUE!</v>
      </c>
      <c r="AZ65" s="10" t="e">
        <f t="shared" si="91"/>
        <v>#VALUE!</v>
      </c>
      <c r="BA65" s="10" t="e">
        <f t="shared" si="72"/>
        <v>#VALUE!</v>
      </c>
      <c r="BB65" s="10" t="e">
        <f t="shared" si="16"/>
        <v>#VALUE!</v>
      </c>
      <c r="BC65" s="10" t="e">
        <f t="shared" si="73"/>
        <v>#VALUE!</v>
      </c>
      <c r="BE65" s="10" t="e">
        <f t="shared" si="92"/>
        <v>#VALUE!</v>
      </c>
      <c r="BF65" s="10" t="e">
        <f t="shared" si="74"/>
        <v>#VALUE!</v>
      </c>
      <c r="BG65" s="10" t="e">
        <f t="shared" si="17"/>
        <v>#VALUE!</v>
      </c>
      <c r="BH65" s="10" t="e">
        <f t="shared" si="45"/>
        <v>#VALUE!</v>
      </c>
      <c r="BI65" s="10" t="e">
        <f t="shared" si="46"/>
        <v>#VALUE!</v>
      </c>
      <c r="BJ65" s="10" t="e">
        <f t="shared" si="93"/>
        <v>#VALUE!</v>
      </c>
      <c r="BK65" s="10" t="e">
        <f t="shared" si="75"/>
        <v>#VALUE!</v>
      </c>
      <c r="BL65" s="10" t="e">
        <f t="shared" si="18"/>
        <v>#VALUE!</v>
      </c>
      <c r="BM65" s="10" t="e">
        <f t="shared" si="76"/>
        <v>#VALUE!</v>
      </c>
      <c r="BP65" s="10" t="e">
        <f t="shared" si="77"/>
        <v>#VALUE!</v>
      </c>
      <c r="BQ65" s="10" t="e">
        <f t="shared" si="78"/>
        <v>#VALUE!</v>
      </c>
      <c r="BR65" s="10" t="e">
        <f t="shared" si="79"/>
        <v>#VALUE!</v>
      </c>
      <c r="BS65" s="10" t="e">
        <f t="shared" si="80"/>
        <v>#VALUE!</v>
      </c>
      <c r="BT65" s="10" t="e">
        <f t="shared" si="81"/>
        <v>#VALUE!</v>
      </c>
      <c r="BU65" s="10" t="e">
        <f t="shared" si="82"/>
        <v>#VALUE!</v>
      </c>
      <c r="BW65" s="10" t="e">
        <f t="shared" si="54"/>
        <v>#VALUE!</v>
      </c>
      <c r="BX65" s="10" t="e">
        <f t="shared" si="55"/>
        <v>#VALUE!</v>
      </c>
      <c r="BY65" s="10" t="e">
        <f t="shared" si="56"/>
        <v>#VALUE!</v>
      </c>
      <c r="BZ65" s="10" t="e">
        <f t="shared" si="57"/>
        <v>#VALUE!</v>
      </c>
      <c r="CA65" s="10" t="e">
        <f t="shared" si="58"/>
        <v>#VALUE!</v>
      </c>
      <c r="CB65" s="10" t="e">
        <f t="shared" si="59"/>
        <v>#VALUE!</v>
      </c>
      <c r="CD65" s="10" t="e">
        <f>MATCH(INDEX($BP$12:$BU$12,1,MATCH(BP65,$BP$15:$BU$15,0)),结果汇总!$AI$10:$AI$13,0)</f>
        <v>#VALUE!</v>
      </c>
      <c r="CE65" s="10" t="e">
        <f>MATCH(INDEX($BP$12:$BU$12,1,MATCH(BQ65,$BP$15:$BU$15,0)),结果汇总!$AI$10:$AI$13,0)</f>
        <v>#VALUE!</v>
      </c>
      <c r="CF65" s="10" t="e">
        <f>MATCH(INDEX($BP$12:$BU$12,1,MATCH(BR65,$BP$15:$BU$15,0)),结果汇总!$AI$10:$AI$13,0)</f>
        <v>#VALUE!</v>
      </c>
      <c r="CG65" s="10" t="e">
        <f>MATCH(INDEX($BP$12:$BU$12,1,MATCH(BS65,$BP$15:$BU$15,0)),结果汇总!$AI$10:$AI$13,0)</f>
        <v>#VALUE!</v>
      </c>
      <c r="CH65" s="10" t="e">
        <f>MATCH(INDEX($BP$12:$BU$12,1,MATCH(BT65,$BP$15:$BU$15,0)),结果汇总!$AI$10:$AI$13,0)</f>
        <v>#VALUE!</v>
      </c>
      <c r="CI65" s="10" t="e">
        <f>MATCH(INDEX($BP$12:$BU$12,1,MATCH(BU65,$BP$15:$BU$15,0)),结果汇总!$AI$10:$AI$13,0)</f>
        <v>#VALUE!</v>
      </c>
      <c r="CK65" s="10">
        <f t="shared" si="94"/>
        <v>0</v>
      </c>
      <c r="CL65" s="10">
        <f t="shared" si="94"/>
        <v>0</v>
      </c>
      <c r="CM65" s="10">
        <f t="shared" si="94"/>
        <v>0</v>
      </c>
      <c r="CN65" s="10">
        <f t="shared" si="94"/>
        <v>0</v>
      </c>
      <c r="CO65" s="10" t="e">
        <f t="shared" si="95"/>
        <v>#DIV/0!</v>
      </c>
      <c r="CP65" s="10" t="e">
        <f t="shared" si="95"/>
        <v>#DIV/0!</v>
      </c>
      <c r="CQ65" s="10" t="e">
        <f t="shared" si="95"/>
        <v>#DIV/0!</v>
      </c>
      <c r="CR65" s="10" t="e">
        <f t="shared" si="95"/>
        <v>#DIV/0!</v>
      </c>
      <c r="CS65" s="10">
        <f t="shared" si="96"/>
        <v>0</v>
      </c>
      <c r="CT65" s="10">
        <f t="shared" si="96"/>
        <v>0</v>
      </c>
      <c r="CU65" s="10">
        <f t="shared" si="96"/>
        <v>0</v>
      </c>
      <c r="CV65" s="10">
        <f t="shared" si="96"/>
        <v>0</v>
      </c>
      <c r="CW65" s="10">
        <f t="shared" si="97"/>
        <v>0</v>
      </c>
      <c r="CX65" s="10">
        <f t="shared" si="97"/>
        <v>0</v>
      </c>
      <c r="CY65" s="10">
        <f t="shared" si="97"/>
        <v>0</v>
      </c>
      <c r="CZ65" s="10">
        <f t="shared" si="97"/>
        <v>0</v>
      </c>
    </row>
    <row r="66" spans="4:104" x14ac:dyDescent="0.15">
      <c r="D66" s="10">
        <v>51</v>
      </c>
      <c r="E66" s="10" t="e">
        <f t="shared" si="84"/>
        <v>#VALUE!</v>
      </c>
      <c r="F66" s="10" t="e">
        <f t="shared" si="3"/>
        <v>#VALUE!</v>
      </c>
      <c r="G66" s="10" t="e">
        <f t="shared" si="4"/>
        <v>#VALUE!</v>
      </c>
      <c r="H66" s="10" t="e">
        <f t="shared" si="24"/>
        <v>#VALUE!</v>
      </c>
      <c r="I66" s="10" t="e">
        <f t="shared" si="83"/>
        <v>#VALUE!</v>
      </c>
      <c r="J66" s="10" t="e">
        <f t="shared" si="85"/>
        <v>#VALUE!</v>
      </c>
      <c r="K66" s="10" t="e">
        <f t="shared" si="6"/>
        <v>#VALUE!</v>
      </c>
      <c r="L66" s="10" t="e">
        <f t="shared" si="7"/>
        <v>#VALUE!</v>
      </c>
      <c r="M66" s="10" t="e">
        <f t="shared" si="26"/>
        <v>#VALUE!</v>
      </c>
      <c r="O66" s="10" t="e">
        <f t="shared" si="86"/>
        <v>#VALUE!</v>
      </c>
      <c r="P66" s="10" t="e">
        <f t="shared" si="8"/>
        <v>#VALUE!</v>
      </c>
      <c r="Q66" s="10" t="e">
        <f t="shared" si="9"/>
        <v>#VALUE!</v>
      </c>
      <c r="R66" s="10" t="e">
        <f t="shared" si="28"/>
        <v>#VALUE!</v>
      </c>
      <c r="S66" s="10" t="e">
        <f t="shared" si="29"/>
        <v>#VALUE!</v>
      </c>
      <c r="T66" s="10" t="e">
        <f t="shared" si="64"/>
        <v>#VALUE!</v>
      </c>
      <c r="U66" s="10" t="e">
        <f t="shared" si="65"/>
        <v>#VALUE!</v>
      </c>
      <c r="V66" s="10" t="e">
        <f t="shared" si="10"/>
        <v>#VALUE!</v>
      </c>
      <c r="W66" s="10" t="e">
        <f t="shared" si="30"/>
        <v>#VALUE!</v>
      </c>
      <c r="Y66" s="10" t="e">
        <f t="shared" si="87"/>
        <v>#VALUE!</v>
      </c>
      <c r="Z66" s="11" t="e">
        <f t="shared" si="32"/>
        <v>#VALUE!</v>
      </c>
      <c r="AA66" s="10" t="e">
        <f t="shared" si="11"/>
        <v>#VALUE!</v>
      </c>
      <c r="AB66" s="10" t="e">
        <f t="shared" si="33"/>
        <v>#VALUE!</v>
      </c>
      <c r="AC66" s="10" t="e">
        <f t="shared" si="34"/>
        <v>#VALUE!</v>
      </c>
      <c r="AD66" s="10" t="e">
        <f t="shared" si="66"/>
        <v>#VALUE!</v>
      </c>
      <c r="AE66" s="10" t="e">
        <f t="shared" si="67"/>
        <v>#VALUE!</v>
      </c>
      <c r="AF66" s="10" t="e">
        <f t="shared" si="12"/>
        <v>#VALUE!</v>
      </c>
      <c r="AG66" s="10" t="e">
        <f t="shared" si="35"/>
        <v>#VALUE!</v>
      </c>
      <c r="AI66" s="13"/>
      <c r="AK66" s="10" t="e">
        <f t="shared" si="88"/>
        <v>#VALUE!</v>
      </c>
      <c r="AL66" s="10" t="e">
        <f t="shared" si="68"/>
        <v>#VALUE!</v>
      </c>
      <c r="AM66" s="10" t="e">
        <f t="shared" si="13"/>
        <v>#VALUE!</v>
      </c>
      <c r="AN66" s="10" t="e">
        <f t="shared" si="37"/>
        <v>#VALUE!</v>
      </c>
      <c r="AO66" s="10" t="e">
        <f t="shared" si="38"/>
        <v>#VALUE!</v>
      </c>
      <c r="AP66" s="10" t="e">
        <f t="shared" si="89"/>
        <v>#VALUE!</v>
      </c>
      <c r="AQ66" s="10" t="e">
        <f t="shared" si="69"/>
        <v>#VALUE!</v>
      </c>
      <c r="AR66" s="10" t="e">
        <f t="shared" si="14"/>
        <v>#VALUE!</v>
      </c>
      <c r="AS66" s="10" t="e">
        <f t="shared" si="70"/>
        <v>#VALUE!</v>
      </c>
      <c r="AU66" s="10" t="e">
        <f t="shared" si="90"/>
        <v>#VALUE!</v>
      </c>
      <c r="AV66" s="10" t="e">
        <f t="shared" si="71"/>
        <v>#VALUE!</v>
      </c>
      <c r="AW66" s="10" t="e">
        <f t="shared" si="15"/>
        <v>#VALUE!</v>
      </c>
      <c r="AX66" s="10" t="e">
        <f t="shared" si="41"/>
        <v>#VALUE!</v>
      </c>
      <c r="AY66" s="10" t="e">
        <f t="shared" si="42"/>
        <v>#VALUE!</v>
      </c>
      <c r="AZ66" s="10" t="e">
        <f t="shared" si="91"/>
        <v>#VALUE!</v>
      </c>
      <c r="BA66" s="10" t="e">
        <f t="shared" si="72"/>
        <v>#VALUE!</v>
      </c>
      <c r="BB66" s="10" t="e">
        <f t="shared" si="16"/>
        <v>#VALUE!</v>
      </c>
      <c r="BC66" s="10" t="e">
        <f t="shared" si="73"/>
        <v>#VALUE!</v>
      </c>
      <c r="BE66" s="10" t="e">
        <f t="shared" si="92"/>
        <v>#VALUE!</v>
      </c>
      <c r="BF66" s="10" t="e">
        <f t="shared" si="74"/>
        <v>#VALUE!</v>
      </c>
      <c r="BG66" s="10" t="e">
        <f t="shared" si="17"/>
        <v>#VALUE!</v>
      </c>
      <c r="BH66" s="10" t="e">
        <f t="shared" si="45"/>
        <v>#VALUE!</v>
      </c>
      <c r="BI66" s="10" t="e">
        <f t="shared" si="46"/>
        <v>#VALUE!</v>
      </c>
      <c r="BJ66" s="10" t="e">
        <f t="shared" si="93"/>
        <v>#VALUE!</v>
      </c>
      <c r="BK66" s="10" t="e">
        <f t="shared" si="75"/>
        <v>#VALUE!</v>
      </c>
      <c r="BL66" s="10" t="e">
        <f t="shared" si="18"/>
        <v>#VALUE!</v>
      </c>
      <c r="BM66" s="10" t="e">
        <f t="shared" si="76"/>
        <v>#VALUE!</v>
      </c>
      <c r="BP66" s="10" t="e">
        <f t="shared" si="77"/>
        <v>#VALUE!</v>
      </c>
      <c r="BQ66" s="10" t="e">
        <f t="shared" si="78"/>
        <v>#VALUE!</v>
      </c>
      <c r="BR66" s="10" t="e">
        <f t="shared" si="79"/>
        <v>#VALUE!</v>
      </c>
      <c r="BS66" s="10" t="e">
        <f t="shared" si="80"/>
        <v>#VALUE!</v>
      </c>
      <c r="BT66" s="10" t="e">
        <f t="shared" si="81"/>
        <v>#VALUE!</v>
      </c>
      <c r="BU66" s="10" t="e">
        <f t="shared" si="82"/>
        <v>#VALUE!</v>
      </c>
      <c r="BW66" s="10" t="e">
        <f t="shared" si="54"/>
        <v>#VALUE!</v>
      </c>
      <c r="BX66" s="10" t="e">
        <f t="shared" si="55"/>
        <v>#VALUE!</v>
      </c>
      <c r="BY66" s="10" t="e">
        <f t="shared" si="56"/>
        <v>#VALUE!</v>
      </c>
      <c r="BZ66" s="10" t="e">
        <f t="shared" si="57"/>
        <v>#VALUE!</v>
      </c>
      <c r="CA66" s="10" t="e">
        <f t="shared" si="58"/>
        <v>#VALUE!</v>
      </c>
      <c r="CB66" s="10" t="e">
        <f t="shared" si="59"/>
        <v>#VALUE!</v>
      </c>
      <c r="CD66" s="10" t="e">
        <f>MATCH(INDEX($BP$12:$BU$12,1,MATCH(BP66,$BP$15:$BU$15,0)),结果汇总!$AI$10:$AI$13,0)</f>
        <v>#VALUE!</v>
      </c>
      <c r="CE66" s="10" t="e">
        <f>MATCH(INDEX($BP$12:$BU$12,1,MATCH(BQ66,$BP$15:$BU$15,0)),结果汇总!$AI$10:$AI$13,0)</f>
        <v>#VALUE!</v>
      </c>
      <c r="CF66" s="10" t="e">
        <f>MATCH(INDEX($BP$12:$BU$12,1,MATCH(BR66,$BP$15:$BU$15,0)),结果汇总!$AI$10:$AI$13,0)</f>
        <v>#VALUE!</v>
      </c>
      <c r="CG66" s="10" t="e">
        <f>MATCH(INDEX($BP$12:$BU$12,1,MATCH(BS66,$BP$15:$BU$15,0)),结果汇总!$AI$10:$AI$13,0)</f>
        <v>#VALUE!</v>
      </c>
      <c r="CH66" s="10" t="e">
        <f>MATCH(INDEX($BP$12:$BU$12,1,MATCH(BT66,$BP$15:$BU$15,0)),结果汇总!$AI$10:$AI$13,0)</f>
        <v>#VALUE!</v>
      </c>
      <c r="CI66" s="10" t="e">
        <f>MATCH(INDEX($BP$12:$BU$12,1,MATCH(BU66,$BP$15:$BU$15,0)),结果汇总!$AI$10:$AI$13,0)</f>
        <v>#VALUE!</v>
      </c>
      <c r="CK66" s="10">
        <f t="shared" si="94"/>
        <v>0</v>
      </c>
      <c r="CL66" s="10">
        <f t="shared" si="94"/>
        <v>0</v>
      </c>
      <c r="CM66" s="10">
        <f t="shared" si="94"/>
        <v>0</v>
      </c>
      <c r="CN66" s="10">
        <f t="shared" si="94"/>
        <v>0</v>
      </c>
      <c r="CO66" s="10" t="e">
        <f t="shared" si="95"/>
        <v>#DIV/0!</v>
      </c>
      <c r="CP66" s="10" t="e">
        <f t="shared" si="95"/>
        <v>#DIV/0!</v>
      </c>
      <c r="CQ66" s="10" t="e">
        <f t="shared" si="95"/>
        <v>#DIV/0!</v>
      </c>
      <c r="CR66" s="10" t="e">
        <f t="shared" si="95"/>
        <v>#DIV/0!</v>
      </c>
      <c r="CS66" s="10">
        <f t="shared" si="96"/>
        <v>0</v>
      </c>
      <c r="CT66" s="10">
        <f t="shared" si="96"/>
        <v>0</v>
      </c>
      <c r="CU66" s="10">
        <f t="shared" si="96"/>
        <v>0</v>
      </c>
      <c r="CV66" s="10">
        <f t="shared" si="96"/>
        <v>0</v>
      </c>
      <c r="CW66" s="10">
        <f t="shared" si="97"/>
        <v>0</v>
      </c>
      <c r="CX66" s="10">
        <f t="shared" si="97"/>
        <v>0</v>
      </c>
      <c r="CY66" s="10">
        <f t="shared" si="97"/>
        <v>0</v>
      </c>
      <c r="CZ66" s="10">
        <f t="shared" si="97"/>
        <v>0</v>
      </c>
    </row>
    <row r="67" spans="4:104" x14ac:dyDescent="0.15">
      <c r="D67" s="10">
        <v>52</v>
      </c>
      <c r="E67" s="10" t="e">
        <f t="shared" si="84"/>
        <v>#VALUE!</v>
      </c>
      <c r="F67" s="10" t="e">
        <f t="shared" si="3"/>
        <v>#VALUE!</v>
      </c>
      <c r="G67" s="10" t="e">
        <f t="shared" si="4"/>
        <v>#VALUE!</v>
      </c>
      <c r="H67" s="10" t="e">
        <f t="shared" si="24"/>
        <v>#VALUE!</v>
      </c>
      <c r="I67" s="10" t="e">
        <f t="shared" si="83"/>
        <v>#VALUE!</v>
      </c>
      <c r="J67" s="10" t="e">
        <f t="shared" si="85"/>
        <v>#VALUE!</v>
      </c>
      <c r="K67" s="10" t="e">
        <f t="shared" si="6"/>
        <v>#VALUE!</v>
      </c>
      <c r="L67" s="10" t="e">
        <f t="shared" si="7"/>
        <v>#VALUE!</v>
      </c>
      <c r="M67" s="10" t="e">
        <f t="shared" si="26"/>
        <v>#VALUE!</v>
      </c>
      <c r="O67" s="10" t="e">
        <f t="shared" si="86"/>
        <v>#VALUE!</v>
      </c>
      <c r="P67" s="10" t="e">
        <f t="shared" si="8"/>
        <v>#VALUE!</v>
      </c>
      <c r="Q67" s="10" t="e">
        <f t="shared" si="9"/>
        <v>#VALUE!</v>
      </c>
      <c r="R67" s="10" t="e">
        <f t="shared" si="28"/>
        <v>#VALUE!</v>
      </c>
      <c r="S67" s="10" t="e">
        <f t="shared" si="29"/>
        <v>#VALUE!</v>
      </c>
      <c r="T67" s="10" t="e">
        <f t="shared" si="64"/>
        <v>#VALUE!</v>
      </c>
      <c r="U67" s="10" t="e">
        <f t="shared" si="65"/>
        <v>#VALUE!</v>
      </c>
      <c r="V67" s="10" t="e">
        <f t="shared" si="10"/>
        <v>#VALUE!</v>
      </c>
      <c r="W67" s="10" t="e">
        <f t="shared" si="30"/>
        <v>#VALUE!</v>
      </c>
      <c r="Y67" s="10" t="e">
        <f t="shared" si="87"/>
        <v>#VALUE!</v>
      </c>
      <c r="Z67" s="11" t="e">
        <f t="shared" si="32"/>
        <v>#VALUE!</v>
      </c>
      <c r="AA67" s="10" t="e">
        <f t="shared" si="11"/>
        <v>#VALUE!</v>
      </c>
      <c r="AB67" s="10" t="e">
        <f t="shared" si="33"/>
        <v>#VALUE!</v>
      </c>
      <c r="AC67" s="10" t="e">
        <f t="shared" si="34"/>
        <v>#VALUE!</v>
      </c>
      <c r="AD67" s="10" t="e">
        <f t="shared" si="66"/>
        <v>#VALUE!</v>
      </c>
      <c r="AE67" s="10" t="e">
        <f t="shared" si="67"/>
        <v>#VALUE!</v>
      </c>
      <c r="AF67" s="10" t="e">
        <f t="shared" si="12"/>
        <v>#VALUE!</v>
      </c>
      <c r="AG67" s="10" t="e">
        <f t="shared" si="35"/>
        <v>#VALUE!</v>
      </c>
      <c r="AI67" s="13"/>
      <c r="AK67" s="10" t="e">
        <f t="shared" si="88"/>
        <v>#VALUE!</v>
      </c>
      <c r="AL67" s="10" t="e">
        <f t="shared" si="68"/>
        <v>#VALUE!</v>
      </c>
      <c r="AM67" s="10" t="e">
        <f t="shared" si="13"/>
        <v>#VALUE!</v>
      </c>
      <c r="AN67" s="10" t="e">
        <f t="shared" si="37"/>
        <v>#VALUE!</v>
      </c>
      <c r="AO67" s="10" t="e">
        <f t="shared" si="38"/>
        <v>#VALUE!</v>
      </c>
      <c r="AP67" s="10" t="e">
        <f t="shared" si="89"/>
        <v>#VALUE!</v>
      </c>
      <c r="AQ67" s="10" t="e">
        <f t="shared" si="69"/>
        <v>#VALUE!</v>
      </c>
      <c r="AR67" s="10" t="e">
        <f t="shared" si="14"/>
        <v>#VALUE!</v>
      </c>
      <c r="AS67" s="10" t="e">
        <f t="shared" si="70"/>
        <v>#VALUE!</v>
      </c>
      <c r="AU67" s="10" t="e">
        <f t="shared" si="90"/>
        <v>#VALUE!</v>
      </c>
      <c r="AV67" s="10" t="e">
        <f t="shared" si="71"/>
        <v>#VALUE!</v>
      </c>
      <c r="AW67" s="10" t="e">
        <f t="shared" si="15"/>
        <v>#VALUE!</v>
      </c>
      <c r="AX67" s="10" t="e">
        <f t="shared" si="41"/>
        <v>#VALUE!</v>
      </c>
      <c r="AY67" s="10" t="e">
        <f t="shared" si="42"/>
        <v>#VALUE!</v>
      </c>
      <c r="AZ67" s="10" t="e">
        <f t="shared" si="91"/>
        <v>#VALUE!</v>
      </c>
      <c r="BA67" s="10" t="e">
        <f t="shared" si="72"/>
        <v>#VALUE!</v>
      </c>
      <c r="BB67" s="10" t="e">
        <f t="shared" si="16"/>
        <v>#VALUE!</v>
      </c>
      <c r="BC67" s="10" t="e">
        <f t="shared" si="73"/>
        <v>#VALUE!</v>
      </c>
      <c r="BE67" s="10" t="e">
        <f t="shared" si="92"/>
        <v>#VALUE!</v>
      </c>
      <c r="BF67" s="10" t="e">
        <f t="shared" si="74"/>
        <v>#VALUE!</v>
      </c>
      <c r="BG67" s="10" t="e">
        <f t="shared" si="17"/>
        <v>#VALUE!</v>
      </c>
      <c r="BH67" s="10" t="e">
        <f t="shared" si="45"/>
        <v>#VALUE!</v>
      </c>
      <c r="BI67" s="10" t="e">
        <f t="shared" si="46"/>
        <v>#VALUE!</v>
      </c>
      <c r="BJ67" s="10" t="e">
        <f t="shared" si="93"/>
        <v>#VALUE!</v>
      </c>
      <c r="BK67" s="10" t="e">
        <f t="shared" si="75"/>
        <v>#VALUE!</v>
      </c>
      <c r="BL67" s="10" t="e">
        <f t="shared" si="18"/>
        <v>#VALUE!</v>
      </c>
      <c r="BM67" s="10" t="e">
        <f t="shared" si="76"/>
        <v>#VALUE!</v>
      </c>
      <c r="BP67" s="10" t="e">
        <f t="shared" si="77"/>
        <v>#VALUE!</v>
      </c>
      <c r="BQ67" s="10" t="e">
        <f t="shared" si="78"/>
        <v>#VALUE!</v>
      </c>
      <c r="BR67" s="10" t="e">
        <f t="shared" si="79"/>
        <v>#VALUE!</v>
      </c>
      <c r="BS67" s="10" t="e">
        <f t="shared" si="80"/>
        <v>#VALUE!</v>
      </c>
      <c r="BT67" s="10" t="e">
        <f t="shared" si="81"/>
        <v>#VALUE!</v>
      </c>
      <c r="BU67" s="10" t="e">
        <f t="shared" si="82"/>
        <v>#VALUE!</v>
      </c>
      <c r="BW67" s="10" t="e">
        <f t="shared" si="54"/>
        <v>#VALUE!</v>
      </c>
      <c r="BX67" s="10" t="e">
        <f t="shared" si="55"/>
        <v>#VALUE!</v>
      </c>
      <c r="BY67" s="10" t="e">
        <f t="shared" si="56"/>
        <v>#VALUE!</v>
      </c>
      <c r="BZ67" s="10" t="e">
        <f t="shared" si="57"/>
        <v>#VALUE!</v>
      </c>
      <c r="CA67" s="10" t="e">
        <f t="shared" si="58"/>
        <v>#VALUE!</v>
      </c>
      <c r="CB67" s="10" t="e">
        <f t="shared" si="59"/>
        <v>#VALUE!</v>
      </c>
      <c r="CD67" s="10" t="e">
        <f>MATCH(INDEX($BP$12:$BU$12,1,MATCH(BP67,$BP$15:$BU$15,0)),结果汇总!$AI$10:$AI$13,0)</f>
        <v>#VALUE!</v>
      </c>
      <c r="CE67" s="10" t="e">
        <f>MATCH(INDEX($BP$12:$BU$12,1,MATCH(BQ67,$BP$15:$BU$15,0)),结果汇总!$AI$10:$AI$13,0)</f>
        <v>#VALUE!</v>
      </c>
      <c r="CF67" s="10" t="e">
        <f>MATCH(INDEX($BP$12:$BU$12,1,MATCH(BR67,$BP$15:$BU$15,0)),结果汇总!$AI$10:$AI$13,0)</f>
        <v>#VALUE!</v>
      </c>
      <c r="CG67" s="10" t="e">
        <f>MATCH(INDEX($BP$12:$BU$12,1,MATCH(BS67,$BP$15:$BU$15,0)),结果汇总!$AI$10:$AI$13,0)</f>
        <v>#VALUE!</v>
      </c>
      <c r="CH67" s="10" t="e">
        <f>MATCH(INDEX($BP$12:$BU$12,1,MATCH(BT67,$BP$15:$BU$15,0)),结果汇总!$AI$10:$AI$13,0)</f>
        <v>#VALUE!</v>
      </c>
      <c r="CI67" s="10" t="e">
        <f>MATCH(INDEX($BP$12:$BU$12,1,MATCH(BU67,$BP$15:$BU$15,0)),结果汇总!$AI$10:$AI$13,0)</f>
        <v>#VALUE!</v>
      </c>
      <c r="CK67" s="10">
        <f t="shared" si="94"/>
        <v>0</v>
      </c>
      <c r="CL67" s="10">
        <f t="shared" si="94"/>
        <v>0</v>
      </c>
      <c r="CM67" s="10">
        <f t="shared" si="94"/>
        <v>0</v>
      </c>
      <c r="CN67" s="10">
        <f t="shared" si="94"/>
        <v>0</v>
      </c>
      <c r="CO67" s="10" t="e">
        <f t="shared" si="95"/>
        <v>#DIV/0!</v>
      </c>
      <c r="CP67" s="10" t="e">
        <f t="shared" si="95"/>
        <v>#DIV/0!</v>
      </c>
      <c r="CQ67" s="10" t="e">
        <f t="shared" si="95"/>
        <v>#DIV/0!</v>
      </c>
      <c r="CR67" s="10" t="e">
        <f t="shared" si="95"/>
        <v>#DIV/0!</v>
      </c>
      <c r="CS67" s="10">
        <f t="shared" si="96"/>
        <v>0</v>
      </c>
      <c r="CT67" s="10">
        <f t="shared" si="96"/>
        <v>0</v>
      </c>
      <c r="CU67" s="10">
        <f t="shared" si="96"/>
        <v>0</v>
      </c>
      <c r="CV67" s="10">
        <f t="shared" si="96"/>
        <v>0</v>
      </c>
      <c r="CW67" s="10">
        <f t="shared" si="97"/>
        <v>0</v>
      </c>
      <c r="CX67" s="10">
        <f t="shared" si="97"/>
        <v>0</v>
      </c>
      <c r="CY67" s="10">
        <f t="shared" si="97"/>
        <v>0</v>
      </c>
      <c r="CZ67" s="10">
        <f t="shared" si="97"/>
        <v>0</v>
      </c>
    </row>
    <row r="68" spans="4:104" x14ac:dyDescent="0.15">
      <c r="D68" s="10">
        <v>53</v>
      </c>
      <c r="E68" s="10" t="e">
        <f t="shared" si="84"/>
        <v>#VALUE!</v>
      </c>
      <c r="F68" s="10" t="e">
        <f t="shared" si="3"/>
        <v>#VALUE!</v>
      </c>
      <c r="G68" s="10" t="e">
        <f t="shared" si="4"/>
        <v>#VALUE!</v>
      </c>
      <c r="H68" s="10" t="e">
        <f t="shared" si="24"/>
        <v>#VALUE!</v>
      </c>
      <c r="I68" s="10" t="e">
        <f t="shared" si="83"/>
        <v>#VALUE!</v>
      </c>
      <c r="J68" s="10" t="e">
        <f t="shared" si="85"/>
        <v>#VALUE!</v>
      </c>
      <c r="K68" s="10" t="e">
        <f t="shared" si="6"/>
        <v>#VALUE!</v>
      </c>
      <c r="L68" s="10" t="e">
        <f t="shared" si="7"/>
        <v>#VALUE!</v>
      </c>
      <c r="M68" s="10" t="e">
        <f t="shared" si="26"/>
        <v>#VALUE!</v>
      </c>
      <c r="O68" s="10" t="e">
        <f t="shared" si="86"/>
        <v>#VALUE!</v>
      </c>
      <c r="P68" s="10" t="e">
        <f t="shared" si="8"/>
        <v>#VALUE!</v>
      </c>
      <c r="Q68" s="10" t="e">
        <f t="shared" si="9"/>
        <v>#VALUE!</v>
      </c>
      <c r="R68" s="10" t="e">
        <f t="shared" si="28"/>
        <v>#VALUE!</v>
      </c>
      <c r="S68" s="10" t="e">
        <f t="shared" si="29"/>
        <v>#VALUE!</v>
      </c>
      <c r="T68" s="10" t="e">
        <f t="shared" si="64"/>
        <v>#VALUE!</v>
      </c>
      <c r="U68" s="10" t="e">
        <f t="shared" si="65"/>
        <v>#VALUE!</v>
      </c>
      <c r="V68" s="10" t="e">
        <f t="shared" si="10"/>
        <v>#VALUE!</v>
      </c>
      <c r="W68" s="10" t="e">
        <f t="shared" si="30"/>
        <v>#VALUE!</v>
      </c>
      <c r="Y68" s="10" t="e">
        <f t="shared" si="87"/>
        <v>#VALUE!</v>
      </c>
      <c r="Z68" s="11" t="e">
        <f t="shared" si="32"/>
        <v>#VALUE!</v>
      </c>
      <c r="AA68" s="10" t="e">
        <f t="shared" si="11"/>
        <v>#VALUE!</v>
      </c>
      <c r="AB68" s="10" t="e">
        <f t="shared" si="33"/>
        <v>#VALUE!</v>
      </c>
      <c r="AC68" s="10" t="e">
        <f t="shared" si="34"/>
        <v>#VALUE!</v>
      </c>
      <c r="AD68" s="10" t="e">
        <f t="shared" si="66"/>
        <v>#VALUE!</v>
      </c>
      <c r="AE68" s="10" t="e">
        <f t="shared" si="67"/>
        <v>#VALUE!</v>
      </c>
      <c r="AF68" s="10" t="e">
        <f t="shared" si="12"/>
        <v>#VALUE!</v>
      </c>
      <c r="AG68" s="10" t="e">
        <f t="shared" si="35"/>
        <v>#VALUE!</v>
      </c>
      <c r="AI68" s="13"/>
      <c r="AK68" s="10" t="e">
        <f t="shared" si="88"/>
        <v>#VALUE!</v>
      </c>
      <c r="AL68" s="10" t="e">
        <f t="shared" si="68"/>
        <v>#VALUE!</v>
      </c>
      <c r="AM68" s="10" t="e">
        <f t="shared" si="13"/>
        <v>#VALUE!</v>
      </c>
      <c r="AN68" s="10" t="e">
        <f t="shared" si="37"/>
        <v>#VALUE!</v>
      </c>
      <c r="AO68" s="10" t="e">
        <f t="shared" si="38"/>
        <v>#VALUE!</v>
      </c>
      <c r="AP68" s="10" t="e">
        <f t="shared" si="89"/>
        <v>#VALUE!</v>
      </c>
      <c r="AQ68" s="10" t="e">
        <f t="shared" si="69"/>
        <v>#VALUE!</v>
      </c>
      <c r="AR68" s="10" t="e">
        <f t="shared" si="14"/>
        <v>#VALUE!</v>
      </c>
      <c r="AS68" s="10" t="e">
        <f t="shared" si="70"/>
        <v>#VALUE!</v>
      </c>
      <c r="AU68" s="10" t="e">
        <f t="shared" si="90"/>
        <v>#VALUE!</v>
      </c>
      <c r="AV68" s="10" t="e">
        <f t="shared" si="71"/>
        <v>#VALUE!</v>
      </c>
      <c r="AW68" s="10" t="e">
        <f t="shared" si="15"/>
        <v>#VALUE!</v>
      </c>
      <c r="AX68" s="10" t="e">
        <f t="shared" si="41"/>
        <v>#VALUE!</v>
      </c>
      <c r="AY68" s="10" t="e">
        <f t="shared" si="42"/>
        <v>#VALUE!</v>
      </c>
      <c r="AZ68" s="10" t="e">
        <f t="shared" si="91"/>
        <v>#VALUE!</v>
      </c>
      <c r="BA68" s="10" t="e">
        <f t="shared" si="72"/>
        <v>#VALUE!</v>
      </c>
      <c r="BB68" s="10" t="e">
        <f t="shared" si="16"/>
        <v>#VALUE!</v>
      </c>
      <c r="BC68" s="10" t="e">
        <f t="shared" si="73"/>
        <v>#VALUE!</v>
      </c>
      <c r="BE68" s="10" t="e">
        <f t="shared" si="92"/>
        <v>#VALUE!</v>
      </c>
      <c r="BF68" s="10" t="e">
        <f t="shared" si="74"/>
        <v>#VALUE!</v>
      </c>
      <c r="BG68" s="10" t="e">
        <f t="shared" si="17"/>
        <v>#VALUE!</v>
      </c>
      <c r="BH68" s="10" t="e">
        <f t="shared" si="45"/>
        <v>#VALUE!</v>
      </c>
      <c r="BI68" s="10" t="e">
        <f t="shared" si="46"/>
        <v>#VALUE!</v>
      </c>
      <c r="BJ68" s="10" t="e">
        <f t="shared" si="93"/>
        <v>#VALUE!</v>
      </c>
      <c r="BK68" s="10" t="e">
        <f t="shared" si="75"/>
        <v>#VALUE!</v>
      </c>
      <c r="BL68" s="10" t="e">
        <f t="shared" si="18"/>
        <v>#VALUE!</v>
      </c>
      <c r="BM68" s="10" t="e">
        <f t="shared" si="76"/>
        <v>#VALUE!</v>
      </c>
      <c r="BP68" s="10" t="e">
        <f t="shared" si="77"/>
        <v>#VALUE!</v>
      </c>
      <c r="BQ68" s="10" t="e">
        <f t="shared" si="78"/>
        <v>#VALUE!</v>
      </c>
      <c r="BR68" s="10" t="e">
        <f t="shared" si="79"/>
        <v>#VALUE!</v>
      </c>
      <c r="BS68" s="10" t="e">
        <f t="shared" si="80"/>
        <v>#VALUE!</v>
      </c>
      <c r="BT68" s="10" t="e">
        <f t="shared" si="81"/>
        <v>#VALUE!</v>
      </c>
      <c r="BU68" s="10" t="e">
        <f t="shared" si="82"/>
        <v>#VALUE!</v>
      </c>
      <c r="BW68" s="10" t="e">
        <f t="shared" si="54"/>
        <v>#VALUE!</v>
      </c>
      <c r="BX68" s="10" t="e">
        <f t="shared" si="55"/>
        <v>#VALUE!</v>
      </c>
      <c r="BY68" s="10" t="e">
        <f t="shared" si="56"/>
        <v>#VALUE!</v>
      </c>
      <c r="BZ68" s="10" t="e">
        <f t="shared" si="57"/>
        <v>#VALUE!</v>
      </c>
      <c r="CA68" s="10" t="e">
        <f t="shared" si="58"/>
        <v>#VALUE!</v>
      </c>
      <c r="CB68" s="10" t="e">
        <f t="shared" si="59"/>
        <v>#VALUE!</v>
      </c>
      <c r="CD68" s="10" t="e">
        <f>MATCH(INDEX($BP$12:$BU$12,1,MATCH(BP68,$BP$15:$BU$15,0)),结果汇总!$AI$10:$AI$13,0)</f>
        <v>#VALUE!</v>
      </c>
      <c r="CE68" s="10" t="e">
        <f>MATCH(INDEX($BP$12:$BU$12,1,MATCH(BQ68,$BP$15:$BU$15,0)),结果汇总!$AI$10:$AI$13,0)</f>
        <v>#VALUE!</v>
      </c>
      <c r="CF68" s="10" t="e">
        <f>MATCH(INDEX($BP$12:$BU$12,1,MATCH(BR68,$BP$15:$BU$15,0)),结果汇总!$AI$10:$AI$13,0)</f>
        <v>#VALUE!</v>
      </c>
      <c r="CG68" s="10" t="e">
        <f>MATCH(INDEX($BP$12:$BU$12,1,MATCH(BS68,$BP$15:$BU$15,0)),结果汇总!$AI$10:$AI$13,0)</f>
        <v>#VALUE!</v>
      </c>
      <c r="CH68" s="10" t="e">
        <f>MATCH(INDEX($BP$12:$BU$12,1,MATCH(BT68,$BP$15:$BU$15,0)),结果汇总!$AI$10:$AI$13,0)</f>
        <v>#VALUE!</v>
      </c>
      <c r="CI68" s="10" t="e">
        <f>MATCH(INDEX($BP$12:$BU$12,1,MATCH(BU68,$BP$15:$BU$15,0)),结果汇总!$AI$10:$AI$13,0)</f>
        <v>#VALUE!</v>
      </c>
      <c r="CK68" s="10">
        <f t="shared" si="94"/>
        <v>0</v>
      </c>
      <c r="CL68" s="10">
        <f t="shared" si="94"/>
        <v>0</v>
      </c>
      <c r="CM68" s="10">
        <f t="shared" si="94"/>
        <v>0</v>
      </c>
      <c r="CN68" s="10">
        <f t="shared" si="94"/>
        <v>0</v>
      </c>
      <c r="CO68" s="10" t="e">
        <f t="shared" si="95"/>
        <v>#DIV/0!</v>
      </c>
      <c r="CP68" s="10" t="e">
        <f t="shared" si="95"/>
        <v>#DIV/0!</v>
      </c>
      <c r="CQ68" s="10" t="e">
        <f t="shared" si="95"/>
        <v>#DIV/0!</v>
      </c>
      <c r="CR68" s="10" t="e">
        <f t="shared" si="95"/>
        <v>#DIV/0!</v>
      </c>
      <c r="CS68" s="10">
        <f t="shared" si="96"/>
        <v>0</v>
      </c>
      <c r="CT68" s="10">
        <f t="shared" si="96"/>
        <v>0</v>
      </c>
      <c r="CU68" s="10">
        <f t="shared" si="96"/>
        <v>0</v>
      </c>
      <c r="CV68" s="10">
        <f t="shared" si="96"/>
        <v>0</v>
      </c>
      <c r="CW68" s="10">
        <f t="shared" si="97"/>
        <v>0</v>
      </c>
      <c r="CX68" s="10">
        <f t="shared" si="97"/>
        <v>0</v>
      </c>
      <c r="CY68" s="10">
        <f t="shared" si="97"/>
        <v>0</v>
      </c>
      <c r="CZ68" s="10">
        <f t="shared" si="97"/>
        <v>0</v>
      </c>
    </row>
    <row r="69" spans="4:104" x14ac:dyDescent="0.15">
      <c r="D69" s="10">
        <v>54</v>
      </c>
      <c r="E69" s="10" t="e">
        <f t="shared" si="84"/>
        <v>#VALUE!</v>
      </c>
      <c r="F69" s="10" t="e">
        <f t="shared" si="3"/>
        <v>#VALUE!</v>
      </c>
      <c r="G69" s="10" t="e">
        <f t="shared" si="4"/>
        <v>#VALUE!</v>
      </c>
      <c r="H69" s="10" t="e">
        <f t="shared" si="24"/>
        <v>#VALUE!</v>
      </c>
      <c r="I69" s="10" t="e">
        <f t="shared" si="83"/>
        <v>#VALUE!</v>
      </c>
      <c r="J69" s="10" t="e">
        <f t="shared" si="85"/>
        <v>#VALUE!</v>
      </c>
      <c r="K69" s="10" t="e">
        <f t="shared" si="6"/>
        <v>#VALUE!</v>
      </c>
      <c r="L69" s="10" t="e">
        <f t="shared" si="7"/>
        <v>#VALUE!</v>
      </c>
      <c r="M69" s="10" t="e">
        <f t="shared" si="26"/>
        <v>#VALUE!</v>
      </c>
      <c r="O69" s="10" t="e">
        <f t="shared" si="86"/>
        <v>#VALUE!</v>
      </c>
      <c r="P69" s="10" t="e">
        <f t="shared" si="8"/>
        <v>#VALUE!</v>
      </c>
      <c r="Q69" s="10" t="e">
        <f t="shared" si="9"/>
        <v>#VALUE!</v>
      </c>
      <c r="R69" s="10" t="e">
        <f t="shared" si="28"/>
        <v>#VALUE!</v>
      </c>
      <c r="S69" s="10" t="e">
        <f t="shared" si="29"/>
        <v>#VALUE!</v>
      </c>
      <c r="T69" s="10" t="e">
        <f t="shared" si="64"/>
        <v>#VALUE!</v>
      </c>
      <c r="U69" s="10" t="e">
        <f t="shared" si="65"/>
        <v>#VALUE!</v>
      </c>
      <c r="V69" s="10" t="e">
        <f t="shared" si="10"/>
        <v>#VALUE!</v>
      </c>
      <c r="W69" s="10" t="e">
        <f t="shared" si="30"/>
        <v>#VALUE!</v>
      </c>
      <c r="Y69" s="10" t="e">
        <f t="shared" si="87"/>
        <v>#VALUE!</v>
      </c>
      <c r="Z69" s="11" t="e">
        <f t="shared" si="32"/>
        <v>#VALUE!</v>
      </c>
      <c r="AA69" s="10" t="e">
        <f t="shared" si="11"/>
        <v>#VALUE!</v>
      </c>
      <c r="AB69" s="10" t="e">
        <f t="shared" si="33"/>
        <v>#VALUE!</v>
      </c>
      <c r="AC69" s="10" t="e">
        <f t="shared" si="34"/>
        <v>#VALUE!</v>
      </c>
      <c r="AD69" s="10" t="e">
        <f t="shared" si="66"/>
        <v>#VALUE!</v>
      </c>
      <c r="AE69" s="10" t="e">
        <f t="shared" si="67"/>
        <v>#VALUE!</v>
      </c>
      <c r="AF69" s="10" t="e">
        <f t="shared" si="12"/>
        <v>#VALUE!</v>
      </c>
      <c r="AG69" s="10" t="e">
        <f t="shared" si="35"/>
        <v>#VALUE!</v>
      </c>
      <c r="AI69" s="13"/>
      <c r="AK69" s="10" t="e">
        <f t="shared" si="88"/>
        <v>#VALUE!</v>
      </c>
      <c r="AL69" s="10" t="e">
        <f t="shared" si="68"/>
        <v>#VALUE!</v>
      </c>
      <c r="AM69" s="10" t="e">
        <f t="shared" si="13"/>
        <v>#VALUE!</v>
      </c>
      <c r="AN69" s="10" t="e">
        <f t="shared" si="37"/>
        <v>#VALUE!</v>
      </c>
      <c r="AO69" s="10" t="e">
        <f t="shared" si="38"/>
        <v>#VALUE!</v>
      </c>
      <c r="AP69" s="10" t="e">
        <f t="shared" si="89"/>
        <v>#VALUE!</v>
      </c>
      <c r="AQ69" s="10" t="e">
        <f t="shared" si="69"/>
        <v>#VALUE!</v>
      </c>
      <c r="AR69" s="10" t="e">
        <f t="shared" si="14"/>
        <v>#VALUE!</v>
      </c>
      <c r="AS69" s="10" t="e">
        <f t="shared" si="70"/>
        <v>#VALUE!</v>
      </c>
      <c r="AU69" s="10" t="e">
        <f t="shared" si="90"/>
        <v>#VALUE!</v>
      </c>
      <c r="AV69" s="10" t="e">
        <f t="shared" si="71"/>
        <v>#VALUE!</v>
      </c>
      <c r="AW69" s="10" t="e">
        <f t="shared" si="15"/>
        <v>#VALUE!</v>
      </c>
      <c r="AX69" s="10" t="e">
        <f t="shared" si="41"/>
        <v>#VALUE!</v>
      </c>
      <c r="AY69" s="10" t="e">
        <f t="shared" si="42"/>
        <v>#VALUE!</v>
      </c>
      <c r="AZ69" s="10" t="e">
        <f t="shared" si="91"/>
        <v>#VALUE!</v>
      </c>
      <c r="BA69" s="10" t="e">
        <f t="shared" si="72"/>
        <v>#VALUE!</v>
      </c>
      <c r="BB69" s="10" t="e">
        <f t="shared" si="16"/>
        <v>#VALUE!</v>
      </c>
      <c r="BC69" s="10" t="e">
        <f t="shared" si="73"/>
        <v>#VALUE!</v>
      </c>
      <c r="BE69" s="10" t="e">
        <f t="shared" si="92"/>
        <v>#VALUE!</v>
      </c>
      <c r="BF69" s="10" t="e">
        <f t="shared" si="74"/>
        <v>#VALUE!</v>
      </c>
      <c r="BG69" s="10" t="e">
        <f t="shared" si="17"/>
        <v>#VALUE!</v>
      </c>
      <c r="BH69" s="10" t="e">
        <f t="shared" si="45"/>
        <v>#VALUE!</v>
      </c>
      <c r="BI69" s="10" t="e">
        <f t="shared" si="46"/>
        <v>#VALUE!</v>
      </c>
      <c r="BJ69" s="10" t="e">
        <f t="shared" si="93"/>
        <v>#VALUE!</v>
      </c>
      <c r="BK69" s="10" t="e">
        <f t="shared" si="75"/>
        <v>#VALUE!</v>
      </c>
      <c r="BL69" s="10" t="e">
        <f t="shared" si="18"/>
        <v>#VALUE!</v>
      </c>
      <c r="BM69" s="10" t="e">
        <f t="shared" si="76"/>
        <v>#VALUE!</v>
      </c>
      <c r="BP69" s="10" t="e">
        <f t="shared" si="77"/>
        <v>#VALUE!</v>
      </c>
      <c r="BQ69" s="10" t="e">
        <f t="shared" si="78"/>
        <v>#VALUE!</v>
      </c>
      <c r="BR69" s="10" t="e">
        <f t="shared" si="79"/>
        <v>#VALUE!</v>
      </c>
      <c r="BS69" s="10" t="e">
        <f t="shared" si="80"/>
        <v>#VALUE!</v>
      </c>
      <c r="BT69" s="10" t="e">
        <f t="shared" si="81"/>
        <v>#VALUE!</v>
      </c>
      <c r="BU69" s="10" t="e">
        <f t="shared" si="82"/>
        <v>#VALUE!</v>
      </c>
      <c r="BW69" s="10" t="e">
        <f t="shared" si="54"/>
        <v>#VALUE!</v>
      </c>
      <c r="BX69" s="10" t="e">
        <f t="shared" si="55"/>
        <v>#VALUE!</v>
      </c>
      <c r="BY69" s="10" t="e">
        <f t="shared" si="56"/>
        <v>#VALUE!</v>
      </c>
      <c r="BZ69" s="10" t="e">
        <f t="shared" si="57"/>
        <v>#VALUE!</v>
      </c>
      <c r="CA69" s="10" t="e">
        <f t="shared" si="58"/>
        <v>#VALUE!</v>
      </c>
      <c r="CB69" s="10" t="e">
        <f t="shared" si="59"/>
        <v>#VALUE!</v>
      </c>
      <c r="CD69" s="10" t="e">
        <f>MATCH(INDEX($BP$12:$BU$12,1,MATCH(BP69,$BP$15:$BU$15,0)),结果汇总!$AI$10:$AI$13,0)</f>
        <v>#VALUE!</v>
      </c>
      <c r="CE69" s="10" t="e">
        <f>MATCH(INDEX($BP$12:$BU$12,1,MATCH(BQ69,$BP$15:$BU$15,0)),结果汇总!$AI$10:$AI$13,0)</f>
        <v>#VALUE!</v>
      </c>
      <c r="CF69" s="10" t="e">
        <f>MATCH(INDEX($BP$12:$BU$12,1,MATCH(BR69,$BP$15:$BU$15,0)),结果汇总!$AI$10:$AI$13,0)</f>
        <v>#VALUE!</v>
      </c>
      <c r="CG69" s="10" t="e">
        <f>MATCH(INDEX($BP$12:$BU$12,1,MATCH(BS69,$BP$15:$BU$15,0)),结果汇总!$AI$10:$AI$13,0)</f>
        <v>#VALUE!</v>
      </c>
      <c r="CH69" s="10" t="e">
        <f>MATCH(INDEX($BP$12:$BU$12,1,MATCH(BT69,$BP$15:$BU$15,0)),结果汇总!$AI$10:$AI$13,0)</f>
        <v>#VALUE!</v>
      </c>
      <c r="CI69" s="10" t="e">
        <f>MATCH(INDEX($BP$12:$BU$12,1,MATCH(BU69,$BP$15:$BU$15,0)),结果汇总!$AI$10:$AI$13,0)</f>
        <v>#VALUE!</v>
      </c>
      <c r="CK69" s="10">
        <f t="shared" si="94"/>
        <v>0</v>
      </c>
      <c r="CL69" s="10">
        <f t="shared" si="94"/>
        <v>0</v>
      </c>
      <c r="CM69" s="10">
        <f t="shared" si="94"/>
        <v>0</v>
      </c>
      <c r="CN69" s="10">
        <f t="shared" si="94"/>
        <v>0</v>
      </c>
      <c r="CO69" s="10" t="e">
        <f t="shared" si="95"/>
        <v>#DIV/0!</v>
      </c>
      <c r="CP69" s="10" t="e">
        <f t="shared" si="95"/>
        <v>#DIV/0!</v>
      </c>
      <c r="CQ69" s="10" t="e">
        <f t="shared" si="95"/>
        <v>#DIV/0!</v>
      </c>
      <c r="CR69" s="10" t="e">
        <f t="shared" si="95"/>
        <v>#DIV/0!</v>
      </c>
      <c r="CS69" s="10">
        <f t="shared" si="96"/>
        <v>0</v>
      </c>
      <c r="CT69" s="10">
        <f t="shared" si="96"/>
        <v>0</v>
      </c>
      <c r="CU69" s="10">
        <f t="shared" si="96"/>
        <v>0</v>
      </c>
      <c r="CV69" s="10">
        <f t="shared" si="96"/>
        <v>0</v>
      </c>
      <c r="CW69" s="10">
        <f t="shared" si="97"/>
        <v>0</v>
      </c>
      <c r="CX69" s="10">
        <f t="shared" si="97"/>
        <v>0</v>
      </c>
      <c r="CY69" s="10">
        <f t="shared" si="97"/>
        <v>0</v>
      </c>
      <c r="CZ69" s="10">
        <f t="shared" si="97"/>
        <v>0</v>
      </c>
    </row>
    <row r="70" spans="4:104" x14ac:dyDescent="0.15">
      <c r="D70" s="10">
        <v>55</v>
      </c>
      <c r="E70" s="10" t="e">
        <f t="shared" si="84"/>
        <v>#VALUE!</v>
      </c>
      <c r="F70" s="10" t="e">
        <f t="shared" si="3"/>
        <v>#VALUE!</v>
      </c>
      <c r="G70" s="10" t="e">
        <f t="shared" si="4"/>
        <v>#VALUE!</v>
      </c>
      <c r="H70" s="10" t="e">
        <f t="shared" si="24"/>
        <v>#VALUE!</v>
      </c>
      <c r="I70" s="10" t="e">
        <f t="shared" si="83"/>
        <v>#VALUE!</v>
      </c>
      <c r="J70" s="10" t="e">
        <f t="shared" si="85"/>
        <v>#VALUE!</v>
      </c>
      <c r="K70" s="10" t="e">
        <f t="shared" si="6"/>
        <v>#VALUE!</v>
      </c>
      <c r="L70" s="10" t="e">
        <f t="shared" si="7"/>
        <v>#VALUE!</v>
      </c>
      <c r="M70" s="10" t="e">
        <f t="shared" si="26"/>
        <v>#VALUE!</v>
      </c>
      <c r="O70" s="10" t="e">
        <f t="shared" si="86"/>
        <v>#VALUE!</v>
      </c>
      <c r="P70" s="10" t="e">
        <f t="shared" si="8"/>
        <v>#VALUE!</v>
      </c>
      <c r="Q70" s="10" t="e">
        <f t="shared" si="9"/>
        <v>#VALUE!</v>
      </c>
      <c r="R70" s="10" t="e">
        <f t="shared" si="28"/>
        <v>#VALUE!</v>
      </c>
      <c r="S70" s="10" t="e">
        <f t="shared" si="29"/>
        <v>#VALUE!</v>
      </c>
      <c r="T70" s="10" t="e">
        <f t="shared" si="64"/>
        <v>#VALUE!</v>
      </c>
      <c r="U70" s="10" t="e">
        <f t="shared" si="65"/>
        <v>#VALUE!</v>
      </c>
      <c r="V70" s="10" t="e">
        <f t="shared" si="10"/>
        <v>#VALUE!</v>
      </c>
      <c r="W70" s="10" t="e">
        <f t="shared" si="30"/>
        <v>#VALUE!</v>
      </c>
      <c r="Y70" s="10" t="e">
        <f t="shared" si="87"/>
        <v>#VALUE!</v>
      </c>
      <c r="Z70" s="11" t="e">
        <f t="shared" si="32"/>
        <v>#VALUE!</v>
      </c>
      <c r="AA70" s="10" t="e">
        <f t="shared" si="11"/>
        <v>#VALUE!</v>
      </c>
      <c r="AB70" s="10" t="e">
        <f t="shared" si="33"/>
        <v>#VALUE!</v>
      </c>
      <c r="AC70" s="10" t="e">
        <f t="shared" si="34"/>
        <v>#VALUE!</v>
      </c>
      <c r="AD70" s="10" t="e">
        <f t="shared" si="66"/>
        <v>#VALUE!</v>
      </c>
      <c r="AE70" s="10" t="e">
        <f t="shared" si="67"/>
        <v>#VALUE!</v>
      </c>
      <c r="AF70" s="10" t="e">
        <f t="shared" si="12"/>
        <v>#VALUE!</v>
      </c>
      <c r="AG70" s="10" t="e">
        <f t="shared" si="35"/>
        <v>#VALUE!</v>
      </c>
      <c r="AI70" s="13"/>
      <c r="AK70" s="10" t="e">
        <f t="shared" si="88"/>
        <v>#VALUE!</v>
      </c>
      <c r="AL70" s="10" t="e">
        <f t="shared" si="68"/>
        <v>#VALUE!</v>
      </c>
      <c r="AM70" s="10" t="e">
        <f t="shared" si="13"/>
        <v>#VALUE!</v>
      </c>
      <c r="AN70" s="10" t="e">
        <f t="shared" si="37"/>
        <v>#VALUE!</v>
      </c>
      <c r="AO70" s="10" t="e">
        <f t="shared" si="38"/>
        <v>#VALUE!</v>
      </c>
      <c r="AP70" s="10" t="e">
        <f t="shared" si="89"/>
        <v>#VALUE!</v>
      </c>
      <c r="AQ70" s="10" t="e">
        <f t="shared" si="69"/>
        <v>#VALUE!</v>
      </c>
      <c r="AR70" s="10" t="e">
        <f t="shared" si="14"/>
        <v>#VALUE!</v>
      </c>
      <c r="AS70" s="10" t="e">
        <f t="shared" si="70"/>
        <v>#VALUE!</v>
      </c>
      <c r="AU70" s="10" t="e">
        <f t="shared" si="90"/>
        <v>#VALUE!</v>
      </c>
      <c r="AV70" s="10" t="e">
        <f t="shared" si="71"/>
        <v>#VALUE!</v>
      </c>
      <c r="AW70" s="10" t="e">
        <f t="shared" si="15"/>
        <v>#VALUE!</v>
      </c>
      <c r="AX70" s="10" t="e">
        <f t="shared" si="41"/>
        <v>#VALUE!</v>
      </c>
      <c r="AY70" s="10" t="e">
        <f t="shared" si="42"/>
        <v>#VALUE!</v>
      </c>
      <c r="AZ70" s="10" t="e">
        <f t="shared" si="91"/>
        <v>#VALUE!</v>
      </c>
      <c r="BA70" s="10" t="e">
        <f t="shared" si="72"/>
        <v>#VALUE!</v>
      </c>
      <c r="BB70" s="10" t="e">
        <f t="shared" si="16"/>
        <v>#VALUE!</v>
      </c>
      <c r="BC70" s="10" t="e">
        <f t="shared" si="73"/>
        <v>#VALUE!</v>
      </c>
      <c r="BE70" s="10" t="e">
        <f t="shared" si="92"/>
        <v>#VALUE!</v>
      </c>
      <c r="BF70" s="10" t="e">
        <f t="shared" si="74"/>
        <v>#VALUE!</v>
      </c>
      <c r="BG70" s="10" t="e">
        <f t="shared" si="17"/>
        <v>#VALUE!</v>
      </c>
      <c r="BH70" s="10" t="e">
        <f t="shared" si="45"/>
        <v>#VALUE!</v>
      </c>
      <c r="BI70" s="10" t="e">
        <f t="shared" si="46"/>
        <v>#VALUE!</v>
      </c>
      <c r="BJ70" s="10" t="e">
        <f t="shared" si="93"/>
        <v>#VALUE!</v>
      </c>
      <c r="BK70" s="10" t="e">
        <f t="shared" si="75"/>
        <v>#VALUE!</v>
      </c>
      <c r="BL70" s="10" t="e">
        <f t="shared" si="18"/>
        <v>#VALUE!</v>
      </c>
      <c r="BM70" s="10" t="e">
        <f t="shared" si="76"/>
        <v>#VALUE!</v>
      </c>
      <c r="BP70" s="10" t="e">
        <f t="shared" si="77"/>
        <v>#VALUE!</v>
      </c>
      <c r="BQ70" s="10" t="e">
        <f t="shared" si="78"/>
        <v>#VALUE!</v>
      </c>
      <c r="BR70" s="10" t="e">
        <f t="shared" si="79"/>
        <v>#VALUE!</v>
      </c>
      <c r="BS70" s="10" t="e">
        <f t="shared" si="80"/>
        <v>#VALUE!</v>
      </c>
      <c r="BT70" s="10" t="e">
        <f t="shared" si="81"/>
        <v>#VALUE!</v>
      </c>
      <c r="BU70" s="10" t="e">
        <f t="shared" si="82"/>
        <v>#VALUE!</v>
      </c>
      <c r="BW70" s="10" t="e">
        <f t="shared" si="54"/>
        <v>#VALUE!</v>
      </c>
      <c r="BX70" s="10" t="e">
        <f t="shared" si="55"/>
        <v>#VALUE!</v>
      </c>
      <c r="BY70" s="10" t="e">
        <f t="shared" si="56"/>
        <v>#VALUE!</v>
      </c>
      <c r="BZ70" s="10" t="e">
        <f t="shared" si="57"/>
        <v>#VALUE!</v>
      </c>
      <c r="CA70" s="10" t="e">
        <f t="shared" si="58"/>
        <v>#VALUE!</v>
      </c>
      <c r="CB70" s="10" t="e">
        <f t="shared" si="59"/>
        <v>#VALUE!</v>
      </c>
      <c r="CD70" s="10" t="e">
        <f>MATCH(INDEX($BP$12:$BU$12,1,MATCH(BP70,$BP$15:$BU$15,0)),结果汇总!$AI$10:$AI$13,0)</f>
        <v>#VALUE!</v>
      </c>
      <c r="CE70" s="10" t="e">
        <f>MATCH(INDEX($BP$12:$BU$12,1,MATCH(BQ70,$BP$15:$BU$15,0)),结果汇总!$AI$10:$AI$13,0)</f>
        <v>#VALUE!</v>
      </c>
      <c r="CF70" s="10" t="e">
        <f>MATCH(INDEX($BP$12:$BU$12,1,MATCH(BR70,$BP$15:$BU$15,0)),结果汇总!$AI$10:$AI$13,0)</f>
        <v>#VALUE!</v>
      </c>
      <c r="CG70" s="10" t="e">
        <f>MATCH(INDEX($BP$12:$BU$12,1,MATCH(BS70,$BP$15:$BU$15,0)),结果汇总!$AI$10:$AI$13,0)</f>
        <v>#VALUE!</v>
      </c>
      <c r="CH70" s="10" t="e">
        <f>MATCH(INDEX($BP$12:$BU$12,1,MATCH(BT70,$BP$15:$BU$15,0)),结果汇总!$AI$10:$AI$13,0)</f>
        <v>#VALUE!</v>
      </c>
      <c r="CI70" s="10" t="e">
        <f>MATCH(INDEX($BP$12:$BU$12,1,MATCH(BU70,$BP$15:$BU$15,0)),结果汇总!$AI$10:$AI$13,0)</f>
        <v>#VALUE!</v>
      </c>
      <c r="CK70" s="10">
        <f t="shared" si="94"/>
        <v>0</v>
      </c>
      <c r="CL70" s="10">
        <f t="shared" si="94"/>
        <v>0</v>
      </c>
      <c r="CM70" s="10">
        <f t="shared" si="94"/>
        <v>0</v>
      </c>
      <c r="CN70" s="10">
        <f t="shared" si="94"/>
        <v>0</v>
      </c>
      <c r="CO70" s="10" t="e">
        <f t="shared" si="95"/>
        <v>#DIV/0!</v>
      </c>
      <c r="CP70" s="10" t="e">
        <f t="shared" si="95"/>
        <v>#DIV/0!</v>
      </c>
      <c r="CQ70" s="10" t="e">
        <f t="shared" si="95"/>
        <v>#DIV/0!</v>
      </c>
      <c r="CR70" s="10" t="e">
        <f t="shared" si="95"/>
        <v>#DIV/0!</v>
      </c>
      <c r="CS70" s="10">
        <f t="shared" si="96"/>
        <v>0</v>
      </c>
      <c r="CT70" s="10">
        <f t="shared" si="96"/>
        <v>0</v>
      </c>
      <c r="CU70" s="10">
        <f t="shared" si="96"/>
        <v>0</v>
      </c>
      <c r="CV70" s="10">
        <f t="shared" si="96"/>
        <v>0</v>
      </c>
      <c r="CW70" s="10">
        <f t="shared" si="97"/>
        <v>0</v>
      </c>
      <c r="CX70" s="10">
        <f t="shared" si="97"/>
        <v>0</v>
      </c>
      <c r="CY70" s="10">
        <f t="shared" si="97"/>
        <v>0</v>
      </c>
      <c r="CZ70" s="10">
        <f t="shared" si="97"/>
        <v>0</v>
      </c>
    </row>
    <row r="71" spans="4:104" x14ac:dyDescent="0.15">
      <c r="D71" s="10">
        <v>56</v>
      </c>
      <c r="E71" s="10" t="e">
        <f t="shared" si="84"/>
        <v>#VALUE!</v>
      </c>
      <c r="F71" s="10" t="e">
        <f t="shared" si="3"/>
        <v>#VALUE!</v>
      </c>
      <c r="G71" s="10" t="e">
        <f t="shared" si="4"/>
        <v>#VALUE!</v>
      </c>
      <c r="H71" s="10" t="e">
        <f t="shared" si="24"/>
        <v>#VALUE!</v>
      </c>
      <c r="I71" s="10" t="e">
        <f t="shared" si="83"/>
        <v>#VALUE!</v>
      </c>
      <c r="J71" s="10" t="e">
        <f t="shared" si="85"/>
        <v>#VALUE!</v>
      </c>
      <c r="K71" s="10" t="e">
        <f t="shared" si="6"/>
        <v>#VALUE!</v>
      </c>
      <c r="L71" s="10" t="e">
        <f t="shared" si="7"/>
        <v>#VALUE!</v>
      </c>
      <c r="M71" s="10" t="e">
        <f t="shared" si="26"/>
        <v>#VALUE!</v>
      </c>
      <c r="O71" s="10" t="e">
        <f t="shared" si="86"/>
        <v>#VALUE!</v>
      </c>
      <c r="P71" s="10" t="e">
        <f t="shared" si="8"/>
        <v>#VALUE!</v>
      </c>
      <c r="Q71" s="10" t="e">
        <f t="shared" si="9"/>
        <v>#VALUE!</v>
      </c>
      <c r="R71" s="10" t="e">
        <f t="shared" si="28"/>
        <v>#VALUE!</v>
      </c>
      <c r="S71" s="10" t="e">
        <f t="shared" si="29"/>
        <v>#VALUE!</v>
      </c>
      <c r="T71" s="10" t="e">
        <f t="shared" si="64"/>
        <v>#VALUE!</v>
      </c>
      <c r="U71" s="10" t="e">
        <f t="shared" si="65"/>
        <v>#VALUE!</v>
      </c>
      <c r="V71" s="10" t="e">
        <f t="shared" si="10"/>
        <v>#VALUE!</v>
      </c>
      <c r="W71" s="10" t="e">
        <f t="shared" si="30"/>
        <v>#VALUE!</v>
      </c>
      <c r="Y71" s="10" t="e">
        <f t="shared" si="87"/>
        <v>#VALUE!</v>
      </c>
      <c r="Z71" s="11" t="e">
        <f t="shared" si="32"/>
        <v>#VALUE!</v>
      </c>
      <c r="AA71" s="10" t="e">
        <f t="shared" si="11"/>
        <v>#VALUE!</v>
      </c>
      <c r="AB71" s="10" t="e">
        <f t="shared" si="33"/>
        <v>#VALUE!</v>
      </c>
      <c r="AC71" s="10" t="e">
        <f t="shared" si="34"/>
        <v>#VALUE!</v>
      </c>
      <c r="AD71" s="10" t="e">
        <f t="shared" si="66"/>
        <v>#VALUE!</v>
      </c>
      <c r="AE71" s="10" t="e">
        <f t="shared" si="67"/>
        <v>#VALUE!</v>
      </c>
      <c r="AF71" s="10" t="e">
        <f t="shared" si="12"/>
        <v>#VALUE!</v>
      </c>
      <c r="AG71" s="10" t="e">
        <f t="shared" si="35"/>
        <v>#VALUE!</v>
      </c>
      <c r="AI71" s="13"/>
      <c r="AK71" s="10" t="e">
        <f t="shared" si="88"/>
        <v>#VALUE!</v>
      </c>
      <c r="AL71" s="10" t="e">
        <f t="shared" si="68"/>
        <v>#VALUE!</v>
      </c>
      <c r="AM71" s="10" t="e">
        <f t="shared" si="13"/>
        <v>#VALUE!</v>
      </c>
      <c r="AN71" s="10" t="e">
        <f t="shared" si="37"/>
        <v>#VALUE!</v>
      </c>
      <c r="AO71" s="10" t="e">
        <f t="shared" si="38"/>
        <v>#VALUE!</v>
      </c>
      <c r="AP71" s="10" t="e">
        <f t="shared" si="89"/>
        <v>#VALUE!</v>
      </c>
      <c r="AQ71" s="10" t="e">
        <f t="shared" si="69"/>
        <v>#VALUE!</v>
      </c>
      <c r="AR71" s="10" t="e">
        <f t="shared" si="14"/>
        <v>#VALUE!</v>
      </c>
      <c r="AS71" s="10" t="e">
        <f t="shared" si="70"/>
        <v>#VALUE!</v>
      </c>
      <c r="AU71" s="10" t="e">
        <f t="shared" si="90"/>
        <v>#VALUE!</v>
      </c>
      <c r="AV71" s="10" t="e">
        <f t="shared" si="71"/>
        <v>#VALUE!</v>
      </c>
      <c r="AW71" s="10" t="e">
        <f t="shared" si="15"/>
        <v>#VALUE!</v>
      </c>
      <c r="AX71" s="10" t="e">
        <f t="shared" si="41"/>
        <v>#VALUE!</v>
      </c>
      <c r="AY71" s="10" t="e">
        <f t="shared" si="42"/>
        <v>#VALUE!</v>
      </c>
      <c r="AZ71" s="10" t="e">
        <f t="shared" si="91"/>
        <v>#VALUE!</v>
      </c>
      <c r="BA71" s="10" t="e">
        <f t="shared" si="72"/>
        <v>#VALUE!</v>
      </c>
      <c r="BB71" s="10" t="e">
        <f t="shared" si="16"/>
        <v>#VALUE!</v>
      </c>
      <c r="BC71" s="10" t="e">
        <f t="shared" si="73"/>
        <v>#VALUE!</v>
      </c>
      <c r="BE71" s="10" t="e">
        <f t="shared" si="92"/>
        <v>#VALUE!</v>
      </c>
      <c r="BF71" s="10" t="e">
        <f t="shared" si="74"/>
        <v>#VALUE!</v>
      </c>
      <c r="BG71" s="10" t="e">
        <f t="shared" si="17"/>
        <v>#VALUE!</v>
      </c>
      <c r="BH71" s="10" t="e">
        <f t="shared" si="45"/>
        <v>#VALUE!</v>
      </c>
      <c r="BI71" s="10" t="e">
        <f t="shared" si="46"/>
        <v>#VALUE!</v>
      </c>
      <c r="BJ71" s="10" t="e">
        <f t="shared" si="93"/>
        <v>#VALUE!</v>
      </c>
      <c r="BK71" s="10" t="e">
        <f t="shared" si="75"/>
        <v>#VALUE!</v>
      </c>
      <c r="BL71" s="10" t="e">
        <f t="shared" si="18"/>
        <v>#VALUE!</v>
      </c>
      <c r="BM71" s="10" t="e">
        <f t="shared" si="76"/>
        <v>#VALUE!</v>
      </c>
      <c r="BP71" s="10" t="e">
        <f t="shared" si="77"/>
        <v>#VALUE!</v>
      </c>
      <c r="BQ71" s="10" t="e">
        <f t="shared" si="78"/>
        <v>#VALUE!</v>
      </c>
      <c r="BR71" s="10" t="e">
        <f t="shared" si="79"/>
        <v>#VALUE!</v>
      </c>
      <c r="BS71" s="10" t="e">
        <f t="shared" si="80"/>
        <v>#VALUE!</v>
      </c>
      <c r="BT71" s="10" t="e">
        <f t="shared" si="81"/>
        <v>#VALUE!</v>
      </c>
      <c r="BU71" s="10" t="e">
        <f t="shared" si="82"/>
        <v>#VALUE!</v>
      </c>
      <c r="BW71" s="10" t="e">
        <f t="shared" si="54"/>
        <v>#VALUE!</v>
      </c>
      <c r="BX71" s="10" t="e">
        <f t="shared" si="55"/>
        <v>#VALUE!</v>
      </c>
      <c r="BY71" s="10" t="e">
        <f t="shared" si="56"/>
        <v>#VALUE!</v>
      </c>
      <c r="BZ71" s="10" t="e">
        <f t="shared" si="57"/>
        <v>#VALUE!</v>
      </c>
      <c r="CA71" s="10" t="e">
        <f t="shared" si="58"/>
        <v>#VALUE!</v>
      </c>
      <c r="CB71" s="10" t="e">
        <f t="shared" si="59"/>
        <v>#VALUE!</v>
      </c>
      <c r="CD71" s="10" t="e">
        <f>MATCH(INDEX($BP$12:$BU$12,1,MATCH(BP71,$BP$15:$BU$15,0)),结果汇总!$AI$10:$AI$13,0)</f>
        <v>#VALUE!</v>
      </c>
      <c r="CE71" s="10" t="e">
        <f>MATCH(INDEX($BP$12:$BU$12,1,MATCH(BQ71,$BP$15:$BU$15,0)),结果汇总!$AI$10:$AI$13,0)</f>
        <v>#VALUE!</v>
      </c>
      <c r="CF71" s="10" t="e">
        <f>MATCH(INDEX($BP$12:$BU$12,1,MATCH(BR71,$BP$15:$BU$15,0)),结果汇总!$AI$10:$AI$13,0)</f>
        <v>#VALUE!</v>
      </c>
      <c r="CG71" s="10" t="e">
        <f>MATCH(INDEX($BP$12:$BU$12,1,MATCH(BS71,$BP$15:$BU$15,0)),结果汇总!$AI$10:$AI$13,0)</f>
        <v>#VALUE!</v>
      </c>
      <c r="CH71" s="10" t="e">
        <f>MATCH(INDEX($BP$12:$BU$12,1,MATCH(BT71,$BP$15:$BU$15,0)),结果汇总!$AI$10:$AI$13,0)</f>
        <v>#VALUE!</v>
      </c>
      <c r="CI71" s="10" t="e">
        <f>MATCH(INDEX($BP$12:$BU$12,1,MATCH(BU71,$BP$15:$BU$15,0)),结果汇总!$AI$10:$AI$13,0)</f>
        <v>#VALUE!</v>
      </c>
      <c r="CK71" s="10">
        <f t="shared" si="94"/>
        <v>0</v>
      </c>
      <c r="CL71" s="10">
        <f t="shared" si="94"/>
        <v>0</v>
      </c>
      <c r="CM71" s="10">
        <f t="shared" si="94"/>
        <v>0</v>
      </c>
      <c r="CN71" s="10">
        <f t="shared" si="94"/>
        <v>0</v>
      </c>
      <c r="CO71" s="10" t="e">
        <f t="shared" si="95"/>
        <v>#DIV/0!</v>
      </c>
      <c r="CP71" s="10" t="e">
        <f t="shared" si="95"/>
        <v>#DIV/0!</v>
      </c>
      <c r="CQ71" s="10" t="e">
        <f t="shared" si="95"/>
        <v>#DIV/0!</v>
      </c>
      <c r="CR71" s="10" t="e">
        <f t="shared" si="95"/>
        <v>#DIV/0!</v>
      </c>
      <c r="CS71" s="10">
        <f t="shared" si="96"/>
        <v>0</v>
      </c>
      <c r="CT71" s="10">
        <f t="shared" si="96"/>
        <v>0</v>
      </c>
      <c r="CU71" s="10">
        <f t="shared" si="96"/>
        <v>0</v>
      </c>
      <c r="CV71" s="10">
        <f t="shared" si="96"/>
        <v>0</v>
      </c>
      <c r="CW71" s="10">
        <f t="shared" si="97"/>
        <v>0</v>
      </c>
      <c r="CX71" s="10">
        <f t="shared" si="97"/>
        <v>0</v>
      </c>
      <c r="CY71" s="10">
        <f t="shared" si="97"/>
        <v>0</v>
      </c>
      <c r="CZ71" s="10">
        <f t="shared" si="97"/>
        <v>0</v>
      </c>
    </row>
    <row r="72" spans="4:104" x14ac:dyDescent="0.15">
      <c r="D72" s="10">
        <v>57</v>
      </c>
      <c r="E72" s="10" t="e">
        <f t="shared" si="84"/>
        <v>#VALUE!</v>
      </c>
      <c r="F72" s="10" t="e">
        <f t="shared" si="3"/>
        <v>#VALUE!</v>
      </c>
      <c r="G72" s="10" t="e">
        <f t="shared" si="4"/>
        <v>#VALUE!</v>
      </c>
      <c r="H72" s="10" t="e">
        <f t="shared" si="24"/>
        <v>#VALUE!</v>
      </c>
      <c r="I72" s="10" t="e">
        <f t="shared" si="83"/>
        <v>#VALUE!</v>
      </c>
      <c r="J72" s="10" t="e">
        <f t="shared" si="85"/>
        <v>#VALUE!</v>
      </c>
      <c r="K72" s="10" t="e">
        <f t="shared" si="6"/>
        <v>#VALUE!</v>
      </c>
      <c r="L72" s="10" t="e">
        <f t="shared" si="7"/>
        <v>#VALUE!</v>
      </c>
      <c r="M72" s="10" t="e">
        <f t="shared" si="26"/>
        <v>#VALUE!</v>
      </c>
      <c r="O72" s="10" t="e">
        <f t="shared" si="86"/>
        <v>#VALUE!</v>
      </c>
      <c r="P72" s="10" t="e">
        <f t="shared" si="8"/>
        <v>#VALUE!</v>
      </c>
      <c r="Q72" s="10" t="e">
        <f t="shared" si="9"/>
        <v>#VALUE!</v>
      </c>
      <c r="R72" s="10" t="e">
        <f t="shared" si="28"/>
        <v>#VALUE!</v>
      </c>
      <c r="S72" s="10" t="e">
        <f t="shared" si="29"/>
        <v>#VALUE!</v>
      </c>
      <c r="T72" s="10" t="e">
        <f t="shared" si="64"/>
        <v>#VALUE!</v>
      </c>
      <c r="U72" s="10" t="e">
        <f t="shared" si="65"/>
        <v>#VALUE!</v>
      </c>
      <c r="V72" s="10" t="e">
        <f t="shared" si="10"/>
        <v>#VALUE!</v>
      </c>
      <c r="W72" s="10" t="e">
        <f t="shared" si="30"/>
        <v>#VALUE!</v>
      </c>
      <c r="Y72" s="10" t="e">
        <f t="shared" si="87"/>
        <v>#VALUE!</v>
      </c>
      <c r="Z72" s="11" t="e">
        <f t="shared" si="32"/>
        <v>#VALUE!</v>
      </c>
      <c r="AA72" s="10" t="e">
        <f t="shared" si="11"/>
        <v>#VALUE!</v>
      </c>
      <c r="AB72" s="10" t="e">
        <f t="shared" si="33"/>
        <v>#VALUE!</v>
      </c>
      <c r="AC72" s="10" t="e">
        <f t="shared" si="34"/>
        <v>#VALUE!</v>
      </c>
      <c r="AD72" s="10" t="e">
        <f t="shared" si="66"/>
        <v>#VALUE!</v>
      </c>
      <c r="AE72" s="10" t="e">
        <f t="shared" si="67"/>
        <v>#VALUE!</v>
      </c>
      <c r="AF72" s="10" t="e">
        <f t="shared" si="12"/>
        <v>#VALUE!</v>
      </c>
      <c r="AG72" s="10" t="e">
        <f t="shared" si="35"/>
        <v>#VALUE!</v>
      </c>
      <c r="AI72" s="13"/>
      <c r="AK72" s="10" t="e">
        <f t="shared" si="88"/>
        <v>#VALUE!</v>
      </c>
      <c r="AL72" s="10" t="e">
        <f t="shared" si="68"/>
        <v>#VALUE!</v>
      </c>
      <c r="AM72" s="10" t="e">
        <f t="shared" si="13"/>
        <v>#VALUE!</v>
      </c>
      <c r="AN72" s="10" t="e">
        <f t="shared" si="37"/>
        <v>#VALUE!</v>
      </c>
      <c r="AO72" s="10" t="e">
        <f t="shared" si="38"/>
        <v>#VALUE!</v>
      </c>
      <c r="AP72" s="10" t="e">
        <f t="shared" si="89"/>
        <v>#VALUE!</v>
      </c>
      <c r="AQ72" s="10" t="e">
        <f t="shared" si="69"/>
        <v>#VALUE!</v>
      </c>
      <c r="AR72" s="10" t="e">
        <f t="shared" si="14"/>
        <v>#VALUE!</v>
      </c>
      <c r="AS72" s="10" t="e">
        <f t="shared" si="70"/>
        <v>#VALUE!</v>
      </c>
      <c r="AU72" s="10" t="e">
        <f t="shared" si="90"/>
        <v>#VALUE!</v>
      </c>
      <c r="AV72" s="10" t="e">
        <f t="shared" si="71"/>
        <v>#VALUE!</v>
      </c>
      <c r="AW72" s="10" t="e">
        <f t="shared" si="15"/>
        <v>#VALUE!</v>
      </c>
      <c r="AX72" s="10" t="e">
        <f t="shared" si="41"/>
        <v>#VALUE!</v>
      </c>
      <c r="AY72" s="10" t="e">
        <f t="shared" si="42"/>
        <v>#VALUE!</v>
      </c>
      <c r="AZ72" s="10" t="e">
        <f t="shared" si="91"/>
        <v>#VALUE!</v>
      </c>
      <c r="BA72" s="10" t="e">
        <f t="shared" si="72"/>
        <v>#VALUE!</v>
      </c>
      <c r="BB72" s="10" t="e">
        <f t="shared" si="16"/>
        <v>#VALUE!</v>
      </c>
      <c r="BC72" s="10" t="e">
        <f t="shared" si="73"/>
        <v>#VALUE!</v>
      </c>
      <c r="BE72" s="10" t="e">
        <f t="shared" si="92"/>
        <v>#VALUE!</v>
      </c>
      <c r="BF72" s="10" t="e">
        <f t="shared" si="74"/>
        <v>#VALUE!</v>
      </c>
      <c r="BG72" s="10" t="e">
        <f t="shared" si="17"/>
        <v>#VALUE!</v>
      </c>
      <c r="BH72" s="10" t="e">
        <f t="shared" si="45"/>
        <v>#VALUE!</v>
      </c>
      <c r="BI72" s="10" t="e">
        <f t="shared" si="46"/>
        <v>#VALUE!</v>
      </c>
      <c r="BJ72" s="10" t="e">
        <f t="shared" si="93"/>
        <v>#VALUE!</v>
      </c>
      <c r="BK72" s="10" t="e">
        <f t="shared" si="75"/>
        <v>#VALUE!</v>
      </c>
      <c r="BL72" s="10" t="e">
        <f t="shared" si="18"/>
        <v>#VALUE!</v>
      </c>
      <c r="BM72" s="10" t="e">
        <f t="shared" si="76"/>
        <v>#VALUE!</v>
      </c>
      <c r="BP72" s="10" t="e">
        <f t="shared" si="77"/>
        <v>#VALUE!</v>
      </c>
      <c r="BQ72" s="10" t="e">
        <f t="shared" si="78"/>
        <v>#VALUE!</v>
      </c>
      <c r="BR72" s="10" t="e">
        <f t="shared" si="79"/>
        <v>#VALUE!</v>
      </c>
      <c r="BS72" s="10" t="e">
        <f t="shared" si="80"/>
        <v>#VALUE!</v>
      </c>
      <c r="BT72" s="10" t="e">
        <f t="shared" si="81"/>
        <v>#VALUE!</v>
      </c>
      <c r="BU72" s="10" t="e">
        <f t="shared" si="82"/>
        <v>#VALUE!</v>
      </c>
      <c r="BW72" s="10" t="e">
        <f t="shared" si="54"/>
        <v>#VALUE!</v>
      </c>
      <c r="BX72" s="10" t="e">
        <f t="shared" si="55"/>
        <v>#VALUE!</v>
      </c>
      <c r="BY72" s="10" t="e">
        <f t="shared" si="56"/>
        <v>#VALUE!</v>
      </c>
      <c r="BZ72" s="10" t="e">
        <f t="shared" si="57"/>
        <v>#VALUE!</v>
      </c>
      <c r="CA72" s="10" t="e">
        <f t="shared" si="58"/>
        <v>#VALUE!</v>
      </c>
      <c r="CB72" s="10" t="e">
        <f t="shared" si="59"/>
        <v>#VALUE!</v>
      </c>
      <c r="CD72" s="10" t="e">
        <f>MATCH(INDEX($BP$12:$BU$12,1,MATCH(BP72,$BP$15:$BU$15,0)),结果汇总!$AI$10:$AI$13,0)</f>
        <v>#VALUE!</v>
      </c>
      <c r="CE72" s="10" t="e">
        <f>MATCH(INDEX($BP$12:$BU$12,1,MATCH(BQ72,$BP$15:$BU$15,0)),结果汇总!$AI$10:$AI$13,0)</f>
        <v>#VALUE!</v>
      </c>
      <c r="CF72" s="10" t="e">
        <f>MATCH(INDEX($BP$12:$BU$12,1,MATCH(BR72,$BP$15:$BU$15,0)),结果汇总!$AI$10:$AI$13,0)</f>
        <v>#VALUE!</v>
      </c>
      <c r="CG72" s="10" t="e">
        <f>MATCH(INDEX($BP$12:$BU$12,1,MATCH(BS72,$BP$15:$BU$15,0)),结果汇总!$AI$10:$AI$13,0)</f>
        <v>#VALUE!</v>
      </c>
      <c r="CH72" s="10" t="e">
        <f>MATCH(INDEX($BP$12:$BU$12,1,MATCH(BT72,$BP$15:$BU$15,0)),结果汇总!$AI$10:$AI$13,0)</f>
        <v>#VALUE!</v>
      </c>
      <c r="CI72" s="10" t="e">
        <f>MATCH(INDEX($BP$12:$BU$12,1,MATCH(BU72,$BP$15:$BU$15,0)),结果汇总!$AI$10:$AI$13,0)</f>
        <v>#VALUE!</v>
      </c>
      <c r="CK72" s="10">
        <f t="shared" si="94"/>
        <v>0</v>
      </c>
      <c r="CL72" s="10">
        <f t="shared" si="94"/>
        <v>0</v>
      </c>
      <c r="CM72" s="10">
        <f t="shared" si="94"/>
        <v>0</v>
      </c>
      <c r="CN72" s="10">
        <f t="shared" si="94"/>
        <v>0</v>
      </c>
      <c r="CO72" s="10" t="e">
        <f t="shared" si="95"/>
        <v>#DIV/0!</v>
      </c>
      <c r="CP72" s="10" t="e">
        <f t="shared" si="95"/>
        <v>#DIV/0!</v>
      </c>
      <c r="CQ72" s="10" t="e">
        <f t="shared" si="95"/>
        <v>#DIV/0!</v>
      </c>
      <c r="CR72" s="10" t="e">
        <f t="shared" si="95"/>
        <v>#DIV/0!</v>
      </c>
      <c r="CS72" s="10">
        <f t="shared" si="96"/>
        <v>0</v>
      </c>
      <c r="CT72" s="10">
        <f t="shared" si="96"/>
        <v>0</v>
      </c>
      <c r="CU72" s="10">
        <f t="shared" si="96"/>
        <v>0</v>
      </c>
      <c r="CV72" s="10">
        <f t="shared" si="96"/>
        <v>0</v>
      </c>
      <c r="CW72" s="10">
        <f t="shared" si="97"/>
        <v>0</v>
      </c>
      <c r="CX72" s="10">
        <f t="shared" si="97"/>
        <v>0</v>
      </c>
      <c r="CY72" s="10">
        <f t="shared" si="97"/>
        <v>0</v>
      </c>
      <c r="CZ72" s="10">
        <f t="shared" si="97"/>
        <v>0</v>
      </c>
    </row>
    <row r="73" spans="4:104" x14ac:dyDescent="0.15">
      <c r="D73" s="10">
        <v>58</v>
      </c>
      <c r="E73" s="10" t="e">
        <f t="shared" si="84"/>
        <v>#VALUE!</v>
      </c>
      <c r="F73" s="10" t="e">
        <f t="shared" si="3"/>
        <v>#VALUE!</v>
      </c>
      <c r="G73" s="10" t="e">
        <f t="shared" si="4"/>
        <v>#VALUE!</v>
      </c>
      <c r="H73" s="10" t="e">
        <f t="shared" si="24"/>
        <v>#VALUE!</v>
      </c>
      <c r="I73" s="10" t="e">
        <f t="shared" si="83"/>
        <v>#VALUE!</v>
      </c>
      <c r="J73" s="10" t="e">
        <f t="shared" si="85"/>
        <v>#VALUE!</v>
      </c>
      <c r="K73" s="10" t="e">
        <f t="shared" si="6"/>
        <v>#VALUE!</v>
      </c>
      <c r="L73" s="10" t="e">
        <f t="shared" si="7"/>
        <v>#VALUE!</v>
      </c>
      <c r="M73" s="10" t="e">
        <f t="shared" si="26"/>
        <v>#VALUE!</v>
      </c>
      <c r="O73" s="10" t="e">
        <f t="shared" si="86"/>
        <v>#VALUE!</v>
      </c>
      <c r="P73" s="10" t="e">
        <f t="shared" si="8"/>
        <v>#VALUE!</v>
      </c>
      <c r="Q73" s="10" t="e">
        <f t="shared" si="9"/>
        <v>#VALUE!</v>
      </c>
      <c r="R73" s="10" t="e">
        <f t="shared" si="28"/>
        <v>#VALUE!</v>
      </c>
      <c r="S73" s="10" t="e">
        <f t="shared" si="29"/>
        <v>#VALUE!</v>
      </c>
      <c r="T73" s="10" t="e">
        <f t="shared" si="64"/>
        <v>#VALUE!</v>
      </c>
      <c r="U73" s="10" t="e">
        <f t="shared" si="65"/>
        <v>#VALUE!</v>
      </c>
      <c r="V73" s="10" t="e">
        <f t="shared" si="10"/>
        <v>#VALUE!</v>
      </c>
      <c r="W73" s="10" t="e">
        <f t="shared" si="30"/>
        <v>#VALUE!</v>
      </c>
      <c r="Y73" s="10" t="e">
        <f t="shared" si="87"/>
        <v>#VALUE!</v>
      </c>
      <c r="Z73" s="11" t="e">
        <f t="shared" si="32"/>
        <v>#VALUE!</v>
      </c>
      <c r="AA73" s="10" t="e">
        <f t="shared" si="11"/>
        <v>#VALUE!</v>
      </c>
      <c r="AB73" s="10" t="e">
        <f t="shared" si="33"/>
        <v>#VALUE!</v>
      </c>
      <c r="AC73" s="10" t="e">
        <f t="shared" si="34"/>
        <v>#VALUE!</v>
      </c>
      <c r="AD73" s="10" t="e">
        <f t="shared" si="66"/>
        <v>#VALUE!</v>
      </c>
      <c r="AE73" s="10" t="e">
        <f t="shared" si="67"/>
        <v>#VALUE!</v>
      </c>
      <c r="AF73" s="10" t="e">
        <f t="shared" si="12"/>
        <v>#VALUE!</v>
      </c>
      <c r="AG73" s="10" t="e">
        <f t="shared" si="35"/>
        <v>#VALUE!</v>
      </c>
      <c r="AI73" s="13"/>
      <c r="AK73" s="10" t="e">
        <f t="shared" si="88"/>
        <v>#VALUE!</v>
      </c>
      <c r="AL73" s="10" t="e">
        <f t="shared" si="68"/>
        <v>#VALUE!</v>
      </c>
      <c r="AM73" s="10" t="e">
        <f t="shared" si="13"/>
        <v>#VALUE!</v>
      </c>
      <c r="AN73" s="10" t="e">
        <f t="shared" si="37"/>
        <v>#VALUE!</v>
      </c>
      <c r="AO73" s="10" t="e">
        <f t="shared" si="38"/>
        <v>#VALUE!</v>
      </c>
      <c r="AP73" s="10" t="e">
        <f t="shared" si="89"/>
        <v>#VALUE!</v>
      </c>
      <c r="AQ73" s="10" t="e">
        <f t="shared" si="69"/>
        <v>#VALUE!</v>
      </c>
      <c r="AR73" s="10" t="e">
        <f t="shared" si="14"/>
        <v>#VALUE!</v>
      </c>
      <c r="AS73" s="10" t="e">
        <f t="shared" si="70"/>
        <v>#VALUE!</v>
      </c>
      <c r="AU73" s="10" t="e">
        <f t="shared" si="90"/>
        <v>#VALUE!</v>
      </c>
      <c r="AV73" s="10" t="e">
        <f t="shared" si="71"/>
        <v>#VALUE!</v>
      </c>
      <c r="AW73" s="10" t="e">
        <f t="shared" si="15"/>
        <v>#VALUE!</v>
      </c>
      <c r="AX73" s="10" t="e">
        <f t="shared" si="41"/>
        <v>#VALUE!</v>
      </c>
      <c r="AY73" s="10" t="e">
        <f t="shared" si="42"/>
        <v>#VALUE!</v>
      </c>
      <c r="AZ73" s="10" t="e">
        <f t="shared" si="91"/>
        <v>#VALUE!</v>
      </c>
      <c r="BA73" s="10" t="e">
        <f t="shared" si="72"/>
        <v>#VALUE!</v>
      </c>
      <c r="BB73" s="10" t="e">
        <f t="shared" si="16"/>
        <v>#VALUE!</v>
      </c>
      <c r="BC73" s="10" t="e">
        <f t="shared" si="73"/>
        <v>#VALUE!</v>
      </c>
      <c r="BE73" s="10" t="e">
        <f t="shared" si="92"/>
        <v>#VALUE!</v>
      </c>
      <c r="BF73" s="10" t="e">
        <f t="shared" si="74"/>
        <v>#VALUE!</v>
      </c>
      <c r="BG73" s="10" t="e">
        <f t="shared" si="17"/>
        <v>#VALUE!</v>
      </c>
      <c r="BH73" s="10" t="e">
        <f t="shared" si="45"/>
        <v>#VALUE!</v>
      </c>
      <c r="BI73" s="10" t="e">
        <f t="shared" si="46"/>
        <v>#VALUE!</v>
      </c>
      <c r="BJ73" s="10" t="e">
        <f t="shared" si="93"/>
        <v>#VALUE!</v>
      </c>
      <c r="BK73" s="10" t="e">
        <f t="shared" si="75"/>
        <v>#VALUE!</v>
      </c>
      <c r="BL73" s="10" t="e">
        <f t="shared" si="18"/>
        <v>#VALUE!</v>
      </c>
      <c r="BM73" s="10" t="e">
        <f t="shared" si="76"/>
        <v>#VALUE!</v>
      </c>
      <c r="BP73" s="10" t="e">
        <f t="shared" si="77"/>
        <v>#VALUE!</v>
      </c>
      <c r="BQ73" s="10" t="e">
        <f t="shared" si="78"/>
        <v>#VALUE!</v>
      </c>
      <c r="BR73" s="10" t="e">
        <f t="shared" si="79"/>
        <v>#VALUE!</v>
      </c>
      <c r="BS73" s="10" t="e">
        <f t="shared" si="80"/>
        <v>#VALUE!</v>
      </c>
      <c r="BT73" s="10" t="e">
        <f t="shared" si="81"/>
        <v>#VALUE!</v>
      </c>
      <c r="BU73" s="10" t="e">
        <f t="shared" si="82"/>
        <v>#VALUE!</v>
      </c>
      <c r="BW73" s="10" t="e">
        <f t="shared" si="54"/>
        <v>#VALUE!</v>
      </c>
      <c r="BX73" s="10" t="e">
        <f t="shared" si="55"/>
        <v>#VALUE!</v>
      </c>
      <c r="BY73" s="10" t="e">
        <f t="shared" si="56"/>
        <v>#VALUE!</v>
      </c>
      <c r="BZ73" s="10" t="e">
        <f t="shared" si="57"/>
        <v>#VALUE!</v>
      </c>
      <c r="CA73" s="10" t="e">
        <f t="shared" si="58"/>
        <v>#VALUE!</v>
      </c>
      <c r="CB73" s="10" t="e">
        <f t="shared" si="59"/>
        <v>#VALUE!</v>
      </c>
      <c r="CD73" s="10" t="e">
        <f>MATCH(INDEX($BP$12:$BU$12,1,MATCH(BP73,$BP$15:$BU$15,0)),结果汇总!$AI$10:$AI$13,0)</f>
        <v>#VALUE!</v>
      </c>
      <c r="CE73" s="10" t="e">
        <f>MATCH(INDEX($BP$12:$BU$12,1,MATCH(BQ73,$BP$15:$BU$15,0)),结果汇总!$AI$10:$AI$13,0)</f>
        <v>#VALUE!</v>
      </c>
      <c r="CF73" s="10" t="e">
        <f>MATCH(INDEX($BP$12:$BU$12,1,MATCH(BR73,$BP$15:$BU$15,0)),结果汇总!$AI$10:$AI$13,0)</f>
        <v>#VALUE!</v>
      </c>
      <c r="CG73" s="10" t="e">
        <f>MATCH(INDEX($BP$12:$BU$12,1,MATCH(BS73,$BP$15:$BU$15,0)),结果汇总!$AI$10:$AI$13,0)</f>
        <v>#VALUE!</v>
      </c>
      <c r="CH73" s="10" t="e">
        <f>MATCH(INDEX($BP$12:$BU$12,1,MATCH(BT73,$BP$15:$BU$15,0)),结果汇总!$AI$10:$AI$13,0)</f>
        <v>#VALUE!</v>
      </c>
      <c r="CI73" s="10" t="e">
        <f>MATCH(INDEX($BP$12:$BU$12,1,MATCH(BU73,$BP$15:$BU$15,0)),结果汇总!$AI$10:$AI$13,0)</f>
        <v>#VALUE!</v>
      </c>
      <c r="CK73" s="10">
        <f t="shared" si="94"/>
        <v>0</v>
      </c>
      <c r="CL73" s="10">
        <f t="shared" si="94"/>
        <v>0</v>
      </c>
      <c r="CM73" s="10">
        <f t="shared" si="94"/>
        <v>0</v>
      </c>
      <c r="CN73" s="10">
        <f t="shared" si="94"/>
        <v>0</v>
      </c>
      <c r="CO73" s="10" t="e">
        <f t="shared" si="95"/>
        <v>#DIV/0!</v>
      </c>
      <c r="CP73" s="10" t="e">
        <f t="shared" si="95"/>
        <v>#DIV/0!</v>
      </c>
      <c r="CQ73" s="10" t="e">
        <f t="shared" si="95"/>
        <v>#DIV/0!</v>
      </c>
      <c r="CR73" s="10" t="e">
        <f t="shared" si="95"/>
        <v>#DIV/0!</v>
      </c>
      <c r="CS73" s="10">
        <f t="shared" si="96"/>
        <v>0</v>
      </c>
      <c r="CT73" s="10">
        <f t="shared" si="96"/>
        <v>0</v>
      </c>
      <c r="CU73" s="10">
        <f t="shared" si="96"/>
        <v>0</v>
      </c>
      <c r="CV73" s="10">
        <f t="shared" si="96"/>
        <v>0</v>
      </c>
      <c r="CW73" s="10">
        <f t="shared" si="97"/>
        <v>0</v>
      </c>
      <c r="CX73" s="10">
        <f t="shared" si="97"/>
        <v>0</v>
      </c>
      <c r="CY73" s="10">
        <f t="shared" si="97"/>
        <v>0</v>
      </c>
      <c r="CZ73" s="10">
        <f t="shared" si="97"/>
        <v>0</v>
      </c>
    </row>
    <row r="74" spans="4:104" x14ac:dyDescent="0.15">
      <c r="D74" s="10">
        <v>59</v>
      </c>
      <c r="E74" s="10" t="e">
        <f t="shared" si="84"/>
        <v>#VALUE!</v>
      </c>
      <c r="F74" s="10" t="e">
        <f t="shared" si="3"/>
        <v>#VALUE!</v>
      </c>
      <c r="G74" s="10" t="e">
        <f t="shared" si="4"/>
        <v>#VALUE!</v>
      </c>
      <c r="H74" s="10" t="e">
        <f t="shared" si="24"/>
        <v>#VALUE!</v>
      </c>
      <c r="I74" s="10" t="e">
        <f t="shared" si="83"/>
        <v>#VALUE!</v>
      </c>
      <c r="J74" s="10" t="e">
        <f t="shared" si="85"/>
        <v>#VALUE!</v>
      </c>
      <c r="K74" s="10" t="e">
        <f t="shared" si="6"/>
        <v>#VALUE!</v>
      </c>
      <c r="L74" s="10" t="e">
        <f t="shared" si="7"/>
        <v>#VALUE!</v>
      </c>
      <c r="M74" s="10" t="e">
        <f t="shared" si="26"/>
        <v>#VALUE!</v>
      </c>
      <c r="O74" s="10" t="e">
        <f t="shared" si="86"/>
        <v>#VALUE!</v>
      </c>
      <c r="P74" s="10" t="e">
        <f t="shared" si="8"/>
        <v>#VALUE!</v>
      </c>
      <c r="Q74" s="10" t="e">
        <f t="shared" si="9"/>
        <v>#VALUE!</v>
      </c>
      <c r="R74" s="10" t="e">
        <f t="shared" si="28"/>
        <v>#VALUE!</v>
      </c>
      <c r="S74" s="10" t="e">
        <f t="shared" si="29"/>
        <v>#VALUE!</v>
      </c>
      <c r="T74" s="10" t="e">
        <f t="shared" si="64"/>
        <v>#VALUE!</v>
      </c>
      <c r="U74" s="10" t="e">
        <f t="shared" si="65"/>
        <v>#VALUE!</v>
      </c>
      <c r="V74" s="10" t="e">
        <f t="shared" si="10"/>
        <v>#VALUE!</v>
      </c>
      <c r="W74" s="10" t="e">
        <f t="shared" si="30"/>
        <v>#VALUE!</v>
      </c>
      <c r="Y74" s="10" t="e">
        <f t="shared" si="87"/>
        <v>#VALUE!</v>
      </c>
      <c r="Z74" s="11" t="e">
        <f t="shared" si="32"/>
        <v>#VALUE!</v>
      </c>
      <c r="AA74" s="10" t="e">
        <f t="shared" si="11"/>
        <v>#VALUE!</v>
      </c>
      <c r="AB74" s="10" t="e">
        <f t="shared" si="33"/>
        <v>#VALUE!</v>
      </c>
      <c r="AC74" s="10" t="e">
        <f t="shared" si="34"/>
        <v>#VALUE!</v>
      </c>
      <c r="AD74" s="10" t="e">
        <f t="shared" si="66"/>
        <v>#VALUE!</v>
      </c>
      <c r="AE74" s="10" t="e">
        <f t="shared" si="67"/>
        <v>#VALUE!</v>
      </c>
      <c r="AF74" s="10" t="e">
        <f t="shared" si="12"/>
        <v>#VALUE!</v>
      </c>
      <c r="AG74" s="10" t="e">
        <f t="shared" si="35"/>
        <v>#VALUE!</v>
      </c>
      <c r="AI74" s="13"/>
      <c r="AK74" s="10" t="e">
        <f t="shared" si="88"/>
        <v>#VALUE!</v>
      </c>
      <c r="AL74" s="10" t="e">
        <f t="shared" si="68"/>
        <v>#VALUE!</v>
      </c>
      <c r="AM74" s="10" t="e">
        <f t="shared" si="13"/>
        <v>#VALUE!</v>
      </c>
      <c r="AN74" s="10" t="e">
        <f t="shared" si="37"/>
        <v>#VALUE!</v>
      </c>
      <c r="AO74" s="10" t="e">
        <f t="shared" si="38"/>
        <v>#VALUE!</v>
      </c>
      <c r="AP74" s="10" t="e">
        <f t="shared" si="89"/>
        <v>#VALUE!</v>
      </c>
      <c r="AQ74" s="10" t="e">
        <f t="shared" si="69"/>
        <v>#VALUE!</v>
      </c>
      <c r="AR74" s="10" t="e">
        <f t="shared" si="14"/>
        <v>#VALUE!</v>
      </c>
      <c r="AS74" s="10" t="e">
        <f t="shared" si="70"/>
        <v>#VALUE!</v>
      </c>
      <c r="AU74" s="10" t="e">
        <f t="shared" si="90"/>
        <v>#VALUE!</v>
      </c>
      <c r="AV74" s="10" t="e">
        <f t="shared" si="71"/>
        <v>#VALUE!</v>
      </c>
      <c r="AW74" s="10" t="e">
        <f t="shared" si="15"/>
        <v>#VALUE!</v>
      </c>
      <c r="AX74" s="10" t="e">
        <f t="shared" si="41"/>
        <v>#VALUE!</v>
      </c>
      <c r="AY74" s="10" t="e">
        <f t="shared" si="42"/>
        <v>#VALUE!</v>
      </c>
      <c r="AZ74" s="10" t="e">
        <f t="shared" si="91"/>
        <v>#VALUE!</v>
      </c>
      <c r="BA74" s="10" t="e">
        <f t="shared" si="72"/>
        <v>#VALUE!</v>
      </c>
      <c r="BB74" s="10" t="e">
        <f t="shared" si="16"/>
        <v>#VALUE!</v>
      </c>
      <c r="BC74" s="10" t="e">
        <f t="shared" si="73"/>
        <v>#VALUE!</v>
      </c>
      <c r="BE74" s="10" t="e">
        <f t="shared" si="92"/>
        <v>#VALUE!</v>
      </c>
      <c r="BF74" s="10" t="e">
        <f t="shared" si="74"/>
        <v>#VALUE!</v>
      </c>
      <c r="BG74" s="10" t="e">
        <f t="shared" si="17"/>
        <v>#VALUE!</v>
      </c>
      <c r="BH74" s="10" t="e">
        <f t="shared" si="45"/>
        <v>#VALUE!</v>
      </c>
      <c r="BI74" s="10" t="e">
        <f t="shared" si="46"/>
        <v>#VALUE!</v>
      </c>
      <c r="BJ74" s="10" t="e">
        <f t="shared" si="93"/>
        <v>#VALUE!</v>
      </c>
      <c r="BK74" s="10" t="e">
        <f t="shared" si="75"/>
        <v>#VALUE!</v>
      </c>
      <c r="BL74" s="10" t="e">
        <f t="shared" si="18"/>
        <v>#VALUE!</v>
      </c>
      <c r="BM74" s="10" t="e">
        <f t="shared" si="76"/>
        <v>#VALUE!</v>
      </c>
      <c r="BP74" s="10" t="e">
        <f t="shared" si="77"/>
        <v>#VALUE!</v>
      </c>
      <c r="BQ74" s="10" t="e">
        <f t="shared" si="78"/>
        <v>#VALUE!</v>
      </c>
      <c r="BR74" s="10" t="e">
        <f t="shared" si="79"/>
        <v>#VALUE!</v>
      </c>
      <c r="BS74" s="10" t="e">
        <f t="shared" si="80"/>
        <v>#VALUE!</v>
      </c>
      <c r="BT74" s="10" t="e">
        <f t="shared" si="81"/>
        <v>#VALUE!</v>
      </c>
      <c r="BU74" s="10" t="e">
        <f t="shared" si="82"/>
        <v>#VALUE!</v>
      </c>
      <c r="BW74" s="10" t="e">
        <f t="shared" si="54"/>
        <v>#VALUE!</v>
      </c>
      <c r="BX74" s="10" t="e">
        <f t="shared" si="55"/>
        <v>#VALUE!</v>
      </c>
      <c r="BY74" s="10" t="e">
        <f t="shared" si="56"/>
        <v>#VALUE!</v>
      </c>
      <c r="BZ74" s="10" t="e">
        <f t="shared" si="57"/>
        <v>#VALUE!</v>
      </c>
      <c r="CA74" s="10" t="e">
        <f t="shared" si="58"/>
        <v>#VALUE!</v>
      </c>
      <c r="CB74" s="10" t="e">
        <f t="shared" si="59"/>
        <v>#VALUE!</v>
      </c>
      <c r="CD74" s="10" t="e">
        <f>MATCH(INDEX($BP$12:$BU$12,1,MATCH(BP74,$BP$15:$BU$15,0)),结果汇总!$AI$10:$AI$13,0)</f>
        <v>#VALUE!</v>
      </c>
      <c r="CE74" s="10" t="e">
        <f>MATCH(INDEX($BP$12:$BU$12,1,MATCH(BQ74,$BP$15:$BU$15,0)),结果汇总!$AI$10:$AI$13,0)</f>
        <v>#VALUE!</v>
      </c>
      <c r="CF74" s="10" t="e">
        <f>MATCH(INDEX($BP$12:$BU$12,1,MATCH(BR74,$BP$15:$BU$15,0)),结果汇总!$AI$10:$AI$13,0)</f>
        <v>#VALUE!</v>
      </c>
      <c r="CG74" s="10" t="e">
        <f>MATCH(INDEX($BP$12:$BU$12,1,MATCH(BS74,$BP$15:$BU$15,0)),结果汇总!$AI$10:$AI$13,0)</f>
        <v>#VALUE!</v>
      </c>
      <c r="CH74" s="10" t="e">
        <f>MATCH(INDEX($BP$12:$BU$12,1,MATCH(BT74,$BP$15:$BU$15,0)),结果汇总!$AI$10:$AI$13,0)</f>
        <v>#VALUE!</v>
      </c>
      <c r="CI74" s="10" t="e">
        <f>MATCH(INDEX($BP$12:$BU$12,1,MATCH(BU74,$BP$15:$BU$15,0)),结果汇总!$AI$10:$AI$13,0)</f>
        <v>#VALUE!</v>
      </c>
      <c r="CK74" s="10">
        <f t="shared" si="94"/>
        <v>0</v>
      </c>
      <c r="CL74" s="10">
        <f t="shared" si="94"/>
        <v>0</v>
      </c>
      <c r="CM74" s="10">
        <f t="shared" si="94"/>
        <v>0</v>
      </c>
      <c r="CN74" s="10">
        <f t="shared" si="94"/>
        <v>0</v>
      </c>
      <c r="CO74" s="10" t="e">
        <f t="shared" si="95"/>
        <v>#DIV/0!</v>
      </c>
      <c r="CP74" s="10" t="e">
        <f t="shared" si="95"/>
        <v>#DIV/0!</v>
      </c>
      <c r="CQ74" s="10" t="e">
        <f t="shared" si="95"/>
        <v>#DIV/0!</v>
      </c>
      <c r="CR74" s="10" t="e">
        <f t="shared" si="95"/>
        <v>#DIV/0!</v>
      </c>
      <c r="CS74" s="10">
        <f t="shared" si="96"/>
        <v>0</v>
      </c>
      <c r="CT74" s="10">
        <f t="shared" si="96"/>
        <v>0</v>
      </c>
      <c r="CU74" s="10">
        <f t="shared" si="96"/>
        <v>0</v>
      </c>
      <c r="CV74" s="10">
        <f t="shared" si="96"/>
        <v>0</v>
      </c>
      <c r="CW74" s="10">
        <f t="shared" si="97"/>
        <v>0</v>
      </c>
      <c r="CX74" s="10">
        <f t="shared" si="97"/>
        <v>0</v>
      </c>
      <c r="CY74" s="10">
        <f t="shared" si="97"/>
        <v>0</v>
      </c>
      <c r="CZ74" s="10">
        <f t="shared" si="97"/>
        <v>0</v>
      </c>
    </row>
    <row r="75" spans="4:104" x14ac:dyDescent="0.15">
      <c r="D75" s="10">
        <v>60</v>
      </c>
      <c r="E75" s="10" t="e">
        <f t="shared" si="84"/>
        <v>#VALUE!</v>
      </c>
      <c r="F75" s="10" t="e">
        <f t="shared" si="3"/>
        <v>#VALUE!</v>
      </c>
      <c r="G75" s="10" t="e">
        <f t="shared" si="4"/>
        <v>#VALUE!</v>
      </c>
      <c r="H75" s="10" t="e">
        <f t="shared" si="24"/>
        <v>#VALUE!</v>
      </c>
      <c r="I75" s="10" t="e">
        <f t="shared" si="83"/>
        <v>#VALUE!</v>
      </c>
      <c r="J75" s="10" t="e">
        <f t="shared" si="85"/>
        <v>#VALUE!</v>
      </c>
      <c r="K75" s="10" t="e">
        <f t="shared" si="6"/>
        <v>#VALUE!</v>
      </c>
      <c r="L75" s="10" t="e">
        <f t="shared" si="7"/>
        <v>#VALUE!</v>
      </c>
      <c r="M75" s="10" t="e">
        <f t="shared" si="26"/>
        <v>#VALUE!</v>
      </c>
      <c r="O75" s="10" t="e">
        <f t="shared" si="86"/>
        <v>#VALUE!</v>
      </c>
      <c r="P75" s="10" t="e">
        <f t="shared" si="8"/>
        <v>#VALUE!</v>
      </c>
      <c r="Q75" s="10" t="e">
        <f t="shared" si="9"/>
        <v>#VALUE!</v>
      </c>
      <c r="R75" s="10" t="e">
        <f t="shared" si="28"/>
        <v>#VALUE!</v>
      </c>
      <c r="S75" s="10" t="e">
        <f t="shared" si="29"/>
        <v>#VALUE!</v>
      </c>
      <c r="T75" s="10" t="e">
        <f t="shared" si="64"/>
        <v>#VALUE!</v>
      </c>
      <c r="U75" s="10" t="e">
        <f t="shared" si="65"/>
        <v>#VALUE!</v>
      </c>
      <c r="V75" s="10" t="e">
        <f t="shared" si="10"/>
        <v>#VALUE!</v>
      </c>
      <c r="W75" s="10" t="e">
        <f t="shared" si="30"/>
        <v>#VALUE!</v>
      </c>
      <c r="Y75" s="10" t="e">
        <f t="shared" si="87"/>
        <v>#VALUE!</v>
      </c>
      <c r="Z75" s="11" t="e">
        <f t="shared" si="32"/>
        <v>#VALUE!</v>
      </c>
      <c r="AA75" s="10" t="e">
        <f t="shared" si="11"/>
        <v>#VALUE!</v>
      </c>
      <c r="AB75" s="10" t="e">
        <f t="shared" si="33"/>
        <v>#VALUE!</v>
      </c>
      <c r="AC75" s="10" t="e">
        <f t="shared" si="34"/>
        <v>#VALUE!</v>
      </c>
      <c r="AD75" s="10" t="e">
        <f t="shared" si="66"/>
        <v>#VALUE!</v>
      </c>
      <c r="AE75" s="10" t="e">
        <f t="shared" si="67"/>
        <v>#VALUE!</v>
      </c>
      <c r="AF75" s="10" t="e">
        <f t="shared" si="12"/>
        <v>#VALUE!</v>
      </c>
      <c r="AG75" s="10" t="e">
        <f t="shared" si="35"/>
        <v>#VALUE!</v>
      </c>
      <c r="AI75" s="13"/>
      <c r="AK75" s="10" t="e">
        <f t="shared" si="88"/>
        <v>#VALUE!</v>
      </c>
      <c r="AL75" s="10" t="e">
        <f t="shared" si="68"/>
        <v>#VALUE!</v>
      </c>
      <c r="AM75" s="10" t="e">
        <f t="shared" si="13"/>
        <v>#VALUE!</v>
      </c>
      <c r="AN75" s="10" t="e">
        <f t="shared" si="37"/>
        <v>#VALUE!</v>
      </c>
      <c r="AO75" s="10" t="e">
        <f t="shared" si="38"/>
        <v>#VALUE!</v>
      </c>
      <c r="AP75" s="10" t="e">
        <f t="shared" si="89"/>
        <v>#VALUE!</v>
      </c>
      <c r="AQ75" s="10" t="e">
        <f t="shared" si="69"/>
        <v>#VALUE!</v>
      </c>
      <c r="AR75" s="10" t="e">
        <f t="shared" si="14"/>
        <v>#VALUE!</v>
      </c>
      <c r="AS75" s="10" t="e">
        <f t="shared" si="70"/>
        <v>#VALUE!</v>
      </c>
      <c r="AU75" s="10" t="e">
        <f t="shared" si="90"/>
        <v>#VALUE!</v>
      </c>
      <c r="AV75" s="10" t="e">
        <f t="shared" si="71"/>
        <v>#VALUE!</v>
      </c>
      <c r="AW75" s="10" t="e">
        <f t="shared" si="15"/>
        <v>#VALUE!</v>
      </c>
      <c r="AX75" s="10" t="e">
        <f t="shared" si="41"/>
        <v>#VALUE!</v>
      </c>
      <c r="AY75" s="10" t="e">
        <f t="shared" si="42"/>
        <v>#VALUE!</v>
      </c>
      <c r="AZ75" s="10" t="e">
        <f t="shared" si="91"/>
        <v>#VALUE!</v>
      </c>
      <c r="BA75" s="10" t="e">
        <f t="shared" si="72"/>
        <v>#VALUE!</v>
      </c>
      <c r="BB75" s="10" t="e">
        <f t="shared" si="16"/>
        <v>#VALUE!</v>
      </c>
      <c r="BC75" s="10" t="e">
        <f t="shared" si="73"/>
        <v>#VALUE!</v>
      </c>
      <c r="BE75" s="10" t="e">
        <f t="shared" si="92"/>
        <v>#VALUE!</v>
      </c>
      <c r="BF75" s="10" t="e">
        <f t="shared" si="74"/>
        <v>#VALUE!</v>
      </c>
      <c r="BG75" s="10" t="e">
        <f t="shared" si="17"/>
        <v>#VALUE!</v>
      </c>
      <c r="BH75" s="10" t="e">
        <f t="shared" si="45"/>
        <v>#VALUE!</v>
      </c>
      <c r="BI75" s="10" t="e">
        <f t="shared" si="46"/>
        <v>#VALUE!</v>
      </c>
      <c r="BJ75" s="10" t="e">
        <f t="shared" si="93"/>
        <v>#VALUE!</v>
      </c>
      <c r="BK75" s="10" t="e">
        <f t="shared" si="75"/>
        <v>#VALUE!</v>
      </c>
      <c r="BL75" s="10" t="e">
        <f t="shared" si="18"/>
        <v>#VALUE!</v>
      </c>
      <c r="BM75" s="10" t="e">
        <f t="shared" si="76"/>
        <v>#VALUE!</v>
      </c>
      <c r="BP75" s="10" t="e">
        <f t="shared" si="77"/>
        <v>#VALUE!</v>
      </c>
      <c r="BQ75" s="10" t="e">
        <f t="shared" si="78"/>
        <v>#VALUE!</v>
      </c>
      <c r="BR75" s="10" t="e">
        <f t="shared" si="79"/>
        <v>#VALUE!</v>
      </c>
      <c r="BS75" s="10" t="e">
        <f t="shared" si="80"/>
        <v>#VALUE!</v>
      </c>
      <c r="BT75" s="10" t="e">
        <f t="shared" si="81"/>
        <v>#VALUE!</v>
      </c>
      <c r="BU75" s="10" t="e">
        <f t="shared" si="82"/>
        <v>#VALUE!</v>
      </c>
      <c r="BW75" s="10" t="e">
        <f t="shared" si="54"/>
        <v>#VALUE!</v>
      </c>
      <c r="BX75" s="10" t="e">
        <f t="shared" si="55"/>
        <v>#VALUE!</v>
      </c>
      <c r="BY75" s="10" t="e">
        <f t="shared" si="56"/>
        <v>#VALUE!</v>
      </c>
      <c r="BZ75" s="10" t="e">
        <f t="shared" si="57"/>
        <v>#VALUE!</v>
      </c>
      <c r="CA75" s="10" t="e">
        <f t="shared" si="58"/>
        <v>#VALUE!</v>
      </c>
      <c r="CB75" s="10" t="e">
        <f t="shared" si="59"/>
        <v>#VALUE!</v>
      </c>
      <c r="CD75" s="10" t="e">
        <f>MATCH(INDEX($BP$12:$BU$12,1,MATCH(BP75,$BP$15:$BU$15,0)),结果汇总!$AI$10:$AI$13,0)</f>
        <v>#VALUE!</v>
      </c>
      <c r="CE75" s="10" t="e">
        <f>MATCH(INDEX($BP$12:$BU$12,1,MATCH(BQ75,$BP$15:$BU$15,0)),结果汇总!$AI$10:$AI$13,0)</f>
        <v>#VALUE!</v>
      </c>
      <c r="CF75" s="10" t="e">
        <f>MATCH(INDEX($BP$12:$BU$12,1,MATCH(BR75,$BP$15:$BU$15,0)),结果汇总!$AI$10:$AI$13,0)</f>
        <v>#VALUE!</v>
      </c>
      <c r="CG75" s="10" t="e">
        <f>MATCH(INDEX($BP$12:$BU$12,1,MATCH(BS75,$BP$15:$BU$15,0)),结果汇总!$AI$10:$AI$13,0)</f>
        <v>#VALUE!</v>
      </c>
      <c r="CH75" s="10" t="e">
        <f>MATCH(INDEX($BP$12:$BU$12,1,MATCH(BT75,$BP$15:$BU$15,0)),结果汇总!$AI$10:$AI$13,0)</f>
        <v>#VALUE!</v>
      </c>
      <c r="CI75" s="10" t="e">
        <f>MATCH(INDEX($BP$12:$BU$12,1,MATCH(BU75,$BP$15:$BU$15,0)),结果汇总!$AI$10:$AI$13,0)</f>
        <v>#VALUE!</v>
      </c>
      <c r="CK75" s="10">
        <f t="shared" si="94"/>
        <v>0</v>
      </c>
      <c r="CL75" s="10">
        <f t="shared" si="94"/>
        <v>0</v>
      </c>
      <c r="CM75" s="10">
        <f t="shared" si="94"/>
        <v>0</v>
      </c>
      <c r="CN75" s="10">
        <f t="shared" si="94"/>
        <v>0</v>
      </c>
      <c r="CO75" s="10" t="e">
        <f t="shared" si="95"/>
        <v>#DIV/0!</v>
      </c>
      <c r="CP75" s="10" t="e">
        <f t="shared" si="95"/>
        <v>#DIV/0!</v>
      </c>
      <c r="CQ75" s="10" t="e">
        <f t="shared" si="95"/>
        <v>#DIV/0!</v>
      </c>
      <c r="CR75" s="10" t="e">
        <f t="shared" si="95"/>
        <v>#DIV/0!</v>
      </c>
      <c r="CS75" s="10">
        <f t="shared" si="96"/>
        <v>0</v>
      </c>
      <c r="CT75" s="10">
        <f t="shared" si="96"/>
        <v>0</v>
      </c>
      <c r="CU75" s="10">
        <f t="shared" si="96"/>
        <v>0</v>
      </c>
      <c r="CV75" s="10">
        <f t="shared" si="96"/>
        <v>0</v>
      </c>
      <c r="CW75" s="10">
        <f t="shared" si="97"/>
        <v>0</v>
      </c>
      <c r="CX75" s="10">
        <f t="shared" si="97"/>
        <v>0</v>
      </c>
      <c r="CY75" s="10">
        <f t="shared" si="97"/>
        <v>0</v>
      </c>
      <c r="CZ75" s="10">
        <f t="shared" si="97"/>
        <v>0</v>
      </c>
    </row>
    <row r="76" spans="4:104" x14ac:dyDescent="0.15">
      <c r="D76" s="10">
        <v>61</v>
      </c>
      <c r="E76" s="10" t="e">
        <f t="shared" si="84"/>
        <v>#VALUE!</v>
      </c>
      <c r="F76" s="10" t="e">
        <f t="shared" si="3"/>
        <v>#VALUE!</v>
      </c>
      <c r="G76" s="10" t="e">
        <f t="shared" si="4"/>
        <v>#VALUE!</v>
      </c>
      <c r="H76" s="10" t="e">
        <f t="shared" si="24"/>
        <v>#VALUE!</v>
      </c>
      <c r="I76" s="10" t="e">
        <f t="shared" si="83"/>
        <v>#VALUE!</v>
      </c>
      <c r="J76" s="10" t="e">
        <f t="shared" si="85"/>
        <v>#VALUE!</v>
      </c>
      <c r="K76" s="10" t="e">
        <f t="shared" si="6"/>
        <v>#VALUE!</v>
      </c>
      <c r="L76" s="10" t="e">
        <f t="shared" si="7"/>
        <v>#VALUE!</v>
      </c>
      <c r="M76" s="10" t="e">
        <f t="shared" si="26"/>
        <v>#VALUE!</v>
      </c>
      <c r="O76" s="10" t="e">
        <f t="shared" si="86"/>
        <v>#VALUE!</v>
      </c>
      <c r="P76" s="10" t="e">
        <f t="shared" si="8"/>
        <v>#VALUE!</v>
      </c>
      <c r="Q76" s="10" t="e">
        <f t="shared" si="9"/>
        <v>#VALUE!</v>
      </c>
      <c r="R76" s="10" t="e">
        <f t="shared" si="28"/>
        <v>#VALUE!</v>
      </c>
      <c r="S76" s="10" t="e">
        <f t="shared" si="29"/>
        <v>#VALUE!</v>
      </c>
      <c r="T76" s="10" t="e">
        <f t="shared" si="64"/>
        <v>#VALUE!</v>
      </c>
      <c r="U76" s="10" t="e">
        <f t="shared" si="65"/>
        <v>#VALUE!</v>
      </c>
      <c r="V76" s="10" t="e">
        <f t="shared" si="10"/>
        <v>#VALUE!</v>
      </c>
      <c r="W76" s="10" t="e">
        <f t="shared" si="30"/>
        <v>#VALUE!</v>
      </c>
      <c r="Y76" s="10" t="e">
        <f t="shared" si="87"/>
        <v>#VALUE!</v>
      </c>
      <c r="Z76" s="11" t="e">
        <f t="shared" si="32"/>
        <v>#VALUE!</v>
      </c>
      <c r="AA76" s="10" t="e">
        <f t="shared" si="11"/>
        <v>#VALUE!</v>
      </c>
      <c r="AB76" s="10" t="e">
        <f t="shared" si="33"/>
        <v>#VALUE!</v>
      </c>
      <c r="AC76" s="10" t="e">
        <f t="shared" si="34"/>
        <v>#VALUE!</v>
      </c>
      <c r="AD76" s="10" t="e">
        <f t="shared" si="66"/>
        <v>#VALUE!</v>
      </c>
      <c r="AE76" s="10" t="e">
        <f t="shared" si="67"/>
        <v>#VALUE!</v>
      </c>
      <c r="AF76" s="10" t="e">
        <f t="shared" si="12"/>
        <v>#VALUE!</v>
      </c>
      <c r="AG76" s="10" t="e">
        <f t="shared" si="35"/>
        <v>#VALUE!</v>
      </c>
      <c r="AI76" s="13"/>
      <c r="AK76" s="10" t="e">
        <f t="shared" si="88"/>
        <v>#VALUE!</v>
      </c>
      <c r="AL76" s="10" t="e">
        <f t="shared" si="68"/>
        <v>#VALUE!</v>
      </c>
      <c r="AM76" s="10" t="e">
        <f t="shared" si="13"/>
        <v>#VALUE!</v>
      </c>
      <c r="AN76" s="10" t="e">
        <f t="shared" si="37"/>
        <v>#VALUE!</v>
      </c>
      <c r="AO76" s="10" t="e">
        <f t="shared" si="38"/>
        <v>#VALUE!</v>
      </c>
      <c r="AP76" s="10" t="e">
        <f t="shared" si="89"/>
        <v>#VALUE!</v>
      </c>
      <c r="AQ76" s="10" t="e">
        <f t="shared" si="69"/>
        <v>#VALUE!</v>
      </c>
      <c r="AR76" s="10" t="e">
        <f t="shared" si="14"/>
        <v>#VALUE!</v>
      </c>
      <c r="AS76" s="10" t="e">
        <f t="shared" si="70"/>
        <v>#VALUE!</v>
      </c>
      <c r="AU76" s="10" t="e">
        <f t="shared" si="90"/>
        <v>#VALUE!</v>
      </c>
      <c r="AV76" s="10" t="e">
        <f t="shared" si="71"/>
        <v>#VALUE!</v>
      </c>
      <c r="AW76" s="10" t="e">
        <f t="shared" si="15"/>
        <v>#VALUE!</v>
      </c>
      <c r="AX76" s="10" t="e">
        <f t="shared" si="41"/>
        <v>#VALUE!</v>
      </c>
      <c r="AY76" s="10" t="e">
        <f t="shared" si="42"/>
        <v>#VALUE!</v>
      </c>
      <c r="AZ76" s="10" t="e">
        <f t="shared" si="91"/>
        <v>#VALUE!</v>
      </c>
      <c r="BA76" s="10" t="e">
        <f t="shared" si="72"/>
        <v>#VALUE!</v>
      </c>
      <c r="BB76" s="10" t="e">
        <f t="shared" si="16"/>
        <v>#VALUE!</v>
      </c>
      <c r="BC76" s="10" t="e">
        <f t="shared" si="73"/>
        <v>#VALUE!</v>
      </c>
      <c r="BE76" s="10" t="e">
        <f t="shared" si="92"/>
        <v>#VALUE!</v>
      </c>
      <c r="BF76" s="10" t="e">
        <f t="shared" si="74"/>
        <v>#VALUE!</v>
      </c>
      <c r="BG76" s="10" t="e">
        <f t="shared" si="17"/>
        <v>#VALUE!</v>
      </c>
      <c r="BH76" s="10" t="e">
        <f t="shared" si="45"/>
        <v>#VALUE!</v>
      </c>
      <c r="BI76" s="10" t="e">
        <f t="shared" si="46"/>
        <v>#VALUE!</v>
      </c>
      <c r="BJ76" s="10" t="e">
        <f t="shared" si="93"/>
        <v>#VALUE!</v>
      </c>
      <c r="BK76" s="10" t="e">
        <f t="shared" si="75"/>
        <v>#VALUE!</v>
      </c>
      <c r="BL76" s="10" t="e">
        <f t="shared" si="18"/>
        <v>#VALUE!</v>
      </c>
      <c r="BM76" s="10" t="e">
        <f t="shared" si="76"/>
        <v>#VALUE!</v>
      </c>
      <c r="BP76" s="10" t="e">
        <f t="shared" si="77"/>
        <v>#VALUE!</v>
      </c>
      <c r="BQ76" s="10" t="e">
        <f t="shared" si="78"/>
        <v>#VALUE!</v>
      </c>
      <c r="BR76" s="10" t="e">
        <f t="shared" si="79"/>
        <v>#VALUE!</v>
      </c>
      <c r="BS76" s="10" t="e">
        <f t="shared" si="80"/>
        <v>#VALUE!</v>
      </c>
      <c r="BT76" s="10" t="e">
        <f t="shared" si="81"/>
        <v>#VALUE!</v>
      </c>
      <c r="BU76" s="10" t="e">
        <f t="shared" si="82"/>
        <v>#VALUE!</v>
      </c>
      <c r="BW76" s="10" t="e">
        <f t="shared" si="54"/>
        <v>#VALUE!</v>
      </c>
      <c r="BX76" s="10" t="e">
        <f t="shared" si="55"/>
        <v>#VALUE!</v>
      </c>
      <c r="BY76" s="10" t="e">
        <f t="shared" si="56"/>
        <v>#VALUE!</v>
      </c>
      <c r="BZ76" s="10" t="e">
        <f t="shared" si="57"/>
        <v>#VALUE!</v>
      </c>
      <c r="CA76" s="10" t="e">
        <f t="shared" si="58"/>
        <v>#VALUE!</v>
      </c>
      <c r="CB76" s="10" t="e">
        <f t="shared" si="59"/>
        <v>#VALUE!</v>
      </c>
      <c r="CD76" s="10" t="e">
        <f>MATCH(INDEX($BP$12:$BU$12,1,MATCH(BP76,$BP$15:$BU$15,0)),结果汇总!$AI$10:$AI$13,0)</f>
        <v>#VALUE!</v>
      </c>
      <c r="CE76" s="10" t="e">
        <f>MATCH(INDEX($BP$12:$BU$12,1,MATCH(BQ76,$BP$15:$BU$15,0)),结果汇总!$AI$10:$AI$13,0)</f>
        <v>#VALUE!</v>
      </c>
      <c r="CF76" s="10" t="e">
        <f>MATCH(INDEX($BP$12:$BU$12,1,MATCH(BR76,$BP$15:$BU$15,0)),结果汇总!$AI$10:$AI$13,0)</f>
        <v>#VALUE!</v>
      </c>
      <c r="CG76" s="10" t="e">
        <f>MATCH(INDEX($BP$12:$BU$12,1,MATCH(BS76,$BP$15:$BU$15,0)),结果汇总!$AI$10:$AI$13,0)</f>
        <v>#VALUE!</v>
      </c>
      <c r="CH76" s="10" t="e">
        <f>MATCH(INDEX($BP$12:$BU$12,1,MATCH(BT76,$BP$15:$BU$15,0)),结果汇总!$AI$10:$AI$13,0)</f>
        <v>#VALUE!</v>
      </c>
      <c r="CI76" s="10" t="e">
        <f>MATCH(INDEX($BP$12:$BU$12,1,MATCH(BU76,$BP$15:$BU$15,0)),结果汇总!$AI$10:$AI$13,0)</f>
        <v>#VALUE!</v>
      </c>
      <c r="CK76" s="10">
        <f t="shared" si="94"/>
        <v>0</v>
      </c>
      <c r="CL76" s="10">
        <f t="shared" si="94"/>
        <v>0</v>
      </c>
      <c r="CM76" s="10">
        <f t="shared" si="94"/>
        <v>0</v>
      </c>
      <c r="CN76" s="10">
        <f t="shared" si="94"/>
        <v>0</v>
      </c>
      <c r="CO76" s="10" t="e">
        <f t="shared" si="95"/>
        <v>#DIV/0!</v>
      </c>
      <c r="CP76" s="10" t="e">
        <f t="shared" si="95"/>
        <v>#DIV/0!</v>
      </c>
      <c r="CQ76" s="10" t="e">
        <f t="shared" si="95"/>
        <v>#DIV/0!</v>
      </c>
      <c r="CR76" s="10" t="e">
        <f t="shared" si="95"/>
        <v>#DIV/0!</v>
      </c>
      <c r="CS76" s="10">
        <f t="shared" si="96"/>
        <v>0</v>
      </c>
      <c r="CT76" s="10">
        <f t="shared" si="96"/>
        <v>0</v>
      </c>
      <c r="CU76" s="10">
        <f t="shared" si="96"/>
        <v>0</v>
      </c>
      <c r="CV76" s="10">
        <f t="shared" si="96"/>
        <v>0</v>
      </c>
      <c r="CW76" s="10">
        <f t="shared" si="97"/>
        <v>0</v>
      </c>
      <c r="CX76" s="10">
        <f t="shared" si="97"/>
        <v>0</v>
      </c>
      <c r="CY76" s="10">
        <f t="shared" si="97"/>
        <v>0</v>
      </c>
      <c r="CZ76" s="10">
        <f t="shared" si="97"/>
        <v>0</v>
      </c>
    </row>
    <row r="77" spans="4:104" x14ac:dyDescent="0.15">
      <c r="D77" s="10">
        <v>62</v>
      </c>
      <c r="E77" s="10" t="e">
        <f t="shared" si="84"/>
        <v>#VALUE!</v>
      </c>
      <c r="F77" s="10" t="e">
        <f t="shared" si="3"/>
        <v>#VALUE!</v>
      </c>
      <c r="G77" s="10" t="e">
        <f t="shared" si="4"/>
        <v>#VALUE!</v>
      </c>
      <c r="H77" s="10" t="e">
        <f t="shared" si="24"/>
        <v>#VALUE!</v>
      </c>
      <c r="I77" s="10" t="e">
        <f t="shared" si="83"/>
        <v>#VALUE!</v>
      </c>
      <c r="J77" s="10" t="e">
        <f t="shared" si="85"/>
        <v>#VALUE!</v>
      </c>
      <c r="K77" s="10" t="e">
        <f t="shared" si="6"/>
        <v>#VALUE!</v>
      </c>
      <c r="L77" s="10" t="e">
        <f t="shared" si="7"/>
        <v>#VALUE!</v>
      </c>
      <c r="M77" s="10" t="e">
        <f t="shared" si="26"/>
        <v>#VALUE!</v>
      </c>
      <c r="O77" s="10" t="e">
        <f t="shared" si="86"/>
        <v>#VALUE!</v>
      </c>
      <c r="P77" s="10" t="e">
        <f t="shared" si="8"/>
        <v>#VALUE!</v>
      </c>
      <c r="Q77" s="10" t="e">
        <f t="shared" si="9"/>
        <v>#VALUE!</v>
      </c>
      <c r="R77" s="10" t="e">
        <f t="shared" si="28"/>
        <v>#VALUE!</v>
      </c>
      <c r="S77" s="10" t="e">
        <f t="shared" si="29"/>
        <v>#VALUE!</v>
      </c>
      <c r="T77" s="10" t="e">
        <f t="shared" si="64"/>
        <v>#VALUE!</v>
      </c>
      <c r="U77" s="10" t="e">
        <f t="shared" si="65"/>
        <v>#VALUE!</v>
      </c>
      <c r="V77" s="10" t="e">
        <f t="shared" si="10"/>
        <v>#VALUE!</v>
      </c>
      <c r="W77" s="10" t="e">
        <f t="shared" si="30"/>
        <v>#VALUE!</v>
      </c>
      <c r="Y77" s="10" t="e">
        <f t="shared" si="87"/>
        <v>#VALUE!</v>
      </c>
      <c r="Z77" s="11" t="e">
        <f t="shared" si="32"/>
        <v>#VALUE!</v>
      </c>
      <c r="AA77" s="10" t="e">
        <f t="shared" si="11"/>
        <v>#VALUE!</v>
      </c>
      <c r="AB77" s="10" t="e">
        <f t="shared" si="33"/>
        <v>#VALUE!</v>
      </c>
      <c r="AC77" s="10" t="e">
        <f t="shared" si="34"/>
        <v>#VALUE!</v>
      </c>
      <c r="AD77" s="10" t="e">
        <f t="shared" si="66"/>
        <v>#VALUE!</v>
      </c>
      <c r="AE77" s="10" t="e">
        <f t="shared" si="67"/>
        <v>#VALUE!</v>
      </c>
      <c r="AF77" s="10" t="e">
        <f t="shared" si="12"/>
        <v>#VALUE!</v>
      </c>
      <c r="AG77" s="10" t="e">
        <f t="shared" si="35"/>
        <v>#VALUE!</v>
      </c>
      <c r="AI77" s="13"/>
      <c r="AK77" s="10" t="e">
        <f t="shared" si="88"/>
        <v>#VALUE!</v>
      </c>
      <c r="AL77" s="10" t="e">
        <f t="shared" si="68"/>
        <v>#VALUE!</v>
      </c>
      <c r="AM77" s="10" t="e">
        <f t="shared" si="13"/>
        <v>#VALUE!</v>
      </c>
      <c r="AN77" s="10" t="e">
        <f t="shared" si="37"/>
        <v>#VALUE!</v>
      </c>
      <c r="AO77" s="10" t="e">
        <f t="shared" si="38"/>
        <v>#VALUE!</v>
      </c>
      <c r="AP77" s="10" t="e">
        <f t="shared" si="89"/>
        <v>#VALUE!</v>
      </c>
      <c r="AQ77" s="10" t="e">
        <f t="shared" si="69"/>
        <v>#VALUE!</v>
      </c>
      <c r="AR77" s="10" t="e">
        <f t="shared" si="14"/>
        <v>#VALUE!</v>
      </c>
      <c r="AS77" s="10" t="e">
        <f t="shared" si="70"/>
        <v>#VALUE!</v>
      </c>
      <c r="AU77" s="10" t="e">
        <f t="shared" si="90"/>
        <v>#VALUE!</v>
      </c>
      <c r="AV77" s="10" t="e">
        <f t="shared" si="71"/>
        <v>#VALUE!</v>
      </c>
      <c r="AW77" s="10" t="e">
        <f t="shared" si="15"/>
        <v>#VALUE!</v>
      </c>
      <c r="AX77" s="10" t="e">
        <f t="shared" si="41"/>
        <v>#VALUE!</v>
      </c>
      <c r="AY77" s="10" t="e">
        <f t="shared" si="42"/>
        <v>#VALUE!</v>
      </c>
      <c r="AZ77" s="10" t="e">
        <f t="shared" si="91"/>
        <v>#VALUE!</v>
      </c>
      <c r="BA77" s="10" t="e">
        <f t="shared" si="72"/>
        <v>#VALUE!</v>
      </c>
      <c r="BB77" s="10" t="e">
        <f t="shared" si="16"/>
        <v>#VALUE!</v>
      </c>
      <c r="BC77" s="10" t="e">
        <f t="shared" si="73"/>
        <v>#VALUE!</v>
      </c>
      <c r="BE77" s="10" t="e">
        <f t="shared" si="92"/>
        <v>#VALUE!</v>
      </c>
      <c r="BF77" s="10" t="e">
        <f t="shared" si="74"/>
        <v>#VALUE!</v>
      </c>
      <c r="BG77" s="10" t="e">
        <f t="shared" si="17"/>
        <v>#VALUE!</v>
      </c>
      <c r="BH77" s="10" t="e">
        <f t="shared" si="45"/>
        <v>#VALUE!</v>
      </c>
      <c r="BI77" s="10" t="e">
        <f t="shared" si="46"/>
        <v>#VALUE!</v>
      </c>
      <c r="BJ77" s="10" t="e">
        <f t="shared" si="93"/>
        <v>#VALUE!</v>
      </c>
      <c r="BK77" s="10" t="e">
        <f t="shared" si="75"/>
        <v>#VALUE!</v>
      </c>
      <c r="BL77" s="10" t="e">
        <f t="shared" si="18"/>
        <v>#VALUE!</v>
      </c>
      <c r="BM77" s="10" t="e">
        <f t="shared" si="76"/>
        <v>#VALUE!</v>
      </c>
      <c r="BP77" s="10" t="e">
        <f t="shared" si="77"/>
        <v>#VALUE!</v>
      </c>
      <c r="BQ77" s="10" t="e">
        <f t="shared" si="78"/>
        <v>#VALUE!</v>
      </c>
      <c r="BR77" s="10" t="e">
        <f t="shared" si="79"/>
        <v>#VALUE!</v>
      </c>
      <c r="BS77" s="10" t="e">
        <f t="shared" si="80"/>
        <v>#VALUE!</v>
      </c>
      <c r="BT77" s="10" t="e">
        <f t="shared" si="81"/>
        <v>#VALUE!</v>
      </c>
      <c r="BU77" s="10" t="e">
        <f t="shared" si="82"/>
        <v>#VALUE!</v>
      </c>
      <c r="BW77" s="10" t="e">
        <f t="shared" si="54"/>
        <v>#VALUE!</v>
      </c>
      <c r="BX77" s="10" t="e">
        <f t="shared" si="55"/>
        <v>#VALUE!</v>
      </c>
      <c r="BY77" s="10" t="e">
        <f t="shared" si="56"/>
        <v>#VALUE!</v>
      </c>
      <c r="BZ77" s="10" t="e">
        <f t="shared" si="57"/>
        <v>#VALUE!</v>
      </c>
      <c r="CA77" s="10" t="e">
        <f t="shared" si="58"/>
        <v>#VALUE!</v>
      </c>
      <c r="CB77" s="10" t="e">
        <f t="shared" si="59"/>
        <v>#VALUE!</v>
      </c>
      <c r="CD77" s="10" t="e">
        <f>MATCH(INDEX($BP$12:$BU$12,1,MATCH(BP77,$BP$15:$BU$15,0)),结果汇总!$AI$10:$AI$13,0)</f>
        <v>#VALUE!</v>
      </c>
      <c r="CE77" s="10" t="e">
        <f>MATCH(INDEX($BP$12:$BU$12,1,MATCH(BQ77,$BP$15:$BU$15,0)),结果汇总!$AI$10:$AI$13,0)</f>
        <v>#VALUE!</v>
      </c>
      <c r="CF77" s="10" t="e">
        <f>MATCH(INDEX($BP$12:$BU$12,1,MATCH(BR77,$BP$15:$BU$15,0)),结果汇总!$AI$10:$AI$13,0)</f>
        <v>#VALUE!</v>
      </c>
      <c r="CG77" s="10" t="e">
        <f>MATCH(INDEX($BP$12:$BU$12,1,MATCH(BS77,$BP$15:$BU$15,0)),结果汇总!$AI$10:$AI$13,0)</f>
        <v>#VALUE!</v>
      </c>
      <c r="CH77" s="10" t="e">
        <f>MATCH(INDEX($BP$12:$BU$12,1,MATCH(BT77,$BP$15:$BU$15,0)),结果汇总!$AI$10:$AI$13,0)</f>
        <v>#VALUE!</v>
      </c>
      <c r="CI77" s="10" t="e">
        <f>MATCH(INDEX($BP$12:$BU$12,1,MATCH(BU77,$BP$15:$BU$15,0)),结果汇总!$AI$10:$AI$13,0)</f>
        <v>#VALUE!</v>
      </c>
      <c r="CK77" s="10">
        <f t="shared" si="94"/>
        <v>0</v>
      </c>
      <c r="CL77" s="10">
        <f t="shared" si="94"/>
        <v>0</v>
      </c>
      <c r="CM77" s="10">
        <f t="shared" si="94"/>
        <v>0</v>
      </c>
      <c r="CN77" s="10">
        <f t="shared" si="94"/>
        <v>0</v>
      </c>
      <c r="CO77" s="10" t="e">
        <f t="shared" si="95"/>
        <v>#DIV/0!</v>
      </c>
      <c r="CP77" s="10" t="e">
        <f t="shared" si="95"/>
        <v>#DIV/0!</v>
      </c>
      <c r="CQ77" s="10" t="e">
        <f t="shared" si="95"/>
        <v>#DIV/0!</v>
      </c>
      <c r="CR77" s="10" t="e">
        <f t="shared" si="95"/>
        <v>#DIV/0!</v>
      </c>
      <c r="CS77" s="10">
        <f t="shared" si="96"/>
        <v>0</v>
      </c>
      <c r="CT77" s="10">
        <f t="shared" si="96"/>
        <v>0</v>
      </c>
      <c r="CU77" s="10">
        <f t="shared" si="96"/>
        <v>0</v>
      </c>
      <c r="CV77" s="10">
        <f t="shared" si="96"/>
        <v>0</v>
      </c>
      <c r="CW77" s="10">
        <f t="shared" si="97"/>
        <v>0</v>
      </c>
      <c r="CX77" s="10">
        <f t="shared" si="97"/>
        <v>0</v>
      </c>
      <c r="CY77" s="10">
        <f t="shared" si="97"/>
        <v>0</v>
      </c>
      <c r="CZ77" s="10">
        <f t="shared" si="97"/>
        <v>0</v>
      </c>
    </row>
    <row r="78" spans="4:104" x14ac:dyDescent="0.15">
      <c r="D78" s="10">
        <v>63</v>
      </c>
      <c r="E78" s="10" t="e">
        <f t="shared" si="84"/>
        <v>#VALUE!</v>
      </c>
      <c r="F78" s="10" t="e">
        <f t="shared" si="3"/>
        <v>#VALUE!</v>
      </c>
      <c r="G78" s="10" t="e">
        <f t="shared" si="4"/>
        <v>#VALUE!</v>
      </c>
      <c r="H78" s="10" t="e">
        <f t="shared" si="24"/>
        <v>#VALUE!</v>
      </c>
      <c r="I78" s="10" t="e">
        <f t="shared" si="83"/>
        <v>#VALUE!</v>
      </c>
      <c r="J78" s="10" t="e">
        <f t="shared" si="85"/>
        <v>#VALUE!</v>
      </c>
      <c r="K78" s="10" t="e">
        <f t="shared" si="6"/>
        <v>#VALUE!</v>
      </c>
      <c r="L78" s="10" t="e">
        <f t="shared" si="7"/>
        <v>#VALUE!</v>
      </c>
      <c r="M78" s="10" t="e">
        <f t="shared" si="26"/>
        <v>#VALUE!</v>
      </c>
      <c r="O78" s="10" t="e">
        <f t="shared" si="86"/>
        <v>#VALUE!</v>
      </c>
      <c r="P78" s="10" t="e">
        <f t="shared" si="8"/>
        <v>#VALUE!</v>
      </c>
      <c r="Q78" s="10" t="e">
        <f t="shared" si="9"/>
        <v>#VALUE!</v>
      </c>
      <c r="R78" s="10" t="e">
        <f t="shared" si="28"/>
        <v>#VALUE!</v>
      </c>
      <c r="S78" s="10" t="e">
        <f t="shared" si="29"/>
        <v>#VALUE!</v>
      </c>
      <c r="T78" s="10" t="e">
        <f t="shared" si="64"/>
        <v>#VALUE!</v>
      </c>
      <c r="U78" s="10" t="e">
        <f t="shared" si="65"/>
        <v>#VALUE!</v>
      </c>
      <c r="V78" s="10" t="e">
        <f t="shared" si="10"/>
        <v>#VALUE!</v>
      </c>
      <c r="W78" s="10" t="e">
        <f t="shared" si="30"/>
        <v>#VALUE!</v>
      </c>
      <c r="Y78" s="10" t="e">
        <f t="shared" si="87"/>
        <v>#VALUE!</v>
      </c>
      <c r="Z78" s="11" t="e">
        <f t="shared" si="32"/>
        <v>#VALUE!</v>
      </c>
      <c r="AA78" s="10" t="e">
        <f t="shared" si="11"/>
        <v>#VALUE!</v>
      </c>
      <c r="AB78" s="10" t="e">
        <f t="shared" si="33"/>
        <v>#VALUE!</v>
      </c>
      <c r="AC78" s="10" t="e">
        <f t="shared" si="34"/>
        <v>#VALUE!</v>
      </c>
      <c r="AD78" s="10" t="e">
        <f t="shared" si="66"/>
        <v>#VALUE!</v>
      </c>
      <c r="AE78" s="10" t="e">
        <f t="shared" si="67"/>
        <v>#VALUE!</v>
      </c>
      <c r="AF78" s="10" t="e">
        <f t="shared" si="12"/>
        <v>#VALUE!</v>
      </c>
      <c r="AG78" s="10" t="e">
        <f t="shared" si="35"/>
        <v>#VALUE!</v>
      </c>
      <c r="AI78" s="13"/>
      <c r="AK78" s="10" t="e">
        <f t="shared" si="88"/>
        <v>#VALUE!</v>
      </c>
      <c r="AL78" s="10" t="e">
        <f t="shared" si="68"/>
        <v>#VALUE!</v>
      </c>
      <c r="AM78" s="10" t="e">
        <f t="shared" si="13"/>
        <v>#VALUE!</v>
      </c>
      <c r="AN78" s="10" t="e">
        <f t="shared" si="37"/>
        <v>#VALUE!</v>
      </c>
      <c r="AO78" s="10" t="e">
        <f t="shared" si="38"/>
        <v>#VALUE!</v>
      </c>
      <c r="AP78" s="10" t="e">
        <f t="shared" si="89"/>
        <v>#VALUE!</v>
      </c>
      <c r="AQ78" s="10" t="e">
        <f t="shared" si="69"/>
        <v>#VALUE!</v>
      </c>
      <c r="AR78" s="10" t="e">
        <f t="shared" si="14"/>
        <v>#VALUE!</v>
      </c>
      <c r="AS78" s="10" t="e">
        <f t="shared" si="70"/>
        <v>#VALUE!</v>
      </c>
      <c r="AU78" s="10" t="e">
        <f t="shared" si="90"/>
        <v>#VALUE!</v>
      </c>
      <c r="AV78" s="10" t="e">
        <f t="shared" si="71"/>
        <v>#VALUE!</v>
      </c>
      <c r="AW78" s="10" t="e">
        <f t="shared" si="15"/>
        <v>#VALUE!</v>
      </c>
      <c r="AX78" s="10" t="e">
        <f t="shared" si="41"/>
        <v>#VALUE!</v>
      </c>
      <c r="AY78" s="10" t="e">
        <f t="shared" si="42"/>
        <v>#VALUE!</v>
      </c>
      <c r="AZ78" s="10" t="e">
        <f t="shared" si="91"/>
        <v>#VALUE!</v>
      </c>
      <c r="BA78" s="10" t="e">
        <f t="shared" si="72"/>
        <v>#VALUE!</v>
      </c>
      <c r="BB78" s="10" t="e">
        <f t="shared" si="16"/>
        <v>#VALUE!</v>
      </c>
      <c r="BC78" s="10" t="e">
        <f t="shared" si="73"/>
        <v>#VALUE!</v>
      </c>
      <c r="BE78" s="10" t="e">
        <f t="shared" si="92"/>
        <v>#VALUE!</v>
      </c>
      <c r="BF78" s="10" t="e">
        <f t="shared" si="74"/>
        <v>#VALUE!</v>
      </c>
      <c r="BG78" s="10" t="e">
        <f t="shared" si="17"/>
        <v>#VALUE!</v>
      </c>
      <c r="BH78" s="10" t="e">
        <f t="shared" si="45"/>
        <v>#VALUE!</v>
      </c>
      <c r="BI78" s="10" t="e">
        <f t="shared" si="46"/>
        <v>#VALUE!</v>
      </c>
      <c r="BJ78" s="10" t="e">
        <f t="shared" si="93"/>
        <v>#VALUE!</v>
      </c>
      <c r="BK78" s="10" t="e">
        <f t="shared" si="75"/>
        <v>#VALUE!</v>
      </c>
      <c r="BL78" s="10" t="e">
        <f t="shared" si="18"/>
        <v>#VALUE!</v>
      </c>
      <c r="BM78" s="10" t="e">
        <f t="shared" si="76"/>
        <v>#VALUE!</v>
      </c>
      <c r="BP78" s="10" t="e">
        <f t="shared" si="77"/>
        <v>#VALUE!</v>
      </c>
      <c r="BQ78" s="10" t="e">
        <f t="shared" si="78"/>
        <v>#VALUE!</v>
      </c>
      <c r="BR78" s="10" t="e">
        <f t="shared" si="79"/>
        <v>#VALUE!</v>
      </c>
      <c r="BS78" s="10" t="e">
        <f t="shared" si="80"/>
        <v>#VALUE!</v>
      </c>
      <c r="BT78" s="10" t="e">
        <f t="shared" si="81"/>
        <v>#VALUE!</v>
      </c>
      <c r="BU78" s="10" t="e">
        <f t="shared" si="82"/>
        <v>#VALUE!</v>
      </c>
      <c r="BW78" s="10" t="e">
        <f t="shared" si="54"/>
        <v>#VALUE!</v>
      </c>
      <c r="BX78" s="10" t="e">
        <f t="shared" si="55"/>
        <v>#VALUE!</v>
      </c>
      <c r="BY78" s="10" t="e">
        <f t="shared" si="56"/>
        <v>#VALUE!</v>
      </c>
      <c r="BZ78" s="10" t="e">
        <f t="shared" si="57"/>
        <v>#VALUE!</v>
      </c>
      <c r="CA78" s="10" t="e">
        <f t="shared" si="58"/>
        <v>#VALUE!</v>
      </c>
      <c r="CB78" s="10" t="e">
        <f t="shared" si="59"/>
        <v>#VALUE!</v>
      </c>
      <c r="CD78" s="10" t="e">
        <f>MATCH(INDEX($BP$12:$BU$12,1,MATCH(BP78,$BP$15:$BU$15,0)),结果汇总!$AI$10:$AI$13,0)</f>
        <v>#VALUE!</v>
      </c>
      <c r="CE78" s="10" t="e">
        <f>MATCH(INDEX($BP$12:$BU$12,1,MATCH(BQ78,$BP$15:$BU$15,0)),结果汇总!$AI$10:$AI$13,0)</f>
        <v>#VALUE!</v>
      </c>
      <c r="CF78" s="10" t="e">
        <f>MATCH(INDEX($BP$12:$BU$12,1,MATCH(BR78,$BP$15:$BU$15,0)),结果汇总!$AI$10:$AI$13,0)</f>
        <v>#VALUE!</v>
      </c>
      <c r="CG78" s="10" t="e">
        <f>MATCH(INDEX($BP$12:$BU$12,1,MATCH(BS78,$BP$15:$BU$15,0)),结果汇总!$AI$10:$AI$13,0)</f>
        <v>#VALUE!</v>
      </c>
      <c r="CH78" s="10" t="e">
        <f>MATCH(INDEX($BP$12:$BU$12,1,MATCH(BT78,$BP$15:$BU$15,0)),结果汇总!$AI$10:$AI$13,0)</f>
        <v>#VALUE!</v>
      </c>
      <c r="CI78" s="10" t="e">
        <f>MATCH(INDEX($BP$12:$BU$12,1,MATCH(BU78,$BP$15:$BU$15,0)),结果汇总!$AI$10:$AI$13,0)</f>
        <v>#VALUE!</v>
      </c>
      <c r="CK78" s="10">
        <f t="shared" si="94"/>
        <v>0</v>
      </c>
      <c r="CL78" s="10">
        <f t="shared" si="94"/>
        <v>0</v>
      </c>
      <c r="CM78" s="10">
        <f t="shared" si="94"/>
        <v>0</v>
      </c>
      <c r="CN78" s="10">
        <f t="shared" si="94"/>
        <v>0</v>
      </c>
      <c r="CO78" s="10" t="e">
        <f t="shared" si="95"/>
        <v>#DIV/0!</v>
      </c>
      <c r="CP78" s="10" t="e">
        <f t="shared" si="95"/>
        <v>#DIV/0!</v>
      </c>
      <c r="CQ78" s="10" t="e">
        <f t="shared" si="95"/>
        <v>#DIV/0!</v>
      </c>
      <c r="CR78" s="10" t="e">
        <f t="shared" si="95"/>
        <v>#DIV/0!</v>
      </c>
      <c r="CS78" s="10">
        <f t="shared" si="96"/>
        <v>0</v>
      </c>
      <c r="CT78" s="10">
        <f t="shared" si="96"/>
        <v>0</v>
      </c>
      <c r="CU78" s="10">
        <f t="shared" si="96"/>
        <v>0</v>
      </c>
      <c r="CV78" s="10">
        <f t="shared" si="96"/>
        <v>0</v>
      </c>
      <c r="CW78" s="10">
        <f t="shared" si="97"/>
        <v>0</v>
      </c>
      <c r="CX78" s="10">
        <f t="shared" si="97"/>
        <v>0</v>
      </c>
      <c r="CY78" s="10">
        <f t="shared" si="97"/>
        <v>0</v>
      </c>
      <c r="CZ78" s="10">
        <f t="shared" si="97"/>
        <v>0</v>
      </c>
    </row>
    <row r="79" spans="4:104" x14ac:dyDescent="0.15">
      <c r="D79" s="10">
        <v>64</v>
      </c>
      <c r="E79" s="10" t="e">
        <f t="shared" si="84"/>
        <v>#VALUE!</v>
      </c>
      <c r="F79" s="10" t="e">
        <f t="shared" si="3"/>
        <v>#VALUE!</v>
      </c>
      <c r="G79" s="10" t="e">
        <f t="shared" si="4"/>
        <v>#VALUE!</v>
      </c>
      <c r="H79" s="10" t="e">
        <f t="shared" si="24"/>
        <v>#VALUE!</v>
      </c>
      <c r="I79" s="10" t="e">
        <f t="shared" si="83"/>
        <v>#VALUE!</v>
      </c>
      <c r="J79" s="10" t="e">
        <f t="shared" si="85"/>
        <v>#VALUE!</v>
      </c>
      <c r="K79" s="10" t="e">
        <f t="shared" si="6"/>
        <v>#VALUE!</v>
      </c>
      <c r="L79" s="10" t="e">
        <f t="shared" si="7"/>
        <v>#VALUE!</v>
      </c>
      <c r="M79" s="10" t="e">
        <f t="shared" si="26"/>
        <v>#VALUE!</v>
      </c>
      <c r="O79" s="10" t="e">
        <f t="shared" si="86"/>
        <v>#VALUE!</v>
      </c>
      <c r="P79" s="10" t="e">
        <f t="shared" si="8"/>
        <v>#VALUE!</v>
      </c>
      <c r="Q79" s="10" t="e">
        <f t="shared" si="9"/>
        <v>#VALUE!</v>
      </c>
      <c r="R79" s="10" t="e">
        <f t="shared" si="28"/>
        <v>#VALUE!</v>
      </c>
      <c r="S79" s="10" t="e">
        <f t="shared" si="29"/>
        <v>#VALUE!</v>
      </c>
      <c r="T79" s="10" t="e">
        <f t="shared" si="64"/>
        <v>#VALUE!</v>
      </c>
      <c r="U79" s="10" t="e">
        <f t="shared" si="65"/>
        <v>#VALUE!</v>
      </c>
      <c r="V79" s="10" t="e">
        <f t="shared" si="10"/>
        <v>#VALUE!</v>
      </c>
      <c r="W79" s="10" t="e">
        <f t="shared" si="30"/>
        <v>#VALUE!</v>
      </c>
      <c r="Y79" s="10" t="e">
        <f t="shared" si="87"/>
        <v>#VALUE!</v>
      </c>
      <c r="Z79" s="11" t="e">
        <f t="shared" si="32"/>
        <v>#VALUE!</v>
      </c>
      <c r="AA79" s="10" t="e">
        <f t="shared" si="11"/>
        <v>#VALUE!</v>
      </c>
      <c r="AB79" s="10" t="e">
        <f t="shared" si="33"/>
        <v>#VALUE!</v>
      </c>
      <c r="AC79" s="10" t="e">
        <f t="shared" si="34"/>
        <v>#VALUE!</v>
      </c>
      <c r="AD79" s="10" t="e">
        <f t="shared" si="66"/>
        <v>#VALUE!</v>
      </c>
      <c r="AE79" s="10" t="e">
        <f t="shared" si="67"/>
        <v>#VALUE!</v>
      </c>
      <c r="AF79" s="10" t="e">
        <f t="shared" si="12"/>
        <v>#VALUE!</v>
      </c>
      <c r="AG79" s="10" t="e">
        <f t="shared" si="35"/>
        <v>#VALUE!</v>
      </c>
      <c r="AI79" s="13"/>
      <c r="AK79" s="10" t="e">
        <f t="shared" si="88"/>
        <v>#VALUE!</v>
      </c>
      <c r="AL79" s="10" t="e">
        <f t="shared" si="68"/>
        <v>#VALUE!</v>
      </c>
      <c r="AM79" s="10" t="e">
        <f t="shared" si="13"/>
        <v>#VALUE!</v>
      </c>
      <c r="AN79" s="10" t="e">
        <f t="shared" si="37"/>
        <v>#VALUE!</v>
      </c>
      <c r="AO79" s="10" t="e">
        <f t="shared" si="38"/>
        <v>#VALUE!</v>
      </c>
      <c r="AP79" s="10" t="e">
        <f t="shared" si="89"/>
        <v>#VALUE!</v>
      </c>
      <c r="AQ79" s="10" t="e">
        <f t="shared" si="69"/>
        <v>#VALUE!</v>
      </c>
      <c r="AR79" s="10" t="e">
        <f t="shared" si="14"/>
        <v>#VALUE!</v>
      </c>
      <c r="AS79" s="10" t="e">
        <f t="shared" si="70"/>
        <v>#VALUE!</v>
      </c>
      <c r="AU79" s="10" t="e">
        <f t="shared" si="90"/>
        <v>#VALUE!</v>
      </c>
      <c r="AV79" s="10" t="e">
        <f t="shared" si="71"/>
        <v>#VALUE!</v>
      </c>
      <c r="AW79" s="10" t="e">
        <f t="shared" si="15"/>
        <v>#VALUE!</v>
      </c>
      <c r="AX79" s="10" t="e">
        <f t="shared" si="41"/>
        <v>#VALUE!</v>
      </c>
      <c r="AY79" s="10" t="e">
        <f t="shared" si="42"/>
        <v>#VALUE!</v>
      </c>
      <c r="AZ79" s="10" t="e">
        <f t="shared" si="91"/>
        <v>#VALUE!</v>
      </c>
      <c r="BA79" s="10" t="e">
        <f t="shared" si="72"/>
        <v>#VALUE!</v>
      </c>
      <c r="BB79" s="10" t="e">
        <f t="shared" si="16"/>
        <v>#VALUE!</v>
      </c>
      <c r="BC79" s="10" t="e">
        <f t="shared" si="73"/>
        <v>#VALUE!</v>
      </c>
      <c r="BE79" s="10" t="e">
        <f t="shared" si="92"/>
        <v>#VALUE!</v>
      </c>
      <c r="BF79" s="10" t="e">
        <f t="shared" si="74"/>
        <v>#VALUE!</v>
      </c>
      <c r="BG79" s="10" t="e">
        <f t="shared" si="17"/>
        <v>#VALUE!</v>
      </c>
      <c r="BH79" s="10" t="e">
        <f t="shared" si="45"/>
        <v>#VALUE!</v>
      </c>
      <c r="BI79" s="10" t="e">
        <f t="shared" si="46"/>
        <v>#VALUE!</v>
      </c>
      <c r="BJ79" s="10" t="e">
        <f t="shared" si="93"/>
        <v>#VALUE!</v>
      </c>
      <c r="BK79" s="10" t="e">
        <f t="shared" si="75"/>
        <v>#VALUE!</v>
      </c>
      <c r="BL79" s="10" t="e">
        <f t="shared" si="18"/>
        <v>#VALUE!</v>
      </c>
      <c r="BM79" s="10" t="e">
        <f t="shared" si="76"/>
        <v>#VALUE!</v>
      </c>
      <c r="BP79" s="10" t="e">
        <f t="shared" si="77"/>
        <v>#VALUE!</v>
      </c>
      <c r="BQ79" s="10" t="e">
        <f t="shared" si="78"/>
        <v>#VALUE!</v>
      </c>
      <c r="BR79" s="10" t="e">
        <f t="shared" si="79"/>
        <v>#VALUE!</v>
      </c>
      <c r="BS79" s="10" t="e">
        <f t="shared" si="80"/>
        <v>#VALUE!</v>
      </c>
      <c r="BT79" s="10" t="e">
        <f t="shared" si="81"/>
        <v>#VALUE!</v>
      </c>
      <c r="BU79" s="10" t="e">
        <f t="shared" si="82"/>
        <v>#VALUE!</v>
      </c>
      <c r="BW79" s="10" t="e">
        <f t="shared" si="54"/>
        <v>#VALUE!</v>
      </c>
      <c r="BX79" s="10" t="e">
        <f t="shared" si="55"/>
        <v>#VALUE!</v>
      </c>
      <c r="BY79" s="10" t="e">
        <f t="shared" si="56"/>
        <v>#VALUE!</v>
      </c>
      <c r="BZ79" s="10" t="e">
        <f t="shared" si="57"/>
        <v>#VALUE!</v>
      </c>
      <c r="CA79" s="10" t="e">
        <f t="shared" si="58"/>
        <v>#VALUE!</v>
      </c>
      <c r="CB79" s="10" t="e">
        <f t="shared" si="59"/>
        <v>#VALUE!</v>
      </c>
      <c r="CD79" s="10" t="e">
        <f>MATCH(INDEX($BP$12:$BU$12,1,MATCH(BP79,$BP$15:$BU$15,0)),结果汇总!$AI$10:$AI$13,0)</f>
        <v>#VALUE!</v>
      </c>
      <c r="CE79" s="10" t="e">
        <f>MATCH(INDEX($BP$12:$BU$12,1,MATCH(BQ79,$BP$15:$BU$15,0)),结果汇总!$AI$10:$AI$13,0)</f>
        <v>#VALUE!</v>
      </c>
      <c r="CF79" s="10" t="e">
        <f>MATCH(INDEX($BP$12:$BU$12,1,MATCH(BR79,$BP$15:$BU$15,0)),结果汇总!$AI$10:$AI$13,0)</f>
        <v>#VALUE!</v>
      </c>
      <c r="CG79" s="10" t="e">
        <f>MATCH(INDEX($BP$12:$BU$12,1,MATCH(BS79,$BP$15:$BU$15,0)),结果汇总!$AI$10:$AI$13,0)</f>
        <v>#VALUE!</v>
      </c>
      <c r="CH79" s="10" t="e">
        <f>MATCH(INDEX($BP$12:$BU$12,1,MATCH(BT79,$BP$15:$BU$15,0)),结果汇总!$AI$10:$AI$13,0)</f>
        <v>#VALUE!</v>
      </c>
      <c r="CI79" s="10" t="e">
        <f>MATCH(INDEX($BP$12:$BU$12,1,MATCH(BU79,$BP$15:$BU$15,0)),结果汇总!$AI$10:$AI$13,0)</f>
        <v>#VALUE!</v>
      </c>
      <c r="CK79" s="10">
        <f t="shared" si="94"/>
        <v>0</v>
      </c>
      <c r="CL79" s="10">
        <f t="shared" si="94"/>
        <v>0</v>
      </c>
      <c r="CM79" s="10">
        <f t="shared" si="94"/>
        <v>0</v>
      </c>
      <c r="CN79" s="10">
        <f t="shared" si="94"/>
        <v>0</v>
      </c>
      <c r="CO79" s="10" t="e">
        <f t="shared" si="95"/>
        <v>#DIV/0!</v>
      </c>
      <c r="CP79" s="10" t="e">
        <f t="shared" si="95"/>
        <v>#DIV/0!</v>
      </c>
      <c r="CQ79" s="10" t="e">
        <f t="shared" si="95"/>
        <v>#DIV/0!</v>
      </c>
      <c r="CR79" s="10" t="e">
        <f t="shared" si="95"/>
        <v>#DIV/0!</v>
      </c>
      <c r="CS79" s="10">
        <f t="shared" si="96"/>
        <v>0</v>
      </c>
      <c r="CT79" s="10">
        <f t="shared" si="96"/>
        <v>0</v>
      </c>
      <c r="CU79" s="10">
        <f t="shared" si="96"/>
        <v>0</v>
      </c>
      <c r="CV79" s="10">
        <f t="shared" si="96"/>
        <v>0</v>
      </c>
      <c r="CW79" s="10">
        <f t="shared" si="97"/>
        <v>0</v>
      </c>
      <c r="CX79" s="10">
        <f t="shared" si="97"/>
        <v>0</v>
      </c>
      <c r="CY79" s="10">
        <f t="shared" si="97"/>
        <v>0</v>
      </c>
      <c r="CZ79" s="10">
        <f t="shared" si="97"/>
        <v>0</v>
      </c>
    </row>
    <row r="80" spans="4:104" x14ac:dyDescent="0.15">
      <c r="D80" s="10">
        <v>65</v>
      </c>
      <c r="E80" s="10" t="e">
        <f t="shared" si="84"/>
        <v>#VALUE!</v>
      </c>
      <c r="F80" s="10" t="e">
        <f t="shared" ref="F80:F125" si="98">IF(E80=0,0,E80*$E$5)</f>
        <v>#VALUE!</v>
      </c>
      <c r="G80" s="10" t="e">
        <f t="shared" ref="G80:G125" si="99">F80*$P$7</f>
        <v>#VALUE!</v>
      </c>
      <c r="H80" s="10" t="e">
        <f t="shared" si="24"/>
        <v>#VALUE!</v>
      </c>
      <c r="I80" s="10" t="e">
        <f t="shared" ref="I80:I111" si="100">IF(AND(J80=0,E80&lt;&gt;0),1,H80/(H80+$G$6))</f>
        <v>#VALUE!</v>
      </c>
      <c r="J80" s="10" t="e">
        <f t="shared" si="85"/>
        <v>#VALUE!</v>
      </c>
      <c r="K80" s="10" t="e">
        <f t="shared" ref="K80:K125" si="101">IF(J80=0,0,ROUNDUP(J80,0)*$E$6)</f>
        <v>#VALUE!</v>
      </c>
      <c r="L80" s="10" t="e">
        <f t="shared" ref="L80:L125" si="102">K80*$P$7</f>
        <v>#VALUE!</v>
      </c>
      <c r="M80" s="10" t="e">
        <f t="shared" si="26"/>
        <v>#VALUE!</v>
      </c>
      <c r="O80" s="10" t="e">
        <f t="shared" si="86"/>
        <v>#VALUE!</v>
      </c>
      <c r="P80" s="10" t="e">
        <f t="shared" ref="P80:P125" si="103">IF(O80=0,0,O80*$E$8)</f>
        <v>#VALUE!</v>
      </c>
      <c r="Q80" s="10" t="e">
        <f t="shared" ref="Q80:Q125" si="104">P80*$P$7</f>
        <v>#VALUE!</v>
      </c>
      <c r="R80" s="10" t="e">
        <f t="shared" si="28"/>
        <v>#VALUE!</v>
      </c>
      <c r="S80" s="10" t="e">
        <f t="shared" si="29"/>
        <v>#VALUE!</v>
      </c>
      <c r="T80" s="10" t="e">
        <f t="shared" si="64"/>
        <v>#VALUE!</v>
      </c>
      <c r="U80" s="10" t="e">
        <f t="shared" si="65"/>
        <v>#VALUE!</v>
      </c>
      <c r="V80" s="10" t="e">
        <f t="shared" ref="V80:V125" si="105">U80*$P$7</f>
        <v>#VALUE!</v>
      </c>
      <c r="W80" s="10" t="e">
        <f t="shared" si="30"/>
        <v>#VALUE!</v>
      </c>
      <c r="Y80" s="10" t="e">
        <f t="shared" si="87"/>
        <v>#VALUE!</v>
      </c>
      <c r="Z80" s="11" t="e">
        <f t="shared" si="32"/>
        <v>#VALUE!</v>
      </c>
      <c r="AA80" s="10" t="e">
        <f t="shared" ref="AA80:AA125" si="106">Z80*$P$7</f>
        <v>#VALUE!</v>
      </c>
      <c r="AB80" s="10" t="e">
        <f t="shared" si="33"/>
        <v>#VALUE!</v>
      </c>
      <c r="AC80" s="10" t="e">
        <f t="shared" si="34"/>
        <v>#VALUE!</v>
      </c>
      <c r="AD80" s="10" t="e">
        <f t="shared" si="66"/>
        <v>#VALUE!</v>
      </c>
      <c r="AE80" s="10" t="e">
        <f t="shared" si="67"/>
        <v>#VALUE!</v>
      </c>
      <c r="AF80" s="10" t="e">
        <f t="shared" ref="AF80:AF125" si="107">AE80*$P$7</f>
        <v>#VALUE!</v>
      </c>
      <c r="AG80" s="10" t="e">
        <f t="shared" si="35"/>
        <v>#VALUE!</v>
      </c>
      <c r="AI80" s="13"/>
      <c r="AK80" s="10" t="e">
        <f t="shared" si="88"/>
        <v>#VALUE!</v>
      </c>
      <c r="AL80" s="10" t="e">
        <f t="shared" si="68"/>
        <v>#VALUE!</v>
      </c>
      <c r="AM80" s="10" t="e">
        <f t="shared" ref="AM80:AM125" si="108">AL80*$P$7</f>
        <v>#VALUE!</v>
      </c>
      <c r="AN80" s="10" t="e">
        <f t="shared" si="37"/>
        <v>#VALUE!</v>
      </c>
      <c r="AO80" s="10" t="e">
        <f t="shared" si="38"/>
        <v>#VALUE!</v>
      </c>
      <c r="AP80" s="10" t="e">
        <f t="shared" si="89"/>
        <v>#VALUE!</v>
      </c>
      <c r="AQ80" s="10" t="e">
        <f t="shared" si="69"/>
        <v>#VALUE!</v>
      </c>
      <c r="AR80" s="10" t="e">
        <f t="shared" ref="AR80:AR125" si="109">AQ80*$P$7</f>
        <v>#VALUE!</v>
      </c>
      <c r="AS80" s="10" t="e">
        <f t="shared" si="70"/>
        <v>#VALUE!</v>
      </c>
      <c r="AU80" s="10" t="e">
        <f t="shared" si="90"/>
        <v>#VALUE!</v>
      </c>
      <c r="AV80" s="10" t="e">
        <f t="shared" si="71"/>
        <v>#VALUE!</v>
      </c>
      <c r="AW80" s="10" t="e">
        <f t="shared" ref="AW80:AW125" si="110">AV80*$P$7</f>
        <v>#VALUE!</v>
      </c>
      <c r="AX80" s="10" t="e">
        <f t="shared" si="41"/>
        <v>#VALUE!</v>
      </c>
      <c r="AY80" s="10" t="e">
        <f t="shared" si="42"/>
        <v>#VALUE!</v>
      </c>
      <c r="AZ80" s="10" t="e">
        <f t="shared" si="91"/>
        <v>#VALUE!</v>
      </c>
      <c r="BA80" s="10" t="e">
        <f t="shared" si="72"/>
        <v>#VALUE!</v>
      </c>
      <c r="BB80" s="10" t="e">
        <f t="shared" ref="BB80:BB125" si="111">BA80*$P$7</f>
        <v>#VALUE!</v>
      </c>
      <c r="BC80" s="10" t="e">
        <f t="shared" si="73"/>
        <v>#VALUE!</v>
      </c>
      <c r="BE80" s="10" t="e">
        <f t="shared" si="92"/>
        <v>#VALUE!</v>
      </c>
      <c r="BF80" s="10" t="e">
        <f t="shared" si="74"/>
        <v>#VALUE!</v>
      </c>
      <c r="BG80" s="10" t="e">
        <f t="shared" ref="BG80:BG125" si="112">BF80*$P$7</f>
        <v>#VALUE!</v>
      </c>
      <c r="BH80" s="10" t="e">
        <f t="shared" si="45"/>
        <v>#VALUE!</v>
      </c>
      <c r="BI80" s="10" t="e">
        <f t="shared" si="46"/>
        <v>#VALUE!</v>
      </c>
      <c r="BJ80" s="10" t="e">
        <f t="shared" si="93"/>
        <v>#VALUE!</v>
      </c>
      <c r="BK80" s="10" t="e">
        <f t="shared" si="75"/>
        <v>#VALUE!</v>
      </c>
      <c r="BL80" s="10" t="e">
        <f t="shared" ref="BL80:BL125" si="113">BK80*$P$7</f>
        <v>#VALUE!</v>
      </c>
      <c r="BM80" s="10" t="e">
        <f t="shared" si="76"/>
        <v>#VALUE!</v>
      </c>
      <c r="BP80" s="10" t="e">
        <f t="shared" si="77"/>
        <v>#VALUE!</v>
      </c>
      <c r="BQ80" s="10" t="e">
        <f t="shared" si="78"/>
        <v>#VALUE!</v>
      </c>
      <c r="BR80" s="10" t="e">
        <f t="shared" si="79"/>
        <v>#VALUE!</v>
      </c>
      <c r="BS80" s="10" t="e">
        <f t="shared" si="80"/>
        <v>#VALUE!</v>
      </c>
      <c r="BT80" s="10" t="e">
        <f t="shared" si="81"/>
        <v>#VALUE!</v>
      </c>
      <c r="BU80" s="10" t="e">
        <f t="shared" si="82"/>
        <v>#VALUE!</v>
      </c>
      <c r="BW80" s="10" t="e">
        <f t="shared" si="54"/>
        <v>#VALUE!</v>
      </c>
      <c r="BX80" s="10" t="e">
        <f t="shared" si="55"/>
        <v>#VALUE!</v>
      </c>
      <c r="BY80" s="10" t="e">
        <f t="shared" si="56"/>
        <v>#VALUE!</v>
      </c>
      <c r="BZ80" s="10" t="e">
        <f t="shared" si="57"/>
        <v>#VALUE!</v>
      </c>
      <c r="CA80" s="10" t="e">
        <f t="shared" si="58"/>
        <v>#VALUE!</v>
      </c>
      <c r="CB80" s="10" t="e">
        <f t="shared" si="59"/>
        <v>#VALUE!</v>
      </c>
      <c r="CD80" s="10" t="e">
        <f>MATCH(INDEX($BP$12:$BU$12,1,MATCH(BP80,$BP$15:$BU$15,0)),结果汇总!$AI$10:$AI$13,0)</f>
        <v>#VALUE!</v>
      </c>
      <c r="CE80" s="10" t="e">
        <f>MATCH(INDEX($BP$12:$BU$12,1,MATCH(BQ80,$BP$15:$BU$15,0)),结果汇总!$AI$10:$AI$13,0)</f>
        <v>#VALUE!</v>
      </c>
      <c r="CF80" s="10" t="e">
        <f>MATCH(INDEX($BP$12:$BU$12,1,MATCH(BR80,$BP$15:$BU$15,0)),结果汇总!$AI$10:$AI$13,0)</f>
        <v>#VALUE!</v>
      </c>
      <c r="CG80" s="10" t="e">
        <f>MATCH(INDEX($BP$12:$BU$12,1,MATCH(BS80,$BP$15:$BU$15,0)),结果汇总!$AI$10:$AI$13,0)</f>
        <v>#VALUE!</v>
      </c>
      <c r="CH80" s="10" t="e">
        <f>MATCH(INDEX($BP$12:$BU$12,1,MATCH(BT80,$BP$15:$BU$15,0)),结果汇总!$AI$10:$AI$13,0)</f>
        <v>#VALUE!</v>
      </c>
      <c r="CI80" s="10" t="e">
        <f>MATCH(INDEX($BP$12:$BU$12,1,MATCH(BU80,$BP$15:$BU$15,0)),结果汇总!$AI$10:$AI$13,0)</f>
        <v>#VALUE!</v>
      </c>
      <c r="CK80" s="10">
        <f t="shared" si="94"/>
        <v>0</v>
      </c>
      <c r="CL80" s="10">
        <f t="shared" si="94"/>
        <v>0</v>
      </c>
      <c r="CM80" s="10">
        <f t="shared" si="94"/>
        <v>0</v>
      </c>
      <c r="CN80" s="10">
        <f t="shared" si="94"/>
        <v>0</v>
      </c>
      <c r="CO80" s="10" t="e">
        <f t="shared" si="95"/>
        <v>#DIV/0!</v>
      </c>
      <c r="CP80" s="10" t="e">
        <f t="shared" si="95"/>
        <v>#DIV/0!</v>
      </c>
      <c r="CQ80" s="10" t="e">
        <f t="shared" si="95"/>
        <v>#DIV/0!</v>
      </c>
      <c r="CR80" s="10" t="e">
        <f t="shared" si="95"/>
        <v>#DIV/0!</v>
      </c>
      <c r="CS80" s="10">
        <f t="shared" si="96"/>
        <v>0</v>
      </c>
      <c r="CT80" s="10">
        <f t="shared" si="96"/>
        <v>0</v>
      </c>
      <c r="CU80" s="10">
        <f t="shared" si="96"/>
        <v>0</v>
      </c>
      <c r="CV80" s="10">
        <f t="shared" si="96"/>
        <v>0</v>
      </c>
      <c r="CW80" s="10">
        <f t="shared" si="97"/>
        <v>0</v>
      </c>
      <c r="CX80" s="10">
        <f t="shared" si="97"/>
        <v>0</v>
      </c>
      <c r="CY80" s="10">
        <f t="shared" si="97"/>
        <v>0</v>
      </c>
      <c r="CZ80" s="10">
        <f t="shared" si="97"/>
        <v>0</v>
      </c>
    </row>
    <row r="81" spans="4:104" x14ac:dyDescent="0.15">
      <c r="D81" s="10">
        <v>66</v>
      </c>
      <c r="E81" s="10" t="e">
        <f t="shared" ref="E81:E112" si="114">IF(E80-((AL80+AM80+AQ80+AR80)*IF(BS80=1,1,0)+(AV80+AW80+BA80+BB80)*IF(BT80=1,1,0)+(BF80+BG80+BK80+BL80)*IF(BU80=1,1,0))*IF(J80=0,1,I80)/$D$5&lt;$E$16*$P$8,0,
E80-((AL80+AM80+AQ80+AR80)*IF(BS80=1,1,0)+(AV80+AW80+BA80+BB80)*IF(BT80=1,1,0)+(BF80+BG80+BK80+BL80)*IF(BU80=1,1,0))*IF(J80=0,1,I80)/$D$5)</f>
        <v>#VALUE!</v>
      </c>
      <c r="F81" s="10" t="e">
        <f t="shared" si="98"/>
        <v>#VALUE!</v>
      </c>
      <c r="G81" s="10" t="e">
        <f t="shared" si="99"/>
        <v>#VALUE!</v>
      </c>
      <c r="H81" s="10" t="e">
        <f t="shared" ref="H81:H125" si="115">IF(E81=0,0,ROUNDUP(E81/$F$5*$G$5,0))</f>
        <v>#VALUE!</v>
      </c>
      <c r="I81" s="10" t="e">
        <f t="shared" si="100"/>
        <v>#VALUE!</v>
      </c>
      <c r="J81" s="10" t="e">
        <f t="shared" ref="J81:J112" si="116">MAX(J80-((AL80+AM80+AQ80+AR80)*IF(BS80=1,1,0)+(AV80+AW80+BA80+BB80)*IF(BT80=1,1,0)+(BF80+BG80+BK80+BL80)*IF(BU80=1,1,0))*IF(E80=0,1,M80)/$D$6,0)</f>
        <v>#VALUE!</v>
      </c>
      <c r="K81" s="10" t="e">
        <f t="shared" si="101"/>
        <v>#VALUE!</v>
      </c>
      <c r="L81" s="10" t="e">
        <f t="shared" si="102"/>
        <v>#VALUE!</v>
      </c>
      <c r="M81" s="10" t="e">
        <f t="shared" ref="M81:M125" si="117">IF(J81=0,0,1-I81)</f>
        <v>#VALUE!</v>
      </c>
      <c r="O81" s="10" t="e">
        <f t="shared" ref="O81:O112" si="118">IF(O80-((AL80+AM80+AQ80+AR80)*IF(BS80=3,1,0)+(AV80+AW80+BA80+BB80)*IF(BT80=3,1,0)+(BF80+BG80+BK80+BL80)*IF(BU80=3,1,0))*IF(T80=0,1,S80)/$D$8&lt;$O$16*$P$8,0,
O80-((AL80+AM80+AQ80+AR80)*IF(BS80=3,1,0)+(AV80+AW80+BA80+BB80)*IF(BT80=3,1,0)+(BF80+BG80+BK80+BL80)*IF(BU80=3,1,0))*IF(T80=0,1,S80)/$D$8)</f>
        <v>#VALUE!</v>
      </c>
      <c r="P81" s="10" t="e">
        <f t="shared" si="103"/>
        <v>#VALUE!</v>
      </c>
      <c r="Q81" s="10" t="e">
        <f t="shared" si="104"/>
        <v>#VALUE!</v>
      </c>
      <c r="R81" s="10" t="e">
        <f t="shared" ref="R81:R125" si="119">IF(O81=0,0,ROUNDUP(O81/$F$8*$G$8,0))</f>
        <v>#VALUE!</v>
      </c>
      <c r="S81" s="10" t="e">
        <f t="shared" ref="S81:S125" si="120">IF(AND(T81=0,O81&lt;&gt;0),1,R81/(R81+$G$9))</f>
        <v>#VALUE!</v>
      </c>
      <c r="T81" s="10" t="e">
        <f t="shared" si="64"/>
        <v>#VALUE!</v>
      </c>
      <c r="U81" s="10" t="e">
        <f t="shared" si="65"/>
        <v>#VALUE!</v>
      </c>
      <c r="V81" s="10" t="e">
        <f t="shared" si="105"/>
        <v>#VALUE!</v>
      </c>
      <c r="W81" s="10" t="e">
        <f t="shared" ref="W81:W125" si="121">IF(T81=0,0,1-S81)</f>
        <v>#VALUE!</v>
      </c>
      <c r="Y81" s="10" t="e">
        <f t="shared" ref="Y81:Y112" si="122">IF(Y80-((AL80+AM80+AQ80+AR80)*IF(BS80=5,1,0)+(AV80+AW80+BA80+BB80)*IF(BT80=5,1,0)+(BF80+BG80+BK80+BL80)*IF(BU80=5,1,0))*IF(AD80=0,1,AC80)/$D$11&lt;$Y$16*$P$8,0,
Y80-((AL80+AM80+AQ80+AR80)*IF(BS80=5,1,0)+(AV80+AW80+BA80+BB80)*IF(BT80=5,1,0)+(BF80+BG80+BK80+BL80)*IF(BU80=5,1,0))*IF(AD80=0,1,AC80)/$D$11)</f>
        <v>#VALUE!</v>
      </c>
      <c r="Z81" s="11" t="e">
        <f t="shared" ref="Z81:Z125" si="123">IF(Y81=0,0,Y81*$E$11)</f>
        <v>#VALUE!</v>
      </c>
      <c r="AA81" s="10" t="e">
        <f t="shared" si="106"/>
        <v>#VALUE!</v>
      </c>
      <c r="AB81" s="10" t="e">
        <f t="shared" ref="AB81:AB125" si="124">IF(Y81=0,0,ROUNDUP(Y81/$F$11*$G$11,0))</f>
        <v>#VALUE!</v>
      </c>
      <c r="AC81" s="10" t="e">
        <f t="shared" ref="AC81:AC125" si="125">IF(AND(AD81=0,Y81&lt;&gt;0),1,AB81/(AB81+$G$12))</f>
        <v>#VALUE!</v>
      </c>
      <c r="AD81" s="10" t="e">
        <f t="shared" si="66"/>
        <v>#VALUE!</v>
      </c>
      <c r="AE81" s="10" t="e">
        <f t="shared" si="67"/>
        <v>#VALUE!</v>
      </c>
      <c r="AF81" s="10" t="e">
        <f t="shared" si="107"/>
        <v>#VALUE!</v>
      </c>
      <c r="AG81" s="10" t="e">
        <f t="shared" ref="AG81:AG125" si="126">IF(AD81=0,0,1-AC81)</f>
        <v>#VALUE!</v>
      </c>
      <c r="AI81" s="13"/>
      <c r="AK81" s="10" t="e">
        <f t="shared" ref="AK81:AK112" si="127">IF(AK80-((F80+G80+K80+L80)*IF(BR80=2,1,0)+(P80+Q80+U80+V80)*IF(BQ80=2,1,0)+(Z80+AA80+AE80+AF80)*IF(BP80=2,1,0))*IF(AP80=0,1,AO80)/$J$5&lt;$AK$16*$P$8,0,
AK80-((F80+G80+K80+L80)*IF(BR80=2,1,0)+(P80+Q80+U80+V80)*IF(BQ80=2,1,0)+(Z80+AA80+AE80+AF80)*IF(BP80=2,1,0))*IF(AP80=0,1,AO80)/$J$5)</f>
        <v>#VALUE!</v>
      </c>
      <c r="AL81" s="10" t="e">
        <f t="shared" si="68"/>
        <v>#VALUE!</v>
      </c>
      <c r="AM81" s="10" t="e">
        <f t="shared" si="108"/>
        <v>#VALUE!</v>
      </c>
      <c r="AN81" s="10" t="e">
        <f t="shared" ref="AN81:AN125" si="128">IF(AK81=0,0,ROUNDUP(AK81/$L$5*$M$5,0))</f>
        <v>#VALUE!</v>
      </c>
      <c r="AO81" s="10" t="e">
        <f t="shared" ref="AO81:AO125" si="129">IF(AND(AP81=0,AK81&lt;&gt;0),1,AN81/(AN81+$M$6))</f>
        <v>#VALUE!</v>
      </c>
      <c r="AP81" s="10" t="e">
        <f t="shared" ref="AP81:AP112" si="130">MAX(AP80-((F80+G80+K80+L80)*IF(BR80=2,1,0)+(P80+Q80+U80+V80)*IF(BQ80=2,1,0)+(Z80+AA80+AE80+AF80)*IF(BP80=2,1,0))*IF(AK80=0,1,AS80)/$J$6,0)</f>
        <v>#VALUE!</v>
      </c>
      <c r="AQ81" s="10" t="e">
        <f t="shared" si="69"/>
        <v>#VALUE!</v>
      </c>
      <c r="AR81" s="10" t="e">
        <f t="shared" si="109"/>
        <v>#VALUE!</v>
      </c>
      <c r="AS81" s="10" t="e">
        <f t="shared" si="70"/>
        <v>#VALUE!</v>
      </c>
      <c r="AU81" s="10" t="e">
        <f t="shared" ref="AU81:AU112" si="131">IF(AU80-((F80+G80+K80+L80)*IF(BR80=4,1,0)+(P80+Q80+U80+V80)*IF(BQ80=4,1,0)+(Z80+AA80+AE80+AF80)*IF(BP80=4,1,0))*IF(AZ80=0,1,AY80)/$J$8&lt;$AU$16*$P$8,0,
AU80-((F80+G80+K80+L80)*IF(BR80=4,1,0)+(P80+Q80+U80+V80)*IF(BQ80=4,1,0)+(Z80+AA80+AE80+AF80)*IF(BP80=4,1,0))*IF(AZ80=0,1,AY80)/$J$8)</f>
        <v>#VALUE!</v>
      </c>
      <c r="AV81" s="10" t="e">
        <f t="shared" si="71"/>
        <v>#VALUE!</v>
      </c>
      <c r="AW81" s="10" t="e">
        <f t="shared" si="110"/>
        <v>#VALUE!</v>
      </c>
      <c r="AX81" s="10" t="e">
        <f t="shared" ref="AX81:AX125" si="132">IF(AU81=0,0,ROUNDUP(AU81/$L$8*$M$8,0))</f>
        <v>#VALUE!</v>
      </c>
      <c r="AY81" s="10" t="e">
        <f t="shared" ref="AY81:AY125" si="133">IF(AND(AZ81=0,AU81&lt;&gt;0),1,AX81/(AX81+$M$9))</f>
        <v>#VALUE!</v>
      </c>
      <c r="AZ81" s="10" t="e">
        <f t="shared" ref="AZ81:AZ112" si="134">MAX(AZ80-((F80+G80+K80+L80)*IF(BR80=4,1,0)+(P80+Q80+U80+V80)*IF(BQ80=4,1,0)+(Z80+AA80+AE80+AF80)*IF(BP80=4,1,0))*IF(AU80=0,1,BC80)/$J$9,0)</f>
        <v>#VALUE!</v>
      </c>
      <c r="BA81" s="10" t="e">
        <f t="shared" si="72"/>
        <v>#VALUE!</v>
      </c>
      <c r="BB81" s="10" t="e">
        <f t="shared" si="111"/>
        <v>#VALUE!</v>
      </c>
      <c r="BC81" s="10" t="e">
        <f t="shared" si="73"/>
        <v>#VALUE!</v>
      </c>
      <c r="BE81" s="10" t="e">
        <f t="shared" ref="BE81:BE112" si="135">IF(BE80-((F80+G80+K80+L80)*IF(BR80=6,1,0)+(P80+Q80+U80+V80)*IF(BQ80=6,1,0)+(Z80+AA80+AE80+AF80)*IF(BP80=6,1,0))*IF(BJ80=0,1,BI80)/$J$11&lt;$BE$16*$P$8,0,
BE80-((F80+G80+K80+L80)*IF(BR80=6,1,0)+(P80+Q80+U80+V80)*IF(BQ80=6,1,0)+(Z80+AA80+AE80+AF80)*IF(BP80=6,1,0))*IF(BJ80=0,1,BI80)/$J$11)</f>
        <v>#VALUE!</v>
      </c>
      <c r="BF81" s="10" t="e">
        <f t="shared" si="74"/>
        <v>#VALUE!</v>
      </c>
      <c r="BG81" s="10" t="e">
        <f t="shared" si="112"/>
        <v>#VALUE!</v>
      </c>
      <c r="BH81" s="10" t="e">
        <f t="shared" ref="BH81:BH125" si="136">IF(BE81=0,0,ROUNDUP(BE81/$L$11*$M$11,0))</f>
        <v>#VALUE!</v>
      </c>
      <c r="BI81" s="10" t="e">
        <f t="shared" ref="BI81:BI125" si="137">IF(AND(BJ81=0,BE81&lt;&gt;0),1,BH81/(BH81+$M$12))</f>
        <v>#VALUE!</v>
      </c>
      <c r="BJ81" s="10" t="e">
        <f t="shared" ref="BJ81:BJ112" si="138">MAX(BJ80-((F80+G80+K80+L80)*IF(BR80=6,1,0)+(P80+Q80+U80+V80)*IF(BQ80=6,1,0)+(Z80+AA80+AE80+AF80)*IF(BP80=6,1,0))*IF(BE80=0,1,BM80)/$J$12,0)</f>
        <v>#VALUE!</v>
      </c>
      <c r="BK81" s="10" t="e">
        <f t="shared" si="75"/>
        <v>#VALUE!</v>
      </c>
      <c r="BL81" s="10" t="e">
        <f t="shared" si="113"/>
        <v>#VALUE!</v>
      </c>
      <c r="BM81" s="10" t="e">
        <f t="shared" si="76"/>
        <v>#VALUE!</v>
      </c>
      <c r="BP81" s="10" t="e">
        <f t="shared" si="77"/>
        <v>#VALUE!</v>
      </c>
      <c r="BQ81" s="10" t="e">
        <f t="shared" si="78"/>
        <v>#VALUE!</v>
      </c>
      <c r="BR81" s="10" t="e">
        <f t="shared" si="79"/>
        <v>#VALUE!</v>
      </c>
      <c r="BS81" s="10" t="e">
        <f t="shared" si="80"/>
        <v>#VALUE!</v>
      </c>
      <c r="BT81" s="10" t="e">
        <f t="shared" si="81"/>
        <v>#VALUE!</v>
      </c>
      <c r="BU81" s="10" t="e">
        <f t="shared" si="82"/>
        <v>#VALUE!</v>
      </c>
      <c r="BW81" s="10" t="e">
        <f t="shared" ref="BW81:BW135" si="139">Y81+AD81*1000</f>
        <v>#VALUE!</v>
      </c>
      <c r="BX81" s="10" t="e">
        <f t="shared" ref="BX81:BX135" si="140">O81+T81*1000</f>
        <v>#VALUE!</v>
      </c>
      <c r="BY81" s="10" t="e">
        <f t="shared" ref="BY81:BY135" si="141">E81+J81*1000</f>
        <v>#VALUE!</v>
      </c>
      <c r="BZ81" s="10" t="e">
        <f t="shared" ref="BZ81:BZ135" si="142">AK81+AP81*1000</f>
        <v>#VALUE!</v>
      </c>
      <c r="CA81" s="10" t="e">
        <f t="shared" ref="CA81:CA135" si="143">AU81+AZ81*1000</f>
        <v>#VALUE!</v>
      </c>
      <c r="CB81" s="10" t="e">
        <f t="shared" ref="CB81:CB135" si="144">BE81+BJ81*1000</f>
        <v>#VALUE!</v>
      </c>
      <c r="CD81" s="10" t="e">
        <f>MATCH(INDEX($BP$12:$BU$12,1,MATCH(BP81,$BP$15:$BU$15,0)),结果汇总!$AI$10:$AI$13,0)</f>
        <v>#VALUE!</v>
      </c>
      <c r="CE81" s="10" t="e">
        <f>MATCH(INDEX($BP$12:$BU$12,1,MATCH(BQ81,$BP$15:$BU$15,0)),结果汇总!$AI$10:$AI$13,0)</f>
        <v>#VALUE!</v>
      </c>
      <c r="CF81" s="10" t="e">
        <f>MATCH(INDEX($BP$12:$BU$12,1,MATCH(BR81,$BP$15:$BU$15,0)),结果汇总!$AI$10:$AI$13,0)</f>
        <v>#VALUE!</v>
      </c>
      <c r="CG81" s="10" t="e">
        <f>MATCH(INDEX($BP$12:$BU$12,1,MATCH(BS81,$BP$15:$BU$15,0)),结果汇总!$AI$10:$AI$13,0)</f>
        <v>#VALUE!</v>
      </c>
      <c r="CH81" s="10" t="e">
        <f>MATCH(INDEX($BP$12:$BU$12,1,MATCH(BT81,$BP$15:$BU$15,0)),结果汇总!$AI$10:$AI$13,0)</f>
        <v>#VALUE!</v>
      </c>
      <c r="CI81" s="10" t="e">
        <f>MATCH(INDEX($BP$12:$BU$12,1,MATCH(BU81,$BP$15:$BU$15,0)),结果汇总!$AI$10:$AI$13,0)</f>
        <v>#VALUE!</v>
      </c>
      <c r="CK81" s="10">
        <f t="shared" ref="CK81:CN112" si="145">COUNTIFS($CD81:$CI81,CK$15,$CD$15:$CI$15,$CK$14)/COUNTIFS($CD$15:$CI$15,$CK$14)</f>
        <v>0</v>
      </c>
      <c r="CL81" s="10">
        <f t="shared" si="145"/>
        <v>0</v>
      </c>
      <c r="CM81" s="10">
        <f t="shared" si="145"/>
        <v>0</v>
      </c>
      <c r="CN81" s="10">
        <f t="shared" si="145"/>
        <v>0</v>
      </c>
      <c r="CO81" s="10" t="e">
        <f t="shared" ref="CO81:CR112" si="146">COUNTIFS($CD81:$CI81,CO$15,$CD$15:$CI$15,$CO$14)/COUNTIFS($CD$15:$CI$15,$CO$14)</f>
        <v>#DIV/0!</v>
      </c>
      <c r="CP81" s="10" t="e">
        <f t="shared" si="146"/>
        <v>#DIV/0!</v>
      </c>
      <c r="CQ81" s="10" t="e">
        <f t="shared" si="146"/>
        <v>#DIV/0!</v>
      </c>
      <c r="CR81" s="10" t="e">
        <f t="shared" si="146"/>
        <v>#DIV/0!</v>
      </c>
      <c r="CS81" s="10">
        <f t="shared" ref="CS81:CV112" si="147">COUNTIFS($CD81:$CI81,CS$15,$CD$15:$CI$15,$CS$14)/COUNTIFS($CD$15:$CI$15,$CS$14)</f>
        <v>0</v>
      </c>
      <c r="CT81" s="10">
        <f t="shared" si="147"/>
        <v>0</v>
      </c>
      <c r="CU81" s="10">
        <f t="shared" si="147"/>
        <v>0</v>
      </c>
      <c r="CV81" s="10">
        <f t="shared" si="147"/>
        <v>0</v>
      </c>
      <c r="CW81" s="10">
        <f t="shared" ref="CW81:CZ112" si="148">COUNTIFS($CD81:$CI81,CW$15,$CD$15:$CI$15,$CW$14)/COUNTIFS($CD$15:$CI$15,$CW$14)</f>
        <v>0</v>
      </c>
      <c r="CX81" s="10">
        <f t="shared" si="148"/>
        <v>0</v>
      </c>
      <c r="CY81" s="10">
        <f t="shared" si="148"/>
        <v>0</v>
      </c>
      <c r="CZ81" s="10">
        <f t="shared" si="148"/>
        <v>0</v>
      </c>
    </row>
    <row r="82" spans="4:104" x14ac:dyDescent="0.15">
      <c r="D82" s="10">
        <v>67</v>
      </c>
      <c r="E82" s="10" t="e">
        <f t="shared" si="114"/>
        <v>#VALUE!</v>
      </c>
      <c r="F82" s="10" t="e">
        <f t="shared" si="98"/>
        <v>#VALUE!</v>
      </c>
      <c r="G82" s="10" t="e">
        <f t="shared" si="99"/>
        <v>#VALUE!</v>
      </c>
      <c r="H82" s="10" t="e">
        <f t="shared" si="115"/>
        <v>#VALUE!</v>
      </c>
      <c r="I82" s="10" t="e">
        <f t="shared" si="100"/>
        <v>#VALUE!</v>
      </c>
      <c r="J82" s="10" t="e">
        <f t="shared" si="116"/>
        <v>#VALUE!</v>
      </c>
      <c r="K82" s="10" t="e">
        <f t="shared" si="101"/>
        <v>#VALUE!</v>
      </c>
      <c r="L82" s="10" t="e">
        <f t="shared" si="102"/>
        <v>#VALUE!</v>
      </c>
      <c r="M82" s="10" t="e">
        <f t="shared" si="117"/>
        <v>#VALUE!</v>
      </c>
      <c r="O82" s="10" t="e">
        <f t="shared" si="118"/>
        <v>#VALUE!</v>
      </c>
      <c r="P82" s="10" t="e">
        <f t="shared" si="103"/>
        <v>#VALUE!</v>
      </c>
      <c r="Q82" s="10" t="e">
        <f t="shared" si="104"/>
        <v>#VALUE!</v>
      </c>
      <c r="R82" s="10" t="e">
        <f t="shared" si="119"/>
        <v>#VALUE!</v>
      </c>
      <c r="S82" s="10" t="e">
        <f t="shared" si="120"/>
        <v>#VALUE!</v>
      </c>
      <c r="T82" s="10" t="e">
        <f t="shared" ref="T82:T125" si="149">MAX(T81-((AL81+AM81+AQ81+AR81)*IF(BS81=3,1,0)+(AV81+AW81+BA81+BB81)*IF(BT81=3,1,0)+(BF81+BG81+BK81+BL81)*IF(BU81=3,1,0))*IF(O81=0,1,W81)/$D$9,0)</f>
        <v>#VALUE!</v>
      </c>
      <c r="U82" s="10" t="e">
        <f t="shared" ref="U82:U125" si="150">IF(T82=0,0,ROUNDUP(T82,0)*$E$9)</f>
        <v>#VALUE!</v>
      </c>
      <c r="V82" s="10" t="e">
        <f t="shared" si="105"/>
        <v>#VALUE!</v>
      </c>
      <c r="W82" s="10" t="e">
        <f t="shared" si="121"/>
        <v>#VALUE!</v>
      </c>
      <c r="Y82" s="10" t="e">
        <f t="shared" si="122"/>
        <v>#VALUE!</v>
      </c>
      <c r="Z82" s="11" t="e">
        <f t="shared" si="123"/>
        <v>#VALUE!</v>
      </c>
      <c r="AA82" s="10" t="e">
        <f t="shared" si="106"/>
        <v>#VALUE!</v>
      </c>
      <c r="AB82" s="10" t="e">
        <f t="shared" si="124"/>
        <v>#VALUE!</v>
      </c>
      <c r="AC82" s="10" t="e">
        <f t="shared" si="125"/>
        <v>#VALUE!</v>
      </c>
      <c r="AD82" s="10" t="e">
        <f t="shared" ref="AD82:AD125" si="151">MAX(AD81-((AL81+AM81+AQ81+AR81)*IF(BS81=5,1,0)+(AV81+AW81+BA81+BB81)*IF(BT81=5,1,0)+(BF81+BG81+BK81+BL81)*IF(BU81=5,1,0))*IF(Y81=0,1,AG81)/$D$12,0)</f>
        <v>#VALUE!</v>
      </c>
      <c r="AE82" s="10" t="e">
        <f t="shared" ref="AE82:AE125" si="152">IF(AD82=0,0,ROUNDUP(AD82,0)*$E$12)</f>
        <v>#VALUE!</v>
      </c>
      <c r="AF82" s="10" t="e">
        <f t="shared" si="107"/>
        <v>#VALUE!</v>
      </c>
      <c r="AG82" s="10" t="e">
        <f t="shared" si="126"/>
        <v>#VALUE!</v>
      </c>
      <c r="AI82" s="13"/>
      <c r="AK82" s="10" t="e">
        <f t="shared" si="127"/>
        <v>#VALUE!</v>
      </c>
      <c r="AL82" s="10" t="e">
        <f t="shared" ref="AL82:AL125" si="153">IF(AK82=0,0,AK82*$K$5)</f>
        <v>#VALUE!</v>
      </c>
      <c r="AM82" s="10" t="e">
        <f t="shared" si="108"/>
        <v>#VALUE!</v>
      </c>
      <c r="AN82" s="10" t="e">
        <f t="shared" si="128"/>
        <v>#VALUE!</v>
      </c>
      <c r="AO82" s="10" t="e">
        <f t="shared" si="129"/>
        <v>#VALUE!</v>
      </c>
      <c r="AP82" s="10" t="e">
        <f t="shared" si="130"/>
        <v>#VALUE!</v>
      </c>
      <c r="AQ82" s="10" t="e">
        <f t="shared" ref="AQ82:AQ125" si="154">IF(AP82=0,0,ROUNDUP(AP82,0)*$K$6)</f>
        <v>#VALUE!</v>
      </c>
      <c r="AR82" s="10" t="e">
        <f t="shared" si="109"/>
        <v>#VALUE!</v>
      </c>
      <c r="AS82" s="10" t="e">
        <f t="shared" ref="AS82:AS125" si="155">IF(AP82=0,0,1-AO82)</f>
        <v>#VALUE!</v>
      </c>
      <c r="AU82" s="10" t="e">
        <f t="shared" si="131"/>
        <v>#VALUE!</v>
      </c>
      <c r="AV82" s="10" t="e">
        <f t="shared" ref="AV82:AV125" si="156">IF(AU82=0,0,AU82*$K$8)</f>
        <v>#VALUE!</v>
      </c>
      <c r="AW82" s="10" t="e">
        <f t="shared" si="110"/>
        <v>#VALUE!</v>
      </c>
      <c r="AX82" s="10" t="e">
        <f t="shared" si="132"/>
        <v>#VALUE!</v>
      </c>
      <c r="AY82" s="10" t="e">
        <f t="shared" si="133"/>
        <v>#VALUE!</v>
      </c>
      <c r="AZ82" s="10" t="e">
        <f t="shared" si="134"/>
        <v>#VALUE!</v>
      </c>
      <c r="BA82" s="10" t="e">
        <f t="shared" ref="BA82:BA125" si="157">IF(AZ82=0,0,ROUNDUP(AZ82,0)*$K$9)</f>
        <v>#VALUE!</v>
      </c>
      <c r="BB82" s="10" t="e">
        <f t="shared" si="111"/>
        <v>#VALUE!</v>
      </c>
      <c r="BC82" s="10" t="e">
        <f t="shared" ref="BC82:BC125" si="158">IF(AZ82=0,0,1-AY82)</f>
        <v>#VALUE!</v>
      </c>
      <c r="BE82" s="10" t="e">
        <f t="shared" si="135"/>
        <v>#VALUE!</v>
      </c>
      <c r="BF82" s="10" t="e">
        <f t="shared" ref="BF82:BF125" si="159">IF(BE82=0,0,BE82*$K$11)</f>
        <v>#VALUE!</v>
      </c>
      <c r="BG82" s="10" t="e">
        <f t="shared" si="112"/>
        <v>#VALUE!</v>
      </c>
      <c r="BH82" s="10" t="e">
        <f t="shared" si="136"/>
        <v>#VALUE!</v>
      </c>
      <c r="BI82" s="10" t="e">
        <f t="shared" si="137"/>
        <v>#VALUE!</v>
      </c>
      <c r="BJ82" s="10" t="e">
        <f t="shared" si="138"/>
        <v>#VALUE!</v>
      </c>
      <c r="BK82" s="10" t="e">
        <f t="shared" ref="BK82:BK125" si="160">IF(BJ82=0,0,ROUNDUP(BJ82,0)*$K$12)</f>
        <v>#VALUE!</v>
      </c>
      <c r="BL82" s="10" t="e">
        <f t="shared" si="113"/>
        <v>#VALUE!</v>
      </c>
      <c r="BM82" s="10" t="e">
        <f t="shared" ref="BM82:BM125" si="161">IF(BJ82=0,0,1-BI82)</f>
        <v>#VALUE!</v>
      </c>
      <c r="BP82" s="10" t="e">
        <f t="shared" si="77"/>
        <v>#VALUE!</v>
      </c>
      <c r="BQ82" s="10" t="e">
        <f t="shared" si="78"/>
        <v>#VALUE!</v>
      </c>
      <c r="BR82" s="10" t="e">
        <f t="shared" si="79"/>
        <v>#VALUE!</v>
      </c>
      <c r="BS82" s="10" t="e">
        <f t="shared" si="80"/>
        <v>#VALUE!</v>
      </c>
      <c r="BT82" s="10" t="e">
        <f t="shared" si="81"/>
        <v>#VALUE!</v>
      </c>
      <c r="BU82" s="10" t="e">
        <f t="shared" si="82"/>
        <v>#VALUE!</v>
      </c>
      <c r="BW82" s="10" t="e">
        <f t="shared" si="139"/>
        <v>#VALUE!</v>
      </c>
      <c r="BX82" s="10" t="e">
        <f t="shared" si="140"/>
        <v>#VALUE!</v>
      </c>
      <c r="BY82" s="10" t="e">
        <f t="shared" si="141"/>
        <v>#VALUE!</v>
      </c>
      <c r="BZ82" s="10" t="e">
        <f t="shared" si="142"/>
        <v>#VALUE!</v>
      </c>
      <c r="CA82" s="10" t="e">
        <f t="shared" si="143"/>
        <v>#VALUE!</v>
      </c>
      <c r="CB82" s="10" t="e">
        <f t="shared" si="144"/>
        <v>#VALUE!</v>
      </c>
      <c r="CD82" s="10" t="e">
        <f>MATCH(INDEX($BP$12:$BU$12,1,MATCH(BP82,$BP$15:$BU$15,0)),结果汇总!$AI$10:$AI$13,0)</f>
        <v>#VALUE!</v>
      </c>
      <c r="CE82" s="10" t="e">
        <f>MATCH(INDEX($BP$12:$BU$12,1,MATCH(BQ82,$BP$15:$BU$15,0)),结果汇总!$AI$10:$AI$13,0)</f>
        <v>#VALUE!</v>
      </c>
      <c r="CF82" s="10" t="e">
        <f>MATCH(INDEX($BP$12:$BU$12,1,MATCH(BR82,$BP$15:$BU$15,0)),结果汇总!$AI$10:$AI$13,0)</f>
        <v>#VALUE!</v>
      </c>
      <c r="CG82" s="10" t="e">
        <f>MATCH(INDEX($BP$12:$BU$12,1,MATCH(BS82,$BP$15:$BU$15,0)),结果汇总!$AI$10:$AI$13,0)</f>
        <v>#VALUE!</v>
      </c>
      <c r="CH82" s="10" t="e">
        <f>MATCH(INDEX($BP$12:$BU$12,1,MATCH(BT82,$BP$15:$BU$15,0)),结果汇总!$AI$10:$AI$13,0)</f>
        <v>#VALUE!</v>
      </c>
      <c r="CI82" s="10" t="e">
        <f>MATCH(INDEX($BP$12:$BU$12,1,MATCH(BU82,$BP$15:$BU$15,0)),结果汇总!$AI$10:$AI$13,0)</f>
        <v>#VALUE!</v>
      </c>
      <c r="CK82" s="10">
        <f t="shared" si="145"/>
        <v>0</v>
      </c>
      <c r="CL82" s="10">
        <f t="shared" si="145"/>
        <v>0</v>
      </c>
      <c r="CM82" s="10">
        <f t="shared" si="145"/>
        <v>0</v>
      </c>
      <c r="CN82" s="10">
        <f t="shared" si="145"/>
        <v>0</v>
      </c>
      <c r="CO82" s="10" t="e">
        <f t="shared" si="146"/>
        <v>#DIV/0!</v>
      </c>
      <c r="CP82" s="10" t="e">
        <f t="shared" si="146"/>
        <v>#DIV/0!</v>
      </c>
      <c r="CQ82" s="10" t="e">
        <f t="shared" si="146"/>
        <v>#DIV/0!</v>
      </c>
      <c r="CR82" s="10" t="e">
        <f t="shared" si="146"/>
        <v>#DIV/0!</v>
      </c>
      <c r="CS82" s="10">
        <f t="shared" si="147"/>
        <v>0</v>
      </c>
      <c r="CT82" s="10">
        <f t="shared" si="147"/>
        <v>0</v>
      </c>
      <c r="CU82" s="10">
        <f t="shared" si="147"/>
        <v>0</v>
      </c>
      <c r="CV82" s="10">
        <f t="shared" si="147"/>
        <v>0</v>
      </c>
      <c r="CW82" s="10">
        <f t="shared" si="148"/>
        <v>0</v>
      </c>
      <c r="CX82" s="10">
        <f t="shared" si="148"/>
        <v>0</v>
      </c>
      <c r="CY82" s="10">
        <f t="shared" si="148"/>
        <v>0</v>
      </c>
      <c r="CZ82" s="10">
        <f t="shared" si="148"/>
        <v>0</v>
      </c>
    </row>
    <row r="83" spans="4:104" x14ac:dyDescent="0.15">
      <c r="D83" s="10">
        <v>68</v>
      </c>
      <c r="E83" s="10" t="e">
        <f t="shared" si="114"/>
        <v>#VALUE!</v>
      </c>
      <c r="F83" s="10" t="e">
        <f t="shared" si="98"/>
        <v>#VALUE!</v>
      </c>
      <c r="G83" s="10" t="e">
        <f t="shared" si="99"/>
        <v>#VALUE!</v>
      </c>
      <c r="H83" s="10" t="e">
        <f t="shared" si="115"/>
        <v>#VALUE!</v>
      </c>
      <c r="I83" s="10" t="e">
        <f t="shared" si="100"/>
        <v>#VALUE!</v>
      </c>
      <c r="J83" s="10" t="e">
        <f t="shared" si="116"/>
        <v>#VALUE!</v>
      </c>
      <c r="K83" s="10" t="e">
        <f t="shared" si="101"/>
        <v>#VALUE!</v>
      </c>
      <c r="L83" s="10" t="e">
        <f t="shared" si="102"/>
        <v>#VALUE!</v>
      </c>
      <c r="M83" s="10" t="e">
        <f t="shared" si="117"/>
        <v>#VALUE!</v>
      </c>
      <c r="O83" s="10" t="e">
        <f t="shared" si="118"/>
        <v>#VALUE!</v>
      </c>
      <c r="P83" s="10" t="e">
        <f t="shared" si="103"/>
        <v>#VALUE!</v>
      </c>
      <c r="Q83" s="10" t="e">
        <f t="shared" si="104"/>
        <v>#VALUE!</v>
      </c>
      <c r="R83" s="10" t="e">
        <f t="shared" si="119"/>
        <v>#VALUE!</v>
      </c>
      <c r="S83" s="10" t="e">
        <f t="shared" si="120"/>
        <v>#VALUE!</v>
      </c>
      <c r="T83" s="10" t="e">
        <f t="shared" si="149"/>
        <v>#VALUE!</v>
      </c>
      <c r="U83" s="10" t="e">
        <f t="shared" si="150"/>
        <v>#VALUE!</v>
      </c>
      <c r="V83" s="10" t="e">
        <f t="shared" si="105"/>
        <v>#VALUE!</v>
      </c>
      <c r="W83" s="10" t="e">
        <f t="shared" si="121"/>
        <v>#VALUE!</v>
      </c>
      <c r="Y83" s="10" t="e">
        <f t="shared" si="122"/>
        <v>#VALUE!</v>
      </c>
      <c r="Z83" s="11" t="e">
        <f t="shared" si="123"/>
        <v>#VALUE!</v>
      </c>
      <c r="AA83" s="10" t="e">
        <f t="shared" si="106"/>
        <v>#VALUE!</v>
      </c>
      <c r="AB83" s="10" t="e">
        <f t="shared" si="124"/>
        <v>#VALUE!</v>
      </c>
      <c r="AC83" s="10" t="e">
        <f t="shared" si="125"/>
        <v>#VALUE!</v>
      </c>
      <c r="AD83" s="10" t="e">
        <f t="shared" si="151"/>
        <v>#VALUE!</v>
      </c>
      <c r="AE83" s="10" t="e">
        <f t="shared" si="152"/>
        <v>#VALUE!</v>
      </c>
      <c r="AF83" s="10" t="e">
        <f t="shared" si="107"/>
        <v>#VALUE!</v>
      </c>
      <c r="AG83" s="10" t="e">
        <f t="shared" si="126"/>
        <v>#VALUE!</v>
      </c>
      <c r="AI83" s="13"/>
      <c r="AK83" s="10" t="e">
        <f t="shared" si="127"/>
        <v>#VALUE!</v>
      </c>
      <c r="AL83" s="10" t="e">
        <f t="shared" si="153"/>
        <v>#VALUE!</v>
      </c>
      <c r="AM83" s="10" t="e">
        <f t="shared" si="108"/>
        <v>#VALUE!</v>
      </c>
      <c r="AN83" s="10" t="e">
        <f t="shared" si="128"/>
        <v>#VALUE!</v>
      </c>
      <c r="AO83" s="10" t="e">
        <f t="shared" si="129"/>
        <v>#VALUE!</v>
      </c>
      <c r="AP83" s="10" t="e">
        <f t="shared" si="130"/>
        <v>#VALUE!</v>
      </c>
      <c r="AQ83" s="10" t="e">
        <f t="shared" si="154"/>
        <v>#VALUE!</v>
      </c>
      <c r="AR83" s="10" t="e">
        <f t="shared" si="109"/>
        <v>#VALUE!</v>
      </c>
      <c r="AS83" s="10" t="e">
        <f t="shared" si="155"/>
        <v>#VALUE!</v>
      </c>
      <c r="AU83" s="10" t="e">
        <f t="shared" si="131"/>
        <v>#VALUE!</v>
      </c>
      <c r="AV83" s="10" t="e">
        <f t="shared" si="156"/>
        <v>#VALUE!</v>
      </c>
      <c r="AW83" s="10" t="e">
        <f t="shared" si="110"/>
        <v>#VALUE!</v>
      </c>
      <c r="AX83" s="10" t="e">
        <f t="shared" si="132"/>
        <v>#VALUE!</v>
      </c>
      <c r="AY83" s="10" t="e">
        <f t="shared" si="133"/>
        <v>#VALUE!</v>
      </c>
      <c r="AZ83" s="10" t="e">
        <f t="shared" si="134"/>
        <v>#VALUE!</v>
      </c>
      <c r="BA83" s="10" t="e">
        <f t="shared" si="157"/>
        <v>#VALUE!</v>
      </c>
      <c r="BB83" s="10" t="e">
        <f t="shared" si="111"/>
        <v>#VALUE!</v>
      </c>
      <c r="BC83" s="10" t="e">
        <f t="shared" si="158"/>
        <v>#VALUE!</v>
      </c>
      <c r="BE83" s="10" t="e">
        <f t="shared" si="135"/>
        <v>#VALUE!</v>
      </c>
      <c r="BF83" s="10" t="e">
        <f t="shared" si="159"/>
        <v>#VALUE!</v>
      </c>
      <c r="BG83" s="10" t="e">
        <f t="shared" si="112"/>
        <v>#VALUE!</v>
      </c>
      <c r="BH83" s="10" t="e">
        <f t="shared" si="136"/>
        <v>#VALUE!</v>
      </c>
      <c r="BI83" s="10" t="e">
        <f t="shared" si="137"/>
        <v>#VALUE!</v>
      </c>
      <c r="BJ83" s="10" t="e">
        <f t="shared" si="138"/>
        <v>#VALUE!</v>
      </c>
      <c r="BK83" s="10" t="e">
        <f t="shared" si="160"/>
        <v>#VALUE!</v>
      </c>
      <c r="BL83" s="10" t="e">
        <f t="shared" si="113"/>
        <v>#VALUE!</v>
      </c>
      <c r="BM83" s="10" t="e">
        <f t="shared" si="161"/>
        <v>#VALUE!</v>
      </c>
      <c r="BP83" s="10" t="e">
        <f t="shared" si="77"/>
        <v>#VALUE!</v>
      </c>
      <c r="BQ83" s="10" t="e">
        <f t="shared" si="78"/>
        <v>#VALUE!</v>
      </c>
      <c r="BR83" s="10" t="e">
        <f t="shared" si="79"/>
        <v>#VALUE!</v>
      </c>
      <c r="BS83" s="10" t="e">
        <f t="shared" si="80"/>
        <v>#VALUE!</v>
      </c>
      <c r="BT83" s="10" t="e">
        <f t="shared" si="81"/>
        <v>#VALUE!</v>
      </c>
      <c r="BU83" s="10" t="e">
        <f t="shared" si="82"/>
        <v>#VALUE!</v>
      </c>
      <c r="BW83" s="10" t="e">
        <f t="shared" si="139"/>
        <v>#VALUE!</v>
      </c>
      <c r="BX83" s="10" t="e">
        <f t="shared" si="140"/>
        <v>#VALUE!</v>
      </c>
      <c r="BY83" s="10" t="e">
        <f t="shared" si="141"/>
        <v>#VALUE!</v>
      </c>
      <c r="BZ83" s="10" t="e">
        <f t="shared" si="142"/>
        <v>#VALUE!</v>
      </c>
      <c r="CA83" s="10" t="e">
        <f t="shared" si="143"/>
        <v>#VALUE!</v>
      </c>
      <c r="CB83" s="10" t="e">
        <f t="shared" si="144"/>
        <v>#VALUE!</v>
      </c>
      <c r="CD83" s="10" t="e">
        <f>MATCH(INDEX($BP$12:$BU$12,1,MATCH(BP83,$BP$15:$BU$15,0)),结果汇总!$AI$10:$AI$13,0)</f>
        <v>#VALUE!</v>
      </c>
      <c r="CE83" s="10" t="e">
        <f>MATCH(INDEX($BP$12:$BU$12,1,MATCH(BQ83,$BP$15:$BU$15,0)),结果汇总!$AI$10:$AI$13,0)</f>
        <v>#VALUE!</v>
      </c>
      <c r="CF83" s="10" t="e">
        <f>MATCH(INDEX($BP$12:$BU$12,1,MATCH(BR83,$BP$15:$BU$15,0)),结果汇总!$AI$10:$AI$13,0)</f>
        <v>#VALUE!</v>
      </c>
      <c r="CG83" s="10" t="e">
        <f>MATCH(INDEX($BP$12:$BU$12,1,MATCH(BS83,$BP$15:$BU$15,0)),结果汇总!$AI$10:$AI$13,0)</f>
        <v>#VALUE!</v>
      </c>
      <c r="CH83" s="10" t="e">
        <f>MATCH(INDEX($BP$12:$BU$12,1,MATCH(BT83,$BP$15:$BU$15,0)),结果汇总!$AI$10:$AI$13,0)</f>
        <v>#VALUE!</v>
      </c>
      <c r="CI83" s="10" t="e">
        <f>MATCH(INDEX($BP$12:$BU$12,1,MATCH(BU83,$BP$15:$BU$15,0)),结果汇总!$AI$10:$AI$13,0)</f>
        <v>#VALUE!</v>
      </c>
      <c r="CK83" s="10">
        <f t="shared" si="145"/>
        <v>0</v>
      </c>
      <c r="CL83" s="10">
        <f t="shared" si="145"/>
        <v>0</v>
      </c>
      <c r="CM83" s="10">
        <f t="shared" si="145"/>
        <v>0</v>
      </c>
      <c r="CN83" s="10">
        <f t="shared" si="145"/>
        <v>0</v>
      </c>
      <c r="CO83" s="10" t="e">
        <f t="shared" si="146"/>
        <v>#DIV/0!</v>
      </c>
      <c r="CP83" s="10" t="e">
        <f t="shared" si="146"/>
        <v>#DIV/0!</v>
      </c>
      <c r="CQ83" s="10" t="e">
        <f t="shared" si="146"/>
        <v>#DIV/0!</v>
      </c>
      <c r="CR83" s="10" t="e">
        <f t="shared" si="146"/>
        <v>#DIV/0!</v>
      </c>
      <c r="CS83" s="10">
        <f t="shared" si="147"/>
        <v>0</v>
      </c>
      <c r="CT83" s="10">
        <f t="shared" si="147"/>
        <v>0</v>
      </c>
      <c r="CU83" s="10">
        <f t="shared" si="147"/>
        <v>0</v>
      </c>
      <c r="CV83" s="10">
        <f t="shared" si="147"/>
        <v>0</v>
      </c>
      <c r="CW83" s="10">
        <f t="shared" si="148"/>
        <v>0</v>
      </c>
      <c r="CX83" s="10">
        <f t="shared" si="148"/>
        <v>0</v>
      </c>
      <c r="CY83" s="10">
        <f t="shared" si="148"/>
        <v>0</v>
      </c>
      <c r="CZ83" s="10">
        <f t="shared" si="148"/>
        <v>0</v>
      </c>
    </row>
    <row r="84" spans="4:104" x14ac:dyDescent="0.15">
      <c r="D84" s="10">
        <v>69</v>
      </c>
      <c r="E84" s="10" t="e">
        <f t="shared" si="114"/>
        <v>#VALUE!</v>
      </c>
      <c r="F84" s="10" t="e">
        <f t="shared" si="98"/>
        <v>#VALUE!</v>
      </c>
      <c r="G84" s="10" t="e">
        <f t="shared" si="99"/>
        <v>#VALUE!</v>
      </c>
      <c r="H84" s="10" t="e">
        <f t="shared" si="115"/>
        <v>#VALUE!</v>
      </c>
      <c r="I84" s="10" t="e">
        <f t="shared" si="100"/>
        <v>#VALUE!</v>
      </c>
      <c r="J84" s="10" t="e">
        <f t="shared" si="116"/>
        <v>#VALUE!</v>
      </c>
      <c r="K84" s="10" t="e">
        <f t="shared" si="101"/>
        <v>#VALUE!</v>
      </c>
      <c r="L84" s="10" t="e">
        <f t="shared" si="102"/>
        <v>#VALUE!</v>
      </c>
      <c r="M84" s="10" t="e">
        <f t="shared" si="117"/>
        <v>#VALUE!</v>
      </c>
      <c r="O84" s="10" t="e">
        <f t="shared" si="118"/>
        <v>#VALUE!</v>
      </c>
      <c r="P84" s="10" t="e">
        <f t="shared" si="103"/>
        <v>#VALUE!</v>
      </c>
      <c r="Q84" s="10" t="e">
        <f t="shared" si="104"/>
        <v>#VALUE!</v>
      </c>
      <c r="R84" s="10" t="e">
        <f t="shared" si="119"/>
        <v>#VALUE!</v>
      </c>
      <c r="S84" s="10" t="e">
        <f t="shared" si="120"/>
        <v>#VALUE!</v>
      </c>
      <c r="T84" s="10" t="e">
        <f t="shared" si="149"/>
        <v>#VALUE!</v>
      </c>
      <c r="U84" s="10" t="e">
        <f t="shared" si="150"/>
        <v>#VALUE!</v>
      </c>
      <c r="V84" s="10" t="e">
        <f t="shared" si="105"/>
        <v>#VALUE!</v>
      </c>
      <c r="W84" s="10" t="e">
        <f t="shared" si="121"/>
        <v>#VALUE!</v>
      </c>
      <c r="Y84" s="10" t="e">
        <f t="shared" si="122"/>
        <v>#VALUE!</v>
      </c>
      <c r="Z84" s="11" t="e">
        <f t="shared" si="123"/>
        <v>#VALUE!</v>
      </c>
      <c r="AA84" s="10" t="e">
        <f t="shared" si="106"/>
        <v>#VALUE!</v>
      </c>
      <c r="AB84" s="10" t="e">
        <f t="shared" si="124"/>
        <v>#VALUE!</v>
      </c>
      <c r="AC84" s="10" t="e">
        <f t="shared" si="125"/>
        <v>#VALUE!</v>
      </c>
      <c r="AD84" s="10" t="e">
        <f t="shared" si="151"/>
        <v>#VALUE!</v>
      </c>
      <c r="AE84" s="10" t="e">
        <f t="shared" si="152"/>
        <v>#VALUE!</v>
      </c>
      <c r="AF84" s="10" t="e">
        <f t="shared" si="107"/>
        <v>#VALUE!</v>
      </c>
      <c r="AG84" s="10" t="e">
        <f t="shared" si="126"/>
        <v>#VALUE!</v>
      </c>
      <c r="AI84" s="13"/>
      <c r="AK84" s="10" t="e">
        <f t="shared" si="127"/>
        <v>#VALUE!</v>
      </c>
      <c r="AL84" s="10" t="e">
        <f t="shared" si="153"/>
        <v>#VALUE!</v>
      </c>
      <c r="AM84" s="10" t="e">
        <f t="shared" si="108"/>
        <v>#VALUE!</v>
      </c>
      <c r="AN84" s="10" t="e">
        <f t="shared" si="128"/>
        <v>#VALUE!</v>
      </c>
      <c r="AO84" s="10" t="e">
        <f t="shared" si="129"/>
        <v>#VALUE!</v>
      </c>
      <c r="AP84" s="10" t="e">
        <f t="shared" si="130"/>
        <v>#VALUE!</v>
      </c>
      <c r="AQ84" s="10" t="e">
        <f t="shared" si="154"/>
        <v>#VALUE!</v>
      </c>
      <c r="AR84" s="10" t="e">
        <f t="shared" si="109"/>
        <v>#VALUE!</v>
      </c>
      <c r="AS84" s="10" t="e">
        <f t="shared" si="155"/>
        <v>#VALUE!</v>
      </c>
      <c r="AU84" s="10" t="e">
        <f t="shared" si="131"/>
        <v>#VALUE!</v>
      </c>
      <c r="AV84" s="10" t="e">
        <f t="shared" si="156"/>
        <v>#VALUE!</v>
      </c>
      <c r="AW84" s="10" t="e">
        <f t="shared" si="110"/>
        <v>#VALUE!</v>
      </c>
      <c r="AX84" s="10" t="e">
        <f t="shared" si="132"/>
        <v>#VALUE!</v>
      </c>
      <c r="AY84" s="10" t="e">
        <f t="shared" si="133"/>
        <v>#VALUE!</v>
      </c>
      <c r="AZ84" s="10" t="e">
        <f t="shared" si="134"/>
        <v>#VALUE!</v>
      </c>
      <c r="BA84" s="10" t="e">
        <f t="shared" si="157"/>
        <v>#VALUE!</v>
      </c>
      <c r="BB84" s="10" t="e">
        <f t="shared" si="111"/>
        <v>#VALUE!</v>
      </c>
      <c r="BC84" s="10" t="e">
        <f t="shared" si="158"/>
        <v>#VALUE!</v>
      </c>
      <c r="BE84" s="10" t="e">
        <f t="shared" si="135"/>
        <v>#VALUE!</v>
      </c>
      <c r="BF84" s="10" t="e">
        <f t="shared" si="159"/>
        <v>#VALUE!</v>
      </c>
      <c r="BG84" s="10" t="e">
        <f t="shared" si="112"/>
        <v>#VALUE!</v>
      </c>
      <c r="BH84" s="10" t="e">
        <f t="shared" si="136"/>
        <v>#VALUE!</v>
      </c>
      <c r="BI84" s="10" t="e">
        <f t="shared" si="137"/>
        <v>#VALUE!</v>
      </c>
      <c r="BJ84" s="10" t="e">
        <f t="shared" si="138"/>
        <v>#VALUE!</v>
      </c>
      <c r="BK84" s="10" t="e">
        <f t="shared" si="160"/>
        <v>#VALUE!</v>
      </c>
      <c r="BL84" s="10" t="e">
        <f t="shared" si="113"/>
        <v>#VALUE!</v>
      </c>
      <c r="BM84" s="10" t="e">
        <f t="shared" si="161"/>
        <v>#VALUE!</v>
      </c>
      <c r="BP84" s="10" t="e">
        <f t="shared" si="77"/>
        <v>#VALUE!</v>
      </c>
      <c r="BQ84" s="10" t="e">
        <f t="shared" si="78"/>
        <v>#VALUE!</v>
      </c>
      <c r="BR84" s="10" t="e">
        <f t="shared" si="79"/>
        <v>#VALUE!</v>
      </c>
      <c r="BS84" s="10" t="e">
        <f t="shared" si="80"/>
        <v>#VALUE!</v>
      </c>
      <c r="BT84" s="10" t="e">
        <f t="shared" si="81"/>
        <v>#VALUE!</v>
      </c>
      <c r="BU84" s="10" t="e">
        <f t="shared" si="82"/>
        <v>#VALUE!</v>
      </c>
      <c r="BW84" s="10" t="e">
        <f t="shared" si="139"/>
        <v>#VALUE!</v>
      </c>
      <c r="BX84" s="10" t="e">
        <f t="shared" si="140"/>
        <v>#VALUE!</v>
      </c>
      <c r="BY84" s="10" t="e">
        <f t="shared" si="141"/>
        <v>#VALUE!</v>
      </c>
      <c r="BZ84" s="10" t="e">
        <f t="shared" si="142"/>
        <v>#VALUE!</v>
      </c>
      <c r="CA84" s="10" t="e">
        <f t="shared" si="143"/>
        <v>#VALUE!</v>
      </c>
      <c r="CB84" s="10" t="e">
        <f t="shared" si="144"/>
        <v>#VALUE!</v>
      </c>
      <c r="CD84" s="10" t="e">
        <f>MATCH(INDEX($BP$12:$BU$12,1,MATCH(BP84,$BP$15:$BU$15,0)),结果汇总!$AI$10:$AI$13,0)</f>
        <v>#VALUE!</v>
      </c>
      <c r="CE84" s="10" t="e">
        <f>MATCH(INDEX($BP$12:$BU$12,1,MATCH(BQ84,$BP$15:$BU$15,0)),结果汇总!$AI$10:$AI$13,0)</f>
        <v>#VALUE!</v>
      </c>
      <c r="CF84" s="10" t="e">
        <f>MATCH(INDEX($BP$12:$BU$12,1,MATCH(BR84,$BP$15:$BU$15,0)),结果汇总!$AI$10:$AI$13,0)</f>
        <v>#VALUE!</v>
      </c>
      <c r="CG84" s="10" t="e">
        <f>MATCH(INDEX($BP$12:$BU$12,1,MATCH(BS84,$BP$15:$BU$15,0)),结果汇总!$AI$10:$AI$13,0)</f>
        <v>#VALUE!</v>
      </c>
      <c r="CH84" s="10" t="e">
        <f>MATCH(INDEX($BP$12:$BU$12,1,MATCH(BT84,$BP$15:$BU$15,0)),结果汇总!$AI$10:$AI$13,0)</f>
        <v>#VALUE!</v>
      </c>
      <c r="CI84" s="10" t="e">
        <f>MATCH(INDEX($BP$12:$BU$12,1,MATCH(BU84,$BP$15:$BU$15,0)),结果汇总!$AI$10:$AI$13,0)</f>
        <v>#VALUE!</v>
      </c>
      <c r="CK84" s="10">
        <f t="shared" si="145"/>
        <v>0</v>
      </c>
      <c r="CL84" s="10">
        <f t="shared" si="145"/>
        <v>0</v>
      </c>
      <c r="CM84" s="10">
        <f t="shared" si="145"/>
        <v>0</v>
      </c>
      <c r="CN84" s="10">
        <f t="shared" si="145"/>
        <v>0</v>
      </c>
      <c r="CO84" s="10" t="e">
        <f t="shared" si="146"/>
        <v>#DIV/0!</v>
      </c>
      <c r="CP84" s="10" t="e">
        <f t="shared" si="146"/>
        <v>#DIV/0!</v>
      </c>
      <c r="CQ84" s="10" t="e">
        <f t="shared" si="146"/>
        <v>#DIV/0!</v>
      </c>
      <c r="CR84" s="10" t="e">
        <f t="shared" si="146"/>
        <v>#DIV/0!</v>
      </c>
      <c r="CS84" s="10">
        <f t="shared" si="147"/>
        <v>0</v>
      </c>
      <c r="CT84" s="10">
        <f t="shared" si="147"/>
        <v>0</v>
      </c>
      <c r="CU84" s="10">
        <f t="shared" si="147"/>
        <v>0</v>
      </c>
      <c r="CV84" s="10">
        <f t="shared" si="147"/>
        <v>0</v>
      </c>
      <c r="CW84" s="10">
        <f t="shared" si="148"/>
        <v>0</v>
      </c>
      <c r="CX84" s="10">
        <f t="shared" si="148"/>
        <v>0</v>
      </c>
      <c r="CY84" s="10">
        <f t="shared" si="148"/>
        <v>0</v>
      </c>
      <c r="CZ84" s="10">
        <f t="shared" si="148"/>
        <v>0</v>
      </c>
    </row>
    <row r="85" spans="4:104" x14ac:dyDescent="0.15">
      <c r="D85" s="10">
        <v>70</v>
      </c>
      <c r="E85" s="10" t="e">
        <f t="shared" si="114"/>
        <v>#VALUE!</v>
      </c>
      <c r="F85" s="10" t="e">
        <f t="shared" si="98"/>
        <v>#VALUE!</v>
      </c>
      <c r="G85" s="10" t="e">
        <f t="shared" si="99"/>
        <v>#VALUE!</v>
      </c>
      <c r="H85" s="10" t="e">
        <f t="shared" si="115"/>
        <v>#VALUE!</v>
      </c>
      <c r="I85" s="10" t="e">
        <f t="shared" si="100"/>
        <v>#VALUE!</v>
      </c>
      <c r="J85" s="10" t="e">
        <f t="shared" si="116"/>
        <v>#VALUE!</v>
      </c>
      <c r="K85" s="10" t="e">
        <f t="shared" si="101"/>
        <v>#VALUE!</v>
      </c>
      <c r="L85" s="10" t="e">
        <f t="shared" si="102"/>
        <v>#VALUE!</v>
      </c>
      <c r="M85" s="10" t="e">
        <f t="shared" si="117"/>
        <v>#VALUE!</v>
      </c>
      <c r="O85" s="10" t="e">
        <f t="shared" si="118"/>
        <v>#VALUE!</v>
      </c>
      <c r="P85" s="10" t="e">
        <f t="shared" si="103"/>
        <v>#VALUE!</v>
      </c>
      <c r="Q85" s="10" t="e">
        <f t="shared" si="104"/>
        <v>#VALUE!</v>
      </c>
      <c r="R85" s="10" t="e">
        <f t="shared" si="119"/>
        <v>#VALUE!</v>
      </c>
      <c r="S85" s="10" t="e">
        <f t="shared" si="120"/>
        <v>#VALUE!</v>
      </c>
      <c r="T85" s="10" t="e">
        <f t="shared" si="149"/>
        <v>#VALUE!</v>
      </c>
      <c r="U85" s="10" t="e">
        <f t="shared" si="150"/>
        <v>#VALUE!</v>
      </c>
      <c r="V85" s="10" t="e">
        <f t="shared" si="105"/>
        <v>#VALUE!</v>
      </c>
      <c r="W85" s="10" t="e">
        <f t="shared" si="121"/>
        <v>#VALUE!</v>
      </c>
      <c r="Y85" s="10" t="e">
        <f t="shared" si="122"/>
        <v>#VALUE!</v>
      </c>
      <c r="Z85" s="11" t="e">
        <f t="shared" si="123"/>
        <v>#VALUE!</v>
      </c>
      <c r="AA85" s="10" t="e">
        <f t="shared" si="106"/>
        <v>#VALUE!</v>
      </c>
      <c r="AB85" s="10" t="e">
        <f t="shared" si="124"/>
        <v>#VALUE!</v>
      </c>
      <c r="AC85" s="10" t="e">
        <f t="shared" si="125"/>
        <v>#VALUE!</v>
      </c>
      <c r="AD85" s="10" t="e">
        <f t="shared" si="151"/>
        <v>#VALUE!</v>
      </c>
      <c r="AE85" s="10" t="e">
        <f t="shared" si="152"/>
        <v>#VALUE!</v>
      </c>
      <c r="AF85" s="10" t="e">
        <f t="shared" si="107"/>
        <v>#VALUE!</v>
      </c>
      <c r="AG85" s="10" t="e">
        <f t="shared" si="126"/>
        <v>#VALUE!</v>
      </c>
      <c r="AI85" s="13"/>
      <c r="AK85" s="10" t="e">
        <f t="shared" si="127"/>
        <v>#VALUE!</v>
      </c>
      <c r="AL85" s="10" t="e">
        <f t="shared" si="153"/>
        <v>#VALUE!</v>
      </c>
      <c r="AM85" s="10" t="e">
        <f t="shared" si="108"/>
        <v>#VALUE!</v>
      </c>
      <c r="AN85" s="10" t="e">
        <f t="shared" si="128"/>
        <v>#VALUE!</v>
      </c>
      <c r="AO85" s="10" t="e">
        <f t="shared" si="129"/>
        <v>#VALUE!</v>
      </c>
      <c r="AP85" s="10" t="e">
        <f t="shared" si="130"/>
        <v>#VALUE!</v>
      </c>
      <c r="AQ85" s="10" t="e">
        <f t="shared" si="154"/>
        <v>#VALUE!</v>
      </c>
      <c r="AR85" s="10" t="e">
        <f t="shared" si="109"/>
        <v>#VALUE!</v>
      </c>
      <c r="AS85" s="10" t="e">
        <f t="shared" si="155"/>
        <v>#VALUE!</v>
      </c>
      <c r="AU85" s="10" t="e">
        <f t="shared" si="131"/>
        <v>#VALUE!</v>
      </c>
      <c r="AV85" s="10" t="e">
        <f t="shared" si="156"/>
        <v>#VALUE!</v>
      </c>
      <c r="AW85" s="10" t="e">
        <f t="shared" si="110"/>
        <v>#VALUE!</v>
      </c>
      <c r="AX85" s="10" t="e">
        <f t="shared" si="132"/>
        <v>#VALUE!</v>
      </c>
      <c r="AY85" s="10" t="e">
        <f t="shared" si="133"/>
        <v>#VALUE!</v>
      </c>
      <c r="AZ85" s="10" t="e">
        <f t="shared" si="134"/>
        <v>#VALUE!</v>
      </c>
      <c r="BA85" s="10" t="e">
        <f t="shared" si="157"/>
        <v>#VALUE!</v>
      </c>
      <c r="BB85" s="10" t="e">
        <f t="shared" si="111"/>
        <v>#VALUE!</v>
      </c>
      <c r="BC85" s="10" t="e">
        <f t="shared" si="158"/>
        <v>#VALUE!</v>
      </c>
      <c r="BE85" s="10" t="e">
        <f t="shared" si="135"/>
        <v>#VALUE!</v>
      </c>
      <c r="BF85" s="10" t="e">
        <f t="shared" si="159"/>
        <v>#VALUE!</v>
      </c>
      <c r="BG85" s="10" t="e">
        <f t="shared" si="112"/>
        <v>#VALUE!</v>
      </c>
      <c r="BH85" s="10" t="e">
        <f t="shared" si="136"/>
        <v>#VALUE!</v>
      </c>
      <c r="BI85" s="10" t="e">
        <f t="shared" si="137"/>
        <v>#VALUE!</v>
      </c>
      <c r="BJ85" s="10" t="e">
        <f t="shared" si="138"/>
        <v>#VALUE!</v>
      </c>
      <c r="BK85" s="10" t="e">
        <f t="shared" si="160"/>
        <v>#VALUE!</v>
      </c>
      <c r="BL85" s="10" t="e">
        <f t="shared" si="113"/>
        <v>#VALUE!</v>
      </c>
      <c r="BM85" s="10" t="e">
        <f t="shared" si="161"/>
        <v>#VALUE!</v>
      </c>
      <c r="BP85" s="10" t="e">
        <f t="shared" si="77"/>
        <v>#VALUE!</v>
      </c>
      <c r="BQ85" s="10" t="e">
        <f t="shared" si="78"/>
        <v>#VALUE!</v>
      </c>
      <c r="BR85" s="10" t="e">
        <f t="shared" si="79"/>
        <v>#VALUE!</v>
      </c>
      <c r="BS85" s="10" t="e">
        <f t="shared" si="80"/>
        <v>#VALUE!</v>
      </c>
      <c r="BT85" s="10" t="e">
        <f t="shared" si="81"/>
        <v>#VALUE!</v>
      </c>
      <c r="BU85" s="10" t="e">
        <f t="shared" si="82"/>
        <v>#VALUE!</v>
      </c>
      <c r="BW85" s="10" t="e">
        <f t="shared" si="139"/>
        <v>#VALUE!</v>
      </c>
      <c r="BX85" s="10" t="e">
        <f t="shared" si="140"/>
        <v>#VALUE!</v>
      </c>
      <c r="BY85" s="10" t="e">
        <f t="shared" si="141"/>
        <v>#VALUE!</v>
      </c>
      <c r="BZ85" s="10" t="e">
        <f t="shared" si="142"/>
        <v>#VALUE!</v>
      </c>
      <c r="CA85" s="10" t="e">
        <f t="shared" si="143"/>
        <v>#VALUE!</v>
      </c>
      <c r="CB85" s="10" t="e">
        <f t="shared" si="144"/>
        <v>#VALUE!</v>
      </c>
      <c r="CD85" s="10" t="e">
        <f>MATCH(INDEX($BP$12:$BU$12,1,MATCH(BP85,$BP$15:$BU$15,0)),结果汇总!$AI$10:$AI$13,0)</f>
        <v>#VALUE!</v>
      </c>
      <c r="CE85" s="10" t="e">
        <f>MATCH(INDEX($BP$12:$BU$12,1,MATCH(BQ85,$BP$15:$BU$15,0)),结果汇总!$AI$10:$AI$13,0)</f>
        <v>#VALUE!</v>
      </c>
      <c r="CF85" s="10" t="e">
        <f>MATCH(INDEX($BP$12:$BU$12,1,MATCH(BR85,$BP$15:$BU$15,0)),结果汇总!$AI$10:$AI$13,0)</f>
        <v>#VALUE!</v>
      </c>
      <c r="CG85" s="10" t="e">
        <f>MATCH(INDEX($BP$12:$BU$12,1,MATCH(BS85,$BP$15:$BU$15,0)),结果汇总!$AI$10:$AI$13,0)</f>
        <v>#VALUE!</v>
      </c>
      <c r="CH85" s="10" t="e">
        <f>MATCH(INDEX($BP$12:$BU$12,1,MATCH(BT85,$BP$15:$BU$15,0)),结果汇总!$AI$10:$AI$13,0)</f>
        <v>#VALUE!</v>
      </c>
      <c r="CI85" s="10" t="e">
        <f>MATCH(INDEX($BP$12:$BU$12,1,MATCH(BU85,$BP$15:$BU$15,0)),结果汇总!$AI$10:$AI$13,0)</f>
        <v>#VALUE!</v>
      </c>
      <c r="CK85" s="10">
        <f t="shared" si="145"/>
        <v>0</v>
      </c>
      <c r="CL85" s="10">
        <f t="shared" si="145"/>
        <v>0</v>
      </c>
      <c r="CM85" s="10">
        <f t="shared" si="145"/>
        <v>0</v>
      </c>
      <c r="CN85" s="10">
        <f t="shared" si="145"/>
        <v>0</v>
      </c>
      <c r="CO85" s="10" t="e">
        <f t="shared" si="146"/>
        <v>#DIV/0!</v>
      </c>
      <c r="CP85" s="10" t="e">
        <f t="shared" si="146"/>
        <v>#DIV/0!</v>
      </c>
      <c r="CQ85" s="10" t="e">
        <f t="shared" si="146"/>
        <v>#DIV/0!</v>
      </c>
      <c r="CR85" s="10" t="e">
        <f t="shared" si="146"/>
        <v>#DIV/0!</v>
      </c>
      <c r="CS85" s="10">
        <f t="shared" si="147"/>
        <v>0</v>
      </c>
      <c r="CT85" s="10">
        <f t="shared" si="147"/>
        <v>0</v>
      </c>
      <c r="CU85" s="10">
        <f t="shared" si="147"/>
        <v>0</v>
      </c>
      <c r="CV85" s="10">
        <f t="shared" si="147"/>
        <v>0</v>
      </c>
      <c r="CW85" s="10">
        <f t="shared" si="148"/>
        <v>0</v>
      </c>
      <c r="CX85" s="10">
        <f t="shared" si="148"/>
        <v>0</v>
      </c>
      <c r="CY85" s="10">
        <f t="shared" si="148"/>
        <v>0</v>
      </c>
      <c r="CZ85" s="10">
        <f t="shared" si="148"/>
        <v>0</v>
      </c>
    </row>
    <row r="86" spans="4:104" x14ac:dyDescent="0.15">
      <c r="D86" s="10">
        <v>71</v>
      </c>
      <c r="E86" s="10" t="e">
        <f t="shared" si="114"/>
        <v>#VALUE!</v>
      </c>
      <c r="F86" s="10" t="e">
        <f t="shared" si="98"/>
        <v>#VALUE!</v>
      </c>
      <c r="G86" s="10" t="e">
        <f t="shared" si="99"/>
        <v>#VALUE!</v>
      </c>
      <c r="H86" s="10" t="e">
        <f t="shared" si="115"/>
        <v>#VALUE!</v>
      </c>
      <c r="I86" s="10" t="e">
        <f t="shared" si="100"/>
        <v>#VALUE!</v>
      </c>
      <c r="J86" s="10" t="e">
        <f t="shared" si="116"/>
        <v>#VALUE!</v>
      </c>
      <c r="K86" s="10" t="e">
        <f t="shared" si="101"/>
        <v>#VALUE!</v>
      </c>
      <c r="L86" s="10" t="e">
        <f t="shared" si="102"/>
        <v>#VALUE!</v>
      </c>
      <c r="M86" s="10" t="e">
        <f t="shared" si="117"/>
        <v>#VALUE!</v>
      </c>
      <c r="O86" s="10" t="e">
        <f t="shared" si="118"/>
        <v>#VALUE!</v>
      </c>
      <c r="P86" s="10" t="e">
        <f t="shared" si="103"/>
        <v>#VALUE!</v>
      </c>
      <c r="Q86" s="10" t="e">
        <f t="shared" si="104"/>
        <v>#VALUE!</v>
      </c>
      <c r="R86" s="10" t="e">
        <f t="shared" si="119"/>
        <v>#VALUE!</v>
      </c>
      <c r="S86" s="10" t="e">
        <f t="shared" si="120"/>
        <v>#VALUE!</v>
      </c>
      <c r="T86" s="10" t="e">
        <f t="shared" si="149"/>
        <v>#VALUE!</v>
      </c>
      <c r="U86" s="10" t="e">
        <f t="shared" si="150"/>
        <v>#VALUE!</v>
      </c>
      <c r="V86" s="10" t="e">
        <f t="shared" si="105"/>
        <v>#VALUE!</v>
      </c>
      <c r="W86" s="10" t="e">
        <f t="shared" si="121"/>
        <v>#VALUE!</v>
      </c>
      <c r="Y86" s="10" t="e">
        <f t="shared" si="122"/>
        <v>#VALUE!</v>
      </c>
      <c r="Z86" s="11" t="e">
        <f t="shared" si="123"/>
        <v>#VALUE!</v>
      </c>
      <c r="AA86" s="10" t="e">
        <f t="shared" si="106"/>
        <v>#VALUE!</v>
      </c>
      <c r="AB86" s="10" t="e">
        <f t="shared" si="124"/>
        <v>#VALUE!</v>
      </c>
      <c r="AC86" s="10" t="e">
        <f t="shared" si="125"/>
        <v>#VALUE!</v>
      </c>
      <c r="AD86" s="10" t="e">
        <f t="shared" si="151"/>
        <v>#VALUE!</v>
      </c>
      <c r="AE86" s="10" t="e">
        <f t="shared" si="152"/>
        <v>#VALUE!</v>
      </c>
      <c r="AF86" s="10" t="e">
        <f t="shared" si="107"/>
        <v>#VALUE!</v>
      </c>
      <c r="AG86" s="10" t="e">
        <f t="shared" si="126"/>
        <v>#VALUE!</v>
      </c>
      <c r="AI86" s="13"/>
      <c r="AK86" s="10" t="e">
        <f t="shared" si="127"/>
        <v>#VALUE!</v>
      </c>
      <c r="AL86" s="10" t="e">
        <f t="shared" si="153"/>
        <v>#VALUE!</v>
      </c>
      <c r="AM86" s="10" t="e">
        <f t="shared" si="108"/>
        <v>#VALUE!</v>
      </c>
      <c r="AN86" s="10" t="e">
        <f t="shared" si="128"/>
        <v>#VALUE!</v>
      </c>
      <c r="AO86" s="10" t="e">
        <f t="shared" si="129"/>
        <v>#VALUE!</v>
      </c>
      <c r="AP86" s="10" t="e">
        <f t="shared" si="130"/>
        <v>#VALUE!</v>
      </c>
      <c r="AQ86" s="10" t="e">
        <f t="shared" si="154"/>
        <v>#VALUE!</v>
      </c>
      <c r="AR86" s="10" t="e">
        <f t="shared" si="109"/>
        <v>#VALUE!</v>
      </c>
      <c r="AS86" s="10" t="e">
        <f t="shared" si="155"/>
        <v>#VALUE!</v>
      </c>
      <c r="AU86" s="10" t="e">
        <f t="shared" si="131"/>
        <v>#VALUE!</v>
      </c>
      <c r="AV86" s="10" t="e">
        <f t="shared" si="156"/>
        <v>#VALUE!</v>
      </c>
      <c r="AW86" s="10" t="e">
        <f t="shared" si="110"/>
        <v>#VALUE!</v>
      </c>
      <c r="AX86" s="10" t="e">
        <f t="shared" si="132"/>
        <v>#VALUE!</v>
      </c>
      <c r="AY86" s="10" t="e">
        <f t="shared" si="133"/>
        <v>#VALUE!</v>
      </c>
      <c r="AZ86" s="10" t="e">
        <f t="shared" si="134"/>
        <v>#VALUE!</v>
      </c>
      <c r="BA86" s="10" t="e">
        <f t="shared" si="157"/>
        <v>#VALUE!</v>
      </c>
      <c r="BB86" s="10" t="e">
        <f t="shared" si="111"/>
        <v>#VALUE!</v>
      </c>
      <c r="BC86" s="10" t="e">
        <f t="shared" si="158"/>
        <v>#VALUE!</v>
      </c>
      <c r="BE86" s="10" t="e">
        <f t="shared" si="135"/>
        <v>#VALUE!</v>
      </c>
      <c r="BF86" s="10" t="e">
        <f t="shared" si="159"/>
        <v>#VALUE!</v>
      </c>
      <c r="BG86" s="10" t="e">
        <f t="shared" si="112"/>
        <v>#VALUE!</v>
      </c>
      <c r="BH86" s="10" t="e">
        <f t="shared" si="136"/>
        <v>#VALUE!</v>
      </c>
      <c r="BI86" s="10" t="e">
        <f t="shared" si="137"/>
        <v>#VALUE!</v>
      </c>
      <c r="BJ86" s="10" t="e">
        <f t="shared" si="138"/>
        <v>#VALUE!</v>
      </c>
      <c r="BK86" s="10" t="e">
        <f t="shared" si="160"/>
        <v>#VALUE!</v>
      </c>
      <c r="BL86" s="10" t="e">
        <f t="shared" si="113"/>
        <v>#VALUE!</v>
      </c>
      <c r="BM86" s="10" t="e">
        <f t="shared" si="161"/>
        <v>#VALUE!</v>
      </c>
      <c r="BP86" s="10" t="e">
        <f t="shared" si="77"/>
        <v>#VALUE!</v>
      </c>
      <c r="BQ86" s="10" t="e">
        <f t="shared" si="78"/>
        <v>#VALUE!</v>
      </c>
      <c r="BR86" s="10" t="e">
        <f t="shared" si="79"/>
        <v>#VALUE!</v>
      </c>
      <c r="BS86" s="10" t="e">
        <f t="shared" si="80"/>
        <v>#VALUE!</v>
      </c>
      <c r="BT86" s="10" t="e">
        <f t="shared" si="81"/>
        <v>#VALUE!</v>
      </c>
      <c r="BU86" s="10" t="e">
        <f t="shared" si="82"/>
        <v>#VALUE!</v>
      </c>
      <c r="BW86" s="10" t="e">
        <f t="shared" si="139"/>
        <v>#VALUE!</v>
      </c>
      <c r="BX86" s="10" t="e">
        <f t="shared" si="140"/>
        <v>#VALUE!</v>
      </c>
      <c r="BY86" s="10" t="e">
        <f t="shared" si="141"/>
        <v>#VALUE!</v>
      </c>
      <c r="BZ86" s="10" t="e">
        <f t="shared" si="142"/>
        <v>#VALUE!</v>
      </c>
      <c r="CA86" s="10" t="e">
        <f t="shared" si="143"/>
        <v>#VALUE!</v>
      </c>
      <c r="CB86" s="10" t="e">
        <f t="shared" si="144"/>
        <v>#VALUE!</v>
      </c>
      <c r="CD86" s="10" t="e">
        <f>MATCH(INDEX($BP$12:$BU$12,1,MATCH(BP86,$BP$15:$BU$15,0)),结果汇总!$AI$10:$AI$13,0)</f>
        <v>#VALUE!</v>
      </c>
      <c r="CE86" s="10" t="e">
        <f>MATCH(INDEX($BP$12:$BU$12,1,MATCH(BQ86,$BP$15:$BU$15,0)),结果汇总!$AI$10:$AI$13,0)</f>
        <v>#VALUE!</v>
      </c>
      <c r="CF86" s="10" t="e">
        <f>MATCH(INDEX($BP$12:$BU$12,1,MATCH(BR86,$BP$15:$BU$15,0)),结果汇总!$AI$10:$AI$13,0)</f>
        <v>#VALUE!</v>
      </c>
      <c r="CG86" s="10" t="e">
        <f>MATCH(INDEX($BP$12:$BU$12,1,MATCH(BS86,$BP$15:$BU$15,0)),结果汇总!$AI$10:$AI$13,0)</f>
        <v>#VALUE!</v>
      </c>
      <c r="CH86" s="10" t="e">
        <f>MATCH(INDEX($BP$12:$BU$12,1,MATCH(BT86,$BP$15:$BU$15,0)),结果汇总!$AI$10:$AI$13,0)</f>
        <v>#VALUE!</v>
      </c>
      <c r="CI86" s="10" t="e">
        <f>MATCH(INDEX($BP$12:$BU$12,1,MATCH(BU86,$BP$15:$BU$15,0)),结果汇总!$AI$10:$AI$13,0)</f>
        <v>#VALUE!</v>
      </c>
      <c r="CK86" s="10">
        <f t="shared" si="145"/>
        <v>0</v>
      </c>
      <c r="CL86" s="10">
        <f t="shared" si="145"/>
        <v>0</v>
      </c>
      <c r="CM86" s="10">
        <f t="shared" si="145"/>
        <v>0</v>
      </c>
      <c r="CN86" s="10">
        <f t="shared" si="145"/>
        <v>0</v>
      </c>
      <c r="CO86" s="10" t="e">
        <f t="shared" si="146"/>
        <v>#DIV/0!</v>
      </c>
      <c r="CP86" s="10" t="e">
        <f t="shared" si="146"/>
        <v>#DIV/0!</v>
      </c>
      <c r="CQ86" s="10" t="e">
        <f t="shared" si="146"/>
        <v>#DIV/0!</v>
      </c>
      <c r="CR86" s="10" t="e">
        <f t="shared" si="146"/>
        <v>#DIV/0!</v>
      </c>
      <c r="CS86" s="10">
        <f t="shared" si="147"/>
        <v>0</v>
      </c>
      <c r="CT86" s="10">
        <f t="shared" si="147"/>
        <v>0</v>
      </c>
      <c r="CU86" s="10">
        <f t="shared" si="147"/>
        <v>0</v>
      </c>
      <c r="CV86" s="10">
        <f t="shared" si="147"/>
        <v>0</v>
      </c>
      <c r="CW86" s="10">
        <f t="shared" si="148"/>
        <v>0</v>
      </c>
      <c r="CX86" s="10">
        <f t="shared" si="148"/>
        <v>0</v>
      </c>
      <c r="CY86" s="10">
        <f t="shared" si="148"/>
        <v>0</v>
      </c>
      <c r="CZ86" s="10">
        <f t="shared" si="148"/>
        <v>0</v>
      </c>
    </row>
    <row r="87" spans="4:104" x14ac:dyDescent="0.15">
      <c r="D87" s="10">
        <v>72</v>
      </c>
      <c r="E87" s="10" t="e">
        <f t="shared" si="114"/>
        <v>#VALUE!</v>
      </c>
      <c r="F87" s="10" t="e">
        <f t="shared" si="98"/>
        <v>#VALUE!</v>
      </c>
      <c r="G87" s="10" t="e">
        <f t="shared" si="99"/>
        <v>#VALUE!</v>
      </c>
      <c r="H87" s="10" t="e">
        <f t="shared" si="115"/>
        <v>#VALUE!</v>
      </c>
      <c r="I87" s="10" t="e">
        <f t="shared" si="100"/>
        <v>#VALUE!</v>
      </c>
      <c r="J87" s="10" t="e">
        <f t="shared" si="116"/>
        <v>#VALUE!</v>
      </c>
      <c r="K87" s="10" t="e">
        <f t="shared" si="101"/>
        <v>#VALUE!</v>
      </c>
      <c r="L87" s="10" t="e">
        <f t="shared" si="102"/>
        <v>#VALUE!</v>
      </c>
      <c r="M87" s="10" t="e">
        <f t="shared" si="117"/>
        <v>#VALUE!</v>
      </c>
      <c r="O87" s="10" t="e">
        <f t="shared" si="118"/>
        <v>#VALUE!</v>
      </c>
      <c r="P87" s="10" t="e">
        <f t="shared" si="103"/>
        <v>#VALUE!</v>
      </c>
      <c r="Q87" s="10" t="e">
        <f t="shared" si="104"/>
        <v>#VALUE!</v>
      </c>
      <c r="R87" s="10" t="e">
        <f t="shared" si="119"/>
        <v>#VALUE!</v>
      </c>
      <c r="S87" s="10" t="e">
        <f t="shared" si="120"/>
        <v>#VALUE!</v>
      </c>
      <c r="T87" s="10" t="e">
        <f t="shared" si="149"/>
        <v>#VALUE!</v>
      </c>
      <c r="U87" s="10" t="e">
        <f t="shared" si="150"/>
        <v>#VALUE!</v>
      </c>
      <c r="V87" s="10" t="e">
        <f t="shared" si="105"/>
        <v>#VALUE!</v>
      </c>
      <c r="W87" s="10" t="e">
        <f t="shared" si="121"/>
        <v>#VALUE!</v>
      </c>
      <c r="Y87" s="10" t="e">
        <f t="shared" si="122"/>
        <v>#VALUE!</v>
      </c>
      <c r="Z87" s="11" t="e">
        <f t="shared" si="123"/>
        <v>#VALUE!</v>
      </c>
      <c r="AA87" s="10" t="e">
        <f t="shared" si="106"/>
        <v>#VALUE!</v>
      </c>
      <c r="AB87" s="10" t="e">
        <f t="shared" si="124"/>
        <v>#VALUE!</v>
      </c>
      <c r="AC87" s="10" t="e">
        <f t="shared" si="125"/>
        <v>#VALUE!</v>
      </c>
      <c r="AD87" s="10" t="e">
        <f t="shared" si="151"/>
        <v>#VALUE!</v>
      </c>
      <c r="AE87" s="10" t="e">
        <f t="shared" si="152"/>
        <v>#VALUE!</v>
      </c>
      <c r="AF87" s="10" t="e">
        <f t="shared" si="107"/>
        <v>#VALUE!</v>
      </c>
      <c r="AG87" s="10" t="e">
        <f t="shared" si="126"/>
        <v>#VALUE!</v>
      </c>
      <c r="AI87" s="13"/>
      <c r="AK87" s="10" t="e">
        <f t="shared" si="127"/>
        <v>#VALUE!</v>
      </c>
      <c r="AL87" s="10" t="e">
        <f t="shared" si="153"/>
        <v>#VALUE!</v>
      </c>
      <c r="AM87" s="10" t="e">
        <f t="shared" si="108"/>
        <v>#VALUE!</v>
      </c>
      <c r="AN87" s="10" t="e">
        <f t="shared" si="128"/>
        <v>#VALUE!</v>
      </c>
      <c r="AO87" s="10" t="e">
        <f t="shared" si="129"/>
        <v>#VALUE!</v>
      </c>
      <c r="AP87" s="10" t="e">
        <f t="shared" si="130"/>
        <v>#VALUE!</v>
      </c>
      <c r="AQ87" s="10" t="e">
        <f t="shared" si="154"/>
        <v>#VALUE!</v>
      </c>
      <c r="AR87" s="10" t="e">
        <f t="shared" si="109"/>
        <v>#VALUE!</v>
      </c>
      <c r="AS87" s="10" t="e">
        <f t="shared" si="155"/>
        <v>#VALUE!</v>
      </c>
      <c r="AU87" s="10" t="e">
        <f t="shared" si="131"/>
        <v>#VALUE!</v>
      </c>
      <c r="AV87" s="10" t="e">
        <f t="shared" si="156"/>
        <v>#VALUE!</v>
      </c>
      <c r="AW87" s="10" t="e">
        <f t="shared" si="110"/>
        <v>#VALUE!</v>
      </c>
      <c r="AX87" s="10" t="e">
        <f t="shared" si="132"/>
        <v>#VALUE!</v>
      </c>
      <c r="AY87" s="10" t="e">
        <f t="shared" si="133"/>
        <v>#VALUE!</v>
      </c>
      <c r="AZ87" s="10" t="e">
        <f t="shared" si="134"/>
        <v>#VALUE!</v>
      </c>
      <c r="BA87" s="10" t="e">
        <f t="shared" si="157"/>
        <v>#VALUE!</v>
      </c>
      <c r="BB87" s="10" t="e">
        <f t="shared" si="111"/>
        <v>#VALUE!</v>
      </c>
      <c r="BC87" s="10" t="e">
        <f t="shared" si="158"/>
        <v>#VALUE!</v>
      </c>
      <c r="BE87" s="10" t="e">
        <f t="shared" si="135"/>
        <v>#VALUE!</v>
      </c>
      <c r="BF87" s="10" t="e">
        <f t="shared" si="159"/>
        <v>#VALUE!</v>
      </c>
      <c r="BG87" s="10" t="e">
        <f t="shared" si="112"/>
        <v>#VALUE!</v>
      </c>
      <c r="BH87" s="10" t="e">
        <f t="shared" si="136"/>
        <v>#VALUE!</v>
      </c>
      <c r="BI87" s="10" t="e">
        <f t="shared" si="137"/>
        <v>#VALUE!</v>
      </c>
      <c r="BJ87" s="10" t="e">
        <f t="shared" si="138"/>
        <v>#VALUE!</v>
      </c>
      <c r="BK87" s="10" t="e">
        <f t="shared" si="160"/>
        <v>#VALUE!</v>
      </c>
      <c r="BL87" s="10" t="e">
        <f t="shared" si="113"/>
        <v>#VALUE!</v>
      </c>
      <c r="BM87" s="10" t="e">
        <f t="shared" si="161"/>
        <v>#VALUE!</v>
      </c>
      <c r="BP87" s="10" t="e">
        <f t="shared" si="77"/>
        <v>#VALUE!</v>
      </c>
      <c r="BQ87" s="10" t="e">
        <f t="shared" si="78"/>
        <v>#VALUE!</v>
      </c>
      <c r="BR87" s="10" t="e">
        <f t="shared" si="79"/>
        <v>#VALUE!</v>
      </c>
      <c r="BS87" s="10" t="e">
        <f t="shared" si="80"/>
        <v>#VALUE!</v>
      </c>
      <c r="BT87" s="10" t="e">
        <f t="shared" si="81"/>
        <v>#VALUE!</v>
      </c>
      <c r="BU87" s="10" t="e">
        <f t="shared" si="82"/>
        <v>#VALUE!</v>
      </c>
      <c r="BW87" s="10" t="e">
        <f t="shared" si="139"/>
        <v>#VALUE!</v>
      </c>
      <c r="BX87" s="10" t="e">
        <f t="shared" si="140"/>
        <v>#VALUE!</v>
      </c>
      <c r="BY87" s="10" t="e">
        <f t="shared" si="141"/>
        <v>#VALUE!</v>
      </c>
      <c r="BZ87" s="10" t="e">
        <f t="shared" si="142"/>
        <v>#VALUE!</v>
      </c>
      <c r="CA87" s="10" t="e">
        <f t="shared" si="143"/>
        <v>#VALUE!</v>
      </c>
      <c r="CB87" s="10" t="e">
        <f t="shared" si="144"/>
        <v>#VALUE!</v>
      </c>
      <c r="CD87" s="10" t="e">
        <f>MATCH(INDEX($BP$12:$BU$12,1,MATCH(BP87,$BP$15:$BU$15,0)),结果汇总!$AI$10:$AI$13,0)</f>
        <v>#VALUE!</v>
      </c>
      <c r="CE87" s="10" t="e">
        <f>MATCH(INDEX($BP$12:$BU$12,1,MATCH(BQ87,$BP$15:$BU$15,0)),结果汇总!$AI$10:$AI$13,0)</f>
        <v>#VALUE!</v>
      </c>
      <c r="CF87" s="10" t="e">
        <f>MATCH(INDEX($BP$12:$BU$12,1,MATCH(BR87,$BP$15:$BU$15,0)),结果汇总!$AI$10:$AI$13,0)</f>
        <v>#VALUE!</v>
      </c>
      <c r="CG87" s="10" t="e">
        <f>MATCH(INDEX($BP$12:$BU$12,1,MATCH(BS87,$BP$15:$BU$15,0)),结果汇总!$AI$10:$AI$13,0)</f>
        <v>#VALUE!</v>
      </c>
      <c r="CH87" s="10" t="e">
        <f>MATCH(INDEX($BP$12:$BU$12,1,MATCH(BT87,$BP$15:$BU$15,0)),结果汇总!$AI$10:$AI$13,0)</f>
        <v>#VALUE!</v>
      </c>
      <c r="CI87" s="10" t="e">
        <f>MATCH(INDEX($BP$12:$BU$12,1,MATCH(BU87,$BP$15:$BU$15,0)),结果汇总!$AI$10:$AI$13,0)</f>
        <v>#VALUE!</v>
      </c>
      <c r="CK87" s="10">
        <f t="shared" si="145"/>
        <v>0</v>
      </c>
      <c r="CL87" s="10">
        <f t="shared" si="145"/>
        <v>0</v>
      </c>
      <c r="CM87" s="10">
        <f t="shared" si="145"/>
        <v>0</v>
      </c>
      <c r="CN87" s="10">
        <f t="shared" si="145"/>
        <v>0</v>
      </c>
      <c r="CO87" s="10" t="e">
        <f t="shared" si="146"/>
        <v>#DIV/0!</v>
      </c>
      <c r="CP87" s="10" t="e">
        <f t="shared" si="146"/>
        <v>#DIV/0!</v>
      </c>
      <c r="CQ87" s="10" t="e">
        <f t="shared" si="146"/>
        <v>#DIV/0!</v>
      </c>
      <c r="CR87" s="10" t="e">
        <f t="shared" si="146"/>
        <v>#DIV/0!</v>
      </c>
      <c r="CS87" s="10">
        <f t="shared" si="147"/>
        <v>0</v>
      </c>
      <c r="CT87" s="10">
        <f t="shared" si="147"/>
        <v>0</v>
      </c>
      <c r="CU87" s="10">
        <f t="shared" si="147"/>
        <v>0</v>
      </c>
      <c r="CV87" s="10">
        <f t="shared" si="147"/>
        <v>0</v>
      </c>
      <c r="CW87" s="10">
        <f t="shared" si="148"/>
        <v>0</v>
      </c>
      <c r="CX87" s="10">
        <f t="shared" si="148"/>
        <v>0</v>
      </c>
      <c r="CY87" s="10">
        <f t="shared" si="148"/>
        <v>0</v>
      </c>
      <c r="CZ87" s="10">
        <f t="shared" si="148"/>
        <v>0</v>
      </c>
    </row>
    <row r="88" spans="4:104" x14ac:dyDescent="0.15">
      <c r="D88" s="10">
        <v>73</v>
      </c>
      <c r="E88" s="10" t="e">
        <f t="shared" si="114"/>
        <v>#VALUE!</v>
      </c>
      <c r="F88" s="10" t="e">
        <f t="shared" si="98"/>
        <v>#VALUE!</v>
      </c>
      <c r="G88" s="10" t="e">
        <f t="shared" si="99"/>
        <v>#VALUE!</v>
      </c>
      <c r="H88" s="10" t="e">
        <f t="shared" si="115"/>
        <v>#VALUE!</v>
      </c>
      <c r="I88" s="10" t="e">
        <f t="shared" si="100"/>
        <v>#VALUE!</v>
      </c>
      <c r="J88" s="10" t="e">
        <f t="shared" si="116"/>
        <v>#VALUE!</v>
      </c>
      <c r="K88" s="10" t="e">
        <f t="shared" si="101"/>
        <v>#VALUE!</v>
      </c>
      <c r="L88" s="10" t="e">
        <f t="shared" si="102"/>
        <v>#VALUE!</v>
      </c>
      <c r="M88" s="10" t="e">
        <f t="shared" si="117"/>
        <v>#VALUE!</v>
      </c>
      <c r="O88" s="10" t="e">
        <f t="shared" si="118"/>
        <v>#VALUE!</v>
      </c>
      <c r="P88" s="10" t="e">
        <f t="shared" si="103"/>
        <v>#VALUE!</v>
      </c>
      <c r="Q88" s="10" t="e">
        <f t="shared" si="104"/>
        <v>#VALUE!</v>
      </c>
      <c r="R88" s="10" t="e">
        <f t="shared" si="119"/>
        <v>#VALUE!</v>
      </c>
      <c r="S88" s="10" t="e">
        <f t="shared" si="120"/>
        <v>#VALUE!</v>
      </c>
      <c r="T88" s="10" t="e">
        <f t="shared" si="149"/>
        <v>#VALUE!</v>
      </c>
      <c r="U88" s="10" t="e">
        <f t="shared" si="150"/>
        <v>#VALUE!</v>
      </c>
      <c r="V88" s="10" t="e">
        <f t="shared" si="105"/>
        <v>#VALUE!</v>
      </c>
      <c r="W88" s="10" t="e">
        <f t="shared" si="121"/>
        <v>#VALUE!</v>
      </c>
      <c r="Y88" s="10" t="e">
        <f t="shared" si="122"/>
        <v>#VALUE!</v>
      </c>
      <c r="Z88" s="11" t="e">
        <f t="shared" si="123"/>
        <v>#VALUE!</v>
      </c>
      <c r="AA88" s="10" t="e">
        <f t="shared" si="106"/>
        <v>#VALUE!</v>
      </c>
      <c r="AB88" s="10" t="e">
        <f t="shared" si="124"/>
        <v>#VALUE!</v>
      </c>
      <c r="AC88" s="10" t="e">
        <f t="shared" si="125"/>
        <v>#VALUE!</v>
      </c>
      <c r="AD88" s="10" t="e">
        <f t="shared" si="151"/>
        <v>#VALUE!</v>
      </c>
      <c r="AE88" s="10" t="e">
        <f t="shared" si="152"/>
        <v>#VALUE!</v>
      </c>
      <c r="AF88" s="10" t="e">
        <f t="shared" si="107"/>
        <v>#VALUE!</v>
      </c>
      <c r="AG88" s="10" t="e">
        <f t="shared" si="126"/>
        <v>#VALUE!</v>
      </c>
      <c r="AI88" s="13"/>
      <c r="AK88" s="10" t="e">
        <f t="shared" si="127"/>
        <v>#VALUE!</v>
      </c>
      <c r="AL88" s="10" t="e">
        <f t="shared" si="153"/>
        <v>#VALUE!</v>
      </c>
      <c r="AM88" s="10" t="e">
        <f t="shared" si="108"/>
        <v>#VALUE!</v>
      </c>
      <c r="AN88" s="10" t="e">
        <f t="shared" si="128"/>
        <v>#VALUE!</v>
      </c>
      <c r="AO88" s="10" t="e">
        <f t="shared" si="129"/>
        <v>#VALUE!</v>
      </c>
      <c r="AP88" s="10" t="e">
        <f t="shared" si="130"/>
        <v>#VALUE!</v>
      </c>
      <c r="AQ88" s="10" t="e">
        <f t="shared" si="154"/>
        <v>#VALUE!</v>
      </c>
      <c r="AR88" s="10" t="e">
        <f t="shared" si="109"/>
        <v>#VALUE!</v>
      </c>
      <c r="AS88" s="10" t="e">
        <f t="shared" si="155"/>
        <v>#VALUE!</v>
      </c>
      <c r="AU88" s="10" t="e">
        <f t="shared" si="131"/>
        <v>#VALUE!</v>
      </c>
      <c r="AV88" s="10" t="e">
        <f t="shared" si="156"/>
        <v>#VALUE!</v>
      </c>
      <c r="AW88" s="10" t="e">
        <f t="shared" si="110"/>
        <v>#VALUE!</v>
      </c>
      <c r="AX88" s="10" t="e">
        <f t="shared" si="132"/>
        <v>#VALUE!</v>
      </c>
      <c r="AY88" s="10" t="e">
        <f t="shared" si="133"/>
        <v>#VALUE!</v>
      </c>
      <c r="AZ88" s="10" t="e">
        <f t="shared" si="134"/>
        <v>#VALUE!</v>
      </c>
      <c r="BA88" s="10" t="e">
        <f t="shared" si="157"/>
        <v>#VALUE!</v>
      </c>
      <c r="BB88" s="10" t="e">
        <f t="shared" si="111"/>
        <v>#VALUE!</v>
      </c>
      <c r="BC88" s="10" t="e">
        <f t="shared" si="158"/>
        <v>#VALUE!</v>
      </c>
      <c r="BE88" s="10" t="e">
        <f t="shared" si="135"/>
        <v>#VALUE!</v>
      </c>
      <c r="BF88" s="10" t="e">
        <f t="shared" si="159"/>
        <v>#VALUE!</v>
      </c>
      <c r="BG88" s="10" t="e">
        <f t="shared" si="112"/>
        <v>#VALUE!</v>
      </c>
      <c r="BH88" s="10" t="e">
        <f t="shared" si="136"/>
        <v>#VALUE!</v>
      </c>
      <c r="BI88" s="10" t="e">
        <f t="shared" si="137"/>
        <v>#VALUE!</v>
      </c>
      <c r="BJ88" s="10" t="e">
        <f t="shared" si="138"/>
        <v>#VALUE!</v>
      </c>
      <c r="BK88" s="10" t="e">
        <f t="shared" si="160"/>
        <v>#VALUE!</v>
      </c>
      <c r="BL88" s="10" t="e">
        <f t="shared" si="113"/>
        <v>#VALUE!</v>
      </c>
      <c r="BM88" s="10" t="e">
        <f t="shared" si="161"/>
        <v>#VALUE!</v>
      </c>
      <c r="BP88" s="10" t="e">
        <f t="shared" si="77"/>
        <v>#VALUE!</v>
      </c>
      <c r="BQ88" s="10" t="e">
        <f t="shared" si="78"/>
        <v>#VALUE!</v>
      </c>
      <c r="BR88" s="10" t="e">
        <f t="shared" si="79"/>
        <v>#VALUE!</v>
      </c>
      <c r="BS88" s="10" t="e">
        <f t="shared" si="80"/>
        <v>#VALUE!</v>
      </c>
      <c r="BT88" s="10" t="e">
        <f t="shared" si="81"/>
        <v>#VALUE!</v>
      </c>
      <c r="BU88" s="10" t="e">
        <f t="shared" si="82"/>
        <v>#VALUE!</v>
      </c>
      <c r="BW88" s="10" t="e">
        <f t="shared" si="139"/>
        <v>#VALUE!</v>
      </c>
      <c r="BX88" s="10" t="e">
        <f t="shared" si="140"/>
        <v>#VALUE!</v>
      </c>
      <c r="BY88" s="10" t="e">
        <f t="shared" si="141"/>
        <v>#VALUE!</v>
      </c>
      <c r="BZ88" s="10" t="e">
        <f t="shared" si="142"/>
        <v>#VALUE!</v>
      </c>
      <c r="CA88" s="10" t="e">
        <f t="shared" si="143"/>
        <v>#VALUE!</v>
      </c>
      <c r="CB88" s="10" t="e">
        <f t="shared" si="144"/>
        <v>#VALUE!</v>
      </c>
      <c r="CD88" s="10" t="e">
        <f>MATCH(INDEX($BP$12:$BU$12,1,MATCH(BP88,$BP$15:$BU$15,0)),结果汇总!$AI$10:$AI$13,0)</f>
        <v>#VALUE!</v>
      </c>
      <c r="CE88" s="10" t="e">
        <f>MATCH(INDEX($BP$12:$BU$12,1,MATCH(BQ88,$BP$15:$BU$15,0)),结果汇总!$AI$10:$AI$13,0)</f>
        <v>#VALUE!</v>
      </c>
      <c r="CF88" s="10" t="e">
        <f>MATCH(INDEX($BP$12:$BU$12,1,MATCH(BR88,$BP$15:$BU$15,0)),结果汇总!$AI$10:$AI$13,0)</f>
        <v>#VALUE!</v>
      </c>
      <c r="CG88" s="10" t="e">
        <f>MATCH(INDEX($BP$12:$BU$12,1,MATCH(BS88,$BP$15:$BU$15,0)),结果汇总!$AI$10:$AI$13,0)</f>
        <v>#VALUE!</v>
      </c>
      <c r="CH88" s="10" t="e">
        <f>MATCH(INDEX($BP$12:$BU$12,1,MATCH(BT88,$BP$15:$BU$15,0)),结果汇总!$AI$10:$AI$13,0)</f>
        <v>#VALUE!</v>
      </c>
      <c r="CI88" s="10" t="e">
        <f>MATCH(INDEX($BP$12:$BU$12,1,MATCH(BU88,$BP$15:$BU$15,0)),结果汇总!$AI$10:$AI$13,0)</f>
        <v>#VALUE!</v>
      </c>
      <c r="CK88" s="10">
        <f t="shared" si="145"/>
        <v>0</v>
      </c>
      <c r="CL88" s="10">
        <f t="shared" si="145"/>
        <v>0</v>
      </c>
      <c r="CM88" s="10">
        <f t="shared" si="145"/>
        <v>0</v>
      </c>
      <c r="CN88" s="10">
        <f t="shared" si="145"/>
        <v>0</v>
      </c>
      <c r="CO88" s="10" t="e">
        <f t="shared" si="146"/>
        <v>#DIV/0!</v>
      </c>
      <c r="CP88" s="10" t="e">
        <f t="shared" si="146"/>
        <v>#DIV/0!</v>
      </c>
      <c r="CQ88" s="10" t="e">
        <f t="shared" si="146"/>
        <v>#DIV/0!</v>
      </c>
      <c r="CR88" s="10" t="e">
        <f t="shared" si="146"/>
        <v>#DIV/0!</v>
      </c>
      <c r="CS88" s="10">
        <f t="shared" si="147"/>
        <v>0</v>
      </c>
      <c r="CT88" s="10">
        <f t="shared" si="147"/>
        <v>0</v>
      </c>
      <c r="CU88" s="10">
        <f t="shared" si="147"/>
        <v>0</v>
      </c>
      <c r="CV88" s="10">
        <f t="shared" si="147"/>
        <v>0</v>
      </c>
      <c r="CW88" s="10">
        <f t="shared" si="148"/>
        <v>0</v>
      </c>
      <c r="CX88" s="10">
        <f t="shared" si="148"/>
        <v>0</v>
      </c>
      <c r="CY88" s="10">
        <f t="shared" si="148"/>
        <v>0</v>
      </c>
      <c r="CZ88" s="10">
        <f t="shared" si="148"/>
        <v>0</v>
      </c>
    </row>
    <row r="89" spans="4:104" x14ac:dyDescent="0.15">
      <c r="D89" s="10">
        <v>74</v>
      </c>
      <c r="E89" s="10" t="e">
        <f t="shared" si="114"/>
        <v>#VALUE!</v>
      </c>
      <c r="F89" s="10" t="e">
        <f t="shared" si="98"/>
        <v>#VALUE!</v>
      </c>
      <c r="G89" s="10" t="e">
        <f t="shared" si="99"/>
        <v>#VALUE!</v>
      </c>
      <c r="H89" s="10" t="e">
        <f t="shared" si="115"/>
        <v>#VALUE!</v>
      </c>
      <c r="I89" s="10" t="e">
        <f t="shared" si="100"/>
        <v>#VALUE!</v>
      </c>
      <c r="J89" s="10" t="e">
        <f t="shared" si="116"/>
        <v>#VALUE!</v>
      </c>
      <c r="K89" s="10" t="e">
        <f t="shared" si="101"/>
        <v>#VALUE!</v>
      </c>
      <c r="L89" s="10" t="e">
        <f t="shared" si="102"/>
        <v>#VALUE!</v>
      </c>
      <c r="M89" s="10" t="e">
        <f t="shared" si="117"/>
        <v>#VALUE!</v>
      </c>
      <c r="O89" s="10" t="e">
        <f t="shared" si="118"/>
        <v>#VALUE!</v>
      </c>
      <c r="P89" s="10" t="e">
        <f t="shared" si="103"/>
        <v>#VALUE!</v>
      </c>
      <c r="Q89" s="10" t="e">
        <f t="shared" si="104"/>
        <v>#VALUE!</v>
      </c>
      <c r="R89" s="10" t="e">
        <f t="shared" si="119"/>
        <v>#VALUE!</v>
      </c>
      <c r="S89" s="10" t="e">
        <f t="shared" si="120"/>
        <v>#VALUE!</v>
      </c>
      <c r="T89" s="10" t="e">
        <f t="shared" si="149"/>
        <v>#VALUE!</v>
      </c>
      <c r="U89" s="10" t="e">
        <f t="shared" si="150"/>
        <v>#VALUE!</v>
      </c>
      <c r="V89" s="10" t="e">
        <f t="shared" si="105"/>
        <v>#VALUE!</v>
      </c>
      <c r="W89" s="10" t="e">
        <f t="shared" si="121"/>
        <v>#VALUE!</v>
      </c>
      <c r="Y89" s="10" t="e">
        <f t="shared" si="122"/>
        <v>#VALUE!</v>
      </c>
      <c r="Z89" s="11" t="e">
        <f t="shared" si="123"/>
        <v>#VALUE!</v>
      </c>
      <c r="AA89" s="10" t="e">
        <f t="shared" si="106"/>
        <v>#VALUE!</v>
      </c>
      <c r="AB89" s="10" t="e">
        <f t="shared" si="124"/>
        <v>#VALUE!</v>
      </c>
      <c r="AC89" s="10" t="e">
        <f t="shared" si="125"/>
        <v>#VALUE!</v>
      </c>
      <c r="AD89" s="10" t="e">
        <f t="shared" si="151"/>
        <v>#VALUE!</v>
      </c>
      <c r="AE89" s="10" t="e">
        <f t="shared" si="152"/>
        <v>#VALUE!</v>
      </c>
      <c r="AF89" s="10" t="e">
        <f t="shared" si="107"/>
        <v>#VALUE!</v>
      </c>
      <c r="AG89" s="10" t="e">
        <f t="shared" si="126"/>
        <v>#VALUE!</v>
      </c>
      <c r="AI89" s="13"/>
      <c r="AK89" s="10" t="e">
        <f t="shared" si="127"/>
        <v>#VALUE!</v>
      </c>
      <c r="AL89" s="10" t="e">
        <f t="shared" si="153"/>
        <v>#VALUE!</v>
      </c>
      <c r="AM89" s="10" t="e">
        <f t="shared" si="108"/>
        <v>#VALUE!</v>
      </c>
      <c r="AN89" s="10" t="e">
        <f t="shared" si="128"/>
        <v>#VALUE!</v>
      </c>
      <c r="AO89" s="10" t="e">
        <f t="shared" si="129"/>
        <v>#VALUE!</v>
      </c>
      <c r="AP89" s="10" t="e">
        <f t="shared" si="130"/>
        <v>#VALUE!</v>
      </c>
      <c r="AQ89" s="10" t="e">
        <f t="shared" si="154"/>
        <v>#VALUE!</v>
      </c>
      <c r="AR89" s="10" t="e">
        <f t="shared" si="109"/>
        <v>#VALUE!</v>
      </c>
      <c r="AS89" s="10" t="e">
        <f t="shared" si="155"/>
        <v>#VALUE!</v>
      </c>
      <c r="AU89" s="10" t="e">
        <f t="shared" si="131"/>
        <v>#VALUE!</v>
      </c>
      <c r="AV89" s="10" t="e">
        <f t="shared" si="156"/>
        <v>#VALUE!</v>
      </c>
      <c r="AW89" s="10" t="e">
        <f t="shared" si="110"/>
        <v>#VALUE!</v>
      </c>
      <c r="AX89" s="10" t="e">
        <f t="shared" si="132"/>
        <v>#VALUE!</v>
      </c>
      <c r="AY89" s="10" t="e">
        <f t="shared" si="133"/>
        <v>#VALUE!</v>
      </c>
      <c r="AZ89" s="10" t="e">
        <f t="shared" si="134"/>
        <v>#VALUE!</v>
      </c>
      <c r="BA89" s="10" t="e">
        <f t="shared" si="157"/>
        <v>#VALUE!</v>
      </c>
      <c r="BB89" s="10" t="e">
        <f t="shared" si="111"/>
        <v>#VALUE!</v>
      </c>
      <c r="BC89" s="10" t="e">
        <f t="shared" si="158"/>
        <v>#VALUE!</v>
      </c>
      <c r="BE89" s="10" t="e">
        <f t="shared" si="135"/>
        <v>#VALUE!</v>
      </c>
      <c r="BF89" s="10" t="e">
        <f t="shared" si="159"/>
        <v>#VALUE!</v>
      </c>
      <c r="BG89" s="10" t="e">
        <f t="shared" si="112"/>
        <v>#VALUE!</v>
      </c>
      <c r="BH89" s="10" t="e">
        <f t="shared" si="136"/>
        <v>#VALUE!</v>
      </c>
      <c r="BI89" s="10" t="e">
        <f t="shared" si="137"/>
        <v>#VALUE!</v>
      </c>
      <c r="BJ89" s="10" t="e">
        <f t="shared" si="138"/>
        <v>#VALUE!</v>
      </c>
      <c r="BK89" s="10" t="e">
        <f t="shared" si="160"/>
        <v>#VALUE!</v>
      </c>
      <c r="BL89" s="10" t="e">
        <f t="shared" si="113"/>
        <v>#VALUE!</v>
      </c>
      <c r="BM89" s="10" t="e">
        <f t="shared" si="161"/>
        <v>#VALUE!</v>
      </c>
      <c r="BP89" s="10" t="e">
        <f t="shared" si="77"/>
        <v>#VALUE!</v>
      </c>
      <c r="BQ89" s="10" t="e">
        <f t="shared" si="78"/>
        <v>#VALUE!</v>
      </c>
      <c r="BR89" s="10" t="e">
        <f t="shared" si="79"/>
        <v>#VALUE!</v>
      </c>
      <c r="BS89" s="10" t="e">
        <f t="shared" si="80"/>
        <v>#VALUE!</v>
      </c>
      <c r="BT89" s="10" t="e">
        <f t="shared" si="81"/>
        <v>#VALUE!</v>
      </c>
      <c r="BU89" s="10" t="e">
        <f t="shared" si="82"/>
        <v>#VALUE!</v>
      </c>
      <c r="BW89" s="10" t="e">
        <f t="shared" si="139"/>
        <v>#VALUE!</v>
      </c>
      <c r="BX89" s="10" t="e">
        <f t="shared" si="140"/>
        <v>#VALUE!</v>
      </c>
      <c r="BY89" s="10" t="e">
        <f t="shared" si="141"/>
        <v>#VALUE!</v>
      </c>
      <c r="BZ89" s="10" t="e">
        <f t="shared" si="142"/>
        <v>#VALUE!</v>
      </c>
      <c r="CA89" s="10" t="e">
        <f t="shared" si="143"/>
        <v>#VALUE!</v>
      </c>
      <c r="CB89" s="10" t="e">
        <f t="shared" si="144"/>
        <v>#VALUE!</v>
      </c>
      <c r="CD89" s="10" t="e">
        <f>MATCH(INDEX($BP$12:$BU$12,1,MATCH(BP89,$BP$15:$BU$15,0)),结果汇总!$AI$10:$AI$13,0)</f>
        <v>#VALUE!</v>
      </c>
      <c r="CE89" s="10" t="e">
        <f>MATCH(INDEX($BP$12:$BU$12,1,MATCH(BQ89,$BP$15:$BU$15,0)),结果汇总!$AI$10:$AI$13,0)</f>
        <v>#VALUE!</v>
      </c>
      <c r="CF89" s="10" t="e">
        <f>MATCH(INDEX($BP$12:$BU$12,1,MATCH(BR89,$BP$15:$BU$15,0)),结果汇总!$AI$10:$AI$13,0)</f>
        <v>#VALUE!</v>
      </c>
      <c r="CG89" s="10" t="e">
        <f>MATCH(INDEX($BP$12:$BU$12,1,MATCH(BS89,$BP$15:$BU$15,0)),结果汇总!$AI$10:$AI$13,0)</f>
        <v>#VALUE!</v>
      </c>
      <c r="CH89" s="10" t="e">
        <f>MATCH(INDEX($BP$12:$BU$12,1,MATCH(BT89,$BP$15:$BU$15,0)),结果汇总!$AI$10:$AI$13,0)</f>
        <v>#VALUE!</v>
      </c>
      <c r="CI89" s="10" t="e">
        <f>MATCH(INDEX($BP$12:$BU$12,1,MATCH(BU89,$BP$15:$BU$15,0)),结果汇总!$AI$10:$AI$13,0)</f>
        <v>#VALUE!</v>
      </c>
      <c r="CK89" s="10">
        <f t="shared" si="145"/>
        <v>0</v>
      </c>
      <c r="CL89" s="10">
        <f t="shared" si="145"/>
        <v>0</v>
      </c>
      <c r="CM89" s="10">
        <f t="shared" si="145"/>
        <v>0</v>
      </c>
      <c r="CN89" s="10">
        <f t="shared" si="145"/>
        <v>0</v>
      </c>
      <c r="CO89" s="10" t="e">
        <f t="shared" si="146"/>
        <v>#DIV/0!</v>
      </c>
      <c r="CP89" s="10" t="e">
        <f t="shared" si="146"/>
        <v>#DIV/0!</v>
      </c>
      <c r="CQ89" s="10" t="e">
        <f t="shared" si="146"/>
        <v>#DIV/0!</v>
      </c>
      <c r="CR89" s="10" t="e">
        <f t="shared" si="146"/>
        <v>#DIV/0!</v>
      </c>
      <c r="CS89" s="10">
        <f t="shared" si="147"/>
        <v>0</v>
      </c>
      <c r="CT89" s="10">
        <f t="shared" si="147"/>
        <v>0</v>
      </c>
      <c r="CU89" s="10">
        <f t="shared" si="147"/>
        <v>0</v>
      </c>
      <c r="CV89" s="10">
        <f t="shared" si="147"/>
        <v>0</v>
      </c>
      <c r="CW89" s="10">
        <f t="shared" si="148"/>
        <v>0</v>
      </c>
      <c r="CX89" s="10">
        <f t="shared" si="148"/>
        <v>0</v>
      </c>
      <c r="CY89" s="10">
        <f t="shared" si="148"/>
        <v>0</v>
      </c>
      <c r="CZ89" s="10">
        <f t="shared" si="148"/>
        <v>0</v>
      </c>
    </row>
    <row r="90" spans="4:104" x14ac:dyDescent="0.15">
      <c r="D90" s="10">
        <v>75</v>
      </c>
      <c r="E90" s="10" t="e">
        <f t="shared" si="114"/>
        <v>#VALUE!</v>
      </c>
      <c r="F90" s="10" t="e">
        <f t="shared" si="98"/>
        <v>#VALUE!</v>
      </c>
      <c r="G90" s="10" t="e">
        <f t="shared" si="99"/>
        <v>#VALUE!</v>
      </c>
      <c r="H90" s="10" t="e">
        <f t="shared" si="115"/>
        <v>#VALUE!</v>
      </c>
      <c r="I90" s="10" t="e">
        <f t="shared" si="100"/>
        <v>#VALUE!</v>
      </c>
      <c r="J90" s="10" t="e">
        <f t="shared" si="116"/>
        <v>#VALUE!</v>
      </c>
      <c r="K90" s="10" t="e">
        <f t="shared" si="101"/>
        <v>#VALUE!</v>
      </c>
      <c r="L90" s="10" t="e">
        <f t="shared" si="102"/>
        <v>#VALUE!</v>
      </c>
      <c r="M90" s="10" t="e">
        <f t="shared" si="117"/>
        <v>#VALUE!</v>
      </c>
      <c r="O90" s="10" t="e">
        <f t="shared" si="118"/>
        <v>#VALUE!</v>
      </c>
      <c r="P90" s="10" t="e">
        <f t="shared" si="103"/>
        <v>#VALUE!</v>
      </c>
      <c r="Q90" s="10" t="e">
        <f t="shared" si="104"/>
        <v>#VALUE!</v>
      </c>
      <c r="R90" s="10" t="e">
        <f t="shared" si="119"/>
        <v>#VALUE!</v>
      </c>
      <c r="S90" s="10" t="e">
        <f t="shared" si="120"/>
        <v>#VALUE!</v>
      </c>
      <c r="T90" s="10" t="e">
        <f t="shared" si="149"/>
        <v>#VALUE!</v>
      </c>
      <c r="U90" s="10" t="e">
        <f t="shared" si="150"/>
        <v>#VALUE!</v>
      </c>
      <c r="V90" s="10" t="e">
        <f t="shared" si="105"/>
        <v>#VALUE!</v>
      </c>
      <c r="W90" s="10" t="e">
        <f t="shared" si="121"/>
        <v>#VALUE!</v>
      </c>
      <c r="Y90" s="10" t="e">
        <f t="shared" si="122"/>
        <v>#VALUE!</v>
      </c>
      <c r="Z90" s="11" t="e">
        <f t="shared" si="123"/>
        <v>#VALUE!</v>
      </c>
      <c r="AA90" s="10" t="e">
        <f t="shared" si="106"/>
        <v>#VALUE!</v>
      </c>
      <c r="AB90" s="10" t="e">
        <f t="shared" si="124"/>
        <v>#VALUE!</v>
      </c>
      <c r="AC90" s="10" t="e">
        <f t="shared" si="125"/>
        <v>#VALUE!</v>
      </c>
      <c r="AD90" s="10" t="e">
        <f t="shared" si="151"/>
        <v>#VALUE!</v>
      </c>
      <c r="AE90" s="10" t="e">
        <f t="shared" si="152"/>
        <v>#VALUE!</v>
      </c>
      <c r="AF90" s="10" t="e">
        <f t="shared" si="107"/>
        <v>#VALUE!</v>
      </c>
      <c r="AG90" s="10" t="e">
        <f t="shared" si="126"/>
        <v>#VALUE!</v>
      </c>
      <c r="AI90" s="13"/>
      <c r="AK90" s="10" t="e">
        <f t="shared" si="127"/>
        <v>#VALUE!</v>
      </c>
      <c r="AL90" s="10" t="e">
        <f t="shared" si="153"/>
        <v>#VALUE!</v>
      </c>
      <c r="AM90" s="10" t="e">
        <f t="shared" si="108"/>
        <v>#VALUE!</v>
      </c>
      <c r="AN90" s="10" t="e">
        <f t="shared" si="128"/>
        <v>#VALUE!</v>
      </c>
      <c r="AO90" s="10" t="e">
        <f t="shared" si="129"/>
        <v>#VALUE!</v>
      </c>
      <c r="AP90" s="10" t="e">
        <f t="shared" si="130"/>
        <v>#VALUE!</v>
      </c>
      <c r="AQ90" s="10" t="e">
        <f t="shared" si="154"/>
        <v>#VALUE!</v>
      </c>
      <c r="AR90" s="10" t="e">
        <f t="shared" si="109"/>
        <v>#VALUE!</v>
      </c>
      <c r="AS90" s="10" t="e">
        <f t="shared" si="155"/>
        <v>#VALUE!</v>
      </c>
      <c r="AU90" s="10" t="e">
        <f t="shared" si="131"/>
        <v>#VALUE!</v>
      </c>
      <c r="AV90" s="10" t="e">
        <f t="shared" si="156"/>
        <v>#VALUE!</v>
      </c>
      <c r="AW90" s="10" t="e">
        <f t="shared" si="110"/>
        <v>#VALUE!</v>
      </c>
      <c r="AX90" s="10" t="e">
        <f t="shared" si="132"/>
        <v>#VALUE!</v>
      </c>
      <c r="AY90" s="10" t="e">
        <f t="shared" si="133"/>
        <v>#VALUE!</v>
      </c>
      <c r="AZ90" s="10" t="e">
        <f t="shared" si="134"/>
        <v>#VALUE!</v>
      </c>
      <c r="BA90" s="10" t="e">
        <f t="shared" si="157"/>
        <v>#VALUE!</v>
      </c>
      <c r="BB90" s="10" t="e">
        <f t="shared" si="111"/>
        <v>#VALUE!</v>
      </c>
      <c r="BC90" s="10" t="e">
        <f t="shared" si="158"/>
        <v>#VALUE!</v>
      </c>
      <c r="BE90" s="10" t="e">
        <f t="shared" si="135"/>
        <v>#VALUE!</v>
      </c>
      <c r="BF90" s="10" t="e">
        <f t="shared" si="159"/>
        <v>#VALUE!</v>
      </c>
      <c r="BG90" s="10" t="e">
        <f t="shared" si="112"/>
        <v>#VALUE!</v>
      </c>
      <c r="BH90" s="10" t="e">
        <f t="shared" si="136"/>
        <v>#VALUE!</v>
      </c>
      <c r="BI90" s="10" t="e">
        <f t="shared" si="137"/>
        <v>#VALUE!</v>
      </c>
      <c r="BJ90" s="10" t="e">
        <f t="shared" si="138"/>
        <v>#VALUE!</v>
      </c>
      <c r="BK90" s="10" t="e">
        <f t="shared" si="160"/>
        <v>#VALUE!</v>
      </c>
      <c r="BL90" s="10" t="e">
        <f t="shared" si="113"/>
        <v>#VALUE!</v>
      </c>
      <c r="BM90" s="10" t="e">
        <f t="shared" si="161"/>
        <v>#VALUE!</v>
      </c>
      <c r="BP90" s="10" t="e">
        <f t="shared" si="77"/>
        <v>#VALUE!</v>
      </c>
      <c r="BQ90" s="10" t="e">
        <f t="shared" si="78"/>
        <v>#VALUE!</v>
      </c>
      <c r="BR90" s="10" t="e">
        <f t="shared" si="79"/>
        <v>#VALUE!</v>
      </c>
      <c r="BS90" s="10" t="e">
        <f t="shared" si="80"/>
        <v>#VALUE!</v>
      </c>
      <c r="BT90" s="10" t="e">
        <f t="shared" si="81"/>
        <v>#VALUE!</v>
      </c>
      <c r="BU90" s="10" t="e">
        <f t="shared" si="82"/>
        <v>#VALUE!</v>
      </c>
      <c r="BW90" s="10" t="e">
        <f t="shared" si="139"/>
        <v>#VALUE!</v>
      </c>
      <c r="BX90" s="10" t="e">
        <f t="shared" si="140"/>
        <v>#VALUE!</v>
      </c>
      <c r="BY90" s="10" t="e">
        <f t="shared" si="141"/>
        <v>#VALUE!</v>
      </c>
      <c r="BZ90" s="10" t="e">
        <f t="shared" si="142"/>
        <v>#VALUE!</v>
      </c>
      <c r="CA90" s="10" t="e">
        <f t="shared" si="143"/>
        <v>#VALUE!</v>
      </c>
      <c r="CB90" s="10" t="e">
        <f t="shared" si="144"/>
        <v>#VALUE!</v>
      </c>
      <c r="CD90" s="10" t="e">
        <f>MATCH(INDEX($BP$12:$BU$12,1,MATCH(BP90,$BP$15:$BU$15,0)),结果汇总!$AI$10:$AI$13,0)</f>
        <v>#VALUE!</v>
      </c>
      <c r="CE90" s="10" t="e">
        <f>MATCH(INDEX($BP$12:$BU$12,1,MATCH(BQ90,$BP$15:$BU$15,0)),结果汇总!$AI$10:$AI$13,0)</f>
        <v>#VALUE!</v>
      </c>
      <c r="CF90" s="10" t="e">
        <f>MATCH(INDEX($BP$12:$BU$12,1,MATCH(BR90,$BP$15:$BU$15,0)),结果汇总!$AI$10:$AI$13,0)</f>
        <v>#VALUE!</v>
      </c>
      <c r="CG90" s="10" t="e">
        <f>MATCH(INDEX($BP$12:$BU$12,1,MATCH(BS90,$BP$15:$BU$15,0)),结果汇总!$AI$10:$AI$13,0)</f>
        <v>#VALUE!</v>
      </c>
      <c r="CH90" s="10" t="e">
        <f>MATCH(INDEX($BP$12:$BU$12,1,MATCH(BT90,$BP$15:$BU$15,0)),结果汇总!$AI$10:$AI$13,0)</f>
        <v>#VALUE!</v>
      </c>
      <c r="CI90" s="10" t="e">
        <f>MATCH(INDEX($BP$12:$BU$12,1,MATCH(BU90,$BP$15:$BU$15,0)),结果汇总!$AI$10:$AI$13,0)</f>
        <v>#VALUE!</v>
      </c>
      <c r="CK90" s="10">
        <f t="shared" si="145"/>
        <v>0</v>
      </c>
      <c r="CL90" s="10">
        <f t="shared" si="145"/>
        <v>0</v>
      </c>
      <c r="CM90" s="10">
        <f t="shared" si="145"/>
        <v>0</v>
      </c>
      <c r="CN90" s="10">
        <f t="shared" si="145"/>
        <v>0</v>
      </c>
      <c r="CO90" s="10" t="e">
        <f t="shared" si="146"/>
        <v>#DIV/0!</v>
      </c>
      <c r="CP90" s="10" t="e">
        <f t="shared" si="146"/>
        <v>#DIV/0!</v>
      </c>
      <c r="CQ90" s="10" t="e">
        <f t="shared" si="146"/>
        <v>#DIV/0!</v>
      </c>
      <c r="CR90" s="10" t="e">
        <f t="shared" si="146"/>
        <v>#DIV/0!</v>
      </c>
      <c r="CS90" s="10">
        <f t="shared" si="147"/>
        <v>0</v>
      </c>
      <c r="CT90" s="10">
        <f t="shared" si="147"/>
        <v>0</v>
      </c>
      <c r="CU90" s="10">
        <f t="shared" si="147"/>
        <v>0</v>
      </c>
      <c r="CV90" s="10">
        <f t="shared" si="147"/>
        <v>0</v>
      </c>
      <c r="CW90" s="10">
        <f t="shared" si="148"/>
        <v>0</v>
      </c>
      <c r="CX90" s="10">
        <f t="shared" si="148"/>
        <v>0</v>
      </c>
      <c r="CY90" s="10">
        <f t="shared" si="148"/>
        <v>0</v>
      </c>
      <c r="CZ90" s="10">
        <f t="shared" si="148"/>
        <v>0</v>
      </c>
    </row>
    <row r="91" spans="4:104" x14ac:dyDescent="0.15">
      <c r="D91" s="10">
        <v>76</v>
      </c>
      <c r="E91" s="10" t="e">
        <f t="shared" si="114"/>
        <v>#VALUE!</v>
      </c>
      <c r="F91" s="10" t="e">
        <f t="shared" si="98"/>
        <v>#VALUE!</v>
      </c>
      <c r="G91" s="10" t="e">
        <f t="shared" si="99"/>
        <v>#VALUE!</v>
      </c>
      <c r="H91" s="10" t="e">
        <f t="shared" si="115"/>
        <v>#VALUE!</v>
      </c>
      <c r="I91" s="10" t="e">
        <f t="shared" si="100"/>
        <v>#VALUE!</v>
      </c>
      <c r="J91" s="10" t="e">
        <f t="shared" si="116"/>
        <v>#VALUE!</v>
      </c>
      <c r="K91" s="10" t="e">
        <f t="shared" si="101"/>
        <v>#VALUE!</v>
      </c>
      <c r="L91" s="10" t="e">
        <f t="shared" si="102"/>
        <v>#VALUE!</v>
      </c>
      <c r="M91" s="10" t="e">
        <f t="shared" si="117"/>
        <v>#VALUE!</v>
      </c>
      <c r="O91" s="10" t="e">
        <f t="shared" si="118"/>
        <v>#VALUE!</v>
      </c>
      <c r="P91" s="10" t="e">
        <f t="shared" si="103"/>
        <v>#VALUE!</v>
      </c>
      <c r="Q91" s="10" t="e">
        <f t="shared" si="104"/>
        <v>#VALUE!</v>
      </c>
      <c r="R91" s="10" t="e">
        <f t="shared" si="119"/>
        <v>#VALUE!</v>
      </c>
      <c r="S91" s="10" t="e">
        <f t="shared" si="120"/>
        <v>#VALUE!</v>
      </c>
      <c r="T91" s="10" t="e">
        <f t="shared" si="149"/>
        <v>#VALUE!</v>
      </c>
      <c r="U91" s="10" t="e">
        <f t="shared" si="150"/>
        <v>#VALUE!</v>
      </c>
      <c r="V91" s="10" t="e">
        <f t="shared" si="105"/>
        <v>#VALUE!</v>
      </c>
      <c r="W91" s="10" t="e">
        <f t="shared" si="121"/>
        <v>#VALUE!</v>
      </c>
      <c r="Y91" s="10" t="e">
        <f t="shared" si="122"/>
        <v>#VALUE!</v>
      </c>
      <c r="Z91" s="11" t="e">
        <f t="shared" si="123"/>
        <v>#VALUE!</v>
      </c>
      <c r="AA91" s="10" t="e">
        <f t="shared" si="106"/>
        <v>#VALUE!</v>
      </c>
      <c r="AB91" s="10" t="e">
        <f t="shared" si="124"/>
        <v>#VALUE!</v>
      </c>
      <c r="AC91" s="10" t="e">
        <f t="shared" si="125"/>
        <v>#VALUE!</v>
      </c>
      <c r="AD91" s="10" t="e">
        <f t="shared" si="151"/>
        <v>#VALUE!</v>
      </c>
      <c r="AE91" s="10" t="e">
        <f t="shared" si="152"/>
        <v>#VALUE!</v>
      </c>
      <c r="AF91" s="10" t="e">
        <f t="shared" si="107"/>
        <v>#VALUE!</v>
      </c>
      <c r="AG91" s="10" t="e">
        <f t="shared" si="126"/>
        <v>#VALUE!</v>
      </c>
      <c r="AI91" s="13"/>
      <c r="AK91" s="10" t="e">
        <f t="shared" si="127"/>
        <v>#VALUE!</v>
      </c>
      <c r="AL91" s="10" t="e">
        <f t="shared" si="153"/>
        <v>#VALUE!</v>
      </c>
      <c r="AM91" s="10" t="e">
        <f t="shared" si="108"/>
        <v>#VALUE!</v>
      </c>
      <c r="AN91" s="10" t="e">
        <f t="shared" si="128"/>
        <v>#VALUE!</v>
      </c>
      <c r="AO91" s="10" t="e">
        <f t="shared" si="129"/>
        <v>#VALUE!</v>
      </c>
      <c r="AP91" s="10" t="e">
        <f t="shared" si="130"/>
        <v>#VALUE!</v>
      </c>
      <c r="AQ91" s="10" t="e">
        <f t="shared" si="154"/>
        <v>#VALUE!</v>
      </c>
      <c r="AR91" s="10" t="e">
        <f t="shared" si="109"/>
        <v>#VALUE!</v>
      </c>
      <c r="AS91" s="10" t="e">
        <f t="shared" si="155"/>
        <v>#VALUE!</v>
      </c>
      <c r="AU91" s="10" t="e">
        <f t="shared" si="131"/>
        <v>#VALUE!</v>
      </c>
      <c r="AV91" s="10" t="e">
        <f t="shared" si="156"/>
        <v>#VALUE!</v>
      </c>
      <c r="AW91" s="10" t="e">
        <f t="shared" si="110"/>
        <v>#VALUE!</v>
      </c>
      <c r="AX91" s="10" t="e">
        <f t="shared" si="132"/>
        <v>#VALUE!</v>
      </c>
      <c r="AY91" s="10" t="e">
        <f t="shared" si="133"/>
        <v>#VALUE!</v>
      </c>
      <c r="AZ91" s="10" t="e">
        <f t="shared" si="134"/>
        <v>#VALUE!</v>
      </c>
      <c r="BA91" s="10" t="e">
        <f t="shared" si="157"/>
        <v>#VALUE!</v>
      </c>
      <c r="BB91" s="10" t="e">
        <f t="shared" si="111"/>
        <v>#VALUE!</v>
      </c>
      <c r="BC91" s="10" t="e">
        <f t="shared" si="158"/>
        <v>#VALUE!</v>
      </c>
      <c r="BE91" s="10" t="e">
        <f t="shared" si="135"/>
        <v>#VALUE!</v>
      </c>
      <c r="BF91" s="10" t="e">
        <f t="shared" si="159"/>
        <v>#VALUE!</v>
      </c>
      <c r="BG91" s="10" t="e">
        <f t="shared" si="112"/>
        <v>#VALUE!</v>
      </c>
      <c r="BH91" s="10" t="e">
        <f t="shared" si="136"/>
        <v>#VALUE!</v>
      </c>
      <c r="BI91" s="10" t="e">
        <f t="shared" si="137"/>
        <v>#VALUE!</v>
      </c>
      <c r="BJ91" s="10" t="e">
        <f t="shared" si="138"/>
        <v>#VALUE!</v>
      </c>
      <c r="BK91" s="10" t="e">
        <f t="shared" si="160"/>
        <v>#VALUE!</v>
      </c>
      <c r="BL91" s="10" t="e">
        <f t="shared" si="113"/>
        <v>#VALUE!</v>
      </c>
      <c r="BM91" s="10" t="e">
        <f t="shared" si="161"/>
        <v>#VALUE!</v>
      </c>
      <c r="BP91" s="10" t="e">
        <f t="shared" si="77"/>
        <v>#VALUE!</v>
      </c>
      <c r="BQ91" s="10" t="e">
        <f t="shared" si="78"/>
        <v>#VALUE!</v>
      </c>
      <c r="BR91" s="10" t="e">
        <f t="shared" si="79"/>
        <v>#VALUE!</v>
      </c>
      <c r="BS91" s="10" t="e">
        <f t="shared" si="80"/>
        <v>#VALUE!</v>
      </c>
      <c r="BT91" s="10" t="e">
        <f t="shared" si="81"/>
        <v>#VALUE!</v>
      </c>
      <c r="BU91" s="10" t="e">
        <f t="shared" si="82"/>
        <v>#VALUE!</v>
      </c>
      <c r="BW91" s="10" t="e">
        <f t="shared" si="139"/>
        <v>#VALUE!</v>
      </c>
      <c r="BX91" s="10" t="e">
        <f t="shared" si="140"/>
        <v>#VALUE!</v>
      </c>
      <c r="BY91" s="10" t="e">
        <f t="shared" si="141"/>
        <v>#VALUE!</v>
      </c>
      <c r="BZ91" s="10" t="e">
        <f t="shared" si="142"/>
        <v>#VALUE!</v>
      </c>
      <c r="CA91" s="10" t="e">
        <f t="shared" si="143"/>
        <v>#VALUE!</v>
      </c>
      <c r="CB91" s="10" t="e">
        <f t="shared" si="144"/>
        <v>#VALUE!</v>
      </c>
      <c r="CD91" s="10" t="e">
        <f>MATCH(INDEX($BP$12:$BU$12,1,MATCH(BP91,$BP$15:$BU$15,0)),结果汇总!$AI$10:$AI$13,0)</f>
        <v>#VALUE!</v>
      </c>
      <c r="CE91" s="10" t="e">
        <f>MATCH(INDEX($BP$12:$BU$12,1,MATCH(BQ91,$BP$15:$BU$15,0)),结果汇总!$AI$10:$AI$13,0)</f>
        <v>#VALUE!</v>
      </c>
      <c r="CF91" s="10" t="e">
        <f>MATCH(INDEX($BP$12:$BU$12,1,MATCH(BR91,$BP$15:$BU$15,0)),结果汇总!$AI$10:$AI$13,0)</f>
        <v>#VALUE!</v>
      </c>
      <c r="CG91" s="10" t="e">
        <f>MATCH(INDEX($BP$12:$BU$12,1,MATCH(BS91,$BP$15:$BU$15,0)),结果汇总!$AI$10:$AI$13,0)</f>
        <v>#VALUE!</v>
      </c>
      <c r="CH91" s="10" t="e">
        <f>MATCH(INDEX($BP$12:$BU$12,1,MATCH(BT91,$BP$15:$BU$15,0)),结果汇总!$AI$10:$AI$13,0)</f>
        <v>#VALUE!</v>
      </c>
      <c r="CI91" s="10" t="e">
        <f>MATCH(INDEX($BP$12:$BU$12,1,MATCH(BU91,$BP$15:$BU$15,0)),结果汇总!$AI$10:$AI$13,0)</f>
        <v>#VALUE!</v>
      </c>
      <c r="CK91" s="10">
        <f t="shared" si="145"/>
        <v>0</v>
      </c>
      <c r="CL91" s="10">
        <f t="shared" si="145"/>
        <v>0</v>
      </c>
      <c r="CM91" s="10">
        <f t="shared" si="145"/>
        <v>0</v>
      </c>
      <c r="CN91" s="10">
        <f t="shared" si="145"/>
        <v>0</v>
      </c>
      <c r="CO91" s="10" t="e">
        <f t="shared" si="146"/>
        <v>#DIV/0!</v>
      </c>
      <c r="CP91" s="10" t="e">
        <f t="shared" si="146"/>
        <v>#DIV/0!</v>
      </c>
      <c r="CQ91" s="10" t="e">
        <f t="shared" si="146"/>
        <v>#DIV/0!</v>
      </c>
      <c r="CR91" s="10" t="e">
        <f t="shared" si="146"/>
        <v>#DIV/0!</v>
      </c>
      <c r="CS91" s="10">
        <f t="shared" si="147"/>
        <v>0</v>
      </c>
      <c r="CT91" s="10">
        <f t="shared" si="147"/>
        <v>0</v>
      </c>
      <c r="CU91" s="10">
        <f t="shared" si="147"/>
        <v>0</v>
      </c>
      <c r="CV91" s="10">
        <f t="shared" si="147"/>
        <v>0</v>
      </c>
      <c r="CW91" s="10">
        <f t="shared" si="148"/>
        <v>0</v>
      </c>
      <c r="CX91" s="10">
        <f t="shared" si="148"/>
        <v>0</v>
      </c>
      <c r="CY91" s="10">
        <f t="shared" si="148"/>
        <v>0</v>
      </c>
      <c r="CZ91" s="10">
        <f t="shared" si="148"/>
        <v>0</v>
      </c>
    </row>
    <row r="92" spans="4:104" x14ac:dyDescent="0.15">
      <c r="D92" s="10">
        <v>77</v>
      </c>
      <c r="E92" s="10" t="e">
        <f t="shared" si="114"/>
        <v>#VALUE!</v>
      </c>
      <c r="F92" s="10" t="e">
        <f t="shared" si="98"/>
        <v>#VALUE!</v>
      </c>
      <c r="G92" s="10" t="e">
        <f t="shared" si="99"/>
        <v>#VALUE!</v>
      </c>
      <c r="H92" s="10" t="e">
        <f t="shared" si="115"/>
        <v>#VALUE!</v>
      </c>
      <c r="I92" s="10" t="e">
        <f t="shared" si="100"/>
        <v>#VALUE!</v>
      </c>
      <c r="J92" s="10" t="e">
        <f t="shared" si="116"/>
        <v>#VALUE!</v>
      </c>
      <c r="K92" s="10" t="e">
        <f t="shared" si="101"/>
        <v>#VALUE!</v>
      </c>
      <c r="L92" s="10" t="e">
        <f t="shared" si="102"/>
        <v>#VALUE!</v>
      </c>
      <c r="M92" s="10" t="e">
        <f t="shared" si="117"/>
        <v>#VALUE!</v>
      </c>
      <c r="O92" s="10" t="e">
        <f t="shared" si="118"/>
        <v>#VALUE!</v>
      </c>
      <c r="P92" s="10" t="e">
        <f t="shared" si="103"/>
        <v>#VALUE!</v>
      </c>
      <c r="Q92" s="10" t="e">
        <f t="shared" si="104"/>
        <v>#VALUE!</v>
      </c>
      <c r="R92" s="10" t="e">
        <f t="shared" si="119"/>
        <v>#VALUE!</v>
      </c>
      <c r="S92" s="10" t="e">
        <f t="shared" si="120"/>
        <v>#VALUE!</v>
      </c>
      <c r="T92" s="10" t="e">
        <f t="shared" si="149"/>
        <v>#VALUE!</v>
      </c>
      <c r="U92" s="10" t="e">
        <f t="shared" si="150"/>
        <v>#VALUE!</v>
      </c>
      <c r="V92" s="10" t="e">
        <f t="shared" si="105"/>
        <v>#VALUE!</v>
      </c>
      <c r="W92" s="10" t="e">
        <f t="shared" si="121"/>
        <v>#VALUE!</v>
      </c>
      <c r="Y92" s="10" t="e">
        <f t="shared" si="122"/>
        <v>#VALUE!</v>
      </c>
      <c r="Z92" s="11" t="e">
        <f t="shared" si="123"/>
        <v>#VALUE!</v>
      </c>
      <c r="AA92" s="10" t="e">
        <f t="shared" si="106"/>
        <v>#VALUE!</v>
      </c>
      <c r="AB92" s="10" t="e">
        <f t="shared" si="124"/>
        <v>#VALUE!</v>
      </c>
      <c r="AC92" s="10" t="e">
        <f t="shared" si="125"/>
        <v>#VALUE!</v>
      </c>
      <c r="AD92" s="10" t="e">
        <f t="shared" si="151"/>
        <v>#VALUE!</v>
      </c>
      <c r="AE92" s="10" t="e">
        <f t="shared" si="152"/>
        <v>#VALUE!</v>
      </c>
      <c r="AF92" s="10" t="e">
        <f t="shared" si="107"/>
        <v>#VALUE!</v>
      </c>
      <c r="AG92" s="10" t="e">
        <f t="shared" si="126"/>
        <v>#VALUE!</v>
      </c>
      <c r="AI92" s="13"/>
      <c r="AK92" s="10" t="e">
        <f t="shared" si="127"/>
        <v>#VALUE!</v>
      </c>
      <c r="AL92" s="10" t="e">
        <f t="shared" si="153"/>
        <v>#VALUE!</v>
      </c>
      <c r="AM92" s="10" t="e">
        <f t="shared" si="108"/>
        <v>#VALUE!</v>
      </c>
      <c r="AN92" s="10" t="e">
        <f t="shared" si="128"/>
        <v>#VALUE!</v>
      </c>
      <c r="AO92" s="10" t="e">
        <f t="shared" si="129"/>
        <v>#VALUE!</v>
      </c>
      <c r="AP92" s="10" t="e">
        <f t="shared" si="130"/>
        <v>#VALUE!</v>
      </c>
      <c r="AQ92" s="10" t="e">
        <f t="shared" si="154"/>
        <v>#VALUE!</v>
      </c>
      <c r="AR92" s="10" t="e">
        <f t="shared" si="109"/>
        <v>#VALUE!</v>
      </c>
      <c r="AS92" s="10" t="e">
        <f t="shared" si="155"/>
        <v>#VALUE!</v>
      </c>
      <c r="AU92" s="10" t="e">
        <f t="shared" si="131"/>
        <v>#VALUE!</v>
      </c>
      <c r="AV92" s="10" t="e">
        <f t="shared" si="156"/>
        <v>#VALUE!</v>
      </c>
      <c r="AW92" s="10" t="e">
        <f t="shared" si="110"/>
        <v>#VALUE!</v>
      </c>
      <c r="AX92" s="10" t="e">
        <f t="shared" si="132"/>
        <v>#VALUE!</v>
      </c>
      <c r="AY92" s="10" t="e">
        <f t="shared" si="133"/>
        <v>#VALUE!</v>
      </c>
      <c r="AZ92" s="10" t="e">
        <f t="shared" si="134"/>
        <v>#VALUE!</v>
      </c>
      <c r="BA92" s="10" t="e">
        <f t="shared" si="157"/>
        <v>#VALUE!</v>
      </c>
      <c r="BB92" s="10" t="e">
        <f t="shared" si="111"/>
        <v>#VALUE!</v>
      </c>
      <c r="BC92" s="10" t="e">
        <f t="shared" si="158"/>
        <v>#VALUE!</v>
      </c>
      <c r="BE92" s="10" t="e">
        <f t="shared" si="135"/>
        <v>#VALUE!</v>
      </c>
      <c r="BF92" s="10" t="e">
        <f t="shared" si="159"/>
        <v>#VALUE!</v>
      </c>
      <c r="BG92" s="10" t="e">
        <f t="shared" si="112"/>
        <v>#VALUE!</v>
      </c>
      <c r="BH92" s="10" t="e">
        <f t="shared" si="136"/>
        <v>#VALUE!</v>
      </c>
      <c r="BI92" s="10" t="e">
        <f t="shared" si="137"/>
        <v>#VALUE!</v>
      </c>
      <c r="BJ92" s="10" t="e">
        <f t="shared" si="138"/>
        <v>#VALUE!</v>
      </c>
      <c r="BK92" s="10" t="e">
        <f t="shared" si="160"/>
        <v>#VALUE!</v>
      </c>
      <c r="BL92" s="10" t="e">
        <f t="shared" si="113"/>
        <v>#VALUE!</v>
      </c>
      <c r="BM92" s="10" t="e">
        <f t="shared" si="161"/>
        <v>#VALUE!</v>
      </c>
      <c r="BP92" s="10" t="e">
        <f t="shared" si="77"/>
        <v>#VALUE!</v>
      </c>
      <c r="BQ92" s="10" t="e">
        <f t="shared" si="78"/>
        <v>#VALUE!</v>
      </c>
      <c r="BR92" s="10" t="e">
        <f t="shared" si="79"/>
        <v>#VALUE!</v>
      </c>
      <c r="BS92" s="10" t="e">
        <f t="shared" si="80"/>
        <v>#VALUE!</v>
      </c>
      <c r="BT92" s="10" t="e">
        <f t="shared" si="81"/>
        <v>#VALUE!</v>
      </c>
      <c r="BU92" s="10" t="e">
        <f t="shared" si="82"/>
        <v>#VALUE!</v>
      </c>
      <c r="BW92" s="10" t="e">
        <f t="shared" si="139"/>
        <v>#VALUE!</v>
      </c>
      <c r="BX92" s="10" t="e">
        <f t="shared" si="140"/>
        <v>#VALUE!</v>
      </c>
      <c r="BY92" s="10" t="e">
        <f t="shared" si="141"/>
        <v>#VALUE!</v>
      </c>
      <c r="BZ92" s="10" t="e">
        <f t="shared" si="142"/>
        <v>#VALUE!</v>
      </c>
      <c r="CA92" s="10" t="e">
        <f t="shared" si="143"/>
        <v>#VALUE!</v>
      </c>
      <c r="CB92" s="10" t="e">
        <f t="shared" si="144"/>
        <v>#VALUE!</v>
      </c>
      <c r="CD92" s="10" t="e">
        <f>MATCH(INDEX($BP$12:$BU$12,1,MATCH(BP92,$BP$15:$BU$15,0)),结果汇总!$AI$10:$AI$13,0)</f>
        <v>#VALUE!</v>
      </c>
      <c r="CE92" s="10" t="e">
        <f>MATCH(INDEX($BP$12:$BU$12,1,MATCH(BQ92,$BP$15:$BU$15,0)),结果汇总!$AI$10:$AI$13,0)</f>
        <v>#VALUE!</v>
      </c>
      <c r="CF92" s="10" t="e">
        <f>MATCH(INDEX($BP$12:$BU$12,1,MATCH(BR92,$BP$15:$BU$15,0)),结果汇总!$AI$10:$AI$13,0)</f>
        <v>#VALUE!</v>
      </c>
      <c r="CG92" s="10" t="e">
        <f>MATCH(INDEX($BP$12:$BU$12,1,MATCH(BS92,$BP$15:$BU$15,0)),结果汇总!$AI$10:$AI$13,0)</f>
        <v>#VALUE!</v>
      </c>
      <c r="CH92" s="10" t="e">
        <f>MATCH(INDEX($BP$12:$BU$12,1,MATCH(BT92,$BP$15:$BU$15,0)),结果汇总!$AI$10:$AI$13,0)</f>
        <v>#VALUE!</v>
      </c>
      <c r="CI92" s="10" t="e">
        <f>MATCH(INDEX($BP$12:$BU$12,1,MATCH(BU92,$BP$15:$BU$15,0)),结果汇总!$AI$10:$AI$13,0)</f>
        <v>#VALUE!</v>
      </c>
      <c r="CK92" s="10">
        <f t="shared" si="145"/>
        <v>0</v>
      </c>
      <c r="CL92" s="10">
        <f t="shared" si="145"/>
        <v>0</v>
      </c>
      <c r="CM92" s="10">
        <f t="shared" si="145"/>
        <v>0</v>
      </c>
      <c r="CN92" s="10">
        <f t="shared" si="145"/>
        <v>0</v>
      </c>
      <c r="CO92" s="10" t="e">
        <f t="shared" si="146"/>
        <v>#DIV/0!</v>
      </c>
      <c r="CP92" s="10" t="e">
        <f t="shared" si="146"/>
        <v>#DIV/0!</v>
      </c>
      <c r="CQ92" s="10" t="e">
        <f t="shared" si="146"/>
        <v>#DIV/0!</v>
      </c>
      <c r="CR92" s="10" t="e">
        <f t="shared" si="146"/>
        <v>#DIV/0!</v>
      </c>
      <c r="CS92" s="10">
        <f t="shared" si="147"/>
        <v>0</v>
      </c>
      <c r="CT92" s="10">
        <f t="shared" si="147"/>
        <v>0</v>
      </c>
      <c r="CU92" s="10">
        <f t="shared" si="147"/>
        <v>0</v>
      </c>
      <c r="CV92" s="10">
        <f t="shared" si="147"/>
        <v>0</v>
      </c>
      <c r="CW92" s="10">
        <f t="shared" si="148"/>
        <v>0</v>
      </c>
      <c r="CX92" s="10">
        <f t="shared" si="148"/>
        <v>0</v>
      </c>
      <c r="CY92" s="10">
        <f t="shared" si="148"/>
        <v>0</v>
      </c>
      <c r="CZ92" s="10">
        <f t="shared" si="148"/>
        <v>0</v>
      </c>
    </row>
    <row r="93" spans="4:104" x14ac:dyDescent="0.15">
      <c r="D93" s="10">
        <v>78</v>
      </c>
      <c r="E93" s="10" t="e">
        <f t="shared" si="114"/>
        <v>#VALUE!</v>
      </c>
      <c r="F93" s="10" t="e">
        <f t="shared" si="98"/>
        <v>#VALUE!</v>
      </c>
      <c r="G93" s="10" t="e">
        <f t="shared" si="99"/>
        <v>#VALUE!</v>
      </c>
      <c r="H93" s="10" t="e">
        <f t="shared" si="115"/>
        <v>#VALUE!</v>
      </c>
      <c r="I93" s="10" t="e">
        <f t="shared" si="100"/>
        <v>#VALUE!</v>
      </c>
      <c r="J93" s="10" t="e">
        <f t="shared" si="116"/>
        <v>#VALUE!</v>
      </c>
      <c r="K93" s="10" t="e">
        <f t="shared" si="101"/>
        <v>#VALUE!</v>
      </c>
      <c r="L93" s="10" t="e">
        <f t="shared" si="102"/>
        <v>#VALUE!</v>
      </c>
      <c r="M93" s="10" t="e">
        <f t="shared" si="117"/>
        <v>#VALUE!</v>
      </c>
      <c r="O93" s="10" t="e">
        <f t="shared" si="118"/>
        <v>#VALUE!</v>
      </c>
      <c r="P93" s="10" t="e">
        <f t="shared" si="103"/>
        <v>#VALUE!</v>
      </c>
      <c r="Q93" s="10" t="e">
        <f t="shared" si="104"/>
        <v>#VALUE!</v>
      </c>
      <c r="R93" s="10" t="e">
        <f t="shared" si="119"/>
        <v>#VALUE!</v>
      </c>
      <c r="S93" s="10" t="e">
        <f t="shared" si="120"/>
        <v>#VALUE!</v>
      </c>
      <c r="T93" s="10" t="e">
        <f t="shared" si="149"/>
        <v>#VALUE!</v>
      </c>
      <c r="U93" s="10" t="e">
        <f t="shared" si="150"/>
        <v>#VALUE!</v>
      </c>
      <c r="V93" s="10" t="e">
        <f t="shared" si="105"/>
        <v>#VALUE!</v>
      </c>
      <c r="W93" s="10" t="e">
        <f t="shared" si="121"/>
        <v>#VALUE!</v>
      </c>
      <c r="Y93" s="10" t="e">
        <f t="shared" si="122"/>
        <v>#VALUE!</v>
      </c>
      <c r="Z93" s="11" t="e">
        <f t="shared" si="123"/>
        <v>#VALUE!</v>
      </c>
      <c r="AA93" s="10" t="e">
        <f t="shared" si="106"/>
        <v>#VALUE!</v>
      </c>
      <c r="AB93" s="10" t="e">
        <f t="shared" si="124"/>
        <v>#VALUE!</v>
      </c>
      <c r="AC93" s="10" t="e">
        <f t="shared" si="125"/>
        <v>#VALUE!</v>
      </c>
      <c r="AD93" s="10" t="e">
        <f t="shared" si="151"/>
        <v>#VALUE!</v>
      </c>
      <c r="AE93" s="10" t="e">
        <f t="shared" si="152"/>
        <v>#VALUE!</v>
      </c>
      <c r="AF93" s="10" t="e">
        <f t="shared" si="107"/>
        <v>#VALUE!</v>
      </c>
      <c r="AG93" s="10" t="e">
        <f t="shared" si="126"/>
        <v>#VALUE!</v>
      </c>
      <c r="AI93" s="13"/>
      <c r="AK93" s="10" t="e">
        <f t="shared" si="127"/>
        <v>#VALUE!</v>
      </c>
      <c r="AL93" s="10" t="e">
        <f t="shared" si="153"/>
        <v>#VALUE!</v>
      </c>
      <c r="AM93" s="10" t="e">
        <f t="shared" si="108"/>
        <v>#VALUE!</v>
      </c>
      <c r="AN93" s="10" t="e">
        <f t="shared" si="128"/>
        <v>#VALUE!</v>
      </c>
      <c r="AO93" s="10" t="e">
        <f t="shared" si="129"/>
        <v>#VALUE!</v>
      </c>
      <c r="AP93" s="10" t="e">
        <f t="shared" si="130"/>
        <v>#VALUE!</v>
      </c>
      <c r="AQ93" s="10" t="e">
        <f t="shared" si="154"/>
        <v>#VALUE!</v>
      </c>
      <c r="AR93" s="10" t="e">
        <f t="shared" si="109"/>
        <v>#VALUE!</v>
      </c>
      <c r="AS93" s="10" t="e">
        <f t="shared" si="155"/>
        <v>#VALUE!</v>
      </c>
      <c r="AU93" s="10" t="e">
        <f t="shared" si="131"/>
        <v>#VALUE!</v>
      </c>
      <c r="AV93" s="10" t="e">
        <f t="shared" si="156"/>
        <v>#VALUE!</v>
      </c>
      <c r="AW93" s="10" t="e">
        <f t="shared" si="110"/>
        <v>#VALUE!</v>
      </c>
      <c r="AX93" s="10" t="e">
        <f t="shared" si="132"/>
        <v>#VALUE!</v>
      </c>
      <c r="AY93" s="10" t="e">
        <f t="shared" si="133"/>
        <v>#VALUE!</v>
      </c>
      <c r="AZ93" s="10" t="e">
        <f t="shared" si="134"/>
        <v>#VALUE!</v>
      </c>
      <c r="BA93" s="10" t="e">
        <f t="shared" si="157"/>
        <v>#VALUE!</v>
      </c>
      <c r="BB93" s="10" t="e">
        <f t="shared" si="111"/>
        <v>#VALUE!</v>
      </c>
      <c r="BC93" s="10" t="e">
        <f t="shared" si="158"/>
        <v>#VALUE!</v>
      </c>
      <c r="BE93" s="10" t="e">
        <f t="shared" si="135"/>
        <v>#VALUE!</v>
      </c>
      <c r="BF93" s="10" t="e">
        <f t="shared" si="159"/>
        <v>#VALUE!</v>
      </c>
      <c r="BG93" s="10" t="e">
        <f t="shared" si="112"/>
        <v>#VALUE!</v>
      </c>
      <c r="BH93" s="10" t="e">
        <f t="shared" si="136"/>
        <v>#VALUE!</v>
      </c>
      <c r="BI93" s="10" t="e">
        <f t="shared" si="137"/>
        <v>#VALUE!</v>
      </c>
      <c r="BJ93" s="10" t="e">
        <f t="shared" si="138"/>
        <v>#VALUE!</v>
      </c>
      <c r="BK93" s="10" t="e">
        <f t="shared" si="160"/>
        <v>#VALUE!</v>
      </c>
      <c r="BL93" s="10" t="e">
        <f t="shared" si="113"/>
        <v>#VALUE!</v>
      </c>
      <c r="BM93" s="10" t="e">
        <f t="shared" si="161"/>
        <v>#VALUE!</v>
      </c>
      <c r="BP93" s="10" t="e">
        <f t="shared" si="77"/>
        <v>#VALUE!</v>
      </c>
      <c r="BQ93" s="10" t="e">
        <f t="shared" si="78"/>
        <v>#VALUE!</v>
      </c>
      <c r="BR93" s="10" t="e">
        <f t="shared" si="79"/>
        <v>#VALUE!</v>
      </c>
      <c r="BS93" s="10" t="e">
        <f t="shared" si="80"/>
        <v>#VALUE!</v>
      </c>
      <c r="BT93" s="10" t="e">
        <f t="shared" si="81"/>
        <v>#VALUE!</v>
      </c>
      <c r="BU93" s="10" t="e">
        <f t="shared" si="82"/>
        <v>#VALUE!</v>
      </c>
      <c r="BW93" s="10" t="e">
        <f t="shared" si="139"/>
        <v>#VALUE!</v>
      </c>
      <c r="BX93" s="10" t="e">
        <f t="shared" si="140"/>
        <v>#VALUE!</v>
      </c>
      <c r="BY93" s="10" t="e">
        <f t="shared" si="141"/>
        <v>#VALUE!</v>
      </c>
      <c r="BZ93" s="10" t="e">
        <f t="shared" si="142"/>
        <v>#VALUE!</v>
      </c>
      <c r="CA93" s="10" t="e">
        <f t="shared" si="143"/>
        <v>#VALUE!</v>
      </c>
      <c r="CB93" s="10" t="e">
        <f t="shared" si="144"/>
        <v>#VALUE!</v>
      </c>
      <c r="CD93" s="10" t="e">
        <f>MATCH(INDEX($BP$12:$BU$12,1,MATCH(BP93,$BP$15:$BU$15,0)),结果汇总!$AI$10:$AI$13,0)</f>
        <v>#VALUE!</v>
      </c>
      <c r="CE93" s="10" t="e">
        <f>MATCH(INDEX($BP$12:$BU$12,1,MATCH(BQ93,$BP$15:$BU$15,0)),结果汇总!$AI$10:$AI$13,0)</f>
        <v>#VALUE!</v>
      </c>
      <c r="CF93" s="10" t="e">
        <f>MATCH(INDEX($BP$12:$BU$12,1,MATCH(BR93,$BP$15:$BU$15,0)),结果汇总!$AI$10:$AI$13,0)</f>
        <v>#VALUE!</v>
      </c>
      <c r="CG93" s="10" t="e">
        <f>MATCH(INDEX($BP$12:$BU$12,1,MATCH(BS93,$BP$15:$BU$15,0)),结果汇总!$AI$10:$AI$13,0)</f>
        <v>#VALUE!</v>
      </c>
      <c r="CH93" s="10" t="e">
        <f>MATCH(INDEX($BP$12:$BU$12,1,MATCH(BT93,$BP$15:$BU$15,0)),结果汇总!$AI$10:$AI$13,0)</f>
        <v>#VALUE!</v>
      </c>
      <c r="CI93" s="10" t="e">
        <f>MATCH(INDEX($BP$12:$BU$12,1,MATCH(BU93,$BP$15:$BU$15,0)),结果汇总!$AI$10:$AI$13,0)</f>
        <v>#VALUE!</v>
      </c>
      <c r="CK93" s="10">
        <f t="shared" si="145"/>
        <v>0</v>
      </c>
      <c r="CL93" s="10">
        <f t="shared" si="145"/>
        <v>0</v>
      </c>
      <c r="CM93" s="10">
        <f t="shared" si="145"/>
        <v>0</v>
      </c>
      <c r="CN93" s="10">
        <f t="shared" si="145"/>
        <v>0</v>
      </c>
      <c r="CO93" s="10" t="e">
        <f t="shared" si="146"/>
        <v>#DIV/0!</v>
      </c>
      <c r="CP93" s="10" t="e">
        <f t="shared" si="146"/>
        <v>#DIV/0!</v>
      </c>
      <c r="CQ93" s="10" t="e">
        <f t="shared" si="146"/>
        <v>#DIV/0!</v>
      </c>
      <c r="CR93" s="10" t="e">
        <f t="shared" si="146"/>
        <v>#DIV/0!</v>
      </c>
      <c r="CS93" s="10">
        <f t="shared" si="147"/>
        <v>0</v>
      </c>
      <c r="CT93" s="10">
        <f t="shared" si="147"/>
        <v>0</v>
      </c>
      <c r="CU93" s="10">
        <f t="shared" si="147"/>
        <v>0</v>
      </c>
      <c r="CV93" s="10">
        <f t="shared" si="147"/>
        <v>0</v>
      </c>
      <c r="CW93" s="10">
        <f t="shared" si="148"/>
        <v>0</v>
      </c>
      <c r="CX93" s="10">
        <f t="shared" si="148"/>
        <v>0</v>
      </c>
      <c r="CY93" s="10">
        <f t="shared" si="148"/>
        <v>0</v>
      </c>
      <c r="CZ93" s="10">
        <f t="shared" si="148"/>
        <v>0</v>
      </c>
    </row>
    <row r="94" spans="4:104" x14ac:dyDescent="0.15">
      <c r="D94" s="10">
        <v>79</v>
      </c>
      <c r="E94" s="10" t="e">
        <f t="shared" si="114"/>
        <v>#VALUE!</v>
      </c>
      <c r="F94" s="10" t="e">
        <f t="shared" si="98"/>
        <v>#VALUE!</v>
      </c>
      <c r="G94" s="10" t="e">
        <f t="shared" si="99"/>
        <v>#VALUE!</v>
      </c>
      <c r="H94" s="10" t="e">
        <f t="shared" si="115"/>
        <v>#VALUE!</v>
      </c>
      <c r="I94" s="10" t="e">
        <f t="shared" si="100"/>
        <v>#VALUE!</v>
      </c>
      <c r="J94" s="10" t="e">
        <f t="shared" si="116"/>
        <v>#VALUE!</v>
      </c>
      <c r="K94" s="10" t="e">
        <f t="shared" si="101"/>
        <v>#VALUE!</v>
      </c>
      <c r="L94" s="10" t="e">
        <f t="shared" si="102"/>
        <v>#VALUE!</v>
      </c>
      <c r="M94" s="10" t="e">
        <f t="shared" si="117"/>
        <v>#VALUE!</v>
      </c>
      <c r="O94" s="10" t="e">
        <f t="shared" si="118"/>
        <v>#VALUE!</v>
      </c>
      <c r="P94" s="10" t="e">
        <f t="shared" si="103"/>
        <v>#VALUE!</v>
      </c>
      <c r="Q94" s="10" t="e">
        <f t="shared" si="104"/>
        <v>#VALUE!</v>
      </c>
      <c r="R94" s="10" t="e">
        <f t="shared" si="119"/>
        <v>#VALUE!</v>
      </c>
      <c r="S94" s="10" t="e">
        <f t="shared" si="120"/>
        <v>#VALUE!</v>
      </c>
      <c r="T94" s="10" t="e">
        <f t="shared" si="149"/>
        <v>#VALUE!</v>
      </c>
      <c r="U94" s="10" t="e">
        <f t="shared" si="150"/>
        <v>#VALUE!</v>
      </c>
      <c r="V94" s="10" t="e">
        <f t="shared" si="105"/>
        <v>#VALUE!</v>
      </c>
      <c r="W94" s="10" t="e">
        <f t="shared" si="121"/>
        <v>#VALUE!</v>
      </c>
      <c r="Y94" s="10" t="e">
        <f t="shared" si="122"/>
        <v>#VALUE!</v>
      </c>
      <c r="Z94" s="11" t="e">
        <f t="shared" si="123"/>
        <v>#VALUE!</v>
      </c>
      <c r="AA94" s="10" t="e">
        <f t="shared" si="106"/>
        <v>#VALUE!</v>
      </c>
      <c r="AB94" s="10" t="e">
        <f t="shared" si="124"/>
        <v>#VALUE!</v>
      </c>
      <c r="AC94" s="10" t="e">
        <f t="shared" si="125"/>
        <v>#VALUE!</v>
      </c>
      <c r="AD94" s="10" t="e">
        <f t="shared" si="151"/>
        <v>#VALUE!</v>
      </c>
      <c r="AE94" s="10" t="e">
        <f t="shared" si="152"/>
        <v>#VALUE!</v>
      </c>
      <c r="AF94" s="10" t="e">
        <f t="shared" si="107"/>
        <v>#VALUE!</v>
      </c>
      <c r="AG94" s="10" t="e">
        <f t="shared" si="126"/>
        <v>#VALUE!</v>
      </c>
      <c r="AI94" s="13"/>
      <c r="AK94" s="10" t="e">
        <f t="shared" si="127"/>
        <v>#VALUE!</v>
      </c>
      <c r="AL94" s="10" t="e">
        <f t="shared" si="153"/>
        <v>#VALUE!</v>
      </c>
      <c r="AM94" s="10" t="e">
        <f t="shared" si="108"/>
        <v>#VALUE!</v>
      </c>
      <c r="AN94" s="10" t="e">
        <f t="shared" si="128"/>
        <v>#VALUE!</v>
      </c>
      <c r="AO94" s="10" t="e">
        <f t="shared" si="129"/>
        <v>#VALUE!</v>
      </c>
      <c r="AP94" s="10" t="e">
        <f t="shared" si="130"/>
        <v>#VALUE!</v>
      </c>
      <c r="AQ94" s="10" t="e">
        <f t="shared" si="154"/>
        <v>#VALUE!</v>
      </c>
      <c r="AR94" s="10" t="e">
        <f t="shared" si="109"/>
        <v>#VALUE!</v>
      </c>
      <c r="AS94" s="10" t="e">
        <f t="shared" si="155"/>
        <v>#VALUE!</v>
      </c>
      <c r="AU94" s="10" t="e">
        <f t="shared" si="131"/>
        <v>#VALUE!</v>
      </c>
      <c r="AV94" s="10" t="e">
        <f t="shared" si="156"/>
        <v>#VALUE!</v>
      </c>
      <c r="AW94" s="10" t="e">
        <f t="shared" si="110"/>
        <v>#VALUE!</v>
      </c>
      <c r="AX94" s="10" t="e">
        <f t="shared" si="132"/>
        <v>#VALUE!</v>
      </c>
      <c r="AY94" s="10" t="e">
        <f t="shared" si="133"/>
        <v>#VALUE!</v>
      </c>
      <c r="AZ94" s="10" t="e">
        <f t="shared" si="134"/>
        <v>#VALUE!</v>
      </c>
      <c r="BA94" s="10" t="e">
        <f t="shared" si="157"/>
        <v>#VALUE!</v>
      </c>
      <c r="BB94" s="10" t="e">
        <f t="shared" si="111"/>
        <v>#VALUE!</v>
      </c>
      <c r="BC94" s="10" t="e">
        <f t="shared" si="158"/>
        <v>#VALUE!</v>
      </c>
      <c r="BE94" s="10" t="e">
        <f t="shared" si="135"/>
        <v>#VALUE!</v>
      </c>
      <c r="BF94" s="10" t="e">
        <f t="shared" si="159"/>
        <v>#VALUE!</v>
      </c>
      <c r="BG94" s="10" t="e">
        <f t="shared" si="112"/>
        <v>#VALUE!</v>
      </c>
      <c r="BH94" s="10" t="e">
        <f t="shared" si="136"/>
        <v>#VALUE!</v>
      </c>
      <c r="BI94" s="10" t="e">
        <f t="shared" si="137"/>
        <v>#VALUE!</v>
      </c>
      <c r="BJ94" s="10" t="e">
        <f t="shared" si="138"/>
        <v>#VALUE!</v>
      </c>
      <c r="BK94" s="10" t="e">
        <f t="shared" si="160"/>
        <v>#VALUE!</v>
      </c>
      <c r="BL94" s="10" t="e">
        <f t="shared" si="113"/>
        <v>#VALUE!</v>
      </c>
      <c r="BM94" s="10" t="e">
        <f t="shared" si="161"/>
        <v>#VALUE!</v>
      </c>
      <c r="BP94" s="10" t="e">
        <f t="shared" si="77"/>
        <v>#VALUE!</v>
      </c>
      <c r="BQ94" s="10" t="e">
        <f t="shared" si="78"/>
        <v>#VALUE!</v>
      </c>
      <c r="BR94" s="10" t="e">
        <f t="shared" si="79"/>
        <v>#VALUE!</v>
      </c>
      <c r="BS94" s="10" t="e">
        <f t="shared" si="80"/>
        <v>#VALUE!</v>
      </c>
      <c r="BT94" s="10" t="e">
        <f t="shared" si="81"/>
        <v>#VALUE!</v>
      </c>
      <c r="BU94" s="10" t="e">
        <f t="shared" si="82"/>
        <v>#VALUE!</v>
      </c>
      <c r="BW94" s="10" t="e">
        <f t="shared" si="139"/>
        <v>#VALUE!</v>
      </c>
      <c r="BX94" s="10" t="e">
        <f t="shared" si="140"/>
        <v>#VALUE!</v>
      </c>
      <c r="BY94" s="10" t="e">
        <f t="shared" si="141"/>
        <v>#VALUE!</v>
      </c>
      <c r="BZ94" s="10" t="e">
        <f t="shared" si="142"/>
        <v>#VALUE!</v>
      </c>
      <c r="CA94" s="10" t="e">
        <f t="shared" si="143"/>
        <v>#VALUE!</v>
      </c>
      <c r="CB94" s="10" t="e">
        <f t="shared" si="144"/>
        <v>#VALUE!</v>
      </c>
      <c r="CD94" s="10" t="e">
        <f>MATCH(INDEX($BP$12:$BU$12,1,MATCH(BP94,$BP$15:$BU$15,0)),结果汇总!$AI$10:$AI$13,0)</f>
        <v>#VALUE!</v>
      </c>
      <c r="CE94" s="10" t="e">
        <f>MATCH(INDEX($BP$12:$BU$12,1,MATCH(BQ94,$BP$15:$BU$15,0)),结果汇总!$AI$10:$AI$13,0)</f>
        <v>#VALUE!</v>
      </c>
      <c r="CF94" s="10" t="e">
        <f>MATCH(INDEX($BP$12:$BU$12,1,MATCH(BR94,$BP$15:$BU$15,0)),结果汇总!$AI$10:$AI$13,0)</f>
        <v>#VALUE!</v>
      </c>
      <c r="CG94" s="10" t="e">
        <f>MATCH(INDEX($BP$12:$BU$12,1,MATCH(BS94,$BP$15:$BU$15,0)),结果汇总!$AI$10:$AI$13,0)</f>
        <v>#VALUE!</v>
      </c>
      <c r="CH94" s="10" t="e">
        <f>MATCH(INDEX($BP$12:$BU$12,1,MATCH(BT94,$BP$15:$BU$15,0)),结果汇总!$AI$10:$AI$13,0)</f>
        <v>#VALUE!</v>
      </c>
      <c r="CI94" s="10" t="e">
        <f>MATCH(INDEX($BP$12:$BU$12,1,MATCH(BU94,$BP$15:$BU$15,0)),结果汇总!$AI$10:$AI$13,0)</f>
        <v>#VALUE!</v>
      </c>
      <c r="CK94" s="10">
        <f t="shared" si="145"/>
        <v>0</v>
      </c>
      <c r="CL94" s="10">
        <f t="shared" si="145"/>
        <v>0</v>
      </c>
      <c r="CM94" s="10">
        <f t="shared" si="145"/>
        <v>0</v>
      </c>
      <c r="CN94" s="10">
        <f t="shared" si="145"/>
        <v>0</v>
      </c>
      <c r="CO94" s="10" t="e">
        <f t="shared" si="146"/>
        <v>#DIV/0!</v>
      </c>
      <c r="CP94" s="10" t="e">
        <f t="shared" si="146"/>
        <v>#DIV/0!</v>
      </c>
      <c r="CQ94" s="10" t="e">
        <f t="shared" si="146"/>
        <v>#DIV/0!</v>
      </c>
      <c r="CR94" s="10" t="e">
        <f t="shared" si="146"/>
        <v>#DIV/0!</v>
      </c>
      <c r="CS94" s="10">
        <f t="shared" si="147"/>
        <v>0</v>
      </c>
      <c r="CT94" s="10">
        <f t="shared" si="147"/>
        <v>0</v>
      </c>
      <c r="CU94" s="10">
        <f t="shared" si="147"/>
        <v>0</v>
      </c>
      <c r="CV94" s="10">
        <f t="shared" si="147"/>
        <v>0</v>
      </c>
      <c r="CW94" s="10">
        <f t="shared" si="148"/>
        <v>0</v>
      </c>
      <c r="CX94" s="10">
        <f t="shared" si="148"/>
        <v>0</v>
      </c>
      <c r="CY94" s="10">
        <f t="shared" si="148"/>
        <v>0</v>
      </c>
      <c r="CZ94" s="10">
        <f t="shared" si="148"/>
        <v>0</v>
      </c>
    </row>
    <row r="95" spans="4:104" x14ac:dyDescent="0.15">
      <c r="D95" s="10">
        <v>80</v>
      </c>
      <c r="E95" s="10" t="e">
        <f t="shared" si="114"/>
        <v>#VALUE!</v>
      </c>
      <c r="F95" s="10" t="e">
        <f t="shared" si="98"/>
        <v>#VALUE!</v>
      </c>
      <c r="G95" s="10" t="e">
        <f t="shared" si="99"/>
        <v>#VALUE!</v>
      </c>
      <c r="H95" s="10" t="e">
        <f t="shared" si="115"/>
        <v>#VALUE!</v>
      </c>
      <c r="I95" s="10" t="e">
        <f t="shared" si="100"/>
        <v>#VALUE!</v>
      </c>
      <c r="J95" s="10" t="e">
        <f t="shared" si="116"/>
        <v>#VALUE!</v>
      </c>
      <c r="K95" s="10" t="e">
        <f t="shared" si="101"/>
        <v>#VALUE!</v>
      </c>
      <c r="L95" s="10" t="e">
        <f t="shared" si="102"/>
        <v>#VALUE!</v>
      </c>
      <c r="M95" s="10" t="e">
        <f t="shared" si="117"/>
        <v>#VALUE!</v>
      </c>
      <c r="O95" s="10" t="e">
        <f t="shared" si="118"/>
        <v>#VALUE!</v>
      </c>
      <c r="P95" s="10" t="e">
        <f t="shared" si="103"/>
        <v>#VALUE!</v>
      </c>
      <c r="Q95" s="10" t="e">
        <f t="shared" si="104"/>
        <v>#VALUE!</v>
      </c>
      <c r="R95" s="10" t="e">
        <f t="shared" si="119"/>
        <v>#VALUE!</v>
      </c>
      <c r="S95" s="10" t="e">
        <f t="shared" si="120"/>
        <v>#VALUE!</v>
      </c>
      <c r="T95" s="10" t="e">
        <f t="shared" si="149"/>
        <v>#VALUE!</v>
      </c>
      <c r="U95" s="10" t="e">
        <f t="shared" si="150"/>
        <v>#VALUE!</v>
      </c>
      <c r="V95" s="10" t="e">
        <f t="shared" si="105"/>
        <v>#VALUE!</v>
      </c>
      <c r="W95" s="10" t="e">
        <f t="shared" si="121"/>
        <v>#VALUE!</v>
      </c>
      <c r="Y95" s="10" t="e">
        <f t="shared" si="122"/>
        <v>#VALUE!</v>
      </c>
      <c r="Z95" s="11" t="e">
        <f t="shared" si="123"/>
        <v>#VALUE!</v>
      </c>
      <c r="AA95" s="10" t="e">
        <f t="shared" si="106"/>
        <v>#VALUE!</v>
      </c>
      <c r="AB95" s="10" t="e">
        <f t="shared" si="124"/>
        <v>#VALUE!</v>
      </c>
      <c r="AC95" s="10" t="e">
        <f t="shared" si="125"/>
        <v>#VALUE!</v>
      </c>
      <c r="AD95" s="10" t="e">
        <f t="shared" si="151"/>
        <v>#VALUE!</v>
      </c>
      <c r="AE95" s="10" t="e">
        <f t="shared" si="152"/>
        <v>#VALUE!</v>
      </c>
      <c r="AF95" s="10" t="e">
        <f t="shared" si="107"/>
        <v>#VALUE!</v>
      </c>
      <c r="AG95" s="10" t="e">
        <f t="shared" si="126"/>
        <v>#VALUE!</v>
      </c>
      <c r="AI95" s="13"/>
      <c r="AK95" s="10" t="e">
        <f t="shared" si="127"/>
        <v>#VALUE!</v>
      </c>
      <c r="AL95" s="10" t="e">
        <f t="shared" si="153"/>
        <v>#VALUE!</v>
      </c>
      <c r="AM95" s="10" t="e">
        <f t="shared" si="108"/>
        <v>#VALUE!</v>
      </c>
      <c r="AN95" s="10" t="e">
        <f t="shared" si="128"/>
        <v>#VALUE!</v>
      </c>
      <c r="AO95" s="10" t="e">
        <f t="shared" si="129"/>
        <v>#VALUE!</v>
      </c>
      <c r="AP95" s="10" t="e">
        <f t="shared" si="130"/>
        <v>#VALUE!</v>
      </c>
      <c r="AQ95" s="10" t="e">
        <f t="shared" si="154"/>
        <v>#VALUE!</v>
      </c>
      <c r="AR95" s="10" t="e">
        <f t="shared" si="109"/>
        <v>#VALUE!</v>
      </c>
      <c r="AS95" s="10" t="e">
        <f t="shared" si="155"/>
        <v>#VALUE!</v>
      </c>
      <c r="AU95" s="10" t="e">
        <f t="shared" si="131"/>
        <v>#VALUE!</v>
      </c>
      <c r="AV95" s="10" t="e">
        <f t="shared" si="156"/>
        <v>#VALUE!</v>
      </c>
      <c r="AW95" s="10" t="e">
        <f t="shared" si="110"/>
        <v>#VALUE!</v>
      </c>
      <c r="AX95" s="10" t="e">
        <f t="shared" si="132"/>
        <v>#VALUE!</v>
      </c>
      <c r="AY95" s="10" t="e">
        <f t="shared" si="133"/>
        <v>#VALUE!</v>
      </c>
      <c r="AZ95" s="10" t="e">
        <f t="shared" si="134"/>
        <v>#VALUE!</v>
      </c>
      <c r="BA95" s="10" t="e">
        <f t="shared" si="157"/>
        <v>#VALUE!</v>
      </c>
      <c r="BB95" s="10" t="e">
        <f t="shared" si="111"/>
        <v>#VALUE!</v>
      </c>
      <c r="BC95" s="10" t="e">
        <f t="shared" si="158"/>
        <v>#VALUE!</v>
      </c>
      <c r="BE95" s="10" t="e">
        <f t="shared" si="135"/>
        <v>#VALUE!</v>
      </c>
      <c r="BF95" s="10" t="e">
        <f t="shared" si="159"/>
        <v>#VALUE!</v>
      </c>
      <c r="BG95" s="10" t="e">
        <f t="shared" si="112"/>
        <v>#VALUE!</v>
      </c>
      <c r="BH95" s="10" t="e">
        <f t="shared" si="136"/>
        <v>#VALUE!</v>
      </c>
      <c r="BI95" s="10" t="e">
        <f t="shared" si="137"/>
        <v>#VALUE!</v>
      </c>
      <c r="BJ95" s="10" t="e">
        <f t="shared" si="138"/>
        <v>#VALUE!</v>
      </c>
      <c r="BK95" s="10" t="e">
        <f t="shared" si="160"/>
        <v>#VALUE!</v>
      </c>
      <c r="BL95" s="10" t="e">
        <f t="shared" si="113"/>
        <v>#VALUE!</v>
      </c>
      <c r="BM95" s="10" t="e">
        <f t="shared" si="161"/>
        <v>#VALUE!</v>
      </c>
      <c r="BP95" s="10" t="e">
        <f t="shared" si="77"/>
        <v>#VALUE!</v>
      </c>
      <c r="BQ95" s="10" t="e">
        <f t="shared" si="78"/>
        <v>#VALUE!</v>
      </c>
      <c r="BR95" s="10" t="e">
        <f t="shared" si="79"/>
        <v>#VALUE!</v>
      </c>
      <c r="BS95" s="10" t="e">
        <f t="shared" si="80"/>
        <v>#VALUE!</v>
      </c>
      <c r="BT95" s="10" t="e">
        <f t="shared" si="81"/>
        <v>#VALUE!</v>
      </c>
      <c r="BU95" s="10" t="e">
        <f t="shared" si="82"/>
        <v>#VALUE!</v>
      </c>
      <c r="BW95" s="10" t="e">
        <f t="shared" si="139"/>
        <v>#VALUE!</v>
      </c>
      <c r="BX95" s="10" t="e">
        <f t="shared" si="140"/>
        <v>#VALUE!</v>
      </c>
      <c r="BY95" s="10" t="e">
        <f t="shared" si="141"/>
        <v>#VALUE!</v>
      </c>
      <c r="BZ95" s="10" t="e">
        <f t="shared" si="142"/>
        <v>#VALUE!</v>
      </c>
      <c r="CA95" s="10" t="e">
        <f t="shared" si="143"/>
        <v>#VALUE!</v>
      </c>
      <c r="CB95" s="10" t="e">
        <f t="shared" si="144"/>
        <v>#VALUE!</v>
      </c>
      <c r="CD95" s="10" t="e">
        <f>MATCH(INDEX($BP$12:$BU$12,1,MATCH(BP95,$BP$15:$BU$15,0)),结果汇总!$AI$10:$AI$13,0)</f>
        <v>#VALUE!</v>
      </c>
      <c r="CE95" s="10" t="e">
        <f>MATCH(INDEX($BP$12:$BU$12,1,MATCH(BQ95,$BP$15:$BU$15,0)),结果汇总!$AI$10:$AI$13,0)</f>
        <v>#VALUE!</v>
      </c>
      <c r="CF95" s="10" t="e">
        <f>MATCH(INDEX($BP$12:$BU$12,1,MATCH(BR95,$BP$15:$BU$15,0)),结果汇总!$AI$10:$AI$13,0)</f>
        <v>#VALUE!</v>
      </c>
      <c r="CG95" s="10" t="e">
        <f>MATCH(INDEX($BP$12:$BU$12,1,MATCH(BS95,$BP$15:$BU$15,0)),结果汇总!$AI$10:$AI$13,0)</f>
        <v>#VALUE!</v>
      </c>
      <c r="CH95" s="10" t="e">
        <f>MATCH(INDEX($BP$12:$BU$12,1,MATCH(BT95,$BP$15:$BU$15,0)),结果汇总!$AI$10:$AI$13,0)</f>
        <v>#VALUE!</v>
      </c>
      <c r="CI95" s="10" t="e">
        <f>MATCH(INDEX($BP$12:$BU$12,1,MATCH(BU95,$BP$15:$BU$15,0)),结果汇总!$AI$10:$AI$13,0)</f>
        <v>#VALUE!</v>
      </c>
      <c r="CK95" s="10">
        <f t="shared" si="145"/>
        <v>0</v>
      </c>
      <c r="CL95" s="10">
        <f t="shared" si="145"/>
        <v>0</v>
      </c>
      <c r="CM95" s="10">
        <f t="shared" si="145"/>
        <v>0</v>
      </c>
      <c r="CN95" s="10">
        <f t="shared" si="145"/>
        <v>0</v>
      </c>
      <c r="CO95" s="10" t="e">
        <f t="shared" si="146"/>
        <v>#DIV/0!</v>
      </c>
      <c r="CP95" s="10" t="e">
        <f t="shared" si="146"/>
        <v>#DIV/0!</v>
      </c>
      <c r="CQ95" s="10" t="e">
        <f t="shared" si="146"/>
        <v>#DIV/0!</v>
      </c>
      <c r="CR95" s="10" t="e">
        <f t="shared" si="146"/>
        <v>#DIV/0!</v>
      </c>
      <c r="CS95" s="10">
        <f t="shared" si="147"/>
        <v>0</v>
      </c>
      <c r="CT95" s="10">
        <f t="shared" si="147"/>
        <v>0</v>
      </c>
      <c r="CU95" s="10">
        <f t="shared" si="147"/>
        <v>0</v>
      </c>
      <c r="CV95" s="10">
        <f t="shared" si="147"/>
        <v>0</v>
      </c>
      <c r="CW95" s="10">
        <f t="shared" si="148"/>
        <v>0</v>
      </c>
      <c r="CX95" s="10">
        <f t="shared" si="148"/>
        <v>0</v>
      </c>
      <c r="CY95" s="10">
        <f t="shared" si="148"/>
        <v>0</v>
      </c>
      <c r="CZ95" s="10">
        <f t="shared" si="148"/>
        <v>0</v>
      </c>
    </row>
    <row r="96" spans="4:104" x14ac:dyDescent="0.15">
      <c r="D96" s="10">
        <v>81</v>
      </c>
      <c r="E96" s="10" t="e">
        <f t="shared" si="114"/>
        <v>#VALUE!</v>
      </c>
      <c r="F96" s="10" t="e">
        <f t="shared" si="98"/>
        <v>#VALUE!</v>
      </c>
      <c r="G96" s="10" t="e">
        <f t="shared" si="99"/>
        <v>#VALUE!</v>
      </c>
      <c r="H96" s="10" t="e">
        <f t="shared" si="115"/>
        <v>#VALUE!</v>
      </c>
      <c r="I96" s="10" t="e">
        <f t="shared" si="100"/>
        <v>#VALUE!</v>
      </c>
      <c r="J96" s="10" t="e">
        <f t="shared" si="116"/>
        <v>#VALUE!</v>
      </c>
      <c r="K96" s="10" t="e">
        <f t="shared" si="101"/>
        <v>#VALUE!</v>
      </c>
      <c r="L96" s="10" t="e">
        <f t="shared" si="102"/>
        <v>#VALUE!</v>
      </c>
      <c r="M96" s="10" t="e">
        <f t="shared" si="117"/>
        <v>#VALUE!</v>
      </c>
      <c r="O96" s="10" t="e">
        <f t="shared" si="118"/>
        <v>#VALUE!</v>
      </c>
      <c r="P96" s="10" t="e">
        <f t="shared" si="103"/>
        <v>#VALUE!</v>
      </c>
      <c r="Q96" s="10" t="e">
        <f t="shared" si="104"/>
        <v>#VALUE!</v>
      </c>
      <c r="R96" s="10" t="e">
        <f t="shared" si="119"/>
        <v>#VALUE!</v>
      </c>
      <c r="S96" s="10" t="e">
        <f t="shared" si="120"/>
        <v>#VALUE!</v>
      </c>
      <c r="T96" s="10" t="e">
        <f t="shared" si="149"/>
        <v>#VALUE!</v>
      </c>
      <c r="U96" s="10" t="e">
        <f t="shared" si="150"/>
        <v>#VALUE!</v>
      </c>
      <c r="V96" s="10" t="e">
        <f t="shared" si="105"/>
        <v>#VALUE!</v>
      </c>
      <c r="W96" s="10" t="e">
        <f t="shared" si="121"/>
        <v>#VALUE!</v>
      </c>
      <c r="Y96" s="10" t="e">
        <f t="shared" si="122"/>
        <v>#VALUE!</v>
      </c>
      <c r="Z96" s="11" t="e">
        <f t="shared" si="123"/>
        <v>#VALUE!</v>
      </c>
      <c r="AA96" s="10" t="e">
        <f t="shared" si="106"/>
        <v>#VALUE!</v>
      </c>
      <c r="AB96" s="10" t="e">
        <f t="shared" si="124"/>
        <v>#VALUE!</v>
      </c>
      <c r="AC96" s="10" t="e">
        <f t="shared" si="125"/>
        <v>#VALUE!</v>
      </c>
      <c r="AD96" s="10" t="e">
        <f t="shared" si="151"/>
        <v>#VALUE!</v>
      </c>
      <c r="AE96" s="10" t="e">
        <f t="shared" si="152"/>
        <v>#VALUE!</v>
      </c>
      <c r="AF96" s="10" t="e">
        <f t="shared" si="107"/>
        <v>#VALUE!</v>
      </c>
      <c r="AG96" s="10" t="e">
        <f t="shared" si="126"/>
        <v>#VALUE!</v>
      </c>
      <c r="AI96" s="13"/>
      <c r="AK96" s="10" t="e">
        <f t="shared" si="127"/>
        <v>#VALUE!</v>
      </c>
      <c r="AL96" s="10" t="e">
        <f t="shared" si="153"/>
        <v>#VALUE!</v>
      </c>
      <c r="AM96" s="10" t="e">
        <f t="shared" si="108"/>
        <v>#VALUE!</v>
      </c>
      <c r="AN96" s="10" t="e">
        <f t="shared" si="128"/>
        <v>#VALUE!</v>
      </c>
      <c r="AO96" s="10" t="e">
        <f t="shared" si="129"/>
        <v>#VALUE!</v>
      </c>
      <c r="AP96" s="10" t="e">
        <f t="shared" si="130"/>
        <v>#VALUE!</v>
      </c>
      <c r="AQ96" s="10" t="e">
        <f t="shared" si="154"/>
        <v>#VALUE!</v>
      </c>
      <c r="AR96" s="10" t="e">
        <f t="shared" si="109"/>
        <v>#VALUE!</v>
      </c>
      <c r="AS96" s="10" t="e">
        <f t="shared" si="155"/>
        <v>#VALUE!</v>
      </c>
      <c r="AU96" s="10" t="e">
        <f t="shared" si="131"/>
        <v>#VALUE!</v>
      </c>
      <c r="AV96" s="10" t="e">
        <f t="shared" si="156"/>
        <v>#VALUE!</v>
      </c>
      <c r="AW96" s="10" t="e">
        <f t="shared" si="110"/>
        <v>#VALUE!</v>
      </c>
      <c r="AX96" s="10" t="e">
        <f t="shared" si="132"/>
        <v>#VALUE!</v>
      </c>
      <c r="AY96" s="10" t="e">
        <f t="shared" si="133"/>
        <v>#VALUE!</v>
      </c>
      <c r="AZ96" s="10" t="e">
        <f t="shared" si="134"/>
        <v>#VALUE!</v>
      </c>
      <c r="BA96" s="10" t="e">
        <f t="shared" si="157"/>
        <v>#VALUE!</v>
      </c>
      <c r="BB96" s="10" t="e">
        <f t="shared" si="111"/>
        <v>#VALUE!</v>
      </c>
      <c r="BC96" s="10" t="e">
        <f t="shared" si="158"/>
        <v>#VALUE!</v>
      </c>
      <c r="BE96" s="10" t="e">
        <f t="shared" si="135"/>
        <v>#VALUE!</v>
      </c>
      <c r="BF96" s="10" t="e">
        <f t="shared" si="159"/>
        <v>#VALUE!</v>
      </c>
      <c r="BG96" s="10" t="e">
        <f t="shared" si="112"/>
        <v>#VALUE!</v>
      </c>
      <c r="BH96" s="10" t="e">
        <f t="shared" si="136"/>
        <v>#VALUE!</v>
      </c>
      <c r="BI96" s="10" t="e">
        <f t="shared" si="137"/>
        <v>#VALUE!</v>
      </c>
      <c r="BJ96" s="10" t="e">
        <f t="shared" si="138"/>
        <v>#VALUE!</v>
      </c>
      <c r="BK96" s="10" t="e">
        <f t="shared" si="160"/>
        <v>#VALUE!</v>
      </c>
      <c r="BL96" s="10" t="e">
        <f t="shared" si="113"/>
        <v>#VALUE!</v>
      </c>
      <c r="BM96" s="10" t="e">
        <f t="shared" si="161"/>
        <v>#VALUE!</v>
      </c>
      <c r="BP96" s="10" t="e">
        <f t="shared" si="77"/>
        <v>#VALUE!</v>
      </c>
      <c r="BQ96" s="10" t="e">
        <f t="shared" si="78"/>
        <v>#VALUE!</v>
      </c>
      <c r="BR96" s="10" t="e">
        <f t="shared" si="79"/>
        <v>#VALUE!</v>
      </c>
      <c r="BS96" s="10" t="e">
        <f t="shared" si="80"/>
        <v>#VALUE!</v>
      </c>
      <c r="BT96" s="10" t="e">
        <f t="shared" si="81"/>
        <v>#VALUE!</v>
      </c>
      <c r="BU96" s="10" t="e">
        <f t="shared" si="82"/>
        <v>#VALUE!</v>
      </c>
      <c r="BW96" s="10" t="e">
        <f t="shared" si="139"/>
        <v>#VALUE!</v>
      </c>
      <c r="BX96" s="10" t="e">
        <f t="shared" si="140"/>
        <v>#VALUE!</v>
      </c>
      <c r="BY96" s="10" t="e">
        <f t="shared" si="141"/>
        <v>#VALUE!</v>
      </c>
      <c r="BZ96" s="10" t="e">
        <f t="shared" si="142"/>
        <v>#VALUE!</v>
      </c>
      <c r="CA96" s="10" t="e">
        <f t="shared" si="143"/>
        <v>#VALUE!</v>
      </c>
      <c r="CB96" s="10" t="e">
        <f t="shared" si="144"/>
        <v>#VALUE!</v>
      </c>
      <c r="CD96" s="10" t="e">
        <f>MATCH(INDEX($BP$12:$BU$12,1,MATCH(BP96,$BP$15:$BU$15,0)),结果汇总!$AI$10:$AI$13,0)</f>
        <v>#VALUE!</v>
      </c>
      <c r="CE96" s="10" t="e">
        <f>MATCH(INDEX($BP$12:$BU$12,1,MATCH(BQ96,$BP$15:$BU$15,0)),结果汇总!$AI$10:$AI$13,0)</f>
        <v>#VALUE!</v>
      </c>
      <c r="CF96" s="10" t="e">
        <f>MATCH(INDEX($BP$12:$BU$12,1,MATCH(BR96,$BP$15:$BU$15,0)),结果汇总!$AI$10:$AI$13,0)</f>
        <v>#VALUE!</v>
      </c>
      <c r="CG96" s="10" t="e">
        <f>MATCH(INDEX($BP$12:$BU$12,1,MATCH(BS96,$BP$15:$BU$15,0)),结果汇总!$AI$10:$AI$13,0)</f>
        <v>#VALUE!</v>
      </c>
      <c r="CH96" s="10" t="e">
        <f>MATCH(INDEX($BP$12:$BU$12,1,MATCH(BT96,$BP$15:$BU$15,0)),结果汇总!$AI$10:$AI$13,0)</f>
        <v>#VALUE!</v>
      </c>
      <c r="CI96" s="10" t="e">
        <f>MATCH(INDEX($BP$12:$BU$12,1,MATCH(BU96,$BP$15:$BU$15,0)),结果汇总!$AI$10:$AI$13,0)</f>
        <v>#VALUE!</v>
      </c>
      <c r="CK96" s="10">
        <f t="shared" si="145"/>
        <v>0</v>
      </c>
      <c r="CL96" s="10">
        <f t="shared" si="145"/>
        <v>0</v>
      </c>
      <c r="CM96" s="10">
        <f t="shared" si="145"/>
        <v>0</v>
      </c>
      <c r="CN96" s="10">
        <f t="shared" si="145"/>
        <v>0</v>
      </c>
      <c r="CO96" s="10" t="e">
        <f t="shared" si="146"/>
        <v>#DIV/0!</v>
      </c>
      <c r="CP96" s="10" t="e">
        <f t="shared" si="146"/>
        <v>#DIV/0!</v>
      </c>
      <c r="CQ96" s="10" t="e">
        <f t="shared" si="146"/>
        <v>#DIV/0!</v>
      </c>
      <c r="CR96" s="10" t="e">
        <f t="shared" si="146"/>
        <v>#DIV/0!</v>
      </c>
      <c r="CS96" s="10">
        <f t="shared" si="147"/>
        <v>0</v>
      </c>
      <c r="CT96" s="10">
        <f t="shared" si="147"/>
        <v>0</v>
      </c>
      <c r="CU96" s="10">
        <f t="shared" si="147"/>
        <v>0</v>
      </c>
      <c r="CV96" s="10">
        <f t="shared" si="147"/>
        <v>0</v>
      </c>
      <c r="CW96" s="10">
        <f t="shared" si="148"/>
        <v>0</v>
      </c>
      <c r="CX96" s="10">
        <f t="shared" si="148"/>
        <v>0</v>
      </c>
      <c r="CY96" s="10">
        <f t="shared" si="148"/>
        <v>0</v>
      </c>
      <c r="CZ96" s="10">
        <f t="shared" si="148"/>
        <v>0</v>
      </c>
    </row>
    <row r="97" spans="4:104" x14ac:dyDescent="0.15">
      <c r="D97" s="10">
        <v>82</v>
      </c>
      <c r="E97" s="10" t="e">
        <f t="shared" si="114"/>
        <v>#VALUE!</v>
      </c>
      <c r="F97" s="10" t="e">
        <f t="shared" si="98"/>
        <v>#VALUE!</v>
      </c>
      <c r="G97" s="10" t="e">
        <f t="shared" si="99"/>
        <v>#VALUE!</v>
      </c>
      <c r="H97" s="10" t="e">
        <f t="shared" si="115"/>
        <v>#VALUE!</v>
      </c>
      <c r="I97" s="10" t="e">
        <f t="shared" si="100"/>
        <v>#VALUE!</v>
      </c>
      <c r="J97" s="10" t="e">
        <f t="shared" si="116"/>
        <v>#VALUE!</v>
      </c>
      <c r="K97" s="10" t="e">
        <f t="shared" si="101"/>
        <v>#VALUE!</v>
      </c>
      <c r="L97" s="10" t="e">
        <f t="shared" si="102"/>
        <v>#VALUE!</v>
      </c>
      <c r="M97" s="10" t="e">
        <f t="shared" si="117"/>
        <v>#VALUE!</v>
      </c>
      <c r="O97" s="10" t="e">
        <f t="shared" si="118"/>
        <v>#VALUE!</v>
      </c>
      <c r="P97" s="10" t="e">
        <f t="shared" si="103"/>
        <v>#VALUE!</v>
      </c>
      <c r="Q97" s="10" t="e">
        <f t="shared" si="104"/>
        <v>#VALUE!</v>
      </c>
      <c r="R97" s="10" t="e">
        <f t="shared" si="119"/>
        <v>#VALUE!</v>
      </c>
      <c r="S97" s="10" t="e">
        <f t="shared" si="120"/>
        <v>#VALUE!</v>
      </c>
      <c r="T97" s="10" t="e">
        <f t="shared" si="149"/>
        <v>#VALUE!</v>
      </c>
      <c r="U97" s="10" t="e">
        <f t="shared" si="150"/>
        <v>#VALUE!</v>
      </c>
      <c r="V97" s="10" t="e">
        <f t="shared" si="105"/>
        <v>#VALUE!</v>
      </c>
      <c r="W97" s="10" t="e">
        <f t="shared" si="121"/>
        <v>#VALUE!</v>
      </c>
      <c r="Y97" s="10" t="e">
        <f t="shared" si="122"/>
        <v>#VALUE!</v>
      </c>
      <c r="Z97" s="11" t="e">
        <f t="shared" si="123"/>
        <v>#VALUE!</v>
      </c>
      <c r="AA97" s="10" t="e">
        <f t="shared" si="106"/>
        <v>#VALUE!</v>
      </c>
      <c r="AB97" s="10" t="e">
        <f t="shared" si="124"/>
        <v>#VALUE!</v>
      </c>
      <c r="AC97" s="10" t="e">
        <f t="shared" si="125"/>
        <v>#VALUE!</v>
      </c>
      <c r="AD97" s="10" t="e">
        <f t="shared" si="151"/>
        <v>#VALUE!</v>
      </c>
      <c r="AE97" s="10" t="e">
        <f t="shared" si="152"/>
        <v>#VALUE!</v>
      </c>
      <c r="AF97" s="10" t="e">
        <f t="shared" si="107"/>
        <v>#VALUE!</v>
      </c>
      <c r="AG97" s="10" t="e">
        <f t="shared" si="126"/>
        <v>#VALUE!</v>
      </c>
      <c r="AI97" s="13"/>
      <c r="AK97" s="10" t="e">
        <f t="shared" si="127"/>
        <v>#VALUE!</v>
      </c>
      <c r="AL97" s="10" t="e">
        <f t="shared" si="153"/>
        <v>#VALUE!</v>
      </c>
      <c r="AM97" s="10" t="e">
        <f t="shared" si="108"/>
        <v>#VALUE!</v>
      </c>
      <c r="AN97" s="10" t="e">
        <f t="shared" si="128"/>
        <v>#VALUE!</v>
      </c>
      <c r="AO97" s="10" t="e">
        <f t="shared" si="129"/>
        <v>#VALUE!</v>
      </c>
      <c r="AP97" s="10" t="e">
        <f t="shared" si="130"/>
        <v>#VALUE!</v>
      </c>
      <c r="AQ97" s="10" t="e">
        <f t="shared" si="154"/>
        <v>#VALUE!</v>
      </c>
      <c r="AR97" s="10" t="e">
        <f t="shared" si="109"/>
        <v>#VALUE!</v>
      </c>
      <c r="AS97" s="10" t="e">
        <f t="shared" si="155"/>
        <v>#VALUE!</v>
      </c>
      <c r="AU97" s="10" t="e">
        <f t="shared" si="131"/>
        <v>#VALUE!</v>
      </c>
      <c r="AV97" s="10" t="e">
        <f t="shared" si="156"/>
        <v>#VALUE!</v>
      </c>
      <c r="AW97" s="10" t="e">
        <f t="shared" si="110"/>
        <v>#VALUE!</v>
      </c>
      <c r="AX97" s="10" t="e">
        <f t="shared" si="132"/>
        <v>#VALUE!</v>
      </c>
      <c r="AY97" s="10" t="e">
        <f t="shared" si="133"/>
        <v>#VALUE!</v>
      </c>
      <c r="AZ97" s="10" t="e">
        <f t="shared" si="134"/>
        <v>#VALUE!</v>
      </c>
      <c r="BA97" s="10" t="e">
        <f t="shared" si="157"/>
        <v>#VALUE!</v>
      </c>
      <c r="BB97" s="10" t="e">
        <f t="shared" si="111"/>
        <v>#VALUE!</v>
      </c>
      <c r="BC97" s="10" t="e">
        <f t="shared" si="158"/>
        <v>#VALUE!</v>
      </c>
      <c r="BE97" s="10" t="e">
        <f t="shared" si="135"/>
        <v>#VALUE!</v>
      </c>
      <c r="BF97" s="10" t="e">
        <f t="shared" si="159"/>
        <v>#VALUE!</v>
      </c>
      <c r="BG97" s="10" t="e">
        <f t="shared" si="112"/>
        <v>#VALUE!</v>
      </c>
      <c r="BH97" s="10" t="e">
        <f t="shared" si="136"/>
        <v>#VALUE!</v>
      </c>
      <c r="BI97" s="10" t="e">
        <f t="shared" si="137"/>
        <v>#VALUE!</v>
      </c>
      <c r="BJ97" s="10" t="e">
        <f t="shared" si="138"/>
        <v>#VALUE!</v>
      </c>
      <c r="BK97" s="10" t="e">
        <f t="shared" si="160"/>
        <v>#VALUE!</v>
      </c>
      <c r="BL97" s="10" t="e">
        <f t="shared" si="113"/>
        <v>#VALUE!</v>
      </c>
      <c r="BM97" s="10" t="e">
        <f t="shared" si="161"/>
        <v>#VALUE!</v>
      </c>
      <c r="BP97" s="10" t="e">
        <f t="shared" si="77"/>
        <v>#VALUE!</v>
      </c>
      <c r="BQ97" s="10" t="e">
        <f t="shared" si="78"/>
        <v>#VALUE!</v>
      </c>
      <c r="BR97" s="10" t="e">
        <f t="shared" si="79"/>
        <v>#VALUE!</v>
      </c>
      <c r="BS97" s="10" t="e">
        <f t="shared" si="80"/>
        <v>#VALUE!</v>
      </c>
      <c r="BT97" s="10" t="e">
        <f t="shared" si="81"/>
        <v>#VALUE!</v>
      </c>
      <c r="BU97" s="10" t="e">
        <f t="shared" si="82"/>
        <v>#VALUE!</v>
      </c>
      <c r="BW97" s="10" t="e">
        <f t="shared" si="139"/>
        <v>#VALUE!</v>
      </c>
      <c r="BX97" s="10" t="e">
        <f t="shared" si="140"/>
        <v>#VALUE!</v>
      </c>
      <c r="BY97" s="10" t="e">
        <f t="shared" si="141"/>
        <v>#VALUE!</v>
      </c>
      <c r="BZ97" s="10" t="e">
        <f t="shared" si="142"/>
        <v>#VALUE!</v>
      </c>
      <c r="CA97" s="10" t="e">
        <f t="shared" si="143"/>
        <v>#VALUE!</v>
      </c>
      <c r="CB97" s="10" t="e">
        <f t="shared" si="144"/>
        <v>#VALUE!</v>
      </c>
      <c r="CD97" s="10" t="e">
        <f>MATCH(INDEX($BP$12:$BU$12,1,MATCH(BP97,$BP$15:$BU$15,0)),结果汇总!$AI$10:$AI$13,0)</f>
        <v>#VALUE!</v>
      </c>
      <c r="CE97" s="10" t="e">
        <f>MATCH(INDEX($BP$12:$BU$12,1,MATCH(BQ97,$BP$15:$BU$15,0)),结果汇总!$AI$10:$AI$13,0)</f>
        <v>#VALUE!</v>
      </c>
      <c r="CF97" s="10" t="e">
        <f>MATCH(INDEX($BP$12:$BU$12,1,MATCH(BR97,$BP$15:$BU$15,0)),结果汇总!$AI$10:$AI$13,0)</f>
        <v>#VALUE!</v>
      </c>
      <c r="CG97" s="10" t="e">
        <f>MATCH(INDEX($BP$12:$BU$12,1,MATCH(BS97,$BP$15:$BU$15,0)),结果汇总!$AI$10:$AI$13,0)</f>
        <v>#VALUE!</v>
      </c>
      <c r="CH97" s="10" t="e">
        <f>MATCH(INDEX($BP$12:$BU$12,1,MATCH(BT97,$BP$15:$BU$15,0)),结果汇总!$AI$10:$AI$13,0)</f>
        <v>#VALUE!</v>
      </c>
      <c r="CI97" s="10" t="e">
        <f>MATCH(INDEX($BP$12:$BU$12,1,MATCH(BU97,$BP$15:$BU$15,0)),结果汇总!$AI$10:$AI$13,0)</f>
        <v>#VALUE!</v>
      </c>
      <c r="CK97" s="10">
        <f t="shared" si="145"/>
        <v>0</v>
      </c>
      <c r="CL97" s="10">
        <f t="shared" si="145"/>
        <v>0</v>
      </c>
      <c r="CM97" s="10">
        <f t="shared" si="145"/>
        <v>0</v>
      </c>
      <c r="CN97" s="10">
        <f t="shared" si="145"/>
        <v>0</v>
      </c>
      <c r="CO97" s="10" t="e">
        <f t="shared" si="146"/>
        <v>#DIV/0!</v>
      </c>
      <c r="CP97" s="10" t="e">
        <f t="shared" si="146"/>
        <v>#DIV/0!</v>
      </c>
      <c r="CQ97" s="10" t="e">
        <f t="shared" si="146"/>
        <v>#DIV/0!</v>
      </c>
      <c r="CR97" s="10" t="e">
        <f t="shared" si="146"/>
        <v>#DIV/0!</v>
      </c>
      <c r="CS97" s="10">
        <f t="shared" si="147"/>
        <v>0</v>
      </c>
      <c r="CT97" s="10">
        <f t="shared" si="147"/>
        <v>0</v>
      </c>
      <c r="CU97" s="10">
        <f t="shared" si="147"/>
        <v>0</v>
      </c>
      <c r="CV97" s="10">
        <f t="shared" si="147"/>
        <v>0</v>
      </c>
      <c r="CW97" s="10">
        <f t="shared" si="148"/>
        <v>0</v>
      </c>
      <c r="CX97" s="10">
        <f t="shared" si="148"/>
        <v>0</v>
      </c>
      <c r="CY97" s="10">
        <f t="shared" si="148"/>
        <v>0</v>
      </c>
      <c r="CZ97" s="10">
        <f t="shared" si="148"/>
        <v>0</v>
      </c>
    </row>
    <row r="98" spans="4:104" x14ac:dyDescent="0.15">
      <c r="D98" s="10">
        <v>83</v>
      </c>
      <c r="E98" s="10" t="e">
        <f t="shared" si="114"/>
        <v>#VALUE!</v>
      </c>
      <c r="F98" s="10" t="e">
        <f t="shared" si="98"/>
        <v>#VALUE!</v>
      </c>
      <c r="G98" s="10" t="e">
        <f t="shared" si="99"/>
        <v>#VALUE!</v>
      </c>
      <c r="H98" s="10" t="e">
        <f t="shared" si="115"/>
        <v>#VALUE!</v>
      </c>
      <c r="I98" s="10" t="e">
        <f t="shared" si="100"/>
        <v>#VALUE!</v>
      </c>
      <c r="J98" s="10" t="e">
        <f t="shared" si="116"/>
        <v>#VALUE!</v>
      </c>
      <c r="K98" s="10" t="e">
        <f t="shared" si="101"/>
        <v>#VALUE!</v>
      </c>
      <c r="L98" s="10" t="e">
        <f t="shared" si="102"/>
        <v>#VALUE!</v>
      </c>
      <c r="M98" s="10" t="e">
        <f t="shared" si="117"/>
        <v>#VALUE!</v>
      </c>
      <c r="O98" s="10" t="e">
        <f t="shared" si="118"/>
        <v>#VALUE!</v>
      </c>
      <c r="P98" s="10" t="e">
        <f t="shared" si="103"/>
        <v>#VALUE!</v>
      </c>
      <c r="Q98" s="10" t="e">
        <f t="shared" si="104"/>
        <v>#VALUE!</v>
      </c>
      <c r="R98" s="10" t="e">
        <f t="shared" si="119"/>
        <v>#VALUE!</v>
      </c>
      <c r="S98" s="10" t="e">
        <f t="shared" si="120"/>
        <v>#VALUE!</v>
      </c>
      <c r="T98" s="10" t="e">
        <f t="shared" si="149"/>
        <v>#VALUE!</v>
      </c>
      <c r="U98" s="10" t="e">
        <f t="shared" si="150"/>
        <v>#VALUE!</v>
      </c>
      <c r="V98" s="10" t="e">
        <f t="shared" si="105"/>
        <v>#VALUE!</v>
      </c>
      <c r="W98" s="10" t="e">
        <f t="shared" si="121"/>
        <v>#VALUE!</v>
      </c>
      <c r="Y98" s="10" t="e">
        <f t="shared" si="122"/>
        <v>#VALUE!</v>
      </c>
      <c r="Z98" s="11" t="e">
        <f t="shared" si="123"/>
        <v>#VALUE!</v>
      </c>
      <c r="AA98" s="10" t="e">
        <f t="shared" si="106"/>
        <v>#VALUE!</v>
      </c>
      <c r="AB98" s="10" t="e">
        <f t="shared" si="124"/>
        <v>#VALUE!</v>
      </c>
      <c r="AC98" s="10" t="e">
        <f t="shared" si="125"/>
        <v>#VALUE!</v>
      </c>
      <c r="AD98" s="10" t="e">
        <f t="shared" si="151"/>
        <v>#VALUE!</v>
      </c>
      <c r="AE98" s="10" t="e">
        <f t="shared" si="152"/>
        <v>#VALUE!</v>
      </c>
      <c r="AF98" s="10" t="e">
        <f t="shared" si="107"/>
        <v>#VALUE!</v>
      </c>
      <c r="AG98" s="10" t="e">
        <f t="shared" si="126"/>
        <v>#VALUE!</v>
      </c>
      <c r="AI98" s="13"/>
      <c r="AK98" s="10" t="e">
        <f t="shared" si="127"/>
        <v>#VALUE!</v>
      </c>
      <c r="AL98" s="10" t="e">
        <f t="shared" si="153"/>
        <v>#VALUE!</v>
      </c>
      <c r="AM98" s="10" t="e">
        <f t="shared" si="108"/>
        <v>#VALUE!</v>
      </c>
      <c r="AN98" s="10" t="e">
        <f t="shared" si="128"/>
        <v>#VALUE!</v>
      </c>
      <c r="AO98" s="10" t="e">
        <f t="shared" si="129"/>
        <v>#VALUE!</v>
      </c>
      <c r="AP98" s="10" t="e">
        <f t="shared" si="130"/>
        <v>#VALUE!</v>
      </c>
      <c r="AQ98" s="10" t="e">
        <f t="shared" si="154"/>
        <v>#VALUE!</v>
      </c>
      <c r="AR98" s="10" t="e">
        <f t="shared" si="109"/>
        <v>#VALUE!</v>
      </c>
      <c r="AS98" s="10" t="e">
        <f t="shared" si="155"/>
        <v>#VALUE!</v>
      </c>
      <c r="AU98" s="10" t="e">
        <f t="shared" si="131"/>
        <v>#VALUE!</v>
      </c>
      <c r="AV98" s="10" t="e">
        <f t="shared" si="156"/>
        <v>#VALUE!</v>
      </c>
      <c r="AW98" s="10" t="e">
        <f t="shared" si="110"/>
        <v>#VALUE!</v>
      </c>
      <c r="AX98" s="10" t="e">
        <f t="shared" si="132"/>
        <v>#VALUE!</v>
      </c>
      <c r="AY98" s="10" t="e">
        <f t="shared" si="133"/>
        <v>#VALUE!</v>
      </c>
      <c r="AZ98" s="10" t="e">
        <f t="shared" si="134"/>
        <v>#VALUE!</v>
      </c>
      <c r="BA98" s="10" t="e">
        <f t="shared" si="157"/>
        <v>#VALUE!</v>
      </c>
      <c r="BB98" s="10" t="e">
        <f t="shared" si="111"/>
        <v>#VALUE!</v>
      </c>
      <c r="BC98" s="10" t="e">
        <f t="shared" si="158"/>
        <v>#VALUE!</v>
      </c>
      <c r="BE98" s="10" t="e">
        <f t="shared" si="135"/>
        <v>#VALUE!</v>
      </c>
      <c r="BF98" s="10" t="e">
        <f t="shared" si="159"/>
        <v>#VALUE!</v>
      </c>
      <c r="BG98" s="10" t="e">
        <f t="shared" si="112"/>
        <v>#VALUE!</v>
      </c>
      <c r="BH98" s="10" t="e">
        <f t="shared" si="136"/>
        <v>#VALUE!</v>
      </c>
      <c r="BI98" s="10" t="e">
        <f t="shared" si="137"/>
        <v>#VALUE!</v>
      </c>
      <c r="BJ98" s="10" t="e">
        <f t="shared" si="138"/>
        <v>#VALUE!</v>
      </c>
      <c r="BK98" s="10" t="e">
        <f t="shared" si="160"/>
        <v>#VALUE!</v>
      </c>
      <c r="BL98" s="10" t="e">
        <f t="shared" si="113"/>
        <v>#VALUE!</v>
      </c>
      <c r="BM98" s="10" t="e">
        <f t="shared" si="161"/>
        <v>#VALUE!</v>
      </c>
      <c r="BP98" s="10" t="e">
        <f t="shared" si="77"/>
        <v>#VALUE!</v>
      </c>
      <c r="BQ98" s="10" t="e">
        <f t="shared" si="78"/>
        <v>#VALUE!</v>
      </c>
      <c r="BR98" s="10" t="e">
        <f t="shared" si="79"/>
        <v>#VALUE!</v>
      </c>
      <c r="BS98" s="10" t="e">
        <f t="shared" si="80"/>
        <v>#VALUE!</v>
      </c>
      <c r="BT98" s="10" t="e">
        <f t="shared" si="81"/>
        <v>#VALUE!</v>
      </c>
      <c r="BU98" s="10" t="e">
        <f t="shared" si="82"/>
        <v>#VALUE!</v>
      </c>
      <c r="BW98" s="10" t="e">
        <f t="shared" si="139"/>
        <v>#VALUE!</v>
      </c>
      <c r="BX98" s="10" t="e">
        <f t="shared" si="140"/>
        <v>#VALUE!</v>
      </c>
      <c r="BY98" s="10" t="e">
        <f t="shared" si="141"/>
        <v>#VALUE!</v>
      </c>
      <c r="BZ98" s="10" t="e">
        <f t="shared" si="142"/>
        <v>#VALUE!</v>
      </c>
      <c r="CA98" s="10" t="e">
        <f t="shared" si="143"/>
        <v>#VALUE!</v>
      </c>
      <c r="CB98" s="10" t="e">
        <f t="shared" si="144"/>
        <v>#VALUE!</v>
      </c>
      <c r="CD98" s="10" t="e">
        <f>MATCH(INDEX($BP$12:$BU$12,1,MATCH(BP98,$BP$15:$BU$15,0)),结果汇总!$AI$10:$AI$13,0)</f>
        <v>#VALUE!</v>
      </c>
      <c r="CE98" s="10" t="e">
        <f>MATCH(INDEX($BP$12:$BU$12,1,MATCH(BQ98,$BP$15:$BU$15,0)),结果汇总!$AI$10:$AI$13,0)</f>
        <v>#VALUE!</v>
      </c>
      <c r="CF98" s="10" t="e">
        <f>MATCH(INDEX($BP$12:$BU$12,1,MATCH(BR98,$BP$15:$BU$15,0)),结果汇总!$AI$10:$AI$13,0)</f>
        <v>#VALUE!</v>
      </c>
      <c r="CG98" s="10" t="e">
        <f>MATCH(INDEX($BP$12:$BU$12,1,MATCH(BS98,$BP$15:$BU$15,0)),结果汇总!$AI$10:$AI$13,0)</f>
        <v>#VALUE!</v>
      </c>
      <c r="CH98" s="10" t="e">
        <f>MATCH(INDEX($BP$12:$BU$12,1,MATCH(BT98,$BP$15:$BU$15,0)),结果汇总!$AI$10:$AI$13,0)</f>
        <v>#VALUE!</v>
      </c>
      <c r="CI98" s="10" t="e">
        <f>MATCH(INDEX($BP$12:$BU$12,1,MATCH(BU98,$BP$15:$BU$15,0)),结果汇总!$AI$10:$AI$13,0)</f>
        <v>#VALUE!</v>
      </c>
      <c r="CK98" s="10">
        <f t="shared" si="145"/>
        <v>0</v>
      </c>
      <c r="CL98" s="10">
        <f t="shared" si="145"/>
        <v>0</v>
      </c>
      <c r="CM98" s="10">
        <f t="shared" si="145"/>
        <v>0</v>
      </c>
      <c r="CN98" s="10">
        <f t="shared" si="145"/>
        <v>0</v>
      </c>
      <c r="CO98" s="10" t="e">
        <f t="shared" si="146"/>
        <v>#DIV/0!</v>
      </c>
      <c r="CP98" s="10" t="e">
        <f t="shared" si="146"/>
        <v>#DIV/0!</v>
      </c>
      <c r="CQ98" s="10" t="e">
        <f t="shared" si="146"/>
        <v>#DIV/0!</v>
      </c>
      <c r="CR98" s="10" t="e">
        <f t="shared" si="146"/>
        <v>#DIV/0!</v>
      </c>
      <c r="CS98" s="10">
        <f t="shared" si="147"/>
        <v>0</v>
      </c>
      <c r="CT98" s="10">
        <f t="shared" si="147"/>
        <v>0</v>
      </c>
      <c r="CU98" s="10">
        <f t="shared" si="147"/>
        <v>0</v>
      </c>
      <c r="CV98" s="10">
        <f t="shared" si="147"/>
        <v>0</v>
      </c>
      <c r="CW98" s="10">
        <f t="shared" si="148"/>
        <v>0</v>
      </c>
      <c r="CX98" s="10">
        <f t="shared" si="148"/>
        <v>0</v>
      </c>
      <c r="CY98" s="10">
        <f t="shared" si="148"/>
        <v>0</v>
      </c>
      <c r="CZ98" s="10">
        <f t="shared" si="148"/>
        <v>0</v>
      </c>
    </row>
    <row r="99" spans="4:104" x14ac:dyDescent="0.15">
      <c r="D99" s="10">
        <v>84</v>
      </c>
      <c r="E99" s="10" t="e">
        <f t="shared" si="114"/>
        <v>#VALUE!</v>
      </c>
      <c r="F99" s="10" t="e">
        <f t="shared" si="98"/>
        <v>#VALUE!</v>
      </c>
      <c r="G99" s="10" t="e">
        <f t="shared" si="99"/>
        <v>#VALUE!</v>
      </c>
      <c r="H99" s="10" t="e">
        <f t="shared" si="115"/>
        <v>#VALUE!</v>
      </c>
      <c r="I99" s="10" t="e">
        <f t="shared" si="100"/>
        <v>#VALUE!</v>
      </c>
      <c r="J99" s="10" t="e">
        <f t="shared" si="116"/>
        <v>#VALUE!</v>
      </c>
      <c r="K99" s="10" t="e">
        <f t="shared" si="101"/>
        <v>#VALUE!</v>
      </c>
      <c r="L99" s="10" t="e">
        <f t="shared" si="102"/>
        <v>#VALUE!</v>
      </c>
      <c r="M99" s="10" t="e">
        <f t="shared" si="117"/>
        <v>#VALUE!</v>
      </c>
      <c r="O99" s="10" t="e">
        <f t="shared" si="118"/>
        <v>#VALUE!</v>
      </c>
      <c r="P99" s="10" t="e">
        <f t="shared" si="103"/>
        <v>#VALUE!</v>
      </c>
      <c r="Q99" s="10" t="e">
        <f t="shared" si="104"/>
        <v>#VALUE!</v>
      </c>
      <c r="R99" s="10" t="e">
        <f t="shared" si="119"/>
        <v>#VALUE!</v>
      </c>
      <c r="S99" s="10" t="e">
        <f t="shared" si="120"/>
        <v>#VALUE!</v>
      </c>
      <c r="T99" s="10" t="e">
        <f t="shared" si="149"/>
        <v>#VALUE!</v>
      </c>
      <c r="U99" s="10" t="e">
        <f t="shared" si="150"/>
        <v>#VALUE!</v>
      </c>
      <c r="V99" s="10" t="e">
        <f t="shared" si="105"/>
        <v>#VALUE!</v>
      </c>
      <c r="W99" s="10" t="e">
        <f t="shared" si="121"/>
        <v>#VALUE!</v>
      </c>
      <c r="Y99" s="10" t="e">
        <f t="shared" si="122"/>
        <v>#VALUE!</v>
      </c>
      <c r="Z99" s="11" t="e">
        <f t="shared" si="123"/>
        <v>#VALUE!</v>
      </c>
      <c r="AA99" s="10" t="e">
        <f t="shared" si="106"/>
        <v>#VALUE!</v>
      </c>
      <c r="AB99" s="10" t="e">
        <f t="shared" si="124"/>
        <v>#VALUE!</v>
      </c>
      <c r="AC99" s="10" t="e">
        <f t="shared" si="125"/>
        <v>#VALUE!</v>
      </c>
      <c r="AD99" s="10" t="e">
        <f t="shared" si="151"/>
        <v>#VALUE!</v>
      </c>
      <c r="AE99" s="10" t="e">
        <f t="shared" si="152"/>
        <v>#VALUE!</v>
      </c>
      <c r="AF99" s="10" t="e">
        <f t="shared" si="107"/>
        <v>#VALUE!</v>
      </c>
      <c r="AG99" s="10" t="e">
        <f t="shared" si="126"/>
        <v>#VALUE!</v>
      </c>
      <c r="AI99" s="13"/>
      <c r="AK99" s="10" t="e">
        <f t="shared" si="127"/>
        <v>#VALUE!</v>
      </c>
      <c r="AL99" s="10" t="e">
        <f t="shared" si="153"/>
        <v>#VALUE!</v>
      </c>
      <c r="AM99" s="10" t="e">
        <f t="shared" si="108"/>
        <v>#VALUE!</v>
      </c>
      <c r="AN99" s="10" t="e">
        <f t="shared" si="128"/>
        <v>#VALUE!</v>
      </c>
      <c r="AO99" s="10" t="e">
        <f t="shared" si="129"/>
        <v>#VALUE!</v>
      </c>
      <c r="AP99" s="10" t="e">
        <f t="shared" si="130"/>
        <v>#VALUE!</v>
      </c>
      <c r="AQ99" s="10" t="e">
        <f t="shared" si="154"/>
        <v>#VALUE!</v>
      </c>
      <c r="AR99" s="10" t="e">
        <f t="shared" si="109"/>
        <v>#VALUE!</v>
      </c>
      <c r="AS99" s="10" t="e">
        <f t="shared" si="155"/>
        <v>#VALUE!</v>
      </c>
      <c r="AU99" s="10" t="e">
        <f t="shared" si="131"/>
        <v>#VALUE!</v>
      </c>
      <c r="AV99" s="10" t="e">
        <f t="shared" si="156"/>
        <v>#VALUE!</v>
      </c>
      <c r="AW99" s="10" t="e">
        <f t="shared" si="110"/>
        <v>#VALUE!</v>
      </c>
      <c r="AX99" s="10" t="e">
        <f t="shared" si="132"/>
        <v>#VALUE!</v>
      </c>
      <c r="AY99" s="10" t="e">
        <f t="shared" si="133"/>
        <v>#VALUE!</v>
      </c>
      <c r="AZ99" s="10" t="e">
        <f t="shared" si="134"/>
        <v>#VALUE!</v>
      </c>
      <c r="BA99" s="10" t="e">
        <f t="shared" si="157"/>
        <v>#VALUE!</v>
      </c>
      <c r="BB99" s="10" t="e">
        <f t="shared" si="111"/>
        <v>#VALUE!</v>
      </c>
      <c r="BC99" s="10" t="e">
        <f t="shared" si="158"/>
        <v>#VALUE!</v>
      </c>
      <c r="BE99" s="10" t="e">
        <f t="shared" si="135"/>
        <v>#VALUE!</v>
      </c>
      <c r="BF99" s="10" t="e">
        <f t="shared" si="159"/>
        <v>#VALUE!</v>
      </c>
      <c r="BG99" s="10" t="e">
        <f t="shared" si="112"/>
        <v>#VALUE!</v>
      </c>
      <c r="BH99" s="10" t="e">
        <f t="shared" si="136"/>
        <v>#VALUE!</v>
      </c>
      <c r="BI99" s="10" t="e">
        <f t="shared" si="137"/>
        <v>#VALUE!</v>
      </c>
      <c r="BJ99" s="10" t="e">
        <f t="shared" si="138"/>
        <v>#VALUE!</v>
      </c>
      <c r="BK99" s="10" t="e">
        <f t="shared" si="160"/>
        <v>#VALUE!</v>
      </c>
      <c r="BL99" s="10" t="e">
        <f t="shared" si="113"/>
        <v>#VALUE!</v>
      </c>
      <c r="BM99" s="10" t="e">
        <f t="shared" si="161"/>
        <v>#VALUE!</v>
      </c>
      <c r="BP99" s="10" t="e">
        <f t="shared" si="77"/>
        <v>#VALUE!</v>
      </c>
      <c r="BQ99" s="10" t="e">
        <f t="shared" si="78"/>
        <v>#VALUE!</v>
      </c>
      <c r="BR99" s="10" t="e">
        <f t="shared" si="79"/>
        <v>#VALUE!</v>
      </c>
      <c r="BS99" s="10" t="e">
        <f t="shared" si="80"/>
        <v>#VALUE!</v>
      </c>
      <c r="BT99" s="10" t="e">
        <f t="shared" si="81"/>
        <v>#VALUE!</v>
      </c>
      <c r="BU99" s="10" t="e">
        <f t="shared" si="82"/>
        <v>#VALUE!</v>
      </c>
      <c r="BW99" s="10" t="e">
        <f t="shared" si="139"/>
        <v>#VALUE!</v>
      </c>
      <c r="BX99" s="10" t="e">
        <f t="shared" si="140"/>
        <v>#VALUE!</v>
      </c>
      <c r="BY99" s="10" t="e">
        <f t="shared" si="141"/>
        <v>#VALUE!</v>
      </c>
      <c r="BZ99" s="10" t="e">
        <f t="shared" si="142"/>
        <v>#VALUE!</v>
      </c>
      <c r="CA99" s="10" t="e">
        <f t="shared" si="143"/>
        <v>#VALUE!</v>
      </c>
      <c r="CB99" s="10" t="e">
        <f t="shared" si="144"/>
        <v>#VALUE!</v>
      </c>
      <c r="CD99" s="10" t="e">
        <f>MATCH(INDEX($BP$12:$BU$12,1,MATCH(BP99,$BP$15:$BU$15,0)),结果汇总!$AI$10:$AI$13,0)</f>
        <v>#VALUE!</v>
      </c>
      <c r="CE99" s="10" t="e">
        <f>MATCH(INDEX($BP$12:$BU$12,1,MATCH(BQ99,$BP$15:$BU$15,0)),结果汇总!$AI$10:$AI$13,0)</f>
        <v>#VALUE!</v>
      </c>
      <c r="CF99" s="10" t="e">
        <f>MATCH(INDEX($BP$12:$BU$12,1,MATCH(BR99,$BP$15:$BU$15,0)),结果汇总!$AI$10:$AI$13,0)</f>
        <v>#VALUE!</v>
      </c>
      <c r="CG99" s="10" t="e">
        <f>MATCH(INDEX($BP$12:$BU$12,1,MATCH(BS99,$BP$15:$BU$15,0)),结果汇总!$AI$10:$AI$13,0)</f>
        <v>#VALUE!</v>
      </c>
      <c r="CH99" s="10" t="e">
        <f>MATCH(INDEX($BP$12:$BU$12,1,MATCH(BT99,$BP$15:$BU$15,0)),结果汇总!$AI$10:$AI$13,0)</f>
        <v>#VALUE!</v>
      </c>
      <c r="CI99" s="10" t="e">
        <f>MATCH(INDEX($BP$12:$BU$12,1,MATCH(BU99,$BP$15:$BU$15,0)),结果汇总!$AI$10:$AI$13,0)</f>
        <v>#VALUE!</v>
      </c>
      <c r="CK99" s="10">
        <f t="shared" si="145"/>
        <v>0</v>
      </c>
      <c r="CL99" s="10">
        <f t="shared" si="145"/>
        <v>0</v>
      </c>
      <c r="CM99" s="10">
        <f t="shared" si="145"/>
        <v>0</v>
      </c>
      <c r="CN99" s="10">
        <f t="shared" si="145"/>
        <v>0</v>
      </c>
      <c r="CO99" s="10" t="e">
        <f t="shared" si="146"/>
        <v>#DIV/0!</v>
      </c>
      <c r="CP99" s="10" t="e">
        <f t="shared" si="146"/>
        <v>#DIV/0!</v>
      </c>
      <c r="CQ99" s="10" t="e">
        <f t="shared" si="146"/>
        <v>#DIV/0!</v>
      </c>
      <c r="CR99" s="10" t="e">
        <f t="shared" si="146"/>
        <v>#DIV/0!</v>
      </c>
      <c r="CS99" s="10">
        <f t="shared" si="147"/>
        <v>0</v>
      </c>
      <c r="CT99" s="10">
        <f t="shared" si="147"/>
        <v>0</v>
      </c>
      <c r="CU99" s="10">
        <f t="shared" si="147"/>
        <v>0</v>
      </c>
      <c r="CV99" s="10">
        <f t="shared" si="147"/>
        <v>0</v>
      </c>
      <c r="CW99" s="10">
        <f t="shared" si="148"/>
        <v>0</v>
      </c>
      <c r="CX99" s="10">
        <f t="shared" si="148"/>
        <v>0</v>
      </c>
      <c r="CY99" s="10">
        <f t="shared" si="148"/>
        <v>0</v>
      </c>
      <c r="CZ99" s="10">
        <f t="shared" si="148"/>
        <v>0</v>
      </c>
    </row>
    <row r="100" spans="4:104" x14ac:dyDescent="0.15">
      <c r="D100" s="10">
        <v>85</v>
      </c>
      <c r="E100" s="10" t="e">
        <f t="shared" si="114"/>
        <v>#VALUE!</v>
      </c>
      <c r="F100" s="10" t="e">
        <f t="shared" si="98"/>
        <v>#VALUE!</v>
      </c>
      <c r="G100" s="10" t="e">
        <f t="shared" si="99"/>
        <v>#VALUE!</v>
      </c>
      <c r="H100" s="10" t="e">
        <f t="shared" si="115"/>
        <v>#VALUE!</v>
      </c>
      <c r="I100" s="10" t="e">
        <f t="shared" si="100"/>
        <v>#VALUE!</v>
      </c>
      <c r="J100" s="10" t="e">
        <f t="shared" si="116"/>
        <v>#VALUE!</v>
      </c>
      <c r="K100" s="10" t="e">
        <f t="shared" si="101"/>
        <v>#VALUE!</v>
      </c>
      <c r="L100" s="10" t="e">
        <f t="shared" si="102"/>
        <v>#VALUE!</v>
      </c>
      <c r="M100" s="10" t="e">
        <f t="shared" si="117"/>
        <v>#VALUE!</v>
      </c>
      <c r="O100" s="10" t="e">
        <f t="shared" si="118"/>
        <v>#VALUE!</v>
      </c>
      <c r="P100" s="10" t="e">
        <f t="shared" si="103"/>
        <v>#VALUE!</v>
      </c>
      <c r="Q100" s="10" t="e">
        <f t="shared" si="104"/>
        <v>#VALUE!</v>
      </c>
      <c r="R100" s="10" t="e">
        <f t="shared" si="119"/>
        <v>#VALUE!</v>
      </c>
      <c r="S100" s="10" t="e">
        <f t="shared" si="120"/>
        <v>#VALUE!</v>
      </c>
      <c r="T100" s="10" t="e">
        <f t="shared" si="149"/>
        <v>#VALUE!</v>
      </c>
      <c r="U100" s="10" t="e">
        <f t="shared" si="150"/>
        <v>#VALUE!</v>
      </c>
      <c r="V100" s="10" t="e">
        <f t="shared" si="105"/>
        <v>#VALUE!</v>
      </c>
      <c r="W100" s="10" t="e">
        <f t="shared" si="121"/>
        <v>#VALUE!</v>
      </c>
      <c r="Y100" s="10" t="e">
        <f t="shared" si="122"/>
        <v>#VALUE!</v>
      </c>
      <c r="Z100" s="11" t="e">
        <f t="shared" si="123"/>
        <v>#VALUE!</v>
      </c>
      <c r="AA100" s="10" t="e">
        <f t="shared" si="106"/>
        <v>#VALUE!</v>
      </c>
      <c r="AB100" s="10" t="e">
        <f t="shared" si="124"/>
        <v>#VALUE!</v>
      </c>
      <c r="AC100" s="10" t="e">
        <f t="shared" si="125"/>
        <v>#VALUE!</v>
      </c>
      <c r="AD100" s="10" t="e">
        <f t="shared" si="151"/>
        <v>#VALUE!</v>
      </c>
      <c r="AE100" s="10" t="e">
        <f t="shared" si="152"/>
        <v>#VALUE!</v>
      </c>
      <c r="AF100" s="10" t="e">
        <f t="shared" si="107"/>
        <v>#VALUE!</v>
      </c>
      <c r="AG100" s="10" t="e">
        <f t="shared" si="126"/>
        <v>#VALUE!</v>
      </c>
      <c r="AI100" s="13"/>
      <c r="AK100" s="10" t="e">
        <f t="shared" si="127"/>
        <v>#VALUE!</v>
      </c>
      <c r="AL100" s="10" t="e">
        <f t="shared" si="153"/>
        <v>#VALUE!</v>
      </c>
      <c r="AM100" s="10" t="e">
        <f t="shared" si="108"/>
        <v>#VALUE!</v>
      </c>
      <c r="AN100" s="10" t="e">
        <f t="shared" si="128"/>
        <v>#VALUE!</v>
      </c>
      <c r="AO100" s="10" t="e">
        <f t="shared" si="129"/>
        <v>#VALUE!</v>
      </c>
      <c r="AP100" s="10" t="e">
        <f t="shared" si="130"/>
        <v>#VALUE!</v>
      </c>
      <c r="AQ100" s="10" t="e">
        <f t="shared" si="154"/>
        <v>#VALUE!</v>
      </c>
      <c r="AR100" s="10" t="e">
        <f t="shared" si="109"/>
        <v>#VALUE!</v>
      </c>
      <c r="AS100" s="10" t="e">
        <f t="shared" si="155"/>
        <v>#VALUE!</v>
      </c>
      <c r="AU100" s="10" t="e">
        <f t="shared" si="131"/>
        <v>#VALUE!</v>
      </c>
      <c r="AV100" s="10" t="e">
        <f t="shared" si="156"/>
        <v>#VALUE!</v>
      </c>
      <c r="AW100" s="10" t="e">
        <f t="shared" si="110"/>
        <v>#VALUE!</v>
      </c>
      <c r="AX100" s="10" t="e">
        <f t="shared" si="132"/>
        <v>#VALUE!</v>
      </c>
      <c r="AY100" s="10" t="e">
        <f t="shared" si="133"/>
        <v>#VALUE!</v>
      </c>
      <c r="AZ100" s="10" t="e">
        <f t="shared" si="134"/>
        <v>#VALUE!</v>
      </c>
      <c r="BA100" s="10" t="e">
        <f t="shared" si="157"/>
        <v>#VALUE!</v>
      </c>
      <c r="BB100" s="10" t="e">
        <f t="shared" si="111"/>
        <v>#VALUE!</v>
      </c>
      <c r="BC100" s="10" t="e">
        <f t="shared" si="158"/>
        <v>#VALUE!</v>
      </c>
      <c r="BE100" s="10" t="e">
        <f t="shared" si="135"/>
        <v>#VALUE!</v>
      </c>
      <c r="BF100" s="10" t="e">
        <f t="shared" si="159"/>
        <v>#VALUE!</v>
      </c>
      <c r="BG100" s="10" t="e">
        <f t="shared" si="112"/>
        <v>#VALUE!</v>
      </c>
      <c r="BH100" s="10" t="e">
        <f t="shared" si="136"/>
        <v>#VALUE!</v>
      </c>
      <c r="BI100" s="10" t="e">
        <f t="shared" si="137"/>
        <v>#VALUE!</v>
      </c>
      <c r="BJ100" s="10" t="e">
        <f t="shared" si="138"/>
        <v>#VALUE!</v>
      </c>
      <c r="BK100" s="10" t="e">
        <f t="shared" si="160"/>
        <v>#VALUE!</v>
      </c>
      <c r="BL100" s="10" t="e">
        <f t="shared" si="113"/>
        <v>#VALUE!</v>
      </c>
      <c r="BM100" s="10" t="e">
        <f t="shared" si="161"/>
        <v>#VALUE!</v>
      </c>
      <c r="BP100" s="10" t="e">
        <f t="shared" si="77"/>
        <v>#VALUE!</v>
      </c>
      <c r="BQ100" s="10" t="e">
        <f t="shared" si="78"/>
        <v>#VALUE!</v>
      </c>
      <c r="BR100" s="10" t="e">
        <f t="shared" si="79"/>
        <v>#VALUE!</v>
      </c>
      <c r="BS100" s="10" t="e">
        <f t="shared" si="80"/>
        <v>#VALUE!</v>
      </c>
      <c r="BT100" s="10" t="e">
        <f t="shared" si="81"/>
        <v>#VALUE!</v>
      </c>
      <c r="BU100" s="10" t="e">
        <f t="shared" si="82"/>
        <v>#VALUE!</v>
      </c>
      <c r="BW100" s="10" t="e">
        <f t="shared" si="139"/>
        <v>#VALUE!</v>
      </c>
      <c r="BX100" s="10" t="e">
        <f t="shared" si="140"/>
        <v>#VALUE!</v>
      </c>
      <c r="BY100" s="10" t="e">
        <f t="shared" si="141"/>
        <v>#VALUE!</v>
      </c>
      <c r="BZ100" s="10" t="e">
        <f t="shared" si="142"/>
        <v>#VALUE!</v>
      </c>
      <c r="CA100" s="10" t="e">
        <f t="shared" si="143"/>
        <v>#VALUE!</v>
      </c>
      <c r="CB100" s="10" t="e">
        <f t="shared" si="144"/>
        <v>#VALUE!</v>
      </c>
      <c r="CD100" s="10" t="e">
        <f>MATCH(INDEX($BP$12:$BU$12,1,MATCH(BP100,$BP$15:$BU$15,0)),结果汇总!$AI$10:$AI$13,0)</f>
        <v>#VALUE!</v>
      </c>
      <c r="CE100" s="10" t="e">
        <f>MATCH(INDEX($BP$12:$BU$12,1,MATCH(BQ100,$BP$15:$BU$15,0)),结果汇总!$AI$10:$AI$13,0)</f>
        <v>#VALUE!</v>
      </c>
      <c r="CF100" s="10" t="e">
        <f>MATCH(INDEX($BP$12:$BU$12,1,MATCH(BR100,$BP$15:$BU$15,0)),结果汇总!$AI$10:$AI$13,0)</f>
        <v>#VALUE!</v>
      </c>
      <c r="CG100" s="10" t="e">
        <f>MATCH(INDEX($BP$12:$BU$12,1,MATCH(BS100,$BP$15:$BU$15,0)),结果汇总!$AI$10:$AI$13,0)</f>
        <v>#VALUE!</v>
      </c>
      <c r="CH100" s="10" t="e">
        <f>MATCH(INDEX($BP$12:$BU$12,1,MATCH(BT100,$BP$15:$BU$15,0)),结果汇总!$AI$10:$AI$13,0)</f>
        <v>#VALUE!</v>
      </c>
      <c r="CI100" s="10" t="e">
        <f>MATCH(INDEX($BP$12:$BU$12,1,MATCH(BU100,$BP$15:$BU$15,0)),结果汇总!$AI$10:$AI$13,0)</f>
        <v>#VALUE!</v>
      </c>
      <c r="CK100" s="10">
        <f t="shared" si="145"/>
        <v>0</v>
      </c>
      <c r="CL100" s="10">
        <f t="shared" si="145"/>
        <v>0</v>
      </c>
      <c r="CM100" s="10">
        <f t="shared" si="145"/>
        <v>0</v>
      </c>
      <c r="CN100" s="10">
        <f t="shared" si="145"/>
        <v>0</v>
      </c>
      <c r="CO100" s="10" t="e">
        <f t="shared" si="146"/>
        <v>#DIV/0!</v>
      </c>
      <c r="CP100" s="10" t="e">
        <f t="shared" si="146"/>
        <v>#DIV/0!</v>
      </c>
      <c r="CQ100" s="10" t="e">
        <f t="shared" si="146"/>
        <v>#DIV/0!</v>
      </c>
      <c r="CR100" s="10" t="e">
        <f t="shared" si="146"/>
        <v>#DIV/0!</v>
      </c>
      <c r="CS100" s="10">
        <f t="shared" si="147"/>
        <v>0</v>
      </c>
      <c r="CT100" s="10">
        <f t="shared" si="147"/>
        <v>0</v>
      </c>
      <c r="CU100" s="10">
        <f t="shared" si="147"/>
        <v>0</v>
      </c>
      <c r="CV100" s="10">
        <f t="shared" si="147"/>
        <v>0</v>
      </c>
      <c r="CW100" s="10">
        <f t="shared" si="148"/>
        <v>0</v>
      </c>
      <c r="CX100" s="10">
        <f t="shared" si="148"/>
        <v>0</v>
      </c>
      <c r="CY100" s="10">
        <f t="shared" si="148"/>
        <v>0</v>
      </c>
      <c r="CZ100" s="10">
        <f t="shared" si="148"/>
        <v>0</v>
      </c>
    </row>
    <row r="101" spans="4:104" x14ac:dyDescent="0.15">
      <c r="D101" s="10">
        <v>86</v>
      </c>
      <c r="E101" s="10" t="e">
        <f t="shared" si="114"/>
        <v>#VALUE!</v>
      </c>
      <c r="F101" s="10" t="e">
        <f t="shared" si="98"/>
        <v>#VALUE!</v>
      </c>
      <c r="G101" s="10" t="e">
        <f t="shared" si="99"/>
        <v>#VALUE!</v>
      </c>
      <c r="H101" s="10" t="e">
        <f t="shared" si="115"/>
        <v>#VALUE!</v>
      </c>
      <c r="I101" s="10" t="e">
        <f t="shared" si="100"/>
        <v>#VALUE!</v>
      </c>
      <c r="J101" s="10" t="e">
        <f t="shared" si="116"/>
        <v>#VALUE!</v>
      </c>
      <c r="K101" s="10" t="e">
        <f t="shared" si="101"/>
        <v>#VALUE!</v>
      </c>
      <c r="L101" s="10" t="e">
        <f t="shared" si="102"/>
        <v>#VALUE!</v>
      </c>
      <c r="M101" s="10" t="e">
        <f t="shared" si="117"/>
        <v>#VALUE!</v>
      </c>
      <c r="O101" s="10" t="e">
        <f t="shared" si="118"/>
        <v>#VALUE!</v>
      </c>
      <c r="P101" s="10" t="e">
        <f t="shared" si="103"/>
        <v>#VALUE!</v>
      </c>
      <c r="Q101" s="10" t="e">
        <f t="shared" si="104"/>
        <v>#VALUE!</v>
      </c>
      <c r="R101" s="10" t="e">
        <f t="shared" si="119"/>
        <v>#VALUE!</v>
      </c>
      <c r="S101" s="10" t="e">
        <f t="shared" si="120"/>
        <v>#VALUE!</v>
      </c>
      <c r="T101" s="10" t="e">
        <f t="shared" si="149"/>
        <v>#VALUE!</v>
      </c>
      <c r="U101" s="10" t="e">
        <f t="shared" si="150"/>
        <v>#VALUE!</v>
      </c>
      <c r="V101" s="10" t="e">
        <f t="shared" si="105"/>
        <v>#VALUE!</v>
      </c>
      <c r="W101" s="10" t="e">
        <f t="shared" si="121"/>
        <v>#VALUE!</v>
      </c>
      <c r="Y101" s="10" t="e">
        <f t="shared" si="122"/>
        <v>#VALUE!</v>
      </c>
      <c r="Z101" s="11" t="e">
        <f t="shared" si="123"/>
        <v>#VALUE!</v>
      </c>
      <c r="AA101" s="10" t="e">
        <f t="shared" si="106"/>
        <v>#VALUE!</v>
      </c>
      <c r="AB101" s="10" t="e">
        <f t="shared" si="124"/>
        <v>#VALUE!</v>
      </c>
      <c r="AC101" s="10" t="e">
        <f t="shared" si="125"/>
        <v>#VALUE!</v>
      </c>
      <c r="AD101" s="10" t="e">
        <f t="shared" si="151"/>
        <v>#VALUE!</v>
      </c>
      <c r="AE101" s="10" t="e">
        <f t="shared" si="152"/>
        <v>#VALUE!</v>
      </c>
      <c r="AF101" s="10" t="e">
        <f t="shared" si="107"/>
        <v>#VALUE!</v>
      </c>
      <c r="AG101" s="10" t="e">
        <f t="shared" si="126"/>
        <v>#VALUE!</v>
      </c>
      <c r="AI101" s="13"/>
      <c r="AK101" s="10" t="e">
        <f t="shared" si="127"/>
        <v>#VALUE!</v>
      </c>
      <c r="AL101" s="10" t="e">
        <f t="shared" si="153"/>
        <v>#VALUE!</v>
      </c>
      <c r="AM101" s="10" t="e">
        <f t="shared" si="108"/>
        <v>#VALUE!</v>
      </c>
      <c r="AN101" s="10" t="e">
        <f t="shared" si="128"/>
        <v>#VALUE!</v>
      </c>
      <c r="AO101" s="10" t="e">
        <f t="shared" si="129"/>
        <v>#VALUE!</v>
      </c>
      <c r="AP101" s="10" t="e">
        <f t="shared" si="130"/>
        <v>#VALUE!</v>
      </c>
      <c r="AQ101" s="10" t="e">
        <f t="shared" si="154"/>
        <v>#VALUE!</v>
      </c>
      <c r="AR101" s="10" t="e">
        <f t="shared" si="109"/>
        <v>#VALUE!</v>
      </c>
      <c r="AS101" s="10" t="e">
        <f t="shared" si="155"/>
        <v>#VALUE!</v>
      </c>
      <c r="AU101" s="10" t="e">
        <f t="shared" si="131"/>
        <v>#VALUE!</v>
      </c>
      <c r="AV101" s="10" t="e">
        <f t="shared" si="156"/>
        <v>#VALUE!</v>
      </c>
      <c r="AW101" s="10" t="e">
        <f t="shared" si="110"/>
        <v>#VALUE!</v>
      </c>
      <c r="AX101" s="10" t="e">
        <f t="shared" si="132"/>
        <v>#VALUE!</v>
      </c>
      <c r="AY101" s="10" t="e">
        <f t="shared" si="133"/>
        <v>#VALUE!</v>
      </c>
      <c r="AZ101" s="10" t="e">
        <f t="shared" si="134"/>
        <v>#VALUE!</v>
      </c>
      <c r="BA101" s="10" t="e">
        <f t="shared" si="157"/>
        <v>#VALUE!</v>
      </c>
      <c r="BB101" s="10" t="e">
        <f t="shared" si="111"/>
        <v>#VALUE!</v>
      </c>
      <c r="BC101" s="10" t="e">
        <f t="shared" si="158"/>
        <v>#VALUE!</v>
      </c>
      <c r="BE101" s="10" t="e">
        <f t="shared" si="135"/>
        <v>#VALUE!</v>
      </c>
      <c r="BF101" s="10" t="e">
        <f t="shared" si="159"/>
        <v>#VALUE!</v>
      </c>
      <c r="BG101" s="10" t="e">
        <f t="shared" si="112"/>
        <v>#VALUE!</v>
      </c>
      <c r="BH101" s="10" t="e">
        <f t="shared" si="136"/>
        <v>#VALUE!</v>
      </c>
      <c r="BI101" s="10" t="e">
        <f t="shared" si="137"/>
        <v>#VALUE!</v>
      </c>
      <c r="BJ101" s="10" t="e">
        <f t="shared" si="138"/>
        <v>#VALUE!</v>
      </c>
      <c r="BK101" s="10" t="e">
        <f t="shared" si="160"/>
        <v>#VALUE!</v>
      </c>
      <c r="BL101" s="10" t="e">
        <f t="shared" si="113"/>
        <v>#VALUE!</v>
      </c>
      <c r="BM101" s="10" t="e">
        <f t="shared" si="161"/>
        <v>#VALUE!</v>
      </c>
      <c r="BP101" s="10" t="e">
        <f t="shared" si="77"/>
        <v>#VALUE!</v>
      </c>
      <c r="BQ101" s="10" t="e">
        <f t="shared" si="78"/>
        <v>#VALUE!</v>
      </c>
      <c r="BR101" s="10" t="e">
        <f t="shared" si="79"/>
        <v>#VALUE!</v>
      </c>
      <c r="BS101" s="10" t="e">
        <f t="shared" si="80"/>
        <v>#VALUE!</v>
      </c>
      <c r="BT101" s="10" t="e">
        <f t="shared" si="81"/>
        <v>#VALUE!</v>
      </c>
      <c r="BU101" s="10" t="e">
        <f t="shared" si="82"/>
        <v>#VALUE!</v>
      </c>
      <c r="BW101" s="10" t="e">
        <f t="shared" si="139"/>
        <v>#VALUE!</v>
      </c>
      <c r="BX101" s="10" t="e">
        <f t="shared" si="140"/>
        <v>#VALUE!</v>
      </c>
      <c r="BY101" s="10" t="e">
        <f t="shared" si="141"/>
        <v>#VALUE!</v>
      </c>
      <c r="BZ101" s="10" t="e">
        <f t="shared" si="142"/>
        <v>#VALUE!</v>
      </c>
      <c r="CA101" s="10" t="e">
        <f t="shared" si="143"/>
        <v>#VALUE!</v>
      </c>
      <c r="CB101" s="10" t="e">
        <f t="shared" si="144"/>
        <v>#VALUE!</v>
      </c>
      <c r="CD101" s="10" t="e">
        <f>MATCH(INDEX($BP$12:$BU$12,1,MATCH(BP101,$BP$15:$BU$15,0)),结果汇总!$AI$10:$AI$13,0)</f>
        <v>#VALUE!</v>
      </c>
      <c r="CE101" s="10" t="e">
        <f>MATCH(INDEX($BP$12:$BU$12,1,MATCH(BQ101,$BP$15:$BU$15,0)),结果汇总!$AI$10:$AI$13,0)</f>
        <v>#VALUE!</v>
      </c>
      <c r="CF101" s="10" t="e">
        <f>MATCH(INDEX($BP$12:$BU$12,1,MATCH(BR101,$BP$15:$BU$15,0)),结果汇总!$AI$10:$AI$13,0)</f>
        <v>#VALUE!</v>
      </c>
      <c r="CG101" s="10" t="e">
        <f>MATCH(INDEX($BP$12:$BU$12,1,MATCH(BS101,$BP$15:$BU$15,0)),结果汇总!$AI$10:$AI$13,0)</f>
        <v>#VALUE!</v>
      </c>
      <c r="CH101" s="10" t="e">
        <f>MATCH(INDEX($BP$12:$BU$12,1,MATCH(BT101,$BP$15:$BU$15,0)),结果汇总!$AI$10:$AI$13,0)</f>
        <v>#VALUE!</v>
      </c>
      <c r="CI101" s="10" t="e">
        <f>MATCH(INDEX($BP$12:$BU$12,1,MATCH(BU101,$BP$15:$BU$15,0)),结果汇总!$AI$10:$AI$13,0)</f>
        <v>#VALUE!</v>
      </c>
      <c r="CK101" s="10">
        <f t="shared" si="145"/>
        <v>0</v>
      </c>
      <c r="CL101" s="10">
        <f t="shared" si="145"/>
        <v>0</v>
      </c>
      <c r="CM101" s="10">
        <f t="shared" si="145"/>
        <v>0</v>
      </c>
      <c r="CN101" s="10">
        <f t="shared" si="145"/>
        <v>0</v>
      </c>
      <c r="CO101" s="10" t="e">
        <f t="shared" si="146"/>
        <v>#DIV/0!</v>
      </c>
      <c r="CP101" s="10" t="e">
        <f t="shared" si="146"/>
        <v>#DIV/0!</v>
      </c>
      <c r="CQ101" s="10" t="e">
        <f t="shared" si="146"/>
        <v>#DIV/0!</v>
      </c>
      <c r="CR101" s="10" t="e">
        <f t="shared" si="146"/>
        <v>#DIV/0!</v>
      </c>
      <c r="CS101" s="10">
        <f t="shared" si="147"/>
        <v>0</v>
      </c>
      <c r="CT101" s="10">
        <f t="shared" si="147"/>
        <v>0</v>
      </c>
      <c r="CU101" s="10">
        <f t="shared" si="147"/>
        <v>0</v>
      </c>
      <c r="CV101" s="10">
        <f t="shared" si="147"/>
        <v>0</v>
      </c>
      <c r="CW101" s="10">
        <f t="shared" si="148"/>
        <v>0</v>
      </c>
      <c r="CX101" s="10">
        <f t="shared" si="148"/>
        <v>0</v>
      </c>
      <c r="CY101" s="10">
        <f t="shared" si="148"/>
        <v>0</v>
      </c>
      <c r="CZ101" s="10">
        <f t="shared" si="148"/>
        <v>0</v>
      </c>
    </row>
    <row r="102" spans="4:104" x14ac:dyDescent="0.15">
      <c r="D102" s="10">
        <v>87</v>
      </c>
      <c r="E102" s="10" t="e">
        <f t="shared" si="114"/>
        <v>#VALUE!</v>
      </c>
      <c r="F102" s="10" t="e">
        <f t="shared" si="98"/>
        <v>#VALUE!</v>
      </c>
      <c r="G102" s="10" t="e">
        <f t="shared" si="99"/>
        <v>#VALUE!</v>
      </c>
      <c r="H102" s="10" t="e">
        <f t="shared" si="115"/>
        <v>#VALUE!</v>
      </c>
      <c r="I102" s="10" t="e">
        <f t="shared" si="100"/>
        <v>#VALUE!</v>
      </c>
      <c r="J102" s="10" t="e">
        <f t="shared" si="116"/>
        <v>#VALUE!</v>
      </c>
      <c r="K102" s="10" t="e">
        <f t="shared" si="101"/>
        <v>#VALUE!</v>
      </c>
      <c r="L102" s="10" t="e">
        <f t="shared" si="102"/>
        <v>#VALUE!</v>
      </c>
      <c r="M102" s="10" t="e">
        <f t="shared" si="117"/>
        <v>#VALUE!</v>
      </c>
      <c r="O102" s="10" t="e">
        <f t="shared" si="118"/>
        <v>#VALUE!</v>
      </c>
      <c r="P102" s="10" t="e">
        <f t="shared" si="103"/>
        <v>#VALUE!</v>
      </c>
      <c r="Q102" s="10" t="e">
        <f t="shared" si="104"/>
        <v>#VALUE!</v>
      </c>
      <c r="R102" s="10" t="e">
        <f t="shared" si="119"/>
        <v>#VALUE!</v>
      </c>
      <c r="S102" s="10" t="e">
        <f t="shared" si="120"/>
        <v>#VALUE!</v>
      </c>
      <c r="T102" s="10" t="e">
        <f t="shared" si="149"/>
        <v>#VALUE!</v>
      </c>
      <c r="U102" s="10" t="e">
        <f t="shared" si="150"/>
        <v>#VALUE!</v>
      </c>
      <c r="V102" s="10" t="e">
        <f t="shared" si="105"/>
        <v>#VALUE!</v>
      </c>
      <c r="W102" s="10" t="e">
        <f t="shared" si="121"/>
        <v>#VALUE!</v>
      </c>
      <c r="Y102" s="10" t="e">
        <f t="shared" si="122"/>
        <v>#VALUE!</v>
      </c>
      <c r="Z102" s="11" t="e">
        <f t="shared" si="123"/>
        <v>#VALUE!</v>
      </c>
      <c r="AA102" s="10" t="e">
        <f t="shared" si="106"/>
        <v>#VALUE!</v>
      </c>
      <c r="AB102" s="10" t="e">
        <f t="shared" si="124"/>
        <v>#VALUE!</v>
      </c>
      <c r="AC102" s="10" t="e">
        <f t="shared" si="125"/>
        <v>#VALUE!</v>
      </c>
      <c r="AD102" s="10" t="e">
        <f t="shared" si="151"/>
        <v>#VALUE!</v>
      </c>
      <c r="AE102" s="10" t="e">
        <f t="shared" si="152"/>
        <v>#VALUE!</v>
      </c>
      <c r="AF102" s="10" t="e">
        <f t="shared" si="107"/>
        <v>#VALUE!</v>
      </c>
      <c r="AG102" s="10" t="e">
        <f t="shared" si="126"/>
        <v>#VALUE!</v>
      </c>
      <c r="AI102" s="13"/>
      <c r="AK102" s="10" t="e">
        <f t="shared" si="127"/>
        <v>#VALUE!</v>
      </c>
      <c r="AL102" s="10" t="e">
        <f t="shared" si="153"/>
        <v>#VALUE!</v>
      </c>
      <c r="AM102" s="10" t="e">
        <f t="shared" si="108"/>
        <v>#VALUE!</v>
      </c>
      <c r="AN102" s="10" t="e">
        <f t="shared" si="128"/>
        <v>#VALUE!</v>
      </c>
      <c r="AO102" s="10" t="e">
        <f t="shared" si="129"/>
        <v>#VALUE!</v>
      </c>
      <c r="AP102" s="10" t="e">
        <f t="shared" si="130"/>
        <v>#VALUE!</v>
      </c>
      <c r="AQ102" s="10" t="e">
        <f t="shared" si="154"/>
        <v>#VALUE!</v>
      </c>
      <c r="AR102" s="10" t="e">
        <f t="shared" si="109"/>
        <v>#VALUE!</v>
      </c>
      <c r="AS102" s="10" t="e">
        <f t="shared" si="155"/>
        <v>#VALUE!</v>
      </c>
      <c r="AU102" s="10" t="e">
        <f t="shared" si="131"/>
        <v>#VALUE!</v>
      </c>
      <c r="AV102" s="10" t="e">
        <f t="shared" si="156"/>
        <v>#VALUE!</v>
      </c>
      <c r="AW102" s="10" t="e">
        <f t="shared" si="110"/>
        <v>#VALUE!</v>
      </c>
      <c r="AX102" s="10" t="e">
        <f t="shared" si="132"/>
        <v>#VALUE!</v>
      </c>
      <c r="AY102" s="10" t="e">
        <f t="shared" si="133"/>
        <v>#VALUE!</v>
      </c>
      <c r="AZ102" s="10" t="e">
        <f t="shared" si="134"/>
        <v>#VALUE!</v>
      </c>
      <c r="BA102" s="10" t="e">
        <f t="shared" si="157"/>
        <v>#VALUE!</v>
      </c>
      <c r="BB102" s="10" t="e">
        <f t="shared" si="111"/>
        <v>#VALUE!</v>
      </c>
      <c r="BC102" s="10" t="e">
        <f t="shared" si="158"/>
        <v>#VALUE!</v>
      </c>
      <c r="BE102" s="10" t="e">
        <f t="shared" si="135"/>
        <v>#VALUE!</v>
      </c>
      <c r="BF102" s="10" t="e">
        <f t="shared" si="159"/>
        <v>#VALUE!</v>
      </c>
      <c r="BG102" s="10" t="e">
        <f t="shared" si="112"/>
        <v>#VALUE!</v>
      </c>
      <c r="BH102" s="10" t="e">
        <f t="shared" si="136"/>
        <v>#VALUE!</v>
      </c>
      <c r="BI102" s="10" t="e">
        <f t="shared" si="137"/>
        <v>#VALUE!</v>
      </c>
      <c r="BJ102" s="10" t="e">
        <f t="shared" si="138"/>
        <v>#VALUE!</v>
      </c>
      <c r="BK102" s="10" t="e">
        <f t="shared" si="160"/>
        <v>#VALUE!</v>
      </c>
      <c r="BL102" s="10" t="e">
        <f t="shared" si="113"/>
        <v>#VALUE!</v>
      </c>
      <c r="BM102" s="10" t="e">
        <f t="shared" si="161"/>
        <v>#VALUE!</v>
      </c>
      <c r="BP102" s="10" t="e">
        <f t="shared" si="77"/>
        <v>#VALUE!</v>
      </c>
      <c r="BQ102" s="10" t="e">
        <f t="shared" si="78"/>
        <v>#VALUE!</v>
      </c>
      <c r="BR102" s="10" t="e">
        <f t="shared" si="79"/>
        <v>#VALUE!</v>
      </c>
      <c r="BS102" s="10" t="e">
        <f t="shared" si="80"/>
        <v>#VALUE!</v>
      </c>
      <c r="BT102" s="10" t="e">
        <f t="shared" si="81"/>
        <v>#VALUE!</v>
      </c>
      <c r="BU102" s="10" t="e">
        <f t="shared" si="82"/>
        <v>#VALUE!</v>
      </c>
      <c r="BW102" s="10" t="e">
        <f t="shared" si="139"/>
        <v>#VALUE!</v>
      </c>
      <c r="BX102" s="10" t="e">
        <f t="shared" si="140"/>
        <v>#VALUE!</v>
      </c>
      <c r="BY102" s="10" t="e">
        <f t="shared" si="141"/>
        <v>#VALUE!</v>
      </c>
      <c r="BZ102" s="10" t="e">
        <f t="shared" si="142"/>
        <v>#VALUE!</v>
      </c>
      <c r="CA102" s="10" t="e">
        <f t="shared" si="143"/>
        <v>#VALUE!</v>
      </c>
      <c r="CB102" s="10" t="e">
        <f t="shared" si="144"/>
        <v>#VALUE!</v>
      </c>
      <c r="CD102" s="10" t="e">
        <f>MATCH(INDEX($BP$12:$BU$12,1,MATCH(BP102,$BP$15:$BU$15,0)),结果汇总!$AI$10:$AI$13,0)</f>
        <v>#VALUE!</v>
      </c>
      <c r="CE102" s="10" t="e">
        <f>MATCH(INDEX($BP$12:$BU$12,1,MATCH(BQ102,$BP$15:$BU$15,0)),结果汇总!$AI$10:$AI$13,0)</f>
        <v>#VALUE!</v>
      </c>
      <c r="CF102" s="10" t="e">
        <f>MATCH(INDEX($BP$12:$BU$12,1,MATCH(BR102,$BP$15:$BU$15,0)),结果汇总!$AI$10:$AI$13,0)</f>
        <v>#VALUE!</v>
      </c>
      <c r="CG102" s="10" t="e">
        <f>MATCH(INDEX($BP$12:$BU$12,1,MATCH(BS102,$BP$15:$BU$15,0)),结果汇总!$AI$10:$AI$13,0)</f>
        <v>#VALUE!</v>
      </c>
      <c r="CH102" s="10" t="e">
        <f>MATCH(INDEX($BP$12:$BU$12,1,MATCH(BT102,$BP$15:$BU$15,0)),结果汇总!$AI$10:$AI$13,0)</f>
        <v>#VALUE!</v>
      </c>
      <c r="CI102" s="10" t="e">
        <f>MATCH(INDEX($BP$12:$BU$12,1,MATCH(BU102,$BP$15:$BU$15,0)),结果汇总!$AI$10:$AI$13,0)</f>
        <v>#VALUE!</v>
      </c>
      <c r="CK102" s="10">
        <f t="shared" si="145"/>
        <v>0</v>
      </c>
      <c r="CL102" s="10">
        <f t="shared" si="145"/>
        <v>0</v>
      </c>
      <c r="CM102" s="10">
        <f t="shared" si="145"/>
        <v>0</v>
      </c>
      <c r="CN102" s="10">
        <f t="shared" si="145"/>
        <v>0</v>
      </c>
      <c r="CO102" s="10" t="e">
        <f t="shared" si="146"/>
        <v>#DIV/0!</v>
      </c>
      <c r="CP102" s="10" t="e">
        <f t="shared" si="146"/>
        <v>#DIV/0!</v>
      </c>
      <c r="CQ102" s="10" t="e">
        <f t="shared" si="146"/>
        <v>#DIV/0!</v>
      </c>
      <c r="CR102" s="10" t="e">
        <f t="shared" si="146"/>
        <v>#DIV/0!</v>
      </c>
      <c r="CS102" s="10">
        <f t="shared" si="147"/>
        <v>0</v>
      </c>
      <c r="CT102" s="10">
        <f t="shared" si="147"/>
        <v>0</v>
      </c>
      <c r="CU102" s="10">
        <f t="shared" si="147"/>
        <v>0</v>
      </c>
      <c r="CV102" s="10">
        <f t="shared" si="147"/>
        <v>0</v>
      </c>
      <c r="CW102" s="10">
        <f t="shared" si="148"/>
        <v>0</v>
      </c>
      <c r="CX102" s="10">
        <f t="shared" si="148"/>
        <v>0</v>
      </c>
      <c r="CY102" s="10">
        <f t="shared" si="148"/>
        <v>0</v>
      </c>
      <c r="CZ102" s="10">
        <f t="shared" si="148"/>
        <v>0</v>
      </c>
    </row>
    <row r="103" spans="4:104" x14ac:dyDescent="0.15">
      <c r="D103" s="10">
        <v>88</v>
      </c>
      <c r="E103" s="10" t="e">
        <f t="shared" si="114"/>
        <v>#VALUE!</v>
      </c>
      <c r="F103" s="10" t="e">
        <f t="shared" si="98"/>
        <v>#VALUE!</v>
      </c>
      <c r="G103" s="10" t="e">
        <f t="shared" si="99"/>
        <v>#VALUE!</v>
      </c>
      <c r="H103" s="10" t="e">
        <f t="shared" si="115"/>
        <v>#VALUE!</v>
      </c>
      <c r="I103" s="10" t="e">
        <f t="shared" si="100"/>
        <v>#VALUE!</v>
      </c>
      <c r="J103" s="10" t="e">
        <f t="shared" si="116"/>
        <v>#VALUE!</v>
      </c>
      <c r="K103" s="10" t="e">
        <f t="shared" si="101"/>
        <v>#VALUE!</v>
      </c>
      <c r="L103" s="10" t="e">
        <f t="shared" si="102"/>
        <v>#VALUE!</v>
      </c>
      <c r="M103" s="10" t="e">
        <f t="shared" si="117"/>
        <v>#VALUE!</v>
      </c>
      <c r="O103" s="10" t="e">
        <f t="shared" si="118"/>
        <v>#VALUE!</v>
      </c>
      <c r="P103" s="10" t="e">
        <f t="shared" si="103"/>
        <v>#VALUE!</v>
      </c>
      <c r="Q103" s="10" t="e">
        <f t="shared" si="104"/>
        <v>#VALUE!</v>
      </c>
      <c r="R103" s="10" t="e">
        <f t="shared" si="119"/>
        <v>#VALUE!</v>
      </c>
      <c r="S103" s="10" t="e">
        <f t="shared" si="120"/>
        <v>#VALUE!</v>
      </c>
      <c r="T103" s="10" t="e">
        <f t="shared" si="149"/>
        <v>#VALUE!</v>
      </c>
      <c r="U103" s="10" t="e">
        <f t="shared" si="150"/>
        <v>#VALUE!</v>
      </c>
      <c r="V103" s="10" t="e">
        <f t="shared" si="105"/>
        <v>#VALUE!</v>
      </c>
      <c r="W103" s="10" t="e">
        <f t="shared" si="121"/>
        <v>#VALUE!</v>
      </c>
      <c r="Y103" s="10" t="e">
        <f t="shared" si="122"/>
        <v>#VALUE!</v>
      </c>
      <c r="Z103" s="11" t="e">
        <f t="shared" si="123"/>
        <v>#VALUE!</v>
      </c>
      <c r="AA103" s="10" t="e">
        <f t="shared" si="106"/>
        <v>#VALUE!</v>
      </c>
      <c r="AB103" s="10" t="e">
        <f t="shared" si="124"/>
        <v>#VALUE!</v>
      </c>
      <c r="AC103" s="10" t="e">
        <f t="shared" si="125"/>
        <v>#VALUE!</v>
      </c>
      <c r="AD103" s="10" t="e">
        <f t="shared" si="151"/>
        <v>#VALUE!</v>
      </c>
      <c r="AE103" s="10" t="e">
        <f t="shared" si="152"/>
        <v>#VALUE!</v>
      </c>
      <c r="AF103" s="10" t="e">
        <f t="shared" si="107"/>
        <v>#VALUE!</v>
      </c>
      <c r="AG103" s="10" t="e">
        <f t="shared" si="126"/>
        <v>#VALUE!</v>
      </c>
      <c r="AI103" s="13"/>
      <c r="AK103" s="10" t="e">
        <f t="shared" si="127"/>
        <v>#VALUE!</v>
      </c>
      <c r="AL103" s="10" t="e">
        <f t="shared" si="153"/>
        <v>#VALUE!</v>
      </c>
      <c r="AM103" s="10" t="e">
        <f t="shared" si="108"/>
        <v>#VALUE!</v>
      </c>
      <c r="AN103" s="10" t="e">
        <f t="shared" si="128"/>
        <v>#VALUE!</v>
      </c>
      <c r="AO103" s="10" t="e">
        <f t="shared" si="129"/>
        <v>#VALUE!</v>
      </c>
      <c r="AP103" s="10" t="e">
        <f t="shared" si="130"/>
        <v>#VALUE!</v>
      </c>
      <c r="AQ103" s="10" t="e">
        <f t="shared" si="154"/>
        <v>#VALUE!</v>
      </c>
      <c r="AR103" s="10" t="e">
        <f t="shared" si="109"/>
        <v>#VALUE!</v>
      </c>
      <c r="AS103" s="10" t="e">
        <f t="shared" si="155"/>
        <v>#VALUE!</v>
      </c>
      <c r="AU103" s="10" t="e">
        <f t="shared" si="131"/>
        <v>#VALUE!</v>
      </c>
      <c r="AV103" s="10" t="e">
        <f t="shared" si="156"/>
        <v>#VALUE!</v>
      </c>
      <c r="AW103" s="10" t="e">
        <f t="shared" si="110"/>
        <v>#VALUE!</v>
      </c>
      <c r="AX103" s="10" t="e">
        <f t="shared" si="132"/>
        <v>#VALUE!</v>
      </c>
      <c r="AY103" s="10" t="e">
        <f t="shared" si="133"/>
        <v>#VALUE!</v>
      </c>
      <c r="AZ103" s="10" t="e">
        <f t="shared" si="134"/>
        <v>#VALUE!</v>
      </c>
      <c r="BA103" s="10" t="e">
        <f t="shared" si="157"/>
        <v>#VALUE!</v>
      </c>
      <c r="BB103" s="10" t="e">
        <f t="shared" si="111"/>
        <v>#VALUE!</v>
      </c>
      <c r="BC103" s="10" t="e">
        <f t="shared" si="158"/>
        <v>#VALUE!</v>
      </c>
      <c r="BE103" s="10" t="e">
        <f t="shared" si="135"/>
        <v>#VALUE!</v>
      </c>
      <c r="BF103" s="10" t="e">
        <f t="shared" si="159"/>
        <v>#VALUE!</v>
      </c>
      <c r="BG103" s="10" t="e">
        <f t="shared" si="112"/>
        <v>#VALUE!</v>
      </c>
      <c r="BH103" s="10" t="e">
        <f t="shared" si="136"/>
        <v>#VALUE!</v>
      </c>
      <c r="BI103" s="10" t="e">
        <f t="shared" si="137"/>
        <v>#VALUE!</v>
      </c>
      <c r="BJ103" s="10" t="e">
        <f t="shared" si="138"/>
        <v>#VALUE!</v>
      </c>
      <c r="BK103" s="10" t="e">
        <f t="shared" si="160"/>
        <v>#VALUE!</v>
      </c>
      <c r="BL103" s="10" t="e">
        <f t="shared" si="113"/>
        <v>#VALUE!</v>
      </c>
      <c r="BM103" s="10" t="e">
        <f t="shared" si="161"/>
        <v>#VALUE!</v>
      </c>
      <c r="BP103" s="10" t="e">
        <f t="shared" si="77"/>
        <v>#VALUE!</v>
      </c>
      <c r="BQ103" s="10" t="e">
        <f t="shared" si="78"/>
        <v>#VALUE!</v>
      </c>
      <c r="BR103" s="10" t="e">
        <f t="shared" si="79"/>
        <v>#VALUE!</v>
      </c>
      <c r="BS103" s="10" t="e">
        <f t="shared" si="80"/>
        <v>#VALUE!</v>
      </c>
      <c r="BT103" s="10" t="e">
        <f t="shared" si="81"/>
        <v>#VALUE!</v>
      </c>
      <c r="BU103" s="10" t="e">
        <f t="shared" si="82"/>
        <v>#VALUE!</v>
      </c>
      <c r="BW103" s="10" t="e">
        <f t="shared" si="139"/>
        <v>#VALUE!</v>
      </c>
      <c r="BX103" s="10" t="e">
        <f t="shared" si="140"/>
        <v>#VALUE!</v>
      </c>
      <c r="BY103" s="10" t="e">
        <f t="shared" si="141"/>
        <v>#VALUE!</v>
      </c>
      <c r="BZ103" s="10" t="e">
        <f t="shared" si="142"/>
        <v>#VALUE!</v>
      </c>
      <c r="CA103" s="10" t="e">
        <f t="shared" si="143"/>
        <v>#VALUE!</v>
      </c>
      <c r="CB103" s="10" t="e">
        <f t="shared" si="144"/>
        <v>#VALUE!</v>
      </c>
      <c r="CD103" s="10" t="e">
        <f>MATCH(INDEX($BP$12:$BU$12,1,MATCH(BP103,$BP$15:$BU$15,0)),结果汇总!$AI$10:$AI$13,0)</f>
        <v>#VALUE!</v>
      </c>
      <c r="CE103" s="10" t="e">
        <f>MATCH(INDEX($BP$12:$BU$12,1,MATCH(BQ103,$BP$15:$BU$15,0)),结果汇总!$AI$10:$AI$13,0)</f>
        <v>#VALUE!</v>
      </c>
      <c r="CF103" s="10" t="e">
        <f>MATCH(INDEX($BP$12:$BU$12,1,MATCH(BR103,$BP$15:$BU$15,0)),结果汇总!$AI$10:$AI$13,0)</f>
        <v>#VALUE!</v>
      </c>
      <c r="CG103" s="10" t="e">
        <f>MATCH(INDEX($BP$12:$BU$12,1,MATCH(BS103,$BP$15:$BU$15,0)),结果汇总!$AI$10:$AI$13,0)</f>
        <v>#VALUE!</v>
      </c>
      <c r="CH103" s="10" t="e">
        <f>MATCH(INDEX($BP$12:$BU$12,1,MATCH(BT103,$BP$15:$BU$15,0)),结果汇总!$AI$10:$AI$13,0)</f>
        <v>#VALUE!</v>
      </c>
      <c r="CI103" s="10" t="e">
        <f>MATCH(INDEX($BP$12:$BU$12,1,MATCH(BU103,$BP$15:$BU$15,0)),结果汇总!$AI$10:$AI$13,0)</f>
        <v>#VALUE!</v>
      </c>
      <c r="CK103" s="10">
        <f t="shared" si="145"/>
        <v>0</v>
      </c>
      <c r="CL103" s="10">
        <f t="shared" si="145"/>
        <v>0</v>
      </c>
      <c r="CM103" s="10">
        <f t="shared" si="145"/>
        <v>0</v>
      </c>
      <c r="CN103" s="10">
        <f t="shared" si="145"/>
        <v>0</v>
      </c>
      <c r="CO103" s="10" t="e">
        <f t="shared" si="146"/>
        <v>#DIV/0!</v>
      </c>
      <c r="CP103" s="10" t="e">
        <f t="shared" si="146"/>
        <v>#DIV/0!</v>
      </c>
      <c r="CQ103" s="10" t="e">
        <f t="shared" si="146"/>
        <v>#DIV/0!</v>
      </c>
      <c r="CR103" s="10" t="e">
        <f t="shared" si="146"/>
        <v>#DIV/0!</v>
      </c>
      <c r="CS103" s="10">
        <f t="shared" si="147"/>
        <v>0</v>
      </c>
      <c r="CT103" s="10">
        <f t="shared" si="147"/>
        <v>0</v>
      </c>
      <c r="CU103" s="10">
        <f t="shared" si="147"/>
        <v>0</v>
      </c>
      <c r="CV103" s="10">
        <f t="shared" si="147"/>
        <v>0</v>
      </c>
      <c r="CW103" s="10">
        <f t="shared" si="148"/>
        <v>0</v>
      </c>
      <c r="CX103" s="10">
        <f t="shared" si="148"/>
        <v>0</v>
      </c>
      <c r="CY103" s="10">
        <f t="shared" si="148"/>
        <v>0</v>
      </c>
      <c r="CZ103" s="10">
        <f t="shared" si="148"/>
        <v>0</v>
      </c>
    </row>
    <row r="104" spans="4:104" x14ac:dyDescent="0.15">
      <c r="D104" s="10">
        <v>89</v>
      </c>
      <c r="E104" s="10" t="e">
        <f t="shared" si="114"/>
        <v>#VALUE!</v>
      </c>
      <c r="F104" s="10" t="e">
        <f t="shared" si="98"/>
        <v>#VALUE!</v>
      </c>
      <c r="G104" s="10" t="e">
        <f t="shared" si="99"/>
        <v>#VALUE!</v>
      </c>
      <c r="H104" s="10" t="e">
        <f t="shared" si="115"/>
        <v>#VALUE!</v>
      </c>
      <c r="I104" s="10" t="e">
        <f t="shared" si="100"/>
        <v>#VALUE!</v>
      </c>
      <c r="J104" s="10" t="e">
        <f t="shared" si="116"/>
        <v>#VALUE!</v>
      </c>
      <c r="K104" s="10" t="e">
        <f t="shared" si="101"/>
        <v>#VALUE!</v>
      </c>
      <c r="L104" s="10" t="e">
        <f t="shared" si="102"/>
        <v>#VALUE!</v>
      </c>
      <c r="M104" s="10" t="e">
        <f t="shared" si="117"/>
        <v>#VALUE!</v>
      </c>
      <c r="O104" s="10" t="e">
        <f t="shared" si="118"/>
        <v>#VALUE!</v>
      </c>
      <c r="P104" s="10" t="e">
        <f t="shared" si="103"/>
        <v>#VALUE!</v>
      </c>
      <c r="Q104" s="10" t="e">
        <f t="shared" si="104"/>
        <v>#VALUE!</v>
      </c>
      <c r="R104" s="10" t="e">
        <f t="shared" si="119"/>
        <v>#VALUE!</v>
      </c>
      <c r="S104" s="10" t="e">
        <f t="shared" si="120"/>
        <v>#VALUE!</v>
      </c>
      <c r="T104" s="10" t="e">
        <f t="shared" si="149"/>
        <v>#VALUE!</v>
      </c>
      <c r="U104" s="10" t="e">
        <f t="shared" si="150"/>
        <v>#VALUE!</v>
      </c>
      <c r="V104" s="10" t="e">
        <f t="shared" si="105"/>
        <v>#VALUE!</v>
      </c>
      <c r="W104" s="10" t="e">
        <f t="shared" si="121"/>
        <v>#VALUE!</v>
      </c>
      <c r="Y104" s="10" t="e">
        <f t="shared" si="122"/>
        <v>#VALUE!</v>
      </c>
      <c r="Z104" s="11" t="e">
        <f t="shared" si="123"/>
        <v>#VALUE!</v>
      </c>
      <c r="AA104" s="10" t="e">
        <f t="shared" si="106"/>
        <v>#VALUE!</v>
      </c>
      <c r="AB104" s="10" t="e">
        <f t="shared" si="124"/>
        <v>#VALUE!</v>
      </c>
      <c r="AC104" s="10" t="e">
        <f t="shared" si="125"/>
        <v>#VALUE!</v>
      </c>
      <c r="AD104" s="10" t="e">
        <f t="shared" si="151"/>
        <v>#VALUE!</v>
      </c>
      <c r="AE104" s="10" t="e">
        <f t="shared" si="152"/>
        <v>#VALUE!</v>
      </c>
      <c r="AF104" s="10" t="e">
        <f t="shared" si="107"/>
        <v>#VALUE!</v>
      </c>
      <c r="AG104" s="10" t="e">
        <f t="shared" si="126"/>
        <v>#VALUE!</v>
      </c>
      <c r="AI104" s="13"/>
      <c r="AK104" s="10" t="e">
        <f t="shared" si="127"/>
        <v>#VALUE!</v>
      </c>
      <c r="AL104" s="10" t="e">
        <f t="shared" si="153"/>
        <v>#VALUE!</v>
      </c>
      <c r="AM104" s="10" t="e">
        <f t="shared" si="108"/>
        <v>#VALUE!</v>
      </c>
      <c r="AN104" s="10" t="e">
        <f t="shared" si="128"/>
        <v>#VALUE!</v>
      </c>
      <c r="AO104" s="10" t="e">
        <f t="shared" si="129"/>
        <v>#VALUE!</v>
      </c>
      <c r="AP104" s="10" t="e">
        <f t="shared" si="130"/>
        <v>#VALUE!</v>
      </c>
      <c r="AQ104" s="10" t="e">
        <f t="shared" si="154"/>
        <v>#VALUE!</v>
      </c>
      <c r="AR104" s="10" t="e">
        <f t="shared" si="109"/>
        <v>#VALUE!</v>
      </c>
      <c r="AS104" s="10" t="e">
        <f t="shared" si="155"/>
        <v>#VALUE!</v>
      </c>
      <c r="AU104" s="10" t="e">
        <f t="shared" si="131"/>
        <v>#VALUE!</v>
      </c>
      <c r="AV104" s="10" t="e">
        <f t="shared" si="156"/>
        <v>#VALUE!</v>
      </c>
      <c r="AW104" s="10" t="e">
        <f t="shared" si="110"/>
        <v>#VALUE!</v>
      </c>
      <c r="AX104" s="10" t="e">
        <f t="shared" si="132"/>
        <v>#VALUE!</v>
      </c>
      <c r="AY104" s="10" t="e">
        <f t="shared" si="133"/>
        <v>#VALUE!</v>
      </c>
      <c r="AZ104" s="10" t="e">
        <f t="shared" si="134"/>
        <v>#VALUE!</v>
      </c>
      <c r="BA104" s="10" t="e">
        <f t="shared" si="157"/>
        <v>#VALUE!</v>
      </c>
      <c r="BB104" s="10" t="e">
        <f t="shared" si="111"/>
        <v>#VALUE!</v>
      </c>
      <c r="BC104" s="10" t="e">
        <f t="shared" si="158"/>
        <v>#VALUE!</v>
      </c>
      <c r="BE104" s="10" t="e">
        <f t="shared" si="135"/>
        <v>#VALUE!</v>
      </c>
      <c r="BF104" s="10" t="e">
        <f t="shared" si="159"/>
        <v>#VALUE!</v>
      </c>
      <c r="BG104" s="10" t="e">
        <f t="shared" si="112"/>
        <v>#VALUE!</v>
      </c>
      <c r="BH104" s="10" t="e">
        <f t="shared" si="136"/>
        <v>#VALUE!</v>
      </c>
      <c r="BI104" s="10" t="e">
        <f t="shared" si="137"/>
        <v>#VALUE!</v>
      </c>
      <c r="BJ104" s="10" t="e">
        <f t="shared" si="138"/>
        <v>#VALUE!</v>
      </c>
      <c r="BK104" s="10" t="e">
        <f t="shared" si="160"/>
        <v>#VALUE!</v>
      </c>
      <c r="BL104" s="10" t="e">
        <f t="shared" si="113"/>
        <v>#VALUE!</v>
      </c>
      <c r="BM104" s="10" t="e">
        <f t="shared" si="161"/>
        <v>#VALUE!</v>
      </c>
      <c r="BP104" s="10" t="e">
        <f t="shared" ref="BP104:BP135" si="162">IF(BZ104&gt;0,BS$15,IF(CA104&gt;0,BT$15,BU$15))</f>
        <v>#VALUE!</v>
      </c>
      <c r="BQ104" s="10" t="e">
        <f t="shared" ref="BQ104:BQ135" si="163">IF(BZ104&gt;0,BS$15,IF(CA104&gt;0,BT$15,BU$15))</f>
        <v>#VALUE!</v>
      </c>
      <c r="BR104" s="10" t="e">
        <f t="shared" ref="BR104:BR135" si="164">IF(BZ104&gt;0,BS$15,IF(CA104&gt;0,BT$15,BU$15))</f>
        <v>#VALUE!</v>
      </c>
      <c r="BS104" s="10" t="e">
        <f t="shared" ref="BS104:BS135" si="165">IF(BY104&gt;0,BR$15,IF(BX104&gt;0,BQ$15,BP$15))</f>
        <v>#VALUE!</v>
      </c>
      <c r="BT104" s="10" t="e">
        <f t="shared" ref="BT104:BT135" si="166">IF(BY104&gt;0,BR$15,IF(BX104&gt;0,BQ$15,BP$15))</f>
        <v>#VALUE!</v>
      </c>
      <c r="BU104" s="10" t="e">
        <f t="shared" ref="BU104:BU135" si="167">IF(BY104&gt;0,BR$15,IF(BX104&gt;0,BQ$15,BP$15))</f>
        <v>#VALUE!</v>
      </c>
      <c r="BW104" s="10" t="e">
        <f>Y104+AD104*1000</f>
        <v>#VALUE!</v>
      </c>
      <c r="BX104" s="10" t="e">
        <f t="shared" si="140"/>
        <v>#VALUE!</v>
      </c>
      <c r="BY104" s="10" t="e">
        <f t="shared" si="141"/>
        <v>#VALUE!</v>
      </c>
      <c r="BZ104" s="10" t="e">
        <f t="shared" si="142"/>
        <v>#VALUE!</v>
      </c>
      <c r="CA104" s="10" t="e">
        <f t="shared" si="143"/>
        <v>#VALUE!</v>
      </c>
      <c r="CB104" s="10" t="e">
        <f t="shared" si="144"/>
        <v>#VALUE!</v>
      </c>
      <c r="CD104" s="10" t="e">
        <f>MATCH(INDEX($BP$12:$BU$12,1,MATCH(BP104,$BP$15:$BU$15,0)),结果汇总!$AI$10:$AI$13,0)</f>
        <v>#VALUE!</v>
      </c>
      <c r="CE104" s="10" t="e">
        <f>MATCH(INDEX($BP$12:$BU$12,1,MATCH(BQ104,$BP$15:$BU$15,0)),结果汇总!$AI$10:$AI$13,0)</f>
        <v>#VALUE!</v>
      </c>
      <c r="CF104" s="10" t="e">
        <f>MATCH(INDEX($BP$12:$BU$12,1,MATCH(BR104,$BP$15:$BU$15,0)),结果汇总!$AI$10:$AI$13,0)</f>
        <v>#VALUE!</v>
      </c>
      <c r="CG104" s="10" t="e">
        <f>MATCH(INDEX($BP$12:$BU$12,1,MATCH(BS104,$BP$15:$BU$15,0)),结果汇总!$AI$10:$AI$13,0)</f>
        <v>#VALUE!</v>
      </c>
      <c r="CH104" s="10" t="e">
        <f>MATCH(INDEX($BP$12:$BU$12,1,MATCH(BT104,$BP$15:$BU$15,0)),结果汇总!$AI$10:$AI$13,0)</f>
        <v>#VALUE!</v>
      </c>
      <c r="CI104" s="10" t="e">
        <f>MATCH(INDEX($BP$12:$BU$12,1,MATCH(BU104,$BP$15:$BU$15,0)),结果汇总!$AI$10:$AI$13,0)</f>
        <v>#VALUE!</v>
      </c>
      <c r="CK104" s="10">
        <f t="shared" si="145"/>
        <v>0</v>
      </c>
      <c r="CL104" s="10">
        <f t="shared" si="145"/>
        <v>0</v>
      </c>
      <c r="CM104" s="10">
        <f t="shared" si="145"/>
        <v>0</v>
      </c>
      <c r="CN104" s="10">
        <f t="shared" si="145"/>
        <v>0</v>
      </c>
      <c r="CO104" s="10" t="e">
        <f t="shared" si="146"/>
        <v>#DIV/0!</v>
      </c>
      <c r="CP104" s="10" t="e">
        <f t="shared" si="146"/>
        <v>#DIV/0!</v>
      </c>
      <c r="CQ104" s="10" t="e">
        <f t="shared" si="146"/>
        <v>#DIV/0!</v>
      </c>
      <c r="CR104" s="10" t="e">
        <f t="shared" si="146"/>
        <v>#DIV/0!</v>
      </c>
      <c r="CS104" s="10">
        <f t="shared" si="147"/>
        <v>0</v>
      </c>
      <c r="CT104" s="10">
        <f t="shared" si="147"/>
        <v>0</v>
      </c>
      <c r="CU104" s="10">
        <f t="shared" si="147"/>
        <v>0</v>
      </c>
      <c r="CV104" s="10">
        <f t="shared" si="147"/>
        <v>0</v>
      </c>
      <c r="CW104" s="10">
        <f t="shared" si="148"/>
        <v>0</v>
      </c>
      <c r="CX104" s="10">
        <f t="shared" si="148"/>
        <v>0</v>
      </c>
      <c r="CY104" s="10">
        <f t="shared" si="148"/>
        <v>0</v>
      </c>
      <c r="CZ104" s="10">
        <f t="shared" si="148"/>
        <v>0</v>
      </c>
    </row>
    <row r="105" spans="4:104" x14ac:dyDescent="0.15">
      <c r="D105" s="10">
        <v>90</v>
      </c>
      <c r="E105" s="10" t="e">
        <f t="shared" si="114"/>
        <v>#VALUE!</v>
      </c>
      <c r="F105" s="10" t="e">
        <f t="shared" si="98"/>
        <v>#VALUE!</v>
      </c>
      <c r="G105" s="10" t="e">
        <f t="shared" si="99"/>
        <v>#VALUE!</v>
      </c>
      <c r="H105" s="10" t="e">
        <f t="shared" si="115"/>
        <v>#VALUE!</v>
      </c>
      <c r="I105" s="10" t="e">
        <f t="shared" si="100"/>
        <v>#VALUE!</v>
      </c>
      <c r="J105" s="10" t="e">
        <f t="shared" si="116"/>
        <v>#VALUE!</v>
      </c>
      <c r="K105" s="10" t="e">
        <f t="shared" si="101"/>
        <v>#VALUE!</v>
      </c>
      <c r="L105" s="10" t="e">
        <f t="shared" si="102"/>
        <v>#VALUE!</v>
      </c>
      <c r="M105" s="10" t="e">
        <f t="shared" si="117"/>
        <v>#VALUE!</v>
      </c>
      <c r="O105" s="10" t="e">
        <f t="shared" si="118"/>
        <v>#VALUE!</v>
      </c>
      <c r="P105" s="10" t="e">
        <f t="shared" si="103"/>
        <v>#VALUE!</v>
      </c>
      <c r="Q105" s="10" t="e">
        <f t="shared" si="104"/>
        <v>#VALUE!</v>
      </c>
      <c r="R105" s="10" t="e">
        <f t="shared" si="119"/>
        <v>#VALUE!</v>
      </c>
      <c r="S105" s="10" t="e">
        <f t="shared" si="120"/>
        <v>#VALUE!</v>
      </c>
      <c r="T105" s="10" t="e">
        <f t="shared" si="149"/>
        <v>#VALUE!</v>
      </c>
      <c r="U105" s="10" t="e">
        <f t="shared" si="150"/>
        <v>#VALUE!</v>
      </c>
      <c r="V105" s="10" t="e">
        <f t="shared" si="105"/>
        <v>#VALUE!</v>
      </c>
      <c r="W105" s="10" t="e">
        <f t="shared" si="121"/>
        <v>#VALUE!</v>
      </c>
      <c r="Y105" s="10" t="e">
        <f t="shared" si="122"/>
        <v>#VALUE!</v>
      </c>
      <c r="Z105" s="11" t="e">
        <f t="shared" si="123"/>
        <v>#VALUE!</v>
      </c>
      <c r="AA105" s="10" t="e">
        <f t="shared" si="106"/>
        <v>#VALUE!</v>
      </c>
      <c r="AB105" s="10" t="e">
        <f t="shared" si="124"/>
        <v>#VALUE!</v>
      </c>
      <c r="AC105" s="10" t="e">
        <f t="shared" si="125"/>
        <v>#VALUE!</v>
      </c>
      <c r="AD105" s="10" t="e">
        <f t="shared" si="151"/>
        <v>#VALUE!</v>
      </c>
      <c r="AE105" s="10" t="e">
        <f t="shared" si="152"/>
        <v>#VALUE!</v>
      </c>
      <c r="AF105" s="10" t="e">
        <f t="shared" si="107"/>
        <v>#VALUE!</v>
      </c>
      <c r="AG105" s="10" t="e">
        <f t="shared" si="126"/>
        <v>#VALUE!</v>
      </c>
      <c r="AI105" s="13"/>
      <c r="AK105" s="10" t="e">
        <f t="shared" si="127"/>
        <v>#VALUE!</v>
      </c>
      <c r="AL105" s="10" t="e">
        <f t="shared" si="153"/>
        <v>#VALUE!</v>
      </c>
      <c r="AM105" s="10" t="e">
        <f t="shared" si="108"/>
        <v>#VALUE!</v>
      </c>
      <c r="AN105" s="10" t="e">
        <f t="shared" si="128"/>
        <v>#VALUE!</v>
      </c>
      <c r="AO105" s="10" t="e">
        <f t="shared" si="129"/>
        <v>#VALUE!</v>
      </c>
      <c r="AP105" s="10" t="e">
        <f t="shared" si="130"/>
        <v>#VALUE!</v>
      </c>
      <c r="AQ105" s="10" t="e">
        <f t="shared" si="154"/>
        <v>#VALUE!</v>
      </c>
      <c r="AR105" s="10" t="e">
        <f t="shared" si="109"/>
        <v>#VALUE!</v>
      </c>
      <c r="AS105" s="10" t="e">
        <f t="shared" si="155"/>
        <v>#VALUE!</v>
      </c>
      <c r="AU105" s="10" t="e">
        <f t="shared" si="131"/>
        <v>#VALUE!</v>
      </c>
      <c r="AV105" s="10" t="e">
        <f t="shared" si="156"/>
        <v>#VALUE!</v>
      </c>
      <c r="AW105" s="10" t="e">
        <f t="shared" si="110"/>
        <v>#VALUE!</v>
      </c>
      <c r="AX105" s="10" t="e">
        <f t="shared" si="132"/>
        <v>#VALUE!</v>
      </c>
      <c r="AY105" s="10" t="e">
        <f t="shared" si="133"/>
        <v>#VALUE!</v>
      </c>
      <c r="AZ105" s="10" t="e">
        <f t="shared" si="134"/>
        <v>#VALUE!</v>
      </c>
      <c r="BA105" s="10" t="e">
        <f t="shared" si="157"/>
        <v>#VALUE!</v>
      </c>
      <c r="BB105" s="10" t="e">
        <f t="shared" si="111"/>
        <v>#VALUE!</v>
      </c>
      <c r="BC105" s="10" t="e">
        <f t="shared" si="158"/>
        <v>#VALUE!</v>
      </c>
      <c r="BE105" s="10" t="e">
        <f t="shared" si="135"/>
        <v>#VALUE!</v>
      </c>
      <c r="BF105" s="10" t="e">
        <f t="shared" si="159"/>
        <v>#VALUE!</v>
      </c>
      <c r="BG105" s="10" t="e">
        <f t="shared" si="112"/>
        <v>#VALUE!</v>
      </c>
      <c r="BH105" s="10" t="e">
        <f t="shared" si="136"/>
        <v>#VALUE!</v>
      </c>
      <c r="BI105" s="10" t="e">
        <f t="shared" si="137"/>
        <v>#VALUE!</v>
      </c>
      <c r="BJ105" s="10" t="e">
        <f t="shared" si="138"/>
        <v>#VALUE!</v>
      </c>
      <c r="BK105" s="10" t="e">
        <f t="shared" si="160"/>
        <v>#VALUE!</v>
      </c>
      <c r="BL105" s="10" t="e">
        <f t="shared" si="113"/>
        <v>#VALUE!</v>
      </c>
      <c r="BM105" s="10" t="e">
        <f t="shared" si="161"/>
        <v>#VALUE!</v>
      </c>
      <c r="BP105" s="10" t="e">
        <f t="shared" si="162"/>
        <v>#VALUE!</v>
      </c>
      <c r="BQ105" s="10" t="e">
        <f t="shared" si="163"/>
        <v>#VALUE!</v>
      </c>
      <c r="BR105" s="10" t="e">
        <f t="shared" si="164"/>
        <v>#VALUE!</v>
      </c>
      <c r="BS105" s="10" t="e">
        <f t="shared" si="165"/>
        <v>#VALUE!</v>
      </c>
      <c r="BT105" s="10" t="e">
        <f t="shared" si="166"/>
        <v>#VALUE!</v>
      </c>
      <c r="BU105" s="10" t="e">
        <f t="shared" si="167"/>
        <v>#VALUE!</v>
      </c>
      <c r="BW105" s="10" t="e">
        <f t="shared" si="139"/>
        <v>#VALUE!</v>
      </c>
      <c r="BX105" s="10" t="e">
        <f t="shared" si="140"/>
        <v>#VALUE!</v>
      </c>
      <c r="BY105" s="10" t="e">
        <f t="shared" si="141"/>
        <v>#VALUE!</v>
      </c>
      <c r="BZ105" s="10" t="e">
        <f t="shared" si="142"/>
        <v>#VALUE!</v>
      </c>
      <c r="CA105" s="10" t="e">
        <f t="shared" si="143"/>
        <v>#VALUE!</v>
      </c>
      <c r="CB105" s="10" t="e">
        <f t="shared" si="144"/>
        <v>#VALUE!</v>
      </c>
      <c r="CD105" s="10" t="e">
        <f>MATCH(INDEX($BP$12:$BU$12,1,MATCH(BP105,$BP$15:$BU$15,0)),结果汇总!$AI$10:$AI$13,0)</f>
        <v>#VALUE!</v>
      </c>
      <c r="CE105" s="10" t="e">
        <f>MATCH(INDEX($BP$12:$BU$12,1,MATCH(BQ105,$BP$15:$BU$15,0)),结果汇总!$AI$10:$AI$13,0)</f>
        <v>#VALUE!</v>
      </c>
      <c r="CF105" s="10" t="e">
        <f>MATCH(INDEX($BP$12:$BU$12,1,MATCH(BR105,$BP$15:$BU$15,0)),结果汇总!$AI$10:$AI$13,0)</f>
        <v>#VALUE!</v>
      </c>
      <c r="CG105" s="10" t="e">
        <f>MATCH(INDEX($BP$12:$BU$12,1,MATCH(BS105,$BP$15:$BU$15,0)),结果汇总!$AI$10:$AI$13,0)</f>
        <v>#VALUE!</v>
      </c>
      <c r="CH105" s="10" t="e">
        <f>MATCH(INDEX($BP$12:$BU$12,1,MATCH(BT105,$BP$15:$BU$15,0)),结果汇总!$AI$10:$AI$13,0)</f>
        <v>#VALUE!</v>
      </c>
      <c r="CI105" s="10" t="e">
        <f>MATCH(INDEX($BP$12:$BU$12,1,MATCH(BU105,$BP$15:$BU$15,0)),结果汇总!$AI$10:$AI$13,0)</f>
        <v>#VALUE!</v>
      </c>
      <c r="CK105" s="10">
        <f t="shared" si="145"/>
        <v>0</v>
      </c>
      <c r="CL105" s="10">
        <f t="shared" si="145"/>
        <v>0</v>
      </c>
      <c r="CM105" s="10">
        <f t="shared" si="145"/>
        <v>0</v>
      </c>
      <c r="CN105" s="10">
        <f t="shared" si="145"/>
        <v>0</v>
      </c>
      <c r="CO105" s="10" t="e">
        <f t="shared" si="146"/>
        <v>#DIV/0!</v>
      </c>
      <c r="CP105" s="10" t="e">
        <f t="shared" si="146"/>
        <v>#DIV/0!</v>
      </c>
      <c r="CQ105" s="10" t="e">
        <f t="shared" si="146"/>
        <v>#DIV/0!</v>
      </c>
      <c r="CR105" s="10" t="e">
        <f t="shared" si="146"/>
        <v>#DIV/0!</v>
      </c>
      <c r="CS105" s="10">
        <f t="shared" si="147"/>
        <v>0</v>
      </c>
      <c r="CT105" s="10">
        <f t="shared" si="147"/>
        <v>0</v>
      </c>
      <c r="CU105" s="10">
        <f t="shared" si="147"/>
        <v>0</v>
      </c>
      <c r="CV105" s="10">
        <f t="shared" si="147"/>
        <v>0</v>
      </c>
      <c r="CW105" s="10">
        <f t="shared" si="148"/>
        <v>0</v>
      </c>
      <c r="CX105" s="10">
        <f t="shared" si="148"/>
        <v>0</v>
      </c>
      <c r="CY105" s="10">
        <f t="shared" si="148"/>
        <v>0</v>
      </c>
      <c r="CZ105" s="10">
        <f t="shared" si="148"/>
        <v>0</v>
      </c>
    </row>
    <row r="106" spans="4:104" x14ac:dyDescent="0.15">
      <c r="D106" s="10">
        <v>91</v>
      </c>
      <c r="E106" s="10" t="e">
        <f t="shared" si="114"/>
        <v>#VALUE!</v>
      </c>
      <c r="F106" s="10" t="e">
        <f t="shared" si="98"/>
        <v>#VALUE!</v>
      </c>
      <c r="G106" s="10" t="e">
        <f t="shared" si="99"/>
        <v>#VALUE!</v>
      </c>
      <c r="H106" s="10" t="e">
        <f t="shared" si="115"/>
        <v>#VALUE!</v>
      </c>
      <c r="I106" s="10" t="e">
        <f t="shared" si="100"/>
        <v>#VALUE!</v>
      </c>
      <c r="J106" s="10" t="e">
        <f t="shared" si="116"/>
        <v>#VALUE!</v>
      </c>
      <c r="K106" s="10" t="e">
        <f t="shared" si="101"/>
        <v>#VALUE!</v>
      </c>
      <c r="L106" s="10" t="e">
        <f t="shared" si="102"/>
        <v>#VALUE!</v>
      </c>
      <c r="M106" s="10" t="e">
        <f t="shared" si="117"/>
        <v>#VALUE!</v>
      </c>
      <c r="O106" s="10" t="e">
        <f t="shared" si="118"/>
        <v>#VALUE!</v>
      </c>
      <c r="P106" s="10" t="e">
        <f t="shared" si="103"/>
        <v>#VALUE!</v>
      </c>
      <c r="Q106" s="10" t="e">
        <f t="shared" si="104"/>
        <v>#VALUE!</v>
      </c>
      <c r="R106" s="10" t="e">
        <f t="shared" si="119"/>
        <v>#VALUE!</v>
      </c>
      <c r="S106" s="10" t="e">
        <f t="shared" si="120"/>
        <v>#VALUE!</v>
      </c>
      <c r="T106" s="10" t="e">
        <f t="shared" si="149"/>
        <v>#VALUE!</v>
      </c>
      <c r="U106" s="10" t="e">
        <f t="shared" si="150"/>
        <v>#VALUE!</v>
      </c>
      <c r="V106" s="10" t="e">
        <f t="shared" si="105"/>
        <v>#VALUE!</v>
      </c>
      <c r="W106" s="10" t="e">
        <f t="shared" si="121"/>
        <v>#VALUE!</v>
      </c>
      <c r="Y106" s="10" t="e">
        <f t="shared" si="122"/>
        <v>#VALUE!</v>
      </c>
      <c r="Z106" s="11" t="e">
        <f t="shared" si="123"/>
        <v>#VALUE!</v>
      </c>
      <c r="AA106" s="10" t="e">
        <f t="shared" si="106"/>
        <v>#VALUE!</v>
      </c>
      <c r="AB106" s="10" t="e">
        <f t="shared" si="124"/>
        <v>#VALUE!</v>
      </c>
      <c r="AC106" s="10" t="e">
        <f t="shared" si="125"/>
        <v>#VALUE!</v>
      </c>
      <c r="AD106" s="10" t="e">
        <f t="shared" si="151"/>
        <v>#VALUE!</v>
      </c>
      <c r="AE106" s="10" t="e">
        <f t="shared" si="152"/>
        <v>#VALUE!</v>
      </c>
      <c r="AF106" s="10" t="e">
        <f t="shared" si="107"/>
        <v>#VALUE!</v>
      </c>
      <c r="AG106" s="10" t="e">
        <f t="shared" si="126"/>
        <v>#VALUE!</v>
      </c>
      <c r="AI106" s="13"/>
      <c r="AK106" s="10" t="e">
        <f t="shared" si="127"/>
        <v>#VALUE!</v>
      </c>
      <c r="AL106" s="10" t="e">
        <f t="shared" si="153"/>
        <v>#VALUE!</v>
      </c>
      <c r="AM106" s="10" t="e">
        <f t="shared" si="108"/>
        <v>#VALUE!</v>
      </c>
      <c r="AN106" s="10" t="e">
        <f t="shared" si="128"/>
        <v>#VALUE!</v>
      </c>
      <c r="AO106" s="10" t="e">
        <f t="shared" si="129"/>
        <v>#VALUE!</v>
      </c>
      <c r="AP106" s="10" t="e">
        <f t="shared" si="130"/>
        <v>#VALUE!</v>
      </c>
      <c r="AQ106" s="10" t="e">
        <f t="shared" si="154"/>
        <v>#VALUE!</v>
      </c>
      <c r="AR106" s="10" t="e">
        <f t="shared" si="109"/>
        <v>#VALUE!</v>
      </c>
      <c r="AS106" s="10" t="e">
        <f t="shared" si="155"/>
        <v>#VALUE!</v>
      </c>
      <c r="AU106" s="10" t="e">
        <f t="shared" si="131"/>
        <v>#VALUE!</v>
      </c>
      <c r="AV106" s="10" t="e">
        <f t="shared" si="156"/>
        <v>#VALUE!</v>
      </c>
      <c r="AW106" s="10" t="e">
        <f t="shared" si="110"/>
        <v>#VALUE!</v>
      </c>
      <c r="AX106" s="10" t="e">
        <f t="shared" si="132"/>
        <v>#VALUE!</v>
      </c>
      <c r="AY106" s="10" t="e">
        <f t="shared" si="133"/>
        <v>#VALUE!</v>
      </c>
      <c r="AZ106" s="10" t="e">
        <f t="shared" si="134"/>
        <v>#VALUE!</v>
      </c>
      <c r="BA106" s="10" t="e">
        <f t="shared" si="157"/>
        <v>#VALUE!</v>
      </c>
      <c r="BB106" s="10" t="e">
        <f t="shared" si="111"/>
        <v>#VALUE!</v>
      </c>
      <c r="BC106" s="10" t="e">
        <f t="shared" si="158"/>
        <v>#VALUE!</v>
      </c>
      <c r="BE106" s="10" t="e">
        <f t="shared" si="135"/>
        <v>#VALUE!</v>
      </c>
      <c r="BF106" s="10" t="e">
        <f t="shared" si="159"/>
        <v>#VALUE!</v>
      </c>
      <c r="BG106" s="10" t="e">
        <f t="shared" si="112"/>
        <v>#VALUE!</v>
      </c>
      <c r="BH106" s="10" t="e">
        <f t="shared" si="136"/>
        <v>#VALUE!</v>
      </c>
      <c r="BI106" s="10" t="e">
        <f t="shared" si="137"/>
        <v>#VALUE!</v>
      </c>
      <c r="BJ106" s="10" t="e">
        <f t="shared" si="138"/>
        <v>#VALUE!</v>
      </c>
      <c r="BK106" s="10" t="e">
        <f t="shared" si="160"/>
        <v>#VALUE!</v>
      </c>
      <c r="BL106" s="10" t="e">
        <f t="shared" si="113"/>
        <v>#VALUE!</v>
      </c>
      <c r="BM106" s="10" t="e">
        <f t="shared" si="161"/>
        <v>#VALUE!</v>
      </c>
      <c r="BP106" s="10" t="e">
        <f t="shared" si="162"/>
        <v>#VALUE!</v>
      </c>
      <c r="BQ106" s="10" t="e">
        <f t="shared" si="163"/>
        <v>#VALUE!</v>
      </c>
      <c r="BR106" s="10" t="e">
        <f t="shared" si="164"/>
        <v>#VALUE!</v>
      </c>
      <c r="BS106" s="10" t="e">
        <f t="shared" si="165"/>
        <v>#VALUE!</v>
      </c>
      <c r="BT106" s="10" t="e">
        <f t="shared" si="166"/>
        <v>#VALUE!</v>
      </c>
      <c r="BU106" s="10" t="e">
        <f t="shared" si="167"/>
        <v>#VALUE!</v>
      </c>
      <c r="BW106" s="10" t="e">
        <f t="shared" si="139"/>
        <v>#VALUE!</v>
      </c>
      <c r="BX106" s="10" t="e">
        <f t="shared" si="140"/>
        <v>#VALUE!</v>
      </c>
      <c r="BY106" s="10" t="e">
        <f t="shared" si="141"/>
        <v>#VALUE!</v>
      </c>
      <c r="BZ106" s="10" t="e">
        <f t="shared" si="142"/>
        <v>#VALUE!</v>
      </c>
      <c r="CA106" s="10" t="e">
        <f t="shared" si="143"/>
        <v>#VALUE!</v>
      </c>
      <c r="CB106" s="10" t="e">
        <f t="shared" si="144"/>
        <v>#VALUE!</v>
      </c>
      <c r="CD106" s="10" t="e">
        <f>MATCH(INDEX($BP$12:$BU$12,1,MATCH(BP106,$BP$15:$BU$15,0)),结果汇总!$AI$10:$AI$13,0)</f>
        <v>#VALUE!</v>
      </c>
      <c r="CE106" s="10" t="e">
        <f>MATCH(INDEX($BP$12:$BU$12,1,MATCH(BQ106,$BP$15:$BU$15,0)),结果汇总!$AI$10:$AI$13,0)</f>
        <v>#VALUE!</v>
      </c>
      <c r="CF106" s="10" t="e">
        <f>MATCH(INDEX($BP$12:$BU$12,1,MATCH(BR106,$BP$15:$BU$15,0)),结果汇总!$AI$10:$AI$13,0)</f>
        <v>#VALUE!</v>
      </c>
      <c r="CG106" s="10" t="e">
        <f>MATCH(INDEX($BP$12:$BU$12,1,MATCH(BS106,$BP$15:$BU$15,0)),结果汇总!$AI$10:$AI$13,0)</f>
        <v>#VALUE!</v>
      </c>
      <c r="CH106" s="10" t="e">
        <f>MATCH(INDEX($BP$12:$BU$12,1,MATCH(BT106,$BP$15:$BU$15,0)),结果汇总!$AI$10:$AI$13,0)</f>
        <v>#VALUE!</v>
      </c>
      <c r="CI106" s="10" t="e">
        <f>MATCH(INDEX($BP$12:$BU$12,1,MATCH(BU106,$BP$15:$BU$15,0)),结果汇总!$AI$10:$AI$13,0)</f>
        <v>#VALUE!</v>
      </c>
      <c r="CK106" s="10">
        <f t="shared" si="145"/>
        <v>0</v>
      </c>
      <c r="CL106" s="10">
        <f t="shared" si="145"/>
        <v>0</v>
      </c>
      <c r="CM106" s="10">
        <f t="shared" si="145"/>
        <v>0</v>
      </c>
      <c r="CN106" s="10">
        <f t="shared" si="145"/>
        <v>0</v>
      </c>
      <c r="CO106" s="10" t="e">
        <f t="shared" si="146"/>
        <v>#DIV/0!</v>
      </c>
      <c r="CP106" s="10" t="e">
        <f t="shared" si="146"/>
        <v>#DIV/0!</v>
      </c>
      <c r="CQ106" s="10" t="e">
        <f t="shared" si="146"/>
        <v>#DIV/0!</v>
      </c>
      <c r="CR106" s="10" t="e">
        <f t="shared" si="146"/>
        <v>#DIV/0!</v>
      </c>
      <c r="CS106" s="10">
        <f t="shared" si="147"/>
        <v>0</v>
      </c>
      <c r="CT106" s="10">
        <f t="shared" si="147"/>
        <v>0</v>
      </c>
      <c r="CU106" s="10">
        <f t="shared" si="147"/>
        <v>0</v>
      </c>
      <c r="CV106" s="10">
        <f t="shared" si="147"/>
        <v>0</v>
      </c>
      <c r="CW106" s="10">
        <f t="shared" si="148"/>
        <v>0</v>
      </c>
      <c r="CX106" s="10">
        <f t="shared" si="148"/>
        <v>0</v>
      </c>
      <c r="CY106" s="10">
        <f t="shared" si="148"/>
        <v>0</v>
      </c>
      <c r="CZ106" s="10">
        <f t="shared" si="148"/>
        <v>0</v>
      </c>
    </row>
    <row r="107" spans="4:104" x14ac:dyDescent="0.15">
      <c r="D107" s="10">
        <v>92</v>
      </c>
      <c r="E107" s="10" t="e">
        <f t="shared" si="114"/>
        <v>#VALUE!</v>
      </c>
      <c r="F107" s="10" t="e">
        <f t="shared" si="98"/>
        <v>#VALUE!</v>
      </c>
      <c r="G107" s="10" t="e">
        <f t="shared" si="99"/>
        <v>#VALUE!</v>
      </c>
      <c r="H107" s="10" t="e">
        <f t="shared" si="115"/>
        <v>#VALUE!</v>
      </c>
      <c r="I107" s="10" t="e">
        <f t="shared" si="100"/>
        <v>#VALUE!</v>
      </c>
      <c r="J107" s="10" t="e">
        <f t="shared" si="116"/>
        <v>#VALUE!</v>
      </c>
      <c r="K107" s="10" t="e">
        <f t="shared" si="101"/>
        <v>#VALUE!</v>
      </c>
      <c r="L107" s="10" t="e">
        <f t="shared" si="102"/>
        <v>#VALUE!</v>
      </c>
      <c r="M107" s="10" t="e">
        <f t="shared" si="117"/>
        <v>#VALUE!</v>
      </c>
      <c r="O107" s="10" t="e">
        <f t="shared" si="118"/>
        <v>#VALUE!</v>
      </c>
      <c r="P107" s="10" t="e">
        <f t="shared" si="103"/>
        <v>#VALUE!</v>
      </c>
      <c r="Q107" s="10" t="e">
        <f t="shared" si="104"/>
        <v>#VALUE!</v>
      </c>
      <c r="R107" s="10" t="e">
        <f t="shared" si="119"/>
        <v>#VALUE!</v>
      </c>
      <c r="S107" s="10" t="e">
        <f t="shared" si="120"/>
        <v>#VALUE!</v>
      </c>
      <c r="T107" s="10" t="e">
        <f t="shared" si="149"/>
        <v>#VALUE!</v>
      </c>
      <c r="U107" s="10" t="e">
        <f t="shared" si="150"/>
        <v>#VALUE!</v>
      </c>
      <c r="V107" s="10" t="e">
        <f t="shared" si="105"/>
        <v>#VALUE!</v>
      </c>
      <c r="W107" s="10" t="e">
        <f t="shared" si="121"/>
        <v>#VALUE!</v>
      </c>
      <c r="Y107" s="10" t="e">
        <f t="shared" si="122"/>
        <v>#VALUE!</v>
      </c>
      <c r="Z107" s="11" t="e">
        <f t="shared" si="123"/>
        <v>#VALUE!</v>
      </c>
      <c r="AA107" s="10" t="e">
        <f t="shared" si="106"/>
        <v>#VALUE!</v>
      </c>
      <c r="AB107" s="10" t="e">
        <f t="shared" si="124"/>
        <v>#VALUE!</v>
      </c>
      <c r="AC107" s="10" t="e">
        <f t="shared" si="125"/>
        <v>#VALUE!</v>
      </c>
      <c r="AD107" s="10" t="e">
        <f t="shared" si="151"/>
        <v>#VALUE!</v>
      </c>
      <c r="AE107" s="10" t="e">
        <f t="shared" si="152"/>
        <v>#VALUE!</v>
      </c>
      <c r="AF107" s="10" t="e">
        <f t="shared" si="107"/>
        <v>#VALUE!</v>
      </c>
      <c r="AG107" s="10" t="e">
        <f t="shared" si="126"/>
        <v>#VALUE!</v>
      </c>
      <c r="AI107" s="13"/>
      <c r="AK107" s="10" t="e">
        <f t="shared" si="127"/>
        <v>#VALUE!</v>
      </c>
      <c r="AL107" s="10" t="e">
        <f t="shared" si="153"/>
        <v>#VALUE!</v>
      </c>
      <c r="AM107" s="10" t="e">
        <f t="shared" si="108"/>
        <v>#VALUE!</v>
      </c>
      <c r="AN107" s="10" t="e">
        <f t="shared" si="128"/>
        <v>#VALUE!</v>
      </c>
      <c r="AO107" s="10" t="e">
        <f t="shared" si="129"/>
        <v>#VALUE!</v>
      </c>
      <c r="AP107" s="10" t="e">
        <f t="shared" si="130"/>
        <v>#VALUE!</v>
      </c>
      <c r="AQ107" s="10" t="e">
        <f t="shared" si="154"/>
        <v>#VALUE!</v>
      </c>
      <c r="AR107" s="10" t="e">
        <f t="shared" si="109"/>
        <v>#VALUE!</v>
      </c>
      <c r="AS107" s="10" t="e">
        <f t="shared" si="155"/>
        <v>#VALUE!</v>
      </c>
      <c r="AU107" s="10" t="e">
        <f t="shared" si="131"/>
        <v>#VALUE!</v>
      </c>
      <c r="AV107" s="10" t="e">
        <f t="shared" si="156"/>
        <v>#VALUE!</v>
      </c>
      <c r="AW107" s="10" t="e">
        <f t="shared" si="110"/>
        <v>#VALUE!</v>
      </c>
      <c r="AX107" s="10" t="e">
        <f t="shared" si="132"/>
        <v>#VALUE!</v>
      </c>
      <c r="AY107" s="10" t="e">
        <f t="shared" si="133"/>
        <v>#VALUE!</v>
      </c>
      <c r="AZ107" s="10" t="e">
        <f t="shared" si="134"/>
        <v>#VALUE!</v>
      </c>
      <c r="BA107" s="10" t="e">
        <f t="shared" si="157"/>
        <v>#VALUE!</v>
      </c>
      <c r="BB107" s="10" t="e">
        <f t="shared" si="111"/>
        <v>#VALUE!</v>
      </c>
      <c r="BC107" s="10" t="e">
        <f t="shared" si="158"/>
        <v>#VALUE!</v>
      </c>
      <c r="BE107" s="10" t="e">
        <f t="shared" si="135"/>
        <v>#VALUE!</v>
      </c>
      <c r="BF107" s="10" t="e">
        <f t="shared" si="159"/>
        <v>#VALUE!</v>
      </c>
      <c r="BG107" s="10" t="e">
        <f t="shared" si="112"/>
        <v>#VALUE!</v>
      </c>
      <c r="BH107" s="10" t="e">
        <f t="shared" si="136"/>
        <v>#VALUE!</v>
      </c>
      <c r="BI107" s="10" t="e">
        <f t="shared" si="137"/>
        <v>#VALUE!</v>
      </c>
      <c r="BJ107" s="10" t="e">
        <f t="shared" si="138"/>
        <v>#VALUE!</v>
      </c>
      <c r="BK107" s="10" t="e">
        <f t="shared" si="160"/>
        <v>#VALUE!</v>
      </c>
      <c r="BL107" s="10" t="e">
        <f t="shared" si="113"/>
        <v>#VALUE!</v>
      </c>
      <c r="BM107" s="10" t="e">
        <f t="shared" si="161"/>
        <v>#VALUE!</v>
      </c>
      <c r="BP107" s="10" t="e">
        <f t="shared" si="162"/>
        <v>#VALUE!</v>
      </c>
      <c r="BQ107" s="10" t="e">
        <f t="shared" si="163"/>
        <v>#VALUE!</v>
      </c>
      <c r="BR107" s="10" t="e">
        <f t="shared" si="164"/>
        <v>#VALUE!</v>
      </c>
      <c r="BS107" s="10" t="e">
        <f t="shared" si="165"/>
        <v>#VALUE!</v>
      </c>
      <c r="BT107" s="10" t="e">
        <f t="shared" si="166"/>
        <v>#VALUE!</v>
      </c>
      <c r="BU107" s="10" t="e">
        <f t="shared" si="167"/>
        <v>#VALUE!</v>
      </c>
      <c r="BW107" s="10" t="e">
        <f t="shared" si="139"/>
        <v>#VALUE!</v>
      </c>
      <c r="BX107" s="10" t="e">
        <f t="shared" si="140"/>
        <v>#VALUE!</v>
      </c>
      <c r="BY107" s="10" t="e">
        <f t="shared" si="141"/>
        <v>#VALUE!</v>
      </c>
      <c r="BZ107" s="10" t="e">
        <f t="shared" si="142"/>
        <v>#VALUE!</v>
      </c>
      <c r="CA107" s="10" t="e">
        <f t="shared" si="143"/>
        <v>#VALUE!</v>
      </c>
      <c r="CB107" s="10" t="e">
        <f t="shared" si="144"/>
        <v>#VALUE!</v>
      </c>
      <c r="CD107" s="10" t="e">
        <f>MATCH(INDEX($BP$12:$BU$12,1,MATCH(BP107,$BP$15:$BU$15,0)),结果汇总!$AI$10:$AI$13,0)</f>
        <v>#VALUE!</v>
      </c>
      <c r="CE107" s="10" t="e">
        <f>MATCH(INDEX($BP$12:$BU$12,1,MATCH(BQ107,$BP$15:$BU$15,0)),结果汇总!$AI$10:$AI$13,0)</f>
        <v>#VALUE!</v>
      </c>
      <c r="CF107" s="10" t="e">
        <f>MATCH(INDEX($BP$12:$BU$12,1,MATCH(BR107,$BP$15:$BU$15,0)),结果汇总!$AI$10:$AI$13,0)</f>
        <v>#VALUE!</v>
      </c>
      <c r="CG107" s="10" t="e">
        <f>MATCH(INDEX($BP$12:$BU$12,1,MATCH(BS107,$BP$15:$BU$15,0)),结果汇总!$AI$10:$AI$13,0)</f>
        <v>#VALUE!</v>
      </c>
      <c r="CH107" s="10" t="e">
        <f>MATCH(INDEX($BP$12:$BU$12,1,MATCH(BT107,$BP$15:$BU$15,0)),结果汇总!$AI$10:$AI$13,0)</f>
        <v>#VALUE!</v>
      </c>
      <c r="CI107" s="10" t="e">
        <f>MATCH(INDEX($BP$12:$BU$12,1,MATCH(BU107,$BP$15:$BU$15,0)),结果汇总!$AI$10:$AI$13,0)</f>
        <v>#VALUE!</v>
      </c>
      <c r="CK107" s="10">
        <f t="shared" si="145"/>
        <v>0</v>
      </c>
      <c r="CL107" s="10">
        <f t="shared" si="145"/>
        <v>0</v>
      </c>
      <c r="CM107" s="10">
        <f t="shared" si="145"/>
        <v>0</v>
      </c>
      <c r="CN107" s="10">
        <f t="shared" si="145"/>
        <v>0</v>
      </c>
      <c r="CO107" s="10" t="e">
        <f t="shared" si="146"/>
        <v>#DIV/0!</v>
      </c>
      <c r="CP107" s="10" t="e">
        <f t="shared" si="146"/>
        <v>#DIV/0!</v>
      </c>
      <c r="CQ107" s="10" t="e">
        <f t="shared" si="146"/>
        <v>#DIV/0!</v>
      </c>
      <c r="CR107" s="10" t="e">
        <f t="shared" si="146"/>
        <v>#DIV/0!</v>
      </c>
      <c r="CS107" s="10">
        <f t="shared" si="147"/>
        <v>0</v>
      </c>
      <c r="CT107" s="10">
        <f t="shared" si="147"/>
        <v>0</v>
      </c>
      <c r="CU107" s="10">
        <f t="shared" si="147"/>
        <v>0</v>
      </c>
      <c r="CV107" s="10">
        <f t="shared" si="147"/>
        <v>0</v>
      </c>
      <c r="CW107" s="10">
        <f t="shared" si="148"/>
        <v>0</v>
      </c>
      <c r="CX107" s="10">
        <f t="shared" si="148"/>
        <v>0</v>
      </c>
      <c r="CY107" s="10">
        <f t="shared" si="148"/>
        <v>0</v>
      </c>
      <c r="CZ107" s="10">
        <f t="shared" si="148"/>
        <v>0</v>
      </c>
    </row>
    <row r="108" spans="4:104" x14ac:dyDescent="0.15">
      <c r="D108" s="10">
        <v>93</v>
      </c>
      <c r="E108" s="10" t="e">
        <f t="shared" si="114"/>
        <v>#VALUE!</v>
      </c>
      <c r="F108" s="10" t="e">
        <f t="shared" si="98"/>
        <v>#VALUE!</v>
      </c>
      <c r="G108" s="10" t="e">
        <f t="shared" si="99"/>
        <v>#VALUE!</v>
      </c>
      <c r="H108" s="10" t="e">
        <f t="shared" si="115"/>
        <v>#VALUE!</v>
      </c>
      <c r="I108" s="10" t="e">
        <f t="shared" si="100"/>
        <v>#VALUE!</v>
      </c>
      <c r="J108" s="10" t="e">
        <f t="shared" si="116"/>
        <v>#VALUE!</v>
      </c>
      <c r="K108" s="10" t="e">
        <f t="shared" si="101"/>
        <v>#VALUE!</v>
      </c>
      <c r="L108" s="10" t="e">
        <f t="shared" si="102"/>
        <v>#VALUE!</v>
      </c>
      <c r="M108" s="10" t="e">
        <f t="shared" si="117"/>
        <v>#VALUE!</v>
      </c>
      <c r="O108" s="10" t="e">
        <f t="shared" si="118"/>
        <v>#VALUE!</v>
      </c>
      <c r="P108" s="10" t="e">
        <f t="shared" si="103"/>
        <v>#VALUE!</v>
      </c>
      <c r="Q108" s="10" t="e">
        <f t="shared" si="104"/>
        <v>#VALUE!</v>
      </c>
      <c r="R108" s="10" t="e">
        <f t="shared" si="119"/>
        <v>#VALUE!</v>
      </c>
      <c r="S108" s="10" t="e">
        <f t="shared" si="120"/>
        <v>#VALUE!</v>
      </c>
      <c r="T108" s="10" t="e">
        <f t="shared" si="149"/>
        <v>#VALUE!</v>
      </c>
      <c r="U108" s="10" t="e">
        <f t="shared" si="150"/>
        <v>#VALUE!</v>
      </c>
      <c r="V108" s="10" t="e">
        <f t="shared" si="105"/>
        <v>#VALUE!</v>
      </c>
      <c r="W108" s="10" t="e">
        <f t="shared" si="121"/>
        <v>#VALUE!</v>
      </c>
      <c r="Y108" s="10" t="e">
        <f t="shared" si="122"/>
        <v>#VALUE!</v>
      </c>
      <c r="Z108" s="11" t="e">
        <f t="shared" si="123"/>
        <v>#VALUE!</v>
      </c>
      <c r="AA108" s="10" t="e">
        <f t="shared" si="106"/>
        <v>#VALUE!</v>
      </c>
      <c r="AB108" s="10" t="e">
        <f t="shared" si="124"/>
        <v>#VALUE!</v>
      </c>
      <c r="AC108" s="10" t="e">
        <f t="shared" si="125"/>
        <v>#VALUE!</v>
      </c>
      <c r="AD108" s="10" t="e">
        <f t="shared" si="151"/>
        <v>#VALUE!</v>
      </c>
      <c r="AE108" s="10" t="e">
        <f t="shared" si="152"/>
        <v>#VALUE!</v>
      </c>
      <c r="AF108" s="10" t="e">
        <f t="shared" si="107"/>
        <v>#VALUE!</v>
      </c>
      <c r="AG108" s="10" t="e">
        <f t="shared" si="126"/>
        <v>#VALUE!</v>
      </c>
      <c r="AI108" s="13"/>
      <c r="AK108" s="10" t="e">
        <f t="shared" si="127"/>
        <v>#VALUE!</v>
      </c>
      <c r="AL108" s="10" t="e">
        <f t="shared" si="153"/>
        <v>#VALUE!</v>
      </c>
      <c r="AM108" s="10" t="e">
        <f t="shared" si="108"/>
        <v>#VALUE!</v>
      </c>
      <c r="AN108" s="10" t="e">
        <f t="shared" si="128"/>
        <v>#VALUE!</v>
      </c>
      <c r="AO108" s="10" t="e">
        <f t="shared" si="129"/>
        <v>#VALUE!</v>
      </c>
      <c r="AP108" s="10" t="e">
        <f t="shared" si="130"/>
        <v>#VALUE!</v>
      </c>
      <c r="AQ108" s="10" t="e">
        <f t="shared" si="154"/>
        <v>#VALUE!</v>
      </c>
      <c r="AR108" s="10" t="e">
        <f t="shared" si="109"/>
        <v>#VALUE!</v>
      </c>
      <c r="AS108" s="10" t="e">
        <f t="shared" si="155"/>
        <v>#VALUE!</v>
      </c>
      <c r="AU108" s="10" t="e">
        <f t="shared" si="131"/>
        <v>#VALUE!</v>
      </c>
      <c r="AV108" s="10" t="e">
        <f t="shared" si="156"/>
        <v>#VALUE!</v>
      </c>
      <c r="AW108" s="10" t="e">
        <f t="shared" si="110"/>
        <v>#VALUE!</v>
      </c>
      <c r="AX108" s="10" t="e">
        <f t="shared" si="132"/>
        <v>#VALUE!</v>
      </c>
      <c r="AY108" s="10" t="e">
        <f t="shared" si="133"/>
        <v>#VALUE!</v>
      </c>
      <c r="AZ108" s="10" t="e">
        <f t="shared" si="134"/>
        <v>#VALUE!</v>
      </c>
      <c r="BA108" s="10" t="e">
        <f t="shared" si="157"/>
        <v>#VALUE!</v>
      </c>
      <c r="BB108" s="10" t="e">
        <f t="shared" si="111"/>
        <v>#VALUE!</v>
      </c>
      <c r="BC108" s="10" t="e">
        <f t="shared" si="158"/>
        <v>#VALUE!</v>
      </c>
      <c r="BE108" s="10" t="e">
        <f t="shared" si="135"/>
        <v>#VALUE!</v>
      </c>
      <c r="BF108" s="10" t="e">
        <f t="shared" si="159"/>
        <v>#VALUE!</v>
      </c>
      <c r="BG108" s="10" t="e">
        <f t="shared" si="112"/>
        <v>#VALUE!</v>
      </c>
      <c r="BH108" s="10" t="e">
        <f t="shared" si="136"/>
        <v>#VALUE!</v>
      </c>
      <c r="BI108" s="10" t="e">
        <f t="shared" si="137"/>
        <v>#VALUE!</v>
      </c>
      <c r="BJ108" s="10" t="e">
        <f t="shared" si="138"/>
        <v>#VALUE!</v>
      </c>
      <c r="BK108" s="10" t="e">
        <f t="shared" si="160"/>
        <v>#VALUE!</v>
      </c>
      <c r="BL108" s="10" t="e">
        <f t="shared" si="113"/>
        <v>#VALUE!</v>
      </c>
      <c r="BM108" s="10" t="e">
        <f t="shared" si="161"/>
        <v>#VALUE!</v>
      </c>
      <c r="BP108" s="10" t="e">
        <f t="shared" si="162"/>
        <v>#VALUE!</v>
      </c>
      <c r="BQ108" s="10" t="e">
        <f t="shared" si="163"/>
        <v>#VALUE!</v>
      </c>
      <c r="BR108" s="10" t="e">
        <f t="shared" si="164"/>
        <v>#VALUE!</v>
      </c>
      <c r="BS108" s="10" t="e">
        <f t="shared" si="165"/>
        <v>#VALUE!</v>
      </c>
      <c r="BT108" s="10" t="e">
        <f t="shared" si="166"/>
        <v>#VALUE!</v>
      </c>
      <c r="BU108" s="10" t="e">
        <f t="shared" si="167"/>
        <v>#VALUE!</v>
      </c>
      <c r="BW108" s="10" t="e">
        <f t="shared" si="139"/>
        <v>#VALUE!</v>
      </c>
      <c r="BX108" s="10" t="e">
        <f t="shared" si="140"/>
        <v>#VALUE!</v>
      </c>
      <c r="BY108" s="10" t="e">
        <f t="shared" si="141"/>
        <v>#VALUE!</v>
      </c>
      <c r="BZ108" s="10" t="e">
        <f t="shared" si="142"/>
        <v>#VALUE!</v>
      </c>
      <c r="CA108" s="10" t="e">
        <f t="shared" si="143"/>
        <v>#VALUE!</v>
      </c>
      <c r="CB108" s="10" t="e">
        <f t="shared" si="144"/>
        <v>#VALUE!</v>
      </c>
      <c r="CD108" s="10" t="e">
        <f>MATCH(INDEX($BP$12:$BU$12,1,MATCH(BP108,$BP$15:$BU$15,0)),结果汇总!$AI$10:$AI$13,0)</f>
        <v>#VALUE!</v>
      </c>
      <c r="CE108" s="10" t="e">
        <f>MATCH(INDEX($BP$12:$BU$12,1,MATCH(BQ108,$BP$15:$BU$15,0)),结果汇总!$AI$10:$AI$13,0)</f>
        <v>#VALUE!</v>
      </c>
      <c r="CF108" s="10" t="e">
        <f>MATCH(INDEX($BP$12:$BU$12,1,MATCH(BR108,$BP$15:$BU$15,0)),结果汇总!$AI$10:$AI$13,0)</f>
        <v>#VALUE!</v>
      </c>
      <c r="CG108" s="10" t="e">
        <f>MATCH(INDEX($BP$12:$BU$12,1,MATCH(BS108,$BP$15:$BU$15,0)),结果汇总!$AI$10:$AI$13,0)</f>
        <v>#VALUE!</v>
      </c>
      <c r="CH108" s="10" t="e">
        <f>MATCH(INDEX($BP$12:$BU$12,1,MATCH(BT108,$BP$15:$BU$15,0)),结果汇总!$AI$10:$AI$13,0)</f>
        <v>#VALUE!</v>
      </c>
      <c r="CI108" s="10" t="e">
        <f>MATCH(INDEX($BP$12:$BU$12,1,MATCH(BU108,$BP$15:$BU$15,0)),结果汇总!$AI$10:$AI$13,0)</f>
        <v>#VALUE!</v>
      </c>
      <c r="CK108" s="10">
        <f t="shared" si="145"/>
        <v>0</v>
      </c>
      <c r="CL108" s="10">
        <f t="shared" si="145"/>
        <v>0</v>
      </c>
      <c r="CM108" s="10">
        <f t="shared" si="145"/>
        <v>0</v>
      </c>
      <c r="CN108" s="10">
        <f t="shared" si="145"/>
        <v>0</v>
      </c>
      <c r="CO108" s="10" t="e">
        <f t="shared" si="146"/>
        <v>#DIV/0!</v>
      </c>
      <c r="CP108" s="10" t="e">
        <f t="shared" si="146"/>
        <v>#DIV/0!</v>
      </c>
      <c r="CQ108" s="10" t="e">
        <f t="shared" si="146"/>
        <v>#DIV/0!</v>
      </c>
      <c r="CR108" s="10" t="e">
        <f t="shared" si="146"/>
        <v>#DIV/0!</v>
      </c>
      <c r="CS108" s="10">
        <f t="shared" si="147"/>
        <v>0</v>
      </c>
      <c r="CT108" s="10">
        <f t="shared" si="147"/>
        <v>0</v>
      </c>
      <c r="CU108" s="10">
        <f t="shared" si="147"/>
        <v>0</v>
      </c>
      <c r="CV108" s="10">
        <f t="shared" si="147"/>
        <v>0</v>
      </c>
      <c r="CW108" s="10">
        <f t="shared" si="148"/>
        <v>0</v>
      </c>
      <c r="CX108" s="10">
        <f t="shared" si="148"/>
        <v>0</v>
      </c>
      <c r="CY108" s="10">
        <f t="shared" si="148"/>
        <v>0</v>
      </c>
      <c r="CZ108" s="10">
        <f t="shared" si="148"/>
        <v>0</v>
      </c>
    </row>
    <row r="109" spans="4:104" x14ac:dyDescent="0.15">
      <c r="D109" s="10">
        <v>94</v>
      </c>
      <c r="E109" s="10" t="e">
        <f t="shared" si="114"/>
        <v>#VALUE!</v>
      </c>
      <c r="F109" s="10" t="e">
        <f t="shared" si="98"/>
        <v>#VALUE!</v>
      </c>
      <c r="G109" s="10" t="e">
        <f t="shared" si="99"/>
        <v>#VALUE!</v>
      </c>
      <c r="H109" s="10" t="e">
        <f t="shared" si="115"/>
        <v>#VALUE!</v>
      </c>
      <c r="I109" s="10" t="e">
        <f t="shared" si="100"/>
        <v>#VALUE!</v>
      </c>
      <c r="J109" s="10" t="e">
        <f t="shared" si="116"/>
        <v>#VALUE!</v>
      </c>
      <c r="K109" s="10" t="e">
        <f t="shared" si="101"/>
        <v>#VALUE!</v>
      </c>
      <c r="L109" s="10" t="e">
        <f t="shared" si="102"/>
        <v>#VALUE!</v>
      </c>
      <c r="M109" s="10" t="e">
        <f t="shared" si="117"/>
        <v>#VALUE!</v>
      </c>
      <c r="O109" s="10" t="e">
        <f t="shared" si="118"/>
        <v>#VALUE!</v>
      </c>
      <c r="P109" s="10" t="e">
        <f t="shared" si="103"/>
        <v>#VALUE!</v>
      </c>
      <c r="Q109" s="10" t="e">
        <f t="shared" si="104"/>
        <v>#VALUE!</v>
      </c>
      <c r="R109" s="10" t="e">
        <f t="shared" si="119"/>
        <v>#VALUE!</v>
      </c>
      <c r="S109" s="10" t="e">
        <f t="shared" si="120"/>
        <v>#VALUE!</v>
      </c>
      <c r="T109" s="10" t="e">
        <f t="shared" si="149"/>
        <v>#VALUE!</v>
      </c>
      <c r="U109" s="10" t="e">
        <f t="shared" si="150"/>
        <v>#VALUE!</v>
      </c>
      <c r="V109" s="10" t="e">
        <f t="shared" si="105"/>
        <v>#VALUE!</v>
      </c>
      <c r="W109" s="10" t="e">
        <f t="shared" si="121"/>
        <v>#VALUE!</v>
      </c>
      <c r="Y109" s="10" t="e">
        <f t="shared" si="122"/>
        <v>#VALUE!</v>
      </c>
      <c r="Z109" s="11" t="e">
        <f t="shared" si="123"/>
        <v>#VALUE!</v>
      </c>
      <c r="AA109" s="10" t="e">
        <f t="shared" si="106"/>
        <v>#VALUE!</v>
      </c>
      <c r="AB109" s="10" t="e">
        <f t="shared" si="124"/>
        <v>#VALUE!</v>
      </c>
      <c r="AC109" s="10" t="e">
        <f t="shared" si="125"/>
        <v>#VALUE!</v>
      </c>
      <c r="AD109" s="10" t="e">
        <f t="shared" si="151"/>
        <v>#VALUE!</v>
      </c>
      <c r="AE109" s="10" t="e">
        <f t="shared" si="152"/>
        <v>#VALUE!</v>
      </c>
      <c r="AF109" s="10" t="e">
        <f t="shared" si="107"/>
        <v>#VALUE!</v>
      </c>
      <c r="AG109" s="10" t="e">
        <f t="shared" si="126"/>
        <v>#VALUE!</v>
      </c>
      <c r="AI109" s="13"/>
      <c r="AK109" s="10" t="e">
        <f t="shared" si="127"/>
        <v>#VALUE!</v>
      </c>
      <c r="AL109" s="10" t="e">
        <f t="shared" si="153"/>
        <v>#VALUE!</v>
      </c>
      <c r="AM109" s="10" t="e">
        <f t="shared" si="108"/>
        <v>#VALUE!</v>
      </c>
      <c r="AN109" s="10" t="e">
        <f t="shared" si="128"/>
        <v>#VALUE!</v>
      </c>
      <c r="AO109" s="10" t="e">
        <f t="shared" si="129"/>
        <v>#VALUE!</v>
      </c>
      <c r="AP109" s="10" t="e">
        <f t="shared" si="130"/>
        <v>#VALUE!</v>
      </c>
      <c r="AQ109" s="10" t="e">
        <f t="shared" si="154"/>
        <v>#VALUE!</v>
      </c>
      <c r="AR109" s="10" t="e">
        <f t="shared" si="109"/>
        <v>#VALUE!</v>
      </c>
      <c r="AS109" s="10" t="e">
        <f t="shared" si="155"/>
        <v>#VALUE!</v>
      </c>
      <c r="AU109" s="10" t="e">
        <f t="shared" si="131"/>
        <v>#VALUE!</v>
      </c>
      <c r="AV109" s="10" t="e">
        <f t="shared" si="156"/>
        <v>#VALUE!</v>
      </c>
      <c r="AW109" s="10" t="e">
        <f t="shared" si="110"/>
        <v>#VALUE!</v>
      </c>
      <c r="AX109" s="10" t="e">
        <f t="shared" si="132"/>
        <v>#VALUE!</v>
      </c>
      <c r="AY109" s="10" t="e">
        <f t="shared" si="133"/>
        <v>#VALUE!</v>
      </c>
      <c r="AZ109" s="10" t="e">
        <f t="shared" si="134"/>
        <v>#VALUE!</v>
      </c>
      <c r="BA109" s="10" t="e">
        <f t="shared" si="157"/>
        <v>#VALUE!</v>
      </c>
      <c r="BB109" s="10" t="e">
        <f t="shared" si="111"/>
        <v>#VALUE!</v>
      </c>
      <c r="BC109" s="10" t="e">
        <f t="shared" si="158"/>
        <v>#VALUE!</v>
      </c>
      <c r="BE109" s="10" t="e">
        <f t="shared" si="135"/>
        <v>#VALUE!</v>
      </c>
      <c r="BF109" s="10" t="e">
        <f t="shared" si="159"/>
        <v>#VALUE!</v>
      </c>
      <c r="BG109" s="10" t="e">
        <f t="shared" si="112"/>
        <v>#VALUE!</v>
      </c>
      <c r="BH109" s="10" t="e">
        <f t="shared" si="136"/>
        <v>#VALUE!</v>
      </c>
      <c r="BI109" s="10" t="e">
        <f t="shared" si="137"/>
        <v>#VALUE!</v>
      </c>
      <c r="BJ109" s="10" t="e">
        <f t="shared" si="138"/>
        <v>#VALUE!</v>
      </c>
      <c r="BK109" s="10" t="e">
        <f t="shared" si="160"/>
        <v>#VALUE!</v>
      </c>
      <c r="BL109" s="10" t="e">
        <f t="shared" si="113"/>
        <v>#VALUE!</v>
      </c>
      <c r="BM109" s="10" t="e">
        <f t="shared" si="161"/>
        <v>#VALUE!</v>
      </c>
      <c r="BP109" s="10" t="e">
        <f t="shared" si="162"/>
        <v>#VALUE!</v>
      </c>
      <c r="BQ109" s="10" t="e">
        <f t="shared" si="163"/>
        <v>#VALUE!</v>
      </c>
      <c r="BR109" s="10" t="e">
        <f t="shared" si="164"/>
        <v>#VALUE!</v>
      </c>
      <c r="BS109" s="10" t="e">
        <f t="shared" si="165"/>
        <v>#VALUE!</v>
      </c>
      <c r="BT109" s="10" t="e">
        <f t="shared" si="166"/>
        <v>#VALUE!</v>
      </c>
      <c r="BU109" s="10" t="e">
        <f t="shared" si="167"/>
        <v>#VALUE!</v>
      </c>
      <c r="BW109" s="10" t="e">
        <f t="shared" si="139"/>
        <v>#VALUE!</v>
      </c>
      <c r="BX109" s="10" t="e">
        <f t="shared" si="140"/>
        <v>#VALUE!</v>
      </c>
      <c r="BY109" s="10" t="e">
        <f t="shared" si="141"/>
        <v>#VALUE!</v>
      </c>
      <c r="BZ109" s="10" t="e">
        <f t="shared" si="142"/>
        <v>#VALUE!</v>
      </c>
      <c r="CA109" s="10" t="e">
        <f t="shared" si="143"/>
        <v>#VALUE!</v>
      </c>
      <c r="CB109" s="10" t="e">
        <f t="shared" si="144"/>
        <v>#VALUE!</v>
      </c>
      <c r="CD109" s="10" t="e">
        <f>MATCH(INDEX($BP$12:$BU$12,1,MATCH(BP109,$BP$15:$BU$15,0)),结果汇总!$AI$10:$AI$13,0)</f>
        <v>#VALUE!</v>
      </c>
      <c r="CE109" s="10" t="e">
        <f>MATCH(INDEX($BP$12:$BU$12,1,MATCH(BQ109,$BP$15:$BU$15,0)),结果汇总!$AI$10:$AI$13,0)</f>
        <v>#VALUE!</v>
      </c>
      <c r="CF109" s="10" t="e">
        <f>MATCH(INDEX($BP$12:$BU$12,1,MATCH(BR109,$BP$15:$BU$15,0)),结果汇总!$AI$10:$AI$13,0)</f>
        <v>#VALUE!</v>
      </c>
      <c r="CG109" s="10" t="e">
        <f>MATCH(INDEX($BP$12:$BU$12,1,MATCH(BS109,$BP$15:$BU$15,0)),结果汇总!$AI$10:$AI$13,0)</f>
        <v>#VALUE!</v>
      </c>
      <c r="CH109" s="10" t="e">
        <f>MATCH(INDEX($BP$12:$BU$12,1,MATCH(BT109,$BP$15:$BU$15,0)),结果汇总!$AI$10:$AI$13,0)</f>
        <v>#VALUE!</v>
      </c>
      <c r="CI109" s="10" t="e">
        <f>MATCH(INDEX($BP$12:$BU$12,1,MATCH(BU109,$BP$15:$BU$15,0)),结果汇总!$AI$10:$AI$13,0)</f>
        <v>#VALUE!</v>
      </c>
      <c r="CK109" s="10">
        <f t="shared" si="145"/>
        <v>0</v>
      </c>
      <c r="CL109" s="10">
        <f t="shared" si="145"/>
        <v>0</v>
      </c>
      <c r="CM109" s="10">
        <f t="shared" si="145"/>
        <v>0</v>
      </c>
      <c r="CN109" s="10">
        <f t="shared" si="145"/>
        <v>0</v>
      </c>
      <c r="CO109" s="10" t="e">
        <f t="shared" si="146"/>
        <v>#DIV/0!</v>
      </c>
      <c r="CP109" s="10" t="e">
        <f t="shared" si="146"/>
        <v>#DIV/0!</v>
      </c>
      <c r="CQ109" s="10" t="e">
        <f t="shared" si="146"/>
        <v>#DIV/0!</v>
      </c>
      <c r="CR109" s="10" t="e">
        <f t="shared" si="146"/>
        <v>#DIV/0!</v>
      </c>
      <c r="CS109" s="10">
        <f t="shared" si="147"/>
        <v>0</v>
      </c>
      <c r="CT109" s="10">
        <f t="shared" si="147"/>
        <v>0</v>
      </c>
      <c r="CU109" s="10">
        <f t="shared" si="147"/>
        <v>0</v>
      </c>
      <c r="CV109" s="10">
        <f t="shared" si="147"/>
        <v>0</v>
      </c>
      <c r="CW109" s="10">
        <f t="shared" si="148"/>
        <v>0</v>
      </c>
      <c r="CX109" s="10">
        <f t="shared" si="148"/>
        <v>0</v>
      </c>
      <c r="CY109" s="10">
        <f t="shared" si="148"/>
        <v>0</v>
      </c>
      <c r="CZ109" s="10">
        <f t="shared" si="148"/>
        <v>0</v>
      </c>
    </row>
    <row r="110" spans="4:104" x14ac:dyDescent="0.15">
      <c r="D110" s="10">
        <v>95</v>
      </c>
      <c r="E110" s="10" t="e">
        <f t="shared" si="114"/>
        <v>#VALUE!</v>
      </c>
      <c r="F110" s="10" t="e">
        <f t="shared" si="98"/>
        <v>#VALUE!</v>
      </c>
      <c r="G110" s="10" t="e">
        <f t="shared" si="99"/>
        <v>#VALUE!</v>
      </c>
      <c r="H110" s="10" t="e">
        <f t="shared" si="115"/>
        <v>#VALUE!</v>
      </c>
      <c r="I110" s="10" t="e">
        <f t="shared" si="100"/>
        <v>#VALUE!</v>
      </c>
      <c r="J110" s="10" t="e">
        <f t="shared" si="116"/>
        <v>#VALUE!</v>
      </c>
      <c r="K110" s="10" t="e">
        <f t="shared" si="101"/>
        <v>#VALUE!</v>
      </c>
      <c r="L110" s="10" t="e">
        <f t="shared" si="102"/>
        <v>#VALUE!</v>
      </c>
      <c r="M110" s="10" t="e">
        <f t="shared" si="117"/>
        <v>#VALUE!</v>
      </c>
      <c r="O110" s="10" t="e">
        <f t="shared" si="118"/>
        <v>#VALUE!</v>
      </c>
      <c r="P110" s="10" t="e">
        <f t="shared" si="103"/>
        <v>#VALUE!</v>
      </c>
      <c r="Q110" s="10" t="e">
        <f t="shared" si="104"/>
        <v>#VALUE!</v>
      </c>
      <c r="R110" s="10" t="e">
        <f t="shared" si="119"/>
        <v>#VALUE!</v>
      </c>
      <c r="S110" s="10" t="e">
        <f t="shared" si="120"/>
        <v>#VALUE!</v>
      </c>
      <c r="T110" s="10" t="e">
        <f t="shared" si="149"/>
        <v>#VALUE!</v>
      </c>
      <c r="U110" s="10" t="e">
        <f t="shared" si="150"/>
        <v>#VALUE!</v>
      </c>
      <c r="V110" s="10" t="e">
        <f t="shared" si="105"/>
        <v>#VALUE!</v>
      </c>
      <c r="W110" s="10" t="e">
        <f t="shared" si="121"/>
        <v>#VALUE!</v>
      </c>
      <c r="Y110" s="10" t="e">
        <f t="shared" si="122"/>
        <v>#VALUE!</v>
      </c>
      <c r="Z110" s="11" t="e">
        <f t="shared" si="123"/>
        <v>#VALUE!</v>
      </c>
      <c r="AA110" s="10" t="e">
        <f t="shared" si="106"/>
        <v>#VALUE!</v>
      </c>
      <c r="AB110" s="10" t="e">
        <f t="shared" si="124"/>
        <v>#VALUE!</v>
      </c>
      <c r="AC110" s="10" t="e">
        <f t="shared" si="125"/>
        <v>#VALUE!</v>
      </c>
      <c r="AD110" s="10" t="e">
        <f t="shared" si="151"/>
        <v>#VALUE!</v>
      </c>
      <c r="AE110" s="10" t="e">
        <f t="shared" si="152"/>
        <v>#VALUE!</v>
      </c>
      <c r="AF110" s="10" t="e">
        <f t="shared" si="107"/>
        <v>#VALUE!</v>
      </c>
      <c r="AG110" s="10" t="e">
        <f t="shared" si="126"/>
        <v>#VALUE!</v>
      </c>
      <c r="AI110" s="13"/>
      <c r="AK110" s="10" t="e">
        <f t="shared" si="127"/>
        <v>#VALUE!</v>
      </c>
      <c r="AL110" s="10" t="e">
        <f t="shared" si="153"/>
        <v>#VALUE!</v>
      </c>
      <c r="AM110" s="10" t="e">
        <f t="shared" si="108"/>
        <v>#VALUE!</v>
      </c>
      <c r="AN110" s="10" t="e">
        <f t="shared" si="128"/>
        <v>#VALUE!</v>
      </c>
      <c r="AO110" s="10" t="e">
        <f t="shared" si="129"/>
        <v>#VALUE!</v>
      </c>
      <c r="AP110" s="10" t="e">
        <f t="shared" si="130"/>
        <v>#VALUE!</v>
      </c>
      <c r="AQ110" s="10" t="e">
        <f t="shared" si="154"/>
        <v>#VALUE!</v>
      </c>
      <c r="AR110" s="10" t="e">
        <f t="shared" si="109"/>
        <v>#VALUE!</v>
      </c>
      <c r="AS110" s="10" t="e">
        <f t="shared" si="155"/>
        <v>#VALUE!</v>
      </c>
      <c r="AU110" s="10" t="e">
        <f t="shared" si="131"/>
        <v>#VALUE!</v>
      </c>
      <c r="AV110" s="10" t="e">
        <f t="shared" si="156"/>
        <v>#VALUE!</v>
      </c>
      <c r="AW110" s="10" t="e">
        <f t="shared" si="110"/>
        <v>#VALUE!</v>
      </c>
      <c r="AX110" s="10" t="e">
        <f t="shared" si="132"/>
        <v>#VALUE!</v>
      </c>
      <c r="AY110" s="10" t="e">
        <f t="shared" si="133"/>
        <v>#VALUE!</v>
      </c>
      <c r="AZ110" s="10" t="e">
        <f t="shared" si="134"/>
        <v>#VALUE!</v>
      </c>
      <c r="BA110" s="10" t="e">
        <f t="shared" si="157"/>
        <v>#VALUE!</v>
      </c>
      <c r="BB110" s="10" t="e">
        <f t="shared" si="111"/>
        <v>#VALUE!</v>
      </c>
      <c r="BC110" s="10" t="e">
        <f t="shared" si="158"/>
        <v>#VALUE!</v>
      </c>
      <c r="BE110" s="10" t="e">
        <f t="shared" si="135"/>
        <v>#VALUE!</v>
      </c>
      <c r="BF110" s="10" t="e">
        <f t="shared" si="159"/>
        <v>#VALUE!</v>
      </c>
      <c r="BG110" s="10" t="e">
        <f t="shared" si="112"/>
        <v>#VALUE!</v>
      </c>
      <c r="BH110" s="10" t="e">
        <f t="shared" si="136"/>
        <v>#VALUE!</v>
      </c>
      <c r="BI110" s="10" t="e">
        <f t="shared" si="137"/>
        <v>#VALUE!</v>
      </c>
      <c r="BJ110" s="10" t="e">
        <f t="shared" si="138"/>
        <v>#VALUE!</v>
      </c>
      <c r="BK110" s="10" t="e">
        <f t="shared" si="160"/>
        <v>#VALUE!</v>
      </c>
      <c r="BL110" s="10" t="e">
        <f t="shared" si="113"/>
        <v>#VALUE!</v>
      </c>
      <c r="BM110" s="10" t="e">
        <f t="shared" si="161"/>
        <v>#VALUE!</v>
      </c>
      <c r="BP110" s="10" t="e">
        <f t="shared" si="162"/>
        <v>#VALUE!</v>
      </c>
      <c r="BQ110" s="10" t="e">
        <f t="shared" si="163"/>
        <v>#VALUE!</v>
      </c>
      <c r="BR110" s="10" t="e">
        <f t="shared" si="164"/>
        <v>#VALUE!</v>
      </c>
      <c r="BS110" s="10" t="e">
        <f t="shared" si="165"/>
        <v>#VALUE!</v>
      </c>
      <c r="BT110" s="10" t="e">
        <f t="shared" si="166"/>
        <v>#VALUE!</v>
      </c>
      <c r="BU110" s="10" t="e">
        <f t="shared" si="167"/>
        <v>#VALUE!</v>
      </c>
      <c r="BW110" s="10" t="e">
        <f t="shared" si="139"/>
        <v>#VALUE!</v>
      </c>
      <c r="BX110" s="10" t="e">
        <f t="shared" si="140"/>
        <v>#VALUE!</v>
      </c>
      <c r="BY110" s="10" t="e">
        <f t="shared" si="141"/>
        <v>#VALUE!</v>
      </c>
      <c r="BZ110" s="10" t="e">
        <f t="shared" si="142"/>
        <v>#VALUE!</v>
      </c>
      <c r="CA110" s="10" t="e">
        <f t="shared" si="143"/>
        <v>#VALUE!</v>
      </c>
      <c r="CB110" s="10" t="e">
        <f t="shared" si="144"/>
        <v>#VALUE!</v>
      </c>
      <c r="CD110" s="10" t="e">
        <f>MATCH(INDEX($BP$12:$BU$12,1,MATCH(BP110,$BP$15:$BU$15,0)),结果汇总!$AI$10:$AI$13,0)</f>
        <v>#VALUE!</v>
      </c>
      <c r="CE110" s="10" t="e">
        <f>MATCH(INDEX($BP$12:$BU$12,1,MATCH(BQ110,$BP$15:$BU$15,0)),结果汇总!$AI$10:$AI$13,0)</f>
        <v>#VALUE!</v>
      </c>
      <c r="CF110" s="10" t="e">
        <f>MATCH(INDEX($BP$12:$BU$12,1,MATCH(BR110,$BP$15:$BU$15,0)),结果汇总!$AI$10:$AI$13,0)</f>
        <v>#VALUE!</v>
      </c>
      <c r="CG110" s="10" t="e">
        <f>MATCH(INDEX($BP$12:$BU$12,1,MATCH(BS110,$BP$15:$BU$15,0)),结果汇总!$AI$10:$AI$13,0)</f>
        <v>#VALUE!</v>
      </c>
      <c r="CH110" s="10" t="e">
        <f>MATCH(INDEX($BP$12:$BU$12,1,MATCH(BT110,$BP$15:$BU$15,0)),结果汇总!$AI$10:$AI$13,0)</f>
        <v>#VALUE!</v>
      </c>
      <c r="CI110" s="10" t="e">
        <f>MATCH(INDEX($BP$12:$BU$12,1,MATCH(BU110,$BP$15:$BU$15,0)),结果汇总!$AI$10:$AI$13,0)</f>
        <v>#VALUE!</v>
      </c>
      <c r="CK110" s="10">
        <f t="shared" si="145"/>
        <v>0</v>
      </c>
      <c r="CL110" s="10">
        <f t="shared" si="145"/>
        <v>0</v>
      </c>
      <c r="CM110" s="10">
        <f t="shared" si="145"/>
        <v>0</v>
      </c>
      <c r="CN110" s="10">
        <f t="shared" si="145"/>
        <v>0</v>
      </c>
      <c r="CO110" s="10" t="e">
        <f t="shared" si="146"/>
        <v>#DIV/0!</v>
      </c>
      <c r="CP110" s="10" t="e">
        <f t="shared" si="146"/>
        <v>#DIV/0!</v>
      </c>
      <c r="CQ110" s="10" t="e">
        <f t="shared" si="146"/>
        <v>#DIV/0!</v>
      </c>
      <c r="CR110" s="10" t="e">
        <f t="shared" si="146"/>
        <v>#DIV/0!</v>
      </c>
      <c r="CS110" s="10">
        <f t="shared" si="147"/>
        <v>0</v>
      </c>
      <c r="CT110" s="10">
        <f t="shared" si="147"/>
        <v>0</v>
      </c>
      <c r="CU110" s="10">
        <f t="shared" si="147"/>
        <v>0</v>
      </c>
      <c r="CV110" s="10">
        <f t="shared" si="147"/>
        <v>0</v>
      </c>
      <c r="CW110" s="10">
        <f t="shared" si="148"/>
        <v>0</v>
      </c>
      <c r="CX110" s="10">
        <f t="shared" si="148"/>
        <v>0</v>
      </c>
      <c r="CY110" s="10">
        <f t="shared" si="148"/>
        <v>0</v>
      </c>
      <c r="CZ110" s="10">
        <f t="shared" si="148"/>
        <v>0</v>
      </c>
    </row>
    <row r="111" spans="4:104" x14ac:dyDescent="0.15">
      <c r="D111" s="10">
        <v>96</v>
      </c>
      <c r="E111" s="10" t="e">
        <f t="shared" si="114"/>
        <v>#VALUE!</v>
      </c>
      <c r="F111" s="10" t="e">
        <f t="shared" si="98"/>
        <v>#VALUE!</v>
      </c>
      <c r="G111" s="10" t="e">
        <f t="shared" si="99"/>
        <v>#VALUE!</v>
      </c>
      <c r="H111" s="10" t="e">
        <f t="shared" si="115"/>
        <v>#VALUE!</v>
      </c>
      <c r="I111" s="10" t="e">
        <f t="shared" si="100"/>
        <v>#VALUE!</v>
      </c>
      <c r="J111" s="10" t="e">
        <f t="shared" si="116"/>
        <v>#VALUE!</v>
      </c>
      <c r="K111" s="10" t="e">
        <f t="shared" si="101"/>
        <v>#VALUE!</v>
      </c>
      <c r="L111" s="10" t="e">
        <f t="shared" si="102"/>
        <v>#VALUE!</v>
      </c>
      <c r="M111" s="10" t="e">
        <f t="shared" si="117"/>
        <v>#VALUE!</v>
      </c>
      <c r="O111" s="10" t="e">
        <f t="shared" si="118"/>
        <v>#VALUE!</v>
      </c>
      <c r="P111" s="10" t="e">
        <f t="shared" si="103"/>
        <v>#VALUE!</v>
      </c>
      <c r="Q111" s="10" t="e">
        <f t="shared" si="104"/>
        <v>#VALUE!</v>
      </c>
      <c r="R111" s="10" t="e">
        <f t="shared" si="119"/>
        <v>#VALUE!</v>
      </c>
      <c r="S111" s="10" t="e">
        <f t="shared" si="120"/>
        <v>#VALUE!</v>
      </c>
      <c r="T111" s="10" t="e">
        <f t="shared" si="149"/>
        <v>#VALUE!</v>
      </c>
      <c r="U111" s="10" t="e">
        <f t="shared" si="150"/>
        <v>#VALUE!</v>
      </c>
      <c r="V111" s="10" t="e">
        <f t="shared" si="105"/>
        <v>#VALUE!</v>
      </c>
      <c r="W111" s="10" t="e">
        <f t="shared" si="121"/>
        <v>#VALUE!</v>
      </c>
      <c r="Y111" s="10" t="e">
        <f t="shared" si="122"/>
        <v>#VALUE!</v>
      </c>
      <c r="Z111" s="11" t="e">
        <f t="shared" si="123"/>
        <v>#VALUE!</v>
      </c>
      <c r="AA111" s="10" t="e">
        <f t="shared" si="106"/>
        <v>#VALUE!</v>
      </c>
      <c r="AB111" s="10" t="e">
        <f t="shared" si="124"/>
        <v>#VALUE!</v>
      </c>
      <c r="AC111" s="10" t="e">
        <f t="shared" si="125"/>
        <v>#VALUE!</v>
      </c>
      <c r="AD111" s="10" t="e">
        <f t="shared" si="151"/>
        <v>#VALUE!</v>
      </c>
      <c r="AE111" s="10" t="e">
        <f t="shared" si="152"/>
        <v>#VALUE!</v>
      </c>
      <c r="AF111" s="10" t="e">
        <f t="shared" si="107"/>
        <v>#VALUE!</v>
      </c>
      <c r="AG111" s="10" t="e">
        <f t="shared" si="126"/>
        <v>#VALUE!</v>
      </c>
      <c r="AI111" s="13"/>
      <c r="AK111" s="10" t="e">
        <f t="shared" si="127"/>
        <v>#VALUE!</v>
      </c>
      <c r="AL111" s="10" t="e">
        <f t="shared" si="153"/>
        <v>#VALUE!</v>
      </c>
      <c r="AM111" s="10" t="e">
        <f t="shared" si="108"/>
        <v>#VALUE!</v>
      </c>
      <c r="AN111" s="10" t="e">
        <f t="shared" si="128"/>
        <v>#VALUE!</v>
      </c>
      <c r="AO111" s="10" t="e">
        <f t="shared" si="129"/>
        <v>#VALUE!</v>
      </c>
      <c r="AP111" s="10" t="e">
        <f t="shared" si="130"/>
        <v>#VALUE!</v>
      </c>
      <c r="AQ111" s="10" t="e">
        <f t="shared" si="154"/>
        <v>#VALUE!</v>
      </c>
      <c r="AR111" s="10" t="e">
        <f t="shared" si="109"/>
        <v>#VALUE!</v>
      </c>
      <c r="AS111" s="10" t="e">
        <f t="shared" si="155"/>
        <v>#VALUE!</v>
      </c>
      <c r="AU111" s="10" t="e">
        <f t="shared" si="131"/>
        <v>#VALUE!</v>
      </c>
      <c r="AV111" s="10" t="e">
        <f t="shared" si="156"/>
        <v>#VALUE!</v>
      </c>
      <c r="AW111" s="10" t="e">
        <f t="shared" si="110"/>
        <v>#VALUE!</v>
      </c>
      <c r="AX111" s="10" t="e">
        <f t="shared" si="132"/>
        <v>#VALUE!</v>
      </c>
      <c r="AY111" s="10" t="e">
        <f t="shared" si="133"/>
        <v>#VALUE!</v>
      </c>
      <c r="AZ111" s="10" t="e">
        <f t="shared" si="134"/>
        <v>#VALUE!</v>
      </c>
      <c r="BA111" s="10" t="e">
        <f t="shared" si="157"/>
        <v>#VALUE!</v>
      </c>
      <c r="BB111" s="10" t="e">
        <f t="shared" si="111"/>
        <v>#VALUE!</v>
      </c>
      <c r="BC111" s="10" t="e">
        <f t="shared" si="158"/>
        <v>#VALUE!</v>
      </c>
      <c r="BE111" s="10" t="e">
        <f t="shared" si="135"/>
        <v>#VALUE!</v>
      </c>
      <c r="BF111" s="10" t="e">
        <f t="shared" si="159"/>
        <v>#VALUE!</v>
      </c>
      <c r="BG111" s="10" t="e">
        <f t="shared" si="112"/>
        <v>#VALUE!</v>
      </c>
      <c r="BH111" s="10" t="e">
        <f t="shared" si="136"/>
        <v>#VALUE!</v>
      </c>
      <c r="BI111" s="10" t="e">
        <f t="shared" si="137"/>
        <v>#VALUE!</v>
      </c>
      <c r="BJ111" s="10" t="e">
        <f t="shared" si="138"/>
        <v>#VALUE!</v>
      </c>
      <c r="BK111" s="10" t="e">
        <f t="shared" si="160"/>
        <v>#VALUE!</v>
      </c>
      <c r="BL111" s="10" t="e">
        <f t="shared" si="113"/>
        <v>#VALUE!</v>
      </c>
      <c r="BM111" s="10" t="e">
        <f t="shared" si="161"/>
        <v>#VALUE!</v>
      </c>
      <c r="BP111" s="10" t="e">
        <f t="shared" si="162"/>
        <v>#VALUE!</v>
      </c>
      <c r="BQ111" s="10" t="e">
        <f t="shared" si="163"/>
        <v>#VALUE!</v>
      </c>
      <c r="BR111" s="10" t="e">
        <f t="shared" si="164"/>
        <v>#VALUE!</v>
      </c>
      <c r="BS111" s="10" t="e">
        <f t="shared" si="165"/>
        <v>#VALUE!</v>
      </c>
      <c r="BT111" s="10" t="e">
        <f t="shared" si="166"/>
        <v>#VALUE!</v>
      </c>
      <c r="BU111" s="10" t="e">
        <f t="shared" si="167"/>
        <v>#VALUE!</v>
      </c>
      <c r="BW111" s="10" t="e">
        <f t="shared" si="139"/>
        <v>#VALUE!</v>
      </c>
      <c r="BX111" s="10" t="e">
        <f t="shared" si="140"/>
        <v>#VALUE!</v>
      </c>
      <c r="BY111" s="10" t="e">
        <f t="shared" si="141"/>
        <v>#VALUE!</v>
      </c>
      <c r="BZ111" s="10" t="e">
        <f t="shared" si="142"/>
        <v>#VALUE!</v>
      </c>
      <c r="CA111" s="10" t="e">
        <f t="shared" si="143"/>
        <v>#VALUE!</v>
      </c>
      <c r="CB111" s="10" t="e">
        <f t="shared" si="144"/>
        <v>#VALUE!</v>
      </c>
      <c r="CD111" s="10" t="e">
        <f>MATCH(INDEX($BP$12:$BU$12,1,MATCH(BP111,$BP$15:$BU$15,0)),结果汇总!$AI$10:$AI$13,0)</f>
        <v>#VALUE!</v>
      </c>
      <c r="CE111" s="10" t="e">
        <f>MATCH(INDEX($BP$12:$BU$12,1,MATCH(BQ111,$BP$15:$BU$15,0)),结果汇总!$AI$10:$AI$13,0)</f>
        <v>#VALUE!</v>
      </c>
      <c r="CF111" s="10" t="e">
        <f>MATCH(INDEX($BP$12:$BU$12,1,MATCH(BR111,$BP$15:$BU$15,0)),结果汇总!$AI$10:$AI$13,0)</f>
        <v>#VALUE!</v>
      </c>
      <c r="CG111" s="10" t="e">
        <f>MATCH(INDEX($BP$12:$BU$12,1,MATCH(BS111,$BP$15:$BU$15,0)),结果汇总!$AI$10:$AI$13,0)</f>
        <v>#VALUE!</v>
      </c>
      <c r="CH111" s="10" t="e">
        <f>MATCH(INDEX($BP$12:$BU$12,1,MATCH(BT111,$BP$15:$BU$15,0)),结果汇总!$AI$10:$AI$13,0)</f>
        <v>#VALUE!</v>
      </c>
      <c r="CI111" s="10" t="e">
        <f>MATCH(INDEX($BP$12:$BU$12,1,MATCH(BU111,$BP$15:$BU$15,0)),结果汇总!$AI$10:$AI$13,0)</f>
        <v>#VALUE!</v>
      </c>
      <c r="CK111" s="10">
        <f t="shared" si="145"/>
        <v>0</v>
      </c>
      <c r="CL111" s="10">
        <f t="shared" si="145"/>
        <v>0</v>
      </c>
      <c r="CM111" s="10">
        <f t="shared" si="145"/>
        <v>0</v>
      </c>
      <c r="CN111" s="10">
        <f t="shared" si="145"/>
        <v>0</v>
      </c>
      <c r="CO111" s="10" t="e">
        <f t="shared" si="146"/>
        <v>#DIV/0!</v>
      </c>
      <c r="CP111" s="10" t="e">
        <f t="shared" si="146"/>
        <v>#DIV/0!</v>
      </c>
      <c r="CQ111" s="10" t="e">
        <f t="shared" si="146"/>
        <v>#DIV/0!</v>
      </c>
      <c r="CR111" s="10" t="e">
        <f t="shared" si="146"/>
        <v>#DIV/0!</v>
      </c>
      <c r="CS111" s="10">
        <f t="shared" si="147"/>
        <v>0</v>
      </c>
      <c r="CT111" s="10">
        <f t="shared" si="147"/>
        <v>0</v>
      </c>
      <c r="CU111" s="10">
        <f t="shared" si="147"/>
        <v>0</v>
      </c>
      <c r="CV111" s="10">
        <f t="shared" si="147"/>
        <v>0</v>
      </c>
      <c r="CW111" s="10">
        <f t="shared" si="148"/>
        <v>0</v>
      </c>
      <c r="CX111" s="10">
        <f t="shared" si="148"/>
        <v>0</v>
      </c>
      <c r="CY111" s="10">
        <f t="shared" si="148"/>
        <v>0</v>
      </c>
      <c r="CZ111" s="10">
        <f t="shared" si="148"/>
        <v>0</v>
      </c>
    </row>
    <row r="112" spans="4:104" x14ac:dyDescent="0.15">
      <c r="D112" s="10">
        <v>97</v>
      </c>
      <c r="E112" s="10" t="e">
        <f t="shared" si="114"/>
        <v>#VALUE!</v>
      </c>
      <c r="F112" s="10" t="e">
        <f t="shared" si="98"/>
        <v>#VALUE!</v>
      </c>
      <c r="G112" s="10" t="e">
        <f t="shared" si="99"/>
        <v>#VALUE!</v>
      </c>
      <c r="H112" s="10" t="e">
        <f t="shared" si="115"/>
        <v>#VALUE!</v>
      </c>
      <c r="I112" s="10" t="e">
        <f t="shared" ref="I112:I135" si="168">IF(AND(J112=0,E112&lt;&gt;0),1,H112/(H112+$G$6))</f>
        <v>#VALUE!</v>
      </c>
      <c r="J112" s="10" t="e">
        <f t="shared" si="116"/>
        <v>#VALUE!</v>
      </c>
      <c r="K112" s="10" t="e">
        <f t="shared" si="101"/>
        <v>#VALUE!</v>
      </c>
      <c r="L112" s="10" t="e">
        <f t="shared" si="102"/>
        <v>#VALUE!</v>
      </c>
      <c r="M112" s="10" t="e">
        <f t="shared" si="117"/>
        <v>#VALUE!</v>
      </c>
      <c r="O112" s="10" t="e">
        <f t="shared" si="118"/>
        <v>#VALUE!</v>
      </c>
      <c r="P112" s="10" t="e">
        <f t="shared" si="103"/>
        <v>#VALUE!</v>
      </c>
      <c r="Q112" s="10" t="e">
        <f t="shared" si="104"/>
        <v>#VALUE!</v>
      </c>
      <c r="R112" s="10" t="e">
        <f t="shared" si="119"/>
        <v>#VALUE!</v>
      </c>
      <c r="S112" s="10" t="e">
        <f t="shared" si="120"/>
        <v>#VALUE!</v>
      </c>
      <c r="T112" s="10" t="e">
        <f t="shared" si="149"/>
        <v>#VALUE!</v>
      </c>
      <c r="U112" s="10" t="e">
        <f t="shared" si="150"/>
        <v>#VALUE!</v>
      </c>
      <c r="V112" s="10" t="e">
        <f t="shared" si="105"/>
        <v>#VALUE!</v>
      </c>
      <c r="W112" s="10" t="e">
        <f t="shared" si="121"/>
        <v>#VALUE!</v>
      </c>
      <c r="Y112" s="10" t="e">
        <f t="shared" si="122"/>
        <v>#VALUE!</v>
      </c>
      <c r="Z112" s="11" t="e">
        <f t="shared" si="123"/>
        <v>#VALUE!</v>
      </c>
      <c r="AA112" s="10" t="e">
        <f t="shared" si="106"/>
        <v>#VALUE!</v>
      </c>
      <c r="AB112" s="10" t="e">
        <f t="shared" si="124"/>
        <v>#VALUE!</v>
      </c>
      <c r="AC112" s="10" t="e">
        <f t="shared" si="125"/>
        <v>#VALUE!</v>
      </c>
      <c r="AD112" s="10" t="e">
        <f t="shared" si="151"/>
        <v>#VALUE!</v>
      </c>
      <c r="AE112" s="10" t="e">
        <f t="shared" si="152"/>
        <v>#VALUE!</v>
      </c>
      <c r="AF112" s="10" t="e">
        <f t="shared" si="107"/>
        <v>#VALUE!</v>
      </c>
      <c r="AG112" s="10" t="e">
        <f t="shared" si="126"/>
        <v>#VALUE!</v>
      </c>
      <c r="AI112" s="13"/>
      <c r="AK112" s="10" t="e">
        <f t="shared" si="127"/>
        <v>#VALUE!</v>
      </c>
      <c r="AL112" s="10" t="e">
        <f t="shared" si="153"/>
        <v>#VALUE!</v>
      </c>
      <c r="AM112" s="10" t="e">
        <f t="shared" si="108"/>
        <v>#VALUE!</v>
      </c>
      <c r="AN112" s="10" t="e">
        <f t="shared" si="128"/>
        <v>#VALUE!</v>
      </c>
      <c r="AO112" s="10" t="e">
        <f t="shared" si="129"/>
        <v>#VALUE!</v>
      </c>
      <c r="AP112" s="10" t="e">
        <f t="shared" si="130"/>
        <v>#VALUE!</v>
      </c>
      <c r="AQ112" s="10" t="e">
        <f t="shared" si="154"/>
        <v>#VALUE!</v>
      </c>
      <c r="AR112" s="10" t="e">
        <f t="shared" si="109"/>
        <v>#VALUE!</v>
      </c>
      <c r="AS112" s="10" t="e">
        <f t="shared" si="155"/>
        <v>#VALUE!</v>
      </c>
      <c r="AU112" s="10" t="e">
        <f t="shared" si="131"/>
        <v>#VALUE!</v>
      </c>
      <c r="AV112" s="10" t="e">
        <f t="shared" si="156"/>
        <v>#VALUE!</v>
      </c>
      <c r="AW112" s="10" t="e">
        <f t="shared" si="110"/>
        <v>#VALUE!</v>
      </c>
      <c r="AX112" s="10" t="e">
        <f t="shared" si="132"/>
        <v>#VALUE!</v>
      </c>
      <c r="AY112" s="10" t="e">
        <f t="shared" si="133"/>
        <v>#VALUE!</v>
      </c>
      <c r="AZ112" s="10" t="e">
        <f t="shared" si="134"/>
        <v>#VALUE!</v>
      </c>
      <c r="BA112" s="10" t="e">
        <f t="shared" si="157"/>
        <v>#VALUE!</v>
      </c>
      <c r="BB112" s="10" t="e">
        <f t="shared" si="111"/>
        <v>#VALUE!</v>
      </c>
      <c r="BC112" s="10" t="e">
        <f t="shared" si="158"/>
        <v>#VALUE!</v>
      </c>
      <c r="BE112" s="10" t="e">
        <f t="shared" si="135"/>
        <v>#VALUE!</v>
      </c>
      <c r="BF112" s="10" t="e">
        <f t="shared" si="159"/>
        <v>#VALUE!</v>
      </c>
      <c r="BG112" s="10" t="e">
        <f t="shared" si="112"/>
        <v>#VALUE!</v>
      </c>
      <c r="BH112" s="10" t="e">
        <f t="shared" si="136"/>
        <v>#VALUE!</v>
      </c>
      <c r="BI112" s="10" t="e">
        <f t="shared" si="137"/>
        <v>#VALUE!</v>
      </c>
      <c r="BJ112" s="10" t="e">
        <f t="shared" si="138"/>
        <v>#VALUE!</v>
      </c>
      <c r="BK112" s="10" t="e">
        <f t="shared" si="160"/>
        <v>#VALUE!</v>
      </c>
      <c r="BL112" s="10" t="e">
        <f t="shared" si="113"/>
        <v>#VALUE!</v>
      </c>
      <c r="BM112" s="10" t="e">
        <f t="shared" si="161"/>
        <v>#VALUE!</v>
      </c>
      <c r="BP112" s="10" t="e">
        <f t="shared" si="162"/>
        <v>#VALUE!</v>
      </c>
      <c r="BQ112" s="10" t="e">
        <f t="shared" si="163"/>
        <v>#VALUE!</v>
      </c>
      <c r="BR112" s="10" t="e">
        <f t="shared" si="164"/>
        <v>#VALUE!</v>
      </c>
      <c r="BS112" s="10" t="e">
        <f t="shared" si="165"/>
        <v>#VALUE!</v>
      </c>
      <c r="BT112" s="10" t="e">
        <f t="shared" si="166"/>
        <v>#VALUE!</v>
      </c>
      <c r="BU112" s="10" t="e">
        <f t="shared" si="167"/>
        <v>#VALUE!</v>
      </c>
      <c r="BW112" s="10" t="e">
        <f t="shared" si="139"/>
        <v>#VALUE!</v>
      </c>
      <c r="BX112" s="10" t="e">
        <f t="shared" si="140"/>
        <v>#VALUE!</v>
      </c>
      <c r="BY112" s="10" t="e">
        <f t="shared" si="141"/>
        <v>#VALUE!</v>
      </c>
      <c r="BZ112" s="10" t="e">
        <f t="shared" si="142"/>
        <v>#VALUE!</v>
      </c>
      <c r="CA112" s="10" t="e">
        <f t="shared" si="143"/>
        <v>#VALUE!</v>
      </c>
      <c r="CB112" s="10" t="e">
        <f t="shared" si="144"/>
        <v>#VALUE!</v>
      </c>
      <c r="CD112" s="10" t="e">
        <f>MATCH(INDEX($BP$12:$BU$12,1,MATCH(BP112,$BP$15:$BU$15,0)),结果汇总!$AI$10:$AI$13,0)</f>
        <v>#VALUE!</v>
      </c>
      <c r="CE112" s="10" t="e">
        <f>MATCH(INDEX($BP$12:$BU$12,1,MATCH(BQ112,$BP$15:$BU$15,0)),结果汇总!$AI$10:$AI$13,0)</f>
        <v>#VALUE!</v>
      </c>
      <c r="CF112" s="10" t="e">
        <f>MATCH(INDEX($BP$12:$BU$12,1,MATCH(BR112,$BP$15:$BU$15,0)),结果汇总!$AI$10:$AI$13,0)</f>
        <v>#VALUE!</v>
      </c>
      <c r="CG112" s="10" t="e">
        <f>MATCH(INDEX($BP$12:$BU$12,1,MATCH(BS112,$BP$15:$BU$15,0)),结果汇总!$AI$10:$AI$13,0)</f>
        <v>#VALUE!</v>
      </c>
      <c r="CH112" s="10" t="e">
        <f>MATCH(INDEX($BP$12:$BU$12,1,MATCH(BT112,$BP$15:$BU$15,0)),结果汇总!$AI$10:$AI$13,0)</f>
        <v>#VALUE!</v>
      </c>
      <c r="CI112" s="10" t="e">
        <f>MATCH(INDEX($BP$12:$BU$12,1,MATCH(BU112,$BP$15:$BU$15,0)),结果汇总!$AI$10:$AI$13,0)</f>
        <v>#VALUE!</v>
      </c>
      <c r="CK112" s="10">
        <f t="shared" si="145"/>
        <v>0</v>
      </c>
      <c r="CL112" s="10">
        <f t="shared" si="145"/>
        <v>0</v>
      </c>
      <c r="CM112" s="10">
        <f t="shared" si="145"/>
        <v>0</v>
      </c>
      <c r="CN112" s="10">
        <f t="shared" si="145"/>
        <v>0</v>
      </c>
      <c r="CO112" s="10" t="e">
        <f t="shared" si="146"/>
        <v>#DIV/0!</v>
      </c>
      <c r="CP112" s="10" t="e">
        <f t="shared" si="146"/>
        <v>#DIV/0!</v>
      </c>
      <c r="CQ112" s="10" t="e">
        <f t="shared" si="146"/>
        <v>#DIV/0!</v>
      </c>
      <c r="CR112" s="10" t="e">
        <f t="shared" si="146"/>
        <v>#DIV/0!</v>
      </c>
      <c r="CS112" s="10">
        <f t="shared" si="147"/>
        <v>0</v>
      </c>
      <c r="CT112" s="10">
        <f t="shared" si="147"/>
        <v>0</v>
      </c>
      <c r="CU112" s="10">
        <f t="shared" si="147"/>
        <v>0</v>
      </c>
      <c r="CV112" s="10">
        <f t="shared" si="147"/>
        <v>0</v>
      </c>
      <c r="CW112" s="10">
        <f t="shared" si="148"/>
        <v>0</v>
      </c>
      <c r="CX112" s="10">
        <f t="shared" si="148"/>
        <v>0</v>
      </c>
      <c r="CY112" s="10">
        <f t="shared" si="148"/>
        <v>0</v>
      </c>
      <c r="CZ112" s="10">
        <f t="shared" si="148"/>
        <v>0</v>
      </c>
    </row>
    <row r="113" spans="4:104" x14ac:dyDescent="0.15">
      <c r="D113" s="10">
        <v>98</v>
      </c>
      <c r="E113" s="10" t="e">
        <f t="shared" ref="E113:E135" si="169">IF(E112-((AL112+AM112+AQ112+AR112)*IF(BS112=1,1,0)+(AV112+AW112+BA112+BB112)*IF(BT112=1,1,0)+(BF112+BG112+BK112+BL112)*IF(BU112=1,1,0))*IF(J112=0,1,I112)/$D$5&lt;$E$16*$P$8,0,
E112-((AL112+AM112+AQ112+AR112)*IF(BS112=1,1,0)+(AV112+AW112+BA112+BB112)*IF(BT112=1,1,0)+(BF112+BG112+BK112+BL112)*IF(BU112=1,1,0))*IF(J112=0,1,I112)/$D$5)</f>
        <v>#VALUE!</v>
      </c>
      <c r="F113" s="10" t="e">
        <f t="shared" si="98"/>
        <v>#VALUE!</v>
      </c>
      <c r="G113" s="10" t="e">
        <f t="shared" si="99"/>
        <v>#VALUE!</v>
      </c>
      <c r="H113" s="10" t="e">
        <f t="shared" si="115"/>
        <v>#VALUE!</v>
      </c>
      <c r="I113" s="10" t="e">
        <f t="shared" si="168"/>
        <v>#VALUE!</v>
      </c>
      <c r="J113" s="10" t="e">
        <f t="shared" ref="J113:J135" si="170">MAX(J112-((AL112+AM112+AQ112+AR112)*IF(BS112=1,1,0)+(AV112+AW112+BA112+BB112)*IF(BT112=1,1,0)+(BF112+BG112+BK112+BL112)*IF(BU112=1,1,0))*IF(E112=0,1,M112)/$D$6,0)</f>
        <v>#VALUE!</v>
      </c>
      <c r="K113" s="10" t="e">
        <f t="shared" si="101"/>
        <v>#VALUE!</v>
      </c>
      <c r="L113" s="10" t="e">
        <f t="shared" si="102"/>
        <v>#VALUE!</v>
      </c>
      <c r="M113" s="10" t="e">
        <f t="shared" si="117"/>
        <v>#VALUE!</v>
      </c>
      <c r="O113" s="10" t="e">
        <f t="shared" ref="O113:O135" si="171">IF(O112-((AL112+AM112+AQ112+AR112)*IF(BS112=3,1,0)+(AV112+AW112+BA112+BB112)*IF(BT112=3,1,0)+(BF112+BG112+BK112+BL112)*IF(BU112=3,1,0))*IF(T112=0,1,S112)/$D$8&lt;$O$16*$P$8,0,
O112-((AL112+AM112+AQ112+AR112)*IF(BS112=3,1,0)+(AV112+AW112+BA112+BB112)*IF(BT112=3,1,0)+(BF112+BG112+BK112+BL112)*IF(BU112=3,1,0))*IF(T112=0,1,S112)/$D$8)</f>
        <v>#VALUE!</v>
      </c>
      <c r="P113" s="10" t="e">
        <f t="shared" si="103"/>
        <v>#VALUE!</v>
      </c>
      <c r="Q113" s="10" t="e">
        <f t="shared" si="104"/>
        <v>#VALUE!</v>
      </c>
      <c r="R113" s="10" t="e">
        <f t="shared" si="119"/>
        <v>#VALUE!</v>
      </c>
      <c r="S113" s="10" t="e">
        <f t="shared" si="120"/>
        <v>#VALUE!</v>
      </c>
      <c r="T113" s="10" t="e">
        <f t="shared" si="149"/>
        <v>#VALUE!</v>
      </c>
      <c r="U113" s="10" t="e">
        <f t="shared" si="150"/>
        <v>#VALUE!</v>
      </c>
      <c r="V113" s="10" t="e">
        <f t="shared" si="105"/>
        <v>#VALUE!</v>
      </c>
      <c r="W113" s="10" t="e">
        <f t="shared" si="121"/>
        <v>#VALUE!</v>
      </c>
      <c r="Y113" s="10" t="e">
        <f t="shared" ref="Y113:Y135" si="172">IF(Y112-((AL112+AM112+AQ112+AR112)*IF(BS112=5,1,0)+(AV112+AW112+BA112+BB112)*IF(BT112=5,1,0)+(BF112+BG112+BK112+BL112)*IF(BU112=5,1,0))*IF(AD112=0,1,AC112)/$D$11&lt;$Y$16*$P$8,0,
Y112-((AL112+AM112+AQ112+AR112)*IF(BS112=5,1,0)+(AV112+AW112+BA112+BB112)*IF(BT112=5,1,0)+(BF112+BG112+BK112+BL112)*IF(BU112=5,1,0))*IF(AD112=0,1,AC112)/$D$11)</f>
        <v>#VALUE!</v>
      </c>
      <c r="Z113" s="11" t="e">
        <f t="shared" si="123"/>
        <v>#VALUE!</v>
      </c>
      <c r="AA113" s="10" t="e">
        <f t="shared" si="106"/>
        <v>#VALUE!</v>
      </c>
      <c r="AB113" s="10" t="e">
        <f t="shared" si="124"/>
        <v>#VALUE!</v>
      </c>
      <c r="AC113" s="10" t="e">
        <f t="shared" si="125"/>
        <v>#VALUE!</v>
      </c>
      <c r="AD113" s="10" t="e">
        <f t="shared" si="151"/>
        <v>#VALUE!</v>
      </c>
      <c r="AE113" s="10" t="e">
        <f t="shared" si="152"/>
        <v>#VALUE!</v>
      </c>
      <c r="AF113" s="10" t="e">
        <f t="shared" si="107"/>
        <v>#VALUE!</v>
      </c>
      <c r="AG113" s="10" t="e">
        <f t="shared" si="126"/>
        <v>#VALUE!</v>
      </c>
      <c r="AI113" s="13"/>
      <c r="AK113" s="10" t="e">
        <f t="shared" ref="AK113:AK135" si="173">IF(AK112-((F112+G112+K112+L112)*IF(BR112=2,1,0)+(P112+Q112+U112+V112)*IF(BQ112=2,1,0)+(Z112+AA112+AE112+AF112)*IF(BP112=2,1,0))*IF(AP112=0,1,AO112)/$J$5&lt;$AK$16*$P$8,0,
AK112-((F112+G112+K112+L112)*IF(BR112=2,1,0)+(P112+Q112+U112+V112)*IF(BQ112=2,1,0)+(Z112+AA112+AE112+AF112)*IF(BP112=2,1,0))*IF(AP112=0,1,AO112)/$J$5)</f>
        <v>#VALUE!</v>
      </c>
      <c r="AL113" s="10" t="e">
        <f t="shared" si="153"/>
        <v>#VALUE!</v>
      </c>
      <c r="AM113" s="10" t="e">
        <f t="shared" si="108"/>
        <v>#VALUE!</v>
      </c>
      <c r="AN113" s="10" t="e">
        <f t="shared" si="128"/>
        <v>#VALUE!</v>
      </c>
      <c r="AO113" s="10" t="e">
        <f t="shared" si="129"/>
        <v>#VALUE!</v>
      </c>
      <c r="AP113" s="10" t="e">
        <f t="shared" ref="AP113:AP135" si="174">MAX(AP112-((F112+G112+K112+L112)*IF(BR112=2,1,0)+(P112+Q112+U112+V112)*IF(BQ112=2,1,0)+(Z112+AA112+AE112+AF112)*IF(BP112=2,1,0))*IF(AK112=0,1,AS112)/$J$6,0)</f>
        <v>#VALUE!</v>
      </c>
      <c r="AQ113" s="10" t="e">
        <f t="shared" si="154"/>
        <v>#VALUE!</v>
      </c>
      <c r="AR113" s="10" t="e">
        <f t="shared" si="109"/>
        <v>#VALUE!</v>
      </c>
      <c r="AS113" s="10" t="e">
        <f t="shared" si="155"/>
        <v>#VALUE!</v>
      </c>
      <c r="AU113" s="10" t="e">
        <f t="shared" ref="AU113:AU135" si="175">IF(AU112-((F112+G112+K112+L112)*IF(BR112=4,1,0)+(P112+Q112+U112+V112)*IF(BQ112=4,1,0)+(Z112+AA112+AE112+AF112)*IF(BP112=4,1,0))*IF(AZ112=0,1,AY112)/$J$8&lt;$AU$16*$P$8,0,
AU112-((F112+G112+K112+L112)*IF(BR112=4,1,0)+(P112+Q112+U112+V112)*IF(BQ112=4,1,0)+(Z112+AA112+AE112+AF112)*IF(BP112=4,1,0))*IF(AZ112=0,1,AY112)/$J$8)</f>
        <v>#VALUE!</v>
      </c>
      <c r="AV113" s="10" t="e">
        <f t="shared" si="156"/>
        <v>#VALUE!</v>
      </c>
      <c r="AW113" s="10" t="e">
        <f t="shared" si="110"/>
        <v>#VALUE!</v>
      </c>
      <c r="AX113" s="10" t="e">
        <f t="shared" si="132"/>
        <v>#VALUE!</v>
      </c>
      <c r="AY113" s="10" t="e">
        <f t="shared" si="133"/>
        <v>#VALUE!</v>
      </c>
      <c r="AZ113" s="10" t="e">
        <f t="shared" ref="AZ113:AZ135" si="176">MAX(AZ112-((F112+G112+K112+L112)*IF(BR112=4,1,0)+(P112+Q112+U112+V112)*IF(BQ112=4,1,0)+(Z112+AA112+AE112+AF112)*IF(BP112=4,1,0))*IF(AU112=0,1,BC112)/$J$9,0)</f>
        <v>#VALUE!</v>
      </c>
      <c r="BA113" s="10" t="e">
        <f t="shared" si="157"/>
        <v>#VALUE!</v>
      </c>
      <c r="BB113" s="10" t="e">
        <f t="shared" si="111"/>
        <v>#VALUE!</v>
      </c>
      <c r="BC113" s="10" t="e">
        <f t="shared" si="158"/>
        <v>#VALUE!</v>
      </c>
      <c r="BE113" s="10" t="e">
        <f t="shared" ref="BE113:BE135" si="177">IF(BE112-((F112+G112+K112+L112)*IF(BR112=6,1,0)+(P112+Q112+U112+V112)*IF(BQ112=6,1,0)+(Z112+AA112+AE112+AF112)*IF(BP112=6,1,0))*IF(BJ112=0,1,BI112)/$J$11&lt;$BE$16*$P$8,0,
BE112-((F112+G112+K112+L112)*IF(BR112=6,1,0)+(P112+Q112+U112+V112)*IF(BQ112=6,1,0)+(Z112+AA112+AE112+AF112)*IF(BP112=6,1,0))*IF(BJ112=0,1,BI112)/$J$11)</f>
        <v>#VALUE!</v>
      </c>
      <c r="BF113" s="10" t="e">
        <f t="shared" si="159"/>
        <v>#VALUE!</v>
      </c>
      <c r="BG113" s="10" t="e">
        <f t="shared" si="112"/>
        <v>#VALUE!</v>
      </c>
      <c r="BH113" s="10" t="e">
        <f t="shared" si="136"/>
        <v>#VALUE!</v>
      </c>
      <c r="BI113" s="10" t="e">
        <f t="shared" si="137"/>
        <v>#VALUE!</v>
      </c>
      <c r="BJ113" s="10" t="e">
        <f t="shared" ref="BJ113:BJ135" si="178">MAX(BJ112-((F112+G112+K112+L112)*IF(BR112=6,1,0)+(P112+Q112+U112+V112)*IF(BQ112=6,1,0)+(Z112+AA112+AE112+AF112)*IF(BP112=6,1,0))*IF(BE112=0,1,BM112)/$J$12,0)</f>
        <v>#VALUE!</v>
      </c>
      <c r="BK113" s="10" t="e">
        <f t="shared" si="160"/>
        <v>#VALUE!</v>
      </c>
      <c r="BL113" s="10" t="e">
        <f t="shared" si="113"/>
        <v>#VALUE!</v>
      </c>
      <c r="BM113" s="10" t="e">
        <f t="shared" si="161"/>
        <v>#VALUE!</v>
      </c>
      <c r="BP113" s="10" t="e">
        <f t="shared" si="162"/>
        <v>#VALUE!</v>
      </c>
      <c r="BQ113" s="10" t="e">
        <f t="shared" si="163"/>
        <v>#VALUE!</v>
      </c>
      <c r="BR113" s="10" t="e">
        <f t="shared" si="164"/>
        <v>#VALUE!</v>
      </c>
      <c r="BS113" s="10" t="e">
        <f t="shared" si="165"/>
        <v>#VALUE!</v>
      </c>
      <c r="BT113" s="10" t="e">
        <f t="shared" si="166"/>
        <v>#VALUE!</v>
      </c>
      <c r="BU113" s="10" t="e">
        <f t="shared" si="167"/>
        <v>#VALUE!</v>
      </c>
      <c r="BW113" s="10" t="e">
        <f t="shared" si="139"/>
        <v>#VALUE!</v>
      </c>
      <c r="BX113" s="10" t="e">
        <f t="shared" si="140"/>
        <v>#VALUE!</v>
      </c>
      <c r="BY113" s="10" t="e">
        <f t="shared" si="141"/>
        <v>#VALUE!</v>
      </c>
      <c r="BZ113" s="10" t="e">
        <f t="shared" si="142"/>
        <v>#VALUE!</v>
      </c>
      <c r="CA113" s="10" t="e">
        <f t="shared" si="143"/>
        <v>#VALUE!</v>
      </c>
      <c r="CB113" s="10" t="e">
        <f t="shared" si="144"/>
        <v>#VALUE!</v>
      </c>
      <c r="CD113" s="10" t="e">
        <f>MATCH(INDEX($BP$12:$BU$12,1,MATCH(BP113,$BP$15:$BU$15,0)),结果汇总!$AI$10:$AI$13,0)</f>
        <v>#VALUE!</v>
      </c>
      <c r="CE113" s="10" t="e">
        <f>MATCH(INDEX($BP$12:$BU$12,1,MATCH(BQ113,$BP$15:$BU$15,0)),结果汇总!$AI$10:$AI$13,0)</f>
        <v>#VALUE!</v>
      </c>
      <c r="CF113" s="10" t="e">
        <f>MATCH(INDEX($BP$12:$BU$12,1,MATCH(BR113,$BP$15:$BU$15,0)),结果汇总!$AI$10:$AI$13,0)</f>
        <v>#VALUE!</v>
      </c>
      <c r="CG113" s="10" t="e">
        <f>MATCH(INDEX($BP$12:$BU$12,1,MATCH(BS113,$BP$15:$BU$15,0)),结果汇总!$AI$10:$AI$13,0)</f>
        <v>#VALUE!</v>
      </c>
      <c r="CH113" s="10" t="e">
        <f>MATCH(INDEX($BP$12:$BU$12,1,MATCH(BT113,$BP$15:$BU$15,0)),结果汇总!$AI$10:$AI$13,0)</f>
        <v>#VALUE!</v>
      </c>
      <c r="CI113" s="10" t="e">
        <f>MATCH(INDEX($BP$12:$BU$12,1,MATCH(BU113,$BP$15:$BU$15,0)),结果汇总!$AI$10:$AI$13,0)</f>
        <v>#VALUE!</v>
      </c>
      <c r="CK113" s="10">
        <f t="shared" ref="CK113:CN135" si="179">COUNTIFS($CD113:$CI113,CK$15,$CD$15:$CI$15,$CK$14)/COUNTIFS($CD$15:$CI$15,$CK$14)</f>
        <v>0</v>
      </c>
      <c r="CL113" s="10">
        <f t="shared" si="179"/>
        <v>0</v>
      </c>
      <c r="CM113" s="10">
        <f t="shared" si="179"/>
        <v>0</v>
      </c>
      <c r="CN113" s="10">
        <f t="shared" si="179"/>
        <v>0</v>
      </c>
      <c r="CO113" s="10" t="e">
        <f t="shared" ref="CO113:CR135" si="180">COUNTIFS($CD113:$CI113,CO$15,$CD$15:$CI$15,$CO$14)/COUNTIFS($CD$15:$CI$15,$CO$14)</f>
        <v>#DIV/0!</v>
      </c>
      <c r="CP113" s="10" t="e">
        <f t="shared" si="180"/>
        <v>#DIV/0!</v>
      </c>
      <c r="CQ113" s="10" t="e">
        <f t="shared" si="180"/>
        <v>#DIV/0!</v>
      </c>
      <c r="CR113" s="10" t="e">
        <f t="shared" si="180"/>
        <v>#DIV/0!</v>
      </c>
      <c r="CS113" s="10">
        <f t="shared" ref="CS113:CV135" si="181">COUNTIFS($CD113:$CI113,CS$15,$CD$15:$CI$15,$CS$14)/COUNTIFS($CD$15:$CI$15,$CS$14)</f>
        <v>0</v>
      </c>
      <c r="CT113" s="10">
        <f t="shared" si="181"/>
        <v>0</v>
      </c>
      <c r="CU113" s="10">
        <f t="shared" si="181"/>
        <v>0</v>
      </c>
      <c r="CV113" s="10">
        <f t="shared" si="181"/>
        <v>0</v>
      </c>
      <c r="CW113" s="10">
        <f t="shared" ref="CW113:CZ135" si="182">COUNTIFS($CD113:$CI113,CW$15,$CD$15:$CI$15,$CW$14)/COUNTIFS($CD$15:$CI$15,$CW$14)</f>
        <v>0</v>
      </c>
      <c r="CX113" s="10">
        <f t="shared" si="182"/>
        <v>0</v>
      </c>
      <c r="CY113" s="10">
        <f t="shared" si="182"/>
        <v>0</v>
      </c>
      <c r="CZ113" s="10">
        <f t="shared" si="182"/>
        <v>0</v>
      </c>
    </row>
    <row r="114" spans="4:104" x14ac:dyDescent="0.15">
      <c r="D114" s="10">
        <v>99</v>
      </c>
      <c r="E114" s="10" t="e">
        <f t="shared" si="169"/>
        <v>#VALUE!</v>
      </c>
      <c r="F114" s="10" t="e">
        <f t="shared" si="98"/>
        <v>#VALUE!</v>
      </c>
      <c r="G114" s="10" t="e">
        <f t="shared" si="99"/>
        <v>#VALUE!</v>
      </c>
      <c r="H114" s="10" t="e">
        <f t="shared" si="115"/>
        <v>#VALUE!</v>
      </c>
      <c r="I114" s="10" t="e">
        <f t="shared" si="168"/>
        <v>#VALUE!</v>
      </c>
      <c r="J114" s="10" t="e">
        <f t="shared" si="170"/>
        <v>#VALUE!</v>
      </c>
      <c r="K114" s="10" t="e">
        <f t="shared" si="101"/>
        <v>#VALUE!</v>
      </c>
      <c r="L114" s="10" t="e">
        <f t="shared" si="102"/>
        <v>#VALUE!</v>
      </c>
      <c r="M114" s="10" t="e">
        <f t="shared" si="117"/>
        <v>#VALUE!</v>
      </c>
      <c r="O114" s="10" t="e">
        <f t="shared" si="171"/>
        <v>#VALUE!</v>
      </c>
      <c r="P114" s="10" t="e">
        <f t="shared" si="103"/>
        <v>#VALUE!</v>
      </c>
      <c r="Q114" s="10" t="e">
        <f t="shared" si="104"/>
        <v>#VALUE!</v>
      </c>
      <c r="R114" s="10" t="e">
        <f t="shared" si="119"/>
        <v>#VALUE!</v>
      </c>
      <c r="S114" s="10" t="e">
        <f t="shared" si="120"/>
        <v>#VALUE!</v>
      </c>
      <c r="T114" s="10" t="e">
        <f t="shared" si="149"/>
        <v>#VALUE!</v>
      </c>
      <c r="U114" s="10" t="e">
        <f t="shared" si="150"/>
        <v>#VALUE!</v>
      </c>
      <c r="V114" s="10" t="e">
        <f t="shared" si="105"/>
        <v>#VALUE!</v>
      </c>
      <c r="W114" s="10" t="e">
        <f t="shared" si="121"/>
        <v>#VALUE!</v>
      </c>
      <c r="Y114" s="10" t="e">
        <f t="shared" si="172"/>
        <v>#VALUE!</v>
      </c>
      <c r="Z114" s="11" t="e">
        <f t="shared" si="123"/>
        <v>#VALUE!</v>
      </c>
      <c r="AA114" s="10" t="e">
        <f t="shared" si="106"/>
        <v>#VALUE!</v>
      </c>
      <c r="AB114" s="10" t="e">
        <f t="shared" si="124"/>
        <v>#VALUE!</v>
      </c>
      <c r="AC114" s="10" t="e">
        <f t="shared" si="125"/>
        <v>#VALUE!</v>
      </c>
      <c r="AD114" s="10" t="e">
        <f t="shared" si="151"/>
        <v>#VALUE!</v>
      </c>
      <c r="AE114" s="10" t="e">
        <f t="shared" si="152"/>
        <v>#VALUE!</v>
      </c>
      <c r="AF114" s="10" t="e">
        <f t="shared" si="107"/>
        <v>#VALUE!</v>
      </c>
      <c r="AG114" s="10" t="e">
        <f t="shared" si="126"/>
        <v>#VALUE!</v>
      </c>
      <c r="AI114" s="13"/>
      <c r="AK114" s="10" t="e">
        <f t="shared" si="173"/>
        <v>#VALUE!</v>
      </c>
      <c r="AL114" s="10" t="e">
        <f t="shared" si="153"/>
        <v>#VALUE!</v>
      </c>
      <c r="AM114" s="10" t="e">
        <f t="shared" si="108"/>
        <v>#VALUE!</v>
      </c>
      <c r="AN114" s="10" t="e">
        <f t="shared" si="128"/>
        <v>#VALUE!</v>
      </c>
      <c r="AO114" s="10" t="e">
        <f t="shared" si="129"/>
        <v>#VALUE!</v>
      </c>
      <c r="AP114" s="10" t="e">
        <f t="shared" si="174"/>
        <v>#VALUE!</v>
      </c>
      <c r="AQ114" s="10" t="e">
        <f t="shared" si="154"/>
        <v>#VALUE!</v>
      </c>
      <c r="AR114" s="10" t="e">
        <f t="shared" si="109"/>
        <v>#VALUE!</v>
      </c>
      <c r="AS114" s="10" t="e">
        <f t="shared" si="155"/>
        <v>#VALUE!</v>
      </c>
      <c r="AU114" s="10" t="e">
        <f t="shared" si="175"/>
        <v>#VALUE!</v>
      </c>
      <c r="AV114" s="10" t="e">
        <f t="shared" si="156"/>
        <v>#VALUE!</v>
      </c>
      <c r="AW114" s="10" t="e">
        <f t="shared" si="110"/>
        <v>#VALUE!</v>
      </c>
      <c r="AX114" s="10" t="e">
        <f t="shared" si="132"/>
        <v>#VALUE!</v>
      </c>
      <c r="AY114" s="10" t="e">
        <f t="shared" si="133"/>
        <v>#VALUE!</v>
      </c>
      <c r="AZ114" s="10" t="e">
        <f t="shared" si="176"/>
        <v>#VALUE!</v>
      </c>
      <c r="BA114" s="10" t="e">
        <f t="shared" si="157"/>
        <v>#VALUE!</v>
      </c>
      <c r="BB114" s="10" t="e">
        <f t="shared" si="111"/>
        <v>#VALUE!</v>
      </c>
      <c r="BC114" s="10" t="e">
        <f t="shared" si="158"/>
        <v>#VALUE!</v>
      </c>
      <c r="BE114" s="10" t="e">
        <f t="shared" si="177"/>
        <v>#VALUE!</v>
      </c>
      <c r="BF114" s="10" t="e">
        <f t="shared" si="159"/>
        <v>#VALUE!</v>
      </c>
      <c r="BG114" s="10" t="e">
        <f t="shared" si="112"/>
        <v>#VALUE!</v>
      </c>
      <c r="BH114" s="10" t="e">
        <f t="shared" si="136"/>
        <v>#VALUE!</v>
      </c>
      <c r="BI114" s="10" t="e">
        <f t="shared" si="137"/>
        <v>#VALUE!</v>
      </c>
      <c r="BJ114" s="10" t="e">
        <f t="shared" si="178"/>
        <v>#VALUE!</v>
      </c>
      <c r="BK114" s="10" t="e">
        <f t="shared" si="160"/>
        <v>#VALUE!</v>
      </c>
      <c r="BL114" s="10" t="e">
        <f t="shared" si="113"/>
        <v>#VALUE!</v>
      </c>
      <c r="BM114" s="10" t="e">
        <f t="shared" si="161"/>
        <v>#VALUE!</v>
      </c>
      <c r="BP114" s="10" t="e">
        <f t="shared" si="162"/>
        <v>#VALUE!</v>
      </c>
      <c r="BQ114" s="10" t="e">
        <f t="shared" si="163"/>
        <v>#VALUE!</v>
      </c>
      <c r="BR114" s="10" t="e">
        <f t="shared" si="164"/>
        <v>#VALUE!</v>
      </c>
      <c r="BS114" s="10" t="e">
        <f t="shared" si="165"/>
        <v>#VALUE!</v>
      </c>
      <c r="BT114" s="10" t="e">
        <f t="shared" si="166"/>
        <v>#VALUE!</v>
      </c>
      <c r="BU114" s="10" t="e">
        <f t="shared" si="167"/>
        <v>#VALUE!</v>
      </c>
      <c r="BW114" s="10" t="e">
        <f t="shared" si="139"/>
        <v>#VALUE!</v>
      </c>
      <c r="BX114" s="10" t="e">
        <f t="shared" si="140"/>
        <v>#VALUE!</v>
      </c>
      <c r="BY114" s="10" t="e">
        <f t="shared" si="141"/>
        <v>#VALUE!</v>
      </c>
      <c r="BZ114" s="10" t="e">
        <f t="shared" si="142"/>
        <v>#VALUE!</v>
      </c>
      <c r="CA114" s="10" t="e">
        <f t="shared" si="143"/>
        <v>#VALUE!</v>
      </c>
      <c r="CB114" s="10" t="e">
        <f t="shared" si="144"/>
        <v>#VALUE!</v>
      </c>
      <c r="CD114" s="10" t="e">
        <f>MATCH(INDEX($BP$12:$BU$12,1,MATCH(BP114,$BP$15:$BU$15,0)),结果汇总!$AI$10:$AI$13,0)</f>
        <v>#VALUE!</v>
      </c>
      <c r="CE114" s="10" t="e">
        <f>MATCH(INDEX($BP$12:$BU$12,1,MATCH(BQ114,$BP$15:$BU$15,0)),结果汇总!$AI$10:$AI$13,0)</f>
        <v>#VALUE!</v>
      </c>
      <c r="CF114" s="10" t="e">
        <f>MATCH(INDEX($BP$12:$BU$12,1,MATCH(BR114,$BP$15:$BU$15,0)),结果汇总!$AI$10:$AI$13,0)</f>
        <v>#VALUE!</v>
      </c>
      <c r="CG114" s="10" t="e">
        <f>MATCH(INDEX($BP$12:$BU$12,1,MATCH(BS114,$BP$15:$BU$15,0)),结果汇总!$AI$10:$AI$13,0)</f>
        <v>#VALUE!</v>
      </c>
      <c r="CH114" s="10" t="e">
        <f>MATCH(INDEX($BP$12:$BU$12,1,MATCH(BT114,$BP$15:$BU$15,0)),结果汇总!$AI$10:$AI$13,0)</f>
        <v>#VALUE!</v>
      </c>
      <c r="CI114" s="10" t="e">
        <f>MATCH(INDEX($BP$12:$BU$12,1,MATCH(BU114,$BP$15:$BU$15,0)),结果汇总!$AI$10:$AI$13,0)</f>
        <v>#VALUE!</v>
      </c>
      <c r="CK114" s="10">
        <f t="shared" si="179"/>
        <v>0</v>
      </c>
      <c r="CL114" s="10">
        <f t="shared" si="179"/>
        <v>0</v>
      </c>
      <c r="CM114" s="10">
        <f t="shared" si="179"/>
        <v>0</v>
      </c>
      <c r="CN114" s="10">
        <f t="shared" si="179"/>
        <v>0</v>
      </c>
      <c r="CO114" s="10" t="e">
        <f t="shared" si="180"/>
        <v>#DIV/0!</v>
      </c>
      <c r="CP114" s="10" t="e">
        <f t="shared" si="180"/>
        <v>#DIV/0!</v>
      </c>
      <c r="CQ114" s="10" t="e">
        <f t="shared" si="180"/>
        <v>#DIV/0!</v>
      </c>
      <c r="CR114" s="10" t="e">
        <f t="shared" si="180"/>
        <v>#DIV/0!</v>
      </c>
      <c r="CS114" s="10">
        <f t="shared" si="181"/>
        <v>0</v>
      </c>
      <c r="CT114" s="10">
        <f t="shared" si="181"/>
        <v>0</v>
      </c>
      <c r="CU114" s="10">
        <f t="shared" si="181"/>
        <v>0</v>
      </c>
      <c r="CV114" s="10">
        <f t="shared" si="181"/>
        <v>0</v>
      </c>
      <c r="CW114" s="10">
        <f t="shared" si="182"/>
        <v>0</v>
      </c>
      <c r="CX114" s="10">
        <f t="shared" si="182"/>
        <v>0</v>
      </c>
      <c r="CY114" s="10">
        <f t="shared" si="182"/>
        <v>0</v>
      </c>
      <c r="CZ114" s="10">
        <f t="shared" si="182"/>
        <v>0</v>
      </c>
    </row>
    <row r="115" spans="4:104" x14ac:dyDescent="0.15">
      <c r="D115" s="10">
        <v>100</v>
      </c>
      <c r="E115" s="10" t="e">
        <f t="shared" si="169"/>
        <v>#VALUE!</v>
      </c>
      <c r="F115" s="10" t="e">
        <f t="shared" si="98"/>
        <v>#VALUE!</v>
      </c>
      <c r="G115" s="10" t="e">
        <f t="shared" si="99"/>
        <v>#VALUE!</v>
      </c>
      <c r="H115" s="10" t="e">
        <f t="shared" si="115"/>
        <v>#VALUE!</v>
      </c>
      <c r="I115" s="10" t="e">
        <f t="shared" si="168"/>
        <v>#VALUE!</v>
      </c>
      <c r="J115" s="10" t="e">
        <f t="shared" si="170"/>
        <v>#VALUE!</v>
      </c>
      <c r="K115" s="10" t="e">
        <f t="shared" si="101"/>
        <v>#VALUE!</v>
      </c>
      <c r="L115" s="10" t="e">
        <f t="shared" si="102"/>
        <v>#VALUE!</v>
      </c>
      <c r="M115" s="10" t="e">
        <f t="shared" si="117"/>
        <v>#VALUE!</v>
      </c>
      <c r="O115" s="10" t="e">
        <f t="shared" si="171"/>
        <v>#VALUE!</v>
      </c>
      <c r="P115" s="10" t="e">
        <f t="shared" si="103"/>
        <v>#VALUE!</v>
      </c>
      <c r="Q115" s="10" t="e">
        <f t="shared" si="104"/>
        <v>#VALUE!</v>
      </c>
      <c r="R115" s="10" t="e">
        <f t="shared" si="119"/>
        <v>#VALUE!</v>
      </c>
      <c r="S115" s="10" t="e">
        <f t="shared" si="120"/>
        <v>#VALUE!</v>
      </c>
      <c r="T115" s="10" t="e">
        <f t="shared" si="149"/>
        <v>#VALUE!</v>
      </c>
      <c r="U115" s="10" t="e">
        <f t="shared" si="150"/>
        <v>#VALUE!</v>
      </c>
      <c r="V115" s="10" t="e">
        <f t="shared" si="105"/>
        <v>#VALUE!</v>
      </c>
      <c r="W115" s="10" t="e">
        <f t="shared" si="121"/>
        <v>#VALUE!</v>
      </c>
      <c r="Y115" s="10" t="e">
        <f t="shared" si="172"/>
        <v>#VALUE!</v>
      </c>
      <c r="Z115" s="11" t="e">
        <f t="shared" si="123"/>
        <v>#VALUE!</v>
      </c>
      <c r="AA115" s="10" t="e">
        <f t="shared" si="106"/>
        <v>#VALUE!</v>
      </c>
      <c r="AB115" s="10" t="e">
        <f t="shared" si="124"/>
        <v>#VALUE!</v>
      </c>
      <c r="AC115" s="10" t="e">
        <f t="shared" si="125"/>
        <v>#VALUE!</v>
      </c>
      <c r="AD115" s="10" t="e">
        <f t="shared" si="151"/>
        <v>#VALUE!</v>
      </c>
      <c r="AE115" s="10" t="e">
        <f t="shared" si="152"/>
        <v>#VALUE!</v>
      </c>
      <c r="AF115" s="10" t="e">
        <f t="shared" si="107"/>
        <v>#VALUE!</v>
      </c>
      <c r="AG115" s="10" t="e">
        <f t="shared" si="126"/>
        <v>#VALUE!</v>
      </c>
      <c r="AI115" s="13"/>
      <c r="AK115" s="10" t="e">
        <f t="shared" si="173"/>
        <v>#VALUE!</v>
      </c>
      <c r="AL115" s="10" t="e">
        <f t="shared" si="153"/>
        <v>#VALUE!</v>
      </c>
      <c r="AM115" s="10" t="e">
        <f t="shared" si="108"/>
        <v>#VALUE!</v>
      </c>
      <c r="AN115" s="10" t="e">
        <f t="shared" si="128"/>
        <v>#VALUE!</v>
      </c>
      <c r="AO115" s="10" t="e">
        <f t="shared" si="129"/>
        <v>#VALUE!</v>
      </c>
      <c r="AP115" s="10" t="e">
        <f t="shared" si="174"/>
        <v>#VALUE!</v>
      </c>
      <c r="AQ115" s="10" t="e">
        <f t="shared" si="154"/>
        <v>#VALUE!</v>
      </c>
      <c r="AR115" s="10" t="e">
        <f t="shared" si="109"/>
        <v>#VALUE!</v>
      </c>
      <c r="AS115" s="10" t="e">
        <f t="shared" si="155"/>
        <v>#VALUE!</v>
      </c>
      <c r="AU115" s="10" t="e">
        <f t="shared" si="175"/>
        <v>#VALUE!</v>
      </c>
      <c r="AV115" s="10" t="e">
        <f t="shared" si="156"/>
        <v>#VALUE!</v>
      </c>
      <c r="AW115" s="10" t="e">
        <f t="shared" si="110"/>
        <v>#VALUE!</v>
      </c>
      <c r="AX115" s="10" t="e">
        <f t="shared" si="132"/>
        <v>#VALUE!</v>
      </c>
      <c r="AY115" s="10" t="e">
        <f t="shared" si="133"/>
        <v>#VALUE!</v>
      </c>
      <c r="AZ115" s="10" t="e">
        <f t="shared" si="176"/>
        <v>#VALUE!</v>
      </c>
      <c r="BA115" s="10" t="e">
        <f t="shared" si="157"/>
        <v>#VALUE!</v>
      </c>
      <c r="BB115" s="10" t="e">
        <f t="shared" si="111"/>
        <v>#VALUE!</v>
      </c>
      <c r="BC115" s="10" t="e">
        <f t="shared" si="158"/>
        <v>#VALUE!</v>
      </c>
      <c r="BE115" s="10" t="e">
        <f t="shared" si="177"/>
        <v>#VALUE!</v>
      </c>
      <c r="BF115" s="10" t="e">
        <f t="shared" si="159"/>
        <v>#VALUE!</v>
      </c>
      <c r="BG115" s="10" t="e">
        <f t="shared" si="112"/>
        <v>#VALUE!</v>
      </c>
      <c r="BH115" s="10" t="e">
        <f t="shared" si="136"/>
        <v>#VALUE!</v>
      </c>
      <c r="BI115" s="10" t="e">
        <f t="shared" si="137"/>
        <v>#VALUE!</v>
      </c>
      <c r="BJ115" s="10" t="e">
        <f t="shared" si="178"/>
        <v>#VALUE!</v>
      </c>
      <c r="BK115" s="10" t="e">
        <f t="shared" si="160"/>
        <v>#VALUE!</v>
      </c>
      <c r="BL115" s="10" t="e">
        <f t="shared" si="113"/>
        <v>#VALUE!</v>
      </c>
      <c r="BM115" s="10" t="e">
        <f t="shared" si="161"/>
        <v>#VALUE!</v>
      </c>
      <c r="BP115" s="10" t="e">
        <f t="shared" si="162"/>
        <v>#VALUE!</v>
      </c>
      <c r="BQ115" s="10" t="e">
        <f t="shared" si="163"/>
        <v>#VALUE!</v>
      </c>
      <c r="BR115" s="10" t="e">
        <f t="shared" si="164"/>
        <v>#VALUE!</v>
      </c>
      <c r="BS115" s="10" t="e">
        <f t="shared" si="165"/>
        <v>#VALUE!</v>
      </c>
      <c r="BT115" s="10" t="e">
        <f t="shared" si="166"/>
        <v>#VALUE!</v>
      </c>
      <c r="BU115" s="10" t="e">
        <f t="shared" si="167"/>
        <v>#VALUE!</v>
      </c>
      <c r="BW115" s="10" t="e">
        <f t="shared" si="139"/>
        <v>#VALUE!</v>
      </c>
      <c r="BX115" s="10" t="e">
        <f t="shared" si="140"/>
        <v>#VALUE!</v>
      </c>
      <c r="BY115" s="10" t="e">
        <f t="shared" si="141"/>
        <v>#VALUE!</v>
      </c>
      <c r="BZ115" s="10" t="e">
        <f t="shared" si="142"/>
        <v>#VALUE!</v>
      </c>
      <c r="CA115" s="10" t="e">
        <f t="shared" si="143"/>
        <v>#VALUE!</v>
      </c>
      <c r="CB115" s="10" t="e">
        <f t="shared" si="144"/>
        <v>#VALUE!</v>
      </c>
      <c r="CD115" s="10" t="e">
        <f>MATCH(INDEX($BP$12:$BU$12,1,MATCH(BP115,$BP$15:$BU$15,0)),结果汇总!$AI$10:$AI$13,0)</f>
        <v>#VALUE!</v>
      </c>
      <c r="CE115" s="10" t="e">
        <f>MATCH(INDEX($BP$12:$BU$12,1,MATCH(BQ115,$BP$15:$BU$15,0)),结果汇总!$AI$10:$AI$13,0)</f>
        <v>#VALUE!</v>
      </c>
      <c r="CF115" s="10" t="e">
        <f>MATCH(INDEX($BP$12:$BU$12,1,MATCH(BR115,$BP$15:$BU$15,0)),结果汇总!$AI$10:$AI$13,0)</f>
        <v>#VALUE!</v>
      </c>
      <c r="CG115" s="10" t="e">
        <f>MATCH(INDEX($BP$12:$BU$12,1,MATCH(BS115,$BP$15:$BU$15,0)),结果汇总!$AI$10:$AI$13,0)</f>
        <v>#VALUE!</v>
      </c>
      <c r="CH115" s="10" t="e">
        <f>MATCH(INDEX($BP$12:$BU$12,1,MATCH(BT115,$BP$15:$BU$15,0)),结果汇总!$AI$10:$AI$13,0)</f>
        <v>#VALUE!</v>
      </c>
      <c r="CI115" s="10" t="e">
        <f>MATCH(INDEX($BP$12:$BU$12,1,MATCH(BU115,$BP$15:$BU$15,0)),结果汇总!$AI$10:$AI$13,0)</f>
        <v>#VALUE!</v>
      </c>
      <c r="CK115" s="10">
        <f t="shared" si="179"/>
        <v>0</v>
      </c>
      <c r="CL115" s="10">
        <f t="shared" si="179"/>
        <v>0</v>
      </c>
      <c r="CM115" s="10">
        <f t="shared" si="179"/>
        <v>0</v>
      </c>
      <c r="CN115" s="10">
        <f t="shared" si="179"/>
        <v>0</v>
      </c>
      <c r="CO115" s="10" t="e">
        <f t="shared" si="180"/>
        <v>#DIV/0!</v>
      </c>
      <c r="CP115" s="10" t="e">
        <f t="shared" si="180"/>
        <v>#DIV/0!</v>
      </c>
      <c r="CQ115" s="10" t="e">
        <f t="shared" si="180"/>
        <v>#DIV/0!</v>
      </c>
      <c r="CR115" s="10" t="e">
        <f t="shared" si="180"/>
        <v>#DIV/0!</v>
      </c>
      <c r="CS115" s="10">
        <f t="shared" si="181"/>
        <v>0</v>
      </c>
      <c r="CT115" s="10">
        <f t="shared" si="181"/>
        <v>0</v>
      </c>
      <c r="CU115" s="10">
        <f t="shared" si="181"/>
        <v>0</v>
      </c>
      <c r="CV115" s="10">
        <f t="shared" si="181"/>
        <v>0</v>
      </c>
      <c r="CW115" s="10">
        <f t="shared" si="182"/>
        <v>0</v>
      </c>
      <c r="CX115" s="10">
        <f t="shared" si="182"/>
        <v>0</v>
      </c>
      <c r="CY115" s="10">
        <f t="shared" si="182"/>
        <v>0</v>
      </c>
      <c r="CZ115" s="10">
        <f t="shared" si="182"/>
        <v>0</v>
      </c>
    </row>
    <row r="116" spans="4:104" x14ac:dyDescent="0.15">
      <c r="D116" s="10">
        <v>101</v>
      </c>
      <c r="E116" s="10" t="e">
        <f t="shared" si="169"/>
        <v>#VALUE!</v>
      </c>
      <c r="F116" s="10" t="e">
        <f t="shared" si="98"/>
        <v>#VALUE!</v>
      </c>
      <c r="G116" s="10" t="e">
        <f t="shared" si="99"/>
        <v>#VALUE!</v>
      </c>
      <c r="H116" s="10" t="e">
        <f t="shared" si="115"/>
        <v>#VALUE!</v>
      </c>
      <c r="I116" s="10" t="e">
        <f t="shared" si="168"/>
        <v>#VALUE!</v>
      </c>
      <c r="J116" s="10" t="e">
        <f t="shared" si="170"/>
        <v>#VALUE!</v>
      </c>
      <c r="K116" s="10" t="e">
        <f t="shared" si="101"/>
        <v>#VALUE!</v>
      </c>
      <c r="L116" s="10" t="e">
        <f t="shared" si="102"/>
        <v>#VALUE!</v>
      </c>
      <c r="M116" s="10" t="e">
        <f t="shared" si="117"/>
        <v>#VALUE!</v>
      </c>
      <c r="O116" s="10" t="e">
        <f t="shared" si="171"/>
        <v>#VALUE!</v>
      </c>
      <c r="P116" s="10" t="e">
        <f t="shared" si="103"/>
        <v>#VALUE!</v>
      </c>
      <c r="Q116" s="10" t="e">
        <f t="shared" si="104"/>
        <v>#VALUE!</v>
      </c>
      <c r="R116" s="10" t="e">
        <f t="shared" si="119"/>
        <v>#VALUE!</v>
      </c>
      <c r="S116" s="10" t="e">
        <f t="shared" si="120"/>
        <v>#VALUE!</v>
      </c>
      <c r="T116" s="10" t="e">
        <f t="shared" si="149"/>
        <v>#VALUE!</v>
      </c>
      <c r="U116" s="10" t="e">
        <f t="shared" si="150"/>
        <v>#VALUE!</v>
      </c>
      <c r="V116" s="10" t="e">
        <f t="shared" si="105"/>
        <v>#VALUE!</v>
      </c>
      <c r="W116" s="10" t="e">
        <f t="shared" si="121"/>
        <v>#VALUE!</v>
      </c>
      <c r="Y116" s="10" t="e">
        <f t="shared" si="172"/>
        <v>#VALUE!</v>
      </c>
      <c r="Z116" s="11" t="e">
        <f t="shared" si="123"/>
        <v>#VALUE!</v>
      </c>
      <c r="AA116" s="10" t="e">
        <f t="shared" si="106"/>
        <v>#VALUE!</v>
      </c>
      <c r="AB116" s="10" t="e">
        <f t="shared" si="124"/>
        <v>#VALUE!</v>
      </c>
      <c r="AC116" s="10" t="e">
        <f t="shared" si="125"/>
        <v>#VALUE!</v>
      </c>
      <c r="AD116" s="10" t="e">
        <f t="shared" si="151"/>
        <v>#VALUE!</v>
      </c>
      <c r="AE116" s="10" t="e">
        <f t="shared" si="152"/>
        <v>#VALUE!</v>
      </c>
      <c r="AF116" s="10" t="e">
        <f t="shared" si="107"/>
        <v>#VALUE!</v>
      </c>
      <c r="AG116" s="10" t="e">
        <f t="shared" si="126"/>
        <v>#VALUE!</v>
      </c>
      <c r="AI116" s="13"/>
      <c r="AK116" s="10" t="e">
        <f t="shared" si="173"/>
        <v>#VALUE!</v>
      </c>
      <c r="AL116" s="10" t="e">
        <f t="shared" si="153"/>
        <v>#VALUE!</v>
      </c>
      <c r="AM116" s="10" t="e">
        <f t="shared" si="108"/>
        <v>#VALUE!</v>
      </c>
      <c r="AN116" s="10" t="e">
        <f t="shared" si="128"/>
        <v>#VALUE!</v>
      </c>
      <c r="AO116" s="10" t="e">
        <f t="shared" si="129"/>
        <v>#VALUE!</v>
      </c>
      <c r="AP116" s="10" t="e">
        <f t="shared" si="174"/>
        <v>#VALUE!</v>
      </c>
      <c r="AQ116" s="10" t="e">
        <f t="shared" si="154"/>
        <v>#VALUE!</v>
      </c>
      <c r="AR116" s="10" t="e">
        <f t="shared" si="109"/>
        <v>#VALUE!</v>
      </c>
      <c r="AS116" s="10" t="e">
        <f t="shared" si="155"/>
        <v>#VALUE!</v>
      </c>
      <c r="AU116" s="10" t="e">
        <f t="shared" si="175"/>
        <v>#VALUE!</v>
      </c>
      <c r="AV116" s="10" t="e">
        <f t="shared" si="156"/>
        <v>#VALUE!</v>
      </c>
      <c r="AW116" s="10" t="e">
        <f t="shared" si="110"/>
        <v>#VALUE!</v>
      </c>
      <c r="AX116" s="10" t="e">
        <f t="shared" si="132"/>
        <v>#VALUE!</v>
      </c>
      <c r="AY116" s="10" t="e">
        <f t="shared" si="133"/>
        <v>#VALUE!</v>
      </c>
      <c r="AZ116" s="10" t="e">
        <f t="shared" si="176"/>
        <v>#VALUE!</v>
      </c>
      <c r="BA116" s="10" t="e">
        <f t="shared" si="157"/>
        <v>#VALUE!</v>
      </c>
      <c r="BB116" s="10" t="e">
        <f t="shared" si="111"/>
        <v>#VALUE!</v>
      </c>
      <c r="BC116" s="10" t="e">
        <f t="shared" si="158"/>
        <v>#VALUE!</v>
      </c>
      <c r="BE116" s="10" t="e">
        <f t="shared" si="177"/>
        <v>#VALUE!</v>
      </c>
      <c r="BF116" s="10" t="e">
        <f t="shared" si="159"/>
        <v>#VALUE!</v>
      </c>
      <c r="BG116" s="10" t="e">
        <f t="shared" si="112"/>
        <v>#VALUE!</v>
      </c>
      <c r="BH116" s="10" t="e">
        <f t="shared" si="136"/>
        <v>#VALUE!</v>
      </c>
      <c r="BI116" s="10" t="e">
        <f t="shared" si="137"/>
        <v>#VALUE!</v>
      </c>
      <c r="BJ116" s="10" t="e">
        <f t="shared" si="178"/>
        <v>#VALUE!</v>
      </c>
      <c r="BK116" s="10" t="e">
        <f t="shared" si="160"/>
        <v>#VALUE!</v>
      </c>
      <c r="BL116" s="10" t="e">
        <f t="shared" si="113"/>
        <v>#VALUE!</v>
      </c>
      <c r="BM116" s="10" t="e">
        <f t="shared" si="161"/>
        <v>#VALUE!</v>
      </c>
      <c r="BP116" s="10" t="e">
        <f t="shared" si="162"/>
        <v>#VALUE!</v>
      </c>
      <c r="BQ116" s="10" t="e">
        <f t="shared" si="163"/>
        <v>#VALUE!</v>
      </c>
      <c r="BR116" s="10" t="e">
        <f t="shared" si="164"/>
        <v>#VALUE!</v>
      </c>
      <c r="BS116" s="10" t="e">
        <f t="shared" si="165"/>
        <v>#VALUE!</v>
      </c>
      <c r="BT116" s="10" t="e">
        <f t="shared" si="166"/>
        <v>#VALUE!</v>
      </c>
      <c r="BU116" s="10" t="e">
        <f t="shared" si="167"/>
        <v>#VALUE!</v>
      </c>
      <c r="BW116" s="10" t="e">
        <f t="shared" si="139"/>
        <v>#VALUE!</v>
      </c>
      <c r="BX116" s="10" t="e">
        <f t="shared" si="140"/>
        <v>#VALUE!</v>
      </c>
      <c r="BY116" s="10" t="e">
        <f t="shared" si="141"/>
        <v>#VALUE!</v>
      </c>
      <c r="BZ116" s="10" t="e">
        <f t="shared" si="142"/>
        <v>#VALUE!</v>
      </c>
      <c r="CA116" s="10" t="e">
        <f t="shared" si="143"/>
        <v>#VALUE!</v>
      </c>
      <c r="CB116" s="10" t="e">
        <f t="shared" si="144"/>
        <v>#VALUE!</v>
      </c>
      <c r="CD116" s="10" t="e">
        <f>MATCH(INDEX($BP$12:$BU$12,1,MATCH(BP116,$BP$15:$BU$15,0)),结果汇总!$AI$10:$AI$13,0)</f>
        <v>#VALUE!</v>
      </c>
      <c r="CE116" s="10" t="e">
        <f>MATCH(INDEX($BP$12:$BU$12,1,MATCH(BQ116,$BP$15:$BU$15,0)),结果汇总!$AI$10:$AI$13,0)</f>
        <v>#VALUE!</v>
      </c>
      <c r="CF116" s="10" t="e">
        <f>MATCH(INDEX($BP$12:$BU$12,1,MATCH(BR116,$BP$15:$BU$15,0)),结果汇总!$AI$10:$AI$13,0)</f>
        <v>#VALUE!</v>
      </c>
      <c r="CG116" s="10" t="e">
        <f>MATCH(INDEX($BP$12:$BU$12,1,MATCH(BS116,$BP$15:$BU$15,0)),结果汇总!$AI$10:$AI$13,0)</f>
        <v>#VALUE!</v>
      </c>
      <c r="CH116" s="10" t="e">
        <f>MATCH(INDEX($BP$12:$BU$12,1,MATCH(BT116,$BP$15:$BU$15,0)),结果汇总!$AI$10:$AI$13,0)</f>
        <v>#VALUE!</v>
      </c>
      <c r="CI116" s="10" t="e">
        <f>MATCH(INDEX($BP$12:$BU$12,1,MATCH(BU116,$BP$15:$BU$15,0)),结果汇总!$AI$10:$AI$13,0)</f>
        <v>#VALUE!</v>
      </c>
      <c r="CK116" s="10">
        <f t="shared" si="179"/>
        <v>0</v>
      </c>
      <c r="CL116" s="10">
        <f t="shared" si="179"/>
        <v>0</v>
      </c>
      <c r="CM116" s="10">
        <f t="shared" si="179"/>
        <v>0</v>
      </c>
      <c r="CN116" s="10">
        <f t="shared" si="179"/>
        <v>0</v>
      </c>
      <c r="CO116" s="10" t="e">
        <f t="shared" si="180"/>
        <v>#DIV/0!</v>
      </c>
      <c r="CP116" s="10" t="e">
        <f t="shared" si="180"/>
        <v>#DIV/0!</v>
      </c>
      <c r="CQ116" s="10" t="e">
        <f t="shared" si="180"/>
        <v>#DIV/0!</v>
      </c>
      <c r="CR116" s="10" t="e">
        <f t="shared" si="180"/>
        <v>#DIV/0!</v>
      </c>
      <c r="CS116" s="10">
        <f t="shared" si="181"/>
        <v>0</v>
      </c>
      <c r="CT116" s="10">
        <f t="shared" si="181"/>
        <v>0</v>
      </c>
      <c r="CU116" s="10">
        <f t="shared" si="181"/>
        <v>0</v>
      </c>
      <c r="CV116" s="10">
        <f t="shared" si="181"/>
        <v>0</v>
      </c>
      <c r="CW116" s="10">
        <f t="shared" si="182"/>
        <v>0</v>
      </c>
      <c r="CX116" s="10">
        <f t="shared" si="182"/>
        <v>0</v>
      </c>
      <c r="CY116" s="10">
        <f t="shared" si="182"/>
        <v>0</v>
      </c>
      <c r="CZ116" s="10">
        <f t="shared" si="182"/>
        <v>0</v>
      </c>
    </row>
    <row r="117" spans="4:104" x14ac:dyDescent="0.15">
      <c r="D117" s="10">
        <v>102</v>
      </c>
      <c r="E117" s="10" t="e">
        <f t="shared" si="169"/>
        <v>#VALUE!</v>
      </c>
      <c r="F117" s="10" t="e">
        <f t="shared" si="98"/>
        <v>#VALUE!</v>
      </c>
      <c r="G117" s="10" t="e">
        <f t="shared" si="99"/>
        <v>#VALUE!</v>
      </c>
      <c r="H117" s="10" t="e">
        <f t="shared" si="115"/>
        <v>#VALUE!</v>
      </c>
      <c r="I117" s="10" t="e">
        <f t="shared" si="168"/>
        <v>#VALUE!</v>
      </c>
      <c r="J117" s="10" t="e">
        <f t="shared" si="170"/>
        <v>#VALUE!</v>
      </c>
      <c r="K117" s="10" t="e">
        <f t="shared" si="101"/>
        <v>#VALUE!</v>
      </c>
      <c r="L117" s="10" t="e">
        <f t="shared" si="102"/>
        <v>#VALUE!</v>
      </c>
      <c r="M117" s="10" t="e">
        <f t="shared" si="117"/>
        <v>#VALUE!</v>
      </c>
      <c r="O117" s="10" t="e">
        <f t="shared" si="171"/>
        <v>#VALUE!</v>
      </c>
      <c r="P117" s="10" t="e">
        <f t="shared" si="103"/>
        <v>#VALUE!</v>
      </c>
      <c r="Q117" s="10" t="e">
        <f t="shared" si="104"/>
        <v>#VALUE!</v>
      </c>
      <c r="R117" s="10" t="e">
        <f t="shared" si="119"/>
        <v>#VALUE!</v>
      </c>
      <c r="S117" s="10" t="e">
        <f t="shared" si="120"/>
        <v>#VALUE!</v>
      </c>
      <c r="T117" s="10" t="e">
        <f t="shared" si="149"/>
        <v>#VALUE!</v>
      </c>
      <c r="U117" s="10" t="e">
        <f t="shared" si="150"/>
        <v>#VALUE!</v>
      </c>
      <c r="V117" s="10" t="e">
        <f t="shared" si="105"/>
        <v>#VALUE!</v>
      </c>
      <c r="W117" s="10" t="e">
        <f t="shared" si="121"/>
        <v>#VALUE!</v>
      </c>
      <c r="Y117" s="10" t="e">
        <f t="shared" si="172"/>
        <v>#VALUE!</v>
      </c>
      <c r="Z117" s="11" t="e">
        <f t="shared" si="123"/>
        <v>#VALUE!</v>
      </c>
      <c r="AA117" s="10" t="e">
        <f t="shared" si="106"/>
        <v>#VALUE!</v>
      </c>
      <c r="AB117" s="10" t="e">
        <f t="shared" si="124"/>
        <v>#VALUE!</v>
      </c>
      <c r="AC117" s="10" t="e">
        <f t="shared" si="125"/>
        <v>#VALUE!</v>
      </c>
      <c r="AD117" s="10" t="e">
        <f t="shared" si="151"/>
        <v>#VALUE!</v>
      </c>
      <c r="AE117" s="10" t="e">
        <f t="shared" si="152"/>
        <v>#VALUE!</v>
      </c>
      <c r="AF117" s="10" t="e">
        <f t="shared" si="107"/>
        <v>#VALUE!</v>
      </c>
      <c r="AG117" s="10" t="e">
        <f t="shared" si="126"/>
        <v>#VALUE!</v>
      </c>
      <c r="AI117" s="13"/>
      <c r="AK117" s="10" t="e">
        <f t="shared" si="173"/>
        <v>#VALUE!</v>
      </c>
      <c r="AL117" s="10" t="e">
        <f t="shared" si="153"/>
        <v>#VALUE!</v>
      </c>
      <c r="AM117" s="10" t="e">
        <f t="shared" si="108"/>
        <v>#VALUE!</v>
      </c>
      <c r="AN117" s="10" t="e">
        <f t="shared" si="128"/>
        <v>#VALUE!</v>
      </c>
      <c r="AO117" s="10" t="e">
        <f t="shared" si="129"/>
        <v>#VALUE!</v>
      </c>
      <c r="AP117" s="10" t="e">
        <f t="shared" si="174"/>
        <v>#VALUE!</v>
      </c>
      <c r="AQ117" s="10" t="e">
        <f t="shared" si="154"/>
        <v>#VALUE!</v>
      </c>
      <c r="AR117" s="10" t="e">
        <f t="shared" si="109"/>
        <v>#VALUE!</v>
      </c>
      <c r="AS117" s="10" t="e">
        <f t="shared" si="155"/>
        <v>#VALUE!</v>
      </c>
      <c r="AU117" s="10" t="e">
        <f t="shared" si="175"/>
        <v>#VALUE!</v>
      </c>
      <c r="AV117" s="10" t="e">
        <f t="shared" si="156"/>
        <v>#VALUE!</v>
      </c>
      <c r="AW117" s="10" t="e">
        <f t="shared" si="110"/>
        <v>#VALUE!</v>
      </c>
      <c r="AX117" s="10" t="e">
        <f t="shared" si="132"/>
        <v>#VALUE!</v>
      </c>
      <c r="AY117" s="10" t="e">
        <f t="shared" si="133"/>
        <v>#VALUE!</v>
      </c>
      <c r="AZ117" s="10" t="e">
        <f t="shared" si="176"/>
        <v>#VALUE!</v>
      </c>
      <c r="BA117" s="10" t="e">
        <f t="shared" si="157"/>
        <v>#VALUE!</v>
      </c>
      <c r="BB117" s="10" t="e">
        <f t="shared" si="111"/>
        <v>#VALUE!</v>
      </c>
      <c r="BC117" s="10" t="e">
        <f t="shared" si="158"/>
        <v>#VALUE!</v>
      </c>
      <c r="BE117" s="10" t="e">
        <f t="shared" si="177"/>
        <v>#VALUE!</v>
      </c>
      <c r="BF117" s="10" t="e">
        <f t="shared" si="159"/>
        <v>#VALUE!</v>
      </c>
      <c r="BG117" s="10" t="e">
        <f t="shared" si="112"/>
        <v>#VALUE!</v>
      </c>
      <c r="BH117" s="10" t="e">
        <f t="shared" si="136"/>
        <v>#VALUE!</v>
      </c>
      <c r="BI117" s="10" t="e">
        <f t="shared" si="137"/>
        <v>#VALUE!</v>
      </c>
      <c r="BJ117" s="10" t="e">
        <f t="shared" si="178"/>
        <v>#VALUE!</v>
      </c>
      <c r="BK117" s="10" t="e">
        <f t="shared" si="160"/>
        <v>#VALUE!</v>
      </c>
      <c r="BL117" s="10" t="e">
        <f t="shared" si="113"/>
        <v>#VALUE!</v>
      </c>
      <c r="BM117" s="10" t="e">
        <f t="shared" si="161"/>
        <v>#VALUE!</v>
      </c>
      <c r="BP117" s="10" t="e">
        <f t="shared" si="162"/>
        <v>#VALUE!</v>
      </c>
      <c r="BQ117" s="10" t="e">
        <f t="shared" si="163"/>
        <v>#VALUE!</v>
      </c>
      <c r="BR117" s="10" t="e">
        <f t="shared" si="164"/>
        <v>#VALUE!</v>
      </c>
      <c r="BS117" s="10" t="e">
        <f t="shared" si="165"/>
        <v>#VALUE!</v>
      </c>
      <c r="BT117" s="10" t="e">
        <f t="shared" si="166"/>
        <v>#VALUE!</v>
      </c>
      <c r="BU117" s="10" t="e">
        <f t="shared" si="167"/>
        <v>#VALUE!</v>
      </c>
      <c r="BW117" s="10" t="e">
        <f t="shared" si="139"/>
        <v>#VALUE!</v>
      </c>
      <c r="BX117" s="10" t="e">
        <f t="shared" si="140"/>
        <v>#VALUE!</v>
      </c>
      <c r="BY117" s="10" t="e">
        <f t="shared" si="141"/>
        <v>#VALUE!</v>
      </c>
      <c r="BZ117" s="10" t="e">
        <f t="shared" si="142"/>
        <v>#VALUE!</v>
      </c>
      <c r="CA117" s="10" t="e">
        <f t="shared" si="143"/>
        <v>#VALUE!</v>
      </c>
      <c r="CB117" s="10" t="e">
        <f t="shared" si="144"/>
        <v>#VALUE!</v>
      </c>
      <c r="CD117" s="10" t="e">
        <f>MATCH(INDEX($BP$12:$BU$12,1,MATCH(BP117,$BP$15:$BU$15,0)),结果汇总!$AI$10:$AI$13,0)</f>
        <v>#VALUE!</v>
      </c>
      <c r="CE117" s="10" t="e">
        <f>MATCH(INDEX($BP$12:$BU$12,1,MATCH(BQ117,$BP$15:$BU$15,0)),结果汇总!$AI$10:$AI$13,0)</f>
        <v>#VALUE!</v>
      </c>
      <c r="CF117" s="10" t="e">
        <f>MATCH(INDEX($BP$12:$BU$12,1,MATCH(BR117,$BP$15:$BU$15,0)),结果汇总!$AI$10:$AI$13,0)</f>
        <v>#VALUE!</v>
      </c>
      <c r="CG117" s="10" t="e">
        <f>MATCH(INDEX($BP$12:$BU$12,1,MATCH(BS117,$BP$15:$BU$15,0)),结果汇总!$AI$10:$AI$13,0)</f>
        <v>#VALUE!</v>
      </c>
      <c r="CH117" s="10" t="e">
        <f>MATCH(INDEX($BP$12:$BU$12,1,MATCH(BT117,$BP$15:$BU$15,0)),结果汇总!$AI$10:$AI$13,0)</f>
        <v>#VALUE!</v>
      </c>
      <c r="CI117" s="10" t="e">
        <f>MATCH(INDEX($BP$12:$BU$12,1,MATCH(BU117,$BP$15:$BU$15,0)),结果汇总!$AI$10:$AI$13,0)</f>
        <v>#VALUE!</v>
      </c>
      <c r="CK117" s="10">
        <f t="shared" si="179"/>
        <v>0</v>
      </c>
      <c r="CL117" s="10">
        <f t="shared" si="179"/>
        <v>0</v>
      </c>
      <c r="CM117" s="10">
        <f t="shared" si="179"/>
        <v>0</v>
      </c>
      <c r="CN117" s="10">
        <f t="shared" si="179"/>
        <v>0</v>
      </c>
      <c r="CO117" s="10" t="e">
        <f t="shared" si="180"/>
        <v>#DIV/0!</v>
      </c>
      <c r="CP117" s="10" t="e">
        <f t="shared" si="180"/>
        <v>#DIV/0!</v>
      </c>
      <c r="CQ117" s="10" t="e">
        <f t="shared" si="180"/>
        <v>#DIV/0!</v>
      </c>
      <c r="CR117" s="10" t="e">
        <f t="shared" si="180"/>
        <v>#DIV/0!</v>
      </c>
      <c r="CS117" s="10">
        <f t="shared" si="181"/>
        <v>0</v>
      </c>
      <c r="CT117" s="10">
        <f t="shared" si="181"/>
        <v>0</v>
      </c>
      <c r="CU117" s="10">
        <f t="shared" si="181"/>
        <v>0</v>
      </c>
      <c r="CV117" s="10">
        <f t="shared" si="181"/>
        <v>0</v>
      </c>
      <c r="CW117" s="10">
        <f t="shared" si="182"/>
        <v>0</v>
      </c>
      <c r="CX117" s="10">
        <f t="shared" si="182"/>
        <v>0</v>
      </c>
      <c r="CY117" s="10">
        <f t="shared" si="182"/>
        <v>0</v>
      </c>
      <c r="CZ117" s="10">
        <f t="shared" si="182"/>
        <v>0</v>
      </c>
    </row>
    <row r="118" spans="4:104" x14ac:dyDescent="0.15">
      <c r="D118" s="10">
        <v>103</v>
      </c>
      <c r="E118" s="10" t="e">
        <f t="shared" si="169"/>
        <v>#VALUE!</v>
      </c>
      <c r="F118" s="10" t="e">
        <f t="shared" si="98"/>
        <v>#VALUE!</v>
      </c>
      <c r="G118" s="10" t="e">
        <f t="shared" si="99"/>
        <v>#VALUE!</v>
      </c>
      <c r="H118" s="10" t="e">
        <f t="shared" si="115"/>
        <v>#VALUE!</v>
      </c>
      <c r="I118" s="10" t="e">
        <f t="shared" si="168"/>
        <v>#VALUE!</v>
      </c>
      <c r="J118" s="10" t="e">
        <f t="shared" si="170"/>
        <v>#VALUE!</v>
      </c>
      <c r="K118" s="10" t="e">
        <f t="shared" si="101"/>
        <v>#VALUE!</v>
      </c>
      <c r="L118" s="10" t="e">
        <f t="shared" si="102"/>
        <v>#VALUE!</v>
      </c>
      <c r="M118" s="10" t="e">
        <f t="shared" si="117"/>
        <v>#VALUE!</v>
      </c>
      <c r="O118" s="10" t="e">
        <f t="shared" si="171"/>
        <v>#VALUE!</v>
      </c>
      <c r="P118" s="10" t="e">
        <f t="shared" si="103"/>
        <v>#VALUE!</v>
      </c>
      <c r="Q118" s="10" t="e">
        <f t="shared" si="104"/>
        <v>#VALUE!</v>
      </c>
      <c r="R118" s="10" t="e">
        <f t="shared" si="119"/>
        <v>#VALUE!</v>
      </c>
      <c r="S118" s="10" t="e">
        <f t="shared" si="120"/>
        <v>#VALUE!</v>
      </c>
      <c r="T118" s="10" t="e">
        <f t="shared" si="149"/>
        <v>#VALUE!</v>
      </c>
      <c r="U118" s="10" t="e">
        <f t="shared" si="150"/>
        <v>#VALUE!</v>
      </c>
      <c r="V118" s="10" t="e">
        <f t="shared" si="105"/>
        <v>#VALUE!</v>
      </c>
      <c r="W118" s="10" t="e">
        <f t="shared" si="121"/>
        <v>#VALUE!</v>
      </c>
      <c r="Y118" s="10" t="e">
        <f t="shared" si="172"/>
        <v>#VALUE!</v>
      </c>
      <c r="Z118" s="11" t="e">
        <f t="shared" si="123"/>
        <v>#VALUE!</v>
      </c>
      <c r="AA118" s="10" t="e">
        <f t="shared" si="106"/>
        <v>#VALUE!</v>
      </c>
      <c r="AB118" s="10" t="e">
        <f t="shared" si="124"/>
        <v>#VALUE!</v>
      </c>
      <c r="AC118" s="10" t="e">
        <f t="shared" si="125"/>
        <v>#VALUE!</v>
      </c>
      <c r="AD118" s="10" t="e">
        <f t="shared" si="151"/>
        <v>#VALUE!</v>
      </c>
      <c r="AE118" s="10" t="e">
        <f t="shared" si="152"/>
        <v>#VALUE!</v>
      </c>
      <c r="AF118" s="10" t="e">
        <f t="shared" si="107"/>
        <v>#VALUE!</v>
      </c>
      <c r="AG118" s="10" t="e">
        <f t="shared" si="126"/>
        <v>#VALUE!</v>
      </c>
      <c r="AI118" s="13"/>
      <c r="AK118" s="10" t="e">
        <f t="shared" si="173"/>
        <v>#VALUE!</v>
      </c>
      <c r="AL118" s="10" t="e">
        <f t="shared" si="153"/>
        <v>#VALUE!</v>
      </c>
      <c r="AM118" s="10" t="e">
        <f t="shared" si="108"/>
        <v>#VALUE!</v>
      </c>
      <c r="AN118" s="10" t="e">
        <f t="shared" si="128"/>
        <v>#VALUE!</v>
      </c>
      <c r="AO118" s="10" t="e">
        <f t="shared" si="129"/>
        <v>#VALUE!</v>
      </c>
      <c r="AP118" s="10" t="e">
        <f t="shared" si="174"/>
        <v>#VALUE!</v>
      </c>
      <c r="AQ118" s="10" t="e">
        <f t="shared" si="154"/>
        <v>#VALUE!</v>
      </c>
      <c r="AR118" s="10" t="e">
        <f t="shared" si="109"/>
        <v>#VALUE!</v>
      </c>
      <c r="AS118" s="10" t="e">
        <f t="shared" si="155"/>
        <v>#VALUE!</v>
      </c>
      <c r="AU118" s="10" t="e">
        <f t="shared" si="175"/>
        <v>#VALUE!</v>
      </c>
      <c r="AV118" s="10" t="e">
        <f t="shared" si="156"/>
        <v>#VALUE!</v>
      </c>
      <c r="AW118" s="10" t="e">
        <f t="shared" si="110"/>
        <v>#VALUE!</v>
      </c>
      <c r="AX118" s="10" t="e">
        <f t="shared" si="132"/>
        <v>#VALUE!</v>
      </c>
      <c r="AY118" s="10" t="e">
        <f t="shared" si="133"/>
        <v>#VALUE!</v>
      </c>
      <c r="AZ118" s="10" t="e">
        <f t="shared" si="176"/>
        <v>#VALUE!</v>
      </c>
      <c r="BA118" s="10" t="e">
        <f t="shared" si="157"/>
        <v>#VALUE!</v>
      </c>
      <c r="BB118" s="10" t="e">
        <f t="shared" si="111"/>
        <v>#VALUE!</v>
      </c>
      <c r="BC118" s="10" t="e">
        <f t="shared" si="158"/>
        <v>#VALUE!</v>
      </c>
      <c r="BE118" s="10" t="e">
        <f t="shared" si="177"/>
        <v>#VALUE!</v>
      </c>
      <c r="BF118" s="10" t="e">
        <f t="shared" si="159"/>
        <v>#VALUE!</v>
      </c>
      <c r="BG118" s="10" t="e">
        <f t="shared" si="112"/>
        <v>#VALUE!</v>
      </c>
      <c r="BH118" s="10" t="e">
        <f t="shared" si="136"/>
        <v>#VALUE!</v>
      </c>
      <c r="BI118" s="10" t="e">
        <f t="shared" si="137"/>
        <v>#VALUE!</v>
      </c>
      <c r="BJ118" s="10" t="e">
        <f t="shared" si="178"/>
        <v>#VALUE!</v>
      </c>
      <c r="BK118" s="10" t="e">
        <f t="shared" si="160"/>
        <v>#VALUE!</v>
      </c>
      <c r="BL118" s="10" t="e">
        <f t="shared" si="113"/>
        <v>#VALUE!</v>
      </c>
      <c r="BM118" s="10" t="e">
        <f t="shared" si="161"/>
        <v>#VALUE!</v>
      </c>
      <c r="BP118" s="10" t="e">
        <f t="shared" si="162"/>
        <v>#VALUE!</v>
      </c>
      <c r="BQ118" s="10" t="e">
        <f t="shared" si="163"/>
        <v>#VALUE!</v>
      </c>
      <c r="BR118" s="10" t="e">
        <f t="shared" si="164"/>
        <v>#VALUE!</v>
      </c>
      <c r="BS118" s="10" t="e">
        <f t="shared" si="165"/>
        <v>#VALUE!</v>
      </c>
      <c r="BT118" s="10" t="e">
        <f t="shared" si="166"/>
        <v>#VALUE!</v>
      </c>
      <c r="BU118" s="10" t="e">
        <f t="shared" si="167"/>
        <v>#VALUE!</v>
      </c>
      <c r="BW118" s="10" t="e">
        <f t="shared" si="139"/>
        <v>#VALUE!</v>
      </c>
      <c r="BX118" s="10" t="e">
        <f t="shared" si="140"/>
        <v>#VALUE!</v>
      </c>
      <c r="BY118" s="10" t="e">
        <f t="shared" si="141"/>
        <v>#VALUE!</v>
      </c>
      <c r="BZ118" s="10" t="e">
        <f t="shared" si="142"/>
        <v>#VALUE!</v>
      </c>
      <c r="CA118" s="10" t="e">
        <f t="shared" si="143"/>
        <v>#VALUE!</v>
      </c>
      <c r="CB118" s="10" t="e">
        <f t="shared" si="144"/>
        <v>#VALUE!</v>
      </c>
      <c r="CD118" s="10" t="e">
        <f>MATCH(INDEX($BP$12:$BU$12,1,MATCH(BP118,$BP$15:$BU$15,0)),结果汇总!$AI$10:$AI$13,0)</f>
        <v>#VALUE!</v>
      </c>
      <c r="CE118" s="10" t="e">
        <f>MATCH(INDEX($BP$12:$BU$12,1,MATCH(BQ118,$BP$15:$BU$15,0)),结果汇总!$AI$10:$AI$13,0)</f>
        <v>#VALUE!</v>
      </c>
      <c r="CF118" s="10" t="e">
        <f>MATCH(INDEX($BP$12:$BU$12,1,MATCH(BR118,$BP$15:$BU$15,0)),结果汇总!$AI$10:$AI$13,0)</f>
        <v>#VALUE!</v>
      </c>
      <c r="CG118" s="10" t="e">
        <f>MATCH(INDEX($BP$12:$BU$12,1,MATCH(BS118,$BP$15:$BU$15,0)),结果汇总!$AI$10:$AI$13,0)</f>
        <v>#VALUE!</v>
      </c>
      <c r="CH118" s="10" t="e">
        <f>MATCH(INDEX($BP$12:$BU$12,1,MATCH(BT118,$BP$15:$BU$15,0)),结果汇总!$AI$10:$AI$13,0)</f>
        <v>#VALUE!</v>
      </c>
      <c r="CI118" s="10" t="e">
        <f>MATCH(INDEX($BP$12:$BU$12,1,MATCH(BU118,$BP$15:$BU$15,0)),结果汇总!$AI$10:$AI$13,0)</f>
        <v>#VALUE!</v>
      </c>
      <c r="CK118" s="10">
        <f t="shared" si="179"/>
        <v>0</v>
      </c>
      <c r="CL118" s="10">
        <f t="shared" si="179"/>
        <v>0</v>
      </c>
      <c r="CM118" s="10">
        <f t="shared" si="179"/>
        <v>0</v>
      </c>
      <c r="CN118" s="10">
        <f t="shared" si="179"/>
        <v>0</v>
      </c>
      <c r="CO118" s="10" t="e">
        <f t="shared" si="180"/>
        <v>#DIV/0!</v>
      </c>
      <c r="CP118" s="10" t="e">
        <f t="shared" si="180"/>
        <v>#DIV/0!</v>
      </c>
      <c r="CQ118" s="10" t="e">
        <f t="shared" si="180"/>
        <v>#DIV/0!</v>
      </c>
      <c r="CR118" s="10" t="e">
        <f t="shared" si="180"/>
        <v>#DIV/0!</v>
      </c>
      <c r="CS118" s="10">
        <f t="shared" si="181"/>
        <v>0</v>
      </c>
      <c r="CT118" s="10">
        <f t="shared" si="181"/>
        <v>0</v>
      </c>
      <c r="CU118" s="10">
        <f t="shared" si="181"/>
        <v>0</v>
      </c>
      <c r="CV118" s="10">
        <f t="shared" si="181"/>
        <v>0</v>
      </c>
      <c r="CW118" s="10">
        <f t="shared" si="182"/>
        <v>0</v>
      </c>
      <c r="CX118" s="10">
        <f t="shared" si="182"/>
        <v>0</v>
      </c>
      <c r="CY118" s="10">
        <f t="shared" si="182"/>
        <v>0</v>
      </c>
      <c r="CZ118" s="10">
        <f t="shared" si="182"/>
        <v>0</v>
      </c>
    </row>
    <row r="119" spans="4:104" x14ac:dyDescent="0.15">
      <c r="D119" s="10">
        <v>104</v>
      </c>
      <c r="E119" s="10" t="e">
        <f t="shared" si="169"/>
        <v>#VALUE!</v>
      </c>
      <c r="F119" s="10" t="e">
        <f t="shared" si="98"/>
        <v>#VALUE!</v>
      </c>
      <c r="G119" s="10" t="e">
        <f t="shared" si="99"/>
        <v>#VALUE!</v>
      </c>
      <c r="H119" s="10" t="e">
        <f t="shared" si="115"/>
        <v>#VALUE!</v>
      </c>
      <c r="I119" s="10" t="e">
        <f t="shared" si="168"/>
        <v>#VALUE!</v>
      </c>
      <c r="J119" s="10" t="e">
        <f t="shared" si="170"/>
        <v>#VALUE!</v>
      </c>
      <c r="K119" s="10" t="e">
        <f t="shared" si="101"/>
        <v>#VALUE!</v>
      </c>
      <c r="L119" s="10" t="e">
        <f t="shared" si="102"/>
        <v>#VALUE!</v>
      </c>
      <c r="M119" s="10" t="e">
        <f t="shared" si="117"/>
        <v>#VALUE!</v>
      </c>
      <c r="O119" s="10" t="e">
        <f t="shared" si="171"/>
        <v>#VALUE!</v>
      </c>
      <c r="P119" s="10" t="e">
        <f t="shared" si="103"/>
        <v>#VALUE!</v>
      </c>
      <c r="Q119" s="10" t="e">
        <f t="shared" si="104"/>
        <v>#VALUE!</v>
      </c>
      <c r="R119" s="10" t="e">
        <f t="shared" si="119"/>
        <v>#VALUE!</v>
      </c>
      <c r="S119" s="10" t="e">
        <f t="shared" si="120"/>
        <v>#VALUE!</v>
      </c>
      <c r="T119" s="10" t="e">
        <f t="shared" si="149"/>
        <v>#VALUE!</v>
      </c>
      <c r="U119" s="10" t="e">
        <f t="shared" si="150"/>
        <v>#VALUE!</v>
      </c>
      <c r="V119" s="10" t="e">
        <f t="shared" si="105"/>
        <v>#VALUE!</v>
      </c>
      <c r="W119" s="10" t="e">
        <f t="shared" si="121"/>
        <v>#VALUE!</v>
      </c>
      <c r="Y119" s="10" t="e">
        <f t="shared" si="172"/>
        <v>#VALUE!</v>
      </c>
      <c r="Z119" s="11" t="e">
        <f t="shared" si="123"/>
        <v>#VALUE!</v>
      </c>
      <c r="AA119" s="10" t="e">
        <f t="shared" si="106"/>
        <v>#VALUE!</v>
      </c>
      <c r="AB119" s="10" t="e">
        <f t="shared" si="124"/>
        <v>#VALUE!</v>
      </c>
      <c r="AC119" s="10" t="e">
        <f t="shared" si="125"/>
        <v>#VALUE!</v>
      </c>
      <c r="AD119" s="10" t="e">
        <f t="shared" si="151"/>
        <v>#VALUE!</v>
      </c>
      <c r="AE119" s="10" t="e">
        <f t="shared" si="152"/>
        <v>#VALUE!</v>
      </c>
      <c r="AF119" s="10" t="e">
        <f t="shared" si="107"/>
        <v>#VALUE!</v>
      </c>
      <c r="AG119" s="10" t="e">
        <f t="shared" si="126"/>
        <v>#VALUE!</v>
      </c>
      <c r="AI119" s="13"/>
      <c r="AK119" s="10" t="e">
        <f t="shared" si="173"/>
        <v>#VALUE!</v>
      </c>
      <c r="AL119" s="10" t="e">
        <f t="shared" si="153"/>
        <v>#VALUE!</v>
      </c>
      <c r="AM119" s="10" t="e">
        <f t="shared" si="108"/>
        <v>#VALUE!</v>
      </c>
      <c r="AN119" s="10" t="e">
        <f t="shared" si="128"/>
        <v>#VALUE!</v>
      </c>
      <c r="AO119" s="10" t="e">
        <f t="shared" si="129"/>
        <v>#VALUE!</v>
      </c>
      <c r="AP119" s="10" t="e">
        <f t="shared" si="174"/>
        <v>#VALUE!</v>
      </c>
      <c r="AQ119" s="10" t="e">
        <f t="shared" si="154"/>
        <v>#VALUE!</v>
      </c>
      <c r="AR119" s="10" t="e">
        <f t="shared" si="109"/>
        <v>#VALUE!</v>
      </c>
      <c r="AS119" s="10" t="e">
        <f t="shared" si="155"/>
        <v>#VALUE!</v>
      </c>
      <c r="AU119" s="10" t="e">
        <f t="shared" si="175"/>
        <v>#VALUE!</v>
      </c>
      <c r="AV119" s="10" t="e">
        <f t="shared" si="156"/>
        <v>#VALUE!</v>
      </c>
      <c r="AW119" s="10" t="e">
        <f t="shared" si="110"/>
        <v>#VALUE!</v>
      </c>
      <c r="AX119" s="10" t="e">
        <f t="shared" si="132"/>
        <v>#VALUE!</v>
      </c>
      <c r="AY119" s="10" t="e">
        <f t="shared" si="133"/>
        <v>#VALUE!</v>
      </c>
      <c r="AZ119" s="10" t="e">
        <f t="shared" si="176"/>
        <v>#VALUE!</v>
      </c>
      <c r="BA119" s="10" t="e">
        <f t="shared" si="157"/>
        <v>#VALUE!</v>
      </c>
      <c r="BB119" s="10" t="e">
        <f t="shared" si="111"/>
        <v>#VALUE!</v>
      </c>
      <c r="BC119" s="10" t="e">
        <f t="shared" si="158"/>
        <v>#VALUE!</v>
      </c>
      <c r="BE119" s="10" t="e">
        <f t="shared" si="177"/>
        <v>#VALUE!</v>
      </c>
      <c r="BF119" s="10" t="e">
        <f t="shared" si="159"/>
        <v>#VALUE!</v>
      </c>
      <c r="BG119" s="10" t="e">
        <f t="shared" si="112"/>
        <v>#VALUE!</v>
      </c>
      <c r="BH119" s="10" t="e">
        <f t="shared" si="136"/>
        <v>#VALUE!</v>
      </c>
      <c r="BI119" s="10" t="e">
        <f t="shared" si="137"/>
        <v>#VALUE!</v>
      </c>
      <c r="BJ119" s="10" t="e">
        <f t="shared" si="178"/>
        <v>#VALUE!</v>
      </c>
      <c r="BK119" s="10" t="e">
        <f t="shared" si="160"/>
        <v>#VALUE!</v>
      </c>
      <c r="BL119" s="10" t="e">
        <f t="shared" si="113"/>
        <v>#VALUE!</v>
      </c>
      <c r="BM119" s="10" t="e">
        <f t="shared" si="161"/>
        <v>#VALUE!</v>
      </c>
      <c r="BP119" s="10" t="e">
        <f t="shared" si="162"/>
        <v>#VALUE!</v>
      </c>
      <c r="BQ119" s="10" t="e">
        <f t="shared" si="163"/>
        <v>#VALUE!</v>
      </c>
      <c r="BR119" s="10" t="e">
        <f t="shared" si="164"/>
        <v>#VALUE!</v>
      </c>
      <c r="BS119" s="10" t="e">
        <f t="shared" si="165"/>
        <v>#VALUE!</v>
      </c>
      <c r="BT119" s="10" t="e">
        <f t="shared" si="166"/>
        <v>#VALUE!</v>
      </c>
      <c r="BU119" s="10" t="e">
        <f t="shared" si="167"/>
        <v>#VALUE!</v>
      </c>
      <c r="BW119" s="10" t="e">
        <f t="shared" si="139"/>
        <v>#VALUE!</v>
      </c>
      <c r="BX119" s="10" t="e">
        <f t="shared" si="140"/>
        <v>#VALUE!</v>
      </c>
      <c r="BY119" s="10" t="e">
        <f t="shared" si="141"/>
        <v>#VALUE!</v>
      </c>
      <c r="BZ119" s="10" t="e">
        <f t="shared" si="142"/>
        <v>#VALUE!</v>
      </c>
      <c r="CA119" s="10" t="e">
        <f t="shared" si="143"/>
        <v>#VALUE!</v>
      </c>
      <c r="CB119" s="10" t="e">
        <f t="shared" si="144"/>
        <v>#VALUE!</v>
      </c>
      <c r="CD119" s="10" t="e">
        <f>MATCH(INDEX($BP$12:$BU$12,1,MATCH(BP119,$BP$15:$BU$15,0)),结果汇总!$AI$10:$AI$13,0)</f>
        <v>#VALUE!</v>
      </c>
      <c r="CE119" s="10" t="e">
        <f>MATCH(INDEX($BP$12:$BU$12,1,MATCH(BQ119,$BP$15:$BU$15,0)),结果汇总!$AI$10:$AI$13,0)</f>
        <v>#VALUE!</v>
      </c>
      <c r="CF119" s="10" t="e">
        <f>MATCH(INDEX($BP$12:$BU$12,1,MATCH(BR119,$BP$15:$BU$15,0)),结果汇总!$AI$10:$AI$13,0)</f>
        <v>#VALUE!</v>
      </c>
      <c r="CG119" s="10" t="e">
        <f>MATCH(INDEX($BP$12:$BU$12,1,MATCH(BS119,$BP$15:$BU$15,0)),结果汇总!$AI$10:$AI$13,0)</f>
        <v>#VALUE!</v>
      </c>
      <c r="CH119" s="10" t="e">
        <f>MATCH(INDEX($BP$12:$BU$12,1,MATCH(BT119,$BP$15:$BU$15,0)),结果汇总!$AI$10:$AI$13,0)</f>
        <v>#VALUE!</v>
      </c>
      <c r="CI119" s="10" t="e">
        <f>MATCH(INDEX($BP$12:$BU$12,1,MATCH(BU119,$BP$15:$BU$15,0)),结果汇总!$AI$10:$AI$13,0)</f>
        <v>#VALUE!</v>
      </c>
      <c r="CK119" s="10">
        <f t="shared" si="179"/>
        <v>0</v>
      </c>
      <c r="CL119" s="10">
        <f t="shared" si="179"/>
        <v>0</v>
      </c>
      <c r="CM119" s="10">
        <f t="shared" si="179"/>
        <v>0</v>
      </c>
      <c r="CN119" s="10">
        <f t="shared" si="179"/>
        <v>0</v>
      </c>
      <c r="CO119" s="10" t="e">
        <f t="shared" si="180"/>
        <v>#DIV/0!</v>
      </c>
      <c r="CP119" s="10" t="e">
        <f t="shared" si="180"/>
        <v>#DIV/0!</v>
      </c>
      <c r="CQ119" s="10" t="e">
        <f t="shared" si="180"/>
        <v>#DIV/0!</v>
      </c>
      <c r="CR119" s="10" t="e">
        <f t="shared" si="180"/>
        <v>#DIV/0!</v>
      </c>
      <c r="CS119" s="10">
        <f t="shared" si="181"/>
        <v>0</v>
      </c>
      <c r="CT119" s="10">
        <f t="shared" si="181"/>
        <v>0</v>
      </c>
      <c r="CU119" s="10">
        <f t="shared" si="181"/>
        <v>0</v>
      </c>
      <c r="CV119" s="10">
        <f t="shared" si="181"/>
        <v>0</v>
      </c>
      <c r="CW119" s="10">
        <f t="shared" si="182"/>
        <v>0</v>
      </c>
      <c r="CX119" s="10">
        <f t="shared" si="182"/>
        <v>0</v>
      </c>
      <c r="CY119" s="10">
        <f t="shared" si="182"/>
        <v>0</v>
      </c>
      <c r="CZ119" s="10">
        <f t="shared" si="182"/>
        <v>0</v>
      </c>
    </row>
    <row r="120" spans="4:104" x14ac:dyDescent="0.15">
      <c r="D120" s="10">
        <v>105</v>
      </c>
      <c r="E120" s="10" t="e">
        <f t="shared" si="169"/>
        <v>#VALUE!</v>
      </c>
      <c r="F120" s="10" t="e">
        <f t="shared" si="98"/>
        <v>#VALUE!</v>
      </c>
      <c r="G120" s="10" t="e">
        <f t="shared" si="99"/>
        <v>#VALUE!</v>
      </c>
      <c r="H120" s="10" t="e">
        <f t="shared" si="115"/>
        <v>#VALUE!</v>
      </c>
      <c r="I120" s="10" t="e">
        <f t="shared" si="168"/>
        <v>#VALUE!</v>
      </c>
      <c r="J120" s="10" t="e">
        <f t="shared" si="170"/>
        <v>#VALUE!</v>
      </c>
      <c r="K120" s="10" t="e">
        <f t="shared" si="101"/>
        <v>#VALUE!</v>
      </c>
      <c r="L120" s="10" t="e">
        <f t="shared" si="102"/>
        <v>#VALUE!</v>
      </c>
      <c r="M120" s="10" t="e">
        <f t="shared" si="117"/>
        <v>#VALUE!</v>
      </c>
      <c r="O120" s="10" t="e">
        <f t="shared" si="171"/>
        <v>#VALUE!</v>
      </c>
      <c r="P120" s="10" t="e">
        <f t="shared" si="103"/>
        <v>#VALUE!</v>
      </c>
      <c r="Q120" s="10" t="e">
        <f t="shared" si="104"/>
        <v>#VALUE!</v>
      </c>
      <c r="R120" s="10" t="e">
        <f t="shared" si="119"/>
        <v>#VALUE!</v>
      </c>
      <c r="S120" s="10" t="e">
        <f t="shared" si="120"/>
        <v>#VALUE!</v>
      </c>
      <c r="T120" s="10" t="e">
        <f t="shared" si="149"/>
        <v>#VALUE!</v>
      </c>
      <c r="U120" s="10" t="e">
        <f t="shared" si="150"/>
        <v>#VALUE!</v>
      </c>
      <c r="V120" s="10" t="e">
        <f t="shared" si="105"/>
        <v>#VALUE!</v>
      </c>
      <c r="W120" s="10" t="e">
        <f t="shared" si="121"/>
        <v>#VALUE!</v>
      </c>
      <c r="Y120" s="10" t="e">
        <f t="shared" si="172"/>
        <v>#VALUE!</v>
      </c>
      <c r="Z120" s="11" t="e">
        <f t="shared" si="123"/>
        <v>#VALUE!</v>
      </c>
      <c r="AA120" s="10" t="e">
        <f t="shared" si="106"/>
        <v>#VALUE!</v>
      </c>
      <c r="AB120" s="10" t="e">
        <f t="shared" si="124"/>
        <v>#VALUE!</v>
      </c>
      <c r="AC120" s="10" t="e">
        <f t="shared" si="125"/>
        <v>#VALUE!</v>
      </c>
      <c r="AD120" s="10" t="e">
        <f t="shared" si="151"/>
        <v>#VALUE!</v>
      </c>
      <c r="AE120" s="10" t="e">
        <f t="shared" si="152"/>
        <v>#VALUE!</v>
      </c>
      <c r="AF120" s="10" t="e">
        <f t="shared" si="107"/>
        <v>#VALUE!</v>
      </c>
      <c r="AG120" s="10" t="e">
        <f t="shared" si="126"/>
        <v>#VALUE!</v>
      </c>
      <c r="AI120" s="13"/>
      <c r="AK120" s="10" t="e">
        <f t="shared" si="173"/>
        <v>#VALUE!</v>
      </c>
      <c r="AL120" s="10" t="e">
        <f t="shared" si="153"/>
        <v>#VALUE!</v>
      </c>
      <c r="AM120" s="10" t="e">
        <f t="shared" si="108"/>
        <v>#VALUE!</v>
      </c>
      <c r="AN120" s="10" t="e">
        <f t="shared" si="128"/>
        <v>#VALUE!</v>
      </c>
      <c r="AO120" s="10" t="e">
        <f t="shared" si="129"/>
        <v>#VALUE!</v>
      </c>
      <c r="AP120" s="10" t="e">
        <f t="shared" si="174"/>
        <v>#VALUE!</v>
      </c>
      <c r="AQ120" s="10" t="e">
        <f t="shared" si="154"/>
        <v>#VALUE!</v>
      </c>
      <c r="AR120" s="10" t="e">
        <f t="shared" si="109"/>
        <v>#VALUE!</v>
      </c>
      <c r="AS120" s="10" t="e">
        <f t="shared" si="155"/>
        <v>#VALUE!</v>
      </c>
      <c r="AU120" s="10" t="e">
        <f t="shared" si="175"/>
        <v>#VALUE!</v>
      </c>
      <c r="AV120" s="10" t="e">
        <f t="shared" si="156"/>
        <v>#VALUE!</v>
      </c>
      <c r="AW120" s="10" t="e">
        <f t="shared" si="110"/>
        <v>#VALUE!</v>
      </c>
      <c r="AX120" s="10" t="e">
        <f t="shared" si="132"/>
        <v>#VALUE!</v>
      </c>
      <c r="AY120" s="10" t="e">
        <f t="shared" si="133"/>
        <v>#VALUE!</v>
      </c>
      <c r="AZ120" s="10" t="e">
        <f t="shared" si="176"/>
        <v>#VALUE!</v>
      </c>
      <c r="BA120" s="10" t="e">
        <f t="shared" si="157"/>
        <v>#VALUE!</v>
      </c>
      <c r="BB120" s="10" t="e">
        <f t="shared" si="111"/>
        <v>#VALUE!</v>
      </c>
      <c r="BC120" s="10" t="e">
        <f t="shared" si="158"/>
        <v>#VALUE!</v>
      </c>
      <c r="BE120" s="10" t="e">
        <f t="shared" si="177"/>
        <v>#VALUE!</v>
      </c>
      <c r="BF120" s="10" t="e">
        <f t="shared" si="159"/>
        <v>#VALUE!</v>
      </c>
      <c r="BG120" s="10" t="e">
        <f t="shared" si="112"/>
        <v>#VALUE!</v>
      </c>
      <c r="BH120" s="10" t="e">
        <f t="shared" si="136"/>
        <v>#VALUE!</v>
      </c>
      <c r="BI120" s="10" t="e">
        <f t="shared" si="137"/>
        <v>#VALUE!</v>
      </c>
      <c r="BJ120" s="10" t="e">
        <f t="shared" si="178"/>
        <v>#VALUE!</v>
      </c>
      <c r="BK120" s="10" t="e">
        <f t="shared" si="160"/>
        <v>#VALUE!</v>
      </c>
      <c r="BL120" s="10" t="e">
        <f t="shared" si="113"/>
        <v>#VALUE!</v>
      </c>
      <c r="BM120" s="10" t="e">
        <f t="shared" si="161"/>
        <v>#VALUE!</v>
      </c>
      <c r="BP120" s="10" t="e">
        <f t="shared" si="162"/>
        <v>#VALUE!</v>
      </c>
      <c r="BQ120" s="10" t="e">
        <f t="shared" si="163"/>
        <v>#VALUE!</v>
      </c>
      <c r="BR120" s="10" t="e">
        <f t="shared" si="164"/>
        <v>#VALUE!</v>
      </c>
      <c r="BS120" s="10" t="e">
        <f t="shared" si="165"/>
        <v>#VALUE!</v>
      </c>
      <c r="BT120" s="10" t="e">
        <f t="shared" si="166"/>
        <v>#VALUE!</v>
      </c>
      <c r="BU120" s="10" t="e">
        <f t="shared" si="167"/>
        <v>#VALUE!</v>
      </c>
      <c r="BW120" s="10" t="e">
        <f t="shared" si="139"/>
        <v>#VALUE!</v>
      </c>
      <c r="BX120" s="10" t="e">
        <f t="shared" si="140"/>
        <v>#VALUE!</v>
      </c>
      <c r="BY120" s="10" t="e">
        <f t="shared" si="141"/>
        <v>#VALUE!</v>
      </c>
      <c r="BZ120" s="10" t="e">
        <f t="shared" si="142"/>
        <v>#VALUE!</v>
      </c>
      <c r="CA120" s="10" t="e">
        <f t="shared" si="143"/>
        <v>#VALUE!</v>
      </c>
      <c r="CB120" s="10" t="e">
        <f t="shared" si="144"/>
        <v>#VALUE!</v>
      </c>
      <c r="CD120" s="10" t="e">
        <f>MATCH(INDEX($BP$12:$BU$12,1,MATCH(BP120,$BP$15:$BU$15,0)),结果汇总!$AI$10:$AI$13,0)</f>
        <v>#VALUE!</v>
      </c>
      <c r="CE120" s="10" t="e">
        <f>MATCH(INDEX($BP$12:$BU$12,1,MATCH(BQ120,$BP$15:$BU$15,0)),结果汇总!$AI$10:$AI$13,0)</f>
        <v>#VALUE!</v>
      </c>
      <c r="CF120" s="10" t="e">
        <f>MATCH(INDEX($BP$12:$BU$12,1,MATCH(BR120,$BP$15:$BU$15,0)),结果汇总!$AI$10:$AI$13,0)</f>
        <v>#VALUE!</v>
      </c>
      <c r="CG120" s="10" t="e">
        <f>MATCH(INDEX($BP$12:$BU$12,1,MATCH(BS120,$BP$15:$BU$15,0)),结果汇总!$AI$10:$AI$13,0)</f>
        <v>#VALUE!</v>
      </c>
      <c r="CH120" s="10" t="e">
        <f>MATCH(INDEX($BP$12:$BU$12,1,MATCH(BT120,$BP$15:$BU$15,0)),结果汇总!$AI$10:$AI$13,0)</f>
        <v>#VALUE!</v>
      </c>
      <c r="CI120" s="10" t="e">
        <f>MATCH(INDEX($BP$12:$BU$12,1,MATCH(BU120,$BP$15:$BU$15,0)),结果汇总!$AI$10:$AI$13,0)</f>
        <v>#VALUE!</v>
      </c>
      <c r="CK120" s="10">
        <f t="shared" si="179"/>
        <v>0</v>
      </c>
      <c r="CL120" s="10">
        <f t="shared" si="179"/>
        <v>0</v>
      </c>
      <c r="CM120" s="10">
        <f t="shared" si="179"/>
        <v>0</v>
      </c>
      <c r="CN120" s="10">
        <f t="shared" si="179"/>
        <v>0</v>
      </c>
      <c r="CO120" s="10" t="e">
        <f t="shared" si="180"/>
        <v>#DIV/0!</v>
      </c>
      <c r="CP120" s="10" t="e">
        <f t="shared" si="180"/>
        <v>#DIV/0!</v>
      </c>
      <c r="CQ120" s="10" t="e">
        <f t="shared" si="180"/>
        <v>#DIV/0!</v>
      </c>
      <c r="CR120" s="10" t="e">
        <f t="shared" si="180"/>
        <v>#DIV/0!</v>
      </c>
      <c r="CS120" s="10">
        <f t="shared" si="181"/>
        <v>0</v>
      </c>
      <c r="CT120" s="10">
        <f t="shared" si="181"/>
        <v>0</v>
      </c>
      <c r="CU120" s="10">
        <f t="shared" si="181"/>
        <v>0</v>
      </c>
      <c r="CV120" s="10">
        <f t="shared" si="181"/>
        <v>0</v>
      </c>
      <c r="CW120" s="10">
        <f t="shared" si="182"/>
        <v>0</v>
      </c>
      <c r="CX120" s="10">
        <f t="shared" si="182"/>
        <v>0</v>
      </c>
      <c r="CY120" s="10">
        <f t="shared" si="182"/>
        <v>0</v>
      </c>
      <c r="CZ120" s="10">
        <f t="shared" si="182"/>
        <v>0</v>
      </c>
    </row>
    <row r="121" spans="4:104" x14ac:dyDescent="0.15">
      <c r="D121" s="10">
        <v>106</v>
      </c>
      <c r="E121" s="10" t="e">
        <f t="shared" si="169"/>
        <v>#VALUE!</v>
      </c>
      <c r="F121" s="10" t="e">
        <f t="shared" si="98"/>
        <v>#VALUE!</v>
      </c>
      <c r="G121" s="10" t="e">
        <f t="shared" si="99"/>
        <v>#VALUE!</v>
      </c>
      <c r="H121" s="10" t="e">
        <f t="shared" si="115"/>
        <v>#VALUE!</v>
      </c>
      <c r="I121" s="10" t="e">
        <f t="shared" si="168"/>
        <v>#VALUE!</v>
      </c>
      <c r="J121" s="10" t="e">
        <f t="shared" si="170"/>
        <v>#VALUE!</v>
      </c>
      <c r="K121" s="10" t="e">
        <f t="shared" si="101"/>
        <v>#VALUE!</v>
      </c>
      <c r="L121" s="10" t="e">
        <f t="shared" si="102"/>
        <v>#VALUE!</v>
      </c>
      <c r="M121" s="10" t="e">
        <f t="shared" si="117"/>
        <v>#VALUE!</v>
      </c>
      <c r="O121" s="10" t="e">
        <f t="shared" si="171"/>
        <v>#VALUE!</v>
      </c>
      <c r="P121" s="10" t="e">
        <f t="shared" si="103"/>
        <v>#VALUE!</v>
      </c>
      <c r="Q121" s="10" t="e">
        <f t="shared" si="104"/>
        <v>#VALUE!</v>
      </c>
      <c r="R121" s="10" t="e">
        <f t="shared" si="119"/>
        <v>#VALUE!</v>
      </c>
      <c r="S121" s="10" t="e">
        <f t="shared" si="120"/>
        <v>#VALUE!</v>
      </c>
      <c r="T121" s="10" t="e">
        <f t="shared" si="149"/>
        <v>#VALUE!</v>
      </c>
      <c r="U121" s="10" t="e">
        <f t="shared" si="150"/>
        <v>#VALUE!</v>
      </c>
      <c r="V121" s="10" t="e">
        <f t="shared" si="105"/>
        <v>#VALUE!</v>
      </c>
      <c r="W121" s="10" t="e">
        <f t="shared" si="121"/>
        <v>#VALUE!</v>
      </c>
      <c r="Y121" s="10" t="e">
        <f t="shared" si="172"/>
        <v>#VALUE!</v>
      </c>
      <c r="Z121" s="11" t="e">
        <f t="shared" si="123"/>
        <v>#VALUE!</v>
      </c>
      <c r="AA121" s="10" t="e">
        <f t="shared" si="106"/>
        <v>#VALUE!</v>
      </c>
      <c r="AB121" s="10" t="e">
        <f t="shared" si="124"/>
        <v>#VALUE!</v>
      </c>
      <c r="AC121" s="10" t="e">
        <f t="shared" si="125"/>
        <v>#VALUE!</v>
      </c>
      <c r="AD121" s="10" t="e">
        <f t="shared" si="151"/>
        <v>#VALUE!</v>
      </c>
      <c r="AE121" s="10" t="e">
        <f t="shared" si="152"/>
        <v>#VALUE!</v>
      </c>
      <c r="AF121" s="10" t="e">
        <f t="shared" si="107"/>
        <v>#VALUE!</v>
      </c>
      <c r="AG121" s="10" t="e">
        <f t="shared" si="126"/>
        <v>#VALUE!</v>
      </c>
      <c r="AI121" s="13"/>
      <c r="AK121" s="10" t="e">
        <f t="shared" si="173"/>
        <v>#VALUE!</v>
      </c>
      <c r="AL121" s="10" t="e">
        <f t="shared" si="153"/>
        <v>#VALUE!</v>
      </c>
      <c r="AM121" s="10" t="e">
        <f t="shared" si="108"/>
        <v>#VALUE!</v>
      </c>
      <c r="AN121" s="10" t="e">
        <f t="shared" si="128"/>
        <v>#VALUE!</v>
      </c>
      <c r="AO121" s="10" t="e">
        <f t="shared" si="129"/>
        <v>#VALUE!</v>
      </c>
      <c r="AP121" s="10" t="e">
        <f t="shared" si="174"/>
        <v>#VALUE!</v>
      </c>
      <c r="AQ121" s="10" t="e">
        <f t="shared" si="154"/>
        <v>#VALUE!</v>
      </c>
      <c r="AR121" s="10" t="e">
        <f t="shared" si="109"/>
        <v>#VALUE!</v>
      </c>
      <c r="AS121" s="10" t="e">
        <f t="shared" si="155"/>
        <v>#VALUE!</v>
      </c>
      <c r="AU121" s="10" t="e">
        <f t="shared" si="175"/>
        <v>#VALUE!</v>
      </c>
      <c r="AV121" s="10" t="e">
        <f t="shared" si="156"/>
        <v>#VALUE!</v>
      </c>
      <c r="AW121" s="10" t="e">
        <f t="shared" si="110"/>
        <v>#VALUE!</v>
      </c>
      <c r="AX121" s="10" t="e">
        <f t="shared" si="132"/>
        <v>#VALUE!</v>
      </c>
      <c r="AY121" s="10" t="e">
        <f t="shared" si="133"/>
        <v>#VALUE!</v>
      </c>
      <c r="AZ121" s="10" t="e">
        <f t="shared" si="176"/>
        <v>#VALUE!</v>
      </c>
      <c r="BA121" s="10" t="e">
        <f t="shared" si="157"/>
        <v>#VALUE!</v>
      </c>
      <c r="BB121" s="10" t="e">
        <f t="shared" si="111"/>
        <v>#VALUE!</v>
      </c>
      <c r="BC121" s="10" t="e">
        <f t="shared" si="158"/>
        <v>#VALUE!</v>
      </c>
      <c r="BE121" s="10" t="e">
        <f t="shared" si="177"/>
        <v>#VALUE!</v>
      </c>
      <c r="BF121" s="10" t="e">
        <f t="shared" si="159"/>
        <v>#VALUE!</v>
      </c>
      <c r="BG121" s="10" t="e">
        <f t="shared" si="112"/>
        <v>#VALUE!</v>
      </c>
      <c r="BH121" s="10" t="e">
        <f t="shared" si="136"/>
        <v>#VALUE!</v>
      </c>
      <c r="BI121" s="10" t="e">
        <f t="shared" si="137"/>
        <v>#VALUE!</v>
      </c>
      <c r="BJ121" s="10" t="e">
        <f t="shared" si="178"/>
        <v>#VALUE!</v>
      </c>
      <c r="BK121" s="10" t="e">
        <f t="shared" si="160"/>
        <v>#VALUE!</v>
      </c>
      <c r="BL121" s="10" t="e">
        <f t="shared" si="113"/>
        <v>#VALUE!</v>
      </c>
      <c r="BM121" s="10" t="e">
        <f t="shared" si="161"/>
        <v>#VALUE!</v>
      </c>
      <c r="BP121" s="10" t="e">
        <f t="shared" si="162"/>
        <v>#VALUE!</v>
      </c>
      <c r="BQ121" s="10" t="e">
        <f t="shared" si="163"/>
        <v>#VALUE!</v>
      </c>
      <c r="BR121" s="10" t="e">
        <f t="shared" si="164"/>
        <v>#VALUE!</v>
      </c>
      <c r="BS121" s="10" t="e">
        <f t="shared" si="165"/>
        <v>#VALUE!</v>
      </c>
      <c r="BT121" s="10" t="e">
        <f t="shared" si="166"/>
        <v>#VALUE!</v>
      </c>
      <c r="BU121" s="10" t="e">
        <f t="shared" si="167"/>
        <v>#VALUE!</v>
      </c>
      <c r="BW121" s="10" t="e">
        <f t="shared" si="139"/>
        <v>#VALUE!</v>
      </c>
      <c r="BX121" s="10" t="e">
        <f t="shared" si="140"/>
        <v>#VALUE!</v>
      </c>
      <c r="BY121" s="10" t="e">
        <f t="shared" si="141"/>
        <v>#VALUE!</v>
      </c>
      <c r="BZ121" s="10" t="e">
        <f t="shared" si="142"/>
        <v>#VALUE!</v>
      </c>
      <c r="CA121" s="10" t="e">
        <f t="shared" si="143"/>
        <v>#VALUE!</v>
      </c>
      <c r="CB121" s="10" t="e">
        <f t="shared" si="144"/>
        <v>#VALUE!</v>
      </c>
      <c r="CD121" s="10" t="e">
        <f>MATCH(INDEX($BP$12:$BU$12,1,MATCH(BP121,$BP$15:$BU$15,0)),结果汇总!$AI$10:$AI$13,0)</f>
        <v>#VALUE!</v>
      </c>
      <c r="CE121" s="10" t="e">
        <f>MATCH(INDEX($BP$12:$BU$12,1,MATCH(BQ121,$BP$15:$BU$15,0)),结果汇总!$AI$10:$AI$13,0)</f>
        <v>#VALUE!</v>
      </c>
      <c r="CF121" s="10" t="e">
        <f>MATCH(INDEX($BP$12:$BU$12,1,MATCH(BR121,$BP$15:$BU$15,0)),结果汇总!$AI$10:$AI$13,0)</f>
        <v>#VALUE!</v>
      </c>
      <c r="CG121" s="10" t="e">
        <f>MATCH(INDEX($BP$12:$BU$12,1,MATCH(BS121,$BP$15:$BU$15,0)),结果汇总!$AI$10:$AI$13,0)</f>
        <v>#VALUE!</v>
      </c>
      <c r="CH121" s="10" t="e">
        <f>MATCH(INDEX($BP$12:$BU$12,1,MATCH(BT121,$BP$15:$BU$15,0)),结果汇总!$AI$10:$AI$13,0)</f>
        <v>#VALUE!</v>
      </c>
      <c r="CI121" s="10" t="e">
        <f>MATCH(INDEX($BP$12:$BU$12,1,MATCH(BU121,$BP$15:$BU$15,0)),结果汇总!$AI$10:$AI$13,0)</f>
        <v>#VALUE!</v>
      </c>
      <c r="CK121" s="10">
        <f t="shared" si="179"/>
        <v>0</v>
      </c>
      <c r="CL121" s="10">
        <f t="shared" si="179"/>
        <v>0</v>
      </c>
      <c r="CM121" s="10">
        <f t="shared" si="179"/>
        <v>0</v>
      </c>
      <c r="CN121" s="10">
        <f t="shared" si="179"/>
        <v>0</v>
      </c>
      <c r="CO121" s="10" t="e">
        <f t="shared" si="180"/>
        <v>#DIV/0!</v>
      </c>
      <c r="CP121" s="10" t="e">
        <f t="shared" si="180"/>
        <v>#DIV/0!</v>
      </c>
      <c r="CQ121" s="10" t="e">
        <f t="shared" si="180"/>
        <v>#DIV/0!</v>
      </c>
      <c r="CR121" s="10" t="e">
        <f t="shared" si="180"/>
        <v>#DIV/0!</v>
      </c>
      <c r="CS121" s="10">
        <f t="shared" si="181"/>
        <v>0</v>
      </c>
      <c r="CT121" s="10">
        <f t="shared" si="181"/>
        <v>0</v>
      </c>
      <c r="CU121" s="10">
        <f t="shared" si="181"/>
        <v>0</v>
      </c>
      <c r="CV121" s="10">
        <f t="shared" si="181"/>
        <v>0</v>
      </c>
      <c r="CW121" s="10">
        <f t="shared" si="182"/>
        <v>0</v>
      </c>
      <c r="CX121" s="10">
        <f t="shared" si="182"/>
        <v>0</v>
      </c>
      <c r="CY121" s="10">
        <f t="shared" si="182"/>
        <v>0</v>
      </c>
      <c r="CZ121" s="10">
        <f t="shared" si="182"/>
        <v>0</v>
      </c>
    </row>
    <row r="122" spans="4:104" x14ac:dyDescent="0.15">
      <c r="D122" s="10">
        <v>107</v>
      </c>
      <c r="E122" s="10" t="e">
        <f t="shared" si="169"/>
        <v>#VALUE!</v>
      </c>
      <c r="F122" s="10" t="e">
        <f t="shared" si="98"/>
        <v>#VALUE!</v>
      </c>
      <c r="G122" s="10" t="e">
        <f t="shared" si="99"/>
        <v>#VALUE!</v>
      </c>
      <c r="H122" s="10" t="e">
        <f t="shared" si="115"/>
        <v>#VALUE!</v>
      </c>
      <c r="I122" s="10" t="e">
        <f t="shared" si="168"/>
        <v>#VALUE!</v>
      </c>
      <c r="J122" s="10" t="e">
        <f t="shared" si="170"/>
        <v>#VALUE!</v>
      </c>
      <c r="K122" s="10" t="e">
        <f t="shared" si="101"/>
        <v>#VALUE!</v>
      </c>
      <c r="L122" s="10" t="e">
        <f t="shared" si="102"/>
        <v>#VALUE!</v>
      </c>
      <c r="M122" s="10" t="e">
        <f t="shared" si="117"/>
        <v>#VALUE!</v>
      </c>
      <c r="O122" s="10" t="e">
        <f t="shared" si="171"/>
        <v>#VALUE!</v>
      </c>
      <c r="P122" s="10" t="e">
        <f t="shared" si="103"/>
        <v>#VALUE!</v>
      </c>
      <c r="Q122" s="10" t="e">
        <f t="shared" si="104"/>
        <v>#VALUE!</v>
      </c>
      <c r="R122" s="10" t="e">
        <f t="shared" si="119"/>
        <v>#VALUE!</v>
      </c>
      <c r="S122" s="10" t="e">
        <f t="shared" si="120"/>
        <v>#VALUE!</v>
      </c>
      <c r="T122" s="10" t="e">
        <f t="shared" si="149"/>
        <v>#VALUE!</v>
      </c>
      <c r="U122" s="10" t="e">
        <f t="shared" si="150"/>
        <v>#VALUE!</v>
      </c>
      <c r="V122" s="10" t="e">
        <f t="shared" si="105"/>
        <v>#VALUE!</v>
      </c>
      <c r="W122" s="10" t="e">
        <f t="shared" si="121"/>
        <v>#VALUE!</v>
      </c>
      <c r="Y122" s="10" t="e">
        <f t="shared" si="172"/>
        <v>#VALUE!</v>
      </c>
      <c r="Z122" s="11" t="e">
        <f t="shared" si="123"/>
        <v>#VALUE!</v>
      </c>
      <c r="AA122" s="10" t="e">
        <f t="shared" si="106"/>
        <v>#VALUE!</v>
      </c>
      <c r="AB122" s="10" t="e">
        <f t="shared" si="124"/>
        <v>#VALUE!</v>
      </c>
      <c r="AC122" s="10" t="e">
        <f t="shared" si="125"/>
        <v>#VALUE!</v>
      </c>
      <c r="AD122" s="10" t="e">
        <f t="shared" si="151"/>
        <v>#VALUE!</v>
      </c>
      <c r="AE122" s="10" t="e">
        <f t="shared" si="152"/>
        <v>#VALUE!</v>
      </c>
      <c r="AF122" s="10" t="e">
        <f t="shared" si="107"/>
        <v>#VALUE!</v>
      </c>
      <c r="AG122" s="10" t="e">
        <f t="shared" si="126"/>
        <v>#VALUE!</v>
      </c>
      <c r="AI122" s="13"/>
      <c r="AK122" s="10" t="e">
        <f t="shared" si="173"/>
        <v>#VALUE!</v>
      </c>
      <c r="AL122" s="10" t="e">
        <f t="shared" si="153"/>
        <v>#VALUE!</v>
      </c>
      <c r="AM122" s="10" t="e">
        <f t="shared" si="108"/>
        <v>#VALUE!</v>
      </c>
      <c r="AN122" s="10" t="e">
        <f t="shared" si="128"/>
        <v>#VALUE!</v>
      </c>
      <c r="AO122" s="10" t="e">
        <f t="shared" si="129"/>
        <v>#VALUE!</v>
      </c>
      <c r="AP122" s="10" t="e">
        <f t="shared" si="174"/>
        <v>#VALUE!</v>
      </c>
      <c r="AQ122" s="10" t="e">
        <f t="shared" si="154"/>
        <v>#VALUE!</v>
      </c>
      <c r="AR122" s="10" t="e">
        <f t="shared" si="109"/>
        <v>#VALUE!</v>
      </c>
      <c r="AS122" s="10" t="e">
        <f t="shared" si="155"/>
        <v>#VALUE!</v>
      </c>
      <c r="AU122" s="10" t="e">
        <f t="shared" si="175"/>
        <v>#VALUE!</v>
      </c>
      <c r="AV122" s="10" t="e">
        <f t="shared" si="156"/>
        <v>#VALUE!</v>
      </c>
      <c r="AW122" s="10" t="e">
        <f t="shared" si="110"/>
        <v>#VALUE!</v>
      </c>
      <c r="AX122" s="10" t="e">
        <f t="shared" si="132"/>
        <v>#VALUE!</v>
      </c>
      <c r="AY122" s="10" t="e">
        <f t="shared" si="133"/>
        <v>#VALUE!</v>
      </c>
      <c r="AZ122" s="10" t="e">
        <f t="shared" si="176"/>
        <v>#VALUE!</v>
      </c>
      <c r="BA122" s="10" t="e">
        <f t="shared" si="157"/>
        <v>#VALUE!</v>
      </c>
      <c r="BB122" s="10" t="e">
        <f t="shared" si="111"/>
        <v>#VALUE!</v>
      </c>
      <c r="BC122" s="10" t="e">
        <f t="shared" si="158"/>
        <v>#VALUE!</v>
      </c>
      <c r="BE122" s="10" t="e">
        <f t="shared" si="177"/>
        <v>#VALUE!</v>
      </c>
      <c r="BF122" s="10" t="e">
        <f t="shared" si="159"/>
        <v>#VALUE!</v>
      </c>
      <c r="BG122" s="10" t="e">
        <f t="shared" si="112"/>
        <v>#VALUE!</v>
      </c>
      <c r="BH122" s="10" t="e">
        <f t="shared" si="136"/>
        <v>#VALUE!</v>
      </c>
      <c r="BI122" s="10" t="e">
        <f t="shared" si="137"/>
        <v>#VALUE!</v>
      </c>
      <c r="BJ122" s="10" t="e">
        <f t="shared" si="178"/>
        <v>#VALUE!</v>
      </c>
      <c r="BK122" s="10" t="e">
        <f t="shared" si="160"/>
        <v>#VALUE!</v>
      </c>
      <c r="BL122" s="10" t="e">
        <f t="shared" si="113"/>
        <v>#VALUE!</v>
      </c>
      <c r="BM122" s="10" t="e">
        <f t="shared" si="161"/>
        <v>#VALUE!</v>
      </c>
      <c r="BP122" s="10" t="e">
        <f t="shared" si="162"/>
        <v>#VALUE!</v>
      </c>
      <c r="BQ122" s="10" t="e">
        <f t="shared" si="163"/>
        <v>#VALUE!</v>
      </c>
      <c r="BR122" s="10" t="e">
        <f t="shared" si="164"/>
        <v>#VALUE!</v>
      </c>
      <c r="BS122" s="10" t="e">
        <f t="shared" si="165"/>
        <v>#VALUE!</v>
      </c>
      <c r="BT122" s="10" t="e">
        <f t="shared" si="166"/>
        <v>#VALUE!</v>
      </c>
      <c r="BU122" s="10" t="e">
        <f t="shared" si="167"/>
        <v>#VALUE!</v>
      </c>
      <c r="BW122" s="10" t="e">
        <f t="shared" si="139"/>
        <v>#VALUE!</v>
      </c>
      <c r="BX122" s="10" t="e">
        <f t="shared" si="140"/>
        <v>#VALUE!</v>
      </c>
      <c r="BY122" s="10" t="e">
        <f t="shared" si="141"/>
        <v>#VALUE!</v>
      </c>
      <c r="BZ122" s="10" t="e">
        <f t="shared" si="142"/>
        <v>#VALUE!</v>
      </c>
      <c r="CA122" s="10" t="e">
        <f t="shared" si="143"/>
        <v>#VALUE!</v>
      </c>
      <c r="CB122" s="10" t="e">
        <f t="shared" si="144"/>
        <v>#VALUE!</v>
      </c>
      <c r="CD122" s="10" t="e">
        <f>MATCH(INDEX($BP$12:$BU$12,1,MATCH(BP122,$BP$15:$BU$15,0)),结果汇总!$AI$10:$AI$13,0)</f>
        <v>#VALUE!</v>
      </c>
      <c r="CE122" s="10" t="e">
        <f>MATCH(INDEX($BP$12:$BU$12,1,MATCH(BQ122,$BP$15:$BU$15,0)),结果汇总!$AI$10:$AI$13,0)</f>
        <v>#VALUE!</v>
      </c>
      <c r="CF122" s="10" t="e">
        <f>MATCH(INDEX($BP$12:$BU$12,1,MATCH(BR122,$BP$15:$BU$15,0)),结果汇总!$AI$10:$AI$13,0)</f>
        <v>#VALUE!</v>
      </c>
      <c r="CG122" s="10" t="e">
        <f>MATCH(INDEX($BP$12:$BU$12,1,MATCH(BS122,$BP$15:$BU$15,0)),结果汇总!$AI$10:$AI$13,0)</f>
        <v>#VALUE!</v>
      </c>
      <c r="CH122" s="10" t="e">
        <f>MATCH(INDEX($BP$12:$BU$12,1,MATCH(BT122,$BP$15:$BU$15,0)),结果汇总!$AI$10:$AI$13,0)</f>
        <v>#VALUE!</v>
      </c>
      <c r="CI122" s="10" t="e">
        <f>MATCH(INDEX($BP$12:$BU$12,1,MATCH(BU122,$BP$15:$BU$15,0)),结果汇总!$AI$10:$AI$13,0)</f>
        <v>#VALUE!</v>
      </c>
      <c r="CK122" s="10">
        <f t="shared" si="179"/>
        <v>0</v>
      </c>
      <c r="CL122" s="10">
        <f t="shared" si="179"/>
        <v>0</v>
      </c>
      <c r="CM122" s="10">
        <f t="shared" si="179"/>
        <v>0</v>
      </c>
      <c r="CN122" s="10">
        <f t="shared" si="179"/>
        <v>0</v>
      </c>
      <c r="CO122" s="10" t="e">
        <f t="shared" si="180"/>
        <v>#DIV/0!</v>
      </c>
      <c r="CP122" s="10" t="e">
        <f t="shared" si="180"/>
        <v>#DIV/0!</v>
      </c>
      <c r="CQ122" s="10" t="e">
        <f t="shared" si="180"/>
        <v>#DIV/0!</v>
      </c>
      <c r="CR122" s="10" t="e">
        <f t="shared" si="180"/>
        <v>#DIV/0!</v>
      </c>
      <c r="CS122" s="10">
        <f t="shared" si="181"/>
        <v>0</v>
      </c>
      <c r="CT122" s="10">
        <f t="shared" si="181"/>
        <v>0</v>
      </c>
      <c r="CU122" s="10">
        <f t="shared" si="181"/>
        <v>0</v>
      </c>
      <c r="CV122" s="10">
        <f t="shared" si="181"/>
        <v>0</v>
      </c>
      <c r="CW122" s="10">
        <f t="shared" si="182"/>
        <v>0</v>
      </c>
      <c r="CX122" s="10">
        <f t="shared" si="182"/>
        <v>0</v>
      </c>
      <c r="CY122" s="10">
        <f t="shared" si="182"/>
        <v>0</v>
      </c>
      <c r="CZ122" s="10">
        <f t="shared" si="182"/>
        <v>0</v>
      </c>
    </row>
    <row r="123" spans="4:104" x14ac:dyDescent="0.15">
      <c r="D123" s="10">
        <v>108</v>
      </c>
      <c r="E123" s="10" t="e">
        <f t="shared" si="169"/>
        <v>#VALUE!</v>
      </c>
      <c r="F123" s="10" t="e">
        <f t="shared" si="98"/>
        <v>#VALUE!</v>
      </c>
      <c r="G123" s="10" t="e">
        <f t="shared" si="99"/>
        <v>#VALUE!</v>
      </c>
      <c r="H123" s="10" t="e">
        <f t="shared" si="115"/>
        <v>#VALUE!</v>
      </c>
      <c r="I123" s="10" t="e">
        <f t="shared" si="168"/>
        <v>#VALUE!</v>
      </c>
      <c r="J123" s="10" t="e">
        <f t="shared" si="170"/>
        <v>#VALUE!</v>
      </c>
      <c r="K123" s="10" t="e">
        <f t="shared" si="101"/>
        <v>#VALUE!</v>
      </c>
      <c r="L123" s="10" t="e">
        <f t="shared" si="102"/>
        <v>#VALUE!</v>
      </c>
      <c r="M123" s="10" t="e">
        <f t="shared" si="117"/>
        <v>#VALUE!</v>
      </c>
      <c r="O123" s="10" t="e">
        <f t="shared" si="171"/>
        <v>#VALUE!</v>
      </c>
      <c r="P123" s="10" t="e">
        <f t="shared" si="103"/>
        <v>#VALUE!</v>
      </c>
      <c r="Q123" s="10" t="e">
        <f t="shared" si="104"/>
        <v>#VALUE!</v>
      </c>
      <c r="R123" s="10" t="e">
        <f t="shared" si="119"/>
        <v>#VALUE!</v>
      </c>
      <c r="S123" s="10" t="e">
        <f t="shared" si="120"/>
        <v>#VALUE!</v>
      </c>
      <c r="T123" s="10" t="e">
        <f t="shared" si="149"/>
        <v>#VALUE!</v>
      </c>
      <c r="U123" s="10" t="e">
        <f t="shared" si="150"/>
        <v>#VALUE!</v>
      </c>
      <c r="V123" s="10" t="e">
        <f t="shared" si="105"/>
        <v>#VALUE!</v>
      </c>
      <c r="W123" s="10" t="e">
        <f t="shared" si="121"/>
        <v>#VALUE!</v>
      </c>
      <c r="Y123" s="10" t="e">
        <f t="shared" si="172"/>
        <v>#VALUE!</v>
      </c>
      <c r="Z123" s="11" t="e">
        <f t="shared" si="123"/>
        <v>#VALUE!</v>
      </c>
      <c r="AA123" s="10" t="e">
        <f t="shared" si="106"/>
        <v>#VALUE!</v>
      </c>
      <c r="AB123" s="10" t="e">
        <f t="shared" si="124"/>
        <v>#VALUE!</v>
      </c>
      <c r="AC123" s="10" t="e">
        <f t="shared" si="125"/>
        <v>#VALUE!</v>
      </c>
      <c r="AD123" s="10" t="e">
        <f t="shared" si="151"/>
        <v>#VALUE!</v>
      </c>
      <c r="AE123" s="10" t="e">
        <f t="shared" si="152"/>
        <v>#VALUE!</v>
      </c>
      <c r="AF123" s="10" t="e">
        <f t="shared" si="107"/>
        <v>#VALUE!</v>
      </c>
      <c r="AG123" s="10" t="e">
        <f t="shared" si="126"/>
        <v>#VALUE!</v>
      </c>
      <c r="AI123" s="13"/>
      <c r="AK123" s="10" t="e">
        <f t="shared" si="173"/>
        <v>#VALUE!</v>
      </c>
      <c r="AL123" s="10" t="e">
        <f t="shared" si="153"/>
        <v>#VALUE!</v>
      </c>
      <c r="AM123" s="10" t="e">
        <f t="shared" si="108"/>
        <v>#VALUE!</v>
      </c>
      <c r="AN123" s="10" t="e">
        <f t="shared" si="128"/>
        <v>#VALUE!</v>
      </c>
      <c r="AO123" s="10" t="e">
        <f t="shared" si="129"/>
        <v>#VALUE!</v>
      </c>
      <c r="AP123" s="10" t="e">
        <f t="shared" si="174"/>
        <v>#VALUE!</v>
      </c>
      <c r="AQ123" s="10" t="e">
        <f t="shared" si="154"/>
        <v>#VALUE!</v>
      </c>
      <c r="AR123" s="10" t="e">
        <f t="shared" si="109"/>
        <v>#VALUE!</v>
      </c>
      <c r="AS123" s="10" t="e">
        <f t="shared" si="155"/>
        <v>#VALUE!</v>
      </c>
      <c r="AU123" s="10" t="e">
        <f t="shared" si="175"/>
        <v>#VALUE!</v>
      </c>
      <c r="AV123" s="10" t="e">
        <f t="shared" si="156"/>
        <v>#VALUE!</v>
      </c>
      <c r="AW123" s="10" t="e">
        <f t="shared" si="110"/>
        <v>#VALUE!</v>
      </c>
      <c r="AX123" s="10" t="e">
        <f t="shared" si="132"/>
        <v>#VALUE!</v>
      </c>
      <c r="AY123" s="10" t="e">
        <f t="shared" si="133"/>
        <v>#VALUE!</v>
      </c>
      <c r="AZ123" s="10" t="e">
        <f t="shared" si="176"/>
        <v>#VALUE!</v>
      </c>
      <c r="BA123" s="10" t="e">
        <f t="shared" si="157"/>
        <v>#VALUE!</v>
      </c>
      <c r="BB123" s="10" t="e">
        <f t="shared" si="111"/>
        <v>#VALUE!</v>
      </c>
      <c r="BC123" s="10" t="e">
        <f t="shared" si="158"/>
        <v>#VALUE!</v>
      </c>
      <c r="BE123" s="10" t="e">
        <f t="shared" si="177"/>
        <v>#VALUE!</v>
      </c>
      <c r="BF123" s="10" t="e">
        <f t="shared" si="159"/>
        <v>#VALUE!</v>
      </c>
      <c r="BG123" s="10" t="e">
        <f t="shared" si="112"/>
        <v>#VALUE!</v>
      </c>
      <c r="BH123" s="10" t="e">
        <f t="shared" si="136"/>
        <v>#VALUE!</v>
      </c>
      <c r="BI123" s="10" t="e">
        <f t="shared" si="137"/>
        <v>#VALUE!</v>
      </c>
      <c r="BJ123" s="10" t="e">
        <f t="shared" si="178"/>
        <v>#VALUE!</v>
      </c>
      <c r="BK123" s="10" t="e">
        <f t="shared" si="160"/>
        <v>#VALUE!</v>
      </c>
      <c r="BL123" s="10" t="e">
        <f t="shared" si="113"/>
        <v>#VALUE!</v>
      </c>
      <c r="BM123" s="10" t="e">
        <f t="shared" si="161"/>
        <v>#VALUE!</v>
      </c>
      <c r="BP123" s="10" t="e">
        <f t="shared" si="162"/>
        <v>#VALUE!</v>
      </c>
      <c r="BQ123" s="10" t="e">
        <f t="shared" si="163"/>
        <v>#VALUE!</v>
      </c>
      <c r="BR123" s="10" t="e">
        <f t="shared" si="164"/>
        <v>#VALUE!</v>
      </c>
      <c r="BS123" s="10" t="e">
        <f t="shared" si="165"/>
        <v>#VALUE!</v>
      </c>
      <c r="BT123" s="10" t="e">
        <f t="shared" si="166"/>
        <v>#VALUE!</v>
      </c>
      <c r="BU123" s="10" t="e">
        <f t="shared" si="167"/>
        <v>#VALUE!</v>
      </c>
      <c r="BW123" s="10" t="e">
        <f t="shared" si="139"/>
        <v>#VALUE!</v>
      </c>
      <c r="BX123" s="10" t="e">
        <f t="shared" si="140"/>
        <v>#VALUE!</v>
      </c>
      <c r="BY123" s="10" t="e">
        <f t="shared" si="141"/>
        <v>#VALUE!</v>
      </c>
      <c r="BZ123" s="10" t="e">
        <f t="shared" si="142"/>
        <v>#VALUE!</v>
      </c>
      <c r="CA123" s="10" t="e">
        <f t="shared" si="143"/>
        <v>#VALUE!</v>
      </c>
      <c r="CB123" s="10" t="e">
        <f t="shared" si="144"/>
        <v>#VALUE!</v>
      </c>
      <c r="CD123" s="10" t="e">
        <f>MATCH(INDEX($BP$12:$BU$12,1,MATCH(BP123,$BP$15:$BU$15,0)),结果汇总!$AI$10:$AI$13,0)</f>
        <v>#VALUE!</v>
      </c>
      <c r="CE123" s="10" t="e">
        <f>MATCH(INDEX($BP$12:$BU$12,1,MATCH(BQ123,$BP$15:$BU$15,0)),结果汇总!$AI$10:$AI$13,0)</f>
        <v>#VALUE!</v>
      </c>
      <c r="CF123" s="10" t="e">
        <f>MATCH(INDEX($BP$12:$BU$12,1,MATCH(BR123,$BP$15:$BU$15,0)),结果汇总!$AI$10:$AI$13,0)</f>
        <v>#VALUE!</v>
      </c>
      <c r="CG123" s="10" t="e">
        <f>MATCH(INDEX($BP$12:$BU$12,1,MATCH(BS123,$BP$15:$BU$15,0)),结果汇总!$AI$10:$AI$13,0)</f>
        <v>#VALUE!</v>
      </c>
      <c r="CH123" s="10" t="e">
        <f>MATCH(INDEX($BP$12:$BU$12,1,MATCH(BT123,$BP$15:$BU$15,0)),结果汇总!$AI$10:$AI$13,0)</f>
        <v>#VALUE!</v>
      </c>
      <c r="CI123" s="10" t="e">
        <f>MATCH(INDEX($BP$12:$BU$12,1,MATCH(BU123,$BP$15:$BU$15,0)),结果汇总!$AI$10:$AI$13,0)</f>
        <v>#VALUE!</v>
      </c>
      <c r="CK123" s="10">
        <f t="shared" si="179"/>
        <v>0</v>
      </c>
      <c r="CL123" s="10">
        <f t="shared" si="179"/>
        <v>0</v>
      </c>
      <c r="CM123" s="10">
        <f t="shared" si="179"/>
        <v>0</v>
      </c>
      <c r="CN123" s="10">
        <f t="shared" si="179"/>
        <v>0</v>
      </c>
      <c r="CO123" s="10" t="e">
        <f t="shared" si="180"/>
        <v>#DIV/0!</v>
      </c>
      <c r="CP123" s="10" t="e">
        <f t="shared" si="180"/>
        <v>#DIV/0!</v>
      </c>
      <c r="CQ123" s="10" t="e">
        <f t="shared" si="180"/>
        <v>#DIV/0!</v>
      </c>
      <c r="CR123" s="10" t="e">
        <f t="shared" si="180"/>
        <v>#DIV/0!</v>
      </c>
      <c r="CS123" s="10">
        <f t="shared" si="181"/>
        <v>0</v>
      </c>
      <c r="CT123" s="10">
        <f t="shared" si="181"/>
        <v>0</v>
      </c>
      <c r="CU123" s="10">
        <f t="shared" si="181"/>
        <v>0</v>
      </c>
      <c r="CV123" s="10">
        <f t="shared" si="181"/>
        <v>0</v>
      </c>
      <c r="CW123" s="10">
        <f t="shared" si="182"/>
        <v>0</v>
      </c>
      <c r="CX123" s="10">
        <f t="shared" si="182"/>
        <v>0</v>
      </c>
      <c r="CY123" s="10">
        <f t="shared" si="182"/>
        <v>0</v>
      </c>
      <c r="CZ123" s="10">
        <f t="shared" si="182"/>
        <v>0</v>
      </c>
    </row>
    <row r="124" spans="4:104" x14ac:dyDescent="0.15">
      <c r="D124" s="10">
        <v>109</v>
      </c>
      <c r="E124" s="10" t="e">
        <f t="shared" si="169"/>
        <v>#VALUE!</v>
      </c>
      <c r="F124" s="10" t="e">
        <f t="shared" si="98"/>
        <v>#VALUE!</v>
      </c>
      <c r="G124" s="10" t="e">
        <f t="shared" si="99"/>
        <v>#VALUE!</v>
      </c>
      <c r="H124" s="10" t="e">
        <f t="shared" si="115"/>
        <v>#VALUE!</v>
      </c>
      <c r="I124" s="10" t="e">
        <f t="shared" si="168"/>
        <v>#VALUE!</v>
      </c>
      <c r="J124" s="10" t="e">
        <f t="shared" si="170"/>
        <v>#VALUE!</v>
      </c>
      <c r="K124" s="10" t="e">
        <f t="shared" si="101"/>
        <v>#VALUE!</v>
      </c>
      <c r="L124" s="10" t="e">
        <f t="shared" si="102"/>
        <v>#VALUE!</v>
      </c>
      <c r="M124" s="10" t="e">
        <f t="shared" si="117"/>
        <v>#VALUE!</v>
      </c>
      <c r="O124" s="10" t="e">
        <f t="shared" si="171"/>
        <v>#VALUE!</v>
      </c>
      <c r="P124" s="10" t="e">
        <f t="shared" si="103"/>
        <v>#VALUE!</v>
      </c>
      <c r="Q124" s="10" t="e">
        <f t="shared" si="104"/>
        <v>#VALUE!</v>
      </c>
      <c r="R124" s="10" t="e">
        <f t="shared" si="119"/>
        <v>#VALUE!</v>
      </c>
      <c r="S124" s="10" t="e">
        <f t="shared" si="120"/>
        <v>#VALUE!</v>
      </c>
      <c r="T124" s="10" t="e">
        <f t="shared" si="149"/>
        <v>#VALUE!</v>
      </c>
      <c r="U124" s="10" t="e">
        <f t="shared" si="150"/>
        <v>#VALUE!</v>
      </c>
      <c r="V124" s="10" t="e">
        <f t="shared" si="105"/>
        <v>#VALUE!</v>
      </c>
      <c r="W124" s="10" t="e">
        <f t="shared" si="121"/>
        <v>#VALUE!</v>
      </c>
      <c r="Y124" s="10" t="e">
        <f t="shared" si="172"/>
        <v>#VALUE!</v>
      </c>
      <c r="Z124" s="11" t="e">
        <f t="shared" si="123"/>
        <v>#VALUE!</v>
      </c>
      <c r="AA124" s="10" t="e">
        <f t="shared" si="106"/>
        <v>#VALUE!</v>
      </c>
      <c r="AB124" s="10" t="e">
        <f t="shared" si="124"/>
        <v>#VALUE!</v>
      </c>
      <c r="AC124" s="10" t="e">
        <f t="shared" si="125"/>
        <v>#VALUE!</v>
      </c>
      <c r="AD124" s="10" t="e">
        <f t="shared" si="151"/>
        <v>#VALUE!</v>
      </c>
      <c r="AE124" s="10" t="e">
        <f t="shared" si="152"/>
        <v>#VALUE!</v>
      </c>
      <c r="AF124" s="10" t="e">
        <f t="shared" si="107"/>
        <v>#VALUE!</v>
      </c>
      <c r="AG124" s="10" t="e">
        <f t="shared" si="126"/>
        <v>#VALUE!</v>
      </c>
      <c r="AI124" s="13"/>
      <c r="AK124" s="10" t="e">
        <f t="shared" si="173"/>
        <v>#VALUE!</v>
      </c>
      <c r="AL124" s="10" t="e">
        <f t="shared" si="153"/>
        <v>#VALUE!</v>
      </c>
      <c r="AM124" s="10" t="e">
        <f t="shared" si="108"/>
        <v>#VALUE!</v>
      </c>
      <c r="AN124" s="10" t="e">
        <f t="shared" si="128"/>
        <v>#VALUE!</v>
      </c>
      <c r="AO124" s="10" t="e">
        <f t="shared" si="129"/>
        <v>#VALUE!</v>
      </c>
      <c r="AP124" s="10" t="e">
        <f t="shared" si="174"/>
        <v>#VALUE!</v>
      </c>
      <c r="AQ124" s="10" t="e">
        <f t="shared" si="154"/>
        <v>#VALUE!</v>
      </c>
      <c r="AR124" s="10" t="e">
        <f t="shared" si="109"/>
        <v>#VALUE!</v>
      </c>
      <c r="AS124" s="10" t="e">
        <f t="shared" si="155"/>
        <v>#VALUE!</v>
      </c>
      <c r="AU124" s="10" t="e">
        <f t="shared" si="175"/>
        <v>#VALUE!</v>
      </c>
      <c r="AV124" s="10" t="e">
        <f t="shared" si="156"/>
        <v>#VALUE!</v>
      </c>
      <c r="AW124" s="10" t="e">
        <f t="shared" si="110"/>
        <v>#VALUE!</v>
      </c>
      <c r="AX124" s="10" t="e">
        <f t="shared" si="132"/>
        <v>#VALUE!</v>
      </c>
      <c r="AY124" s="10" t="e">
        <f t="shared" si="133"/>
        <v>#VALUE!</v>
      </c>
      <c r="AZ124" s="10" t="e">
        <f t="shared" si="176"/>
        <v>#VALUE!</v>
      </c>
      <c r="BA124" s="10" t="e">
        <f t="shared" si="157"/>
        <v>#VALUE!</v>
      </c>
      <c r="BB124" s="10" t="e">
        <f t="shared" si="111"/>
        <v>#VALUE!</v>
      </c>
      <c r="BC124" s="10" t="e">
        <f t="shared" si="158"/>
        <v>#VALUE!</v>
      </c>
      <c r="BE124" s="10" t="e">
        <f t="shared" si="177"/>
        <v>#VALUE!</v>
      </c>
      <c r="BF124" s="10" t="e">
        <f t="shared" si="159"/>
        <v>#VALUE!</v>
      </c>
      <c r="BG124" s="10" t="e">
        <f t="shared" si="112"/>
        <v>#VALUE!</v>
      </c>
      <c r="BH124" s="10" t="e">
        <f t="shared" si="136"/>
        <v>#VALUE!</v>
      </c>
      <c r="BI124" s="10" t="e">
        <f t="shared" si="137"/>
        <v>#VALUE!</v>
      </c>
      <c r="BJ124" s="10" t="e">
        <f t="shared" si="178"/>
        <v>#VALUE!</v>
      </c>
      <c r="BK124" s="10" t="e">
        <f t="shared" si="160"/>
        <v>#VALUE!</v>
      </c>
      <c r="BL124" s="10" t="e">
        <f t="shared" si="113"/>
        <v>#VALUE!</v>
      </c>
      <c r="BM124" s="10" t="e">
        <f t="shared" si="161"/>
        <v>#VALUE!</v>
      </c>
      <c r="BP124" s="10" t="e">
        <f t="shared" si="162"/>
        <v>#VALUE!</v>
      </c>
      <c r="BQ124" s="10" t="e">
        <f t="shared" si="163"/>
        <v>#VALUE!</v>
      </c>
      <c r="BR124" s="10" t="e">
        <f t="shared" si="164"/>
        <v>#VALUE!</v>
      </c>
      <c r="BS124" s="10" t="e">
        <f t="shared" si="165"/>
        <v>#VALUE!</v>
      </c>
      <c r="BT124" s="10" t="e">
        <f t="shared" si="166"/>
        <v>#VALUE!</v>
      </c>
      <c r="BU124" s="10" t="e">
        <f t="shared" si="167"/>
        <v>#VALUE!</v>
      </c>
      <c r="BW124" s="10" t="e">
        <f t="shared" si="139"/>
        <v>#VALUE!</v>
      </c>
      <c r="BX124" s="10" t="e">
        <f t="shared" si="140"/>
        <v>#VALUE!</v>
      </c>
      <c r="BY124" s="10" t="e">
        <f t="shared" si="141"/>
        <v>#VALUE!</v>
      </c>
      <c r="BZ124" s="10" t="e">
        <f t="shared" si="142"/>
        <v>#VALUE!</v>
      </c>
      <c r="CA124" s="10" t="e">
        <f t="shared" si="143"/>
        <v>#VALUE!</v>
      </c>
      <c r="CB124" s="10" t="e">
        <f t="shared" si="144"/>
        <v>#VALUE!</v>
      </c>
      <c r="CD124" s="10" t="e">
        <f>MATCH(INDEX($BP$12:$BU$12,1,MATCH(BP124,$BP$15:$BU$15,0)),结果汇总!$AI$10:$AI$13,0)</f>
        <v>#VALUE!</v>
      </c>
      <c r="CE124" s="10" t="e">
        <f>MATCH(INDEX($BP$12:$BU$12,1,MATCH(BQ124,$BP$15:$BU$15,0)),结果汇总!$AI$10:$AI$13,0)</f>
        <v>#VALUE!</v>
      </c>
      <c r="CF124" s="10" t="e">
        <f>MATCH(INDEX($BP$12:$BU$12,1,MATCH(BR124,$BP$15:$BU$15,0)),结果汇总!$AI$10:$AI$13,0)</f>
        <v>#VALUE!</v>
      </c>
      <c r="CG124" s="10" t="e">
        <f>MATCH(INDEX($BP$12:$BU$12,1,MATCH(BS124,$BP$15:$BU$15,0)),结果汇总!$AI$10:$AI$13,0)</f>
        <v>#VALUE!</v>
      </c>
      <c r="CH124" s="10" t="e">
        <f>MATCH(INDEX($BP$12:$BU$12,1,MATCH(BT124,$BP$15:$BU$15,0)),结果汇总!$AI$10:$AI$13,0)</f>
        <v>#VALUE!</v>
      </c>
      <c r="CI124" s="10" t="e">
        <f>MATCH(INDEX($BP$12:$BU$12,1,MATCH(BU124,$BP$15:$BU$15,0)),结果汇总!$AI$10:$AI$13,0)</f>
        <v>#VALUE!</v>
      </c>
      <c r="CK124" s="10">
        <f t="shared" si="179"/>
        <v>0</v>
      </c>
      <c r="CL124" s="10">
        <f t="shared" si="179"/>
        <v>0</v>
      </c>
      <c r="CM124" s="10">
        <f t="shared" si="179"/>
        <v>0</v>
      </c>
      <c r="CN124" s="10">
        <f t="shared" si="179"/>
        <v>0</v>
      </c>
      <c r="CO124" s="10" t="e">
        <f t="shared" si="180"/>
        <v>#DIV/0!</v>
      </c>
      <c r="CP124" s="10" t="e">
        <f t="shared" si="180"/>
        <v>#DIV/0!</v>
      </c>
      <c r="CQ124" s="10" t="e">
        <f t="shared" si="180"/>
        <v>#DIV/0!</v>
      </c>
      <c r="CR124" s="10" t="e">
        <f t="shared" si="180"/>
        <v>#DIV/0!</v>
      </c>
      <c r="CS124" s="10">
        <f t="shared" si="181"/>
        <v>0</v>
      </c>
      <c r="CT124" s="10">
        <f t="shared" si="181"/>
        <v>0</v>
      </c>
      <c r="CU124" s="10">
        <f t="shared" si="181"/>
        <v>0</v>
      </c>
      <c r="CV124" s="10">
        <f t="shared" si="181"/>
        <v>0</v>
      </c>
      <c r="CW124" s="10">
        <f t="shared" si="182"/>
        <v>0</v>
      </c>
      <c r="CX124" s="10">
        <f t="shared" si="182"/>
        <v>0</v>
      </c>
      <c r="CY124" s="10">
        <f t="shared" si="182"/>
        <v>0</v>
      </c>
      <c r="CZ124" s="10">
        <f t="shared" si="182"/>
        <v>0</v>
      </c>
    </row>
    <row r="125" spans="4:104" x14ac:dyDescent="0.15">
      <c r="D125" s="10">
        <v>110</v>
      </c>
      <c r="E125" s="10" t="e">
        <f t="shared" si="169"/>
        <v>#VALUE!</v>
      </c>
      <c r="F125" s="10" t="e">
        <f t="shared" si="98"/>
        <v>#VALUE!</v>
      </c>
      <c r="G125" s="10" t="e">
        <f t="shared" si="99"/>
        <v>#VALUE!</v>
      </c>
      <c r="H125" s="10" t="e">
        <f t="shared" si="115"/>
        <v>#VALUE!</v>
      </c>
      <c r="I125" s="10" t="e">
        <f t="shared" si="168"/>
        <v>#VALUE!</v>
      </c>
      <c r="J125" s="10" t="e">
        <f t="shared" si="170"/>
        <v>#VALUE!</v>
      </c>
      <c r="K125" s="10" t="e">
        <f t="shared" si="101"/>
        <v>#VALUE!</v>
      </c>
      <c r="L125" s="10" t="e">
        <f t="shared" si="102"/>
        <v>#VALUE!</v>
      </c>
      <c r="M125" s="10" t="e">
        <f t="shared" si="117"/>
        <v>#VALUE!</v>
      </c>
      <c r="O125" s="10" t="e">
        <f t="shared" si="171"/>
        <v>#VALUE!</v>
      </c>
      <c r="P125" s="10" t="e">
        <f t="shared" si="103"/>
        <v>#VALUE!</v>
      </c>
      <c r="Q125" s="10" t="e">
        <f t="shared" si="104"/>
        <v>#VALUE!</v>
      </c>
      <c r="R125" s="10" t="e">
        <f t="shared" si="119"/>
        <v>#VALUE!</v>
      </c>
      <c r="S125" s="10" t="e">
        <f t="shared" si="120"/>
        <v>#VALUE!</v>
      </c>
      <c r="T125" s="10" t="e">
        <f t="shared" si="149"/>
        <v>#VALUE!</v>
      </c>
      <c r="U125" s="10" t="e">
        <f t="shared" si="150"/>
        <v>#VALUE!</v>
      </c>
      <c r="V125" s="10" t="e">
        <f t="shared" si="105"/>
        <v>#VALUE!</v>
      </c>
      <c r="W125" s="10" t="e">
        <f t="shared" si="121"/>
        <v>#VALUE!</v>
      </c>
      <c r="Y125" s="10" t="e">
        <f t="shared" si="172"/>
        <v>#VALUE!</v>
      </c>
      <c r="Z125" s="11" t="e">
        <f t="shared" si="123"/>
        <v>#VALUE!</v>
      </c>
      <c r="AA125" s="10" t="e">
        <f t="shared" si="106"/>
        <v>#VALUE!</v>
      </c>
      <c r="AB125" s="10" t="e">
        <f t="shared" si="124"/>
        <v>#VALUE!</v>
      </c>
      <c r="AC125" s="10" t="e">
        <f t="shared" si="125"/>
        <v>#VALUE!</v>
      </c>
      <c r="AD125" s="10" t="e">
        <f t="shared" si="151"/>
        <v>#VALUE!</v>
      </c>
      <c r="AE125" s="10" t="e">
        <f t="shared" si="152"/>
        <v>#VALUE!</v>
      </c>
      <c r="AF125" s="10" t="e">
        <f t="shared" si="107"/>
        <v>#VALUE!</v>
      </c>
      <c r="AG125" s="10" t="e">
        <f t="shared" si="126"/>
        <v>#VALUE!</v>
      </c>
      <c r="AI125" s="13"/>
      <c r="AK125" s="10" t="e">
        <f t="shared" si="173"/>
        <v>#VALUE!</v>
      </c>
      <c r="AL125" s="10" t="e">
        <f t="shared" si="153"/>
        <v>#VALUE!</v>
      </c>
      <c r="AM125" s="10" t="e">
        <f t="shared" si="108"/>
        <v>#VALUE!</v>
      </c>
      <c r="AN125" s="10" t="e">
        <f t="shared" si="128"/>
        <v>#VALUE!</v>
      </c>
      <c r="AO125" s="10" t="e">
        <f t="shared" si="129"/>
        <v>#VALUE!</v>
      </c>
      <c r="AP125" s="10" t="e">
        <f t="shared" si="174"/>
        <v>#VALUE!</v>
      </c>
      <c r="AQ125" s="10" t="e">
        <f t="shared" si="154"/>
        <v>#VALUE!</v>
      </c>
      <c r="AR125" s="10" t="e">
        <f t="shared" si="109"/>
        <v>#VALUE!</v>
      </c>
      <c r="AS125" s="10" t="e">
        <f t="shared" si="155"/>
        <v>#VALUE!</v>
      </c>
      <c r="AU125" s="10" t="e">
        <f t="shared" si="175"/>
        <v>#VALUE!</v>
      </c>
      <c r="AV125" s="10" t="e">
        <f t="shared" si="156"/>
        <v>#VALUE!</v>
      </c>
      <c r="AW125" s="10" t="e">
        <f t="shared" si="110"/>
        <v>#VALUE!</v>
      </c>
      <c r="AX125" s="10" t="e">
        <f t="shared" si="132"/>
        <v>#VALUE!</v>
      </c>
      <c r="AY125" s="10" t="e">
        <f t="shared" si="133"/>
        <v>#VALUE!</v>
      </c>
      <c r="AZ125" s="10" t="e">
        <f t="shared" si="176"/>
        <v>#VALUE!</v>
      </c>
      <c r="BA125" s="10" t="e">
        <f t="shared" si="157"/>
        <v>#VALUE!</v>
      </c>
      <c r="BB125" s="10" t="e">
        <f t="shared" si="111"/>
        <v>#VALUE!</v>
      </c>
      <c r="BC125" s="10" t="e">
        <f t="shared" si="158"/>
        <v>#VALUE!</v>
      </c>
      <c r="BE125" s="10" t="e">
        <f t="shared" si="177"/>
        <v>#VALUE!</v>
      </c>
      <c r="BF125" s="10" t="e">
        <f t="shared" si="159"/>
        <v>#VALUE!</v>
      </c>
      <c r="BG125" s="10" t="e">
        <f t="shared" si="112"/>
        <v>#VALUE!</v>
      </c>
      <c r="BH125" s="10" t="e">
        <f t="shared" si="136"/>
        <v>#VALUE!</v>
      </c>
      <c r="BI125" s="10" t="e">
        <f t="shared" si="137"/>
        <v>#VALUE!</v>
      </c>
      <c r="BJ125" s="10" t="e">
        <f t="shared" si="178"/>
        <v>#VALUE!</v>
      </c>
      <c r="BK125" s="10" t="e">
        <f t="shared" si="160"/>
        <v>#VALUE!</v>
      </c>
      <c r="BL125" s="10" t="e">
        <f t="shared" si="113"/>
        <v>#VALUE!</v>
      </c>
      <c r="BM125" s="10" t="e">
        <f t="shared" si="161"/>
        <v>#VALUE!</v>
      </c>
      <c r="BP125" s="10" t="e">
        <f t="shared" si="162"/>
        <v>#VALUE!</v>
      </c>
      <c r="BQ125" s="10" t="e">
        <f t="shared" si="163"/>
        <v>#VALUE!</v>
      </c>
      <c r="BR125" s="10" t="e">
        <f t="shared" si="164"/>
        <v>#VALUE!</v>
      </c>
      <c r="BS125" s="10" t="e">
        <f t="shared" si="165"/>
        <v>#VALUE!</v>
      </c>
      <c r="BT125" s="10" t="e">
        <f t="shared" si="166"/>
        <v>#VALUE!</v>
      </c>
      <c r="BU125" s="10" t="e">
        <f t="shared" si="167"/>
        <v>#VALUE!</v>
      </c>
      <c r="BW125" s="10" t="e">
        <f t="shared" si="139"/>
        <v>#VALUE!</v>
      </c>
      <c r="BX125" s="10" t="e">
        <f t="shared" si="140"/>
        <v>#VALUE!</v>
      </c>
      <c r="BY125" s="10" t="e">
        <f t="shared" si="141"/>
        <v>#VALUE!</v>
      </c>
      <c r="BZ125" s="10" t="e">
        <f t="shared" si="142"/>
        <v>#VALUE!</v>
      </c>
      <c r="CA125" s="10" t="e">
        <f t="shared" si="143"/>
        <v>#VALUE!</v>
      </c>
      <c r="CB125" s="10" t="e">
        <f t="shared" si="144"/>
        <v>#VALUE!</v>
      </c>
      <c r="CD125" s="10" t="e">
        <f>MATCH(INDEX($BP$12:$BU$12,1,MATCH(BP125,$BP$15:$BU$15,0)),结果汇总!$AI$10:$AI$13,0)</f>
        <v>#VALUE!</v>
      </c>
      <c r="CE125" s="10" t="e">
        <f>MATCH(INDEX($BP$12:$BU$12,1,MATCH(BQ125,$BP$15:$BU$15,0)),结果汇总!$AI$10:$AI$13,0)</f>
        <v>#VALUE!</v>
      </c>
      <c r="CF125" s="10" t="e">
        <f>MATCH(INDEX($BP$12:$BU$12,1,MATCH(BR125,$BP$15:$BU$15,0)),结果汇总!$AI$10:$AI$13,0)</f>
        <v>#VALUE!</v>
      </c>
      <c r="CG125" s="10" t="e">
        <f>MATCH(INDEX($BP$12:$BU$12,1,MATCH(BS125,$BP$15:$BU$15,0)),结果汇总!$AI$10:$AI$13,0)</f>
        <v>#VALUE!</v>
      </c>
      <c r="CH125" s="10" t="e">
        <f>MATCH(INDEX($BP$12:$BU$12,1,MATCH(BT125,$BP$15:$BU$15,0)),结果汇总!$AI$10:$AI$13,0)</f>
        <v>#VALUE!</v>
      </c>
      <c r="CI125" s="10" t="e">
        <f>MATCH(INDEX($BP$12:$BU$12,1,MATCH(BU125,$BP$15:$BU$15,0)),结果汇总!$AI$10:$AI$13,0)</f>
        <v>#VALUE!</v>
      </c>
      <c r="CK125" s="10">
        <f t="shared" si="179"/>
        <v>0</v>
      </c>
      <c r="CL125" s="10">
        <f t="shared" si="179"/>
        <v>0</v>
      </c>
      <c r="CM125" s="10">
        <f t="shared" si="179"/>
        <v>0</v>
      </c>
      <c r="CN125" s="10">
        <f t="shared" si="179"/>
        <v>0</v>
      </c>
      <c r="CO125" s="10" t="e">
        <f t="shared" si="180"/>
        <v>#DIV/0!</v>
      </c>
      <c r="CP125" s="10" t="e">
        <f t="shared" si="180"/>
        <v>#DIV/0!</v>
      </c>
      <c r="CQ125" s="10" t="e">
        <f t="shared" si="180"/>
        <v>#DIV/0!</v>
      </c>
      <c r="CR125" s="10" t="e">
        <f t="shared" si="180"/>
        <v>#DIV/0!</v>
      </c>
      <c r="CS125" s="10">
        <f t="shared" si="181"/>
        <v>0</v>
      </c>
      <c r="CT125" s="10">
        <f t="shared" si="181"/>
        <v>0</v>
      </c>
      <c r="CU125" s="10">
        <f t="shared" si="181"/>
        <v>0</v>
      </c>
      <c r="CV125" s="10">
        <f t="shared" si="181"/>
        <v>0</v>
      </c>
      <c r="CW125" s="10">
        <f t="shared" si="182"/>
        <v>0</v>
      </c>
      <c r="CX125" s="10">
        <f t="shared" si="182"/>
        <v>0</v>
      </c>
      <c r="CY125" s="10">
        <f t="shared" si="182"/>
        <v>0</v>
      </c>
      <c r="CZ125" s="10">
        <f t="shared" si="182"/>
        <v>0</v>
      </c>
    </row>
    <row r="126" spans="4:104" x14ac:dyDescent="0.15">
      <c r="D126" s="10">
        <v>111</v>
      </c>
      <c r="E126" s="10" t="e">
        <f t="shared" si="169"/>
        <v>#VALUE!</v>
      </c>
      <c r="F126" s="10" t="e">
        <f t="shared" ref="F126:F135" si="183">IF(E126=0,0,E126*$E$5)</f>
        <v>#VALUE!</v>
      </c>
      <c r="G126" s="10" t="e">
        <f t="shared" ref="G126:G135" si="184">F126*$P$7</f>
        <v>#VALUE!</v>
      </c>
      <c r="H126" s="10" t="e">
        <f t="shared" ref="H126:H135" si="185">IF(E126=0,0,ROUNDUP(E126/$F$5*$G$5,0))</f>
        <v>#VALUE!</v>
      </c>
      <c r="I126" s="10" t="e">
        <f t="shared" si="168"/>
        <v>#VALUE!</v>
      </c>
      <c r="J126" s="10" t="e">
        <f t="shared" si="170"/>
        <v>#VALUE!</v>
      </c>
      <c r="K126" s="10" t="e">
        <f t="shared" ref="K126:K135" si="186">IF(J126=0,0,ROUNDUP(J126,0)*$E$6)</f>
        <v>#VALUE!</v>
      </c>
      <c r="L126" s="10" t="e">
        <f t="shared" ref="L126:L135" si="187">K126*$P$7</f>
        <v>#VALUE!</v>
      </c>
      <c r="M126" s="10" t="e">
        <f t="shared" ref="M126:M135" si="188">IF(J126=0,0,1-I126)</f>
        <v>#VALUE!</v>
      </c>
      <c r="O126" s="10" t="e">
        <f t="shared" si="171"/>
        <v>#VALUE!</v>
      </c>
      <c r="P126" s="10" t="e">
        <f t="shared" ref="P126:P135" si="189">IF(O126=0,0,O126*$E$8)</f>
        <v>#VALUE!</v>
      </c>
      <c r="Q126" s="10" t="e">
        <f t="shared" ref="Q126:Q135" si="190">P126*$P$7</f>
        <v>#VALUE!</v>
      </c>
      <c r="R126" s="10" t="e">
        <f t="shared" ref="R126:R135" si="191">IF(O126=0,0,ROUNDUP(O126/$F$8*$G$8,0))</f>
        <v>#VALUE!</v>
      </c>
      <c r="S126" s="10" t="e">
        <f t="shared" ref="S126:S135" si="192">IF(AND(T126=0,O126&lt;&gt;0),1,R126/(R126+$G$9))</f>
        <v>#VALUE!</v>
      </c>
      <c r="T126" s="10" t="e">
        <f t="shared" ref="T126:T135" si="193">MAX(T125-((AL125+AM125+AQ125+AR125)*IF(BS125=3,1,0)+(AV125+AW125+BA125+BB125)*IF(BT125=3,1,0)+(BF125+BG125+BK125+BL125)*IF(BU125=3,1,0))*IF(O125=0,1,W125)/$D$9,0)</f>
        <v>#VALUE!</v>
      </c>
      <c r="U126" s="10" t="e">
        <f t="shared" ref="U126:U135" si="194">IF(T126=0,0,ROUNDUP(T126,0)*$E$9)</f>
        <v>#VALUE!</v>
      </c>
      <c r="V126" s="10" t="e">
        <f t="shared" ref="V126:V135" si="195">U126*$P$7</f>
        <v>#VALUE!</v>
      </c>
      <c r="W126" s="10" t="e">
        <f t="shared" ref="W126:W135" si="196">IF(T126=0,0,1-S126)</f>
        <v>#VALUE!</v>
      </c>
      <c r="Y126" s="10" t="e">
        <f t="shared" si="172"/>
        <v>#VALUE!</v>
      </c>
      <c r="Z126" s="11" t="e">
        <f t="shared" ref="Z126:Z135" si="197">IF(Y126=0,0,Y126*$E$11)</f>
        <v>#VALUE!</v>
      </c>
      <c r="AA126" s="10" t="e">
        <f t="shared" ref="AA126:AA135" si="198">Z126*$P$7</f>
        <v>#VALUE!</v>
      </c>
      <c r="AB126" s="10" t="e">
        <f t="shared" ref="AB126:AB135" si="199">IF(Y126=0,0,ROUNDUP(Y126/$F$11*$G$11,0))</f>
        <v>#VALUE!</v>
      </c>
      <c r="AC126" s="10" t="e">
        <f t="shared" ref="AC126:AC135" si="200">IF(AND(AD126=0,Y126&lt;&gt;0),1,AB126/(AB126+$G$12))</f>
        <v>#VALUE!</v>
      </c>
      <c r="AD126" s="10" t="e">
        <f t="shared" ref="AD126:AD135" si="201">MAX(AD125-((AL125+AM125+AQ125+AR125)*IF(BS125=5,1,0)+(AV125+AW125+BA125+BB125)*IF(BT125=5,1,0)+(BF125+BG125+BK125+BL125)*IF(BU125=5,1,0))*IF(Y125=0,1,AG125)/$D$12,0)</f>
        <v>#VALUE!</v>
      </c>
      <c r="AE126" s="10" t="e">
        <f t="shared" ref="AE126:AE135" si="202">IF(AD126=0,0,ROUNDUP(AD126,0)*$E$12)</f>
        <v>#VALUE!</v>
      </c>
      <c r="AF126" s="10" t="e">
        <f t="shared" ref="AF126:AF135" si="203">AE126*$P$7</f>
        <v>#VALUE!</v>
      </c>
      <c r="AG126" s="10" t="e">
        <f t="shared" ref="AG126:AG135" si="204">IF(AD126=0,0,1-AC126)</f>
        <v>#VALUE!</v>
      </c>
      <c r="AI126" s="13"/>
      <c r="AK126" s="10" t="e">
        <f t="shared" si="173"/>
        <v>#VALUE!</v>
      </c>
      <c r="AL126" s="10" t="e">
        <f t="shared" ref="AL126:AL135" si="205">IF(AK126=0,0,AK126*$K$5)</f>
        <v>#VALUE!</v>
      </c>
      <c r="AM126" s="10" t="e">
        <f t="shared" ref="AM126:AM135" si="206">AL126*$P$7</f>
        <v>#VALUE!</v>
      </c>
      <c r="AN126" s="10" t="e">
        <f t="shared" ref="AN126:AN135" si="207">IF(AK126=0,0,ROUNDUP(AK126/$L$5*$M$5,0))</f>
        <v>#VALUE!</v>
      </c>
      <c r="AO126" s="10" t="e">
        <f t="shared" ref="AO126:AO135" si="208">IF(AND(AP126=0,AK126&lt;&gt;0),1,AN126/(AN126+$M$6))</f>
        <v>#VALUE!</v>
      </c>
      <c r="AP126" s="10" t="e">
        <f t="shared" si="174"/>
        <v>#VALUE!</v>
      </c>
      <c r="AQ126" s="10" t="e">
        <f t="shared" ref="AQ126:AQ135" si="209">IF(AP126=0,0,ROUNDUP(AP126,0)*$K$6)</f>
        <v>#VALUE!</v>
      </c>
      <c r="AR126" s="10" t="e">
        <f t="shared" ref="AR126:AR135" si="210">AQ126*$P$7</f>
        <v>#VALUE!</v>
      </c>
      <c r="AS126" s="10" t="e">
        <f t="shared" ref="AS126:AS135" si="211">IF(AP126=0,0,1-AO126)</f>
        <v>#VALUE!</v>
      </c>
      <c r="AU126" s="10" t="e">
        <f t="shared" si="175"/>
        <v>#VALUE!</v>
      </c>
      <c r="AV126" s="10" t="e">
        <f t="shared" ref="AV126:AV135" si="212">IF(AU126=0,0,AU126*$K$8)</f>
        <v>#VALUE!</v>
      </c>
      <c r="AW126" s="10" t="e">
        <f t="shared" ref="AW126:AW135" si="213">AV126*$P$7</f>
        <v>#VALUE!</v>
      </c>
      <c r="AX126" s="10" t="e">
        <f t="shared" ref="AX126:AX135" si="214">IF(AU126=0,0,ROUNDUP(AU126/$L$8*$M$8,0))</f>
        <v>#VALUE!</v>
      </c>
      <c r="AY126" s="10" t="e">
        <f t="shared" ref="AY126:AY135" si="215">IF(AND(AZ126=0,AU126&lt;&gt;0),1,AX126/(AX126+$M$9))</f>
        <v>#VALUE!</v>
      </c>
      <c r="AZ126" s="10" t="e">
        <f t="shared" si="176"/>
        <v>#VALUE!</v>
      </c>
      <c r="BA126" s="10" t="e">
        <f t="shared" ref="BA126:BA135" si="216">IF(AZ126=0,0,ROUNDUP(AZ126,0)*$K$9)</f>
        <v>#VALUE!</v>
      </c>
      <c r="BB126" s="10" t="e">
        <f t="shared" ref="BB126:BB135" si="217">BA126*$P$7</f>
        <v>#VALUE!</v>
      </c>
      <c r="BC126" s="10" t="e">
        <f t="shared" ref="BC126:BC135" si="218">IF(AZ126=0,0,1-AY126)</f>
        <v>#VALUE!</v>
      </c>
      <c r="BE126" s="10" t="e">
        <f t="shared" si="177"/>
        <v>#VALUE!</v>
      </c>
      <c r="BF126" s="10" t="e">
        <f t="shared" ref="BF126:BF135" si="219">IF(BE126=0,0,BE126*$K$11)</f>
        <v>#VALUE!</v>
      </c>
      <c r="BG126" s="10" t="e">
        <f t="shared" ref="BG126:BG135" si="220">BF126*$P$7</f>
        <v>#VALUE!</v>
      </c>
      <c r="BH126" s="10" t="e">
        <f t="shared" ref="BH126:BH135" si="221">IF(BE126=0,0,ROUNDUP(BE126/$L$11*$M$11,0))</f>
        <v>#VALUE!</v>
      </c>
      <c r="BI126" s="10" t="e">
        <f t="shared" ref="BI126:BI135" si="222">IF(AND(BJ126=0,BE126&lt;&gt;0),1,BH126/(BH126+$M$12))</f>
        <v>#VALUE!</v>
      </c>
      <c r="BJ126" s="10" t="e">
        <f t="shared" si="178"/>
        <v>#VALUE!</v>
      </c>
      <c r="BK126" s="10" t="e">
        <f t="shared" ref="BK126:BK135" si="223">IF(BJ126=0,0,ROUNDUP(BJ126,0)*$K$12)</f>
        <v>#VALUE!</v>
      </c>
      <c r="BL126" s="10" t="e">
        <f t="shared" ref="BL126:BL135" si="224">BK126*$P$7</f>
        <v>#VALUE!</v>
      </c>
      <c r="BM126" s="10" t="e">
        <f t="shared" ref="BM126:BM135" si="225">IF(BJ126=0,0,1-BI126)</f>
        <v>#VALUE!</v>
      </c>
      <c r="BP126" s="10" t="e">
        <f t="shared" si="162"/>
        <v>#VALUE!</v>
      </c>
      <c r="BQ126" s="10" t="e">
        <f t="shared" si="163"/>
        <v>#VALUE!</v>
      </c>
      <c r="BR126" s="10" t="e">
        <f t="shared" si="164"/>
        <v>#VALUE!</v>
      </c>
      <c r="BS126" s="10" t="e">
        <f t="shared" si="165"/>
        <v>#VALUE!</v>
      </c>
      <c r="BT126" s="10" t="e">
        <f t="shared" si="166"/>
        <v>#VALUE!</v>
      </c>
      <c r="BU126" s="10" t="e">
        <f t="shared" si="167"/>
        <v>#VALUE!</v>
      </c>
      <c r="BW126" s="10" t="e">
        <f t="shared" si="139"/>
        <v>#VALUE!</v>
      </c>
      <c r="BX126" s="10" t="e">
        <f t="shared" si="140"/>
        <v>#VALUE!</v>
      </c>
      <c r="BY126" s="10" t="e">
        <f t="shared" si="141"/>
        <v>#VALUE!</v>
      </c>
      <c r="BZ126" s="10" t="e">
        <f t="shared" si="142"/>
        <v>#VALUE!</v>
      </c>
      <c r="CA126" s="10" t="e">
        <f t="shared" si="143"/>
        <v>#VALUE!</v>
      </c>
      <c r="CB126" s="10" t="e">
        <f t="shared" si="144"/>
        <v>#VALUE!</v>
      </c>
      <c r="CD126" s="10" t="e">
        <f>MATCH(INDEX($BP$12:$BU$12,1,MATCH(BP126,$BP$15:$BU$15,0)),结果汇总!$AI$10:$AI$13,0)</f>
        <v>#VALUE!</v>
      </c>
      <c r="CE126" s="10" t="e">
        <f>MATCH(INDEX($BP$12:$BU$12,1,MATCH(BQ126,$BP$15:$BU$15,0)),结果汇总!$AI$10:$AI$13,0)</f>
        <v>#VALUE!</v>
      </c>
      <c r="CF126" s="10" t="e">
        <f>MATCH(INDEX($BP$12:$BU$12,1,MATCH(BR126,$BP$15:$BU$15,0)),结果汇总!$AI$10:$AI$13,0)</f>
        <v>#VALUE!</v>
      </c>
      <c r="CG126" s="10" t="e">
        <f>MATCH(INDEX($BP$12:$BU$12,1,MATCH(BS126,$BP$15:$BU$15,0)),结果汇总!$AI$10:$AI$13,0)</f>
        <v>#VALUE!</v>
      </c>
      <c r="CH126" s="10" t="e">
        <f>MATCH(INDEX($BP$12:$BU$12,1,MATCH(BT126,$BP$15:$BU$15,0)),结果汇总!$AI$10:$AI$13,0)</f>
        <v>#VALUE!</v>
      </c>
      <c r="CI126" s="10" t="e">
        <f>MATCH(INDEX($BP$12:$BU$12,1,MATCH(BU126,$BP$15:$BU$15,0)),结果汇总!$AI$10:$AI$13,0)</f>
        <v>#VALUE!</v>
      </c>
      <c r="CK126" s="10">
        <f t="shared" si="179"/>
        <v>0</v>
      </c>
      <c r="CL126" s="10">
        <f t="shared" si="179"/>
        <v>0</v>
      </c>
      <c r="CM126" s="10">
        <f t="shared" si="179"/>
        <v>0</v>
      </c>
      <c r="CN126" s="10">
        <f t="shared" si="179"/>
        <v>0</v>
      </c>
      <c r="CO126" s="10" t="e">
        <f t="shared" si="180"/>
        <v>#DIV/0!</v>
      </c>
      <c r="CP126" s="10" t="e">
        <f t="shared" si="180"/>
        <v>#DIV/0!</v>
      </c>
      <c r="CQ126" s="10" t="e">
        <f t="shared" si="180"/>
        <v>#DIV/0!</v>
      </c>
      <c r="CR126" s="10" t="e">
        <f t="shared" si="180"/>
        <v>#DIV/0!</v>
      </c>
      <c r="CS126" s="10">
        <f t="shared" si="181"/>
        <v>0</v>
      </c>
      <c r="CT126" s="10">
        <f t="shared" si="181"/>
        <v>0</v>
      </c>
      <c r="CU126" s="10">
        <f t="shared" si="181"/>
        <v>0</v>
      </c>
      <c r="CV126" s="10">
        <f t="shared" si="181"/>
        <v>0</v>
      </c>
      <c r="CW126" s="10">
        <f t="shared" si="182"/>
        <v>0</v>
      </c>
      <c r="CX126" s="10">
        <f t="shared" si="182"/>
        <v>0</v>
      </c>
      <c r="CY126" s="10">
        <f t="shared" si="182"/>
        <v>0</v>
      </c>
      <c r="CZ126" s="10">
        <f t="shared" si="182"/>
        <v>0</v>
      </c>
    </row>
    <row r="127" spans="4:104" x14ac:dyDescent="0.15">
      <c r="D127" s="10">
        <v>112</v>
      </c>
      <c r="E127" s="10" t="e">
        <f t="shared" si="169"/>
        <v>#VALUE!</v>
      </c>
      <c r="F127" s="10" t="e">
        <f t="shared" si="183"/>
        <v>#VALUE!</v>
      </c>
      <c r="G127" s="10" t="e">
        <f t="shared" si="184"/>
        <v>#VALUE!</v>
      </c>
      <c r="H127" s="10" t="e">
        <f t="shared" si="185"/>
        <v>#VALUE!</v>
      </c>
      <c r="I127" s="10" t="e">
        <f t="shared" si="168"/>
        <v>#VALUE!</v>
      </c>
      <c r="J127" s="10" t="e">
        <f t="shared" si="170"/>
        <v>#VALUE!</v>
      </c>
      <c r="K127" s="10" t="e">
        <f t="shared" si="186"/>
        <v>#VALUE!</v>
      </c>
      <c r="L127" s="10" t="e">
        <f t="shared" si="187"/>
        <v>#VALUE!</v>
      </c>
      <c r="M127" s="10" t="e">
        <f t="shared" si="188"/>
        <v>#VALUE!</v>
      </c>
      <c r="O127" s="10" t="e">
        <f t="shared" si="171"/>
        <v>#VALUE!</v>
      </c>
      <c r="P127" s="10" t="e">
        <f t="shared" si="189"/>
        <v>#VALUE!</v>
      </c>
      <c r="Q127" s="10" t="e">
        <f t="shared" si="190"/>
        <v>#VALUE!</v>
      </c>
      <c r="R127" s="10" t="e">
        <f t="shared" si="191"/>
        <v>#VALUE!</v>
      </c>
      <c r="S127" s="10" t="e">
        <f t="shared" si="192"/>
        <v>#VALUE!</v>
      </c>
      <c r="T127" s="10" t="e">
        <f t="shared" si="193"/>
        <v>#VALUE!</v>
      </c>
      <c r="U127" s="10" t="e">
        <f t="shared" si="194"/>
        <v>#VALUE!</v>
      </c>
      <c r="V127" s="10" t="e">
        <f t="shared" si="195"/>
        <v>#VALUE!</v>
      </c>
      <c r="W127" s="10" t="e">
        <f t="shared" si="196"/>
        <v>#VALUE!</v>
      </c>
      <c r="Y127" s="10" t="e">
        <f t="shared" si="172"/>
        <v>#VALUE!</v>
      </c>
      <c r="Z127" s="11" t="e">
        <f t="shared" si="197"/>
        <v>#VALUE!</v>
      </c>
      <c r="AA127" s="10" t="e">
        <f t="shared" si="198"/>
        <v>#VALUE!</v>
      </c>
      <c r="AB127" s="10" t="e">
        <f t="shared" si="199"/>
        <v>#VALUE!</v>
      </c>
      <c r="AC127" s="10" t="e">
        <f t="shared" si="200"/>
        <v>#VALUE!</v>
      </c>
      <c r="AD127" s="10" t="e">
        <f t="shared" si="201"/>
        <v>#VALUE!</v>
      </c>
      <c r="AE127" s="10" t="e">
        <f t="shared" si="202"/>
        <v>#VALUE!</v>
      </c>
      <c r="AF127" s="10" t="e">
        <f t="shared" si="203"/>
        <v>#VALUE!</v>
      </c>
      <c r="AG127" s="10" t="e">
        <f t="shared" si="204"/>
        <v>#VALUE!</v>
      </c>
      <c r="AI127" s="13"/>
      <c r="AK127" s="10" t="e">
        <f t="shared" si="173"/>
        <v>#VALUE!</v>
      </c>
      <c r="AL127" s="10" t="e">
        <f t="shared" si="205"/>
        <v>#VALUE!</v>
      </c>
      <c r="AM127" s="10" t="e">
        <f t="shared" si="206"/>
        <v>#VALUE!</v>
      </c>
      <c r="AN127" s="10" t="e">
        <f t="shared" si="207"/>
        <v>#VALUE!</v>
      </c>
      <c r="AO127" s="10" t="e">
        <f t="shared" si="208"/>
        <v>#VALUE!</v>
      </c>
      <c r="AP127" s="10" t="e">
        <f t="shared" si="174"/>
        <v>#VALUE!</v>
      </c>
      <c r="AQ127" s="10" t="e">
        <f t="shared" si="209"/>
        <v>#VALUE!</v>
      </c>
      <c r="AR127" s="10" t="e">
        <f t="shared" si="210"/>
        <v>#VALUE!</v>
      </c>
      <c r="AS127" s="10" t="e">
        <f t="shared" si="211"/>
        <v>#VALUE!</v>
      </c>
      <c r="AU127" s="10" t="e">
        <f t="shared" si="175"/>
        <v>#VALUE!</v>
      </c>
      <c r="AV127" s="10" t="e">
        <f t="shared" si="212"/>
        <v>#VALUE!</v>
      </c>
      <c r="AW127" s="10" t="e">
        <f t="shared" si="213"/>
        <v>#VALUE!</v>
      </c>
      <c r="AX127" s="10" t="e">
        <f t="shared" si="214"/>
        <v>#VALUE!</v>
      </c>
      <c r="AY127" s="10" t="e">
        <f t="shared" si="215"/>
        <v>#VALUE!</v>
      </c>
      <c r="AZ127" s="10" t="e">
        <f t="shared" si="176"/>
        <v>#VALUE!</v>
      </c>
      <c r="BA127" s="10" t="e">
        <f t="shared" si="216"/>
        <v>#VALUE!</v>
      </c>
      <c r="BB127" s="10" t="e">
        <f t="shared" si="217"/>
        <v>#VALUE!</v>
      </c>
      <c r="BC127" s="10" t="e">
        <f t="shared" si="218"/>
        <v>#VALUE!</v>
      </c>
      <c r="BE127" s="10" t="e">
        <f t="shared" si="177"/>
        <v>#VALUE!</v>
      </c>
      <c r="BF127" s="10" t="e">
        <f t="shared" si="219"/>
        <v>#VALUE!</v>
      </c>
      <c r="BG127" s="10" t="e">
        <f t="shared" si="220"/>
        <v>#VALUE!</v>
      </c>
      <c r="BH127" s="10" t="e">
        <f t="shared" si="221"/>
        <v>#VALUE!</v>
      </c>
      <c r="BI127" s="10" t="e">
        <f t="shared" si="222"/>
        <v>#VALUE!</v>
      </c>
      <c r="BJ127" s="10" t="e">
        <f t="shared" si="178"/>
        <v>#VALUE!</v>
      </c>
      <c r="BK127" s="10" t="e">
        <f t="shared" si="223"/>
        <v>#VALUE!</v>
      </c>
      <c r="BL127" s="10" t="e">
        <f t="shared" si="224"/>
        <v>#VALUE!</v>
      </c>
      <c r="BM127" s="10" t="e">
        <f t="shared" si="225"/>
        <v>#VALUE!</v>
      </c>
      <c r="BP127" s="10" t="e">
        <f t="shared" si="162"/>
        <v>#VALUE!</v>
      </c>
      <c r="BQ127" s="10" t="e">
        <f t="shared" si="163"/>
        <v>#VALUE!</v>
      </c>
      <c r="BR127" s="10" t="e">
        <f t="shared" si="164"/>
        <v>#VALUE!</v>
      </c>
      <c r="BS127" s="10" t="e">
        <f t="shared" si="165"/>
        <v>#VALUE!</v>
      </c>
      <c r="BT127" s="10" t="e">
        <f t="shared" si="166"/>
        <v>#VALUE!</v>
      </c>
      <c r="BU127" s="10" t="e">
        <f t="shared" si="167"/>
        <v>#VALUE!</v>
      </c>
      <c r="BW127" s="10" t="e">
        <f t="shared" si="139"/>
        <v>#VALUE!</v>
      </c>
      <c r="BX127" s="10" t="e">
        <f t="shared" si="140"/>
        <v>#VALUE!</v>
      </c>
      <c r="BY127" s="10" t="e">
        <f t="shared" si="141"/>
        <v>#VALUE!</v>
      </c>
      <c r="BZ127" s="10" t="e">
        <f t="shared" si="142"/>
        <v>#VALUE!</v>
      </c>
      <c r="CA127" s="10" t="e">
        <f t="shared" si="143"/>
        <v>#VALUE!</v>
      </c>
      <c r="CB127" s="10" t="e">
        <f t="shared" si="144"/>
        <v>#VALUE!</v>
      </c>
      <c r="CD127" s="10" t="e">
        <f>MATCH(INDEX($BP$12:$BU$12,1,MATCH(BP127,$BP$15:$BU$15,0)),结果汇总!$AI$10:$AI$13,0)</f>
        <v>#VALUE!</v>
      </c>
      <c r="CE127" s="10" t="e">
        <f>MATCH(INDEX($BP$12:$BU$12,1,MATCH(BQ127,$BP$15:$BU$15,0)),结果汇总!$AI$10:$AI$13,0)</f>
        <v>#VALUE!</v>
      </c>
      <c r="CF127" s="10" t="e">
        <f>MATCH(INDEX($BP$12:$BU$12,1,MATCH(BR127,$BP$15:$BU$15,0)),结果汇总!$AI$10:$AI$13,0)</f>
        <v>#VALUE!</v>
      </c>
      <c r="CG127" s="10" t="e">
        <f>MATCH(INDEX($BP$12:$BU$12,1,MATCH(BS127,$BP$15:$BU$15,0)),结果汇总!$AI$10:$AI$13,0)</f>
        <v>#VALUE!</v>
      </c>
      <c r="CH127" s="10" t="e">
        <f>MATCH(INDEX($BP$12:$BU$12,1,MATCH(BT127,$BP$15:$BU$15,0)),结果汇总!$AI$10:$AI$13,0)</f>
        <v>#VALUE!</v>
      </c>
      <c r="CI127" s="10" t="e">
        <f>MATCH(INDEX($BP$12:$BU$12,1,MATCH(BU127,$BP$15:$BU$15,0)),结果汇总!$AI$10:$AI$13,0)</f>
        <v>#VALUE!</v>
      </c>
      <c r="CK127" s="10">
        <f t="shared" si="179"/>
        <v>0</v>
      </c>
      <c r="CL127" s="10">
        <f t="shared" si="179"/>
        <v>0</v>
      </c>
      <c r="CM127" s="10">
        <f t="shared" si="179"/>
        <v>0</v>
      </c>
      <c r="CN127" s="10">
        <f t="shared" si="179"/>
        <v>0</v>
      </c>
      <c r="CO127" s="10" t="e">
        <f t="shared" si="180"/>
        <v>#DIV/0!</v>
      </c>
      <c r="CP127" s="10" t="e">
        <f t="shared" si="180"/>
        <v>#DIV/0!</v>
      </c>
      <c r="CQ127" s="10" t="e">
        <f t="shared" si="180"/>
        <v>#DIV/0!</v>
      </c>
      <c r="CR127" s="10" t="e">
        <f t="shared" si="180"/>
        <v>#DIV/0!</v>
      </c>
      <c r="CS127" s="10">
        <f t="shared" si="181"/>
        <v>0</v>
      </c>
      <c r="CT127" s="10">
        <f t="shared" si="181"/>
        <v>0</v>
      </c>
      <c r="CU127" s="10">
        <f t="shared" si="181"/>
        <v>0</v>
      </c>
      <c r="CV127" s="10">
        <f t="shared" si="181"/>
        <v>0</v>
      </c>
      <c r="CW127" s="10">
        <f t="shared" si="182"/>
        <v>0</v>
      </c>
      <c r="CX127" s="10">
        <f t="shared" si="182"/>
        <v>0</v>
      </c>
      <c r="CY127" s="10">
        <f t="shared" si="182"/>
        <v>0</v>
      </c>
      <c r="CZ127" s="10">
        <f t="shared" si="182"/>
        <v>0</v>
      </c>
    </row>
    <row r="128" spans="4:104" x14ac:dyDescent="0.15">
      <c r="D128" s="10">
        <v>113</v>
      </c>
      <c r="E128" s="10" t="e">
        <f t="shared" si="169"/>
        <v>#VALUE!</v>
      </c>
      <c r="F128" s="10" t="e">
        <f t="shared" si="183"/>
        <v>#VALUE!</v>
      </c>
      <c r="G128" s="10" t="e">
        <f t="shared" si="184"/>
        <v>#VALUE!</v>
      </c>
      <c r="H128" s="10" t="e">
        <f t="shared" si="185"/>
        <v>#VALUE!</v>
      </c>
      <c r="I128" s="10" t="e">
        <f t="shared" si="168"/>
        <v>#VALUE!</v>
      </c>
      <c r="J128" s="10" t="e">
        <f t="shared" si="170"/>
        <v>#VALUE!</v>
      </c>
      <c r="K128" s="10" t="e">
        <f t="shared" si="186"/>
        <v>#VALUE!</v>
      </c>
      <c r="L128" s="10" t="e">
        <f t="shared" si="187"/>
        <v>#VALUE!</v>
      </c>
      <c r="M128" s="10" t="e">
        <f t="shared" si="188"/>
        <v>#VALUE!</v>
      </c>
      <c r="O128" s="10" t="e">
        <f t="shared" si="171"/>
        <v>#VALUE!</v>
      </c>
      <c r="P128" s="10" t="e">
        <f t="shared" si="189"/>
        <v>#VALUE!</v>
      </c>
      <c r="Q128" s="10" t="e">
        <f t="shared" si="190"/>
        <v>#VALUE!</v>
      </c>
      <c r="R128" s="10" t="e">
        <f t="shared" si="191"/>
        <v>#VALUE!</v>
      </c>
      <c r="S128" s="10" t="e">
        <f t="shared" si="192"/>
        <v>#VALUE!</v>
      </c>
      <c r="T128" s="10" t="e">
        <f t="shared" si="193"/>
        <v>#VALUE!</v>
      </c>
      <c r="U128" s="10" t="e">
        <f t="shared" si="194"/>
        <v>#VALUE!</v>
      </c>
      <c r="V128" s="10" t="e">
        <f t="shared" si="195"/>
        <v>#VALUE!</v>
      </c>
      <c r="W128" s="10" t="e">
        <f t="shared" si="196"/>
        <v>#VALUE!</v>
      </c>
      <c r="Y128" s="10" t="e">
        <f t="shared" si="172"/>
        <v>#VALUE!</v>
      </c>
      <c r="Z128" s="11" t="e">
        <f t="shared" si="197"/>
        <v>#VALUE!</v>
      </c>
      <c r="AA128" s="10" t="e">
        <f t="shared" si="198"/>
        <v>#VALUE!</v>
      </c>
      <c r="AB128" s="10" t="e">
        <f t="shared" si="199"/>
        <v>#VALUE!</v>
      </c>
      <c r="AC128" s="10" t="e">
        <f t="shared" si="200"/>
        <v>#VALUE!</v>
      </c>
      <c r="AD128" s="10" t="e">
        <f t="shared" si="201"/>
        <v>#VALUE!</v>
      </c>
      <c r="AE128" s="10" t="e">
        <f t="shared" si="202"/>
        <v>#VALUE!</v>
      </c>
      <c r="AF128" s="10" t="e">
        <f t="shared" si="203"/>
        <v>#VALUE!</v>
      </c>
      <c r="AG128" s="10" t="e">
        <f t="shared" si="204"/>
        <v>#VALUE!</v>
      </c>
      <c r="AI128" s="13"/>
      <c r="AK128" s="10" t="e">
        <f t="shared" si="173"/>
        <v>#VALUE!</v>
      </c>
      <c r="AL128" s="10" t="e">
        <f t="shared" si="205"/>
        <v>#VALUE!</v>
      </c>
      <c r="AM128" s="10" t="e">
        <f t="shared" si="206"/>
        <v>#VALUE!</v>
      </c>
      <c r="AN128" s="10" t="e">
        <f t="shared" si="207"/>
        <v>#VALUE!</v>
      </c>
      <c r="AO128" s="10" t="e">
        <f t="shared" si="208"/>
        <v>#VALUE!</v>
      </c>
      <c r="AP128" s="10" t="e">
        <f t="shared" si="174"/>
        <v>#VALUE!</v>
      </c>
      <c r="AQ128" s="10" t="e">
        <f t="shared" si="209"/>
        <v>#VALUE!</v>
      </c>
      <c r="AR128" s="10" t="e">
        <f t="shared" si="210"/>
        <v>#VALUE!</v>
      </c>
      <c r="AS128" s="10" t="e">
        <f t="shared" si="211"/>
        <v>#VALUE!</v>
      </c>
      <c r="AU128" s="10" t="e">
        <f t="shared" si="175"/>
        <v>#VALUE!</v>
      </c>
      <c r="AV128" s="10" t="e">
        <f t="shared" si="212"/>
        <v>#VALUE!</v>
      </c>
      <c r="AW128" s="10" t="e">
        <f t="shared" si="213"/>
        <v>#VALUE!</v>
      </c>
      <c r="AX128" s="10" t="e">
        <f t="shared" si="214"/>
        <v>#VALUE!</v>
      </c>
      <c r="AY128" s="10" t="e">
        <f t="shared" si="215"/>
        <v>#VALUE!</v>
      </c>
      <c r="AZ128" s="10" t="e">
        <f t="shared" si="176"/>
        <v>#VALUE!</v>
      </c>
      <c r="BA128" s="10" t="e">
        <f t="shared" si="216"/>
        <v>#VALUE!</v>
      </c>
      <c r="BB128" s="10" t="e">
        <f t="shared" si="217"/>
        <v>#VALUE!</v>
      </c>
      <c r="BC128" s="10" t="e">
        <f t="shared" si="218"/>
        <v>#VALUE!</v>
      </c>
      <c r="BE128" s="10" t="e">
        <f t="shared" si="177"/>
        <v>#VALUE!</v>
      </c>
      <c r="BF128" s="10" t="e">
        <f t="shared" si="219"/>
        <v>#VALUE!</v>
      </c>
      <c r="BG128" s="10" t="e">
        <f t="shared" si="220"/>
        <v>#VALUE!</v>
      </c>
      <c r="BH128" s="10" t="e">
        <f t="shared" si="221"/>
        <v>#VALUE!</v>
      </c>
      <c r="BI128" s="10" t="e">
        <f t="shared" si="222"/>
        <v>#VALUE!</v>
      </c>
      <c r="BJ128" s="10" t="e">
        <f t="shared" si="178"/>
        <v>#VALUE!</v>
      </c>
      <c r="BK128" s="10" t="e">
        <f t="shared" si="223"/>
        <v>#VALUE!</v>
      </c>
      <c r="BL128" s="10" t="e">
        <f t="shared" si="224"/>
        <v>#VALUE!</v>
      </c>
      <c r="BM128" s="10" t="e">
        <f t="shared" si="225"/>
        <v>#VALUE!</v>
      </c>
      <c r="BP128" s="10" t="e">
        <f t="shared" si="162"/>
        <v>#VALUE!</v>
      </c>
      <c r="BQ128" s="10" t="e">
        <f t="shared" si="163"/>
        <v>#VALUE!</v>
      </c>
      <c r="BR128" s="10" t="e">
        <f t="shared" si="164"/>
        <v>#VALUE!</v>
      </c>
      <c r="BS128" s="10" t="e">
        <f t="shared" si="165"/>
        <v>#VALUE!</v>
      </c>
      <c r="BT128" s="10" t="e">
        <f t="shared" si="166"/>
        <v>#VALUE!</v>
      </c>
      <c r="BU128" s="10" t="e">
        <f t="shared" si="167"/>
        <v>#VALUE!</v>
      </c>
      <c r="BW128" s="10" t="e">
        <f t="shared" si="139"/>
        <v>#VALUE!</v>
      </c>
      <c r="BX128" s="10" t="e">
        <f t="shared" si="140"/>
        <v>#VALUE!</v>
      </c>
      <c r="BY128" s="10" t="e">
        <f t="shared" si="141"/>
        <v>#VALUE!</v>
      </c>
      <c r="BZ128" s="10" t="e">
        <f t="shared" si="142"/>
        <v>#VALUE!</v>
      </c>
      <c r="CA128" s="10" t="e">
        <f t="shared" si="143"/>
        <v>#VALUE!</v>
      </c>
      <c r="CB128" s="10" t="e">
        <f t="shared" si="144"/>
        <v>#VALUE!</v>
      </c>
      <c r="CD128" s="10" t="e">
        <f>MATCH(INDEX($BP$12:$BU$12,1,MATCH(BP128,$BP$15:$BU$15,0)),结果汇总!$AI$10:$AI$13,0)</f>
        <v>#VALUE!</v>
      </c>
      <c r="CE128" s="10" t="e">
        <f>MATCH(INDEX($BP$12:$BU$12,1,MATCH(BQ128,$BP$15:$BU$15,0)),结果汇总!$AI$10:$AI$13,0)</f>
        <v>#VALUE!</v>
      </c>
      <c r="CF128" s="10" t="e">
        <f>MATCH(INDEX($BP$12:$BU$12,1,MATCH(BR128,$BP$15:$BU$15,0)),结果汇总!$AI$10:$AI$13,0)</f>
        <v>#VALUE!</v>
      </c>
      <c r="CG128" s="10" t="e">
        <f>MATCH(INDEX($BP$12:$BU$12,1,MATCH(BS128,$BP$15:$BU$15,0)),结果汇总!$AI$10:$AI$13,0)</f>
        <v>#VALUE!</v>
      </c>
      <c r="CH128" s="10" t="e">
        <f>MATCH(INDEX($BP$12:$BU$12,1,MATCH(BT128,$BP$15:$BU$15,0)),结果汇总!$AI$10:$AI$13,0)</f>
        <v>#VALUE!</v>
      </c>
      <c r="CI128" s="10" t="e">
        <f>MATCH(INDEX($BP$12:$BU$12,1,MATCH(BU128,$BP$15:$BU$15,0)),结果汇总!$AI$10:$AI$13,0)</f>
        <v>#VALUE!</v>
      </c>
      <c r="CK128" s="10">
        <f t="shared" si="179"/>
        <v>0</v>
      </c>
      <c r="CL128" s="10">
        <f t="shared" si="179"/>
        <v>0</v>
      </c>
      <c r="CM128" s="10">
        <f t="shared" si="179"/>
        <v>0</v>
      </c>
      <c r="CN128" s="10">
        <f t="shared" si="179"/>
        <v>0</v>
      </c>
      <c r="CO128" s="10" t="e">
        <f t="shared" si="180"/>
        <v>#DIV/0!</v>
      </c>
      <c r="CP128" s="10" t="e">
        <f t="shared" si="180"/>
        <v>#DIV/0!</v>
      </c>
      <c r="CQ128" s="10" t="e">
        <f t="shared" si="180"/>
        <v>#DIV/0!</v>
      </c>
      <c r="CR128" s="10" t="e">
        <f t="shared" si="180"/>
        <v>#DIV/0!</v>
      </c>
      <c r="CS128" s="10">
        <f t="shared" si="181"/>
        <v>0</v>
      </c>
      <c r="CT128" s="10">
        <f t="shared" si="181"/>
        <v>0</v>
      </c>
      <c r="CU128" s="10">
        <f t="shared" si="181"/>
        <v>0</v>
      </c>
      <c r="CV128" s="10">
        <f t="shared" si="181"/>
        <v>0</v>
      </c>
      <c r="CW128" s="10">
        <f t="shared" si="182"/>
        <v>0</v>
      </c>
      <c r="CX128" s="10">
        <f t="shared" si="182"/>
        <v>0</v>
      </c>
      <c r="CY128" s="10">
        <f t="shared" si="182"/>
        <v>0</v>
      </c>
      <c r="CZ128" s="10">
        <f t="shared" si="182"/>
        <v>0</v>
      </c>
    </row>
    <row r="129" spans="4:104" x14ac:dyDescent="0.15">
      <c r="D129" s="10">
        <v>114</v>
      </c>
      <c r="E129" s="10" t="e">
        <f t="shared" si="169"/>
        <v>#VALUE!</v>
      </c>
      <c r="F129" s="10" t="e">
        <f t="shared" si="183"/>
        <v>#VALUE!</v>
      </c>
      <c r="G129" s="10" t="e">
        <f t="shared" si="184"/>
        <v>#VALUE!</v>
      </c>
      <c r="H129" s="10" t="e">
        <f t="shared" si="185"/>
        <v>#VALUE!</v>
      </c>
      <c r="I129" s="10" t="e">
        <f t="shared" si="168"/>
        <v>#VALUE!</v>
      </c>
      <c r="J129" s="10" t="e">
        <f t="shared" si="170"/>
        <v>#VALUE!</v>
      </c>
      <c r="K129" s="10" t="e">
        <f t="shared" si="186"/>
        <v>#VALUE!</v>
      </c>
      <c r="L129" s="10" t="e">
        <f t="shared" si="187"/>
        <v>#VALUE!</v>
      </c>
      <c r="M129" s="10" t="e">
        <f t="shared" si="188"/>
        <v>#VALUE!</v>
      </c>
      <c r="O129" s="10" t="e">
        <f t="shared" si="171"/>
        <v>#VALUE!</v>
      </c>
      <c r="P129" s="10" t="e">
        <f t="shared" si="189"/>
        <v>#VALUE!</v>
      </c>
      <c r="Q129" s="10" t="e">
        <f t="shared" si="190"/>
        <v>#VALUE!</v>
      </c>
      <c r="R129" s="10" t="e">
        <f t="shared" si="191"/>
        <v>#VALUE!</v>
      </c>
      <c r="S129" s="10" t="e">
        <f t="shared" si="192"/>
        <v>#VALUE!</v>
      </c>
      <c r="T129" s="10" t="e">
        <f t="shared" si="193"/>
        <v>#VALUE!</v>
      </c>
      <c r="U129" s="10" t="e">
        <f t="shared" si="194"/>
        <v>#VALUE!</v>
      </c>
      <c r="V129" s="10" t="e">
        <f t="shared" si="195"/>
        <v>#VALUE!</v>
      </c>
      <c r="W129" s="10" t="e">
        <f t="shared" si="196"/>
        <v>#VALUE!</v>
      </c>
      <c r="Y129" s="10" t="e">
        <f t="shared" si="172"/>
        <v>#VALUE!</v>
      </c>
      <c r="Z129" s="11" t="e">
        <f t="shared" si="197"/>
        <v>#VALUE!</v>
      </c>
      <c r="AA129" s="10" t="e">
        <f t="shared" si="198"/>
        <v>#VALUE!</v>
      </c>
      <c r="AB129" s="10" t="e">
        <f t="shared" si="199"/>
        <v>#VALUE!</v>
      </c>
      <c r="AC129" s="10" t="e">
        <f t="shared" si="200"/>
        <v>#VALUE!</v>
      </c>
      <c r="AD129" s="10" t="e">
        <f t="shared" si="201"/>
        <v>#VALUE!</v>
      </c>
      <c r="AE129" s="10" t="e">
        <f t="shared" si="202"/>
        <v>#VALUE!</v>
      </c>
      <c r="AF129" s="10" t="e">
        <f t="shared" si="203"/>
        <v>#VALUE!</v>
      </c>
      <c r="AG129" s="10" t="e">
        <f t="shared" si="204"/>
        <v>#VALUE!</v>
      </c>
      <c r="AI129" s="13"/>
      <c r="AK129" s="10" t="e">
        <f t="shared" si="173"/>
        <v>#VALUE!</v>
      </c>
      <c r="AL129" s="10" t="e">
        <f t="shared" si="205"/>
        <v>#VALUE!</v>
      </c>
      <c r="AM129" s="10" t="e">
        <f t="shared" si="206"/>
        <v>#VALUE!</v>
      </c>
      <c r="AN129" s="10" t="e">
        <f t="shared" si="207"/>
        <v>#VALUE!</v>
      </c>
      <c r="AO129" s="10" t="e">
        <f t="shared" si="208"/>
        <v>#VALUE!</v>
      </c>
      <c r="AP129" s="10" t="e">
        <f t="shared" si="174"/>
        <v>#VALUE!</v>
      </c>
      <c r="AQ129" s="10" t="e">
        <f t="shared" si="209"/>
        <v>#VALUE!</v>
      </c>
      <c r="AR129" s="10" t="e">
        <f t="shared" si="210"/>
        <v>#VALUE!</v>
      </c>
      <c r="AS129" s="10" t="e">
        <f t="shared" si="211"/>
        <v>#VALUE!</v>
      </c>
      <c r="AU129" s="10" t="e">
        <f t="shared" si="175"/>
        <v>#VALUE!</v>
      </c>
      <c r="AV129" s="10" t="e">
        <f t="shared" si="212"/>
        <v>#VALUE!</v>
      </c>
      <c r="AW129" s="10" t="e">
        <f t="shared" si="213"/>
        <v>#VALUE!</v>
      </c>
      <c r="AX129" s="10" t="e">
        <f t="shared" si="214"/>
        <v>#VALUE!</v>
      </c>
      <c r="AY129" s="10" t="e">
        <f t="shared" si="215"/>
        <v>#VALUE!</v>
      </c>
      <c r="AZ129" s="10" t="e">
        <f t="shared" si="176"/>
        <v>#VALUE!</v>
      </c>
      <c r="BA129" s="10" t="e">
        <f t="shared" si="216"/>
        <v>#VALUE!</v>
      </c>
      <c r="BB129" s="10" t="e">
        <f t="shared" si="217"/>
        <v>#VALUE!</v>
      </c>
      <c r="BC129" s="10" t="e">
        <f t="shared" si="218"/>
        <v>#VALUE!</v>
      </c>
      <c r="BE129" s="10" t="e">
        <f t="shared" si="177"/>
        <v>#VALUE!</v>
      </c>
      <c r="BF129" s="10" t="e">
        <f t="shared" si="219"/>
        <v>#VALUE!</v>
      </c>
      <c r="BG129" s="10" t="e">
        <f t="shared" si="220"/>
        <v>#VALUE!</v>
      </c>
      <c r="BH129" s="10" t="e">
        <f t="shared" si="221"/>
        <v>#VALUE!</v>
      </c>
      <c r="BI129" s="10" t="e">
        <f t="shared" si="222"/>
        <v>#VALUE!</v>
      </c>
      <c r="BJ129" s="10" t="e">
        <f t="shared" si="178"/>
        <v>#VALUE!</v>
      </c>
      <c r="BK129" s="10" t="e">
        <f t="shared" si="223"/>
        <v>#VALUE!</v>
      </c>
      <c r="BL129" s="10" t="e">
        <f t="shared" si="224"/>
        <v>#VALUE!</v>
      </c>
      <c r="BM129" s="10" t="e">
        <f t="shared" si="225"/>
        <v>#VALUE!</v>
      </c>
      <c r="BP129" s="10" t="e">
        <f t="shared" si="162"/>
        <v>#VALUE!</v>
      </c>
      <c r="BQ129" s="10" t="e">
        <f t="shared" si="163"/>
        <v>#VALUE!</v>
      </c>
      <c r="BR129" s="10" t="e">
        <f t="shared" si="164"/>
        <v>#VALUE!</v>
      </c>
      <c r="BS129" s="10" t="e">
        <f t="shared" si="165"/>
        <v>#VALUE!</v>
      </c>
      <c r="BT129" s="10" t="e">
        <f t="shared" si="166"/>
        <v>#VALUE!</v>
      </c>
      <c r="BU129" s="10" t="e">
        <f t="shared" si="167"/>
        <v>#VALUE!</v>
      </c>
      <c r="BW129" s="10" t="e">
        <f t="shared" si="139"/>
        <v>#VALUE!</v>
      </c>
      <c r="BX129" s="10" t="e">
        <f t="shared" si="140"/>
        <v>#VALUE!</v>
      </c>
      <c r="BY129" s="10" t="e">
        <f t="shared" si="141"/>
        <v>#VALUE!</v>
      </c>
      <c r="BZ129" s="10" t="e">
        <f t="shared" si="142"/>
        <v>#VALUE!</v>
      </c>
      <c r="CA129" s="10" t="e">
        <f t="shared" si="143"/>
        <v>#VALUE!</v>
      </c>
      <c r="CB129" s="10" t="e">
        <f t="shared" si="144"/>
        <v>#VALUE!</v>
      </c>
      <c r="CD129" s="10" t="e">
        <f>MATCH(INDEX($BP$12:$BU$12,1,MATCH(BP129,$BP$15:$BU$15,0)),结果汇总!$AI$10:$AI$13,0)</f>
        <v>#VALUE!</v>
      </c>
      <c r="CE129" s="10" t="e">
        <f>MATCH(INDEX($BP$12:$BU$12,1,MATCH(BQ129,$BP$15:$BU$15,0)),结果汇总!$AI$10:$AI$13,0)</f>
        <v>#VALUE!</v>
      </c>
      <c r="CF129" s="10" t="e">
        <f>MATCH(INDEX($BP$12:$BU$12,1,MATCH(BR129,$BP$15:$BU$15,0)),结果汇总!$AI$10:$AI$13,0)</f>
        <v>#VALUE!</v>
      </c>
      <c r="CG129" s="10" t="e">
        <f>MATCH(INDEX($BP$12:$BU$12,1,MATCH(BS129,$BP$15:$BU$15,0)),结果汇总!$AI$10:$AI$13,0)</f>
        <v>#VALUE!</v>
      </c>
      <c r="CH129" s="10" t="e">
        <f>MATCH(INDEX($BP$12:$BU$12,1,MATCH(BT129,$BP$15:$BU$15,0)),结果汇总!$AI$10:$AI$13,0)</f>
        <v>#VALUE!</v>
      </c>
      <c r="CI129" s="10" t="e">
        <f>MATCH(INDEX($BP$12:$BU$12,1,MATCH(BU129,$BP$15:$BU$15,0)),结果汇总!$AI$10:$AI$13,0)</f>
        <v>#VALUE!</v>
      </c>
      <c r="CK129" s="10">
        <f t="shared" si="179"/>
        <v>0</v>
      </c>
      <c r="CL129" s="10">
        <f t="shared" si="179"/>
        <v>0</v>
      </c>
      <c r="CM129" s="10">
        <f t="shared" si="179"/>
        <v>0</v>
      </c>
      <c r="CN129" s="10">
        <f t="shared" si="179"/>
        <v>0</v>
      </c>
      <c r="CO129" s="10" t="e">
        <f t="shared" si="180"/>
        <v>#DIV/0!</v>
      </c>
      <c r="CP129" s="10" t="e">
        <f t="shared" si="180"/>
        <v>#DIV/0!</v>
      </c>
      <c r="CQ129" s="10" t="e">
        <f t="shared" si="180"/>
        <v>#DIV/0!</v>
      </c>
      <c r="CR129" s="10" t="e">
        <f t="shared" si="180"/>
        <v>#DIV/0!</v>
      </c>
      <c r="CS129" s="10">
        <f t="shared" si="181"/>
        <v>0</v>
      </c>
      <c r="CT129" s="10">
        <f t="shared" si="181"/>
        <v>0</v>
      </c>
      <c r="CU129" s="10">
        <f t="shared" si="181"/>
        <v>0</v>
      </c>
      <c r="CV129" s="10">
        <f t="shared" si="181"/>
        <v>0</v>
      </c>
      <c r="CW129" s="10">
        <f t="shared" si="182"/>
        <v>0</v>
      </c>
      <c r="CX129" s="10">
        <f t="shared" si="182"/>
        <v>0</v>
      </c>
      <c r="CY129" s="10">
        <f t="shared" si="182"/>
        <v>0</v>
      </c>
      <c r="CZ129" s="10">
        <f t="shared" si="182"/>
        <v>0</v>
      </c>
    </row>
    <row r="130" spans="4:104" x14ac:dyDescent="0.15">
      <c r="D130" s="10">
        <v>115</v>
      </c>
      <c r="E130" s="10" t="e">
        <f t="shared" si="169"/>
        <v>#VALUE!</v>
      </c>
      <c r="F130" s="10" t="e">
        <f t="shared" si="183"/>
        <v>#VALUE!</v>
      </c>
      <c r="G130" s="10" t="e">
        <f t="shared" si="184"/>
        <v>#VALUE!</v>
      </c>
      <c r="H130" s="10" t="e">
        <f t="shared" si="185"/>
        <v>#VALUE!</v>
      </c>
      <c r="I130" s="10" t="e">
        <f t="shared" si="168"/>
        <v>#VALUE!</v>
      </c>
      <c r="J130" s="10" t="e">
        <f t="shared" si="170"/>
        <v>#VALUE!</v>
      </c>
      <c r="K130" s="10" t="e">
        <f t="shared" si="186"/>
        <v>#VALUE!</v>
      </c>
      <c r="L130" s="10" t="e">
        <f t="shared" si="187"/>
        <v>#VALUE!</v>
      </c>
      <c r="M130" s="10" t="e">
        <f t="shared" si="188"/>
        <v>#VALUE!</v>
      </c>
      <c r="O130" s="10" t="e">
        <f t="shared" si="171"/>
        <v>#VALUE!</v>
      </c>
      <c r="P130" s="10" t="e">
        <f t="shared" si="189"/>
        <v>#VALUE!</v>
      </c>
      <c r="Q130" s="10" t="e">
        <f t="shared" si="190"/>
        <v>#VALUE!</v>
      </c>
      <c r="R130" s="10" t="e">
        <f t="shared" si="191"/>
        <v>#VALUE!</v>
      </c>
      <c r="S130" s="10" t="e">
        <f t="shared" si="192"/>
        <v>#VALUE!</v>
      </c>
      <c r="T130" s="10" t="e">
        <f t="shared" si="193"/>
        <v>#VALUE!</v>
      </c>
      <c r="U130" s="10" t="e">
        <f t="shared" si="194"/>
        <v>#VALUE!</v>
      </c>
      <c r="V130" s="10" t="e">
        <f t="shared" si="195"/>
        <v>#VALUE!</v>
      </c>
      <c r="W130" s="10" t="e">
        <f t="shared" si="196"/>
        <v>#VALUE!</v>
      </c>
      <c r="Y130" s="10" t="e">
        <f t="shared" si="172"/>
        <v>#VALUE!</v>
      </c>
      <c r="Z130" s="11" t="e">
        <f t="shared" si="197"/>
        <v>#VALUE!</v>
      </c>
      <c r="AA130" s="10" t="e">
        <f t="shared" si="198"/>
        <v>#VALUE!</v>
      </c>
      <c r="AB130" s="10" t="e">
        <f t="shared" si="199"/>
        <v>#VALUE!</v>
      </c>
      <c r="AC130" s="10" t="e">
        <f t="shared" si="200"/>
        <v>#VALUE!</v>
      </c>
      <c r="AD130" s="10" t="e">
        <f t="shared" si="201"/>
        <v>#VALUE!</v>
      </c>
      <c r="AE130" s="10" t="e">
        <f t="shared" si="202"/>
        <v>#VALUE!</v>
      </c>
      <c r="AF130" s="10" t="e">
        <f t="shared" si="203"/>
        <v>#VALUE!</v>
      </c>
      <c r="AG130" s="10" t="e">
        <f t="shared" si="204"/>
        <v>#VALUE!</v>
      </c>
      <c r="AI130" s="13"/>
      <c r="AK130" s="10" t="e">
        <f t="shared" si="173"/>
        <v>#VALUE!</v>
      </c>
      <c r="AL130" s="10" t="e">
        <f t="shared" si="205"/>
        <v>#VALUE!</v>
      </c>
      <c r="AM130" s="10" t="e">
        <f t="shared" si="206"/>
        <v>#VALUE!</v>
      </c>
      <c r="AN130" s="10" t="e">
        <f t="shared" si="207"/>
        <v>#VALUE!</v>
      </c>
      <c r="AO130" s="10" t="e">
        <f t="shared" si="208"/>
        <v>#VALUE!</v>
      </c>
      <c r="AP130" s="10" t="e">
        <f t="shared" si="174"/>
        <v>#VALUE!</v>
      </c>
      <c r="AQ130" s="10" t="e">
        <f t="shared" si="209"/>
        <v>#VALUE!</v>
      </c>
      <c r="AR130" s="10" t="e">
        <f t="shared" si="210"/>
        <v>#VALUE!</v>
      </c>
      <c r="AS130" s="10" t="e">
        <f t="shared" si="211"/>
        <v>#VALUE!</v>
      </c>
      <c r="AU130" s="10" t="e">
        <f t="shared" si="175"/>
        <v>#VALUE!</v>
      </c>
      <c r="AV130" s="10" t="e">
        <f t="shared" si="212"/>
        <v>#VALUE!</v>
      </c>
      <c r="AW130" s="10" t="e">
        <f t="shared" si="213"/>
        <v>#VALUE!</v>
      </c>
      <c r="AX130" s="10" t="e">
        <f t="shared" si="214"/>
        <v>#VALUE!</v>
      </c>
      <c r="AY130" s="10" t="e">
        <f t="shared" si="215"/>
        <v>#VALUE!</v>
      </c>
      <c r="AZ130" s="10" t="e">
        <f t="shared" si="176"/>
        <v>#VALUE!</v>
      </c>
      <c r="BA130" s="10" t="e">
        <f t="shared" si="216"/>
        <v>#VALUE!</v>
      </c>
      <c r="BB130" s="10" t="e">
        <f t="shared" si="217"/>
        <v>#VALUE!</v>
      </c>
      <c r="BC130" s="10" t="e">
        <f t="shared" si="218"/>
        <v>#VALUE!</v>
      </c>
      <c r="BE130" s="10" t="e">
        <f t="shared" si="177"/>
        <v>#VALUE!</v>
      </c>
      <c r="BF130" s="10" t="e">
        <f t="shared" si="219"/>
        <v>#VALUE!</v>
      </c>
      <c r="BG130" s="10" t="e">
        <f t="shared" si="220"/>
        <v>#VALUE!</v>
      </c>
      <c r="BH130" s="10" t="e">
        <f t="shared" si="221"/>
        <v>#VALUE!</v>
      </c>
      <c r="BI130" s="10" t="e">
        <f t="shared" si="222"/>
        <v>#VALUE!</v>
      </c>
      <c r="BJ130" s="10" t="e">
        <f t="shared" si="178"/>
        <v>#VALUE!</v>
      </c>
      <c r="BK130" s="10" t="e">
        <f t="shared" si="223"/>
        <v>#VALUE!</v>
      </c>
      <c r="BL130" s="10" t="e">
        <f t="shared" si="224"/>
        <v>#VALUE!</v>
      </c>
      <c r="BM130" s="10" t="e">
        <f t="shared" si="225"/>
        <v>#VALUE!</v>
      </c>
      <c r="BP130" s="10" t="e">
        <f t="shared" si="162"/>
        <v>#VALUE!</v>
      </c>
      <c r="BQ130" s="10" t="e">
        <f t="shared" si="163"/>
        <v>#VALUE!</v>
      </c>
      <c r="BR130" s="10" t="e">
        <f t="shared" si="164"/>
        <v>#VALUE!</v>
      </c>
      <c r="BS130" s="10" t="e">
        <f t="shared" si="165"/>
        <v>#VALUE!</v>
      </c>
      <c r="BT130" s="10" t="e">
        <f t="shared" si="166"/>
        <v>#VALUE!</v>
      </c>
      <c r="BU130" s="10" t="e">
        <f t="shared" si="167"/>
        <v>#VALUE!</v>
      </c>
      <c r="BW130" s="10" t="e">
        <f t="shared" si="139"/>
        <v>#VALUE!</v>
      </c>
      <c r="BX130" s="10" t="e">
        <f t="shared" si="140"/>
        <v>#VALUE!</v>
      </c>
      <c r="BY130" s="10" t="e">
        <f t="shared" si="141"/>
        <v>#VALUE!</v>
      </c>
      <c r="BZ130" s="10" t="e">
        <f t="shared" si="142"/>
        <v>#VALUE!</v>
      </c>
      <c r="CA130" s="10" t="e">
        <f t="shared" si="143"/>
        <v>#VALUE!</v>
      </c>
      <c r="CB130" s="10" t="e">
        <f t="shared" si="144"/>
        <v>#VALUE!</v>
      </c>
      <c r="CD130" s="10" t="e">
        <f>MATCH(INDEX($BP$12:$BU$12,1,MATCH(BP130,$BP$15:$BU$15,0)),结果汇总!$AI$10:$AI$13,0)</f>
        <v>#VALUE!</v>
      </c>
      <c r="CE130" s="10" t="e">
        <f>MATCH(INDEX($BP$12:$BU$12,1,MATCH(BQ130,$BP$15:$BU$15,0)),结果汇总!$AI$10:$AI$13,0)</f>
        <v>#VALUE!</v>
      </c>
      <c r="CF130" s="10" t="e">
        <f>MATCH(INDEX($BP$12:$BU$12,1,MATCH(BR130,$BP$15:$BU$15,0)),结果汇总!$AI$10:$AI$13,0)</f>
        <v>#VALUE!</v>
      </c>
      <c r="CG130" s="10" t="e">
        <f>MATCH(INDEX($BP$12:$BU$12,1,MATCH(BS130,$BP$15:$BU$15,0)),结果汇总!$AI$10:$AI$13,0)</f>
        <v>#VALUE!</v>
      </c>
      <c r="CH130" s="10" t="e">
        <f>MATCH(INDEX($BP$12:$BU$12,1,MATCH(BT130,$BP$15:$BU$15,0)),结果汇总!$AI$10:$AI$13,0)</f>
        <v>#VALUE!</v>
      </c>
      <c r="CI130" s="10" t="e">
        <f>MATCH(INDEX($BP$12:$BU$12,1,MATCH(BU130,$BP$15:$BU$15,0)),结果汇总!$AI$10:$AI$13,0)</f>
        <v>#VALUE!</v>
      </c>
      <c r="CK130" s="10">
        <f t="shared" si="179"/>
        <v>0</v>
      </c>
      <c r="CL130" s="10">
        <f t="shared" si="179"/>
        <v>0</v>
      </c>
      <c r="CM130" s="10">
        <f t="shared" si="179"/>
        <v>0</v>
      </c>
      <c r="CN130" s="10">
        <f t="shared" si="179"/>
        <v>0</v>
      </c>
      <c r="CO130" s="10" t="e">
        <f t="shared" si="180"/>
        <v>#DIV/0!</v>
      </c>
      <c r="CP130" s="10" t="e">
        <f t="shared" si="180"/>
        <v>#DIV/0!</v>
      </c>
      <c r="CQ130" s="10" t="e">
        <f t="shared" si="180"/>
        <v>#DIV/0!</v>
      </c>
      <c r="CR130" s="10" t="e">
        <f t="shared" si="180"/>
        <v>#DIV/0!</v>
      </c>
      <c r="CS130" s="10">
        <f t="shared" si="181"/>
        <v>0</v>
      </c>
      <c r="CT130" s="10">
        <f t="shared" si="181"/>
        <v>0</v>
      </c>
      <c r="CU130" s="10">
        <f t="shared" si="181"/>
        <v>0</v>
      </c>
      <c r="CV130" s="10">
        <f t="shared" si="181"/>
        <v>0</v>
      </c>
      <c r="CW130" s="10">
        <f t="shared" si="182"/>
        <v>0</v>
      </c>
      <c r="CX130" s="10">
        <f t="shared" si="182"/>
        <v>0</v>
      </c>
      <c r="CY130" s="10">
        <f t="shared" si="182"/>
        <v>0</v>
      </c>
      <c r="CZ130" s="10">
        <f t="shared" si="182"/>
        <v>0</v>
      </c>
    </row>
    <row r="131" spans="4:104" x14ac:dyDescent="0.15">
      <c r="D131" s="10">
        <v>116</v>
      </c>
      <c r="E131" s="10" t="e">
        <f t="shared" si="169"/>
        <v>#VALUE!</v>
      </c>
      <c r="F131" s="10" t="e">
        <f t="shared" si="183"/>
        <v>#VALUE!</v>
      </c>
      <c r="G131" s="10" t="e">
        <f t="shared" si="184"/>
        <v>#VALUE!</v>
      </c>
      <c r="H131" s="10" t="e">
        <f t="shared" si="185"/>
        <v>#VALUE!</v>
      </c>
      <c r="I131" s="10" t="e">
        <f t="shared" si="168"/>
        <v>#VALUE!</v>
      </c>
      <c r="J131" s="10" t="e">
        <f t="shared" si="170"/>
        <v>#VALUE!</v>
      </c>
      <c r="K131" s="10" t="e">
        <f t="shared" si="186"/>
        <v>#VALUE!</v>
      </c>
      <c r="L131" s="10" t="e">
        <f t="shared" si="187"/>
        <v>#VALUE!</v>
      </c>
      <c r="M131" s="10" t="e">
        <f t="shared" si="188"/>
        <v>#VALUE!</v>
      </c>
      <c r="O131" s="10" t="e">
        <f t="shared" si="171"/>
        <v>#VALUE!</v>
      </c>
      <c r="P131" s="10" t="e">
        <f t="shared" si="189"/>
        <v>#VALUE!</v>
      </c>
      <c r="Q131" s="10" t="e">
        <f t="shared" si="190"/>
        <v>#VALUE!</v>
      </c>
      <c r="R131" s="10" t="e">
        <f t="shared" si="191"/>
        <v>#VALUE!</v>
      </c>
      <c r="S131" s="10" t="e">
        <f t="shared" si="192"/>
        <v>#VALUE!</v>
      </c>
      <c r="T131" s="10" t="e">
        <f t="shared" si="193"/>
        <v>#VALUE!</v>
      </c>
      <c r="U131" s="10" t="e">
        <f t="shared" si="194"/>
        <v>#VALUE!</v>
      </c>
      <c r="V131" s="10" t="e">
        <f t="shared" si="195"/>
        <v>#VALUE!</v>
      </c>
      <c r="W131" s="10" t="e">
        <f t="shared" si="196"/>
        <v>#VALUE!</v>
      </c>
      <c r="Y131" s="10" t="e">
        <f t="shared" si="172"/>
        <v>#VALUE!</v>
      </c>
      <c r="Z131" s="11" t="e">
        <f t="shared" si="197"/>
        <v>#VALUE!</v>
      </c>
      <c r="AA131" s="10" t="e">
        <f t="shared" si="198"/>
        <v>#VALUE!</v>
      </c>
      <c r="AB131" s="10" t="e">
        <f t="shared" si="199"/>
        <v>#VALUE!</v>
      </c>
      <c r="AC131" s="10" t="e">
        <f t="shared" si="200"/>
        <v>#VALUE!</v>
      </c>
      <c r="AD131" s="10" t="e">
        <f t="shared" si="201"/>
        <v>#VALUE!</v>
      </c>
      <c r="AE131" s="10" t="e">
        <f t="shared" si="202"/>
        <v>#VALUE!</v>
      </c>
      <c r="AF131" s="10" t="e">
        <f t="shared" si="203"/>
        <v>#VALUE!</v>
      </c>
      <c r="AG131" s="10" t="e">
        <f t="shared" si="204"/>
        <v>#VALUE!</v>
      </c>
      <c r="AI131" s="13"/>
      <c r="AK131" s="10" t="e">
        <f t="shared" si="173"/>
        <v>#VALUE!</v>
      </c>
      <c r="AL131" s="10" t="e">
        <f t="shared" si="205"/>
        <v>#VALUE!</v>
      </c>
      <c r="AM131" s="10" t="e">
        <f t="shared" si="206"/>
        <v>#VALUE!</v>
      </c>
      <c r="AN131" s="10" t="e">
        <f t="shared" si="207"/>
        <v>#VALUE!</v>
      </c>
      <c r="AO131" s="10" t="e">
        <f t="shared" si="208"/>
        <v>#VALUE!</v>
      </c>
      <c r="AP131" s="10" t="e">
        <f t="shared" si="174"/>
        <v>#VALUE!</v>
      </c>
      <c r="AQ131" s="10" t="e">
        <f t="shared" si="209"/>
        <v>#VALUE!</v>
      </c>
      <c r="AR131" s="10" t="e">
        <f t="shared" si="210"/>
        <v>#VALUE!</v>
      </c>
      <c r="AS131" s="10" t="e">
        <f t="shared" si="211"/>
        <v>#VALUE!</v>
      </c>
      <c r="AU131" s="10" t="e">
        <f t="shared" si="175"/>
        <v>#VALUE!</v>
      </c>
      <c r="AV131" s="10" t="e">
        <f t="shared" si="212"/>
        <v>#VALUE!</v>
      </c>
      <c r="AW131" s="10" t="e">
        <f t="shared" si="213"/>
        <v>#VALUE!</v>
      </c>
      <c r="AX131" s="10" t="e">
        <f t="shared" si="214"/>
        <v>#VALUE!</v>
      </c>
      <c r="AY131" s="10" t="e">
        <f t="shared" si="215"/>
        <v>#VALUE!</v>
      </c>
      <c r="AZ131" s="10" t="e">
        <f t="shared" si="176"/>
        <v>#VALUE!</v>
      </c>
      <c r="BA131" s="10" t="e">
        <f t="shared" si="216"/>
        <v>#VALUE!</v>
      </c>
      <c r="BB131" s="10" t="e">
        <f t="shared" si="217"/>
        <v>#VALUE!</v>
      </c>
      <c r="BC131" s="10" t="e">
        <f t="shared" si="218"/>
        <v>#VALUE!</v>
      </c>
      <c r="BE131" s="10" t="e">
        <f t="shared" si="177"/>
        <v>#VALUE!</v>
      </c>
      <c r="BF131" s="10" t="e">
        <f t="shared" si="219"/>
        <v>#VALUE!</v>
      </c>
      <c r="BG131" s="10" t="e">
        <f t="shared" si="220"/>
        <v>#VALUE!</v>
      </c>
      <c r="BH131" s="10" t="e">
        <f t="shared" si="221"/>
        <v>#VALUE!</v>
      </c>
      <c r="BI131" s="10" t="e">
        <f t="shared" si="222"/>
        <v>#VALUE!</v>
      </c>
      <c r="BJ131" s="10" t="e">
        <f t="shared" si="178"/>
        <v>#VALUE!</v>
      </c>
      <c r="BK131" s="10" t="e">
        <f t="shared" si="223"/>
        <v>#VALUE!</v>
      </c>
      <c r="BL131" s="10" t="e">
        <f t="shared" si="224"/>
        <v>#VALUE!</v>
      </c>
      <c r="BM131" s="10" t="e">
        <f t="shared" si="225"/>
        <v>#VALUE!</v>
      </c>
      <c r="BP131" s="10" t="e">
        <f t="shared" si="162"/>
        <v>#VALUE!</v>
      </c>
      <c r="BQ131" s="10" t="e">
        <f t="shared" si="163"/>
        <v>#VALUE!</v>
      </c>
      <c r="BR131" s="10" t="e">
        <f t="shared" si="164"/>
        <v>#VALUE!</v>
      </c>
      <c r="BS131" s="10" t="e">
        <f t="shared" si="165"/>
        <v>#VALUE!</v>
      </c>
      <c r="BT131" s="10" t="e">
        <f t="shared" si="166"/>
        <v>#VALUE!</v>
      </c>
      <c r="BU131" s="10" t="e">
        <f t="shared" si="167"/>
        <v>#VALUE!</v>
      </c>
      <c r="BW131" s="10" t="e">
        <f t="shared" si="139"/>
        <v>#VALUE!</v>
      </c>
      <c r="BX131" s="10" t="e">
        <f t="shared" si="140"/>
        <v>#VALUE!</v>
      </c>
      <c r="BY131" s="10" t="e">
        <f t="shared" si="141"/>
        <v>#VALUE!</v>
      </c>
      <c r="BZ131" s="10" t="e">
        <f t="shared" si="142"/>
        <v>#VALUE!</v>
      </c>
      <c r="CA131" s="10" t="e">
        <f t="shared" si="143"/>
        <v>#VALUE!</v>
      </c>
      <c r="CB131" s="10" t="e">
        <f t="shared" si="144"/>
        <v>#VALUE!</v>
      </c>
      <c r="CD131" s="10" t="e">
        <f>MATCH(INDEX($BP$12:$BU$12,1,MATCH(BP131,$BP$15:$BU$15,0)),结果汇总!$AI$10:$AI$13,0)</f>
        <v>#VALUE!</v>
      </c>
      <c r="CE131" s="10" t="e">
        <f>MATCH(INDEX($BP$12:$BU$12,1,MATCH(BQ131,$BP$15:$BU$15,0)),结果汇总!$AI$10:$AI$13,0)</f>
        <v>#VALUE!</v>
      </c>
      <c r="CF131" s="10" t="e">
        <f>MATCH(INDEX($BP$12:$BU$12,1,MATCH(BR131,$BP$15:$BU$15,0)),结果汇总!$AI$10:$AI$13,0)</f>
        <v>#VALUE!</v>
      </c>
      <c r="CG131" s="10" t="e">
        <f>MATCH(INDEX($BP$12:$BU$12,1,MATCH(BS131,$BP$15:$BU$15,0)),结果汇总!$AI$10:$AI$13,0)</f>
        <v>#VALUE!</v>
      </c>
      <c r="CH131" s="10" t="e">
        <f>MATCH(INDEX($BP$12:$BU$12,1,MATCH(BT131,$BP$15:$BU$15,0)),结果汇总!$AI$10:$AI$13,0)</f>
        <v>#VALUE!</v>
      </c>
      <c r="CI131" s="10" t="e">
        <f>MATCH(INDEX($BP$12:$BU$12,1,MATCH(BU131,$BP$15:$BU$15,0)),结果汇总!$AI$10:$AI$13,0)</f>
        <v>#VALUE!</v>
      </c>
      <c r="CK131" s="10">
        <f t="shared" si="179"/>
        <v>0</v>
      </c>
      <c r="CL131" s="10">
        <f t="shared" si="179"/>
        <v>0</v>
      </c>
      <c r="CM131" s="10">
        <f t="shared" si="179"/>
        <v>0</v>
      </c>
      <c r="CN131" s="10">
        <f t="shared" si="179"/>
        <v>0</v>
      </c>
      <c r="CO131" s="10" t="e">
        <f t="shared" si="180"/>
        <v>#DIV/0!</v>
      </c>
      <c r="CP131" s="10" t="e">
        <f t="shared" si="180"/>
        <v>#DIV/0!</v>
      </c>
      <c r="CQ131" s="10" t="e">
        <f t="shared" si="180"/>
        <v>#DIV/0!</v>
      </c>
      <c r="CR131" s="10" t="e">
        <f t="shared" si="180"/>
        <v>#DIV/0!</v>
      </c>
      <c r="CS131" s="10">
        <f t="shared" si="181"/>
        <v>0</v>
      </c>
      <c r="CT131" s="10">
        <f t="shared" si="181"/>
        <v>0</v>
      </c>
      <c r="CU131" s="10">
        <f t="shared" si="181"/>
        <v>0</v>
      </c>
      <c r="CV131" s="10">
        <f t="shared" si="181"/>
        <v>0</v>
      </c>
      <c r="CW131" s="10">
        <f t="shared" si="182"/>
        <v>0</v>
      </c>
      <c r="CX131" s="10">
        <f t="shared" si="182"/>
        <v>0</v>
      </c>
      <c r="CY131" s="10">
        <f t="shared" si="182"/>
        <v>0</v>
      </c>
      <c r="CZ131" s="10">
        <f t="shared" si="182"/>
        <v>0</v>
      </c>
    </row>
    <row r="132" spans="4:104" x14ac:dyDescent="0.15">
      <c r="D132" s="10">
        <v>117</v>
      </c>
      <c r="E132" s="10" t="e">
        <f t="shared" si="169"/>
        <v>#VALUE!</v>
      </c>
      <c r="F132" s="10" t="e">
        <f t="shared" si="183"/>
        <v>#VALUE!</v>
      </c>
      <c r="G132" s="10" t="e">
        <f t="shared" si="184"/>
        <v>#VALUE!</v>
      </c>
      <c r="H132" s="10" t="e">
        <f t="shared" si="185"/>
        <v>#VALUE!</v>
      </c>
      <c r="I132" s="10" t="e">
        <f t="shared" si="168"/>
        <v>#VALUE!</v>
      </c>
      <c r="J132" s="10" t="e">
        <f t="shared" si="170"/>
        <v>#VALUE!</v>
      </c>
      <c r="K132" s="10" t="e">
        <f t="shared" si="186"/>
        <v>#VALUE!</v>
      </c>
      <c r="L132" s="10" t="e">
        <f t="shared" si="187"/>
        <v>#VALUE!</v>
      </c>
      <c r="M132" s="10" t="e">
        <f t="shared" si="188"/>
        <v>#VALUE!</v>
      </c>
      <c r="O132" s="10" t="e">
        <f t="shared" si="171"/>
        <v>#VALUE!</v>
      </c>
      <c r="P132" s="10" t="e">
        <f t="shared" si="189"/>
        <v>#VALUE!</v>
      </c>
      <c r="Q132" s="10" t="e">
        <f t="shared" si="190"/>
        <v>#VALUE!</v>
      </c>
      <c r="R132" s="10" t="e">
        <f t="shared" si="191"/>
        <v>#VALUE!</v>
      </c>
      <c r="S132" s="10" t="e">
        <f t="shared" si="192"/>
        <v>#VALUE!</v>
      </c>
      <c r="T132" s="10" t="e">
        <f t="shared" si="193"/>
        <v>#VALUE!</v>
      </c>
      <c r="U132" s="10" t="e">
        <f t="shared" si="194"/>
        <v>#VALUE!</v>
      </c>
      <c r="V132" s="10" t="e">
        <f t="shared" si="195"/>
        <v>#VALUE!</v>
      </c>
      <c r="W132" s="10" t="e">
        <f t="shared" si="196"/>
        <v>#VALUE!</v>
      </c>
      <c r="Y132" s="10" t="e">
        <f t="shared" si="172"/>
        <v>#VALUE!</v>
      </c>
      <c r="Z132" s="11" t="e">
        <f t="shared" si="197"/>
        <v>#VALUE!</v>
      </c>
      <c r="AA132" s="10" t="e">
        <f t="shared" si="198"/>
        <v>#VALUE!</v>
      </c>
      <c r="AB132" s="10" t="e">
        <f t="shared" si="199"/>
        <v>#VALUE!</v>
      </c>
      <c r="AC132" s="10" t="e">
        <f t="shared" si="200"/>
        <v>#VALUE!</v>
      </c>
      <c r="AD132" s="10" t="e">
        <f t="shared" si="201"/>
        <v>#VALUE!</v>
      </c>
      <c r="AE132" s="10" t="e">
        <f t="shared" si="202"/>
        <v>#VALUE!</v>
      </c>
      <c r="AF132" s="10" t="e">
        <f t="shared" si="203"/>
        <v>#VALUE!</v>
      </c>
      <c r="AG132" s="10" t="e">
        <f t="shared" si="204"/>
        <v>#VALUE!</v>
      </c>
      <c r="AI132" s="13"/>
      <c r="AK132" s="10" t="e">
        <f t="shared" si="173"/>
        <v>#VALUE!</v>
      </c>
      <c r="AL132" s="10" t="e">
        <f t="shared" si="205"/>
        <v>#VALUE!</v>
      </c>
      <c r="AM132" s="10" t="e">
        <f t="shared" si="206"/>
        <v>#VALUE!</v>
      </c>
      <c r="AN132" s="10" t="e">
        <f t="shared" si="207"/>
        <v>#VALUE!</v>
      </c>
      <c r="AO132" s="10" t="e">
        <f t="shared" si="208"/>
        <v>#VALUE!</v>
      </c>
      <c r="AP132" s="10" t="e">
        <f t="shared" si="174"/>
        <v>#VALUE!</v>
      </c>
      <c r="AQ132" s="10" t="e">
        <f t="shared" si="209"/>
        <v>#VALUE!</v>
      </c>
      <c r="AR132" s="10" t="e">
        <f t="shared" si="210"/>
        <v>#VALUE!</v>
      </c>
      <c r="AS132" s="10" t="e">
        <f t="shared" si="211"/>
        <v>#VALUE!</v>
      </c>
      <c r="AU132" s="10" t="e">
        <f t="shared" si="175"/>
        <v>#VALUE!</v>
      </c>
      <c r="AV132" s="10" t="e">
        <f t="shared" si="212"/>
        <v>#VALUE!</v>
      </c>
      <c r="AW132" s="10" t="e">
        <f t="shared" si="213"/>
        <v>#VALUE!</v>
      </c>
      <c r="AX132" s="10" t="e">
        <f t="shared" si="214"/>
        <v>#VALUE!</v>
      </c>
      <c r="AY132" s="10" t="e">
        <f t="shared" si="215"/>
        <v>#VALUE!</v>
      </c>
      <c r="AZ132" s="10" t="e">
        <f t="shared" si="176"/>
        <v>#VALUE!</v>
      </c>
      <c r="BA132" s="10" t="e">
        <f t="shared" si="216"/>
        <v>#VALUE!</v>
      </c>
      <c r="BB132" s="10" t="e">
        <f t="shared" si="217"/>
        <v>#VALUE!</v>
      </c>
      <c r="BC132" s="10" t="e">
        <f t="shared" si="218"/>
        <v>#VALUE!</v>
      </c>
      <c r="BE132" s="10" t="e">
        <f t="shared" si="177"/>
        <v>#VALUE!</v>
      </c>
      <c r="BF132" s="10" t="e">
        <f t="shared" si="219"/>
        <v>#VALUE!</v>
      </c>
      <c r="BG132" s="10" t="e">
        <f t="shared" si="220"/>
        <v>#VALUE!</v>
      </c>
      <c r="BH132" s="10" t="e">
        <f t="shared" si="221"/>
        <v>#VALUE!</v>
      </c>
      <c r="BI132" s="10" t="e">
        <f t="shared" si="222"/>
        <v>#VALUE!</v>
      </c>
      <c r="BJ132" s="10" t="e">
        <f t="shared" si="178"/>
        <v>#VALUE!</v>
      </c>
      <c r="BK132" s="10" t="e">
        <f t="shared" si="223"/>
        <v>#VALUE!</v>
      </c>
      <c r="BL132" s="10" t="e">
        <f t="shared" si="224"/>
        <v>#VALUE!</v>
      </c>
      <c r="BM132" s="10" t="e">
        <f t="shared" si="225"/>
        <v>#VALUE!</v>
      </c>
      <c r="BP132" s="10" t="e">
        <f t="shared" si="162"/>
        <v>#VALUE!</v>
      </c>
      <c r="BQ132" s="10" t="e">
        <f t="shared" si="163"/>
        <v>#VALUE!</v>
      </c>
      <c r="BR132" s="10" t="e">
        <f t="shared" si="164"/>
        <v>#VALUE!</v>
      </c>
      <c r="BS132" s="10" t="e">
        <f t="shared" si="165"/>
        <v>#VALUE!</v>
      </c>
      <c r="BT132" s="10" t="e">
        <f t="shared" si="166"/>
        <v>#VALUE!</v>
      </c>
      <c r="BU132" s="10" t="e">
        <f t="shared" si="167"/>
        <v>#VALUE!</v>
      </c>
      <c r="BW132" s="10" t="e">
        <f t="shared" si="139"/>
        <v>#VALUE!</v>
      </c>
      <c r="BX132" s="10" t="e">
        <f t="shared" si="140"/>
        <v>#VALUE!</v>
      </c>
      <c r="BY132" s="10" t="e">
        <f t="shared" si="141"/>
        <v>#VALUE!</v>
      </c>
      <c r="BZ132" s="10" t="e">
        <f t="shared" si="142"/>
        <v>#VALUE!</v>
      </c>
      <c r="CA132" s="10" t="e">
        <f t="shared" si="143"/>
        <v>#VALUE!</v>
      </c>
      <c r="CB132" s="10" t="e">
        <f t="shared" si="144"/>
        <v>#VALUE!</v>
      </c>
      <c r="CD132" s="10" t="e">
        <f>MATCH(INDEX($BP$12:$BU$12,1,MATCH(BP132,$BP$15:$BU$15,0)),结果汇总!$AI$10:$AI$13,0)</f>
        <v>#VALUE!</v>
      </c>
      <c r="CE132" s="10" t="e">
        <f>MATCH(INDEX($BP$12:$BU$12,1,MATCH(BQ132,$BP$15:$BU$15,0)),结果汇总!$AI$10:$AI$13,0)</f>
        <v>#VALUE!</v>
      </c>
      <c r="CF132" s="10" t="e">
        <f>MATCH(INDEX($BP$12:$BU$12,1,MATCH(BR132,$BP$15:$BU$15,0)),结果汇总!$AI$10:$AI$13,0)</f>
        <v>#VALUE!</v>
      </c>
      <c r="CG132" s="10" t="e">
        <f>MATCH(INDEX($BP$12:$BU$12,1,MATCH(BS132,$BP$15:$BU$15,0)),结果汇总!$AI$10:$AI$13,0)</f>
        <v>#VALUE!</v>
      </c>
      <c r="CH132" s="10" t="e">
        <f>MATCH(INDEX($BP$12:$BU$12,1,MATCH(BT132,$BP$15:$BU$15,0)),结果汇总!$AI$10:$AI$13,0)</f>
        <v>#VALUE!</v>
      </c>
      <c r="CI132" s="10" t="e">
        <f>MATCH(INDEX($BP$12:$BU$12,1,MATCH(BU132,$BP$15:$BU$15,0)),结果汇总!$AI$10:$AI$13,0)</f>
        <v>#VALUE!</v>
      </c>
      <c r="CK132" s="10">
        <f t="shared" si="179"/>
        <v>0</v>
      </c>
      <c r="CL132" s="10">
        <f t="shared" si="179"/>
        <v>0</v>
      </c>
      <c r="CM132" s="10">
        <f t="shared" si="179"/>
        <v>0</v>
      </c>
      <c r="CN132" s="10">
        <f t="shared" si="179"/>
        <v>0</v>
      </c>
      <c r="CO132" s="10" t="e">
        <f t="shared" si="180"/>
        <v>#DIV/0!</v>
      </c>
      <c r="CP132" s="10" t="e">
        <f t="shared" si="180"/>
        <v>#DIV/0!</v>
      </c>
      <c r="CQ132" s="10" t="e">
        <f t="shared" si="180"/>
        <v>#DIV/0!</v>
      </c>
      <c r="CR132" s="10" t="e">
        <f t="shared" si="180"/>
        <v>#DIV/0!</v>
      </c>
      <c r="CS132" s="10">
        <f t="shared" si="181"/>
        <v>0</v>
      </c>
      <c r="CT132" s="10">
        <f t="shared" si="181"/>
        <v>0</v>
      </c>
      <c r="CU132" s="10">
        <f t="shared" si="181"/>
        <v>0</v>
      </c>
      <c r="CV132" s="10">
        <f t="shared" si="181"/>
        <v>0</v>
      </c>
      <c r="CW132" s="10">
        <f t="shared" si="182"/>
        <v>0</v>
      </c>
      <c r="CX132" s="10">
        <f t="shared" si="182"/>
        <v>0</v>
      </c>
      <c r="CY132" s="10">
        <f t="shared" si="182"/>
        <v>0</v>
      </c>
      <c r="CZ132" s="10">
        <f t="shared" si="182"/>
        <v>0</v>
      </c>
    </row>
    <row r="133" spans="4:104" x14ac:dyDescent="0.15">
      <c r="D133" s="10">
        <v>118</v>
      </c>
      <c r="E133" s="10" t="e">
        <f t="shared" si="169"/>
        <v>#VALUE!</v>
      </c>
      <c r="F133" s="10" t="e">
        <f t="shared" si="183"/>
        <v>#VALUE!</v>
      </c>
      <c r="G133" s="10" t="e">
        <f t="shared" si="184"/>
        <v>#VALUE!</v>
      </c>
      <c r="H133" s="10" t="e">
        <f t="shared" si="185"/>
        <v>#VALUE!</v>
      </c>
      <c r="I133" s="10" t="e">
        <f t="shared" si="168"/>
        <v>#VALUE!</v>
      </c>
      <c r="J133" s="10" t="e">
        <f t="shared" si="170"/>
        <v>#VALUE!</v>
      </c>
      <c r="K133" s="10" t="e">
        <f t="shared" si="186"/>
        <v>#VALUE!</v>
      </c>
      <c r="L133" s="10" t="e">
        <f t="shared" si="187"/>
        <v>#VALUE!</v>
      </c>
      <c r="M133" s="10" t="e">
        <f t="shared" si="188"/>
        <v>#VALUE!</v>
      </c>
      <c r="O133" s="10" t="e">
        <f t="shared" si="171"/>
        <v>#VALUE!</v>
      </c>
      <c r="P133" s="10" t="e">
        <f t="shared" si="189"/>
        <v>#VALUE!</v>
      </c>
      <c r="Q133" s="10" t="e">
        <f t="shared" si="190"/>
        <v>#VALUE!</v>
      </c>
      <c r="R133" s="10" t="e">
        <f t="shared" si="191"/>
        <v>#VALUE!</v>
      </c>
      <c r="S133" s="10" t="e">
        <f t="shared" si="192"/>
        <v>#VALUE!</v>
      </c>
      <c r="T133" s="10" t="e">
        <f t="shared" si="193"/>
        <v>#VALUE!</v>
      </c>
      <c r="U133" s="10" t="e">
        <f t="shared" si="194"/>
        <v>#VALUE!</v>
      </c>
      <c r="V133" s="10" t="e">
        <f t="shared" si="195"/>
        <v>#VALUE!</v>
      </c>
      <c r="W133" s="10" t="e">
        <f t="shared" si="196"/>
        <v>#VALUE!</v>
      </c>
      <c r="Y133" s="10" t="e">
        <f t="shared" si="172"/>
        <v>#VALUE!</v>
      </c>
      <c r="Z133" s="11" t="e">
        <f t="shared" si="197"/>
        <v>#VALUE!</v>
      </c>
      <c r="AA133" s="10" t="e">
        <f t="shared" si="198"/>
        <v>#VALUE!</v>
      </c>
      <c r="AB133" s="10" t="e">
        <f t="shared" si="199"/>
        <v>#VALUE!</v>
      </c>
      <c r="AC133" s="10" t="e">
        <f t="shared" si="200"/>
        <v>#VALUE!</v>
      </c>
      <c r="AD133" s="10" t="e">
        <f t="shared" si="201"/>
        <v>#VALUE!</v>
      </c>
      <c r="AE133" s="10" t="e">
        <f t="shared" si="202"/>
        <v>#VALUE!</v>
      </c>
      <c r="AF133" s="10" t="e">
        <f t="shared" si="203"/>
        <v>#VALUE!</v>
      </c>
      <c r="AG133" s="10" t="e">
        <f t="shared" si="204"/>
        <v>#VALUE!</v>
      </c>
      <c r="AI133" s="13"/>
      <c r="AK133" s="10" t="e">
        <f t="shared" si="173"/>
        <v>#VALUE!</v>
      </c>
      <c r="AL133" s="10" t="e">
        <f t="shared" si="205"/>
        <v>#VALUE!</v>
      </c>
      <c r="AM133" s="10" t="e">
        <f t="shared" si="206"/>
        <v>#VALUE!</v>
      </c>
      <c r="AN133" s="10" t="e">
        <f t="shared" si="207"/>
        <v>#VALUE!</v>
      </c>
      <c r="AO133" s="10" t="e">
        <f t="shared" si="208"/>
        <v>#VALUE!</v>
      </c>
      <c r="AP133" s="10" t="e">
        <f t="shared" si="174"/>
        <v>#VALUE!</v>
      </c>
      <c r="AQ133" s="10" t="e">
        <f t="shared" si="209"/>
        <v>#VALUE!</v>
      </c>
      <c r="AR133" s="10" t="e">
        <f t="shared" si="210"/>
        <v>#VALUE!</v>
      </c>
      <c r="AS133" s="10" t="e">
        <f t="shared" si="211"/>
        <v>#VALUE!</v>
      </c>
      <c r="AU133" s="10" t="e">
        <f t="shared" si="175"/>
        <v>#VALUE!</v>
      </c>
      <c r="AV133" s="10" t="e">
        <f t="shared" si="212"/>
        <v>#VALUE!</v>
      </c>
      <c r="AW133" s="10" t="e">
        <f t="shared" si="213"/>
        <v>#VALUE!</v>
      </c>
      <c r="AX133" s="10" t="e">
        <f t="shared" si="214"/>
        <v>#VALUE!</v>
      </c>
      <c r="AY133" s="10" t="e">
        <f t="shared" si="215"/>
        <v>#VALUE!</v>
      </c>
      <c r="AZ133" s="10" t="e">
        <f t="shared" si="176"/>
        <v>#VALUE!</v>
      </c>
      <c r="BA133" s="10" t="e">
        <f t="shared" si="216"/>
        <v>#VALUE!</v>
      </c>
      <c r="BB133" s="10" t="e">
        <f t="shared" si="217"/>
        <v>#VALUE!</v>
      </c>
      <c r="BC133" s="10" t="e">
        <f t="shared" si="218"/>
        <v>#VALUE!</v>
      </c>
      <c r="BE133" s="10" t="e">
        <f t="shared" si="177"/>
        <v>#VALUE!</v>
      </c>
      <c r="BF133" s="10" t="e">
        <f t="shared" si="219"/>
        <v>#VALUE!</v>
      </c>
      <c r="BG133" s="10" t="e">
        <f t="shared" si="220"/>
        <v>#VALUE!</v>
      </c>
      <c r="BH133" s="10" t="e">
        <f t="shared" si="221"/>
        <v>#VALUE!</v>
      </c>
      <c r="BI133" s="10" t="e">
        <f t="shared" si="222"/>
        <v>#VALUE!</v>
      </c>
      <c r="BJ133" s="10" t="e">
        <f t="shared" si="178"/>
        <v>#VALUE!</v>
      </c>
      <c r="BK133" s="10" t="e">
        <f t="shared" si="223"/>
        <v>#VALUE!</v>
      </c>
      <c r="BL133" s="10" t="e">
        <f t="shared" si="224"/>
        <v>#VALUE!</v>
      </c>
      <c r="BM133" s="10" t="e">
        <f t="shared" si="225"/>
        <v>#VALUE!</v>
      </c>
      <c r="BP133" s="10" t="e">
        <f t="shared" si="162"/>
        <v>#VALUE!</v>
      </c>
      <c r="BQ133" s="10" t="e">
        <f t="shared" si="163"/>
        <v>#VALUE!</v>
      </c>
      <c r="BR133" s="10" t="e">
        <f t="shared" si="164"/>
        <v>#VALUE!</v>
      </c>
      <c r="BS133" s="10" t="e">
        <f t="shared" si="165"/>
        <v>#VALUE!</v>
      </c>
      <c r="BT133" s="10" t="e">
        <f t="shared" si="166"/>
        <v>#VALUE!</v>
      </c>
      <c r="BU133" s="10" t="e">
        <f t="shared" si="167"/>
        <v>#VALUE!</v>
      </c>
      <c r="BW133" s="10" t="e">
        <f t="shared" si="139"/>
        <v>#VALUE!</v>
      </c>
      <c r="BX133" s="10" t="e">
        <f t="shared" si="140"/>
        <v>#VALUE!</v>
      </c>
      <c r="BY133" s="10" t="e">
        <f t="shared" si="141"/>
        <v>#VALUE!</v>
      </c>
      <c r="BZ133" s="10" t="e">
        <f t="shared" si="142"/>
        <v>#VALUE!</v>
      </c>
      <c r="CA133" s="10" t="e">
        <f t="shared" si="143"/>
        <v>#VALUE!</v>
      </c>
      <c r="CB133" s="10" t="e">
        <f t="shared" si="144"/>
        <v>#VALUE!</v>
      </c>
      <c r="CD133" s="10" t="e">
        <f>MATCH(INDEX($BP$12:$BU$12,1,MATCH(BP133,$BP$15:$BU$15,0)),结果汇总!$AI$10:$AI$13,0)</f>
        <v>#VALUE!</v>
      </c>
      <c r="CE133" s="10" t="e">
        <f>MATCH(INDEX($BP$12:$BU$12,1,MATCH(BQ133,$BP$15:$BU$15,0)),结果汇总!$AI$10:$AI$13,0)</f>
        <v>#VALUE!</v>
      </c>
      <c r="CF133" s="10" t="e">
        <f>MATCH(INDEX($BP$12:$BU$12,1,MATCH(BR133,$BP$15:$BU$15,0)),结果汇总!$AI$10:$AI$13,0)</f>
        <v>#VALUE!</v>
      </c>
      <c r="CG133" s="10" t="e">
        <f>MATCH(INDEX($BP$12:$BU$12,1,MATCH(BS133,$BP$15:$BU$15,0)),结果汇总!$AI$10:$AI$13,0)</f>
        <v>#VALUE!</v>
      </c>
      <c r="CH133" s="10" t="e">
        <f>MATCH(INDEX($BP$12:$BU$12,1,MATCH(BT133,$BP$15:$BU$15,0)),结果汇总!$AI$10:$AI$13,0)</f>
        <v>#VALUE!</v>
      </c>
      <c r="CI133" s="10" t="e">
        <f>MATCH(INDEX($BP$12:$BU$12,1,MATCH(BU133,$BP$15:$BU$15,0)),结果汇总!$AI$10:$AI$13,0)</f>
        <v>#VALUE!</v>
      </c>
      <c r="CK133" s="10">
        <f t="shared" si="179"/>
        <v>0</v>
      </c>
      <c r="CL133" s="10">
        <f t="shared" si="179"/>
        <v>0</v>
      </c>
      <c r="CM133" s="10">
        <f t="shared" si="179"/>
        <v>0</v>
      </c>
      <c r="CN133" s="10">
        <f t="shared" si="179"/>
        <v>0</v>
      </c>
      <c r="CO133" s="10" t="e">
        <f t="shared" si="180"/>
        <v>#DIV/0!</v>
      </c>
      <c r="CP133" s="10" t="e">
        <f t="shared" si="180"/>
        <v>#DIV/0!</v>
      </c>
      <c r="CQ133" s="10" t="e">
        <f t="shared" si="180"/>
        <v>#DIV/0!</v>
      </c>
      <c r="CR133" s="10" t="e">
        <f t="shared" si="180"/>
        <v>#DIV/0!</v>
      </c>
      <c r="CS133" s="10">
        <f t="shared" si="181"/>
        <v>0</v>
      </c>
      <c r="CT133" s="10">
        <f t="shared" si="181"/>
        <v>0</v>
      </c>
      <c r="CU133" s="10">
        <f t="shared" si="181"/>
        <v>0</v>
      </c>
      <c r="CV133" s="10">
        <f t="shared" si="181"/>
        <v>0</v>
      </c>
      <c r="CW133" s="10">
        <f t="shared" si="182"/>
        <v>0</v>
      </c>
      <c r="CX133" s="10">
        <f t="shared" si="182"/>
        <v>0</v>
      </c>
      <c r="CY133" s="10">
        <f t="shared" si="182"/>
        <v>0</v>
      </c>
      <c r="CZ133" s="10">
        <f t="shared" si="182"/>
        <v>0</v>
      </c>
    </row>
    <row r="134" spans="4:104" x14ac:dyDescent="0.15">
      <c r="D134" s="10">
        <v>119</v>
      </c>
      <c r="E134" s="10" t="e">
        <f t="shared" si="169"/>
        <v>#VALUE!</v>
      </c>
      <c r="F134" s="10" t="e">
        <f t="shared" si="183"/>
        <v>#VALUE!</v>
      </c>
      <c r="G134" s="10" t="e">
        <f t="shared" si="184"/>
        <v>#VALUE!</v>
      </c>
      <c r="H134" s="10" t="e">
        <f t="shared" si="185"/>
        <v>#VALUE!</v>
      </c>
      <c r="I134" s="10" t="e">
        <f t="shared" si="168"/>
        <v>#VALUE!</v>
      </c>
      <c r="J134" s="10" t="e">
        <f t="shared" si="170"/>
        <v>#VALUE!</v>
      </c>
      <c r="K134" s="10" t="e">
        <f t="shared" si="186"/>
        <v>#VALUE!</v>
      </c>
      <c r="L134" s="10" t="e">
        <f t="shared" si="187"/>
        <v>#VALUE!</v>
      </c>
      <c r="M134" s="10" t="e">
        <f t="shared" si="188"/>
        <v>#VALUE!</v>
      </c>
      <c r="O134" s="10" t="e">
        <f t="shared" si="171"/>
        <v>#VALUE!</v>
      </c>
      <c r="P134" s="10" t="e">
        <f t="shared" si="189"/>
        <v>#VALUE!</v>
      </c>
      <c r="Q134" s="10" t="e">
        <f t="shared" si="190"/>
        <v>#VALUE!</v>
      </c>
      <c r="R134" s="10" t="e">
        <f t="shared" si="191"/>
        <v>#VALUE!</v>
      </c>
      <c r="S134" s="10" t="e">
        <f t="shared" si="192"/>
        <v>#VALUE!</v>
      </c>
      <c r="T134" s="10" t="e">
        <f t="shared" si="193"/>
        <v>#VALUE!</v>
      </c>
      <c r="U134" s="10" t="e">
        <f t="shared" si="194"/>
        <v>#VALUE!</v>
      </c>
      <c r="V134" s="10" t="e">
        <f t="shared" si="195"/>
        <v>#VALUE!</v>
      </c>
      <c r="W134" s="10" t="e">
        <f t="shared" si="196"/>
        <v>#VALUE!</v>
      </c>
      <c r="Y134" s="10" t="e">
        <f t="shared" si="172"/>
        <v>#VALUE!</v>
      </c>
      <c r="Z134" s="11" t="e">
        <f t="shared" si="197"/>
        <v>#VALUE!</v>
      </c>
      <c r="AA134" s="10" t="e">
        <f t="shared" si="198"/>
        <v>#VALUE!</v>
      </c>
      <c r="AB134" s="10" t="e">
        <f t="shared" si="199"/>
        <v>#VALUE!</v>
      </c>
      <c r="AC134" s="10" t="e">
        <f t="shared" si="200"/>
        <v>#VALUE!</v>
      </c>
      <c r="AD134" s="10" t="e">
        <f t="shared" si="201"/>
        <v>#VALUE!</v>
      </c>
      <c r="AE134" s="10" t="e">
        <f t="shared" si="202"/>
        <v>#VALUE!</v>
      </c>
      <c r="AF134" s="10" t="e">
        <f t="shared" si="203"/>
        <v>#VALUE!</v>
      </c>
      <c r="AG134" s="10" t="e">
        <f t="shared" si="204"/>
        <v>#VALUE!</v>
      </c>
      <c r="AI134" s="13"/>
      <c r="AK134" s="10" t="e">
        <f t="shared" si="173"/>
        <v>#VALUE!</v>
      </c>
      <c r="AL134" s="10" t="e">
        <f t="shared" si="205"/>
        <v>#VALUE!</v>
      </c>
      <c r="AM134" s="10" t="e">
        <f t="shared" si="206"/>
        <v>#VALUE!</v>
      </c>
      <c r="AN134" s="10" t="e">
        <f t="shared" si="207"/>
        <v>#VALUE!</v>
      </c>
      <c r="AO134" s="10" t="e">
        <f t="shared" si="208"/>
        <v>#VALUE!</v>
      </c>
      <c r="AP134" s="10" t="e">
        <f t="shared" si="174"/>
        <v>#VALUE!</v>
      </c>
      <c r="AQ134" s="10" t="e">
        <f t="shared" si="209"/>
        <v>#VALUE!</v>
      </c>
      <c r="AR134" s="10" t="e">
        <f t="shared" si="210"/>
        <v>#VALUE!</v>
      </c>
      <c r="AS134" s="10" t="e">
        <f t="shared" si="211"/>
        <v>#VALUE!</v>
      </c>
      <c r="AU134" s="10" t="e">
        <f t="shared" si="175"/>
        <v>#VALUE!</v>
      </c>
      <c r="AV134" s="10" t="e">
        <f t="shared" si="212"/>
        <v>#VALUE!</v>
      </c>
      <c r="AW134" s="10" t="e">
        <f t="shared" si="213"/>
        <v>#VALUE!</v>
      </c>
      <c r="AX134" s="10" t="e">
        <f t="shared" si="214"/>
        <v>#VALUE!</v>
      </c>
      <c r="AY134" s="10" t="e">
        <f t="shared" si="215"/>
        <v>#VALUE!</v>
      </c>
      <c r="AZ134" s="10" t="e">
        <f t="shared" si="176"/>
        <v>#VALUE!</v>
      </c>
      <c r="BA134" s="10" t="e">
        <f t="shared" si="216"/>
        <v>#VALUE!</v>
      </c>
      <c r="BB134" s="10" t="e">
        <f t="shared" si="217"/>
        <v>#VALUE!</v>
      </c>
      <c r="BC134" s="10" t="e">
        <f t="shared" si="218"/>
        <v>#VALUE!</v>
      </c>
      <c r="BE134" s="10" t="e">
        <f t="shared" si="177"/>
        <v>#VALUE!</v>
      </c>
      <c r="BF134" s="10" t="e">
        <f t="shared" si="219"/>
        <v>#VALUE!</v>
      </c>
      <c r="BG134" s="10" t="e">
        <f t="shared" si="220"/>
        <v>#VALUE!</v>
      </c>
      <c r="BH134" s="10" t="e">
        <f t="shared" si="221"/>
        <v>#VALUE!</v>
      </c>
      <c r="BI134" s="10" t="e">
        <f t="shared" si="222"/>
        <v>#VALUE!</v>
      </c>
      <c r="BJ134" s="10" t="e">
        <f t="shared" si="178"/>
        <v>#VALUE!</v>
      </c>
      <c r="BK134" s="10" t="e">
        <f t="shared" si="223"/>
        <v>#VALUE!</v>
      </c>
      <c r="BL134" s="10" t="e">
        <f t="shared" si="224"/>
        <v>#VALUE!</v>
      </c>
      <c r="BM134" s="10" t="e">
        <f t="shared" si="225"/>
        <v>#VALUE!</v>
      </c>
      <c r="BP134" s="10" t="e">
        <f t="shared" si="162"/>
        <v>#VALUE!</v>
      </c>
      <c r="BQ134" s="10" t="e">
        <f t="shared" si="163"/>
        <v>#VALUE!</v>
      </c>
      <c r="BR134" s="10" t="e">
        <f t="shared" si="164"/>
        <v>#VALUE!</v>
      </c>
      <c r="BS134" s="10" t="e">
        <f t="shared" si="165"/>
        <v>#VALUE!</v>
      </c>
      <c r="BT134" s="10" t="e">
        <f t="shared" si="166"/>
        <v>#VALUE!</v>
      </c>
      <c r="BU134" s="10" t="e">
        <f t="shared" si="167"/>
        <v>#VALUE!</v>
      </c>
      <c r="BW134" s="10" t="e">
        <f t="shared" si="139"/>
        <v>#VALUE!</v>
      </c>
      <c r="BX134" s="10" t="e">
        <f t="shared" si="140"/>
        <v>#VALUE!</v>
      </c>
      <c r="BY134" s="10" t="e">
        <f t="shared" si="141"/>
        <v>#VALUE!</v>
      </c>
      <c r="BZ134" s="10" t="e">
        <f t="shared" si="142"/>
        <v>#VALUE!</v>
      </c>
      <c r="CA134" s="10" t="e">
        <f t="shared" si="143"/>
        <v>#VALUE!</v>
      </c>
      <c r="CB134" s="10" t="e">
        <f t="shared" si="144"/>
        <v>#VALUE!</v>
      </c>
      <c r="CD134" s="10" t="e">
        <f>MATCH(INDEX($BP$12:$BU$12,1,MATCH(BP134,$BP$15:$BU$15,0)),结果汇总!$AI$10:$AI$13,0)</f>
        <v>#VALUE!</v>
      </c>
      <c r="CE134" s="10" t="e">
        <f>MATCH(INDEX($BP$12:$BU$12,1,MATCH(BQ134,$BP$15:$BU$15,0)),结果汇总!$AI$10:$AI$13,0)</f>
        <v>#VALUE!</v>
      </c>
      <c r="CF134" s="10" t="e">
        <f>MATCH(INDEX($BP$12:$BU$12,1,MATCH(BR134,$BP$15:$BU$15,0)),结果汇总!$AI$10:$AI$13,0)</f>
        <v>#VALUE!</v>
      </c>
      <c r="CG134" s="10" t="e">
        <f>MATCH(INDEX($BP$12:$BU$12,1,MATCH(BS134,$BP$15:$BU$15,0)),结果汇总!$AI$10:$AI$13,0)</f>
        <v>#VALUE!</v>
      </c>
      <c r="CH134" s="10" t="e">
        <f>MATCH(INDEX($BP$12:$BU$12,1,MATCH(BT134,$BP$15:$BU$15,0)),结果汇总!$AI$10:$AI$13,0)</f>
        <v>#VALUE!</v>
      </c>
      <c r="CI134" s="10" t="e">
        <f>MATCH(INDEX($BP$12:$BU$12,1,MATCH(BU134,$BP$15:$BU$15,0)),结果汇总!$AI$10:$AI$13,0)</f>
        <v>#VALUE!</v>
      </c>
      <c r="CK134" s="10">
        <f t="shared" si="179"/>
        <v>0</v>
      </c>
      <c r="CL134" s="10">
        <f t="shared" si="179"/>
        <v>0</v>
      </c>
      <c r="CM134" s="10">
        <f t="shared" si="179"/>
        <v>0</v>
      </c>
      <c r="CN134" s="10">
        <f t="shared" si="179"/>
        <v>0</v>
      </c>
      <c r="CO134" s="10" t="e">
        <f t="shared" si="180"/>
        <v>#DIV/0!</v>
      </c>
      <c r="CP134" s="10" t="e">
        <f t="shared" si="180"/>
        <v>#DIV/0!</v>
      </c>
      <c r="CQ134" s="10" t="e">
        <f t="shared" si="180"/>
        <v>#DIV/0!</v>
      </c>
      <c r="CR134" s="10" t="e">
        <f t="shared" si="180"/>
        <v>#DIV/0!</v>
      </c>
      <c r="CS134" s="10">
        <f t="shared" si="181"/>
        <v>0</v>
      </c>
      <c r="CT134" s="10">
        <f t="shared" si="181"/>
        <v>0</v>
      </c>
      <c r="CU134" s="10">
        <f t="shared" si="181"/>
        <v>0</v>
      </c>
      <c r="CV134" s="10">
        <f t="shared" si="181"/>
        <v>0</v>
      </c>
      <c r="CW134" s="10">
        <f t="shared" si="182"/>
        <v>0</v>
      </c>
      <c r="CX134" s="10">
        <f t="shared" si="182"/>
        <v>0</v>
      </c>
      <c r="CY134" s="10">
        <f t="shared" si="182"/>
        <v>0</v>
      </c>
      <c r="CZ134" s="10">
        <f t="shared" si="182"/>
        <v>0</v>
      </c>
    </row>
    <row r="135" spans="4:104" x14ac:dyDescent="0.15">
      <c r="D135" s="10">
        <v>120</v>
      </c>
      <c r="E135" s="10" t="e">
        <f t="shared" si="169"/>
        <v>#VALUE!</v>
      </c>
      <c r="F135" s="10" t="e">
        <f t="shared" si="183"/>
        <v>#VALUE!</v>
      </c>
      <c r="G135" s="10" t="e">
        <f t="shared" si="184"/>
        <v>#VALUE!</v>
      </c>
      <c r="H135" s="10" t="e">
        <f t="shared" si="185"/>
        <v>#VALUE!</v>
      </c>
      <c r="I135" s="10" t="e">
        <f t="shared" si="168"/>
        <v>#VALUE!</v>
      </c>
      <c r="J135" s="10" t="e">
        <f t="shared" si="170"/>
        <v>#VALUE!</v>
      </c>
      <c r="K135" s="10" t="e">
        <f t="shared" si="186"/>
        <v>#VALUE!</v>
      </c>
      <c r="L135" s="10" t="e">
        <f t="shared" si="187"/>
        <v>#VALUE!</v>
      </c>
      <c r="M135" s="10" t="e">
        <f t="shared" si="188"/>
        <v>#VALUE!</v>
      </c>
      <c r="O135" s="10" t="e">
        <f t="shared" si="171"/>
        <v>#VALUE!</v>
      </c>
      <c r="P135" s="10" t="e">
        <f t="shared" si="189"/>
        <v>#VALUE!</v>
      </c>
      <c r="Q135" s="10" t="e">
        <f t="shared" si="190"/>
        <v>#VALUE!</v>
      </c>
      <c r="R135" s="10" t="e">
        <f t="shared" si="191"/>
        <v>#VALUE!</v>
      </c>
      <c r="S135" s="10" t="e">
        <f t="shared" si="192"/>
        <v>#VALUE!</v>
      </c>
      <c r="T135" s="10" t="e">
        <f t="shared" si="193"/>
        <v>#VALUE!</v>
      </c>
      <c r="U135" s="10" t="e">
        <f t="shared" si="194"/>
        <v>#VALUE!</v>
      </c>
      <c r="V135" s="10" t="e">
        <f t="shared" si="195"/>
        <v>#VALUE!</v>
      </c>
      <c r="W135" s="10" t="e">
        <f t="shared" si="196"/>
        <v>#VALUE!</v>
      </c>
      <c r="Y135" s="10" t="e">
        <f t="shared" si="172"/>
        <v>#VALUE!</v>
      </c>
      <c r="Z135" s="11" t="e">
        <f t="shared" si="197"/>
        <v>#VALUE!</v>
      </c>
      <c r="AA135" s="10" t="e">
        <f t="shared" si="198"/>
        <v>#VALUE!</v>
      </c>
      <c r="AB135" s="10" t="e">
        <f t="shared" si="199"/>
        <v>#VALUE!</v>
      </c>
      <c r="AC135" s="10" t="e">
        <f t="shared" si="200"/>
        <v>#VALUE!</v>
      </c>
      <c r="AD135" s="10" t="e">
        <f t="shared" si="201"/>
        <v>#VALUE!</v>
      </c>
      <c r="AE135" s="10" t="e">
        <f t="shared" si="202"/>
        <v>#VALUE!</v>
      </c>
      <c r="AF135" s="10" t="e">
        <f t="shared" si="203"/>
        <v>#VALUE!</v>
      </c>
      <c r="AG135" s="10" t="e">
        <f t="shared" si="204"/>
        <v>#VALUE!</v>
      </c>
      <c r="AI135" s="13"/>
      <c r="AK135" s="10" t="e">
        <f t="shared" si="173"/>
        <v>#VALUE!</v>
      </c>
      <c r="AL135" s="10" t="e">
        <f t="shared" si="205"/>
        <v>#VALUE!</v>
      </c>
      <c r="AM135" s="10" t="e">
        <f t="shared" si="206"/>
        <v>#VALUE!</v>
      </c>
      <c r="AN135" s="10" t="e">
        <f t="shared" si="207"/>
        <v>#VALUE!</v>
      </c>
      <c r="AO135" s="10" t="e">
        <f t="shared" si="208"/>
        <v>#VALUE!</v>
      </c>
      <c r="AP135" s="10" t="e">
        <f t="shared" si="174"/>
        <v>#VALUE!</v>
      </c>
      <c r="AQ135" s="10" t="e">
        <f t="shared" si="209"/>
        <v>#VALUE!</v>
      </c>
      <c r="AR135" s="10" t="e">
        <f t="shared" si="210"/>
        <v>#VALUE!</v>
      </c>
      <c r="AS135" s="10" t="e">
        <f t="shared" si="211"/>
        <v>#VALUE!</v>
      </c>
      <c r="AU135" s="10" t="e">
        <f t="shared" si="175"/>
        <v>#VALUE!</v>
      </c>
      <c r="AV135" s="10" t="e">
        <f t="shared" si="212"/>
        <v>#VALUE!</v>
      </c>
      <c r="AW135" s="10" t="e">
        <f t="shared" si="213"/>
        <v>#VALUE!</v>
      </c>
      <c r="AX135" s="10" t="e">
        <f t="shared" si="214"/>
        <v>#VALUE!</v>
      </c>
      <c r="AY135" s="10" t="e">
        <f t="shared" si="215"/>
        <v>#VALUE!</v>
      </c>
      <c r="AZ135" s="10" t="e">
        <f t="shared" si="176"/>
        <v>#VALUE!</v>
      </c>
      <c r="BA135" s="10" t="e">
        <f t="shared" si="216"/>
        <v>#VALUE!</v>
      </c>
      <c r="BB135" s="10" t="e">
        <f t="shared" si="217"/>
        <v>#VALUE!</v>
      </c>
      <c r="BC135" s="10" t="e">
        <f t="shared" si="218"/>
        <v>#VALUE!</v>
      </c>
      <c r="BE135" s="10" t="e">
        <f t="shared" si="177"/>
        <v>#VALUE!</v>
      </c>
      <c r="BF135" s="10" t="e">
        <f t="shared" si="219"/>
        <v>#VALUE!</v>
      </c>
      <c r="BG135" s="10" t="e">
        <f t="shared" si="220"/>
        <v>#VALUE!</v>
      </c>
      <c r="BH135" s="10" t="e">
        <f t="shared" si="221"/>
        <v>#VALUE!</v>
      </c>
      <c r="BI135" s="10" t="e">
        <f t="shared" si="222"/>
        <v>#VALUE!</v>
      </c>
      <c r="BJ135" s="10" t="e">
        <f t="shared" si="178"/>
        <v>#VALUE!</v>
      </c>
      <c r="BK135" s="10" t="e">
        <f t="shared" si="223"/>
        <v>#VALUE!</v>
      </c>
      <c r="BL135" s="10" t="e">
        <f t="shared" si="224"/>
        <v>#VALUE!</v>
      </c>
      <c r="BM135" s="10" t="e">
        <f t="shared" si="225"/>
        <v>#VALUE!</v>
      </c>
      <c r="BP135" s="10" t="e">
        <f t="shared" si="162"/>
        <v>#VALUE!</v>
      </c>
      <c r="BQ135" s="10" t="e">
        <f t="shared" si="163"/>
        <v>#VALUE!</v>
      </c>
      <c r="BR135" s="10" t="e">
        <f t="shared" si="164"/>
        <v>#VALUE!</v>
      </c>
      <c r="BS135" s="10" t="e">
        <f t="shared" si="165"/>
        <v>#VALUE!</v>
      </c>
      <c r="BT135" s="10" t="e">
        <f t="shared" si="166"/>
        <v>#VALUE!</v>
      </c>
      <c r="BU135" s="10" t="e">
        <f t="shared" si="167"/>
        <v>#VALUE!</v>
      </c>
      <c r="BW135" s="10" t="e">
        <f t="shared" si="139"/>
        <v>#VALUE!</v>
      </c>
      <c r="BX135" s="10" t="e">
        <f t="shared" si="140"/>
        <v>#VALUE!</v>
      </c>
      <c r="BY135" s="10" t="e">
        <f t="shared" si="141"/>
        <v>#VALUE!</v>
      </c>
      <c r="BZ135" s="10" t="e">
        <f t="shared" si="142"/>
        <v>#VALUE!</v>
      </c>
      <c r="CA135" s="10" t="e">
        <f t="shared" si="143"/>
        <v>#VALUE!</v>
      </c>
      <c r="CB135" s="10" t="e">
        <f t="shared" si="144"/>
        <v>#VALUE!</v>
      </c>
      <c r="CD135" s="10" t="e">
        <f>MATCH(INDEX($BP$12:$BU$12,1,MATCH(BP135,$BP$15:$BU$15,0)),结果汇总!$AI$10:$AI$13,0)</f>
        <v>#VALUE!</v>
      </c>
      <c r="CE135" s="10" t="e">
        <f>MATCH(INDEX($BP$12:$BU$12,1,MATCH(BQ135,$BP$15:$BU$15,0)),结果汇总!$AI$10:$AI$13,0)</f>
        <v>#VALUE!</v>
      </c>
      <c r="CF135" s="10" t="e">
        <f>MATCH(INDEX($BP$12:$BU$12,1,MATCH(BR135,$BP$15:$BU$15,0)),结果汇总!$AI$10:$AI$13,0)</f>
        <v>#VALUE!</v>
      </c>
      <c r="CG135" s="10" t="e">
        <f>MATCH(INDEX($BP$12:$BU$12,1,MATCH(BS135,$BP$15:$BU$15,0)),结果汇总!$AI$10:$AI$13,0)</f>
        <v>#VALUE!</v>
      </c>
      <c r="CH135" s="10" t="e">
        <f>MATCH(INDEX($BP$12:$BU$12,1,MATCH(BT135,$BP$15:$BU$15,0)),结果汇总!$AI$10:$AI$13,0)</f>
        <v>#VALUE!</v>
      </c>
      <c r="CI135" s="10" t="e">
        <f>MATCH(INDEX($BP$12:$BU$12,1,MATCH(BU135,$BP$15:$BU$15,0)),结果汇总!$AI$10:$AI$13,0)</f>
        <v>#VALUE!</v>
      </c>
      <c r="CK135" s="10">
        <f t="shared" si="179"/>
        <v>0</v>
      </c>
      <c r="CL135" s="10">
        <f t="shared" si="179"/>
        <v>0</v>
      </c>
      <c r="CM135" s="10">
        <f t="shared" si="179"/>
        <v>0</v>
      </c>
      <c r="CN135" s="10">
        <f t="shared" si="179"/>
        <v>0</v>
      </c>
      <c r="CO135" s="10" t="e">
        <f t="shared" si="180"/>
        <v>#DIV/0!</v>
      </c>
      <c r="CP135" s="10" t="e">
        <f t="shared" si="180"/>
        <v>#DIV/0!</v>
      </c>
      <c r="CQ135" s="10" t="e">
        <f t="shared" si="180"/>
        <v>#DIV/0!</v>
      </c>
      <c r="CR135" s="10" t="e">
        <f t="shared" si="180"/>
        <v>#DIV/0!</v>
      </c>
      <c r="CS135" s="10">
        <f t="shared" si="181"/>
        <v>0</v>
      </c>
      <c r="CT135" s="10">
        <f t="shared" si="181"/>
        <v>0</v>
      </c>
      <c r="CU135" s="10">
        <f t="shared" si="181"/>
        <v>0</v>
      </c>
      <c r="CV135" s="10">
        <f t="shared" si="181"/>
        <v>0</v>
      </c>
      <c r="CW135" s="10">
        <f t="shared" si="182"/>
        <v>0</v>
      </c>
      <c r="CX135" s="10">
        <f t="shared" si="182"/>
        <v>0</v>
      </c>
      <c r="CY135" s="10">
        <f t="shared" si="182"/>
        <v>0</v>
      </c>
      <c r="CZ135" s="10">
        <f t="shared" si="182"/>
        <v>0</v>
      </c>
    </row>
  </sheetData>
  <mergeCells count="6">
    <mergeCell ref="CW14:CZ14"/>
    <mergeCell ref="O9:O10"/>
    <mergeCell ref="I2:I3"/>
    <mergeCell ref="CK14:CN14"/>
    <mergeCell ref="CO14:CR14"/>
    <mergeCell ref="CS14:CV14"/>
  </mergeCells>
  <phoneticPr fontId="2" type="noConversion"/>
  <dataValidations disablePrompts="1" count="1">
    <dataValidation type="list" allowBlank="1" showInputMessage="1" showErrorMessage="1" sqref="F2:H2" xr:uid="{00000000-0002-0000-0100-000000000000}">
      <formula1>$R$10:$R$13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1000000}">
          <x14:formula1>
            <xm:f>结果汇总!$AI$10:$AI$13</xm:f>
          </x14:formula1>
          <xm:sqref>J2:L2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CZ135"/>
  <sheetViews>
    <sheetView workbookViewId="0">
      <selection activeCell="N30" sqref="N30"/>
    </sheetView>
  </sheetViews>
  <sheetFormatPr defaultColWidth="9" defaultRowHeight="11.25" x14ac:dyDescent="0.15"/>
  <cols>
    <col min="1" max="7" width="9" style="10"/>
    <col min="8" max="8" width="9.75" style="10" bestFit="1" customWidth="1"/>
    <col min="9" max="11" width="9.75" style="10" customWidth="1"/>
    <col min="12" max="12" width="9" style="10"/>
    <col min="13" max="13" width="9.75" style="10" bestFit="1" customWidth="1"/>
    <col min="14" max="14" width="9" style="10"/>
    <col min="15" max="16" width="9.75" style="10" customWidth="1"/>
    <col min="17" max="23" width="9" style="10" customWidth="1"/>
    <col min="24" max="24" width="9" style="10"/>
    <col min="25" max="25" width="9" style="10" customWidth="1"/>
    <col min="26" max="26" width="4.5" style="11" customWidth="1"/>
    <col min="27" max="27" width="9.75" style="10" customWidth="1"/>
    <col min="28" max="28" width="9" style="10" customWidth="1"/>
    <col min="29" max="29" width="9.75" style="10" customWidth="1"/>
    <col min="30" max="31" width="9" style="10" customWidth="1"/>
    <col min="32" max="32" width="9.75" style="10" customWidth="1"/>
    <col min="33" max="33" width="9" style="10" customWidth="1"/>
    <col min="34" max="35" width="9" style="10"/>
    <col min="36" max="36" width="9.75" style="10" bestFit="1" customWidth="1"/>
    <col min="37" max="38" width="9" style="10" customWidth="1"/>
    <col min="39" max="39" width="9.75" style="10" customWidth="1"/>
    <col min="40" max="42" width="9" style="10" customWidth="1"/>
    <col min="43" max="43" width="9.75" style="10" customWidth="1"/>
    <col min="44" max="45" width="9" style="10" customWidth="1"/>
    <col min="46" max="46" width="9.75" style="10" bestFit="1" customWidth="1"/>
    <col min="47" max="55" width="9" style="10" customWidth="1"/>
    <col min="56" max="56" width="9" style="10"/>
    <col min="57" max="65" width="9" style="10" customWidth="1"/>
    <col min="66" max="16384" width="9" style="10"/>
  </cols>
  <sheetData>
    <row r="1" spans="2:104" x14ac:dyDescent="0.15">
      <c r="F1" s="10">
        <v>5</v>
      </c>
      <c r="G1" s="10">
        <v>3</v>
      </c>
      <c r="H1" s="10">
        <v>1</v>
      </c>
      <c r="J1" s="10">
        <v>2</v>
      </c>
      <c r="K1" s="10">
        <v>4</v>
      </c>
      <c r="L1" s="10">
        <v>6</v>
      </c>
    </row>
    <row r="2" spans="2:104" x14ac:dyDescent="0.15">
      <c r="E2" s="10" t="s">
        <v>64</v>
      </c>
      <c r="F2" s="12" t="s">
        <v>67</v>
      </c>
      <c r="G2" s="12" t="s">
        <v>50</v>
      </c>
      <c r="H2" s="12" t="s">
        <v>55</v>
      </c>
      <c r="I2" s="33" t="s">
        <v>15</v>
      </c>
      <c r="J2" s="12" t="s">
        <v>55</v>
      </c>
      <c r="K2" s="12" t="s">
        <v>50</v>
      </c>
      <c r="L2" s="12" t="s">
        <v>67</v>
      </c>
      <c r="AI2" s="13"/>
    </row>
    <row r="3" spans="2:104" x14ac:dyDescent="0.15">
      <c r="E3" s="10" t="s">
        <v>63</v>
      </c>
      <c r="F3" s="12" t="str">
        <f>INDEX(结果汇总!$AI$14:$AI$17,MATCH(F2,结果汇总!$AI$10:$AI$13,0),1)</f>
        <v>弓将</v>
      </c>
      <c r="G3" s="12" t="str">
        <f>INDEX(结果汇总!$AI$14:$AI$17,MATCH(G2,结果汇总!$AI$10:$AI$13,0),1)</f>
        <v>步将</v>
      </c>
      <c r="H3" s="12" t="str">
        <f>INDEX(结果汇总!$AI$14:$AI$17,MATCH(H2,结果汇总!$AI$10:$AI$13,0),1)</f>
        <v>步将</v>
      </c>
      <c r="I3" s="33"/>
      <c r="J3" s="12" t="str">
        <f>INDEX(结果汇总!$AI$14:$AI$17,MATCH(J2,结果汇总!$AI$10:$AI$13,0),1)</f>
        <v>步将</v>
      </c>
      <c r="K3" s="12" t="str">
        <f>INDEX(结果汇总!$AI$14:$AI$17,MATCH(K2,结果汇总!$AI$10:$AI$13,0),1)</f>
        <v>步将</v>
      </c>
      <c r="L3" s="12" t="str">
        <f>INDEX(结果汇总!$AI$14:$AI$17,MATCH(L2,结果汇总!$AI$10:$AI$13,0),1)</f>
        <v>弓将</v>
      </c>
      <c r="AI3" s="13"/>
    </row>
    <row r="4" spans="2:104" x14ac:dyDescent="0.15">
      <c r="C4" s="10" t="s">
        <v>16</v>
      </c>
      <c r="D4" s="10" t="s">
        <v>17</v>
      </c>
      <c r="E4" s="10" t="s">
        <v>18</v>
      </c>
      <c r="F4" s="10" t="s">
        <v>19</v>
      </c>
      <c r="G4" s="10" t="s">
        <v>20</v>
      </c>
      <c r="J4" s="10" t="s">
        <v>17</v>
      </c>
      <c r="K4" s="10" t="s">
        <v>18</v>
      </c>
      <c r="L4" s="10" t="s">
        <v>19</v>
      </c>
      <c r="M4" s="10" t="s">
        <v>20</v>
      </c>
      <c r="AI4" s="13"/>
    </row>
    <row r="5" spans="2:104" x14ac:dyDescent="0.15">
      <c r="B5" s="10" t="s">
        <v>21</v>
      </c>
      <c r="C5" s="10" t="s">
        <v>2</v>
      </c>
      <c r="D5" s="14" t="str">
        <f>INDEX(结果汇总!$AL$10:$AL$13,MATCH($H$2,结果汇总!$AI$10:$AI$13,0))</f>
        <v>步兵</v>
      </c>
      <c r="E5" s="14">
        <f>INDEX(结果汇总!$AM$10:$AM$13,MATCH($H$2,结果汇总!$AI$10:$AI$13,0))</f>
        <v>324</v>
      </c>
      <c r="F5" s="10">
        <v>1000</v>
      </c>
      <c r="G5" s="14">
        <f>INDEX(结果汇总!$AN$10:$AN$13,MATCH($H$2,结果汇总!$AI$10:$AI$13,0))</f>
        <v>1</v>
      </c>
      <c r="H5" s="10" t="e">
        <f>D5*E5*F5^2/2</f>
        <v>#VALUE!</v>
      </c>
      <c r="I5" s="10" t="s">
        <v>22</v>
      </c>
      <c r="J5" s="14" t="str">
        <f>INDEX(结果汇总!$AL$10:$AL$13,MATCH(J2,结果汇总!$AI$10:$AI$13,0))</f>
        <v>步兵</v>
      </c>
      <c r="K5" s="14">
        <f>INDEX(结果汇总!$AM$10:$AM$13,MATCH(J2,结果汇总!$AI$10:$AI$13,0))</f>
        <v>324</v>
      </c>
      <c r="L5" s="10">
        <v>1000</v>
      </c>
      <c r="M5" s="14">
        <f>INDEX(结果汇总!$AN$10:$AN$13,MATCH(J2,结果汇总!$AI$10:$AI$13,0))</f>
        <v>1</v>
      </c>
      <c r="N5" s="10" t="e">
        <f>J5*K5*L5^2/2</f>
        <v>#VALUE!</v>
      </c>
      <c r="AI5" s="13"/>
    </row>
    <row r="6" spans="2:104" x14ac:dyDescent="0.15">
      <c r="C6" s="10" t="s">
        <v>23</v>
      </c>
      <c r="D6" s="14">
        <f>INDEX(结果汇总!$AL$14:$AL$17,MATCH($H$3,结果汇总!$AI$14:$AI$17,0))</f>
        <v>120000</v>
      </c>
      <c r="E6" s="14">
        <f>INDEX(结果汇总!$AM$14:$AM$17,MATCH($H$3,结果汇总!$AI$14:$AI$17,0))</f>
        <v>192000</v>
      </c>
      <c r="F6" s="10">
        <v>1</v>
      </c>
      <c r="G6" s="10">
        <v>1</v>
      </c>
      <c r="H6" s="10">
        <f>D6*E6</f>
        <v>23040000000</v>
      </c>
      <c r="I6" s="10" t="s">
        <v>24</v>
      </c>
      <c r="J6" s="14">
        <f>INDEX(结果汇总!$AL$14:$AL$17,MATCH(J3,结果汇总!$AI$14:$AI$17,0))</f>
        <v>120000</v>
      </c>
      <c r="K6" s="14">
        <f>INDEX(结果汇总!$AM$14:$AM$17,MATCH(J3,结果汇总!$AI$14:$AI$17,0))</f>
        <v>192000</v>
      </c>
      <c r="L6" s="10">
        <v>1</v>
      </c>
      <c r="M6" s="10">
        <v>1</v>
      </c>
      <c r="N6" s="10">
        <f>J6*K6</f>
        <v>23040000000</v>
      </c>
      <c r="AI6" s="13"/>
    </row>
    <row r="7" spans="2:104" x14ac:dyDescent="0.15">
      <c r="O7" s="10" t="s">
        <v>25</v>
      </c>
      <c r="P7" s="15">
        <f>结果汇总!AI3</f>
        <v>0.4</v>
      </c>
      <c r="AI7" s="13"/>
    </row>
    <row r="8" spans="2:104" x14ac:dyDescent="0.15">
      <c r="B8" s="10" t="s">
        <v>26</v>
      </c>
      <c r="C8" s="10" t="s">
        <v>27</v>
      </c>
      <c r="D8" s="14" t="str">
        <f>INDEX(结果汇总!$AL$10:$AL$13,MATCH(G2,结果汇总!$AI$10:$AI$13,0))</f>
        <v>枪兵</v>
      </c>
      <c r="E8" s="14">
        <f>INDEX(结果汇总!$AM$10:$AM$13,MATCH(G2,结果汇总!$AI$10:$AI$13,0))</f>
        <v>156</v>
      </c>
      <c r="F8" s="10">
        <v>1000</v>
      </c>
      <c r="G8" s="14">
        <f>INDEX(结果汇总!$AN$10:$AN$13,MATCH(G2,结果汇总!$AI$10:$AI$13,0))</f>
        <v>1</v>
      </c>
      <c r="H8" s="10" t="e">
        <f>D8*E8*F8^2/2</f>
        <v>#VALUE!</v>
      </c>
      <c r="I8" s="10" t="s">
        <v>28</v>
      </c>
      <c r="J8" s="14" t="str">
        <f>INDEX(结果汇总!$AL$10:$AL$13,MATCH(K2,结果汇总!$AI$10:$AI$13,0))</f>
        <v>枪兵</v>
      </c>
      <c r="K8" s="14">
        <f>INDEX(结果汇总!$AM$10:$AM$13,MATCH(K2,结果汇总!$AI$10:$AI$13,0))</f>
        <v>156</v>
      </c>
      <c r="L8" s="10">
        <v>1000</v>
      </c>
      <c r="M8" s="14">
        <f>INDEX(结果汇总!$AN$10:$AN$13,MATCH(K2,结果汇总!$AI$10:$AI$13,0))</f>
        <v>1</v>
      </c>
      <c r="N8" s="10" t="e">
        <f>J8*K8*L8^2/2</f>
        <v>#VALUE!</v>
      </c>
      <c r="O8" s="22" t="s">
        <v>51</v>
      </c>
      <c r="P8" s="23">
        <v>0</v>
      </c>
      <c r="AI8" s="13"/>
    </row>
    <row r="9" spans="2:104" x14ac:dyDescent="0.15">
      <c r="C9" s="10" t="s">
        <v>29</v>
      </c>
      <c r="D9" s="14">
        <f>INDEX(结果汇总!$AL$14:$AL$17,MATCH(G3,结果汇总!$AI$14:$AI$17,0))</f>
        <v>120000</v>
      </c>
      <c r="E9" s="14">
        <f>INDEX(结果汇总!$AM$14:$AM$17,MATCH(G3,结果汇总!$AI$14:$AI$17,0))</f>
        <v>192000</v>
      </c>
      <c r="F9" s="10">
        <v>1</v>
      </c>
      <c r="G9" s="10">
        <v>1</v>
      </c>
      <c r="H9" s="10">
        <f>D9*E9</f>
        <v>23040000000</v>
      </c>
      <c r="I9" s="10" t="s">
        <v>30</v>
      </c>
      <c r="J9" s="14">
        <f>INDEX(结果汇总!$AL$14:$AL$17,MATCH(K3,结果汇总!$AI$14:$AI$17,0))</f>
        <v>120000</v>
      </c>
      <c r="K9" s="14">
        <f>INDEX(结果汇总!$AM$14:$AM$17,MATCH(K3,结果汇总!$AI$14:$AI$17,0))</f>
        <v>192000</v>
      </c>
      <c r="L9" s="10">
        <v>1</v>
      </c>
      <c r="M9" s="10">
        <v>1</v>
      </c>
      <c r="N9" s="10">
        <f>J9*K9</f>
        <v>23040000000</v>
      </c>
      <c r="O9" s="32" t="s">
        <v>53</v>
      </c>
      <c r="P9" s="26" t="e">
        <f>MIN($E$16:$E$135)+MIN($O$16:$O$135)+MIN($Y$16:$Y$135)</f>
        <v>#VALUE!</v>
      </c>
      <c r="AI9" s="13"/>
    </row>
    <row r="10" spans="2:104" x14ac:dyDescent="0.15">
      <c r="O10" s="32"/>
      <c r="P10" s="26" t="e">
        <f>MIN($AK$16:$AK$135)+MIN($AU$16:$AU$135)+MIN($BE$16:$BE$135)</f>
        <v>#VALUE!</v>
      </c>
      <c r="AI10" s="13"/>
    </row>
    <row r="11" spans="2:104" x14ac:dyDescent="0.15">
      <c r="B11" s="10" t="s">
        <v>31</v>
      </c>
      <c r="C11" s="10" t="s">
        <v>32</v>
      </c>
      <c r="D11" s="14" t="str">
        <f>INDEX(结果汇总!$AL$10:$AL$13,MATCH(F2,结果汇总!$AI$10:$AI$13,0))</f>
        <v>弓兵</v>
      </c>
      <c r="E11" s="14">
        <f>INDEX(结果汇总!$AM$10:$AM$13,MATCH(F2,结果汇总!$AI$10:$AI$13,0))</f>
        <v>180</v>
      </c>
      <c r="F11" s="10">
        <v>1000</v>
      </c>
      <c r="G11" s="14">
        <f>INDEX(结果汇总!$AN$10:$AN$13,MATCH(F2,结果汇总!$AI$10:$AI$13,0))</f>
        <v>1</v>
      </c>
      <c r="H11" s="10" t="e">
        <f>D11*E11*F11^2/2</f>
        <v>#VALUE!</v>
      </c>
      <c r="I11" s="10" t="s">
        <v>33</v>
      </c>
      <c r="J11" s="14" t="str">
        <f>INDEX(结果汇总!$AL$10:$AL$13,MATCH(L2,结果汇总!$AI$10:$AI$13,0))</f>
        <v>弓兵</v>
      </c>
      <c r="K11" s="14">
        <f>INDEX(结果汇总!$AM$10:$AM$13,MATCH(L2,结果汇总!$AI$10:$AI$13,0))</f>
        <v>180</v>
      </c>
      <c r="L11" s="10">
        <v>1000</v>
      </c>
      <c r="M11" s="14">
        <f>INDEX(结果汇总!$AN$10:$AN$13,MATCH(L2,结果汇总!$AI$10:$AI$13,0))</f>
        <v>1</v>
      </c>
      <c r="N11" s="10" t="e">
        <f>J11*K11*L11^2/2</f>
        <v>#VALUE!</v>
      </c>
      <c r="AI11" s="13"/>
    </row>
    <row r="12" spans="2:104" x14ac:dyDescent="0.15">
      <c r="C12" s="10" t="s">
        <v>11</v>
      </c>
      <c r="D12" s="14">
        <f>INDEX(结果汇总!$AL$14:$AL$17,MATCH(F3,结果汇总!$AI$14:$AI$17,0))</f>
        <v>120000</v>
      </c>
      <c r="E12" s="14">
        <f>INDEX(结果汇总!$AM$14:$AM$17,MATCH(F3,结果汇总!$AI$14:$AI$17,0))</f>
        <v>192000</v>
      </c>
      <c r="F12" s="10">
        <v>1</v>
      </c>
      <c r="G12" s="10">
        <v>1</v>
      </c>
      <c r="H12" s="10">
        <f>D12*E12</f>
        <v>23040000000</v>
      </c>
      <c r="I12" s="10" t="s">
        <v>34</v>
      </c>
      <c r="J12" s="14">
        <f>INDEX(结果汇总!$AL$14:$AL$17,MATCH(L3,结果汇总!$AI$14:$AI$17,0))</f>
        <v>120000</v>
      </c>
      <c r="K12" s="14">
        <f>INDEX(结果汇总!$AM$14:$AM$17,MATCH(L3,结果汇总!$AI$14:$AI$17,0))</f>
        <v>192000</v>
      </c>
      <c r="L12" s="10">
        <v>1</v>
      </c>
      <c r="M12" s="10">
        <v>1</v>
      </c>
      <c r="N12" s="10">
        <f>J12*K12</f>
        <v>23040000000</v>
      </c>
      <c r="AI12" s="13"/>
      <c r="BO12" s="10" t="s">
        <v>46</v>
      </c>
      <c r="BP12" s="6" t="str">
        <f>F2</f>
        <v>弓驽兵</v>
      </c>
      <c r="BQ12" s="6" t="str">
        <f>G2</f>
        <v>枪兵</v>
      </c>
      <c r="BR12" s="6" t="str">
        <f>H2</f>
        <v>刀兵</v>
      </c>
      <c r="BS12" s="6" t="str">
        <f>J2</f>
        <v>刀兵</v>
      </c>
      <c r="BT12" s="6" t="str">
        <f>K2</f>
        <v>枪兵</v>
      </c>
      <c r="BU12" s="6" t="str">
        <f>L2</f>
        <v>弓驽兵</v>
      </c>
    </row>
    <row r="13" spans="2:104" x14ac:dyDescent="0.15">
      <c r="AI13" s="13"/>
      <c r="CK13" s="10" t="s">
        <v>78</v>
      </c>
    </row>
    <row r="14" spans="2:104" x14ac:dyDescent="0.15">
      <c r="E14" s="16" t="s">
        <v>36</v>
      </c>
      <c r="F14" s="16"/>
      <c r="G14" s="16"/>
      <c r="J14" s="16" t="s">
        <v>23</v>
      </c>
      <c r="K14" s="16"/>
      <c r="L14" s="16"/>
      <c r="O14" s="16" t="s">
        <v>27</v>
      </c>
      <c r="P14" s="16"/>
      <c r="Q14" s="16"/>
      <c r="T14" s="16" t="s">
        <v>29</v>
      </c>
      <c r="U14" s="16"/>
      <c r="V14" s="16"/>
      <c r="Y14" s="16" t="s">
        <v>32</v>
      </c>
      <c r="AA14" s="16"/>
      <c r="AD14" s="16" t="s">
        <v>11</v>
      </c>
      <c r="AE14" s="16"/>
      <c r="AF14" s="16"/>
      <c r="AI14" s="13"/>
      <c r="AK14" s="16" t="s">
        <v>22</v>
      </c>
      <c r="AL14" s="16"/>
      <c r="AM14" s="16"/>
      <c r="AP14" s="16" t="s">
        <v>24</v>
      </c>
      <c r="AQ14" s="16"/>
      <c r="AR14" s="16"/>
      <c r="AU14" s="16" t="s">
        <v>39</v>
      </c>
      <c r="AV14" s="16"/>
      <c r="AW14" s="16"/>
      <c r="AZ14" s="16" t="s">
        <v>30</v>
      </c>
      <c r="BA14" s="16"/>
      <c r="BB14" s="16"/>
      <c r="BE14" s="16" t="s">
        <v>33</v>
      </c>
      <c r="BF14" s="16"/>
      <c r="BG14" s="16"/>
      <c r="BJ14" s="16" t="s">
        <v>34</v>
      </c>
      <c r="BK14" s="16"/>
      <c r="BL14" s="16"/>
      <c r="BP14" s="18" t="s">
        <v>35</v>
      </c>
      <c r="BW14" s="10" t="s">
        <v>66</v>
      </c>
      <c r="CD14" s="10" t="s">
        <v>77</v>
      </c>
      <c r="CK14" s="31">
        <v>1</v>
      </c>
      <c r="CL14" s="31"/>
      <c r="CM14" s="31"/>
      <c r="CN14" s="31"/>
      <c r="CO14" s="31">
        <v>2</v>
      </c>
      <c r="CP14" s="31"/>
      <c r="CQ14" s="31"/>
      <c r="CR14" s="31"/>
      <c r="CS14" s="31">
        <v>3</v>
      </c>
      <c r="CT14" s="31"/>
      <c r="CU14" s="31"/>
      <c r="CV14" s="31"/>
      <c r="CW14" s="31">
        <v>4</v>
      </c>
      <c r="CX14" s="31"/>
      <c r="CY14" s="31"/>
      <c r="CZ14" s="31"/>
    </row>
    <row r="15" spans="2:104" x14ac:dyDescent="0.15">
      <c r="E15" s="10" t="s">
        <v>40</v>
      </c>
      <c r="F15" s="10" t="s">
        <v>41</v>
      </c>
      <c r="G15" s="10" t="s">
        <v>42</v>
      </c>
      <c r="H15" s="10" t="s">
        <v>43</v>
      </c>
      <c r="I15" s="10" t="s">
        <v>44</v>
      </c>
      <c r="J15" s="10" t="s">
        <v>65</v>
      </c>
      <c r="K15" s="10" t="s">
        <v>41</v>
      </c>
      <c r="L15" s="10" t="s">
        <v>42</v>
      </c>
      <c r="M15" s="10" t="s">
        <v>44</v>
      </c>
      <c r="O15" s="10" t="s">
        <v>45</v>
      </c>
      <c r="P15" s="10" t="s">
        <v>41</v>
      </c>
      <c r="Q15" s="10" t="s">
        <v>42</v>
      </c>
      <c r="R15" s="10" t="s">
        <v>43</v>
      </c>
      <c r="S15" s="10" t="s">
        <v>44</v>
      </c>
      <c r="T15" s="10" t="s">
        <v>65</v>
      </c>
      <c r="U15" s="10" t="s">
        <v>41</v>
      </c>
      <c r="V15" s="10" t="s">
        <v>42</v>
      </c>
      <c r="W15" s="10" t="s">
        <v>44</v>
      </c>
      <c r="Y15" s="10" t="s">
        <v>45</v>
      </c>
      <c r="Z15" s="11" t="s">
        <v>41</v>
      </c>
      <c r="AA15" s="10" t="s">
        <v>42</v>
      </c>
      <c r="AB15" s="10" t="s">
        <v>43</v>
      </c>
      <c r="AC15" s="10" t="s">
        <v>44</v>
      </c>
      <c r="AD15" s="10" t="s">
        <v>65</v>
      </c>
      <c r="AE15" s="10" t="s">
        <v>41</v>
      </c>
      <c r="AF15" s="10" t="s">
        <v>42</v>
      </c>
      <c r="AG15" s="10" t="s">
        <v>44</v>
      </c>
      <c r="AI15" s="13"/>
      <c r="AK15" s="10" t="s">
        <v>45</v>
      </c>
      <c r="AL15" s="10" t="s">
        <v>41</v>
      </c>
      <c r="AM15" s="10" t="s">
        <v>42</v>
      </c>
      <c r="AN15" s="10" t="s">
        <v>43</v>
      </c>
      <c r="AO15" s="10" t="s">
        <v>44</v>
      </c>
      <c r="AP15" s="10" t="s">
        <v>65</v>
      </c>
      <c r="AQ15" s="10" t="s">
        <v>41</v>
      </c>
      <c r="AR15" s="10" t="s">
        <v>42</v>
      </c>
      <c r="AS15" s="10" t="s">
        <v>44</v>
      </c>
      <c r="AU15" s="10" t="s">
        <v>45</v>
      </c>
      <c r="AV15" s="10" t="s">
        <v>41</v>
      </c>
      <c r="AW15" s="10" t="s">
        <v>42</v>
      </c>
      <c r="AX15" s="10" t="s">
        <v>43</v>
      </c>
      <c r="AY15" s="10" t="s">
        <v>44</v>
      </c>
      <c r="AZ15" s="10" t="s">
        <v>65</v>
      </c>
      <c r="BA15" s="10" t="s">
        <v>41</v>
      </c>
      <c r="BB15" s="10" t="s">
        <v>42</v>
      </c>
      <c r="BC15" s="10" t="s">
        <v>44</v>
      </c>
      <c r="BE15" s="10" t="s">
        <v>45</v>
      </c>
      <c r="BF15" s="10" t="s">
        <v>41</v>
      </c>
      <c r="BG15" s="10" t="s">
        <v>42</v>
      </c>
      <c r="BH15" s="10" t="s">
        <v>43</v>
      </c>
      <c r="BI15" s="10" t="s">
        <v>44</v>
      </c>
      <c r="BJ15" s="10" t="s">
        <v>65</v>
      </c>
      <c r="BK15" s="10" t="s">
        <v>41</v>
      </c>
      <c r="BL15" s="10" t="s">
        <v>42</v>
      </c>
      <c r="BM15" s="10" t="s">
        <v>44</v>
      </c>
      <c r="BP15" s="17">
        <v>5</v>
      </c>
      <c r="BQ15" s="17">
        <v>3</v>
      </c>
      <c r="BR15" s="17">
        <v>1</v>
      </c>
      <c r="BS15" s="17">
        <v>2</v>
      </c>
      <c r="BT15" s="17">
        <v>4</v>
      </c>
      <c r="BU15" s="17">
        <v>6</v>
      </c>
      <c r="BW15" s="17">
        <v>5</v>
      </c>
      <c r="BX15" s="17">
        <v>3</v>
      </c>
      <c r="BY15" s="17">
        <v>1</v>
      </c>
      <c r="BZ15" s="17">
        <v>2</v>
      </c>
      <c r="CA15" s="17">
        <v>4</v>
      </c>
      <c r="CB15" s="17">
        <v>6</v>
      </c>
      <c r="CD15" s="17">
        <f>MATCH(BP12,结果汇总!$AI$10:$AI$13,0)</f>
        <v>3</v>
      </c>
      <c r="CE15" s="17">
        <f>MATCH(BQ12,结果汇总!$AI$10:$AI$13,0)</f>
        <v>4</v>
      </c>
      <c r="CF15" s="17">
        <f>MATCH(BR12,结果汇总!$AI$10:$AI$13,0)</f>
        <v>1</v>
      </c>
      <c r="CG15" s="17">
        <f>MATCH(BS12,结果汇总!$AI$10:$AI$13,0)</f>
        <v>1</v>
      </c>
      <c r="CH15" s="17">
        <f>MATCH(BT12,结果汇总!$AI$10:$AI$13,0)</f>
        <v>4</v>
      </c>
      <c r="CI15" s="17">
        <f>MATCH(BU12,结果汇总!$AI$10:$AI$13,0)</f>
        <v>3</v>
      </c>
      <c r="CK15" s="10">
        <v>1</v>
      </c>
      <c r="CL15" s="10">
        <v>2</v>
      </c>
      <c r="CM15" s="10">
        <v>3</v>
      </c>
      <c r="CN15" s="10">
        <v>4</v>
      </c>
      <c r="CO15" s="10">
        <f>CK15</f>
        <v>1</v>
      </c>
      <c r="CP15" s="10">
        <f t="shared" ref="CP15:CZ15" si="0">CL15</f>
        <v>2</v>
      </c>
      <c r="CQ15" s="10">
        <f t="shared" si="0"/>
        <v>3</v>
      </c>
      <c r="CR15" s="10">
        <f t="shared" si="0"/>
        <v>4</v>
      </c>
      <c r="CS15" s="10">
        <f t="shared" si="0"/>
        <v>1</v>
      </c>
      <c r="CT15" s="10">
        <f t="shared" si="0"/>
        <v>2</v>
      </c>
      <c r="CU15" s="10">
        <f t="shared" si="0"/>
        <v>3</v>
      </c>
      <c r="CV15" s="10">
        <f t="shared" si="0"/>
        <v>4</v>
      </c>
      <c r="CW15" s="10">
        <f t="shared" si="0"/>
        <v>1</v>
      </c>
      <c r="CX15" s="10">
        <f t="shared" si="0"/>
        <v>2</v>
      </c>
      <c r="CY15" s="10">
        <f t="shared" si="0"/>
        <v>3</v>
      </c>
      <c r="CZ15" s="10">
        <f t="shared" si="0"/>
        <v>4</v>
      </c>
    </row>
    <row r="16" spans="2:104" x14ac:dyDescent="0.15">
      <c r="D16" s="10">
        <v>1</v>
      </c>
      <c r="E16" s="10">
        <f>F5</f>
        <v>1000</v>
      </c>
      <c r="F16" s="10">
        <f t="shared" ref="F16:F79" si="1">IF(E16=0,0,E16*$E$5)</f>
        <v>324000</v>
      </c>
      <c r="G16" s="10">
        <f t="shared" ref="G16:G79" si="2">F16*$P$7</f>
        <v>129600</v>
      </c>
      <c r="H16" s="10">
        <f>IF(E16=0,0,ROUNDUP(E16/$F$5*$G$5,0))</f>
        <v>1</v>
      </c>
      <c r="I16" s="10">
        <f t="shared" ref="I16:I79" si="3">IF(AND(J16=0,E16&lt;&gt;0),1,H16/(H16+$G$6))</f>
        <v>0.5</v>
      </c>
      <c r="J16" s="10">
        <f>$F$6</f>
        <v>1</v>
      </c>
      <c r="K16" s="10">
        <f t="shared" ref="K16:K79" si="4">IF(J16=0,0,ROUNDUP(J16,0)*$E$6)</f>
        <v>192000</v>
      </c>
      <c r="L16" s="10">
        <f t="shared" ref="L16:L79" si="5">K16*$P$7</f>
        <v>76800</v>
      </c>
      <c r="M16" s="10">
        <f>IF(J16=0,0,1-I16)</f>
        <v>0.5</v>
      </c>
      <c r="O16" s="10">
        <f>$F$8</f>
        <v>1000</v>
      </c>
      <c r="P16" s="10">
        <f t="shared" ref="P16:P79" si="6">IF(O16=0,0,O16*$E$8)</f>
        <v>156000</v>
      </c>
      <c r="Q16" s="10">
        <f t="shared" ref="Q16:Q79" si="7">P16*$P$7</f>
        <v>62400</v>
      </c>
      <c r="R16" s="10">
        <f>IF(O16=0,0,ROUNDUP(O16/$F$8*$G$8,0))</f>
        <v>1</v>
      </c>
      <c r="S16" s="10">
        <f>IF(AND(T16=0,O16&lt;&gt;0),1,R16/(R16+$G$9))</f>
        <v>0.5</v>
      </c>
      <c r="T16" s="10">
        <f>$F$9</f>
        <v>1</v>
      </c>
      <c r="U16" s="10">
        <f>IF(T16=0,0,ROUNDUP(T16,0)*$E$9)</f>
        <v>192000</v>
      </c>
      <c r="V16" s="10">
        <f t="shared" ref="V16:V79" si="8">U16*$P$7</f>
        <v>76800</v>
      </c>
      <c r="W16" s="10">
        <f>IF(T16=0,0,1-S16)</f>
        <v>0.5</v>
      </c>
      <c r="Y16" s="10">
        <f>$F$11</f>
        <v>1000</v>
      </c>
      <c r="Z16" s="11">
        <f>IF(Y16=0,0,Y16*$E$11)</f>
        <v>180000</v>
      </c>
      <c r="AA16" s="10">
        <f t="shared" ref="AA16:AA79" si="9">Z16*$P$7</f>
        <v>72000</v>
      </c>
      <c r="AB16" s="10">
        <f>IF(Y16=0,0,ROUNDUP(Y16/$F$11*$G$11,0))</f>
        <v>1</v>
      </c>
      <c r="AC16" s="10">
        <f>IF(AND(AD16=0,Y16&lt;&gt;0),1,AB16/(AB16+$G$12))</f>
        <v>0.5</v>
      </c>
      <c r="AD16" s="10">
        <f>$F$12</f>
        <v>1</v>
      </c>
      <c r="AE16" s="10">
        <f>IF(AD16=0,0,ROUNDUP(AD16,0)*$E$12)</f>
        <v>192000</v>
      </c>
      <c r="AF16" s="10">
        <f t="shared" ref="AF16:AF79" si="10">AE16*$P$7</f>
        <v>76800</v>
      </c>
      <c r="AG16" s="10">
        <f>IF(AD16=0,0,1-AC16)</f>
        <v>0.5</v>
      </c>
      <c r="AI16" s="13"/>
      <c r="AK16" s="10">
        <f>$L$5</f>
        <v>1000</v>
      </c>
      <c r="AL16" s="10">
        <f>IF(AK16=0,0,AK16*$K$5)</f>
        <v>324000</v>
      </c>
      <c r="AM16" s="10">
        <f t="shared" ref="AM16:AM79" si="11">AL16*$P$7</f>
        <v>129600</v>
      </c>
      <c r="AN16" s="10">
        <f>IF(AK16=0,0,ROUNDUP(AK16/$L$5*$M$5,0))</f>
        <v>1</v>
      </c>
      <c r="AO16" s="10">
        <f>IF(AND(AP16=0,AK16&lt;&gt;0),1,AN16/(AN16+$M$6))</f>
        <v>0.5</v>
      </c>
      <c r="AP16" s="10">
        <f>$L$6</f>
        <v>1</v>
      </c>
      <c r="AQ16" s="10">
        <f>IF(AP16=0,0,ROUNDUP(AP16,0)*$K$6)</f>
        <v>192000</v>
      </c>
      <c r="AR16" s="10">
        <f t="shared" ref="AR16:AR79" si="12">AQ16*$P$7</f>
        <v>76800</v>
      </c>
      <c r="AS16" s="10">
        <f>IF(AP16=0,0,1-AO16)</f>
        <v>0.5</v>
      </c>
      <c r="AU16" s="10">
        <f>$L$8</f>
        <v>1000</v>
      </c>
      <c r="AV16" s="10">
        <f>IF(AU16=0,0,AU16*$K$8)</f>
        <v>156000</v>
      </c>
      <c r="AW16" s="10">
        <f t="shared" ref="AW16:AW79" si="13">AV16*$P$7</f>
        <v>62400</v>
      </c>
      <c r="AX16" s="10">
        <f>IF(AU16=0,0,ROUNDUP(AU16/$L$8*$M$8,0))</f>
        <v>1</v>
      </c>
      <c r="AY16" s="10">
        <f>IF(AND(AZ16=0,AU16&lt;&gt;0),1,AX16/(AX16+$M$9))</f>
        <v>0.5</v>
      </c>
      <c r="AZ16" s="10">
        <f>$L$9</f>
        <v>1</v>
      </c>
      <c r="BA16" s="10">
        <f>IF(AZ16=0,0,ROUNDUP(AZ16,0)*$K$9)</f>
        <v>192000</v>
      </c>
      <c r="BB16" s="10">
        <f t="shared" ref="BB16:BB79" si="14">BA16*$P$7</f>
        <v>76800</v>
      </c>
      <c r="BC16" s="10">
        <f>IF(AZ16=0,0,1-AY16)</f>
        <v>0.5</v>
      </c>
      <c r="BE16" s="10">
        <f>$L$11</f>
        <v>1000</v>
      </c>
      <c r="BF16" s="10">
        <f>IF(BE16=0,0,BE16*$K$11)</f>
        <v>180000</v>
      </c>
      <c r="BG16" s="10">
        <f t="shared" ref="BG16:BG79" si="15">BF16*$P$7</f>
        <v>72000</v>
      </c>
      <c r="BH16" s="10">
        <f>IF(BE16=0,0,ROUNDUP(BE16/$L$11*$M$11,0))</f>
        <v>1</v>
      </c>
      <c r="BI16" s="10">
        <f>IF(AND(BJ16=0,BE16&lt;&gt;0),1,BH16/(BH16+$M$12))</f>
        <v>0.5</v>
      </c>
      <c r="BJ16" s="10">
        <f>$L$12</f>
        <v>1</v>
      </c>
      <c r="BK16" s="10">
        <f>IF(BJ16=0,0,ROUNDUP(BJ16,0)*$K$12)</f>
        <v>192000</v>
      </c>
      <c r="BL16" s="10">
        <f t="shared" ref="BL16:BL79" si="16">BK16*$P$7</f>
        <v>76800</v>
      </c>
      <c r="BM16" s="10">
        <f>IF(BJ16=0,0,1-BI16)</f>
        <v>0.5</v>
      </c>
      <c r="BP16" s="10">
        <f>IF(BZ16&gt;0,BS$15,IF(CA16&gt;0,BT$15,BU$15))</f>
        <v>2</v>
      </c>
      <c r="BQ16" s="10">
        <f>IF(BZ16&gt;0,BS$15,IF(CA16&gt;0,BT$15,BU$15))</f>
        <v>2</v>
      </c>
      <c r="BR16" s="10">
        <f>IF(BZ16&gt;0,BS$15,IF(CA16&gt;0,BT$15,BU$15))</f>
        <v>2</v>
      </c>
      <c r="BS16" s="10">
        <f>IF(BY16&gt;0,BR$15,IF(BX16&gt;0,BQ$15,BP$15))</f>
        <v>1</v>
      </c>
      <c r="BT16" s="10">
        <f>IF(BY16&gt;0,BR$15,IF(BX16&gt;0,BQ$15,BP$15))</f>
        <v>1</v>
      </c>
      <c r="BU16" s="10">
        <f>IF(BY16&gt;0,BR$15,IF(BX16&gt;0,BQ$15,BP$15))</f>
        <v>1</v>
      </c>
      <c r="BW16" s="10">
        <f>Y16+AD16*1000</f>
        <v>2000</v>
      </c>
      <c r="BX16" s="10">
        <f>O16+T16*1000</f>
        <v>2000</v>
      </c>
      <c r="BY16" s="10">
        <f>E16+J16*1000</f>
        <v>2000</v>
      </c>
      <c r="BZ16" s="10">
        <f>AK16+AP16*1000</f>
        <v>2000</v>
      </c>
      <c r="CA16" s="10">
        <f>AU16+AZ16*1000</f>
        <v>2000</v>
      </c>
      <c r="CB16" s="10">
        <f>BE16+BJ16*1000</f>
        <v>2000</v>
      </c>
      <c r="CD16" s="10">
        <f>MATCH(INDEX($BP$12:$BU$12,1,MATCH(BP16,$BP$15:$BU$15,0)),结果汇总!$AI$10:$AI$13,0)</f>
        <v>1</v>
      </c>
      <c r="CE16" s="10">
        <f>MATCH(INDEX($BP$12:$BU$12,1,MATCH(BQ16,$BP$15:$BU$15,0)),结果汇总!$AI$10:$AI$13,0)</f>
        <v>1</v>
      </c>
      <c r="CF16" s="10">
        <f>MATCH(INDEX($BP$12:$BU$12,1,MATCH(BR16,$BP$15:$BU$15,0)),结果汇总!$AI$10:$AI$13,0)</f>
        <v>1</v>
      </c>
      <c r="CG16" s="10">
        <f>MATCH(INDEX($BP$12:$BU$12,1,MATCH(BS16,$BP$15:$BU$15,0)),结果汇总!$AI$10:$AI$13,0)</f>
        <v>1</v>
      </c>
      <c r="CH16" s="10">
        <f>MATCH(INDEX($BP$12:$BU$12,1,MATCH(BT16,$BP$15:$BU$15,0)),结果汇总!$AI$10:$AI$13,0)</f>
        <v>1</v>
      </c>
      <c r="CI16" s="10">
        <f>MATCH(INDEX($BP$12:$BU$12,1,MATCH(BU16,$BP$15:$BU$15,0)),结果汇总!$AI$10:$AI$13,0)</f>
        <v>1</v>
      </c>
      <c r="CK16" s="10">
        <f>COUNTIFS($CD16:$CI16,CK$15,$CD$15:$CI$15,$CK$14)/COUNTIFS($CD$15:$CI$15,$CK$14)</f>
        <v>1</v>
      </c>
      <c r="CL16" s="10">
        <f t="shared" ref="CL16:CN31" si="17">COUNTIFS($CD16:$CI16,CL$15,$CD$15:$CI$15,$CK$14)/COUNTIFS($CD$15:$CI$15,$CK$14)</f>
        <v>0</v>
      </c>
      <c r="CM16" s="10">
        <f t="shared" si="17"/>
        <v>0</v>
      </c>
      <c r="CN16" s="10">
        <f t="shared" si="17"/>
        <v>0</v>
      </c>
      <c r="CO16" s="10" t="e">
        <f>COUNTIFS($CD16:$CI16,CO$15,$CD$15:$CI$15,$CO$14)/COUNTIFS($CD$15:$CI$15,$CO$14)</f>
        <v>#DIV/0!</v>
      </c>
      <c r="CP16" s="10" t="e">
        <f t="shared" ref="CP16:CR31" si="18">COUNTIFS($CD16:$CI16,CP$15,$CD$15:$CI$15,$CO$14)/COUNTIFS($CD$15:$CI$15,$CO$14)</f>
        <v>#DIV/0!</v>
      </c>
      <c r="CQ16" s="10" t="e">
        <f t="shared" si="18"/>
        <v>#DIV/0!</v>
      </c>
      <c r="CR16" s="10" t="e">
        <f t="shared" si="18"/>
        <v>#DIV/0!</v>
      </c>
      <c r="CS16" s="10">
        <f>COUNTIFS($CD16:$CI16,CS$15,$CD$15:$CI$15,$CS$14)/COUNTIFS($CD$15:$CI$15,$CS$14)</f>
        <v>1</v>
      </c>
      <c r="CT16" s="10">
        <f t="shared" ref="CT16:CV31" si="19">COUNTIFS($CD16:$CI16,CT$15,$CD$15:$CI$15,$CS$14)/COUNTIFS($CD$15:$CI$15,$CS$14)</f>
        <v>0</v>
      </c>
      <c r="CU16" s="10">
        <f t="shared" si="19"/>
        <v>0</v>
      </c>
      <c r="CV16" s="10">
        <f t="shared" si="19"/>
        <v>0</v>
      </c>
      <c r="CW16" s="10">
        <f>COUNTIFS($CD16:$CI16,CW$15,$CD$15:$CI$15,$CW$14)/COUNTIFS($CD$15:$CI$15,$CW$14)</f>
        <v>1</v>
      </c>
      <c r="CX16" s="10">
        <f t="shared" ref="CX16:CZ31" si="20">COUNTIFS($CD16:$CI16,CX$15,$CD$15:$CI$15,$CW$14)/COUNTIFS($CD$15:$CI$15,$CW$14)</f>
        <v>0</v>
      </c>
      <c r="CY16" s="10">
        <f t="shared" si="20"/>
        <v>0</v>
      </c>
      <c r="CZ16" s="10">
        <f t="shared" si="20"/>
        <v>0</v>
      </c>
    </row>
    <row r="17" spans="4:104" x14ac:dyDescent="0.15">
      <c r="D17" s="10">
        <v>2</v>
      </c>
      <c r="E17" s="10" t="e">
        <f t="shared" ref="E17:E80" si="21">IF(E16-((AL16+AM16+AQ16+AR16)*IF(BS16=1,1,0)+(AV16+AW16+BA16+BB16)*IF(BT16=1,1,0)+(BF16+BG16+BK16+BL16)*IF(BU16=1,1,0))*IF(J16=0,1,I16)/$D$5&lt;$E$16*$P$8,0,
E16-((AL16+AM16+AQ16+AR16)*IF(BS16=1,1,0)+(AV16+AW16+BA16+BB16)*IF(BT16=1,1,0)+(BF16+BG16+BK16+BL16)*IF(BU16=1,1,0))*IF(J16=0,1,I16)/$D$5)</f>
        <v>#VALUE!</v>
      </c>
      <c r="F17" s="10" t="e">
        <f t="shared" si="1"/>
        <v>#VALUE!</v>
      </c>
      <c r="G17" s="10" t="e">
        <f t="shared" si="2"/>
        <v>#VALUE!</v>
      </c>
      <c r="H17" s="10" t="e">
        <f t="shared" ref="H17:H80" si="22">IF(E17=0,0,ROUNDUP(E17/$F$5*$G$5,0))</f>
        <v>#VALUE!</v>
      </c>
      <c r="I17" s="10" t="e">
        <f t="shared" si="3"/>
        <v>#VALUE!</v>
      </c>
      <c r="J17" s="10">
        <f t="shared" ref="J17:J80" si="23">MAX(J16-((AL16+AM16+AQ16+AR16)*IF(BS16=1,1,0)+(AV16+AW16+BA16+BB16)*IF(BT16=1,1,0)+(BF16+BG16+BK16+BL16)*IF(BU16=1,1,0))*IF(E16=0,1,M16)/$D$6,0)</f>
        <v>0</v>
      </c>
      <c r="K17" s="10">
        <f t="shared" si="4"/>
        <v>0</v>
      </c>
      <c r="L17" s="10">
        <f t="shared" si="5"/>
        <v>0</v>
      </c>
      <c r="M17" s="10">
        <f t="shared" ref="M17:M80" si="24">IF(J17=0,0,1-I17)</f>
        <v>0</v>
      </c>
      <c r="O17" s="10" t="e">
        <f t="shared" ref="O17:O80" si="25">IF(O16-((AL16+AM16+AQ16+AR16)*IF(BS16=3,1,0)+(AV16+AW16+BA16+BB16)*IF(BT16=3,1,0)+(BF16+BG16+BK16+BL16)*IF(BU16=3,1,0))*IF(T16=0,1,S16)/$D$8&lt;$O$16*$P$8,0,
O16-((AL16+AM16+AQ16+AR16)*IF(BS16=3,1,0)+(AV16+AW16+BA16+BB16)*IF(BT16=3,1,0)+(BF16+BG16+BK16+BL16)*IF(BU16=3,1,0))*IF(T16=0,1,S16)/$D$8)</f>
        <v>#VALUE!</v>
      </c>
      <c r="P17" s="10" t="e">
        <f t="shared" si="6"/>
        <v>#VALUE!</v>
      </c>
      <c r="Q17" s="10" t="e">
        <f t="shared" si="7"/>
        <v>#VALUE!</v>
      </c>
      <c r="R17" s="10" t="e">
        <f t="shared" ref="R17:R80" si="26">IF(O17=0,0,ROUNDUP(O17/$F$8*$G$8,0))</f>
        <v>#VALUE!</v>
      </c>
      <c r="S17" s="10" t="e">
        <f t="shared" ref="S17:S80" si="27">IF(AND(T17=0,O17&lt;&gt;0),1,R17/(R17+$G$9))</f>
        <v>#VALUE!</v>
      </c>
      <c r="T17" s="10">
        <f>MAX(T16-((AL16+AM16+AQ16+AR16)*IF(BS16=3,1,0)+(AV16+AW16+BA16+BB16)*IF(BT16=3,1,0)+(BF16+BG16+BK16+BL16)*IF(BU16=3,1,0))*IF(O16=0,1,W16)/$D$9,0)</f>
        <v>1</v>
      </c>
      <c r="U17" s="10">
        <f>IF(T17=0,0,ROUNDUP(T17,0)*$E$9)</f>
        <v>192000</v>
      </c>
      <c r="V17" s="10">
        <f t="shared" si="8"/>
        <v>76800</v>
      </c>
      <c r="W17" s="10" t="e">
        <f t="shared" ref="W17:W80" si="28">IF(T17=0,0,1-S17)</f>
        <v>#VALUE!</v>
      </c>
      <c r="Y17" s="10" t="e">
        <f t="shared" ref="Y17:Y80" si="29">IF(Y16-((AL16+AM16+AQ16+AR16)*IF(BS16=5,1,0)+(AV16+AW16+BA16+BB16)*IF(BT16=5,1,0)+(BF16+BG16+BK16+BL16)*IF(BU16=5,1,0))*IF(AD16=0,1,AC16)/$D$11&lt;$Y$16*$P$8,0,
Y16-((AL16+AM16+AQ16+AR16)*IF(BS16=5,1,0)+(AV16+AW16+BA16+BB16)*IF(BT16=5,1,0)+(BF16+BG16+BK16+BL16)*IF(BU16=5,1,0))*IF(AD16=0,1,AC16)/$D$11)</f>
        <v>#VALUE!</v>
      </c>
      <c r="Z17" s="11" t="e">
        <f t="shared" ref="Z17:Z80" si="30">IF(Y17=0,0,Y17*$E$11)</f>
        <v>#VALUE!</v>
      </c>
      <c r="AA17" s="10" t="e">
        <f t="shared" si="9"/>
        <v>#VALUE!</v>
      </c>
      <c r="AB17" s="10" t="e">
        <f t="shared" ref="AB17:AB80" si="31">IF(Y17=0,0,ROUNDUP(Y17/$F$11*$G$11,0))</f>
        <v>#VALUE!</v>
      </c>
      <c r="AC17" s="10" t="e">
        <f t="shared" ref="AC17:AC80" si="32">IF(AND(AD17=0,Y17&lt;&gt;0),1,AB17/(AB17+$G$12))</f>
        <v>#VALUE!</v>
      </c>
      <c r="AD17" s="10">
        <f>MAX(AD16-((AL16+AM16+AQ16+AR16)*IF(BS16=5,1,0)+(AV16+AW16+BA16+BB16)*IF(BT16=5,1,0)+(BF16+BG16+BK16+BL16)*IF(BU16=5,1,0))*IF(Y16=0,1,AG16)/$D$12,0)</f>
        <v>1</v>
      </c>
      <c r="AE17" s="10">
        <f>IF(AD17=0,0,ROUNDUP(AD17,0)*$E$12)</f>
        <v>192000</v>
      </c>
      <c r="AF17" s="10">
        <f t="shared" si="10"/>
        <v>76800</v>
      </c>
      <c r="AG17" s="10" t="e">
        <f t="shared" ref="AG17:AG80" si="33">IF(AD17=0,0,1-AC17)</f>
        <v>#VALUE!</v>
      </c>
      <c r="AI17" s="13"/>
      <c r="AK17" s="10" t="e">
        <f t="shared" ref="AK17:AK80" si="34">IF(AK16-((F16+G16+K16+L16)*IF(BR16=2,1,0)+(P16+Q16+U16+V16)*IF(BQ16=2,1,0)+(Z16+AA16+AE16+AF16)*IF(BP16=2,1,0))*IF(AP16=0,1,AO16)/$J$5&lt;$AK$16*$P$8,0,
AK16-((F16+G16+K16+L16)*IF(BR16=2,1,0)+(P16+Q16+U16+V16)*IF(BQ16=2,1,0)+(Z16+AA16+AE16+AF16)*IF(BP16=2,1,0))*IF(AP16=0,1,AO16)/$J$5)</f>
        <v>#VALUE!</v>
      </c>
      <c r="AL17" s="10" t="e">
        <f>IF(AK17=0,0,AK17*$K$5)</f>
        <v>#VALUE!</v>
      </c>
      <c r="AM17" s="10" t="e">
        <f t="shared" si="11"/>
        <v>#VALUE!</v>
      </c>
      <c r="AN17" s="10" t="e">
        <f t="shared" ref="AN17:AN80" si="35">IF(AK17=0,0,ROUNDUP(AK17/$L$5*$M$5,0))</f>
        <v>#VALUE!</v>
      </c>
      <c r="AO17" s="10" t="e">
        <f t="shared" ref="AO17:AO80" si="36">IF(AND(AP17=0,AK17&lt;&gt;0),1,AN17/(AN17+$M$6))</f>
        <v>#VALUE!</v>
      </c>
      <c r="AP17" s="10">
        <f t="shared" ref="AP17:AP80" si="37">MAX(AP16-((F16+G16+K16+L16)*IF(BR16=2,1,0)+(P16+Q16+U16+V16)*IF(BQ16=2,1,0)+(Z16+AA16+AE16+AF16)*IF(BP16=2,1,0))*IF(AK16=0,1,AS16)/$J$6,0)</f>
        <v>0</v>
      </c>
      <c r="AQ17" s="10">
        <f>IF(AP17=0,0,ROUNDUP(AP17,0)*$K$6)</f>
        <v>0</v>
      </c>
      <c r="AR17" s="10">
        <f t="shared" si="12"/>
        <v>0</v>
      </c>
      <c r="AS17" s="10">
        <f>IF(AP17=0,0,1-AO17)</f>
        <v>0</v>
      </c>
      <c r="AU17" s="10" t="e">
        <f t="shared" ref="AU17:AU80" si="38">IF(AU16-((F16+G16+K16+L16)*IF(BR16=4,1,0)+(P16+Q16+U16+V16)*IF(BQ16=4,1,0)+(Z16+AA16+AE16+AF16)*IF(BP16=4,1,0))*IF(AZ16=0,1,AY16)/$J$8&lt;$AU$16*$P$8,0,
AU16-((F16+G16+K16+L16)*IF(BR16=4,1,0)+(P16+Q16+U16+V16)*IF(BQ16=4,1,0)+(Z16+AA16+AE16+AF16)*IF(BP16=4,1,0))*IF(AZ16=0,1,AY16)/$J$8)</f>
        <v>#VALUE!</v>
      </c>
      <c r="AV17" s="10" t="e">
        <f>IF(AU17=0,0,AU17*$K$8)</f>
        <v>#VALUE!</v>
      </c>
      <c r="AW17" s="10" t="e">
        <f t="shared" si="13"/>
        <v>#VALUE!</v>
      </c>
      <c r="AX17" s="10" t="e">
        <f t="shared" ref="AX17:AX80" si="39">IF(AU17=0,0,ROUNDUP(AU17/$L$8*$M$8,0))</f>
        <v>#VALUE!</v>
      </c>
      <c r="AY17" s="10" t="e">
        <f t="shared" ref="AY17:AY80" si="40">IF(AND(AZ17=0,AU17&lt;&gt;0),1,AX17/(AX17+$M$9))</f>
        <v>#VALUE!</v>
      </c>
      <c r="AZ17" s="10">
        <f t="shared" ref="AZ17:AZ80" si="41">MAX(AZ16-((F16+G16+K16+L16)*IF(BR16=4,1,0)+(P16+Q16+U16+V16)*IF(BQ16=4,1,0)+(Z16+AA16+AE16+AF16)*IF(BP16=4,1,0))*IF(AU16=0,1,BC16)/$J$9,0)</f>
        <v>1</v>
      </c>
      <c r="BA17" s="10">
        <f>IF(AZ17=0,0,ROUNDUP(AZ17,0)*$K$9)</f>
        <v>192000</v>
      </c>
      <c r="BB17" s="10">
        <f t="shared" si="14"/>
        <v>76800</v>
      </c>
      <c r="BC17" s="10" t="e">
        <f>IF(AZ17=0,0,1-AY17)</f>
        <v>#VALUE!</v>
      </c>
      <c r="BE17" s="10" t="e">
        <f t="shared" ref="BE17:BE80" si="42">IF(BE16-((F16+G16+K16+L16)*IF(BR16=6,1,0)+(P16+Q16+U16+V16)*IF(BQ16=6,1,0)+(Z16+AA16+AE16+AF16)*IF(BP16=6,1,0))*IF(BJ16=0,1,BI16)/$J$11&lt;$BE$16*$P$8,0,
BE16-((F16+G16+K16+L16)*IF(BR16=6,1,0)+(P16+Q16+U16+V16)*IF(BQ16=6,1,0)+(Z16+AA16+AE16+AF16)*IF(BP16=6,1,0))*IF(BJ16=0,1,BI16)/$J$11)</f>
        <v>#VALUE!</v>
      </c>
      <c r="BF17" s="10" t="e">
        <f>IF(BE17=0,0,BE17*$K$11)</f>
        <v>#VALUE!</v>
      </c>
      <c r="BG17" s="10" t="e">
        <f t="shared" si="15"/>
        <v>#VALUE!</v>
      </c>
      <c r="BH17" s="10" t="e">
        <f t="shared" ref="BH17:BH80" si="43">IF(BE17=0,0,ROUNDUP(BE17/$L$11*$M$11,0))</f>
        <v>#VALUE!</v>
      </c>
      <c r="BI17" s="10" t="e">
        <f t="shared" ref="BI17:BI80" si="44">IF(AND(BJ17=0,BE17&lt;&gt;0),1,BH17/(BH17+$M$12))</f>
        <v>#VALUE!</v>
      </c>
      <c r="BJ17" s="10">
        <f t="shared" ref="BJ17:BJ80" si="45">MAX(BJ16-((F16+G16+K16+L16)*IF(BR16=6,1,0)+(P16+Q16+U16+V16)*IF(BQ16=6,1,0)+(Z16+AA16+AE16+AF16)*IF(BP16=6,1,0))*IF(BE16=0,1,BM16)/$J$12,0)</f>
        <v>1</v>
      </c>
      <c r="BK17" s="10">
        <f>IF(BJ17=0,0,ROUNDUP(BJ17,0)*$K$12)</f>
        <v>192000</v>
      </c>
      <c r="BL17" s="10">
        <f t="shared" si="16"/>
        <v>76800</v>
      </c>
      <c r="BM17" s="10" t="e">
        <f>IF(BJ17=0,0,1-BI17)</f>
        <v>#VALUE!</v>
      </c>
      <c r="BP17" s="10" t="e">
        <f t="shared" ref="BP17:BP80" si="46">IF(BZ17&gt;0,BS$15,IF(CA17&gt;0,BT$15,BU$15))</f>
        <v>#VALUE!</v>
      </c>
      <c r="BQ17" s="10" t="e">
        <f t="shared" ref="BQ17:BQ80" si="47">IF(BZ17&gt;0,BS$15,IF(CA17&gt;0,BT$15,BU$15))</f>
        <v>#VALUE!</v>
      </c>
      <c r="BR17" s="10" t="e">
        <f t="shared" ref="BR17:BR80" si="48">IF(BZ17&gt;0,BS$15,IF(CA17&gt;0,BT$15,BU$15))</f>
        <v>#VALUE!</v>
      </c>
      <c r="BS17" s="10" t="e">
        <f t="shared" ref="BS17:BS80" si="49">IF(BY17&gt;0,BR$15,IF(BX17&gt;0,BQ$15,BP$15))</f>
        <v>#VALUE!</v>
      </c>
      <c r="BT17" s="10" t="e">
        <f t="shared" ref="BT17:BT80" si="50">IF(BY17&gt;0,BR$15,IF(BX17&gt;0,BQ$15,BP$15))</f>
        <v>#VALUE!</v>
      </c>
      <c r="BU17" s="10" t="e">
        <f t="shared" ref="BU17:BU80" si="51">IF(BY17&gt;0,BR$15,IF(BX17&gt;0,BQ$15,BP$15))</f>
        <v>#VALUE!</v>
      </c>
      <c r="BW17" s="10" t="e">
        <f t="shared" ref="BW17:BW80" si="52">Y17+AD17*1000</f>
        <v>#VALUE!</v>
      </c>
      <c r="BX17" s="10" t="e">
        <f t="shared" ref="BX17:BX80" si="53">O17+T17*1000</f>
        <v>#VALUE!</v>
      </c>
      <c r="BY17" s="10" t="e">
        <f t="shared" ref="BY17:BY80" si="54">E17+J17*1000</f>
        <v>#VALUE!</v>
      </c>
      <c r="BZ17" s="10" t="e">
        <f t="shared" ref="BZ17:BZ80" si="55">AK17+AP17*1000</f>
        <v>#VALUE!</v>
      </c>
      <c r="CA17" s="10" t="e">
        <f t="shared" ref="CA17:CA80" si="56">AU17+AZ17*1000</f>
        <v>#VALUE!</v>
      </c>
      <c r="CB17" s="10" t="e">
        <f t="shared" ref="CB17:CB80" si="57">BE17+BJ17*1000</f>
        <v>#VALUE!</v>
      </c>
      <c r="CD17" s="10" t="e">
        <f>MATCH(INDEX($BP$12:$BU$12,1,MATCH(BP17,$BP$15:$BU$15,0)),结果汇总!$AI$10:$AI$13,0)</f>
        <v>#VALUE!</v>
      </c>
      <c r="CE17" s="10" t="e">
        <f>MATCH(INDEX($BP$12:$BU$12,1,MATCH(BQ17,$BP$15:$BU$15,0)),结果汇总!$AI$10:$AI$13,0)</f>
        <v>#VALUE!</v>
      </c>
      <c r="CF17" s="10" t="e">
        <f>MATCH(INDEX($BP$12:$BU$12,1,MATCH(BR17,$BP$15:$BU$15,0)),结果汇总!$AI$10:$AI$13,0)</f>
        <v>#VALUE!</v>
      </c>
      <c r="CG17" s="10" t="e">
        <f>MATCH(INDEX($BP$12:$BU$12,1,MATCH(BS17,$BP$15:$BU$15,0)),结果汇总!$AI$10:$AI$13,0)</f>
        <v>#VALUE!</v>
      </c>
      <c r="CH17" s="10" t="e">
        <f>MATCH(INDEX($BP$12:$BU$12,1,MATCH(BT17,$BP$15:$BU$15,0)),结果汇总!$AI$10:$AI$13,0)</f>
        <v>#VALUE!</v>
      </c>
      <c r="CI17" s="10" t="e">
        <f>MATCH(INDEX($BP$12:$BU$12,1,MATCH(BU17,$BP$15:$BU$15,0)),结果汇总!$AI$10:$AI$13,0)</f>
        <v>#VALUE!</v>
      </c>
      <c r="CK17" s="10">
        <f t="shared" ref="CK17:CN48" si="58">COUNTIFS($CD17:$CI17,CK$15,$CD$15:$CI$15,$CK$14)/COUNTIFS($CD$15:$CI$15,$CK$14)</f>
        <v>0</v>
      </c>
      <c r="CL17" s="10">
        <f t="shared" si="17"/>
        <v>0</v>
      </c>
      <c r="CM17" s="10">
        <f t="shared" si="17"/>
        <v>0</v>
      </c>
      <c r="CN17" s="10">
        <f t="shared" si="17"/>
        <v>0</v>
      </c>
      <c r="CO17" s="10" t="e">
        <f t="shared" ref="CO17:CR48" si="59">COUNTIFS($CD17:$CI17,CO$15,$CD$15:$CI$15,$CO$14)/COUNTIFS($CD$15:$CI$15,$CO$14)</f>
        <v>#DIV/0!</v>
      </c>
      <c r="CP17" s="10" t="e">
        <f t="shared" si="18"/>
        <v>#DIV/0!</v>
      </c>
      <c r="CQ17" s="10" t="e">
        <f t="shared" si="18"/>
        <v>#DIV/0!</v>
      </c>
      <c r="CR17" s="10" t="e">
        <f t="shared" si="18"/>
        <v>#DIV/0!</v>
      </c>
      <c r="CS17" s="10">
        <f t="shared" ref="CS17:CV48" si="60">COUNTIFS($CD17:$CI17,CS$15,$CD$15:$CI$15,$CS$14)/COUNTIFS($CD$15:$CI$15,$CS$14)</f>
        <v>0</v>
      </c>
      <c r="CT17" s="10">
        <f t="shared" si="19"/>
        <v>0</v>
      </c>
      <c r="CU17" s="10">
        <f t="shared" si="19"/>
        <v>0</v>
      </c>
      <c r="CV17" s="10">
        <f t="shared" si="19"/>
        <v>0</v>
      </c>
      <c r="CW17" s="10">
        <f t="shared" ref="CW17:CZ48" si="61">COUNTIFS($CD17:$CI17,CW$15,$CD$15:$CI$15,$CW$14)/COUNTIFS($CD$15:$CI$15,$CW$14)</f>
        <v>0</v>
      </c>
      <c r="CX17" s="10">
        <f t="shared" si="20"/>
        <v>0</v>
      </c>
      <c r="CY17" s="10">
        <f t="shared" si="20"/>
        <v>0</v>
      </c>
      <c r="CZ17" s="10">
        <f t="shared" si="20"/>
        <v>0</v>
      </c>
    </row>
    <row r="18" spans="4:104" x14ac:dyDescent="0.15">
      <c r="D18" s="10">
        <v>3</v>
      </c>
      <c r="E18" s="10" t="e">
        <f t="shared" si="21"/>
        <v>#VALUE!</v>
      </c>
      <c r="F18" s="10" t="e">
        <f t="shared" si="1"/>
        <v>#VALUE!</v>
      </c>
      <c r="G18" s="10" t="e">
        <f t="shared" si="2"/>
        <v>#VALUE!</v>
      </c>
      <c r="H18" s="10" t="e">
        <f t="shared" si="22"/>
        <v>#VALUE!</v>
      </c>
      <c r="I18" s="10" t="e">
        <f t="shared" si="3"/>
        <v>#VALUE!</v>
      </c>
      <c r="J18" s="10" t="e">
        <f t="shared" si="23"/>
        <v>#VALUE!</v>
      </c>
      <c r="K18" s="10" t="e">
        <f t="shared" si="4"/>
        <v>#VALUE!</v>
      </c>
      <c r="L18" s="10" t="e">
        <f t="shared" si="5"/>
        <v>#VALUE!</v>
      </c>
      <c r="M18" s="10" t="e">
        <f t="shared" si="24"/>
        <v>#VALUE!</v>
      </c>
      <c r="O18" s="10" t="e">
        <f t="shared" si="25"/>
        <v>#VALUE!</v>
      </c>
      <c r="P18" s="10" t="e">
        <f t="shared" si="6"/>
        <v>#VALUE!</v>
      </c>
      <c r="Q18" s="10" t="e">
        <f t="shared" si="7"/>
        <v>#VALUE!</v>
      </c>
      <c r="R18" s="10" t="e">
        <f t="shared" si="26"/>
        <v>#VALUE!</v>
      </c>
      <c r="S18" s="10" t="e">
        <f t="shared" si="27"/>
        <v>#VALUE!</v>
      </c>
      <c r="T18" s="10" t="e">
        <f t="shared" ref="T18:T81" si="62">MAX(T17-((AL17+AM17+AQ17+AR17)*IF(BS17=3,1,0)+(AV17+AW17+BA17+BB17)*IF(BT17=3,1,0)+(BF17+BG17+BK17+BL17)*IF(BU17=3,1,0))*IF(O17=0,1,W17)/$D$9,0)</f>
        <v>#VALUE!</v>
      </c>
      <c r="U18" s="10" t="e">
        <f t="shared" ref="U18:U81" si="63">IF(T18=0,0,ROUNDUP(T18,0)*$E$9)</f>
        <v>#VALUE!</v>
      </c>
      <c r="V18" s="10" t="e">
        <f t="shared" si="8"/>
        <v>#VALUE!</v>
      </c>
      <c r="W18" s="10" t="e">
        <f t="shared" si="28"/>
        <v>#VALUE!</v>
      </c>
      <c r="Y18" s="10" t="e">
        <f t="shared" si="29"/>
        <v>#VALUE!</v>
      </c>
      <c r="Z18" s="11" t="e">
        <f t="shared" si="30"/>
        <v>#VALUE!</v>
      </c>
      <c r="AA18" s="10" t="e">
        <f t="shared" si="9"/>
        <v>#VALUE!</v>
      </c>
      <c r="AB18" s="10" t="e">
        <f t="shared" si="31"/>
        <v>#VALUE!</v>
      </c>
      <c r="AC18" s="10" t="e">
        <f t="shared" si="32"/>
        <v>#VALUE!</v>
      </c>
      <c r="AD18" s="10" t="e">
        <f t="shared" ref="AD18:AD81" si="64">MAX(AD17-((AL17+AM17+AQ17+AR17)*IF(BS17=5,1,0)+(AV17+AW17+BA17+BB17)*IF(BT17=5,1,0)+(BF17+BG17+BK17+BL17)*IF(BU17=5,1,0))*IF(Y17=0,1,AG17)/$D$12,0)</f>
        <v>#VALUE!</v>
      </c>
      <c r="AE18" s="10" t="e">
        <f t="shared" ref="AE18:AE81" si="65">IF(AD18=0,0,ROUNDUP(AD18,0)*$E$12)</f>
        <v>#VALUE!</v>
      </c>
      <c r="AF18" s="10" t="e">
        <f t="shared" si="10"/>
        <v>#VALUE!</v>
      </c>
      <c r="AG18" s="10" t="e">
        <f t="shared" si="33"/>
        <v>#VALUE!</v>
      </c>
      <c r="AI18" s="13"/>
      <c r="AK18" s="10" t="e">
        <f t="shared" si="34"/>
        <v>#VALUE!</v>
      </c>
      <c r="AL18" s="10" t="e">
        <f t="shared" ref="AL18:AL81" si="66">IF(AK18=0,0,AK18*$K$5)</f>
        <v>#VALUE!</v>
      </c>
      <c r="AM18" s="10" t="e">
        <f t="shared" si="11"/>
        <v>#VALUE!</v>
      </c>
      <c r="AN18" s="10" t="e">
        <f t="shared" si="35"/>
        <v>#VALUE!</v>
      </c>
      <c r="AO18" s="10" t="e">
        <f t="shared" si="36"/>
        <v>#VALUE!</v>
      </c>
      <c r="AP18" s="10" t="e">
        <f t="shared" si="37"/>
        <v>#VALUE!</v>
      </c>
      <c r="AQ18" s="10" t="e">
        <f t="shared" ref="AQ18:AQ81" si="67">IF(AP18=0,0,ROUNDUP(AP18,0)*$K$6)</f>
        <v>#VALUE!</v>
      </c>
      <c r="AR18" s="10" t="e">
        <f t="shared" si="12"/>
        <v>#VALUE!</v>
      </c>
      <c r="AS18" s="10" t="e">
        <f t="shared" ref="AS18:AS81" si="68">IF(AP18=0,0,1-AO18)</f>
        <v>#VALUE!</v>
      </c>
      <c r="AU18" s="10" t="e">
        <f t="shared" si="38"/>
        <v>#VALUE!</v>
      </c>
      <c r="AV18" s="10" t="e">
        <f t="shared" ref="AV18:AV81" si="69">IF(AU18=0,0,AU18*$K$8)</f>
        <v>#VALUE!</v>
      </c>
      <c r="AW18" s="10" t="e">
        <f t="shared" si="13"/>
        <v>#VALUE!</v>
      </c>
      <c r="AX18" s="10" t="e">
        <f t="shared" si="39"/>
        <v>#VALUE!</v>
      </c>
      <c r="AY18" s="10" t="e">
        <f t="shared" si="40"/>
        <v>#VALUE!</v>
      </c>
      <c r="AZ18" s="10" t="e">
        <f t="shared" si="41"/>
        <v>#VALUE!</v>
      </c>
      <c r="BA18" s="10" t="e">
        <f t="shared" ref="BA18:BA81" si="70">IF(AZ18=0,0,ROUNDUP(AZ18,0)*$K$9)</f>
        <v>#VALUE!</v>
      </c>
      <c r="BB18" s="10" t="e">
        <f t="shared" si="14"/>
        <v>#VALUE!</v>
      </c>
      <c r="BC18" s="10" t="e">
        <f t="shared" ref="BC18:BC81" si="71">IF(AZ18=0,0,1-AY18)</f>
        <v>#VALUE!</v>
      </c>
      <c r="BE18" s="10" t="e">
        <f t="shared" si="42"/>
        <v>#VALUE!</v>
      </c>
      <c r="BF18" s="10" t="e">
        <f t="shared" ref="BF18:BF81" si="72">IF(BE18=0,0,BE18*$K$11)</f>
        <v>#VALUE!</v>
      </c>
      <c r="BG18" s="10" t="e">
        <f t="shared" si="15"/>
        <v>#VALUE!</v>
      </c>
      <c r="BH18" s="10" t="e">
        <f t="shared" si="43"/>
        <v>#VALUE!</v>
      </c>
      <c r="BI18" s="10" t="e">
        <f t="shared" si="44"/>
        <v>#VALUE!</v>
      </c>
      <c r="BJ18" s="10" t="e">
        <f t="shared" si="45"/>
        <v>#VALUE!</v>
      </c>
      <c r="BK18" s="10" t="e">
        <f t="shared" ref="BK18:BK81" si="73">IF(BJ18=0,0,ROUNDUP(BJ18,0)*$K$12)</f>
        <v>#VALUE!</v>
      </c>
      <c r="BL18" s="10" t="e">
        <f t="shared" si="16"/>
        <v>#VALUE!</v>
      </c>
      <c r="BM18" s="10" t="e">
        <f t="shared" ref="BM18:BM81" si="74">IF(BJ18=0,0,1-BI18)</f>
        <v>#VALUE!</v>
      </c>
      <c r="BP18" s="10" t="e">
        <f t="shared" si="46"/>
        <v>#VALUE!</v>
      </c>
      <c r="BQ18" s="10" t="e">
        <f t="shared" si="47"/>
        <v>#VALUE!</v>
      </c>
      <c r="BR18" s="10" t="e">
        <f t="shared" si="48"/>
        <v>#VALUE!</v>
      </c>
      <c r="BS18" s="10" t="e">
        <f t="shared" si="49"/>
        <v>#VALUE!</v>
      </c>
      <c r="BT18" s="10" t="e">
        <f t="shared" si="50"/>
        <v>#VALUE!</v>
      </c>
      <c r="BU18" s="10" t="e">
        <f t="shared" si="51"/>
        <v>#VALUE!</v>
      </c>
      <c r="BW18" s="10" t="e">
        <f t="shared" si="52"/>
        <v>#VALUE!</v>
      </c>
      <c r="BX18" s="10" t="e">
        <f t="shared" si="53"/>
        <v>#VALUE!</v>
      </c>
      <c r="BY18" s="10" t="e">
        <f t="shared" si="54"/>
        <v>#VALUE!</v>
      </c>
      <c r="BZ18" s="10" t="e">
        <f t="shared" si="55"/>
        <v>#VALUE!</v>
      </c>
      <c r="CA18" s="10" t="e">
        <f t="shared" si="56"/>
        <v>#VALUE!</v>
      </c>
      <c r="CB18" s="10" t="e">
        <f t="shared" si="57"/>
        <v>#VALUE!</v>
      </c>
      <c r="CD18" s="10" t="e">
        <f>MATCH(INDEX($BP$12:$BU$12,1,MATCH(BP18,$BP$15:$BU$15,0)),结果汇总!$AI$10:$AI$13,0)</f>
        <v>#VALUE!</v>
      </c>
      <c r="CE18" s="10" t="e">
        <f>MATCH(INDEX($BP$12:$BU$12,1,MATCH(BQ18,$BP$15:$BU$15,0)),结果汇总!$AI$10:$AI$13,0)</f>
        <v>#VALUE!</v>
      </c>
      <c r="CF18" s="10" t="e">
        <f>MATCH(INDEX($BP$12:$BU$12,1,MATCH(BR18,$BP$15:$BU$15,0)),结果汇总!$AI$10:$AI$13,0)</f>
        <v>#VALUE!</v>
      </c>
      <c r="CG18" s="10" t="e">
        <f>MATCH(INDEX($BP$12:$BU$12,1,MATCH(BS18,$BP$15:$BU$15,0)),结果汇总!$AI$10:$AI$13,0)</f>
        <v>#VALUE!</v>
      </c>
      <c r="CH18" s="10" t="e">
        <f>MATCH(INDEX($BP$12:$BU$12,1,MATCH(BT18,$BP$15:$BU$15,0)),结果汇总!$AI$10:$AI$13,0)</f>
        <v>#VALUE!</v>
      </c>
      <c r="CI18" s="10" t="e">
        <f>MATCH(INDEX($BP$12:$BU$12,1,MATCH(BU18,$BP$15:$BU$15,0)),结果汇总!$AI$10:$AI$13,0)</f>
        <v>#VALUE!</v>
      </c>
      <c r="CK18" s="10">
        <f t="shared" si="58"/>
        <v>0</v>
      </c>
      <c r="CL18" s="10">
        <f t="shared" si="17"/>
        <v>0</v>
      </c>
      <c r="CM18" s="10">
        <f t="shared" si="17"/>
        <v>0</v>
      </c>
      <c r="CN18" s="10">
        <f t="shared" si="17"/>
        <v>0</v>
      </c>
      <c r="CO18" s="10" t="e">
        <f t="shared" si="59"/>
        <v>#DIV/0!</v>
      </c>
      <c r="CP18" s="10" t="e">
        <f t="shared" si="18"/>
        <v>#DIV/0!</v>
      </c>
      <c r="CQ18" s="10" t="e">
        <f t="shared" si="18"/>
        <v>#DIV/0!</v>
      </c>
      <c r="CR18" s="10" t="e">
        <f t="shared" si="18"/>
        <v>#DIV/0!</v>
      </c>
      <c r="CS18" s="10">
        <f t="shared" si="60"/>
        <v>0</v>
      </c>
      <c r="CT18" s="10">
        <f t="shared" si="19"/>
        <v>0</v>
      </c>
      <c r="CU18" s="10">
        <f t="shared" si="19"/>
        <v>0</v>
      </c>
      <c r="CV18" s="10">
        <f t="shared" si="19"/>
        <v>0</v>
      </c>
      <c r="CW18" s="10">
        <f t="shared" si="61"/>
        <v>0</v>
      </c>
      <c r="CX18" s="10">
        <f t="shared" si="20"/>
        <v>0</v>
      </c>
      <c r="CY18" s="10">
        <f t="shared" si="20"/>
        <v>0</v>
      </c>
      <c r="CZ18" s="10">
        <f t="shared" si="20"/>
        <v>0</v>
      </c>
    </row>
    <row r="19" spans="4:104" x14ac:dyDescent="0.15">
      <c r="D19" s="10">
        <v>4</v>
      </c>
      <c r="E19" s="10" t="e">
        <f t="shared" si="21"/>
        <v>#VALUE!</v>
      </c>
      <c r="F19" s="10" t="e">
        <f t="shared" si="1"/>
        <v>#VALUE!</v>
      </c>
      <c r="G19" s="10" t="e">
        <f t="shared" si="2"/>
        <v>#VALUE!</v>
      </c>
      <c r="H19" s="10" t="e">
        <f t="shared" si="22"/>
        <v>#VALUE!</v>
      </c>
      <c r="I19" s="10" t="e">
        <f t="shared" si="3"/>
        <v>#VALUE!</v>
      </c>
      <c r="J19" s="10" t="e">
        <f t="shared" si="23"/>
        <v>#VALUE!</v>
      </c>
      <c r="K19" s="10" t="e">
        <f t="shared" si="4"/>
        <v>#VALUE!</v>
      </c>
      <c r="L19" s="10" t="e">
        <f t="shared" si="5"/>
        <v>#VALUE!</v>
      </c>
      <c r="M19" s="10" t="e">
        <f t="shared" si="24"/>
        <v>#VALUE!</v>
      </c>
      <c r="O19" s="10" t="e">
        <f t="shared" si="25"/>
        <v>#VALUE!</v>
      </c>
      <c r="P19" s="10" t="e">
        <f t="shared" si="6"/>
        <v>#VALUE!</v>
      </c>
      <c r="Q19" s="10" t="e">
        <f t="shared" si="7"/>
        <v>#VALUE!</v>
      </c>
      <c r="R19" s="10" t="e">
        <f t="shared" si="26"/>
        <v>#VALUE!</v>
      </c>
      <c r="S19" s="10" t="e">
        <f t="shared" si="27"/>
        <v>#VALUE!</v>
      </c>
      <c r="T19" s="10" t="e">
        <f t="shared" si="62"/>
        <v>#VALUE!</v>
      </c>
      <c r="U19" s="10" t="e">
        <f t="shared" si="63"/>
        <v>#VALUE!</v>
      </c>
      <c r="V19" s="10" t="e">
        <f t="shared" si="8"/>
        <v>#VALUE!</v>
      </c>
      <c r="W19" s="10" t="e">
        <f t="shared" si="28"/>
        <v>#VALUE!</v>
      </c>
      <c r="Y19" s="10" t="e">
        <f t="shared" si="29"/>
        <v>#VALUE!</v>
      </c>
      <c r="Z19" s="11" t="e">
        <f t="shared" si="30"/>
        <v>#VALUE!</v>
      </c>
      <c r="AA19" s="10" t="e">
        <f t="shared" si="9"/>
        <v>#VALUE!</v>
      </c>
      <c r="AB19" s="10" t="e">
        <f t="shared" si="31"/>
        <v>#VALUE!</v>
      </c>
      <c r="AC19" s="10" t="e">
        <f t="shared" si="32"/>
        <v>#VALUE!</v>
      </c>
      <c r="AD19" s="10" t="e">
        <f t="shared" si="64"/>
        <v>#VALUE!</v>
      </c>
      <c r="AE19" s="10" t="e">
        <f t="shared" si="65"/>
        <v>#VALUE!</v>
      </c>
      <c r="AF19" s="10" t="e">
        <f t="shared" si="10"/>
        <v>#VALUE!</v>
      </c>
      <c r="AG19" s="10" t="e">
        <f t="shared" si="33"/>
        <v>#VALUE!</v>
      </c>
      <c r="AI19" s="13"/>
      <c r="AK19" s="10" t="e">
        <f t="shared" si="34"/>
        <v>#VALUE!</v>
      </c>
      <c r="AL19" s="10" t="e">
        <f t="shared" si="66"/>
        <v>#VALUE!</v>
      </c>
      <c r="AM19" s="10" t="e">
        <f t="shared" si="11"/>
        <v>#VALUE!</v>
      </c>
      <c r="AN19" s="10" t="e">
        <f t="shared" si="35"/>
        <v>#VALUE!</v>
      </c>
      <c r="AO19" s="10" t="e">
        <f t="shared" si="36"/>
        <v>#VALUE!</v>
      </c>
      <c r="AP19" s="10" t="e">
        <f t="shared" si="37"/>
        <v>#VALUE!</v>
      </c>
      <c r="AQ19" s="10" t="e">
        <f t="shared" si="67"/>
        <v>#VALUE!</v>
      </c>
      <c r="AR19" s="10" t="e">
        <f t="shared" si="12"/>
        <v>#VALUE!</v>
      </c>
      <c r="AS19" s="10" t="e">
        <f t="shared" si="68"/>
        <v>#VALUE!</v>
      </c>
      <c r="AU19" s="10" t="e">
        <f t="shared" si="38"/>
        <v>#VALUE!</v>
      </c>
      <c r="AV19" s="10" t="e">
        <f t="shared" si="69"/>
        <v>#VALUE!</v>
      </c>
      <c r="AW19" s="10" t="e">
        <f t="shared" si="13"/>
        <v>#VALUE!</v>
      </c>
      <c r="AX19" s="10" t="e">
        <f t="shared" si="39"/>
        <v>#VALUE!</v>
      </c>
      <c r="AY19" s="10" t="e">
        <f t="shared" si="40"/>
        <v>#VALUE!</v>
      </c>
      <c r="AZ19" s="10" t="e">
        <f t="shared" si="41"/>
        <v>#VALUE!</v>
      </c>
      <c r="BA19" s="10" t="e">
        <f t="shared" si="70"/>
        <v>#VALUE!</v>
      </c>
      <c r="BB19" s="10" t="e">
        <f t="shared" si="14"/>
        <v>#VALUE!</v>
      </c>
      <c r="BC19" s="10" t="e">
        <f t="shared" si="71"/>
        <v>#VALUE!</v>
      </c>
      <c r="BE19" s="10" t="e">
        <f t="shared" si="42"/>
        <v>#VALUE!</v>
      </c>
      <c r="BF19" s="10" t="e">
        <f t="shared" si="72"/>
        <v>#VALUE!</v>
      </c>
      <c r="BG19" s="10" t="e">
        <f t="shared" si="15"/>
        <v>#VALUE!</v>
      </c>
      <c r="BH19" s="10" t="e">
        <f t="shared" si="43"/>
        <v>#VALUE!</v>
      </c>
      <c r="BI19" s="10" t="e">
        <f t="shared" si="44"/>
        <v>#VALUE!</v>
      </c>
      <c r="BJ19" s="10" t="e">
        <f t="shared" si="45"/>
        <v>#VALUE!</v>
      </c>
      <c r="BK19" s="10" t="e">
        <f t="shared" si="73"/>
        <v>#VALUE!</v>
      </c>
      <c r="BL19" s="10" t="e">
        <f t="shared" si="16"/>
        <v>#VALUE!</v>
      </c>
      <c r="BM19" s="10" t="e">
        <f t="shared" si="74"/>
        <v>#VALUE!</v>
      </c>
      <c r="BP19" s="10" t="e">
        <f t="shared" si="46"/>
        <v>#VALUE!</v>
      </c>
      <c r="BQ19" s="10" t="e">
        <f t="shared" si="47"/>
        <v>#VALUE!</v>
      </c>
      <c r="BR19" s="10" t="e">
        <f t="shared" si="48"/>
        <v>#VALUE!</v>
      </c>
      <c r="BS19" s="10" t="e">
        <f t="shared" si="49"/>
        <v>#VALUE!</v>
      </c>
      <c r="BT19" s="10" t="e">
        <f t="shared" si="50"/>
        <v>#VALUE!</v>
      </c>
      <c r="BU19" s="10" t="e">
        <f t="shared" si="51"/>
        <v>#VALUE!</v>
      </c>
      <c r="BW19" s="10" t="e">
        <f t="shared" si="52"/>
        <v>#VALUE!</v>
      </c>
      <c r="BX19" s="10" t="e">
        <f t="shared" si="53"/>
        <v>#VALUE!</v>
      </c>
      <c r="BY19" s="10" t="e">
        <f t="shared" si="54"/>
        <v>#VALUE!</v>
      </c>
      <c r="BZ19" s="10" t="e">
        <f t="shared" si="55"/>
        <v>#VALUE!</v>
      </c>
      <c r="CA19" s="10" t="e">
        <f t="shared" si="56"/>
        <v>#VALUE!</v>
      </c>
      <c r="CB19" s="10" t="e">
        <f t="shared" si="57"/>
        <v>#VALUE!</v>
      </c>
      <c r="CD19" s="10" t="e">
        <f>MATCH(INDEX($BP$12:$BU$12,1,MATCH(BP19,$BP$15:$BU$15,0)),结果汇总!$AI$10:$AI$13,0)</f>
        <v>#VALUE!</v>
      </c>
      <c r="CE19" s="10" t="e">
        <f>MATCH(INDEX($BP$12:$BU$12,1,MATCH(BQ19,$BP$15:$BU$15,0)),结果汇总!$AI$10:$AI$13,0)</f>
        <v>#VALUE!</v>
      </c>
      <c r="CF19" s="10" t="e">
        <f>MATCH(INDEX($BP$12:$BU$12,1,MATCH(BR19,$BP$15:$BU$15,0)),结果汇总!$AI$10:$AI$13,0)</f>
        <v>#VALUE!</v>
      </c>
      <c r="CG19" s="10" t="e">
        <f>MATCH(INDEX($BP$12:$BU$12,1,MATCH(BS19,$BP$15:$BU$15,0)),结果汇总!$AI$10:$AI$13,0)</f>
        <v>#VALUE!</v>
      </c>
      <c r="CH19" s="10" t="e">
        <f>MATCH(INDEX($BP$12:$BU$12,1,MATCH(BT19,$BP$15:$BU$15,0)),结果汇总!$AI$10:$AI$13,0)</f>
        <v>#VALUE!</v>
      </c>
      <c r="CI19" s="10" t="e">
        <f>MATCH(INDEX($BP$12:$BU$12,1,MATCH(BU19,$BP$15:$BU$15,0)),结果汇总!$AI$10:$AI$13,0)</f>
        <v>#VALUE!</v>
      </c>
      <c r="CK19" s="10">
        <f t="shared" si="58"/>
        <v>0</v>
      </c>
      <c r="CL19" s="10">
        <f t="shared" si="17"/>
        <v>0</v>
      </c>
      <c r="CM19" s="10">
        <f t="shared" si="17"/>
        <v>0</v>
      </c>
      <c r="CN19" s="10">
        <f t="shared" si="17"/>
        <v>0</v>
      </c>
      <c r="CO19" s="10" t="e">
        <f t="shared" si="59"/>
        <v>#DIV/0!</v>
      </c>
      <c r="CP19" s="10" t="e">
        <f t="shared" si="18"/>
        <v>#DIV/0!</v>
      </c>
      <c r="CQ19" s="10" t="e">
        <f t="shared" si="18"/>
        <v>#DIV/0!</v>
      </c>
      <c r="CR19" s="10" t="e">
        <f t="shared" si="18"/>
        <v>#DIV/0!</v>
      </c>
      <c r="CS19" s="10">
        <f t="shared" si="60"/>
        <v>0</v>
      </c>
      <c r="CT19" s="10">
        <f t="shared" si="19"/>
        <v>0</v>
      </c>
      <c r="CU19" s="10">
        <f t="shared" si="19"/>
        <v>0</v>
      </c>
      <c r="CV19" s="10">
        <f t="shared" si="19"/>
        <v>0</v>
      </c>
      <c r="CW19" s="10">
        <f t="shared" si="61"/>
        <v>0</v>
      </c>
      <c r="CX19" s="10">
        <f t="shared" si="20"/>
        <v>0</v>
      </c>
      <c r="CY19" s="10">
        <f t="shared" si="20"/>
        <v>0</v>
      </c>
      <c r="CZ19" s="10">
        <f t="shared" si="20"/>
        <v>0</v>
      </c>
    </row>
    <row r="20" spans="4:104" x14ac:dyDescent="0.15">
      <c r="D20" s="10">
        <v>5</v>
      </c>
      <c r="E20" s="10" t="e">
        <f t="shared" si="21"/>
        <v>#VALUE!</v>
      </c>
      <c r="F20" s="10" t="e">
        <f t="shared" si="1"/>
        <v>#VALUE!</v>
      </c>
      <c r="G20" s="10" t="e">
        <f t="shared" si="2"/>
        <v>#VALUE!</v>
      </c>
      <c r="H20" s="10" t="e">
        <f t="shared" si="22"/>
        <v>#VALUE!</v>
      </c>
      <c r="I20" s="10" t="e">
        <f t="shared" si="3"/>
        <v>#VALUE!</v>
      </c>
      <c r="J20" s="10" t="e">
        <f t="shared" si="23"/>
        <v>#VALUE!</v>
      </c>
      <c r="K20" s="10" t="e">
        <f t="shared" si="4"/>
        <v>#VALUE!</v>
      </c>
      <c r="L20" s="10" t="e">
        <f t="shared" si="5"/>
        <v>#VALUE!</v>
      </c>
      <c r="M20" s="10" t="e">
        <f t="shared" si="24"/>
        <v>#VALUE!</v>
      </c>
      <c r="O20" s="10" t="e">
        <f t="shared" si="25"/>
        <v>#VALUE!</v>
      </c>
      <c r="P20" s="10" t="e">
        <f t="shared" si="6"/>
        <v>#VALUE!</v>
      </c>
      <c r="Q20" s="10" t="e">
        <f t="shared" si="7"/>
        <v>#VALUE!</v>
      </c>
      <c r="R20" s="10" t="e">
        <f t="shared" si="26"/>
        <v>#VALUE!</v>
      </c>
      <c r="S20" s="10" t="e">
        <f t="shared" si="27"/>
        <v>#VALUE!</v>
      </c>
      <c r="T20" s="10" t="e">
        <f t="shared" si="62"/>
        <v>#VALUE!</v>
      </c>
      <c r="U20" s="10" t="e">
        <f t="shared" si="63"/>
        <v>#VALUE!</v>
      </c>
      <c r="V20" s="10" t="e">
        <f t="shared" si="8"/>
        <v>#VALUE!</v>
      </c>
      <c r="W20" s="10" t="e">
        <f t="shared" si="28"/>
        <v>#VALUE!</v>
      </c>
      <c r="Y20" s="10" t="e">
        <f t="shared" si="29"/>
        <v>#VALUE!</v>
      </c>
      <c r="Z20" s="11" t="e">
        <f t="shared" si="30"/>
        <v>#VALUE!</v>
      </c>
      <c r="AA20" s="10" t="e">
        <f t="shared" si="9"/>
        <v>#VALUE!</v>
      </c>
      <c r="AB20" s="10" t="e">
        <f t="shared" si="31"/>
        <v>#VALUE!</v>
      </c>
      <c r="AC20" s="10" t="e">
        <f t="shared" si="32"/>
        <v>#VALUE!</v>
      </c>
      <c r="AD20" s="10" t="e">
        <f t="shared" si="64"/>
        <v>#VALUE!</v>
      </c>
      <c r="AE20" s="10" t="e">
        <f t="shared" si="65"/>
        <v>#VALUE!</v>
      </c>
      <c r="AF20" s="10" t="e">
        <f t="shared" si="10"/>
        <v>#VALUE!</v>
      </c>
      <c r="AG20" s="10" t="e">
        <f t="shared" si="33"/>
        <v>#VALUE!</v>
      </c>
      <c r="AI20" s="13"/>
      <c r="AK20" s="10" t="e">
        <f t="shared" si="34"/>
        <v>#VALUE!</v>
      </c>
      <c r="AL20" s="10" t="e">
        <f t="shared" si="66"/>
        <v>#VALUE!</v>
      </c>
      <c r="AM20" s="10" t="e">
        <f t="shared" si="11"/>
        <v>#VALUE!</v>
      </c>
      <c r="AN20" s="10" t="e">
        <f t="shared" si="35"/>
        <v>#VALUE!</v>
      </c>
      <c r="AO20" s="10" t="e">
        <f t="shared" si="36"/>
        <v>#VALUE!</v>
      </c>
      <c r="AP20" s="10" t="e">
        <f t="shared" si="37"/>
        <v>#VALUE!</v>
      </c>
      <c r="AQ20" s="10" t="e">
        <f t="shared" si="67"/>
        <v>#VALUE!</v>
      </c>
      <c r="AR20" s="10" t="e">
        <f t="shared" si="12"/>
        <v>#VALUE!</v>
      </c>
      <c r="AS20" s="10" t="e">
        <f t="shared" si="68"/>
        <v>#VALUE!</v>
      </c>
      <c r="AU20" s="10" t="e">
        <f t="shared" si="38"/>
        <v>#VALUE!</v>
      </c>
      <c r="AV20" s="10" t="e">
        <f t="shared" si="69"/>
        <v>#VALUE!</v>
      </c>
      <c r="AW20" s="10" t="e">
        <f t="shared" si="13"/>
        <v>#VALUE!</v>
      </c>
      <c r="AX20" s="10" t="e">
        <f t="shared" si="39"/>
        <v>#VALUE!</v>
      </c>
      <c r="AY20" s="10" t="e">
        <f t="shared" si="40"/>
        <v>#VALUE!</v>
      </c>
      <c r="AZ20" s="10" t="e">
        <f t="shared" si="41"/>
        <v>#VALUE!</v>
      </c>
      <c r="BA20" s="10" t="e">
        <f t="shared" si="70"/>
        <v>#VALUE!</v>
      </c>
      <c r="BB20" s="10" t="e">
        <f t="shared" si="14"/>
        <v>#VALUE!</v>
      </c>
      <c r="BC20" s="10" t="e">
        <f t="shared" si="71"/>
        <v>#VALUE!</v>
      </c>
      <c r="BE20" s="10" t="e">
        <f t="shared" si="42"/>
        <v>#VALUE!</v>
      </c>
      <c r="BF20" s="10" t="e">
        <f t="shared" si="72"/>
        <v>#VALUE!</v>
      </c>
      <c r="BG20" s="10" t="e">
        <f t="shared" si="15"/>
        <v>#VALUE!</v>
      </c>
      <c r="BH20" s="10" t="e">
        <f t="shared" si="43"/>
        <v>#VALUE!</v>
      </c>
      <c r="BI20" s="10" t="e">
        <f t="shared" si="44"/>
        <v>#VALUE!</v>
      </c>
      <c r="BJ20" s="10" t="e">
        <f t="shared" si="45"/>
        <v>#VALUE!</v>
      </c>
      <c r="BK20" s="10" t="e">
        <f t="shared" si="73"/>
        <v>#VALUE!</v>
      </c>
      <c r="BL20" s="10" t="e">
        <f t="shared" si="16"/>
        <v>#VALUE!</v>
      </c>
      <c r="BM20" s="10" t="e">
        <f t="shared" si="74"/>
        <v>#VALUE!</v>
      </c>
      <c r="BP20" s="10" t="e">
        <f t="shared" si="46"/>
        <v>#VALUE!</v>
      </c>
      <c r="BQ20" s="10" t="e">
        <f t="shared" si="47"/>
        <v>#VALUE!</v>
      </c>
      <c r="BR20" s="10" t="e">
        <f t="shared" si="48"/>
        <v>#VALUE!</v>
      </c>
      <c r="BS20" s="10" t="e">
        <f t="shared" si="49"/>
        <v>#VALUE!</v>
      </c>
      <c r="BT20" s="10" t="e">
        <f t="shared" si="50"/>
        <v>#VALUE!</v>
      </c>
      <c r="BU20" s="10" t="e">
        <f t="shared" si="51"/>
        <v>#VALUE!</v>
      </c>
      <c r="BW20" s="10" t="e">
        <f t="shared" si="52"/>
        <v>#VALUE!</v>
      </c>
      <c r="BX20" s="10" t="e">
        <f t="shared" si="53"/>
        <v>#VALUE!</v>
      </c>
      <c r="BY20" s="10" t="e">
        <f t="shared" si="54"/>
        <v>#VALUE!</v>
      </c>
      <c r="BZ20" s="10" t="e">
        <f t="shared" si="55"/>
        <v>#VALUE!</v>
      </c>
      <c r="CA20" s="10" t="e">
        <f t="shared" si="56"/>
        <v>#VALUE!</v>
      </c>
      <c r="CB20" s="10" t="e">
        <f t="shared" si="57"/>
        <v>#VALUE!</v>
      </c>
      <c r="CD20" s="10" t="e">
        <f>MATCH(INDEX($BP$12:$BU$12,1,MATCH(BP20,$BP$15:$BU$15,0)),结果汇总!$AI$10:$AI$13,0)</f>
        <v>#VALUE!</v>
      </c>
      <c r="CE20" s="10" t="e">
        <f>MATCH(INDEX($BP$12:$BU$12,1,MATCH(BQ20,$BP$15:$BU$15,0)),结果汇总!$AI$10:$AI$13,0)</f>
        <v>#VALUE!</v>
      </c>
      <c r="CF20" s="10" t="e">
        <f>MATCH(INDEX($BP$12:$BU$12,1,MATCH(BR20,$BP$15:$BU$15,0)),结果汇总!$AI$10:$AI$13,0)</f>
        <v>#VALUE!</v>
      </c>
      <c r="CG20" s="10" t="e">
        <f>MATCH(INDEX($BP$12:$BU$12,1,MATCH(BS20,$BP$15:$BU$15,0)),结果汇总!$AI$10:$AI$13,0)</f>
        <v>#VALUE!</v>
      </c>
      <c r="CH20" s="10" t="e">
        <f>MATCH(INDEX($BP$12:$BU$12,1,MATCH(BT20,$BP$15:$BU$15,0)),结果汇总!$AI$10:$AI$13,0)</f>
        <v>#VALUE!</v>
      </c>
      <c r="CI20" s="10" t="e">
        <f>MATCH(INDEX($BP$12:$BU$12,1,MATCH(BU20,$BP$15:$BU$15,0)),结果汇总!$AI$10:$AI$13,0)</f>
        <v>#VALUE!</v>
      </c>
      <c r="CK20" s="10">
        <f t="shared" si="58"/>
        <v>0</v>
      </c>
      <c r="CL20" s="10">
        <f t="shared" si="17"/>
        <v>0</v>
      </c>
      <c r="CM20" s="10">
        <f t="shared" si="17"/>
        <v>0</v>
      </c>
      <c r="CN20" s="10">
        <f t="shared" si="17"/>
        <v>0</v>
      </c>
      <c r="CO20" s="10" t="e">
        <f t="shared" si="59"/>
        <v>#DIV/0!</v>
      </c>
      <c r="CP20" s="10" t="e">
        <f t="shared" si="18"/>
        <v>#DIV/0!</v>
      </c>
      <c r="CQ20" s="10" t="e">
        <f t="shared" si="18"/>
        <v>#DIV/0!</v>
      </c>
      <c r="CR20" s="10" t="e">
        <f t="shared" si="18"/>
        <v>#DIV/0!</v>
      </c>
      <c r="CS20" s="10">
        <f t="shared" si="60"/>
        <v>0</v>
      </c>
      <c r="CT20" s="10">
        <f t="shared" si="19"/>
        <v>0</v>
      </c>
      <c r="CU20" s="10">
        <f t="shared" si="19"/>
        <v>0</v>
      </c>
      <c r="CV20" s="10">
        <f t="shared" si="19"/>
        <v>0</v>
      </c>
      <c r="CW20" s="10">
        <f t="shared" si="61"/>
        <v>0</v>
      </c>
      <c r="CX20" s="10">
        <f t="shared" si="20"/>
        <v>0</v>
      </c>
      <c r="CY20" s="10">
        <f t="shared" si="20"/>
        <v>0</v>
      </c>
      <c r="CZ20" s="10">
        <f t="shared" si="20"/>
        <v>0</v>
      </c>
    </row>
    <row r="21" spans="4:104" x14ac:dyDescent="0.15">
      <c r="D21" s="10">
        <v>6</v>
      </c>
      <c r="E21" s="10" t="e">
        <f t="shared" si="21"/>
        <v>#VALUE!</v>
      </c>
      <c r="F21" s="10" t="e">
        <f t="shared" si="1"/>
        <v>#VALUE!</v>
      </c>
      <c r="G21" s="10" t="e">
        <f t="shared" si="2"/>
        <v>#VALUE!</v>
      </c>
      <c r="H21" s="10" t="e">
        <f t="shared" si="22"/>
        <v>#VALUE!</v>
      </c>
      <c r="I21" s="10" t="e">
        <f t="shared" si="3"/>
        <v>#VALUE!</v>
      </c>
      <c r="J21" s="10" t="e">
        <f t="shared" si="23"/>
        <v>#VALUE!</v>
      </c>
      <c r="K21" s="10" t="e">
        <f t="shared" si="4"/>
        <v>#VALUE!</v>
      </c>
      <c r="L21" s="10" t="e">
        <f t="shared" si="5"/>
        <v>#VALUE!</v>
      </c>
      <c r="M21" s="10" t="e">
        <f t="shared" si="24"/>
        <v>#VALUE!</v>
      </c>
      <c r="O21" s="10" t="e">
        <f t="shared" si="25"/>
        <v>#VALUE!</v>
      </c>
      <c r="P21" s="10" t="e">
        <f t="shared" si="6"/>
        <v>#VALUE!</v>
      </c>
      <c r="Q21" s="10" t="e">
        <f t="shared" si="7"/>
        <v>#VALUE!</v>
      </c>
      <c r="R21" s="10" t="e">
        <f t="shared" si="26"/>
        <v>#VALUE!</v>
      </c>
      <c r="S21" s="10" t="e">
        <f t="shared" si="27"/>
        <v>#VALUE!</v>
      </c>
      <c r="T21" s="10" t="e">
        <f t="shared" si="62"/>
        <v>#VALUE!</v>
      </c>
      <c r="U21" s="10" t="e">
        <f t="shared" si="63"/>
        <v>#VALUE!</v>
      </c>
      <c r="V21" s="10" t="e">
        <f t="shared" si="8"/>
        <v>#VALUE!</v>
      </c>
      <c r="W21" s="10" t="e">
        <f t="shared" si="28"/>
        <v>#VALUE!</v>
      </c>
      <c r="Y21" s="10" t="e">
        <f t="shared" si="29"/>
        <v>#VALUE!</v>
      </c>
      <c r="Z21" s="11" t="e">
        <f t="shared" si="30"/>
        <v>#VALUE!</v>
      </c>
      <c r="AA21" s="10" t="e">
        <f t="shared" si="9"/>
        <v>#VALUE!</v>
      </c>
      <c r="AB21" s="10" t="e">
        <f t="shared" si="31"/>
        <v>#VALUE!</v>
      </c>
      <c r="AC21" s="10" t="e">
        <f t="shared" si="32"/>
        <v>#VALUE!</v>
      </c>
      <c r="AD21" s="10" t="e">
        <f t="shared" si="64"/>
        <v>#VALUE!</v>
      </c>
      <c r="AE21" s="10" t="e">
        <f t="shared" si="65"/>
        <v>#VALUE!</v>
      </c>
      <c r="AF21" s="10" t="e">
        <f t="shared" si="10"/>
        <v>#VALUE!</v>
      </c>
      <c r="AG21" s="10" t="e">
        <f t="shared" si="33"/>
        <v>#VALUE!</v>
      </c>
      <c r="AI21" s="13"/>
      <c r="AK21" s="10" t="e">
        <f t="shared" si="34"/>
        <v>#VALUE!</v>
      </c>
      <c r="AL21" s="10" t="e">
        <f t="shared" si="66"/>
        <v>#VALUE!</v>
      </c>
      <c r="AM21" s="10" t="e">
        <f t="shared" si="11"/>
        <v>#VALUE!</v>
      </c>
      <c r="AN21" s="10" t="e">
        <f t="shared" si="35"/>
        <v>#VALUE!</v>
      </c>
      <c r="AO21" s="10" t="e">
        <f t="shared" si="36"/>
        <v>#VALUE!</v>
      </c>
      <c r="AP21" s="10" t="e">
        <f t="shared" si="37"/>
        <v>#VALUE!</v>
      </c>
      <c r="AQ21" s="10" t="e">
        <f t="shared" si="67"/>
        <v>#VALUE!</v>
      </c>
      <c r="AR21" s="10" t="e">
        <f t="shared" si="12"/>
        <v>#VALUE!</v>
      </c>
      <c r="AS21" s="10" t="e">
        <f t="shared" si="68"/>
        <v>#VALUE!</v>
      </c>
      <c r="AU21" s="10" t="e">
        <f t="shared" si="38"/>
        <v>#VALUE!</v>
      </c>
      <c r="AV21" s="10" t="e">
        <f t="shared" si="69"/>
        <v>#VALUE!</v>
      </c>
      <c r="AW21" s="10" t="e">
        <f t="shared" si="13"/>
        <v>#VALUE!</v>
      </c>
      <c r="AX21" s="10" t="e">
        <f t="shared" si="39"/>
        <v>#VALUE!</v>
      </c>
      <c r="AY21" s="10" t="e">
        <f t="shared" si="40"/>
        <v>#VALUE!</v>
      </c>
      <c r="AZ21" s="10" t="e">
        <f t="shared" si="41"/>
        <v>#VALUE!</v>
      </c>
      <c r="BA21" s="10" t="e">
        <f t="shared" si="70"/>
        <v>#VALUE!</v>
      </c>
      <c r="BB21" s="10" t="e">
        <f t="shared" si="14"/>
        <v>#VALUE!</v>
      </c>
      <c r="BC21" s="10" t="e">
        <f t="shared" si="71"/>
        <v>#VALUE!</v>
      </c>
      <c r="BE21" s="10" t="e">
        <f t="shared" si="42"/>
        <v>#VALUE!</v>
      </c>
      <c r="BF21" s="10" t="e">
        <f t="shared" si="72"/>
        <v>#VALUE!</v>
      </c>
      <c r="BG21" s="10" t="e">
        <f t="shared" si="15"/>
        <v>#VALUE!</v>
      </c>
      <c r="BH21" s="10" t="e">
        <f t="shared" si="43"/>
        <v>#VALUE!</v>
      </c>
      <c r="BI21" s="10" t="e">
        <f t="shared" si="44"/>
        <v>#VALUE!</v>
      </c>
      <c r="BJ21" s="10" t="e">
        <f t="shared" si="45"/>
        <v>#VALUE!</v>
      </c>
      <c r="BK21" s="10" t="e">
        <f t="shared" si="73"/>
        <v>#VALUE!</v>
      </c>
      <c r="BL21" s="10" t="e">
        <f t="shared" si="16"/>
        <v>#VALUE!</v>
      </c>
      <c r="BM21" s="10" t="e">
        <f t="shared" si="74"/>
        <v>#VALUE!</v>
      </c>
      <c r="BP21" s="10" t="e">
        <f t="shared" si="46"/>
        <v>#VALUE!</v>
      </c>
      <c r="BQ21" s="10" t="e">
        <f t="shared" si="47"/>
        <v>#VALUE!</v>
      </c>
      <c r="BR21" s="10" t="e">
        <f t="shared" si="48"/>
        <v>#VALUE!</v>
      </c>
      <c r="BS21" s="10" t="e">
        <f t="shared" si="49"/>
        <v>#VALUE!</v>
      </c>
      <c r="BT21" s="10" t="e">
        <f t="shared" si="50"/>
        <v>#VALUE!</v>
      </c>
      <c r="BU21" s="10" t="e">
        <f t="shared" si="51"/>
        <v>#VALUE!</v>
      </c>
      <c r="BW21" s="10" t="e">
        <f t="shared" si="52"/>
        <v>#VALUE!</v>
      </c>
      <c r="BX21" s="10" t="e">
        <f t="shared" si="53"/>
        <v>#VALUE!</v>
      </c>
      <c r="BY21" s="10" t="e">
        <f t="shared" si="54"/>
        <v>#VALUE!</v>
      </c>
      <c r="BZ21" s="10" t="e">
        <f t="shared" si="55"/>
        <v>#VALUE!</v>
      </c>
      <c r="CA21" s="10" t="e">
        <f t="shared" si="56"/>
        <v>#VALUE!</v>
      </c>
      <c r="CB21" s="10" t="e">
        <f t="shared" si="57"/>
        <v>#VALUE!</v>
      </c>
      <c r="CD21" s="10" t="e">
        <f>MATCH(INDEX($BP$12:$BU$12,1,MATCH(BP21,$BP$15:$BU$15,0)),结果汇总!$AI$10:$AI$13,0)</f>
        <v>#VALUE!</v>
      </c>
      <c r="CE21" s="10" t="e">
        <f>MATCH(INDEX($BP$12:$BU$12,1,MATCH(BQ21,$BP$15:$BU$15,0)),结果汇总!$AI$10:$AI$13,0)</f>
        <v>#VALUE!</v>
      </c>
      <c r="CF21" s="10" t="e">
        <f>MATCH(INDEX($BP$12:$BU$12,1,MATCH(BR21,$BP$15:$BU$15,0)),结果汇总!$AI$10:$AI$13,0)</f>
        <v>#VALUE!</v>
      </c>
      <c r="CG21" s="10" t="e">
        <f>MATCH(INDEX($BP$12:$BU$12,1,MATCH(BS21,$BP$15:$BU$15,0)),结果汇总!$AI$10:$AI$13,0)</f>
        <v>#VALUE!</v>
      </c>
      <c r="CH21" s="10" t="e">
        <f>MATCH(INDEX($BP$12:$BU$12,1,MATCH(BT21,$BP$15:$BU$15,0)),结果汇总!$AI$10:$AI$13,0)</f>
        <v>#VALUE!</v>
      </c>
      <c r="CI21" s="10" t="e">
        <f>MATCH(INDEX($BP$12:$BU$12,1,MATCH(BU21,$BP$15:$BU$15,0)),结果汇总!$AI$10:$AI$13,0)</f>
        <v>#VALUE!</v>
      </c>
      <c r="CK21" s="10">
        <f t="shared" si="58"/>
        <v>0</v>
      </c>
      <c r="CL21" s="10">
        <f t="shared" si="17"/>
        <v>0</v>
      </c>
      <c r="CM21" s="10">
        <f t="shared" si="17"/>
        <v>0</v>
      </c>
      <c r="CN21" s="10">
        <f t="shared" si="17"/>
        <v>0</v>
      </c>
      <c r="CO21" s="10" t="e">
        <f t="shared" si="59"/>
        <v>#DIV/0!</v>
      </c>
      <c r="CP21" s="10" t="e">
        <f t="shared" si="18"/>
        <v>#DIV/0!</v>
      </c>
      <c r="CQ21" s="10" t="e">
        <f t="shared" si="18"/>
        <v>#DIV/0!</v>
      </c>
      <c r="CR21" s="10" t="e">
        <f t="shared" si="18"/>
        <v>#DIV/0!</v>
      </c>
      <c r="CS21" s="10">
        <f t="shared" si="60"/>
        <v>0</v>
      </c>
      <c r="CT21" s="10">
        <f t="shared" si="19"/>
        <v>0</v>
      </c>
      <c r="CU21" s="10">
        <f t="shared" si="19"/>
        <v>0</v>
      </c>
      <c r="CV21" s="10">
        <f t="shared" si="19"/>
        <v>0</v>
      </c>
      <c r="CW21" s="10">
        <f t="shared" si="61"/>
        <v>0</v>
      </c>
      <c r="CX21" s="10">
        <f t="shared" si="20"/>
        <v>0</v>
      </c>
      <c r="CY21" s="10">
        <f t="shared" si="20"/>
        <v>0</v>
      </c>
      <c r="CZ21" s="10">
        <f t="shared" si="20"/>
        <v>0</v>
      </c>
    </row>
    <row r="22" spans="4:104" x14ac:dyDescent="0.15">
      <c r="D22" s="10">
        <v>7</v>
      </c>
      <c r="E22" s="10" t="e">
        <f t="shared" si="21"/>
        <v>#VALUE!</v>
      </c>
      <c r="F22" s="10" t="e">
        <f t="shared" si="1"/>
        <v>#VALUE!</v>
      </c>
      <c r="G22" s="10" t="e">
        <f t="shared" si="2"/>
        <v>#VALUE!</v>
      </c>
      <c r="H22" s="10" t="e">
        <f t="shared" si="22"/>
        <v>#VALUE!</v>
      </c>
      <c r="I22" s="10" t="e">
        <f t="shared" si="3"/>
        <v>#VALUE!</v>
      </c>
      <c r="J22" s="10" t="e">
        <f t="shared" si="23"/>
        <v>#VALUE!</v>
      </c>
      <c r="K22" s="10" t="e">
        <f t="shared" si="4"/>
        <v>#VALUE!</v>
      </c>
      <c r="L22" s="10" t="e">
        <f t="shared" si="5"/>
        <v>#VALUE!</v>
      </c>
      <c r="M22" s="10" t="e">
        <f t="shared" si="24"/>
        <v>#VALUE!</v>
      </c>
      <c r="O22" s="10" t="e">
        <f t="shared" si="25"/>
        <v>#VALUE!</v>
      </c>
      <c r="P22" s="10" t="e">
        <f t="shared" si="6"/>
        <v>#VALUE!</v>
      </c>
      <c r="Q22" s="10" t="e">
        <f t="shared" si="7"/>
        <v>#VALUE!</v>
      </c>
      <c r="R22" s="10" t="e">
        <f t="shared" si="26"/>
        <v>#VALUE!</v>
      </c>
      <c r="S22" s="10" t="e">
        <f t="shared" si="27"/>
        <v>#VALUE!</v>
      </c>
      <c r="T22" s="10" t="e">
        <f t="shared" si="62"/>
        <v>#VALUE!</v>
      </c>
      <c r="U22" s="10" t="e">
        <f t="shared" si="63"/>
        <v>#VALUE!</v>
      </c>
      <c r="V22" s="10" t="e">
        <f t="shared" si="8"/>
        <v>#VALUE!</v>
      </c>
      <c r="W22" s="10" t="e">
        <f t="shared" si="28"/>
        <v>#VALUE!</v>
      </c>
      <c r="Y22" s="10" t="e">
        <f t="shared" si="29"/>
        <v>#VALUE!</v>
      </c>
      <c r="Z22" s="11" t="e">
        <f t="shared" si="30"/>
        <v>#VALUE!</v>
      </c>
      <c r="AA22" s="10" t="e">
        <f t="shared" si="9"/>
        <v>#VALUE!</v>
      </c>
      <c r="AB22" s="10" t="e">
        <f t="shared" si="31"/>
        <v>#VALUE!</v>
      </c>
      <c r="AC22" s="10" t="e">
        <f t="shared" si="32"/>
        <v>#VALUE!</v>
      </c>
      <c r="AD22" s="10" t="e">
        <f t="shared" si="64"/>
        <v>#VALUE!</v>
      </c>
      <c r="AE22" s="10" t="e">
        <f t="shared" si="65"/>
        <v>#VALUE!</v>
      </c>
      <c r="AF22" s="10" t="e">
        <f t="shared" si="10"/>
        <v>#VALUE!</v>
      </c>
      <c r="AG22" s="10" t="e">
        <f t="shared" si="33"/>
        <v>#VALUE!</v>
      </c>
      <c r="AI22" s="13"/>
      <c r="AK22" s="10" t="e">
        <f t="shared" si="34"/>
        <v>#VALUE!</v>
      </c>
      <c r="AL22" s="10" t="e">
        <f t="shared" si="66"/>
        <v>#VALUE!</v>
      </c>
      <c r="AM22" s="10" t="e">
        <f t="shared" si="11"/>
        <v>#VALUE!</v>
      </c>
      <c r="AN22" s="10" t="e">
        <f t="shared" si="35"/>
        <v>#VALUE!</v>
      </c>
      <c r="AO22" s="10" t="e">
        <f t="shared" si="36"/>
        <v>#VALUE!</v>
      </c>
      <c r="AP22" s="10" t="e">
        <f t="shared" si="37"/>
        <v>#VALUE!</v>
      </c>
      <c r="AQ22" s="10" t="e">
        <f t="shared" si="67"/>
        <v>#VALUE!</v>
      </c>
      <c r="AR22" s="10" t="e">
        <f t="shared" si="12"/>
        <v>#VALUE!</v>
      </c>
      <c r="AS22" s="10" t="e">
        <f t="shared" si="68"/>
        <v>#VALUE!</v>
      </c>
      <c r="AU22" s="10" t="e">
        <f t="shared" si="38"/>
        <v>#VALUE!</v>
      </c>
      <c r="AV22" s="10" t="e">
        <f t="shared" si="69"/>
        <v>#VALUE!</v>
      </c>
      <c r="AW22" s="10" t="e">
        <f t="shared" si="13"/>
        <v>#VALUE!</v>
      </c>
      <c r="AX22" s="10" t="e">
        <f t="shared" si="39"/>
        <v>#VALUE!</v>
      </c>
      <c r="AY22" s="10" t="e">
        <f t="shared" si="40"/>
        <v>#VALUE!</v>
      </c>
      <c r="AZ22" s="10" t="e">
        <f t="shared" si="41"/>
        <v>#VALUE!</v>
      </c>
      <c r="BA22" s="10" t="e">
        <f t="shared" si="70"/>
        <v>#VALUE!</v>
      </c>
      <c r="BB22" s="10" t="e">
        <f t="shared" si="14"/>
        <v>#VALUE!</v>
      </c>
      <c r="BC22" s="10" t="e">
        <f t="shared" si="71"/>
        <v>#VALUE!</v>
      </c>
      <c r="BE22" s="10" t="e">
        <f t="shared" si="42"/>
        <v>#VALUE!</v>
      </c>
      <c r="BF22" s="10" t="e">
        <f t="shared" si="72"/>
        <v>#VALUE!</v>
      </c>
      <c r="BG22" s="10" t="e">
        <f t="shared" si="15"/>
        <v>#VALUE!</v>
      </c>
      <c r="BH22" s="10" t="e">
        <f t="shared" si="43"/>
        <v>#VALUE!</v>
      </c>
      <c r="BI22" s="10" t="e">
        <f t="shared" si="44"/>
        <v>#VALUE!</v>
      </c>
      <c r="BJ22" s="10" t="e">
        <f t="shared" si="45"/>
        <v>#VALUE!</v>
      </c>
      <c r="BK22" s="10" t="e">
        <f t="shared" si="73"/>
        <v>#VALUE!</v>
      </c>
      <c r="BL22" s="10" t="e">
        <f t="shared" si="16"/>
        <v>#VALUE!</v>
      </c>
      <c r="BM22" s="10" t="e">
        <f t="shared" si="74"/>
        <v>#VALUE!</v>
      </c>
      <c r="BP22" s="10" t="e">
        <f t="shared" si="46"/>
        <v>#VALUE!</v>
      </c>
      <c r="BQ22" s="10" t="e">
        <f t="shared" si="47"/>
        <v>#VALUE!</v>
      </c>
      <c r="BR22" s="10" t="e">
        <f t="shared" si="48"/>
        <v>#VALUE!</v>
      </c>
      <c r="BS22" s="10" t="e">
        <f t="shared" si="49"/>
        <v>#VALUE!</v>
      </c>
      <c r="BT22" s="10" t="e">
        <f t="shared" si="50"/>
        <v>#VALUE!</v>
      </c>
      <c r="BU22" s="10" t="e">
        <f t="shared" si="51"/>
        <v>#VALUE!</v>
      </c>
      <c r="BW22" s="10" t="e">
        <f t="shared" si="52"/>
        <v>#VALUE!</v>
      </c>
      <c r="BX22" s="10" t="e">
        <f t="shared" si="53"/>
        <v>#VALUE!</v>
      </c>
      <c r="BY22" s="10" t="e">
        <f t="shared" si="54"/>
        <v>#VALUE!</v>
      </c>
      <c r="BZ22" s="10" t="e">
        <f t="shared" si="55"/>
        <v>#VALUE!</v>
      </c>
      <c r="CA22" s="10" t="e">
        <f t="shared" si="56"/>
        <v>#VALUE!</v>
      </c>
      <c r="CB22" s="10" t="e">
        <f t="shared" si="57"/>
        <v>#VALUE!</v>
      </c>
      <c r="CD22" s="10" t="e">
        <f>MATCH(INDEX($BP$12:$BU$12,1,MATCH(BP22,$BP$15:$BU$15,0)),结果汇总!$AI$10:$AI$13,0)</f>
        <v>#VALUE!</v>
      </c>
      <c r="CE22" s="10" t="e">
        <f>MATCH(INDEX($BP$12:$BU$12,1,MATCH(BQ22,$BP$15:$BU$15,0)),结果汇总!$AI$10:$AI$13,0)</f>
        <v>#VALUE!</v>
      </c>
      <c r="CF22" s="10" t="e">
        <f>MATCH(INDEX($BP$12:$BU$12,1,MATCH(BR22,$BP$15:$BU$15,0)),结果汇总!$AI$10:$AI$13,0)</f>
        <v>#VALUE!</v>
      </c>
      <c r="CG22" s="10" t="e">
        <f>MATCH(INDEX($BP$12:$BU$12,1,MATCH(BS22,$BP$15:$BU$15,0)),结果汇总!$AI$10:$AI$13,0)</f>
        <v>#VALUE!</v>
      </c>
      <c r="CH22" s="10" t="e">
        <f>MATCH(INDEX($BP$12:$BU$12,1,MATCH(BT22,$BP$15:$BU$15,0)),结果汇总!$AI$10:$AI$13,0)</f>
        <v>#VALUE!</v>
      </c>
      <c r="CI22" s="10" t="e">
        <f>MATCH(INDEX($BP$12:$BU$12,1,MATCH(BU22,$BP$15:$BU$15,0)),结果汇总!$AI$10:$AI$13,0)</f>
        <v>#VALUE!</v>
      </c>
      <c r="CK22" s="10">
        <f t="shared" si="58"/>
        <v>0</v>
      </c>
      <c r="CL22" s="10">
        <f t="shared" si="17"/>
        <v>0</v>
      </c>
      <c r="CM22" s="10">
        <f t="shared" si="17"/>
        <v>0</v>
      </c>
      <c r="CN22" s="10">
        <f t="shared" si="17"/>
        <v>0</v>
      </c>
      <c r="CO22" s="10" t="e">
        <f t="shared" si="59"/>
        <v>#DIV/0!</v>
      </c>
      <c r="CP22" s="10" t="e">
        <f t="shared" si="18"/>
        <v>#DIV/0!</v>
      </c>
      <c r="CQ22" s="10" t="e">
        <f t="shared" si="18"/>
        <v>#DIV/0!</v>
      </c>
      <c r="CR22" s="10" t="e">
        <f t="shared" si="18"/>
        <v>#DIV/0!</v>
      </c>
      <c r="CS22" s="10">
        <f t="shared" si="60"/>
        <v>0</v>
      </c>
      <c r="CT22" s="10">
        <f t="shared" si="19"/>
        <v>0</v>
      </c>
      <c r="CU22" s="10">
        <f t="shared" si="19"/>
        <v>0</v>
      </c>
      <c r="CV22" s="10">
        <f t="shared" si="19"/>
        <v>0</v>
      </c>
      <c r="CW22" s="10">
        <f t="shared" si="61"/>
        <v>0</v>
      </c>
      <c r="CX22" s="10">
        <f t="shared" si="20"/>
        <v>0</v>
      </c>
      <c r="CY22" s="10">
        <f t="shared" si="20"/>
        <v>0</v>
      </c>
      <c r="CZ22" s="10">
        <f t="shared" si="20"/>
        <v>0</v>
      </c>
    </row>
    <row r="23" spans="4:104" x14ac:dyDescent="0.15">
      <c r="D23" s="10">
        <v>8</v>
      </c>
      <c r="E23" s="10" t="e">
        <f t="shared" si="21"/>
        <v>#VALUE!</v>
      </c>
      <c r="F23" s="10" t="e">
        <f t="shared" si="1"/>
        <v>#VALUE!</v>
      </c>
      <c r="G23" s="10" t="e">
        <f t="shared" si="2"/>
        <v>#VALUE!</v>
      </c>
      <c r="H23" s="10" t="e">
        <f t="shared" si="22"/>
        <v>#VALUE!</v>
      </c>
      <c r="I23" s="10" t="e">
        <f t="shared" si="3"/>
        <v>#VALUE!</v>
      </c>
      <c r="J23" s="10" t="e">
        <f t="shared" si="23"/>
        <v>#VALUE!</v>
      </c>
      <c r="K23" s="10" t="e">
        <f t="shared" si="4"/>
        <v>#VALUE!</v>
      </c>
      <c r="L23" s="10" t="e">
        <f t="shared" si="5"/>
        <v>#VALUE!</v>
      </c>
      <c r="M23" s="10" t="e">
        <f t="shared" si="24"/>
        <v>#VALUE!</v>
      </c>
      <c r="O23" s="10" t="e">
        <f t="shared" si="25"/>
        <v>#VALUE!</v>
      </c>
      <c r="P23" s="10" t="e">
        <f t="shared" si="6"/>
        <v>#VALUE!</v>
      </c>
      <c r="Q23" s="10" t="e">
        <f t="shared" si="7"/>
        <v>#VALUE!</v>
      </c>
      <c r="R23" s="10" t="e">
        <f t="shared" si="26"/>
        <v>#VALUE!</v>
      </c>
      <c r="S23" s="10" t="e">
        <f t="shared" si="27"/>
        <v>#VALUE!</v>
      </c>
      <c r="T23" s="10" t="e">
        <f t="shared" si="62"/>
        <v>#VALUE!</v>
      </c>
      <c r="U23" s="10" t="e">
        <f t="shared" si="63"/>
        <v>#VALUE!</v>
      </c>
      <c r="V23" s="10" t="e">
        <f t="shared" si="8"/>
        <v>#VALUE!</v>
      </c>
      <c r="W23" s="10" t="e">
        <f t="shared" si="28"/>
        <v>#VALUE!</v>
      </c>
      <c r="Y23" s="10" t="e">
        <f t="shared" si="29"/>
        <v>#VALUE!</v>
      </c>
      <c r="Z23" s="11" t="e">
        <f t="shared" si="30"/>
        <v>#VALUE!</v>
      </c>
      <c r="AA23" s="10" t="e">
        <f t="shared" si="9"/>
        <v>#VALUE!</v>
      </c>
      <c r="AB23" s="10" t="e">
        <f t="shared" si="31"/>
        <v>#VALUE!</v>
      </c>
      <c r="AC23" s="10" t="e">
        <f t="shared" si="32"/>
        <v>#VALUE!</v>
      </c>
      <c r="AD23" s="10" t="e">
        <f t="shared" si="64"/>
        <v>#VALUE!</v>
      </c>
      <c r="AE23" s="10" t="e">
        <f t="shared" si="65"/>
        <v>#VALUE!</v>
      </c>
      <c r="AF23" s="10" t="e">
        <f t="shared" si="10"/>
        <v>#VALUE!</v>
      </c>
      <c r="AG23" s="10" t="e">
        <f t="shared" si="33"/>
        <v>#VALUE!</v>
      </c>
      <c r="AI23" s="13"/>
      <c r="AK23" s="10" t="e">
        <f t="shared" si="34"/>
        <v>#VALUE!</v>
      </c>
      <c r="AL23" s="10" t="e">
        <f t="shared" si="66"/>
        <v>#VALUE!</v>
      </c>
      <c r="AM23" s="10" t="e">
        <f t="shared" si="11"/>
        <v>#VALUE!</v>
      </c>
      <c r="AN23" s="10" t="e">
        <f t="shared" si="35"/>
        <v>#VALUE!</v>
      </c>
      <c r="AO23" s="10" t="e">
        <f t="shared" si="36"/>
        <v>#VALUE!</v>
      </c>
      <c r="AP23" s="10" t="e">
        <f t="shared" si="37"/>
        <v>#VALUE!</v>
      </c>
      <c r="AQ23" s="10" t="e">
        <f t="shared" si="67"/>
        <v>#VALUE!</v>
      </c>
      <c r="AR23" s="10" t="e">
        <f t="shared" si="12"/>
        <v>#VALUE!</v>
      </c>
      <c r="AS23" s="10" t="e">
        <f t="shared" si="68"/>
        <v>#VALUE!</v>
      </c>
      <c r="AU23" s="10" t="e">
        <f t="shared" si="38"/>
        <v>#VALUE!</v>
      </c>
      <c r="AV23" s="10" t="e">
        <f t="shared" si="69"/>
        <v>#VALUE!</v>
      </c>
      <c r="AW23" s="10" t="e">
        <f t="shared" si="13"/>
        <v>#VALUE!</v>
      </c>
      <c r="AX23" s="10" t="e">
        <f t="shared" si="39"/>
        <v>#VALUE!</v>
      </c>
      <c r="AY23" s="10" t="e">
        <f t="shared" si="40"/>
        <v>#VALUE!</v>
      </c>
      <c r="AZ23" s="10" t="e">
        <f t="shared" si="41"/>
        <v>#VALUE!</v>
      </c>
      <c r="BA23" s="10" t="e">
        <f t="shared" si="70"/>
        <v>#VALUE!</v>
      </c>
      <c r="BB23" s="10" t="e">
        <f t="shared" si="14"/>
        <v>#VALUE!</v>
      </c>
      <c r="BC23" s="10" t="e">
        <f t="shared" si="71"/>
        <v>#VALUE!</v>
      </c>
      <c r="BE23" s="10" t="e">
        <f t="shared" si="42"/>
        <v>#VALUE!</v>
      </c>
      <c r="BF23" s="10" t="e">
        <f t="shared" si="72"/>
        <v>#VALUE!</v>
      </c>
      <c r="BG23" s="10" t="e">
        <f t="shared" si="15"/>
        <v>#VALUE!</v>
      </c>
      <c r="BH23" s="10" t="e">
        <f t="shared" si="43"/>
        <v>#VALUE!</v>
      </c>
      <c r="BI23" s="10" t="e">
        <f t="shared" si="44"/>
        <v>#VALUE!</v>
      </c>
      <c r="BJ23" s="10" t="e">
        <f t="shared" si="45"/>
        <v>#VALUE!</v>
      </c>
      <c r="BK23" s="10" t="e">
        <f t="shared" si="73"/>
        <v>#VALUE!</v>
      </c>
      <c r="BL23" s="10" t="e">
        <f t="shared" si="16"/>
        <v>#VALUE!</v>
      </c>
      <c r="BM23" s="10" t="e">
        <f t="shared" si="74"/>
        <v>#VALUE!</v>
      </c>
      <c r="BP23" s="10" t="e">
        <f t="shared" si="46"/>
        <v>#VALUE!</v>
      </c>
      <c r="BQ23" s="10" t="e">
        <f t="shared" si="47"/>
        <v>#VALUE!</v>
      </c>
      <c r="BR23" s="10" t="e">
        <f t="shared" si="48"/>
        <v>#VALUE!</v>
      </c>
      <c r="BS23" s="10" t="e">
        <f t="shared" si="49"/>
        <v>#VALUE!</v>
      </c>
      <c r="BT23" s="10" t="e">
        <f t="shared" si="50"/>
        <v>#VALUE!</v>
      </c>
      <c r="BU23" s="10" t="e">
        <f t="shared" si="51"/>
        <v>#VALUE!</v>
      </c>
      <c r="BW23" s="10" t="e">
        <f t="shared" si="52"/>
        <v>#VALUE!</v>
      </c>
      <c r="BX23" s="10" t="e">
        <f t="shared" si="53"/>
        <v>#VALUE!</v>
      </c>
      <c r="BY23" s="10" t="e">
        <f t="shared" si="54"/>
        <v>#VALUE!</v>
      </c>
      <c r="BZ23" s="10" t="e">
        <f t="shared" si="55"/>
        <v>#VALUE!</v>
      </c>
      <c r="CA23" s="10" t="e">
        <f t="shared" si="56"/>
        <v>#VALUE!</v>
      </c>
      <c r="CB23" s="10" t="e">
        <f t="shared" si="57"/>
        <v>#VALUE!</v>
      </c>
      <c r="CD23" s="10" t="e">
        <f>MATCH(INDEX($BP$12:$BU$12,1,MATCH(BP23,$BP$15:$BU$15,0)),结果汇总!$AI$10:$AI$13,0)</f>
        <v>#VALUE!</v>
      </c>
      <c r="CE23" s="10" t="e">
        <f>MATCH(INDEX($BP$12:$BU$12,1,MATCH(BQ23,$BP$15:$BU$15,0)),结果汇总!$AI$10:$AI$13,0)</f>
        <v>#VALUE!</v>
      </c>
      <c r="CF23" s="10" t="e">
        <f>MATCH(INDEX($BP$12:$BU$12,1,MATCH(BR23,$BP$15:$BU$15,0)),结果汇总!$AI$10:$AI$13,0)</f>
        <v>#VALUE!</v>
      </c>
      <c r="CG23" s="10" t="e">
        <f>MATCH(INDEX($BP$12:$BU$12,1,MATCH(BS23,$BP$15:$BU$15,0)),结果汇总!$AI$10:$AI$13,0)</f>
        <v>#VALUE!</v>
      </c>
      <c r="CH23" s="10" t="e">
        <f>MATCH(INDEX($BP$12:$BU$12,1,MATCH(BT23,$BP$15:$BU$15,0)),结果汇总!$AI$10:$AI$13,0)</f>
        <v>#VALUE!</v>
      </c>
      <c r="CI23" s="10" t="e">
        <f>MATCH(INDEX($BP$12:$BU$12,1,MATCH(BU23,$BP$15:$BU$15,0)),结果汇总!$AI$10:$AI$13,0)</f>
        <v>#VALUE!</v>
      </c>
      <c r="CK23" s="10">
        <f t="shared" si="58"/>
        <v>0</v>
      </c>
      <c r="CL23" s="10">
        <f t="shared" si="17"/>
        <v>0</v>
      </c>
      <c r="CM23" s="10">
        <f t="shared" si="17"/>
        <v>0</v>
      </c>
      <c r="CN23" s="10">
        <f t="shared" si="17"/>
        <v>0</v>
      </c>
      <c r="CO23" s="10" t="e">
        <f t="shared" si="59"/>
        <v>#DIV/0!</v>
      </c>
      <c r="CP23" s="10" t="e">
        <f t="shared" si="18"/>
        <v>#DIV/0!</v>
      </c>
      <c r="CQ23" s="10" t="e">
        <f t="shared" si="18"/>
        <v>#DIV/0!</v>
      </c>
      <c r="CR23" s="10" t="e">
        <f t="shared" si="18"/>
        <v>#DIV/0!</v>
      </c>
      <c r="CS23" s="10">
        <f t="shared" si="60"/>
        <v>0</v>
      </c>
      <c r="CT23" s="10">
        <f t="shared" si="19"/>
        <v>0</v>
      </c>
      <c r="CU23" s="10">
        <f t="shared" si="19"/>
        <v>0</v>
      </c>
      <c r="CV23" s="10">
        <f t="shared" si="19"/>
        <v>0</v>
      </c>
      <c r="CW23" s="10">
        <f t="shared" si="61"/>
        <v>0</v>
      </c>
      <c r="CX23" s="10">
        <f t="shared" si="20"/>
        <v>0</v>
      </c>
      <c r="CY23" s="10">
        <f t="shared" si="20"/>
        <v>0</v>
      </c>
      <c r="CZ23" s="10">
        <f t="shared" si="20"/>
        <v>0</v>
      </c>
    </row>
    <row r="24" spans="4:104" x14ac:dyDescent="0.15">
      <c r="D24" s="10">
        <v>9</v>
      </c>
      <c r="E24" s="10" t="e">
        <f t="shared" si="21"/>
        <v>#VALUE!</v>
      </c>
      <c r="F24" s="10" t="e">
        <f t="shared" si="1"/>
        <v>#VALUE!</v>
      </c>
      <c r="G24" s="10" t="e">
        <f t="shared" si="2"/>
        <v>#VALUE!</v>
      </c>
      <c r="H24" s="10" t="e">
        <f t="shared" si="22"/>
        <v>#VALUE!</v>
      </c>
      <c r="I24" s="10" t="e">
        <f t="shared" si="3"/>
        <v>#VALUE!</v>
      </c>
      <c r="J24" s="10" t="e">
        <f t="shared" si="23"/>
        <v>#VALUE!</v>
      </c>
      <c r="K24" s="10" t="e">
        <f t="shared" si="4"/>
        <v>#VALUE!</v>
      </c>
      <c r="L24" s="10" t="e">
        <f t="shared" si="5"/>
        <v>#VALUE!</v>
      </c>
      <c r="M24" s="10" t="e">
        <f t="shared" si="24"/>
        <v>#VALUE!</v>
      </c>
      <c r="O24" s="10" t="e">
        <f t="shared" si="25"/>
        <v>#VALUE!</v>
      </c>
      <c r="P24" s="10" t="e">
        <f t="shared" si="6"/>
        <v>#VALUE!</v>
      </c>
      <c r="Q24" s="10" t="e">
        <f t="shared" si="7"/>
        <v>#VALUE!</v>
      </c>
      <c r="R24" s="10" t="e">
        <f t="shared" si="26"/>
        <v>#VALUE!</v>
      </c>
      <c r="S24" s="10" t="e">
        <f t="shared" si="27"/>
        <v>#VALUE!</v>
      </c>
      <c r="T24" s="10" t="e">
        <f t="shared" si="62"/>
        <v>#VALUE!</v>
      </c>
      <c r="U24" s="10" t="e">
        <f t="shared" si="63"/>
        <v>#VALUE!</v>
      </c>
      <c r="V24" s="10" t="e">
        <f t="shared" si="8"/>
        <v>#VALUE!</v>
      </c>
      <c r="W24" s="10" t="e">
        <f t="shared" si="28"/>
        <v>#VALUE!</v>
      </c>
      <c r="Y24" s="10" t="e">
        <f t="shared" si="29"/>
        <v>#VALUE!</v>
      </c>
      <c r="Z24" s="11" t="e">
        <f t="shared" si="30"/>
        <v>#VALUE!</v>
      </c>
      <c r="AA24" s="10" t="e">
        <f t="shared" si="9"/>
        <v>#VALUE!</v>
      </c>
      <c r="AB24" s="10" t="e">
        <f t="shared" si="31"/>
        <v>#VALUE!</v>
      </c>
      <c r="AC24" s="10" t="e">
        <f t="shared" si="32"/>
        <v>#VALUE!</v>
      </c>
      <c r="AD24" s="10" t="e">
        <f t="shared" si="64"/>
        <v>#VALUE!</v>
      </c>
      <c r="AE24" s="10" t="e">
        <f t="shared" si="65"/>
        <v>#VALUE!</v>
      </c>
      <c r="AF24" s="10" t="e">
        <f t="shared" si="10"/>
        <v>#VALUE!</v>
      </c>
      <c r="AG24" s="10" t="e">
        <f t="shared" si="33"/>
        <v>#VALUE!</v>
      </c>
      <c r="AI24" s="13"/>
      <c r="AK24" s="10" t="e">
        <f t="shared" si="34"/>
        <v>#VALUE!</v>
      </c>
      <c r="AL24" s="10" t="e">
        <f t="shared" si="66"/>
        <v>#VALUE!</v>
      </c>
      <c r="AM24" s="10" t="e">
        <f t="shared" si="11"/>
        <v>#VALUE!</v>
      </c>
      <c r="AN24" s="10" t="e">
        <f t="shared" si="35"/>
        <v>#VALUE!</v>
      </c>
      <c r="AO24" s="10" t="e">
        <f t="shared" si="36"/>
        <v>#VALUE!</v>
      </c>
      <c r="AP24" s="10" t="e">
        <f t="shared" si="37"/>
        <v>#VALUE!</v>
      </c>
      <c r="AQ24" s="10" t="e">
        <f t="shared" si="67"/>
        <v>#VALUE!</v>
      </c>
      <c r="AR24" s="10" t="e">
        <f t="shared" si="12"/>
        <v>#VALUE!</v>
      </c>
      <c r="AS24" s="10" t="e">
        <f t="shared" si="68"/>
        <v>#VALUE!</v>
      </c>
      <c r="AU24" s="10" t="e">
        <f t="shared" si="38"/>
        <v>#VALUE!</v>
      </c>
      <c r="AV24" s="10" t="e">
        <f t="shared" si="69"/>
        <v>#VALUE!</v>
      </c>
      <c r="AW24" s="10" t="e">
        <f t="shared" si="13"/>
        <v>#VALUE!</v>
      </c>
      <c r="AX24" s="10" t="e">
        <f t="shared" si="39"/>
        <v>#VALUE!</v>
      </c>
      <c r="AY24" s="10" t="e">
        <f t="shared" si="40"/>
        <v>#VALUE!</v>
      </c>
      <c r="AZ24" s="10" t="e">
        <f t="shared" si="41"/>
        <v>#VALUE!</v>
      </c>
      <c r="BA24" s="10" t="e">
        <f t="shared" si="70"/>
        <v>#VALUE!</v>
      </c>
      <c r="BB24" s="10" t="e">
        <f t="shared" si="14"/>
        <v>#VALUE!</v>
      </c>
      <c r="BC24" s="10" t="e">
        <f t="shared" si="71"/>
        <v>#VALUE!</v>
      </c>
      <c r="BE24" s="10" t="e">
        <f t="shared" si="42"/>
        <v>#VALUE!</v>
      </c>
      <c r="BF24" s="10" t="e">
        <f t="shared" si="72"/>
        <v>#VALUE!</v>
      </c>
      <c r="BG24" s="10" t="e">
        <f t="shared" si="15"/>
        <v>#VALUE!</v>
      </c>
      <c r="BH24" s="10" t="e">
        <f t="shared" si="43"/>
        <v>#VALUE!</v>
      </c>
      <c r="BI24" s="10" t="e">
        <f t="shared" si="44"/>
        <v>#VALUE!</v>
      </c>
      <c r="BJ24" s="10" t="e">
        <f t="shared" si="45"/>
        <v>#VALUE!</v>
      </c>
      <c r="BK24" s="10" t="e">
        <f t="shared" si="73"/>
        <v>#VALUE!</v>
      </c>
      <c r="BL24" s="10" t="e">
        <f t="shared" si="16"/>
        <v>#VALUE!</v>
      </c>
      <c r="BM24" s="10" t="e">
        <f t="shared" si="74"/>
        <v>#VALUE!</v>
      </c>
      <c r="BP24" s="10" t="e">
        <f t="shared" si="46"/>
        <v>#VALUE!</v>
      </c>
      <c r="BQ24" s="10" t="e">
        <f t="shared" si="47"/>
        <v>#VALUE!</v>
      </c>
      <c r="BR24" s="10" t="e">
        <f t="shared" si="48"/>
        <v>#VALUE!</v>
      </c>
      <c r="BS24" s="10" t="e">
        <f t="shared" si="49"/>
        <v>#VALUE!</v>
      </c>
      <c r="BT24" s="10" t="e">
        <f t="shared" si="50"/>
        <v>#VALUE!</v>
      </c>
      <c r="BU24" s="10" t="e">
        <f t="shared" si="51"/>
        <v>#VALUE!</v>
      </c>
      <c r="BW24" s="10" t="e">
        <f t="shared" si="52"/>
        <v>#VALUE!</v>
      </c>
      <c r="BX24" s="10" t="e">
        <f t="shared" si="53"/>
        <v>#VALUE!</v>
      </c>
      <c r="BY24" s="10" t="e">
        <f t="shared" si="54"/>
        <v>#VALUE!</v>
      </c>
      <c r="BZ24" s="10" t="e">
        <f t="shared" si="55"/>
        <v>#VALUE!</v>
      </c>
      <c r="CA24" s="10" t="e">
        <f t="shared" si="56"/>
        <v>#VALUE!</v>
      </c>
      <c r="CB24" s="10" t="e">
        <f t="shared" si="57"/>
        <v>#VALUE!</v>
      </c>
      <c r="CD24" s="10" t="e">
        <f>MATCH(INDEX($BP$12:$BU$12,1,MATCH(BP24,$BP$15:$BU$15,0)),结果汇总!$AI$10:$AI$13,0)</f>
        <v>#VALUE!</v>
      </c>
      <c r="CE24" s="10" t="e">
        <f>MATCH(INDEX($BP$12:$BU$12,1,MATCH(BQ24,$BP$15:$BU$15,0)),结果汇总!$AI$10:$AI$13,0)</f>
        <v>#VALUE!</v>
      </c>
      <c r="CF24" s="10" t="e">
        <f>MATCH(INDEX($BP$12:$BU$12,1,MATCH(BR24,$BP$15:$BU$15,0)),结果汇总!$AI$10:$AI$13,0)</f>
        <v>#VALUE!</v>
      </c>
      <c r="CG24" s="10" t="e">
        <f>MATCH(INDEX($BP$12:$BU$12,1,MATCH(BS24,$BP$15:$BU$15,0)),结果汇总!$AI$10:$AI$13,0)</f>
        <v>#VALUE!</v>
      </c>
      <c r="CH24" s="10" t="e">
        <f>MATCH(INDEX($BP$12:$BU$12,1,MATCH(BT24,$BP$15:$BU$15,0)),结果汇总!$AI$10:$AI$13,0)</f>
        <v>#VALUE!</v>
      </c>
      <c r="CI24" s="10" t="e">
        <f>MATCH(INDEX($BP$12:$BU$12,1,MATCH(BU24,$BP$15:$BU$15,0)),结果汇总!$AI$10:$AI$13,0)</f>
        <v>#VALUE!</v>
      </c>
      <c r="CK24" s="10">
        <f t="shared" si="58"/>
        <v>0</v>
      </c>
      <c r="CL24" s="10">
        <f t="shared" si="17"/>
        <v>0</v>
      </c>
      <c r="CM24" s="10">
        <f t="shared" si="17"/>
        <v>0</v>
      </c>
      <c r="CN24" s="10">
        <f t="shared" si="17"/>
        <v>0</v>
      </c>
      <c r="CO24" s="10" t="e">
        <f t="shared" si="59"/>
        <v>#DIV/0!</v>
      </c>
      <c r="CP24" s="10" t="e">
        <f t="shared" si="18"/>
        <v>#DIV/0!</v>
      </c>
      <c r="CQ24" s="10" t="e">
        <f t="shared" si="18"/>
        <v>#DIV/0!</v>
      </c>
      <c r="CR24" s="10" t="e">
        <f t="shared" si="18"/>
        <v>#DIV/0!</v>
      </c>
      <c r="CS24" s="10">
        <f t="shared" si="60"/>
        <v>0</v>
      </c>
      <c r="CT24" s="10">
        <f t="shared" si="19"/>
        <v>0</v>
      </c>
      <c r="CU24" s="10">
        <f t="shared" si="19"/>
        <v>0</v>
      </c>
      <c r="CV24" s="10">
        <f t="shared" si="19"/>
        <v>0</v>
      </c>
      <c r="CW24" s="10">
        <f t="shared" si="61"/>
        <v>0</v>
      </c>
      <c r="CX24" s="10">
        <f t="shared" si="20"/>
        <v>0</v>
      </c>
      <c r="CY24" s="10">
        <f t="shared" si="20"/>
        <v>0</v>
      </c>
      <c r="CZ24" s="10">
        <f t="shared" si="20"/>
        <v>0</v>
      </c>
    </row>
    <row r="25" spans="4:104" x14ac:dyDescent="0.15">
      <c r="D25" s="10">
        <v>10</v>
      </c>
      <c r="E25" s="10" t="e">
        <f t="shared" si="21"/>
        <v>#VALUE!</v>
      </c>
      <c r="F25" s="10" t="e">
        <f t="shared" si="1"/>
        <v>#VALUE!</v>
      </c>
      <c r="G25" s="10" t="e">
        <f t="shared" si="2"/>
        <v>#VALUE!</v>
      </c>
      <c r="H25" s="10" t="e">
        <f t="shared" si="22"/>
        <v>#VALUE!</v>
      </c>
      <c r="I25" s="10" t="e">
        <f t="shared" si="3"/>
        <v>#VALUE!</v>
      </c>
      <c r="J25" s="10" t="e">
        <f t="shared" si="23"/>
        <v>#VALUE!</v>
      </c>
      <c r="K25" s="10" t="e">
        <f t="shared" si="4"/>
        <v>#VALUE!</v>
      </c>
      <c r="L25" s="10" t="e">
        <f t="shared" si="5"/>
        <v>#VALUE!</v>
      </c>
      <c r="M25" s="10" t="e">
        <f t="shared" si="24"/>
        <v>#VALUE!</v>
      </c>
      <c r="O25" s="10" t="e">
        <f t="shared" si="25"/>
        <v>#VALUE!</v>
      </c>
      <c r="P25" s="10" t="e">
        <f t="shared" si="6"/>
        <v>#VALUE!</v>
      </c>
      <c r="Q25" s="10" t="e">
        <f t="shared" si="7"/>
        <v>#VALUE!</v>
      </c>
      <c r="R25" s="10" t="e">
        <f t="shared" si="26"/>
        <v>#VALUE!</v>
      </c>
      <c r="S25" s="10" t="e">
        <f t="shared" si="27"/>
        <v>#VALUE!</v>
      </c>
      <c r="T25" s="10" t="e">
        <f t="shared" si="62"/>
        <v>#VALUE!</v>
      </c>
      <c r="U25" s="10" t="e">
        <f t="shared" si="63"/>
        <v>#VALUE!</v>
      </c>
      <c r="V25" s="10" t="e">
        <f t="shared" si="8"/>
        <v>#VALUE!</v>
      </c>
      <c r="W25" s="10" t="e">
        <f t="shared" si="28"/>
        <v>#VALUE!</v>
      </c>
      <c r="Y25" s="10" t="e">
        <f t="shared" si="29"/>
        <v>#VALUE!</v>
      </c>
      <c r="Z25" s="11" t="e">
        <f t="shared" si="30"/>
        <v>#VALUE!</v>
      </c>
      <c r="AA25" s="10" t="e">
        <f t="shared" si="9"/>
        <v>#VALUE!</v>
      </c>
      <c r="AB25" s="10" t="e">
        <f t="shared" si="31"/>
        <v>#VALUE!</v>
      </c>
      <c r="AC25" s="10" t="e">
        <f t="shared" si="32"/>
        <v>#VALUE!</v>
      </c>
      <c r="AD25" s="10" t="e">
        <f t="shared" si="64"/>
        <v>#VALUE!</v>
      </c>
      <c r="AE25" s="10" t="e">
        <f t="shared" si="65"/>
        <v>#VALUE!</v>
      </c>
      <c r="AF25" s="10" t="e">
        <f t="shared" si="10"/>
        <v>#VALUE!</v>
      </c>
      <c r="AG25" s="10" t="e">
        <f t="shared" si="33"/>
        <v>#VALUE!</v>
      </c>
      <c r="AI25" s="13"/>
      <c r="AK25" s="10" t="e">
        <f t="shared" si="34"/>
        <v>#VALUE!</v>
      </c>
      <c r="AL25" s="10" t="e">
        <f t="shared" si="66"/>
        <v>#VALUE!</v>
      </c>
      <c r="AM25" s="10" t="e">
        <f t="shared" si="11"/>
        <v>#VALUE!</v>
      </c>
      <c r="AN25" s="10" t="e">
        <f t="shared" si="35"/>
        <v>#VALUE!</v>
      </c>
      <c r="AO25" s="10" t="e">
        <f t="shared" si="36"/>
        <v>#VALUE!</v>
      </c>
      <c r="AP25" s="10" t="e">
        <f t="shared" si="37"/>
        <v>#VALUE!</v>
      </c>
      <c r="AQ25" s="10" t="e">
        <f t="shared" si="67"/>
        <v>#VALUE!</v>
      </c>
      <c r="AR25" s="10" t="e">
        <f t="shared" si="12"/>
        <v>#VALUE!</v>
      </c>
      <c r="AS25" s="10" t="e">
        <f t="shared" si="68"/>
        <v>#VALUE!</v>
      </c>
      <c r="AU25" s="10" t="e">
        <f t="shared" si="38"/>
        <v>#VALUE!</v>
      </c>
      <c r="AV25" s="10" t="e">
        <f t="shared" si="69"/>
        <v>#VALUE!</v>
      </c>
      <c r="AW25" s="10" t="e">
        <f t="shared" si="13"/>
        <v>#VALUE!</v>
      </c>
      <c r="AX25" s="10" t="e">
        <f t="shared" si="39"/>
        <v>#VALUE!</v>
      </c>
      <c r="AY25" s="10" t="e">
        <f t="shared" si="40"/>
        <v>#VALUE!</v>
      </c>
      <c r="AZ25" s="10" t="e">
        <f t="shared" si="41"/>
        <v>#VALUE!</v>
      </c>
      <c r="BA25" s="10" t="e">
        <f t="shared" si="70"/>
        <v>#VALUE!</v>
      </c>
      <c r="BB25" s="10" t="e">
        <f t="shared" si="14"/>
        <v>#VALUE!</v>
      </c>
      <c r="BC25" s="10" t="e">
        <f t="shared" si="71"/>
        <v>#VALUE!</v>
      </c>
      <c r="BE25" s="10" t="e">
        <f t="shared" si="42"/>
        <v>#VALUE!</v>
      </c>
      <c r="BF25" s="10" t="e">
        <f t="shared" si="72"/>
        <v>#VALUE!</v>
      </c>
      <c r="BG25" s="10" t="e">
        <f t="shared" si="15"/>
        <v>#VALUE!</v>
      </c>
      <c r="BH25" s="10" t="e">
        <f t="shared" si="43"/>
        <v>#VALUE!</v>
      </c>
      <c r="BI25" s="10" t="e">
        <f t="shared" si="44"/>
        <v>#VALUE!</v>
      </c>
      <c r="BJ25" s="10" t="e">
        <f t="shared" si="45"/>
        <v>#VALUE!</v>
      </c>
      <c r="BK25" s="10" t="e">
        <f t="shared" si="73"/>
        <v>#VALUE!</v>
      </c>
      <c r="BL25" s="10" t="e">
        <f t="shared" si="16"/>
        <v>#VALUE!</v>
      </c>
      <c r="BM25" s="10" t="e">
        <f t="shared" si="74"/>
        <v>#VALUE!</v>
      </c>
      <c r="BP25" s="10" t="e">
        <f t="shared" si="46"/>
        <v>#VALUE!</v>
      </c>
      <c r="BQ25" s="10" t="e">
        <f t="shared" si="47"/>
        <v>#VALUE!</v>
      </c>
      <c r="BR25" s="10" t="e">
        <f t="shared" si="48"/>
        <v>#VALUE!</v>
      </c>
      <c r="BS25" s="10" t="e">
        <f t="shared" si="49"/>
        <v>#VALUE!</v>
      </c>
      <c r="BT25" s="10" t="e">
        <f t="shared" si="50"/>
        <v>#VALUE!</v>
      </c>
      <c r="BU25" s="10" t="e">
        <f t="shared" si="51"/>
        <v>#VALUE!</v>
      </c>
      <c r="BW25" s="10" t="e">
        <f t="shared" si="52"/>
        <v>#VALUE!</v>
      </c>
      <c r="BX25" s="10" t="e">
        <f t="shared" si="53"/>
        <v>#VALUE!</v>
      </c>
      <c r="BY25" s="10" t="e">
        <f t="shared" si="54"/>
        <v>#VALUE!</v>
      </c>
      <c r="BZ25" s="10" t="e">
        <f t="shared" si="55"/>
        <v>#VALUE!</v>
      </c>
      <c r="CA25" s="10" t="e">
        <f t="shared" si="56"/>
        <v>#VALUE!</v>
      </c>
      <c r="CB25" s="10" t="e">
        <f t="shared" si="57"/>
        <v>#VALUE!</v>
      </c>
      <c r="CD25" s="10" t="e">
        <f>MATCH(INDEX($BP$12:$BU$12,1,MATCH(BP25,$BP$15:$BU$15,0)),结果汇总!$AI$10:$AI$13,0)</f>
        <v>#VALUE!</v>
      </c>
      <c r="CE25" s="10" t="e">
        <f>MATCH(INDEX($BP$12:$BU$12,1,MATCH(BQ25,$BP$15:$BU$15,0)),结果汇总!$AI$10:$AI$13,0)</f>
        <v>#VALUE!</v>
      </c>
      <c r="CF25" s="10" t="e">
        <f>MATCH(INDEX($BP$12:$BU$12,1,MATCH(BR25,$BP$15:$BU$15,0)),结果汇总!$AI$10:$AI$13,0)</f>
        <v>#VALUE!</v>
      </c>
      <c r="CG25" s="10" t="e">
        <f>MATCH(INDEX($BP$12:$BU$12,1,MATCH(BS25,$BP$15:$BU$15,0)),结果汇总!$AI$10:$AI$13,0)</f>
        <v>#VALUE!</v>
      </c>
      <c r="CH25" s="10" t="e">
        <f>MATCH(INDEX($BP$12:$BU$12,1,MATCH(BT25,$BP$15:$BU$15,0)),结果汇总!$AI$10:$AI$13,0)</f>
        <v>#VALUE!</v>
      </c>
      <c r="CI25" s="10" t="e">
        <f>MATCH(INDEX($BP$12:$BU$12,1,MATCH(BU25,$BP$15:$BU$15,0)),结果汇总!$AI$10:$AI$13,0)</f>
        <v>#VALUE!</v>
      </c>
      <c r="CK25" s="10">
        <f t="shared" si="58"/>
        <v>0</v>
      </c>
      <c r="CL25" s="10">
        <f t="shared" si="17"/>
        <v>0</v>
      </c>
      <c r="CM25" s="10">
        <f t="shared" si="17"/>
        <v>0</v>
      </c>
      <c r="CN25" s="10">
        <f t="shared" si="17"/>
        <v>0</v>
      </c>
      <c r="CO25" s="10" t="e">
        <f t="shared" si="59"/>
        <v>#DIV/0!</v>
      </c>
      <c r="CP25" s="10" t="e">
        <f t="shared" si="18"/>
        <v>#DIV/0!</v>
      </c>
      <c r="CQ25" s="10" t="e">
        <f t="shared" si="18"/>
        <v>#DIV/0!</v>
      </c>
      <c r="CR25" s="10" t="e">
        <f t="shared" si="18"/>
        <v>#DIV/0!</v>
      </c>
      <c r="CS25" s="10">
        <f t="shared" si="60"/>
        <v>0</v>
      </c>
      <c r="CT25" s="10">
        <f t="shared" si="19"/>
        <v>0</v>
      </c>
      <c r="CU25" s="10">
        <f t="shared" si="19"/>
        <v>0</v>
      </c>
      <c r="CV25" s="10">
        <f t="shared" si="19"/>
        <v>0</v>
      </c>
      <c r="CW25" s="10">
        <f t="shared" si="61"/>
        <v>0</v>
      </c>
      <c r="CX25" s="10">
        <f t="shared" si="20"/>
        <v>0</v>
      </c>
      <c r="CY25" s="10">
        <f t="shared" si="20"/>
        <v>0</v>
      </c>
      <c r="CZ25" s="10">
        <f t="shared" si="20"/>
        <v>0</v>
      </c>
    </row>
    <row r="26" spans="4:104" x14ac:dyDescent="0.15">
      <c r="D26" s="10">
        <v>11</v>
      </c>
      <c r="E26" s="10" t="e">
        <f t="shared" si="21"/>
        <v>#VALUE!</v>
      </c>
      <c r="F26" s="10" t="e">
        <f t="shared" si="1"/>
        <v>#VALUE!</v>
      </c>
      <c r="G26" s="10" t="e">
        <f t="shared" si="2"/>
        <v>#VALUE!</v>
      </c>
      <c r="H26" s="10" t="e">
        <f t="shared" si="22"/>
        <v>#VALUE!</v>
      </c>
      <c r="I26" s="10" t="e">
        <f t="shared" si="3"/>
        <v>#VALUE!</v>
      </c>
      <c r="J26" s="10" t="e">
        <f t="shared" si="23"/>
        <v>#VALUE!</v>
      </c>
      <c r="K26" s="10" t="e">
        <f t="shared" si="4"/>
        <v>#VALUE!</v>
      </c>
      <c r="L26" s="10" t="e">
        <f t="shared" si="5"/>
        <v>#VALUE!</v>
      </c>
      <c r="M26" s="10" t="e">
        <f t="shared" si="24"/>
        <v>#VALUE!</v>
      </c>
      <c r="O26" s="10" t="e">
        <f t="shared" si="25"/>
        <v>#VALUE!</v>
      </c>
      <c r="P26" s="10" t="e">
        <f t="shared" si="6"/>
        <v>#VALUE!</v>
      </c>
      <c r="Q26" s="10" t="e">
        <f t="shared" si="7"/>
        <v>#VALUE!</v>
      </c>
      <c r="R26" s="10" t="e">
        <f t="shared" si="26"/>
        <v>#VALUE!</v>
      </c>
      <c r="S26" s="10" t="e">
        <f t="shared" si="27"/>
        <v>#VALUE!</v>
      </c>
      <c r="T26" s="10" t="e">
        <f t="shared" si="62"/>
        <v>#VALUE!</v>
      </c>
      <c r="U26" s="10" t="e">
        <f t="shared" si="63"/>
        <v>#VALUE!</v>
      </c>
      <c r="V26" s="10" t="e">
        <f t="shared" si="8"/>
        <v>#VALUE!</v>
      </c>
      <c r="W26" s="10" t="e">
        <f t="shared" si="28"/>
        <v>#VALUE!</v>
      </c>
      <c r="Y26" s="10" t="e">
        <f t="shared" si="29"/>
        <v>#VALUE!</v>
      </c>
      <c r="Z26" s="11" t="e">
        <f t="shared" si="30"/>
        <v>#VALUE!</v>
      </c>
      <c r="AA26" s="10" t="e">
        <f t="shared" si="9"/>
        <v>#VALUE!</v>
      </c>
      <c r="AB26" s="10" t="e">
        <f t="shared" si="31"/>
        <v>#VALUE!</v>
      </c>
      <c r="AC26" s="10" t="e">
        <f t="shared" si="32"/>
        <v>#VALUE!</v>
      </c>
      <c r="AD26" s="10" t="e">
        <f t="shared" si="64"/>
        <v>#VALUE!</v>
      </c>
      <c r="AE26" s="10" t="e">
        <f t="shared" si="65"/>
        <v>#VALUE!</v>
      </c>
      <c r="AF26" s="10" t="e">
        <f t="shared" si="10"/>
        <v>#VALUE!</v>
      </c>
      <c r="AG26" s="10" t="e">
        <f t="shared" si="33"/>
        <v>#VALUE!</v>
      </c>
      <c r="AI26" s="13"/>
      <c r="AK26" s="10" t="e">
        <f t="shared" si="34"/>
        <v>#VALUE!</v>
      </c>
      <c r="AL26" s="10" t="e">
        <f t="shared" si="66"/>
        <v>#VALUE!</v>
      </c>
      <c r="AM26" s="10" t="e">
        <f t="shared" si="11"/>
        <v>#VALUE!</v>
      </c>
      <c r="AN26" s="10" t="e">
        <f t="shared" si="35"/>
        <v>#VALUE!</v>
      </c>
      <c r="AO26" s="10" t="e">
        <f t="shared" si="36"/>
        <v>#VALUE!</v>
      </c>
      <c r="AP26" s="10" t="e">
        <f t="shared" si="37"/>
        <v>#VALUE!</v>
      </c>
      <c r="AQ26" s="10" t="e">
        <f t="shared" si="67"/>
        <v>#VALUE!</v>
      </c>
      <c r="AR26" s="10" t="e">
        <f t="shared" si="12"/>
        <v>#VALUE!</v>
      </c>
      <c r="AS26" s="10" t="e">
        <f t="shared" si="68"/>
        <v>#VALUE!</v>
      </c>
      <c r="AU26" s="10" t="e">
        <f t="shared" si="38"/>
        <v>#VALUE!</v>
      </c>
      <c r="AV26" s="10" t="e">
        <f t="shared" si="69"/>
        <v>#VALUE!</v>
      </c>
      <c r="AW26" s="10" t="e">
        <f t="shared" si="13"/>
        <v>#VALUE!</v>
      </c>
      <c r="AX26" s="10" t="e">
        <f t="shared" si="39"/>
        <v>#VALUE!</v>
      </c>
      <c r="AY26" s="10" t="e">
        <f t="shared" si="40"/>
        <v>#VALUE!</v>
      </c>
      <c r="AZ26" s="10" t="e">
        <f t="shared" si="41"/>
        <v>#VALUE!</v>
      </c>
      <c r="BA26" s="10" t="e">
        <f t="shared" si="70"/>
        <v>#VALUE!</v>
      </c>
      <c r="BB26" s="10" t="e">
        <f t="shared" si="14"/>
        <v>#VALUE!</v>
      </c>
      <c r="BC26" s="10" t="e">
        <f t="shared" si="71"/>
        <v>#VALUE!</v>
      </c>
      <c r="BE26" s="10" t="e">
        <f t="shared" si="42"/>
        <v>#VALUE!</v>
      </c>
      <c r="BF26" s="10" t="e">
        <f t="shared" si="72"/>
        <v>#VALUE!</v>
      </c>
      <c r="BG26" s="10" t="e">
        <f t="shared" si="15"/>
        <v>#VALUE!</v>
      </c>
      <c r="BH26" s="10" t="e">
        <f t="shared" si="43"/>
        <v>#VALUE!</v>
      </c>
      <c r="BI26" s="10" t="e">
        <f t="shared" si="44"/>
        <v>#VALUE!</v>
      </c>
      <c r="BJ26" s="10" t="e">
        <f t="shared" si="45"/>
        <v>#VALUE!</v>
      </c>
      <c r="BK26" s="10" t="e">
        <f t="shared" si="73"/>
        <v>#VALUE!</v>
      </c>
      <c r="BL26" s="10" t="e">
        <f t="shared" si="16"/>
        <v>#VALUE!</v>
      </c>
      <c r="BM26" s="10" t="e">
        <f t="shared" si="74"/>
        <v>#VALUE!</v>
      </c>
      <c r="BP26" s="10" t="e">
        <f t="shared" si="46"/>
        <v>#VALUE!</v>
      </c>
      <c r="BQ26" s="10" t="e">
        <f t="shared" si="47"/>
        <v>#VALUE!</v>
      </c>
      <c r="BR26" s="10" t="e">
        <f t="shared" si="48"/>
        <v>#VALUE!</v>
      </c>
      <c r="BS26" s="10" t="e">
        <f t="shared" si="49"/>
        <v>#VALUE!</v>
      </c>
      <c r="BT26" s="10" t="e">
        <f t="shared" si="50"/>
        <v>#VALUE!</v>
      </c>
      <c r="BU26" s="10" t="e">
        <f t="shared" si="51"/>
        <v>#VALUE!</v>
      </c>
      <c r="BW26" s="10" t="e">
        <f t="shared" si="52"/>
        <v>#VALUE!</v>
      </c>
      <c r="BX26" s="10" t="e">
        <f t="shared" si="53"/>
        <v>#VALUE!</v>
      </c>
      <c r="BY26" s="10" t="e">
        <f t="shared" si="54"/>
        <v>#VALUE!</v>
      </c>
      <c r="BZ26" s="10" t="e">
        <f t="shared" si="55"/>
        <v>#VALUE!</v>
      </c>
      <c r="CA26" s="10" t="e">
        <f t="shared" si="56"/>
        <v>#VALUE!</v>
      </c>
      <c r="CB26" s="10" t="e">
        <f t="shared" si="57"/>
        <v>#VALUE!</v>
      </c>
      <c r="CD26" s="10" t="e">
        <f>MATCH(INDEX($BP$12:$BU$12,1,MATCH(BP26,$BP$15:$BU$15,0)),结果汇总!$AI$10:$AI$13,0)</f>
        <v>#VALUE!</v>
      </c>
      <c r="CE26" s="10" t="e">
        <f>MATCH(INDEX($BP$12:$BU$12,1,MATCH(BQ26,$BP$15:$BU$15,0)),结果汇总!$AI$10:$AI$13,0)</f>
        <v>#VALUE!</v>
      </c>
      <c r="CF26" s="10" t="e">
        <f>MATCH(INDEX($BP$12:$BU$12,1,MATCH(BR26,$BP$15:$BU$15,0)),结果汇总!$AI$10:$AI$13,0)</f>
        <v>#VALUE!</v>
      </c>
      <c r="CG26" s="10" t="e">
        <f>MATCH(INDEX($BP$12:$BU$12,1,MATCH(BS26,$BP$15:$BU$15,0)),结果汇总!$AI$10:$AI$13,0)</f>
        <v>#VALUE!</v>
      </c>
      <c r="CH26" s="10" t="e">
        <f>MATCH(INDEX($BP$12:$BU$12,1,MATCH(BT26,$BP$15:$BU$15,0)),结果汇总!$AI$10:$AI$13,0)</f>
        <v>#VALUE!</v>
      </c>
      <c r="CI26" s="10" t="e">
        <f>MATCH(INDEX($BP$12:$BU$12,1,MATCH(BU26,$BP$15:$BU$15,0)),结果汇总!$AI$10:$AI$13,0)</f>
        <v>#VALUE!</v>
      </c>
      <c r="CK26" s="10">
        <f t="shared" si="58"/>
        <v>0</v>
      </c>
      <c r="CL26" s="10">
        <f t="shared" si="17"/>
        <v>0</v>
      </c>
      <c r="CM26" s="10">
        <f t="shared" si="17"/>
        <v>0</v>
      </c>
      <c r="CN26" s="10">
        <f t="shared" si="17"/>
        <v>0</v>
      </c>
      <c r="CO26" s="10" t="e">
        <f t="shared" si="59"/>
        <v>#DIV/0!</v>
      </c>
      <c r="CP26" s="10" t="e">
        <f t="shared" si="18"/>
        <v>#DIV/0!</v>
      </c>
      <c r="CQ26" s="10" t="e">
        <f t="shared" si="18"/>
        <v>#DIV/0!</v>
      </c>
      <c r="CR26" s="10" t="e">
        <f t="shared" si="18"/>
        <v>#DIV/0!</v>
      </c>
      <c r="CS26" s="10">
        <f t="shared" si="60"/>
        <v>0</v>
      </c>
      <c r="CT26" s="10">
        <f t="shared" si="19"/>
        <v>0</v>
      </c>
      <c r="CU26" s="10">
        <f t="shared" si="19"/>
        <v>0</v>
      </c>
      <c r="CV26" s="10">
        <f t="shared" si="19"/>
        <v>0</v>
      </c>
      <c r="CW26" s="10">
        <f t="shared" si="61"/>
        <v>0</v>
      </c>
      <c r="CX26" s="10">
        <f t="shared" si="20"/>
        <v>0</v>
      </c>
      <c r="CY26" s="10">
        <f t="shared" si="20"/>
        <v>0</v>
      </c>
      <c r="CZ26" s="10">
        <f t="shared" si="20"/>
        <v>0</v>
      </c>
    </row>
    <row r="27" spans="4:104" x14ac:dyDescent="0.15">
      <c r="D27" s="10">
        <v>12</v>
      </c>
      <c r="E27" s="10" t="e">
        <f t="shared" si="21"/>
        <v>#VALUE!</v>
      </c>
      <c r="F27" s="10" t="e">
        <f t="shared" si="1"/>
        <v>#VALUE!</v>
      </c>
      <c r="G27" s="10" t="e">
        <f t="shared" si="2"/>
        <v>#VALUE!</v>
      </c>
      <c r="H27" s="10" t="e">
        <f t="shared" si="22"/>
        <v>#VALUE!</v>
      </c>
      <c r="I27" s="10" t="e">
        <f t="shared" si="3"/>
        <v>#VALUE!</v>
      </c>
      <c r="J27" s="10" t="e">
        <f t="shared" si="23"/>
        <v>#VALUE!</v>
      </c>
      <c r="K27" s="10" t="e">
        <f t="shared" si="4"/>
        <v>#VALUE!</v>
      </c>
      <c r="L27" s="10" t="e">
        <f t="shared" si="5"/>
        <v>#VALUE!</v>
      </c>
      <c r="M27" s="10" t="e">
        <f t="shared" si="24"/>
        <v>#VALUE!</v>
      </c>
      <c r="O27" s="10" t="e">
        <f t="shared" si="25"/>
        <v>#VALUE!</v>
      </c>
      <c r="P27" s="10" t="e">
        <f t="shared" si="6"/>
        <v>#VALUE!</v>
      </c>
      <c r="Q27" s="10" t="e">
        <f t="shared" si="7"/>
        <v>#VALUE!</v>
      </c>
      <c r="R27" s="10" t="e">
        <f t="shared" si="26"/>
        <v>#VALUE!</v>
      </c>
      <c r="S27" s="10" t="e">
        <f t="shared" si="27"/>
        <v>#VALUE!</v>
      </c>
      <c r="T27" s="10" t="e">
        <f t="shared" si="62"/>
        <v>#VALUE!</v>
      </c>
      <c r="U27" s="10" t="e">
        <f t="shared" si="63"/>
        <v>#VALUE!</v>
      </c>
      <c r="V27" s="10" t="e">
        <f t="shared" si="8"/>
        <v>#VALUE!</v>
      </c>
      <c r="W27" s="10" t="e">
        <f t="shared" si="28"/>
        <v>#VALUE!</v>
      </c>
      <c r="Y27" s="10" t="e">
        <f t="shared" si="29"/>
        <v>#VALUE!</v>
      </c>
      <c r="Z27" s="11" t="e">
        <f t="shared" si="30"/>
        <v>#VALUE!</v>
      </c>
      <c r="AA27" s="10" t="e">
        <f t="shared" si="9"/>
        <v>#VALUE!</v>
      </c>
      <c r="AB27" s="10" t="e">
        <f t="shared" si="31"/>
        <v>#VALUE!</v>
      </c>
      <c r="AC27" s="10" t="e">
        <f t="shared" si="32"/>
        <v>#VALUE!</v>
      </c>
      <c r="AD27" s="10" t="e">
        <f t="shared" si="64"/>
        <v>#VALUE!</v>
      </c>
      <c r="AE27" s="10" t="e">
        <f t="shared" si="65"/>
        <v>#VALUE!</v>
      </c>
      <c r="AF27" s="10" t="e">
        <f t="shared" si="10"/>
        <v>#VALUE!</v>
      </c>
      <c r="AG27" s="10" t="e">
        <f t="shared" si="33"/>
        <v>#VALUE!</v>
      </c>
      <c r="AI27" s="13"/>
      <c r="AK27" s="10" t="e">
        <f t="shared" si="34"/>
        <v>#VALUE!</v>
      </c>
      <c r="AL27" s="10" t="e">
        <f t="shared" si="66"/>
        <v>#VALUE!</v>
      </c>
      <c r="AM27" s="10" t="e">
        <f t="shared" si="11"/>
        <v>#VALUE!</v>
      </c>
      <c r="AN27" s="10" t="e">
        <f t="shared" si="35"/>
        <v>#VALUE!</v>
      </c>
      <c r="AO27" s="10" t="e">
        <f t="shared" si="36"/>
        <v>#VALUE!</v>
      </c>
      <c r="AP27" s="10" t="e">
        <f t="shared" si="37"/>
        <v>#VALUE!</v>
      </c>
      <c r="AQ27" s="10" t="e">
        <f t="shared" si="67"/>
        <v>#VALUE!</v>
      </c>
      <c r="AR27" s="10" t="e">
        <f t="shared" si="12"/>
        <v>#VALUE!</v>
      </c>
      <c r="AS27" s="10" t="e">
        <f t="shared" si="68"/>
        <v>#VALUE!</v>
      </c>
      <c r="AU27" s="10" t="e">
        <f t="shared" si="38"/>
        <v>#VALUE!</v>
      </c>
      <c r="AV27" s="10" t="e">
        <f t="shared" si="69"/>
        <v>#VALUE!</v>
      </c>
      <c r="AW27" s="10" t="e">
        <f t="shared" si="13"/>
        <v>#VALUE!</v>
      </c>
      <c r="AX27" s="10" t="e">
        <f t="shared" si="39"/>
        <v>#VALUE!</v>
      </c>
      <c r="AY27" s="10" t="e">
        <f t="shared" si="40"/>
        <v>#VALUE!</v>
      </c>
      <c r="AZ27" s="10" t="e">
        <f t="shared" si="41"/>
        <v>#VALUE!</v>
      </c>
      <c r="BA27" s="10" t="e">
        <f t="shared" si="70"/>
        <v>#VALUE!</v>
      </c>
      <c r="BB27" s="10" t="e">
        <f t="shared" si="14"/>
        <v>#VALUE!</v>
      </c>
      <c r="BC27" s="10" t="e">
        <f t="shared" si="71"/>
        <v>#VALUE!</v>
      </c>
      <c r="BE27" s="10" t="e">
        <f t="shared" si="42"/>
        <v>#VALUE!</v>
      </c>
      <c r="BF27" s="10" t="e">
        <f t="shared" si="72"/>
        <v>#VALUE!</v>
      </c>
      <c r="BG27" s="10" t="e">
        <f t="shared" si="15"/>
        <v>#VALUE!</v>
      </c>
      <c r="BH27" s="10" t="e">
        <f t="shared" si="43"/>
        <v>#VALUE!</v>
      </c>
      <c r="BI27" s="10" t="e">
        <f t="shared" si="44"/>
        <v>#VALUE!</v>
      </c>
      <c r="BJ27" s="10" t="e">
        <f t="shared" si="45"/>
        <v>#VALUE!</v>
      </c>
      <c r="BK27" s="10" t="e">
        <f t="shared" si="73"/>
        <v>#VALUE!</v>
      </c>
      <c r="BL27" s="10" t="e">
        <f t="shared" si="16"/>
        <v>#VALUE!</v>
      </c>
      <c r="BM27" s="10" t="e">
        <f t="shared" si="74"/>
        <v>#VALUE!</v>
      </c>
      <c r="BP27" s="10" t="e">
        <f t="shared" si="46"/>
        <v>#VALUE!</v>
      </c>
      <c r="BQ27" s="10" t="e">
        <f t="shared" si="47"/>
        <v>#VALUE!</v>
      </c>
      <c r="BR27" s="10" t="e">
        <f t="shared" si="48"/>
        <v>#VALUE!</v>
      </c>
      <c r="BS27" s="10" t="e">
        <f t="shared" si="49"/>
        <v>#VALUE!</v>
      </c>
      <c r="BT27" s="10" t="e">
        <f t="shared" si="50"/>
        <v>#VALUE!</v>
      </c>
      <c r="BU27" s="10" t="e">
        <f t="shared" si="51"/>
        <v>#VALUE!</v>
      </c>
      <c r="BW27" s="10" t="e">
        <f t="shared" si="52"/>
        <v>#VALUE!</v>
      </c>
      <c r="BX27" s="10" t="e">
        <f t="shared" si="53"/>
        <v>#VALUE!</v>
      </c>
      <c r="BY27" s="10" t="e">
        <f t="shared" si="54"/>
        <v>#VALUE!</v>
      </c>
      <c r="BZ27" s="10" t="e">
        <f t="shared" si="55"/>
        <v>#VALUE!</v>
      </c>
      <c r="CA27" s="10" t="e">
        <f t="shared" si="56"/>
        <v>#VALUE!</v>
      </c>
      <c r="CB27" s="10" t="e">
        <f t="shared" si="57"/>
        <v>#VALUE!</v>
      </c>
      <c r="CD27" s="10" t="e">
        <f>MATCH(INDEX($BP$12:$BU$12,1,MATCH(BP27,$BP$15:$BU$15,0)),结果汇总!$AI$10:$AI$13,0)</f>
        <v>#VALUE!</v>
      </c>
      <c r="CE27" s="10" t="e">
        <f>MATCH(INDEX($BP$12:$BU$12,1,MATCH(BQ27,$BP$15:$BU$15,0)),结果汇总!$AI$10:$AI$13,0)</f>
        <v>#VALUE!</v>
      </c>
      <c r="CF27" s="10" t="e">
        <f>MATCH(INDEX($BP$12:$BU$12,1,MATCH(BR27,$BP$15:$BU$15,0)),结果汇总!$AI$10:$AI$13,0)</f>
        <v>#VALUE!</v>
      </c>
      <c r="CG27" s="10" t="e">
        <f>MATCH(INDEX($BP$12:$BU$12,1,MATCH(BS27,$BP$15:$BU$15,0)),结果汇总!$AI$10:$AI$13,0)</f>
        <v>#VALUE!</v>
      </c>
      <c r="CH27" s="10" t="e">
        <f>MATCH(INDEX($BP$12:$BU$12,1,MATCH(BT27,$BP$15:$BU$15,0)),结果汇总!$AI$10:$AI$13,0)</f>
        <v>#VALUE!</v>
      </c>
      <c r="CI27" s="10" t="e">
        <f>MATCH(INDEX($BP$12:$BU$12,1,MATCH(BU27,$BP$15:$BU$15,0)),结果汇总!$AI$10:$AI$13,0)</f>
        <v>#VALUE!</v>
      </c>
      <c r="CK27" s="10">
        <f t="shared" si="58"/>
        <v>0</v>
      </c>
      <c r="CL27" s="10">
        <f t="shared" si="17"/>
        <v>0</v>
      </c>
      <c r="CM27" s="10">
        <f t="shared" si="17"/>
        <v>0</v>
      </c>
      <c r="CN27" s="10">
        <f t="shared" si="17"/>
        <v>0</v>
      </c>
      <c r="CO27" s="10" t="e">
        <f t="shared" si="59"/>
        <v>#DIV/0!</v>
      </c>
      <c r="CP27" s="10" t="e">
        <f t="shared" si="18"/>
        <v>#DIV/0!</v>
      </c>
      <c r="CQ27" s="10" t="e">
        <f t="shared" si="18"/>
        <v>#DIV/0!</v>
      </c>
      <c r="CR27" s="10" t="e">
        <f t="shared" si="18"/>
        <v>#DIV/0!</v>
      </c>
      <c r="CS27" s="10">
        <f t="shared" si="60"/>
        <v>0</v>
      </c>
      <c r="CT27" s="10">
        <f t="shared" si="19"/>
        <v>0</v>
      </c>
      <c r="CU27" s="10">
        <f t="shared" si="19"/>
        <v>0</v>
      </c>
      <c r="CV27" s="10">
        <f t="shared" si="19"/>
        <v>0</v>
      </c>
      <c r="CW27" s="10">
        <f t="shared" si="61"/>
        <v>0</v>
      </c>
      <c r="CX27" s="10">
        <f t="shared" si="20"/>
        <v>0</v>
      </c>
      <c r="CY27" s="10">
        <f t="shared" si="20"/>
        <v>0</v>
      </c>
      <c r="CZ27" s="10">
        <f t="shared" si="20"/>
        <v>0</v>
      </c>
    </row>
    <row r="28" spans="4:104" x14ac:dyDescent="0.15">
      <c r="D28" s="10">
        <v>13</v>
      </c>
      <c r="E28" s="10" t="e">
        <f t="shared" si="21"/>
        <v>#VALUE!</v>
      </c>
      <c r="F28" s="10" t="e">
        <f t="shared" si="1"/>
        <v>#VALUE!</v>
      </c>
      <c r="G28" s="10" t="e">
        <f t="shared" si="2"/>
        <v>#VALUE!</v>
      </c>
      <c r="H28" s="10" t="e">
        <f t="shared" si="22"/>
        <v>#VALUE!</v>
      </c>
      <c r="I28" s="10" t="e">
        <f t="shared" si="3"/>
        <v>#VALUE!</v>
      </c>
      <c r="J28" s="10" t="e">
        <f t="shared" si="23"/>
        <v>#VALUE!</v>
      </c>
      <c r="K28" s="10" t="e">
        <f t="shared" si="4"/>
        <v>#VALUE!</v>
      </c>
      <c r="L28" s="10" t="e">
        <f t="shared" si="5"/>
        <v>#VALUE!</v>
      </c>
      <c r="M28" s="10" t="e">
        <f t="shared" si="24"/>
        <v>#VALUE!</v>
      </c>
      <c r="O28" s="10" t="e">
        <f t="shared" si="25"/>
        <v>#VALUE!</v>
      </c>
      <c r="P28" s="10" t="e">
        <f t="shared" si="6"/>
        <v>#VALUE!</v>
      </c>
      <c r="Q28" s="10" t="e">
        <f t="shared" si="7"/>
        <v>#VALUE!</v>
      </c>
      <c r="R28" s="10" t="e">
        <f t="shared" si="26"/>
        <v>#VALUE!</v>
      </c>
      <c r="S28" s="10" t="e">
        <f t="shared" si="27"/>
        <v>#VALUE!</v>
      </c>
      <c r="T28" s="10" t="e">
        <f t="shared" si="62"/>
        <v>#VALUE!</v>
      </c>
      <c r="U28" s="10" t="e">
        <f t="shared" si="63"/>
        <v>#VALUE!</v>
      </c>
      <c r="V28" s="10" t="e">
        <f t="shared" si="8"/>
        <v>#VALUE!</v>
      </c>
      <c r="W28" s="10" t="e">
        <f t="shared" si="28"/>
        <v>#VALUE!</v>
      </c>
      <c r="Y28" s="10" t="e">
        <f t="shared" si="29"/>
        <v>#VALUE!</v>
      </c>
      <c r="Z28" s="11" t="e">
        <f t="shared" si="30"/>
        <v>#VALUE!</v>
      </c>
      <c r="AA28" s="10" t="e">
        <f t="shared" si="9"/>
        <v>#VALUE!</v>
      </c>
      <c r="AB28" s="10" t="e">
        <f t="shared" si="31"/>
        <v>#VALUE!</v>
      </c>
      <c r="AC28" s="10" t="e">
        <f t="shared" si="32"/>
        <v>#VALUE!</v>
      </c>
      <c r="AD28" s="10" t="e">
        <f t="shared" si="64"/>
        <v>#VALUE!</v>
      </c>
      <c r="AE28" s="10" t="e">
        <f t="shared" si="65"/>
        <v>#VALUE!</v>
      </c>
      <c r="AF28" s="10" t="e">
        <f t="shared" si="10"/>
        <v>#VALUE!</v>
      </c>
      <c r="AG28" s="10" t="e">
        <f t="shared" si="33"/>
        <v>#VALUE!</v>
      </c>
      <c r="AI28" s="13"/>
      <c r="AK28" s="10" t="e">
        <f t="shared" si="34"/>
        <v>#VALUE!</v>
      </c>
      <c r="AL28" s="10" t="e">
        <f t="shared" si="66"/>
        <v>#VALUE!</v>
      </c>
      <c r="AM28" s="10" t="e">
        <f t="shared" si="11"/>
        <v>#VALUE!</v>
      </c>
      <c r="AN28" s="10" t="e">
        <f t="shared" si="35"/>
        <v>#VALUE!</v>
      </c>
      <c r="AO28" s="10" t="e">
        <f t="shared" si="36"/>
        <v>#VALUE!</v>
      </c>
      <c r="AP28" s="10" t="e">
        <f t="shared" si="37"/>
        <v>#VALUE!</v>
      </c>
      <c r="AQ28" s="10" t="e">
        <f t="shared" si="67"/>
        <v>#VALUE!</v>
      </c>
      <c r="AR28" s="10" t="e">
        <f t="shared" si="12"/>
        <v>#VALUE!</v>
      </c>
      <c r="AS28" s="10" t="e">
        <f t="shared" si="68"/>
        <v>#VALUE!</v>
      </c>
      <c r="AU28" s="10" t="e">
        <f t="shared" si="38"/>
        <v>#VALUE!</v>
      </c>
      <c r="AV28" s="10" t="e">
        <f t="shared" si="69"/>
        <v>#VALUE!</v>
      </c>
      <c r="AW28" s="10" t="e">
        <f t="shared" si="13"/>
        <v>#VALUE!</v>
      </c>
      <c r="AX28" s="10" t="e">
        <f t="shared" si="39"/>
        <v>#VALUE!</v>
      </c>
      <c r="AY28" s="10" t="e">
        <f t="shared" si="40"/>
        <v>#VALUE!</v>
      </c>
      <c r="AZ28" s="10" t="e">
        <f t="shared" si="41"/>
        <v>#VALUE!</v>
      </c>
      <c r="BA28" s="10" t="e">
        <f t="shared" si="70"/>
        <v>#VALUE!</v>
      </c>
      <c r="BB28" s="10" t="e">
        <f t="shared" si="14"/>
        <v>#VALUE!</v>
      </c>
      <c r="BC28" s="10" t="e">
        <f t="shared" si="71"/>
        <v>#VALUE!</v>
      </c>
      <c r="BE28" s="10" t="e">
        <f t="shared" si="42"/>
        <v>#VALUE!</v>
      </c>
      <c r="BF28" s="10" t="e">
        <f t="shared" si="72"/>
        <v>#VALUE!</v>
      </c>
      <c r="BG28" s="10" t="e">
        <f t="shared" si="15"/>
        <v>#VALUE!</v>
      </c>
      <c r="BH28" s="10" t="e">
        <f t="shared" si="43"/>
        <v>#VALUE!</v>
      </c>
      <c r="BI28" s="10" t="e">
        <f t="shared" si="44"/>
        <v>#VALUE!</v>
      </c>
      <c r="BJ28" s="10" t="e">
        <f t="shared" si="45"/>
        <v>#VALUE!</v>
      </c>
      <c r="BK28" s="10" t="e">
        <f t="shared" si="73"/>
        <v>#VALUE!</v>
      </c>
      <c r="BL28" s="10" t="e">
        <f t="shared" si="16"/>
        <v>#VALUE!</v>
      </c>
      <c r="BM28" s="10" t="e">
        <f t="shared" si="74"/>
        <v>#VALUE!</v>
      </c>
      <c r="BP28" s="10" t="e">
        <f t="shared" si="46"/>
        <v>#VALUE!</v>
      </c>
      <c r="BQ28" s="10" t="e">
        <f t="shared" si="47"/>
        <v>#VALUE!</v>
      </c>
      <c r="BR28" s="10" t="e">
        <f t="shared" si="48"/>
        <v>#VALUE!</v>
      </c>
      <c r="BS28" s="10" t="e">
        <f t="shared" si="49"/>
        <v>#VALUE!</v>
      </c>
      <c r="BT28" s="10" t="e">
        <f t="shared" si="50"/>
        <v>#VALUE!</v>
      </c>
      <c r="BU28" s="10" t="e">
        <f t="shared" si="51"/>
        <v>#VALUE!</v>
      </c>
      <c r="BW28" s="10" t="e">
        <f t="shared" si="52"/>
        <v>#VALUE!</v>
      </c>
      <c r="BX28" s="10" t="e">
        <f t="shared" si="53"/>
        <v>#VALUE!</v>
      </c>
      <c r="BY28" s="10" t="e">
        <f t="shared" si="54"/>
        <v>#VALUE!</v>
      </c>
      <c r="BZ28" s="10" t="e">
        <f t="shared" si="55"/>
        <v>#VALUE!</v>
      </c>
      <c r="CA28" s="10" t="e">
        <f t="shared" si="56"/>
        <v>#VALUE!</v>
      </c>
      <c r="CB28" s="10" t="e">
        <f t="shared" si="57"/>
        <v>#VALUE!</v>
      </c>
      <c r="CD28" s="10" t="e">
        <f>MATCH(INDEX($BP$12:$BU$12,1,MATCH(BP28,$BP$15:$BU$15,0)),结果汇总!$AI$10:$AI$13,0)</f>
        <v>#VALUE!</v>
      </c>
      <c r="CE28" s="10" t="e">
        <f>MATCH(INDEX($BP$12:$BU$12,1,MATCH(BQ28,$BP$15:$BU$15,0)),结果汇总!$AI$10:$AI$13,0)</f>
        <v>#VALUE!</v>
      </c>
      <c r="CF28" s="10" t="e">
        <f>MATCH(INDEX($BP$12:$BU$12,1,MATCH(BR28,$BP$15:$BU$15,0)),结果汇总!$AI$10:$AI$13,0)</f>
        <v>#VALUE!</v>
      </c>
      <c r="CG28" s="10" t="e">
        <f>MATCH(INDEX($BP$12:$BU$12,1,MATCH(BS28,$BP$15:$BU$15,0)),结果汇总!$AI$10:$AI$13,0)</f>
        <v>#VALUE!</v>
      </c>
      <c r="CH28" s="10" t="e">
        <f>MATCH(INDEX($BP$12:$BU$12,1,MATCH(BT28,$BP$15:$BU$15,0)),结果汇总!$AI$10:$AI$13,0)</f>
        <v>#VALUE!</v>
      </c>
      <c r="CI28" s="10" t="e">
        <f>MATCH(INDEX($BP$12:$BU$12,1,MATCH(BU28,$BP$15:$BU$15,0)),结果汇总!$AI$10:$AI$13,0)</f>
        <v>#VALUE!</v>
      </c>
      <c r="CK28" s="10">
        <f t="shared" si="58"/>
        <v>0</v>
      </c>
      <c r="CL28" s="10">
        <f t="shared" si="17"/>
        <v>0</v>
      </c>
      <c r="CM28" s="10">
        <f t="shared" si="17"/>
        <v>0</v>
      </c>
      <c r="CN28" s="10">
        <f t="shared" si="17"/>
        <v>0</v>
      </c>
      <c r="CO28" s="10" t="e">
        <f t="shared" si="59"/>
        <v>#DIV/0!</v>
      </c>
      <c r="CP28" s="10" t="e">
        <f t="shared" si="18"/>
        <v>#DIV/0!</v>
      </c>
      <c r="CQ28" s="10" t="e">
        <f t="shared" si="18"/>
        <v>#DIV/0!</v>
      </c>
      <c r="CR28" s="10" t="e">
        <f t="shared" si="18"/>
        <v>#DIV/0!</v>
      </c>
      <c r="CS28" s="10">
        <f t="shared" si="60"/>
        <v>0</v>
      </c>
      <c r="CT28" s="10">
        <f t="shared" si="19"/>
        <v>0</v>
      </c>
      <c r="CU28" s="10">
        <f t="shared" si="19"/>
        <v>0</v>
      </c>
      <c r="CV28" s="10">
        <f t="shared" si="19"/>
        <v>0</v>
      </c>
      <c r="CW28" s="10">
        <f t="shared" si="61"/>
        <v>0</v>
      </c>
      <c r="CX28" s="10">
        <f t="shared" si="20"/>
        <v>0</v>
      </c>
      <c r="CY28" s="10">
        <f t="shared" si="20"/>
        <v>0</v>
      </c>
      <c r="CZ28" s="10">
        <f t="shared" si="20"/>
        <v>0</v>
      </c>
    </row>
    <row r="29" spans="4:104" x14ac:dyDescent="0.15">
      <c r="D29" s="10">
        <v>14</v>
      </c>
      <c r="E29" s="10" t="e">
        <f t="shared" si="21"/>
        <v>#VALUE!</v>
      </c>
      <c r="F29" s="10" t="e">
        <f t="shared" si="1"/>
        <v>#VALUE!</v>
      </c>
      <c r="G29" s="10" t="e">
        <f t="shared" si="2"/>
        <v>#VALUE!</v>
      </c>
      <c r="H29" s="10" t="e">
        <f t="shared" si="22"/>
        <v>#VALUE!</v>
      </c>
      <c r="I29" s="10" t="e">
        <f t="shared" si="3"/>
        <v>#VALUE!</v>
      </c>
      <c r="J29" s="10" t="e">
        <f t="shared" si="23"/>
        <v>#VALUE!</v>
      </c>
      <c r="K29" s="10" t="e">
        <f t="shared" si="4"/>
        <v>#VALUE!</v>
      </c>
      <c r="L29" s="10" t="e">
        <f t="shared" si="5"/>
        <v>#VALUE!</v>
      </c>
      <c r="M29" s="10" t="e">
        <f t="shared" si="24"/>
        <v>#VALUE!</v>
      </c>
      <c r="O29" s="10" t="e">
        <f t="shared" si="25"/>
        <v>#VALUE!</v>
      </c>
      <c r="P29" s="10" t="e">
        <f t="shared" si="6"/>
        <v>#VALUE!</v>
      </c>
      <c r="Q29" s="10" t="e">
        <f t="shared" si="7"/>
        <v>#VALUE!</v>
      </c>
      <c r="R29" s="10" t="e">
        <f t="shared" si="26"/>
        <v>#VALUE!</v>
      </c>
      <c r="S29" s="10" t="e">
        <f t="shared" si="27"/>
        <v>#VALUE!</v>
      </c>
      <c r="T29" s="10" t="e">
        <f t="shared" si="62"/>
        <v>#VALUE!</v>
      </c>
      <c r="U29" s="10" t="e">
        <f t="shared" si="63"/>
        <v>#VALUE!</v>
      </c>
      <c r="V29" s="10" t="e">
        <f t="shared" si="8"/>
        <v>#VALUE!</v>
      </c>
      <c r="W29" s="10" t="e">
        <f t="shared" si="28"/>
        <v>#VALUE!</v>
      </c>
      <c r="Y29" s="10" t="e">
        <f t="shared" si="29"/>
        <v>#VALUE!</v>
      </c>
      <c r="Z29" s="11" t="e">
        <f t="shared" si="30"/>
        <v>#VALUE!</v>
      </c>
      <c r="AA29" s="10" t="e">
        <f t="shared" si="9"/>
        <v>#VALUE!</v>
      </c>
      <c r="AB29" s="10" t="e">
        <f t="shared" si="31"/>
        <v>#VALUE!</v>
      </c>
      <c r="AC29" s="10" t="e">
        <f t="shared" si="32"/>
        <v>#VALUE!</v>
      </c>
      <c r="AD29" s="10" t="e">
        <f t="shared" si="64"/>
        <v>#VALUE!</v>
      </c>
      <c r="AE29" s="10" t="e">
        <f t="shared" si="65"/>
        <v>#VALUE!</v>
      </c>
      <c r="AF29" s="10" t="e">
        <f t="shared" si="10"/>
        <v>#VALUE!</v>
      </c>
      <c r="AG29" s="10" t="e">
        <f t="shared" si="33"/>
        <v>#VALUE!</v>
      </c>
      <c r="AI29" s="13"/>
      <c r="AK29" s="10" t="e">
        <f t="shared" si="34"/>
        <v>#VALUE!</v>
      </c>
      <c r="AL29" s="10" t="e">
        <f t="shared" si="66"/>
        <v>#VALUE!</v>
      </c>
      <c r="AM29" s="10" t="e">
        <f t="shared" si="11"/>
        <v>#VALUE!</v>
      </c>
      <c r="AN29" s="10" t="e">
        <f t="shared" si="35"/>
        <v>#VALUE!</v>
      </c>
      <c r="AO29" s="10" t="e">
        <f t="shared" si="36"/>
        <v>#VALUE!</v>
      </c>
      <c r="AP29" s="10" t="e">
        <f t="shared" si="37"/>
        <v>#VALUE!</v>
      </c>
      <c r="AQ29" s="10" t="e">
        <f t="shared" si="67"/>
        <v>#VALUE!</v>
      </c>
      <c r="AR29" s="10" t="e">
        <f t="shared" si="12"/>
        <v>#VALUE!</v>
      </c>
      <c r="AS29" s="10" t="e">
        <f t="shared" si="68"/>
        <v>#VALUE!</v>
      </c>
      <c r="AU29" s="10" t="e">
        <f t="shared" si="38"/>
        <v>#VALUE!</v>
      </c>
      <c r="AV29" s="10" t="e">
        <f t="shared" si="69"/>
        <v>#VALUE!</v>
      </c>
      <c r="AW29" s="10" t="e">
        <f t="shared" si="13"/>
        <v>#VALUE!</v>
      </c>
      <c r="AX29" s="10" t="e">
        <f t="shared" si="39"/>
        <v>#VALUE!</v>
      </c>
      <c r="AY29" s="10" t="e">
        <f t="shared" si="40"/>
        <v>#VALUE!</v>
      </c>
      <c r="AZ29" s="10" t="e">
        <f t="shared" si="41"/>
        <v>#VALUE!</v>
      </c>
      <c r="BA29" s="10" t="e">
        <f t="shared" si="70"/>
        <v>#VALUE!</v>
      </c>
      <c r="BB29" s="10" t="e">
        <f t="shared" si="14"/>
        <v>#VALUE!</v>
      </c>
      <c r="BC29" s="10" t="e">
        <f t="shared" si="71"/>
        <v>#VALUE!</v>
      </c>
      <c r="BE29" s="10" t="e">
        <f t="shared" si="42"/>
        <v>#VALUE!</v>
      </c>
      <c r="BF29" s="10" t="e">
        <f t="shared" si="72"/>
        <v>#VALUE!</v>
      </c>
      <c r="BG29" s="10" t="e">
        <f t="shared" si="15"/>
        <v>#VALUE!</v>
      </c>
      <c r="BH29" s="10" t="e">
        <f t="shared" si="43"/>
        <v>#VALUE!</v>
      </c>
      <c r="BI29" s="10" t="e">
        <f t="shared" si="44"/>
        <v>#VALUE!</v>
      </c>
      <c r="BJ29" s="10" t="e">
        <f t="shared" si="45"/>
        <v>#VALUE!</v>
      </c>
      <c r="BK29" s="10" t="e">
        <f t="shared" si="73"/>
        <v>#VALUE!</v>
      </c>
      <c r="BL29" s="10" t="e">
        <f t="shared" si="16"/>
        <v>#VALUE!</v>
      </c>
      <c r="BM29" s="10" t="e">
        <f t="shared" si="74"/>
        <v>#VALUE!</v>
      </c>
      <c r="BP29" s="10" t="e">
        <f t="shared" si="46"/>
        <v>#VALUE!</v>
      </c>
      <c r="BQ29" s="10" t="e">
        <f t="shared" si="47"/>
        <v>#VALUE!</v>
      </c>
      <c r="BR29" s="10" t="e">
        <f t="shared" si="48"/>
        <v>#VALUE!</v>
      </c>
      <c r="BS29" s="10" t="e">
        <f t="shared" si="49"/>
        <v>#VALUE!</v>
      </c>
      <c r="BT29" s="10" t="e">
        <f t="shared" si="50"/>
        <v>#VALUE!</v>
      </c>
      <c r="BU29" s="10" t="e">
        <f t="shared" si="51"/>
        <v>#VALUE!</v>
      </c>
      <c r="BW29" s="10" t="e">
        <f t="shared" si="52"/>
        <v>#VALUE!</v>
      </c>
      <c r="BX29" s="10" t="e">
        <f t="shared" si="53"/>
        <v>#VALUE!</v>
      </c>
      <c r="BY29" s="10" t="e">
        <f t="shared" si="54"/>
        <v>#VALUE!</v>
      </c>
      <c r="BZ29" s="10" t="e">
        <f t="shared" si="55"/>
        <v>#VALUE!</v>
      </c>
      <c r="CA29" s="10" t="e">
        <f t="shared" si="56"/>
        <v>#VALUE!</v>
      </c>
      <c r="CB29" s="10" t="e">
        <f t="shared" si="57"/>
        <v>#VALUE!</v>
      </c>
      <c r="CD29" s="10" t="e">
        <f>MATCH(INDEX($BP$12:$BU$12,1,MATCH(BP29,$BP$15:$BU$15,0)),结果汇总!$AI$10:$AI$13,0)</f>
        <v>#VALUE!</v>
      </c>
      <c r="CE29" s="10" t="e">
        <f>MATCH(INDEX($BP$12:$BU$12,1,MATCH(BQ29,$BP$15:$BU$15,0)),结果汇总!$AI$10:$AI$13,0)</f>
        <v>#VALUE!</v>
      </c>
      <c r="CF29" s="10" t="e">
        <f>MATCH(INDEX($BP$12:$BU$12,1,MATCH(BR29,$BP$15:$BU$15,0)),结果汇总!$AI$10:$AI$13,0)</f>
        <v>#VALUE!</v>
      </c>
      <c r="CG29" s="10" t="e">
        <f>MATCH(INDEX($BP$12:$BU$12,1,MATCH(BS29,$BP$15:$BU$15,0)),结果汇总!$AI$10:$AI$13,0)</f>
        <v>#VALUE!</v>
      </c>
      <c r="CH29" s="10" t="e">
        <f>MATCH(INDEX($BP$12:$BU$12,1,MATCH(BT29,$BP$15:$BU$15,0)),结果汇总!$AI$10:$AI$13,0)</f>
        <v>#VALUE!</v>
      </c>
      <c r="CI29" s="10" t="e">
        <f>MATCH(INDEX($BP$12:$BU$12,1,MATCH(BU29,$BP$15:$BU$15,0)),结果汇总!$AI$10:$AI$13,0)</f>
        <v>#VALUE!</v>
      </c>
      <c r="CK29" s="10">
        <f t="shared" si="58"/>
        <v>0</v>
      </c>
      <c r="CL29" s="10">
        <f t="shared" si="17"/>
        <v>0</v>
      </c>
      <c r="CM29" s="10">
        <f t="shared" si="17"/>
        <v>0</v>
      </c>
      <c r="CN29" s="10">
        <f t="shared" si="17"/>
        <v>0</v>
      </c>
      <c r="CO29" s="10" t="e">
        <f t="shared" si="59"/>
        <v>#DIV/0!</v>
      </c>
      <c r="CP29" s="10" t="e">
        <f t="shared" si="18"/>
        <v>#DIV/0!</v>
      </c>
      <c r="CQ29" s="10" t="e">
        <f t="shared" si="18"/>
        <v>#DIV/0!</v>
      </c>
      <c r="CR29" s="10" t="e">
        <f t="shared" si="18"/>
        <v>#DIV/0!</v>
      </c>
      <c r="CS29" s="10">
        <f t="shared" si="60"/>
        <v>0</v>
      </c>
      <c r="CT29" s="10">
        <f t="shared" si="19"/>
        <v>0</v>
      </c>
      <c r="CU29" s="10">
        <f t="shared" si="19"/>
        <v>0</v>
      </c>
      <c r="CV29" s="10">
        <f t="shared" si="19"/>
        <v>0</v>
      </c>
      <c r="CW29" s="10">
        <f t="shared" si="61"/>
        <v>0</v>
      </c>
      <c r="CX29" s="10">
        <f t="shared" si="20"/>
        <v>0</v>
      </c>
      <c r="CY29" s="10">
        <f t="shared" si="20"/>
        <v>0</v>
      </c>
      <c r="CZ29" s="10">
        <f t="shared" si="20"/>
        <v>0</v>
      </c>
    </row>
    <row r="30" spans="4:104" x14ac:dyDescent="0.15">
      <c r="D30" s="10">
        <v>15</v>
      </c>
      <c r="E30" s="10" t="e">
        <f t="shared" si="21"/>
        <v>#VALUE!</v>
      </c>
      <c r="F30" s="10" t="e">
        <f t="shared" si="1"/>
        <v>#VALUE!</v>
      </c>
      <c r="G30" s="10" t="e">
        <f t="shared" si="2"/>
        <v>#VALUE!</v>
      </c>
      <c r="H30" s="10" t="e">
        <f t="shared" si="22"/>
        <v>#VALUE!</v>
      </c>
      <c r="I30" s="10" t="e">
        <f t="shared" si="3"/>
        <v>#VALUE!</v>
      </c>
      <c r="J30" s="10" t="e">
        <f t="shared" si="23"/>
        <v>#VALUE!</v>
      </c>
      <c r="K30" s="10" t="e">
        <f t="shared" si="4"/>
        <v>#VALUE!</v>
      </c>
      <c r="L30" s="10" t="e">
        <f t="shared" si="5"/>
        <v>#VALUE!</v>
      </c>
      <c r="M30" s="10" t="e">
        <f t="shared" si="24"/>
        <v>#VALUE!</v>
      </c>
      <c r="O30" s="10" t="e">
        <f t="shared" si="25"/>
        <v>#VALUE!</v>
      </c>
      <c r="P30" s="10" t="e">
        <f t="shared" si="6"/>
        <v>#VALUE!</v>
      </c>
      <c r="Q30" s="10" t="e">
        <f t="shared" si="7"/>
        <v>#VALUE!</v>
      </c>
      <c r="R30" s="10" t="e">
        <f t="shared" si="26"/>
        <v>#VALUE!</v>
      </c>
      <c r="S30" s="10" t="e">
        <f t="shared" si="27"/>
        <v>#VALUE!</v>
      </c>
      <c r="T30" s="10" t="e">
        <f t="shared" si="62"/>
        <v>#VALUE!</v>
      </c>
      <c r="U30" s="10" t="e">
        <f t="shared" si="63"/>
        <v>#VALUE!</v>
      </c>
      <c r="V30" s="10" t="e">
        <f t="shared" si="8"/>
        <v>#VALUE!</v>
      </c>
      <c r="W30" s="10" t="e">
        <f t="shared" si="28"/>
        <v>#VALUE!</v>
      </c>
      <c r="Y30" s="10" t="e">
        <f t="shared" si="29"/>
        <v>#VALUE!</v>
      </c>
      <c r="Z30" s="11" t="e">
        <f t="shared" si="30"/>
        <v>#VALUE!</v>
      </c>
      <c r="AA30" s="10" t="e">
        <f t="shared" si="9"/>
        <v>#VALUE!</v>
      </c>
      <c r="AB30" s="10" t="e">
        <f t="shared" si="31"/>
        <v>#VALUE!</v>
      </c>
      <c r="AC30" s="10" t="e">
        <f t="shared" si="32"/>
        <v>#VALUE!</v>
      </c>
      <c r="AD30" s="10" t="e">
        <f t="shared" si="64"/>
        <v>#VALUE!</v>
      </c>
      <c r="AE30" s="10" t="e">
        <f t="shared" si="65"/>
        <v>#VALUE!</v>
      </c>
      <c r="AF30" s="10" t="e">
        <f t="shared" si="10"/>
        <v>#VALUE!</v>
      </c>
      <c r="AG30" s="10" t="e">
        <f t="shared" si="33"/>
        <v>#VALUE!</v>
      </c>
      <c r="AI30" s="13"/>
      <c r="AK30" s="10" t="e">
        <f t="shared" si="34"/>
        <v>#VALUE!</v>
      </c>
      <c r="AL30" s="10" t="e">
        <f t="shared" si="66"/>
        <v>#VALUE!</v>
      </c>
      <c r="AM30" s="10" t="e">
        <f t="shared" si="11"/>
        <v>#VALUE!</v>
      </c>
      <c r="AN30" s="10" t="e">
        <f t="shared" si="35"/>
        <v>#VALUE!</v>
      </c>
      <c r="AO30" s="10" t="e">
        <f t="shared" si="36"/>
        <v>#VALUE!</v>
      </c>
      <c r="AP30" s="10" t="e">
        <f t="shared" si="37"/>
        <v>#VALUE!</v>
      </c>
      <c r="AQ30" s="10" t="e">
        <f t="shared" si="67"/>
        <v>#VALUE!</v>
      </c>
      <c r="AR30" s="10" t="e">
        <f t="shared" si="12"/>
        <v>#VALUE!</v>
      </c>
      <c r="AS30" s="10" t="e">
        <f t="shared" si="68"/>
        <v>#VALUE!</v>
      </c>
      <c r="AU30" s="10" t="e">
        <f t="shared" si="38"/>
        <v>#VALUE!</v>
      </c>
      <c r="AV30" s="10" t="e">
        <f t="shared" si="69"/>
        <v>#VALUE!</v>
      </c>
      <c r="AW30" s="10" t="e">
        <f t="shared" si="13"/>
        <v>#VALUE!</v>
      </c>
      <c r="AX30" s="10" t="e">
        <f t="shared" si="39"/>
        <v>#VALUE!</v>
      </c>
      <c r="AY30" s="10" t="e">
        <f t="shared" si="40"/>
        <v>#VALUE!</v>
      </c>
      <c r="AZ30" s="10" t="e">
        <f t="shared" si="41"/>
        <v>#VALUE!</v>
      </c>
      <c r="BA30" s="10" t="e">
        <f t="shared" si="70"/>
        <v>#VALUE!</v>
      </c>
      <c r="BB30" s="10" t="e">
        <f t="shared" si="14"/>
        <v>#VALUE!</v>
      </c>
      <c r="BC30" s="10" t="e">
        <f t="shared" si="71"/>
        <v>#VALUE!</v>
      </c>
      <c r="BE30" s="10" t="e">
        <f t="shared" si="42"/>
        <v>#VALUE!</v>
      </c>
      <c r="BF30" s="10" t="e">
        <f t="shared" si="72"/>
        <v>#VALUE!</v>
      </c>
      <c r="BG30" s="10" t="e">
        <f t="shared" si="15"/>
        <v>#VALUE!</v>
      </c>
      <c r="BH30" s="10" t="e">
        <f t="shared" si="43"/>
        <v>#VALUE!</v>
      </c>
      <c r="BI30" s="10" t="e">
        <f t="shared" si="44"/>
        <v>#VALUE!</v>
      </c>
      <c r="BJ30" s="10" t="e">
        <f t="shared" si="45"/>
        <v>#VALUE!</v>
      </c>
      <c r="BK30" s="10" t="e">
        <f t="shared" si="73"/>
        <v>#VALUE!</v>
      </c>
      <c r="BL30" s="10" t="e">
        <f t="shared" si="16"/>
        <v>#VALUE!</v>
      </c>
      <c r="BM30" s="10" t="e">
        <f t="shared" si="74"/>
        <v>#VALUE!</v>
      </c>
      <c r="BP30" s="10" t="e">
        <f t="shared" si="46"/>
        <v>#VALUE!</v>
      </c>
      <c r="BQ30" s="10" t="e">
        <f t="shared" si="47"/>
        <v>#VALUE!</v>
      </c>
      <c r="BR30" s="10" t="e">
        <f t="shared" si="48"/>
        <v>#VALUE!</v>
      </c>
      <c r="BS30" s="10" t="e">
        <f t="shared" si="49"/>
        <v>#VALUE!</v>
      </c>
      <c r="BT30" s="10" t="e">
        <f t="shared" si="50"/>
        <v>#VALUE!</v>
      </c>
      <c r="BU30" s="10" t="e">
        <f t="shared" si="51"/>
        <v>#VALUE!</v>
      </c>
      <c r="BW30" s="10" t="e">
        <f t="shared" si="52"/>
        <v>#VALUE!</v>
      </c>
      <c r="BX30" s="10" t="e">
        <f t="shared" si="53"/>
        <v>#VALUE!</v>
      </c>
      <c r="BY30" s="10" t="e">
        <f t="shared" si="54"/>
        <v>#VALUE!</v>
      </c>
      <c r="BZ30" s="10" t="e">
        <f t="shared" si="55"/>
        <v>#VALUE!</v>
      </c>
      <c r="CA30" s="10" t="e">
        <f t="shared" si="56"/>
        <v>#VALUE!</v>
      </c>
      <c r="CB30" s="10" t="e">
        <f t="shared" si="57"/>
        <v>#VALUE!</v>
      </c>
      <c r="CD30" s="10" t="e">
        <f>MATCH(INDEX($BP$12:$BU$12,1,MATCH(BP30,$BP$15:$BU$15,0)),结果汇总!$AI$10:$AI$13,0)</f>
        <v>#VALUE!</v>
      </c>
      <c r="CE30" s="10" t="e">
        <f>MATCH(INDEX($BP$12:$BU$12,1,MATCH(BQ30,$BP$15:$BU$15,0)),结果汇总!$AI$10:$AI$13,0)</f>
        <v>#VALUE!</v>
      </c>
      <c r="CF30" s="10" t="e">
        <f>MATCH(INDEX($BP$12:$BU$12,1,MATCH(BR30,$BP$15:$BU$15,0)),结果汇总!$AI$10:$AI$13,0)</f>
        <v>#VALUE!</v>
      </c>
      <c r="CG30" s="10" t="e">
        <f>MATCH(INDEX($BP$12:$BU$12,1,MATCH(BS30,$BP$15:$BU$15,0)),结果汇总!$AI$10:$AI$13,0)</f>
        <v>#VALUE!</v>
      </c>
      <c r="CH30" s="10" t="e">
        <f>MATCH(INDEX($BP$12:$BU$12,1,MATCH(BT30,$BP$15:$BU$15,0)),结果汇总!$AI$10:$AI$13,0)</f>
        <v>#VALUE!</v>
      </c>
      <c r="CI30" s="10" t="e">
        <f>MATCH(INDEX($BP$12:$BU$12,1,MATCH(BU30,$BP$15:$BU$15,0)),结果汇总!$AI$10:$AI$13,0)</f>
        <v>#VALUE!</v>
      </c>
      <c r="CK30" s="10">
        <f t="shared" si="58"/>
        <v>0</v>
      </c>
      <c r="CL30" s="10">
        <f t="shared" si="17"/>
        <v>0</v>
      </c>
      <c r="CM30" s="10">
        <f t="shared" si="17"/>
        <v>0</v>
      </c>
      <c r="CN30" s="10">
        <f t="shared" si="17"/>
        <v>0</v>
      </c>
      <c r="CO30" s="10" t="e">
        <f t="shared" si="59"/>
        <v>#DIV/0!</v>
      </c>
      <c r="CP30" s="10" t="e">
        <f t="shared" si="18"/>
        <v>#DIV/0!</v>
      </c>
      <c r="CQ30" s="10" t="e">
        <f t="shared" si="18"/>
        <v>#DIV/0!</v>
      </c>
      <c r="CR30" s="10" t="e">
        <f t="shared" si="18"/>
        <v>#DIV/0!</v>
      </c>
      <c r="CS30" s="10">
        <f t="shared" si="60"/>
        <v>0</v>
      </c>
      <c r="CT30" s="10">
        <f t="shared" si="19"/>
        <v>0</v>
      </c>
      <c r="CU30" s="10">
        <f t="shared" si="19"/>
        <v>0</v>
      </c>
      <c r="CV30" s="10">
        <f t="shared" si="19"/>
        <v>0</v>
      </c>
      <c r="CW30" s="10">
        <f t="shared" si="61"/>
        <v>0</v>
      </c>
      <c r="CX30" s="10">
        <f t="shared" si="20"/>
        <v>0</v>
      </c>
      <c r="CY30" s="10">
        <f t="shared" si="20"/>
        <v>0</v>
      </c>
      <c r="CZ30" s="10">
        <f t="shared" si="20"/>
        <v>0</v>
      </c>
    </row>
    <row r="31" spans="4:104" x14ac:dyDescent="0.15">
      <c r="D31" s="10">
        <v>16</v>
      </c>
      <c r="E31" s="10" t="e">
        <f t="shared" si="21"/>
        <v>#VALUE!</v>
      </c>
      <c r="F31" s="10" t="e">
        <f t="shared" si="1"/>
        <v>#VALUE!</v>
      </c>
      <c r="G31" s="10" t="e">
        <f t="shared" si="2"/>
        <v>#VALUE!</v>
      </c>
      <c r="H31" s="10" t="e">
        <f t="shared" si="22"/>
        <v>#VALUE!</v>
      </c>
      <c r="I31" s="10" t="e">
        <f t="shared" si="3"/>
        <v>#VALUE!</v>
      </c>
      <c r="J31" s="10" t="e">
        <f t="shared" si="23"/>
        <v>#VALUE!</v>
      </c>
      <c r="K31" s="10" t="e">
        <f t="shared" si="4"/>
        <v>#VALUE!</v>
      </c>
      <c r="L31" s="10" t="e">
        <f t="shared" si="5"/>
        <v>#VALUE!</v>
      </c>
      <c r="M31" s="10" t="e">
        <f t="shared" si="24"/>
        <v>#VALUE!</v>
      </c>
      <c r="O31" s="10" t="e">
        <f t="shared" si="25"/>
        <v>#VALUE!</v>
      </c>
      <c r="P31" s="10" t="e">
        <f t="shared" si="6"/>
        <v>#VALUE!</v>
      </c>
      <c r="Q31" s="10" t="e">
        <f t="shared" si="7"/>
        <v>#VALUE!</v>
      </c>
      <c r="R31" s="10" t="e">
        <f t="shared" si="26"/>
        <v>#VALUE!</v>
      </c>
      <c r="S31" s="10" t="e">
        <f t="shared" si="27"/>
        <v>#VALUE!</v>
      </c>
      <c r="T31" s="10" t="e">
        <f t="shared" si="62"/>
        <v>#VALUE!</v>
      </c>
      <c r="U31" s="10" t="e">
        <f t="shared" si="63"/>
        <v>#VALUE!</v>
      </c>
      <c r="V31" s="10" t="e">
        <f t="shared" si="8"/>
        <v>#VALUE!</v>
      </c>
      <c r="W31" s="10" t="e">
        <f t="shared" si="28"/>
        <v>#VALUE!</v>
      </c>
      <c r="Y31" s="10" t="e">
        <f t="shared" si="29"/>
        <v>#VALUE!</v>
      </c>
      <c r="Z31" s="11" t="e">
        <f t="shared" si="30"/>
        <v>#VALUE!</v>
      </c>
      <c r="AA31" s="10" t="e">
        <f t="shared" si="9"/>
        <v>#VALUE!</v>
      </c>
      <c r="AB31" s="10" t="e">
        <f t="shared" si="31"/>
        <v>#VALUE!</v>
      </c>
      <c r="AC31" s="10" t="e">
        <f t="shared" si="32"/>
        <v>#VALUE!</v>
      </c>
      <c r="AD31" s="10" t="e">
        <f t="shared" si="64"/>
        <v>#VALUE!</v>
      </c>
      <c r="AE31" s="10" t="e">
        <f t="shared" si="65"/>
        <v>#VALUE!</v>
      </c>
      <c r="AF31" s="10" t="e">
        <f t="shared" si="10"/>
        <v>#VALUE!</v>
      </c>
      <c r="AG31" s="10" t="e">
        <f t="shared" si="33"/>
        <v>#VALUE!</v>
      </c>
      <c r="AI31" s="13"/>
      <c r="AK31" s="10" t="e">
        <f t="shared" si="34"/>
        <v>#VALUE!</v>
      </c>
      <c r="AL31" s="10" t="e">
        <f t="shared" si="66"/>
        <v>#VALUE!</v>
      </c>
      <c r="AM31" s="10" t="e">
        <f t="shared" si="11"/>
        <v>#VALUE!</v>
      </c>
      <c r="AN31" s="10" t="e">
        <f t="shared" si="35"/>
        <v>#VALUE!</v>
      </c>
      <c r="AO31" s="10" t="e">
        <f t="shared" si="36"/>
        <v>#VALUE!</v>
      </c>
      <c r="AP31" s="10" t="e">
        <f t="shared" si="37"/>
        <v>#VALUE!</v>
      </c>
      <c r="AQ31" s="10" t="e">
        <f t="shared" si="67"/>
        <v>#VALUE!</v>
      </c>
      <c r="AR31" s="10" t="e">
        <f t="shared" si="12"/>
        <v>#VALUE!</v>
      </c>
      <c r="AS31" s="10" t="e">
        <f t="shared" si="68"/>
        <v>#VALUE!</v>
      </c>
      <c r="AU31" s="10" t="e">
        <f t="shared" si="38"/>
        <v>#VALUE!</v>
      </c>
      <c r="AV31" s="10" t="e">
        <f t="shared" si="69"/>
        <v>#VALUE!</v>
      </c>
      <c r="AW31" s="10" t="e">
        <f t="shared" si="13"/>
        <v>#VALUE!</v>
      </c>
      <c r="AX31" s="10" t="e">
        <f t="shared" si="39"/>
        <v>#VALUE!</v>
      </c>
      <c r="AY31" s="10" t="e">
        <f t="shared" si="40"/>
        <v>#VALUE!</v>
      </c>
      <c r="AZ31" s="10" t="e">
        <f t="shared" si="41"/>
        <v>#VALUE!</v>
      </c>
      <c r="BA31" s="10" t="e">
        <f t="shared" si="70"/>
        <v>#VALUE!</v>
      </c>
      <c r="BB31" s="10" t="e">
        <f t="shared" si="14"/>
        <v>#VALUE!</v>
      </c>
      <c r="BC31" s="10" t="e">
        <f t="shared" si="71"/>
        <v>#VALUE!</v>
      </c>
      <c r="BE31" s="10" t="e">
        <f t="shared" si="42"/>
        <v>#VALUE!</v>
      </c>
      <c r="BF31" s="10" t="e">
        <f t="shared" si="72"/>
        <v>#VALUE!</v>
      </c>
      <c r="BG31" s="10" t="e">
        <f t="shared" si="15"/>
        <v>#VALUE!</v>
      </c>
      <c r="BH31" s="10" t="e">
        <f t="shared" si="43"/>
        <v>#VALUE!</v>
      </c>
      <c r="BI31" s="10" t="e">
        <f t="shared" si="44"/>
        <v>#VALUE!</v>
      </c>
      <c r="BJ31" s="10" t="e">
        <f t="shared" si="45"/>
        <v>#VALUE!</v>
      </c>
      <c r="BK31" s="10" t="e">
        <f t="shared" si="73"/>
        <v>#VALUE!</v>
      </c>
      <c r="BL31" s="10" t="e">
        <f t="shared" si="16"/>
        <v>#VALUE!</v>
      </c>
      <c r="BM31" s="10" t="e">
        <f t="shared" si="74"/>
        <v>#VALUE!</v>
      </c>
      <c r="BP31" s="10" t="e">
        <f t="shared" si="46"/>
        <v>#VALUE!</v>
      </c>
      <c r="BQ31" s="10" t="e">
        <f t="shared" si="47"/>
        <v>#VALUE!</v>
      </c>
      <c r="BR31" s="10" t="e">
        <f t="shared" si="48"/>
        <v>#VALUE!</v>
      </c>
      <c r="BS31" s="10" t="e">
        <f t="shared" si="49"/>
        <v>#VALUE!</v>
      </c>
      <c r="BT31" s="10" t="e">
        <f t="shared" si="50"/>
        <v>#VALUE!</v>
      </c>
      <c r="BU31" s="10" t="e">
        <f t="shared" si="51"/>
        <v>#VALUE!</v>
      </c>
      <c r="BW31" s="10" t="e">
        <f t="shared" si="52"/>
        <v>#VALUE!</v>
      </c>
      <c r="BX31" s="10" t="e">
        <f t="shared" si="53"/>
        <v>#VALUE!</v>
      </c>
      <c r="BY31" s="10" t="e">
        <f t="shared" si="54"/>
        <v>#VALUE!</v>
      </c>
      <c r="BZ31" s="10" t="e">
        <f t="shared" si="55"/>
        <v>#VALUE!</v>
      </c>
      <c r="CA31" s="10" t="e">
        <f t="shared" si="56"/>
        <v>#VALUE!</v>
      </c>
      <c r="CB31" s="10" t="e">
        <f t="shared" si="57"/>
        <v>#VALUE!</v>
      </c>
      <c r="CD31" s="10" t="e">
        <f>MATCH(INDEX($BP$12:$BU$12,1,MATCH(BP31,$BP$15:$BU$15,0)),结果汇总!$AI$10:$AI$13,0)</f>
        <v>#VALUE!</v>
      </c>
      <c r="CE31" s="10" t="e">
        <f>MATCH(INDEX($BP$12:$BU$12,1,MATCH(BQ31,$BP$15:$BU$15,0)),结果汇总!$AI$10:$AI$13,0)</f>
        <v>#VALUE!</v>
      </c>
      <c r="CF31" s="10" t="e">
        <f>MATCH(INDEX($BP$12:$BU$12,1,MATCH(BR31,$BP$15:$BU$15,0)),结果汇总!$AI$10:$AI$13,0)</f>
        <v>#VALUE!</v>
      </c>
      <c r="CG31" s="10" t="e">
        <f>MATCH(INDEX($BP$12:$BU$12,1,MATCH(BS31,$BP$15:$BU$15,0)),结果汇总!$AI$10:$AI$13,0)</f>
        <v>#VALUE!</v>
      </c>
      <c r="CH31" s="10" t="e">
        <f>MATCH(INDEX($BP$12:$BU$12,1,MATCH(BT31,$BP$15:$BU$15,0)),结果汇总!$AI$10:$AI$13,0)</f>
        <v>#VALUE!</v>
      </c>
      <c r="CI31" s="10" t="e">
        <f>MATCH(INDEX($BP$12:$BU$12,1,MATCH(BU31,$BP$15:$BU$15,0)),结果汇总!$AI$10:$AI$13,0)</f>
        <v>#VALUE!</v>
      </c>
      <c r="CK31" s="10">
        <f t="shared" si="58"/>
        <v>0</v>
      </c>
      <c r="CL31" s="10">
        <f t="shared" si="17"/>
        <v>0</v>
      </c>
      <c r="CM31" s="10">
        <f t="shared" si="17"/>
        <v>0</v>
      </c>
      <c r="CN31" s="10">
        <f t="shared" si="17"/>
        <v>0</v>
      </c>
      <c r="CO31" s="10" t="e">
        <f t="shared" si="59"/>
        <v>#DIV/0!</v>
      </c>
      <c r="CP31" s="10" t="e">
        <f t="shared" si="18"/>
        <v>#DIV/0!</v>
      </c>
      <c r="CQ31" s="10" t="e">
        <f t="shared" si="18"/>
        <v>#DIV/0!</v>
      </c>
      <c r="CR31" s="10" t="e">
        <f t="shared" si="18"/>
        <v>#DIV/0!</v>
      </c>
      <c r="CS31" s="10">
        <f t="shared" si="60"/>
        <v>0</v>
      </c>
      <c r="CT31" s="10">
        <f t="shared" si="19"/>
        <v>0</v>
      </c>
      <c r="CU31" s="10">
        <f t="shared" si="19"/>
        <v>0</v>
      </c>
      <c r="CV31" s="10">
        <f t="shared" si="19"/>
        <v>0</v>
      </c>
      <c r="CW31" s="10">
        <f t="shared" si="61"/>
        <v>0</v>
      </c>
      <c r="CX31" s="10">
        <f t="shared" si="20"/>
        <v>0</v>
      </c>
      <c r="CY31" s="10">
        <f t="shared" si="20"/>
        <v>0</v>
      </c>
      <c r="CZ31" s="10">
        <f t="shared" si="20"/>
        <v>0</v>
      </c>
    </row>
    <row r="32" spans="4:104" x14ac:dyDescent="0.15">
      <c r="D32" s="10">
        <v>17</v>
      </c>
      <c r="E32" s="10" t="e">
        <f t="shared" si="21"/>
        <v>#VALUE!</v>
      </c>
      <c r="F32" s="10" t="e">
        <f t="shared" si="1"/>
        <v>#VALUE!</v>
      </c>
      <c r="G32" s="10" t="e">
        <f t="shared" si="2"/>
        <v>#VALUE!</v>
      </c>
      <c r="H32" s="10" t="e">
        <f t="shared" si="22"/>
        <v>#VALUE!</v>
      </c>
      <c r="I32" s="10" t="e">
        <f t="shared" si="3"/>
        <v>#VALUE!</v>
      </c>
      <c r="J32" s="10" t="e">
        <f t="shared" si="23"/>
        <v>#VALUE!</v>
      </c>
      <c r="K32" s="10" t="e">
        <f t="shared" si="4"/>
        <v>#VALUE!</v>
      </c>
      <c r="L32" s="10" t="e">
        <f t="shared" si="5"/>
        <v>#VALUE!</v>
      </c>
      <c r="M32" s="10" t="e">
        <f t="shared" si="24"/>
        <v>#VALUE!</v>
      </c>
      <c r="O32" s="10" t="e">
        <f t="shared" si="25"/>
        <v>#VALUE!</v>
      </c>
      <c r="P32" s="10" t="e">
        <f t="shared" si="6"/>
        <v>#VALUE!</v>
      </c>
      <c r="Q32" s="10" t="e">
        <f t="shared" si="7"/>
        <v>#VALUE!</v>
      </c>
      <c r="R32" s="10" t="e">
        <f t="shared" si="26"/>
        <v>#VALUE!</v>
      </c>
      <c r="S32" s="10" t="e">
        <f t="shared" si="27"/>
        <v>#VALUE!</v>
      </c>
      <c r="T32" s="10" t="e">
        <f t="shared" si="62"/>
        <v>#VALUE!</v>
      </c>
      <c r="U32" s="10" t="e">
        <f t="shared" si="63"/>
        <v>#VALUE!</v>
      </c>
      <c r="V32" s="10" t="e">
        <f t="shared" si="8"/>
        <v>#VALUE!</v>
      </c>
      <c r="W32" s="10" t="e">
        <f t="shared" si="28"/>
        <v>#VALUE!</v>
      </c>
      <c r="Y32" s="10" t="e">
        <f t="shared" si="29"/>
        <v>#VALUE!</v>
      </c>
      <c r="Z32" s="11" t="e">
        <f t="shared" si="30"/>
        <v>#VALUE!</v>
      </c>
      <c r="AA32" s="10" t="e">
        <f t="shared" si="9"/>
        <v>#VALUE!</v>
      </c>
      <c r="AB32" s="10" t="e">
        <f t="shared" si="31"/>
        <v>#VALUE!</v>
      </c>
      <c r="AC32" s="10" t="e">
        <f t="shared" si="32"/>
        <v>#VALUE!</v>
      </c>
      <c r="AD32" s="10" t="e">
        <f t="shared" si="64"/>
        <v>#VALUE!</v>
      </c>
      <c r="AE32" s="10" t="e">
        <f t="shared" si="65"/>
        <v>#VALUE!</v>
      </c>
      <c r="AF32" s="10" t="e">
        <f t="shared" si="10"/>
        <v>#VALUE!</v>
      </c>
      <c r="AG32" s="10" t="e">
        <f t="shared" si="33"/>
        <v>#VALUE!</v>
      </c>
      <c r="AI32" s="13"/>
      <c r="AK32" s="10" t="e">
        <f t="shared" si="34"/>
        <v>#VALUE!</v>
      </c>
      <c r="AL32" s="10" t="e">
        <f t="shared" si="66"/>
        <v>#VALUE!</v>
      </c>
      <c r="AM32" s="10" t="e">
        <f t="shared" si="11"/>
        <v>#VALUE!</v>
      </c>
      <c r="AN32" s="10" t="e">
        <f t="shared" si="35"/>
        <v>#VALUE!</v>
      </c>
      <c r="AO32" s="10" t="e">
        <f t="shared" si="36"/>
        <v>#VALUE!</v>
      </c>
      <c r="AP32" s="10" t="e">
        <f t="shared" si="37"/>
        <v>#VALUE!</v>
      </c>
      <c r="AQ32" s="10" t="e">
        <f t="shared" si="67"/>
        <v>#VALUE!</v>
      </c>
      <c r="AR32" s="10" t="e">
        <f t="shared" si="12"/>
        <v>#VALUE!</v>
      </c>
      <c r="AS32" s="10" t="e">
        <f t="shared" si="68"/>
        <v>#VALUE!</v>
      </c>
      <c r="AU32" s="10" t="e">
        <f t="shared" si="38"/>
        <v>#VALUE!</v>
      </c>
      <c r="AV32" s="10" t="e">
        <f t="shared" si="69"/>
        <v>#VALUE!</v>
      </c>
      <c r="AW32" s="10" t="e">
        <f t="shared" si="13"/>
        <v>#VALUE!</v>
      </c>
      <c r="AX32" s="10" t="e">
        <f t="shared" si="39"/>
        <v>#VALUE!</v>
      </c>
      <c r="AY32" s="10" t="e">
        <f t="shared" si="40"/>
        <v>#VALUE!</v>
      </c>
      <c r="AZ32" s="10" t="e">
        <f t="shared" si="41"/>
        <v>#VALUE!</v>
      </c>
      <c r="BA32" s="10" t="e">
        <f t="shared" si="70"/>
        <v>#VALUE!</v>
      </c>
      <c r="BB32" s="10" t="e">
        <f t="shared" si="14"/>
        <v>#VALUE!</v>
      </c>
      <c r="BC32" s="10" t="e">
        <f t="shared" si="71"/>
        <v>#VALUE!</v>
      </c>
      <c r="BE32" s="10" t="e">
        <f t="shared" si="42"/>
        <v>#VALUE!</v>
      </c>
      <c r="BF32" s="10" t="e">
        <f t="shared" si="72"/>
        <v>#VALUE!</v>
      </c>
      <c r="BG32" s="10" t="e">
        <f t="shared" si="15"/>
        <v>#VALUE!</v>
      </c>
      <c r="BH32" s="10" t="e">
        <f t="shared" si="43"/>
        <v>#VALUE!</v>
      </c>
      <c r="BI32" s="10" t="e">
        <f t="shared" si="44"/>
        <v>#VALUE!</v>
      </c>
      <c r="BJ32" s="10" t="e">
        <f t="shared" si="45"/>
        <v>#VALUE!</v>
      </c>
      <c r="BK32" s="10" t="e">
        <f t="shared" si="73"/>
        <v>#VALUE!</v>
      </c>
      <c r="BL32" s="10" t="e">
        <f t="shared" si="16"/>
        <v>#VALUE!</v>
      </c>
      <c r="BM32" s="10" t="e">
        <f t="shared" si="74"/>
        <v>#VALUE!</v>
      </c>
      <c r="BP32" s="10" t="e">
        <f t="shared" si="46"/>
        <v>#VALUE!</v>
      </c>
      <c r="BQ32" s="10" t="e">
        <f t="shared" si="47"/>
        <v>#VALUE!</v>
      </c>
      <c r="BR32" s="10" t="e">
        <f t="shared" si="48"/>
        <v>#VALUE!</v>
      </c>
      <c r="BS32" s="10" t="e">
        <f t="shared" si="49"/>
        <v>#VALUE!</v>
      </c>
      <c r="BT32" s="10" t="e">
        <f t="shared" si="50"/>
        <v>#VALUE!</v>
      </c>
      <c r="BU32" s="10" t="e">
        <f t="shared" si="51"/>
        <v>#VALUE!</v>
      </c>
      <c r="BW32" s="10" t="e">
        <f t="shared" si="52"/>
        <v>#VALUE!</v>
      </c>
      <c r="BX32" s="10" t="e">
        <f t="shared" si="53"/>
        <v>#VALUE!</v>
      </c>
      <c r="BY32" s="10" t="e">
        <f t="shared" si="54"/>
        <v>#VALUE!</v>
      </c>
      <c r="BZ32" s="10" t="e">
        <f t="shared" si="55"/>
        <v>#VALUE!</v>
      </c>
      <c r="CA32" s="10" t="e">
        <f t="shared" si="56"/>
        <v>#VALUE!</v>
      </c>
      <c r="CB32" s="10" t="e">
        <f t="shared" si="57"/>
        <v>#VALUE!</v>
      </c>
      <c r="CD32" s="10" t="e">
        <f>MATCH(INDEX($BP$12:$BU$12,1,MATCH(BP32,$BP$15:$BU$15,0)),结果汇总!$AI$10:$AI$13,0)</f>
        <v>#VALUE!</v>
      </c>
      <c r="CE32" s="10" t="e">
        <f>MATCH(INDEX($BP$12:$BU$12,1,MATCH(BQ32,$BP$15:$BU$15,0)),结果汇总!$AI$10:$AI$13,0)</f>
        <v>#VALUE!</v>
      </c>
      <c r="CF32" s="10" t="e">
        <f>MATCH(INDEX($BP$12:$BU$12,1,MATCH(BR32,$BP$15:$BU$15,0)),结果汇总!$AI$10:$AI$13,0)</f>
        <v>#VALUE!</v>
      </c>
      <c r="CG32" s="10" t="e">
        <f>MATCH(INDEX($BP$12:$BU$12,1,MATCH(BS32,$BP$15:$BU$15,0)),结果汇总!$AI$10:$AI$13,0)</f>
        <v>#VALUE!</v>
      </c>
      <c r="CH32" s="10" t="e">
        <f>MATCH(INDEX($BP$12:$BU$12,1,MATCH(BT32,$BP$15:$BU$15,0)),结果汇总!$AI$10:$AI$13,0)</f>
        <v>#VALUE!</v>
      </c>
      <c r="CI32" s="10" t="e">
        <f>MATCH(INDEX($BP$12:$BU$12,1,MATCH(BU32,$BP$15:$BU$15,0)),结果汇总!$AI$10:$AI$13,0)</f>
        <v>#VALUE!</v>
      </c>
      <c r="CK32" s="10">
        <f t="shared" si="58"/>
        <v>0</v>
      </c>
      <c r="CL32" s="10">
        <f t="shared" si="58"/>
        <v>0</v>
      </c>
      <c r="CM32" s="10">
        <f t="shared" si="58"/>
        <v>0</v>
      </c>
      <c r="CN32" s="10">
        <f t="shared" si="58"/>
        <v>0</v>
      </c>
      <c r="CO32" s="10" t="e">
        <f t="shared" si="59"/>
        <v>#DIV/0!</v>
      </c>
      <c r="CP32" s="10" t="e">
        <f t="shared" si="59"/>
        <v>#DIV/0!</v>
      </c>
      <c r="CQ32" s="10" t="e">
        <f t="shared" si="59"/>
        <v>#DIV/0!</v>
      </c>
      <c r="CR32" s="10" t="e">
        <f t="shared" si="59"/>
        <v>#DIV/0!</v>
      </c>
      <c r="CS32" s="10">
        <f t="shared" si="60"/>
        <v>0</v>
      </c>
      <c r="CT32" s="10">
        <f t="shared" si="60"/>
        <v>0</v>
      </c>
      <c r="CU32" s="10">
        <f t="shared" si="60"/>
        <v>0</v>
      </c>
      <c r="CV32" s="10">
        <f t="shared" si="60"/>
        <v>0</v>
      </c>
      <c r="CW32" s="10">
        <f t="shared" si="61"/>
        <v>0</v>
      </c>
      <c r="CX32" s="10">
        <f t="shared" si="61"/>
        <v>0</v>
      </c>
      <c r="CY32" s="10">
        <f t="shared" si="61"/>
        <v>0</v>
      </c>
      <c r="CZ32" s="10">
        <f t="shared" si="61"/>
        <v>0</v>
      </c>
    </row>
    <row r="33" spans="4:104" x14ac:dyDescent="0.15">
      <c r="D33" s="10">
        <v>18</v>
      </c>
      <c r="E33" s="10" t="e">
        <f t="shared" si="21"/>
        <v>#VALUE!</v>
      </c>
      <c r="F33" s="10" t="e">
        <f t="shared" si="1"/>
        <v>#VALUE!</v>
      </c>
      <c r="G33" s="10" t="e">
        <f t="shared" si="2"/>
        <v>#VALUE!</v>
      </c>
      <c r="H33" s="10" t="e">
        <f t="shared" si="22"/>
        <v>#VALUE!</v>
      </c>
      <c r="I33" s="10" t="e">
        <f t="shared" si="3"/>
        <v>#VALUE!</v>
      </c>
      <c r="J33" s="10" t="e">
        <f t="shared" si="23"/>
        <v>#VALUE!</v>
      </c>
      <c r="K33" s="10" t="e">
        <f t="shared" si="4"/>
        <v>#VALUE!</v>
      </c>
      <c r="L33" s="10" t="e">
        <f t="shared" si="5"/>
        <v>#VALUE!</v>
      </c>
      <c r="M33" s="10" t="e">
        <f t="shared" si="24"/>
        <v>#VALUE!</v>
      </c>
      <c r="O33" s="10" t="e">
        <f t="shared" si="25"/>
        <v>#VALUE!</v>
      </c>
      <c r="P33" s="10" t="e">
        <f t="shared" si="6"/>
        <v>#VALUE!</v>
      </c>
      <c r="Q33" s="10" t="e">
        <f t="shared" si="7"/>
        <v>#VALUE!</v>
      </c>
      <c r="R33" s="10" t="e">
        <f t="shared" si="26"/>
        <v>#VALUE!</v>
      </c>
      <c r="S33" s="10" t="e">
        <f t="shared" si="27"/>
        <v>#VALUE!</v>
      </c>
      <c r="T33" s="10" t="e">
        <f t="shared" si="62"/>
        <v>#VALUE!</v>
      </c>
      <c r="U33" s="10" t="e">
        <f t="shared" si="63"/>
        <v>#VALUE!</v>
      </c>
      <c r="V33" s="10" t="e">
        <f t="shared" si="8"/>
        <v>#VALUE!</v>
      </c>
      <c r="W33" s="10" t="e">
        <f t="shared" si="28"/>
        <v>#VALUE!</v>
      </c>
      <c r="Y33" s="10" t="e">
        <f t="shared" si="29"/>
        <v>#VALUE!</v>
      </c>
      <c r="Z33" s="11" t="e">
        <f t="shared" si="30"/>
        <v>#VALUE!</v>
      </c>
      <c r="AA33" s="10" t="e">
        <f t="shared" si="9"/>
        <v>#VALUE!</v>
      </c>
      <c r="AB33" s="10" t="e">
        <f t="shared" si="31"/>
        <v>#VALUE!</v>
      </c>
      <c r="AC33" s="10" t="e">
        <f t="shared" si="32"/>
        <v>#VALUE!</v>
      </c>
      <c r="AD33" s="10" t="e">
        <f t="shared" si="64"/>
        <v>#VALUE!</v>
      </c>
      <c r="AE33" s="10" t="e">
        <f t="shared" si="65"/>
        <v>#VALUE!</v>
      </c>
      <c r="AF33" s="10" t="e">
        <f t="shared" si="10"/>
        <v>#VALUE!</v>
      </c>
      <c r="AG33" s="10" t="e">
        <f t="shared" si="33"/>
        <v>#VALUE!</v>
      </c>
      <c r="AI33" s="13"/>
      <c r="AK33" s="10" t="e">
        <f t="shared" si="34"/>
        <v>#VALUE!</v>
      </c>
      <c r="AL33" s="10" t="e">
        <f t="shared" si="66"/>
        <v>#VALUE!</v>
      </c>
      <c r="AM33" s="10" t="e">
        <f t="shared" si="11"/>
        <v>#VALUE!</v>
      </c>
      <c r="AN33" s="10" t="e">
        <f t="shared" si="35"/>
        <v>#VALUE!</v>
      </c>
      <c r="AO33" s="10" t="e">
        <f t="shared" si="36"/>
        <v>#VALUE!</v>
      </c>
      <c r="AP33" s="10" t="e">
        <f t="shared" si="37"/>
        <v>#VALUE!</v>
      </c>
      <c r="AQ33" s="10" t="e">
        <f t="shared" si="67"/>
        <v>#VALUE!</v>
      </c>
      <c r="AR33" s="10" t="e">
        <f t="shared" si="12"/>
        <v>#VALUE!</v>
      </c>
      <c r="AS33" s="10" t="e">
        <f t="shared" si="68"/>
        <v>#VALUE!</v>
      </c>
      <c r="AU33" s="10" t="e">
        <f t="shared" si="38"/>
        <v>#VALUE!</v>
      </c>
      <c r="AV33" s="10" t="e">
        <f t="shared" si="69"/>
        <v>#VALUE!</v>
      </c>
      <c r="AW33" s="10" t="e">
        <f t="shared" si="13"/>
        <v>#VALUE!</v>
      </c>
      <c r="AX33" s="10" t="e">
        <f t="shared" si="39"/>
        <v>#VALUE!</v>
      </c>
      <c r="AY33" s="10" t="e">
        <f t="shared" si="40"/>
        <v>#VALUE!</v>
      </c>
      <c r="AZ33" s="10" t="e">
        <f t="shared" si="41"/>
        <v>#VALUE!</v>
      </c>
      <c r="BA33" s="10" t="e">
        <f t="shared" si="70"/>
        <v>#VALUE!</v>
      </c>
      <c r="BB33" s="10" t="e">
        <f t="shared" si="14"/>
        <v>#VALUE!</v>
      </c>
      <c r="BC33" s="10" t="e">
        <f t="shared" si="71"/>
        <v>#VALUE!</v>
      </c>
      <c r="BE33" s="10" t="e">
        <f t="shared" si="42"/>
        <v>#VALUE!</v>
      </c>
      <c r="BF33" s="10" t="e">
        <f t="shared" si="72"/>
        <v>#VALUE!</v>
      </c>
      <c r="BG33" s="10" t="e">
        <f t="shared" si="15"/>
        <v>#VALUE!</v>
      </c>
      <c r="BH33" s="10" t="e">
        <f t="shared" si="43"/>
        <v>#VALUE!</v>
      </c>
      <c r="BI33" s="10" t="e">
        <f t="shared" si="44"/>
        <v>#VALUE!</v>
      </c>
      <c r="BJ33" s="10" t="e">
        <f t="shared" si="45"/>
        <v>#VALUE!</v>
      </c>
      <c r="BK33" s="10" t="e">
        <f t="shared" si="73"/>
        <v>#VALUE!</v>
      </c>
      <c r="BL33" s="10" t="e">
        <f t="shared" si="16"/>
        <v>#VALUE!</v>
      </c>
      <c r="BM33" s="10" t="e">
        <f t="shared" si="74"/>
        <v>#VALUE!</v>
      </c>
      <c r="BP33" s="10" t="e">
        <f t="shared" si="46"/>
        <v>#VALUE!</v>
      </c>
      <c r="BQ33" s="10" t="e">
        <f t="shared" si="47"/>
        <v>#VALUE!</v>
      </c>
      <c r="BR33" s="10" t="e">
        <f t="shared" si="48"/>
        <v>#VALUE!</v>
      </c>
      <c r="BS33" s="10" t="e">
        <f t="shared" si="49"/>
        <v>#VALUE!</v>
      </c>
      <c r="BT33" s="10" t="e">
        <f t="shared" si="50"/>
        <v>#VALUE!</v>
      </c>
      <c r="BU33" s="10" t="e">
        <f t="shared" si="51"/>
        <v>#VALUE!</v>
      </c>
      <c r="BW33" s="10" t="e">
        <f t="shared" si="52"/>
        <v>#VALUE!</v>
      </c>
      <c r="BX33" s="10" t="e">
        <f t="shared" si="53"/>
        <v>#VALUE!</v>
      </c>
      <c r="BY33" s="10" t="e">
        <f t="shared" si="54"/>
        <v>#VALUE!</v>
      </c>
      <c r="BZ33" s="10" t="e">
        <f t="shared" si="55"/>
        <v>#VALUE!</v>
      </c>
      <c r="CA33" s="10" t="e">
        <f t="shared" si="56"/>
        <v>#VALUE!</v>
      </c>
      <c r="CB33" s="10" t="e">
        <f t="shared" si="57"/>
        <v>#VALUE!</v>
      </c>
      <c r="CD33" s="10" t="e">
        <f>MATCH(INDEX($BP$12:$BU$12,1,MATCH(BP33,$BP$15:$BU$15,0)),结果汇总!$AI$10:$AI$13,0)</f>
        <v>#VALUE!</v>
      </c>
      <c r="CE33" s="10" t="e">
        <f>MATCH(INDEX($BP$12:$BU$12,1,MATCH(BQ33,$BP$15:$BU$15,0)),结果汇总!$AI$10:$AI$13,0)</f>
        <v>#VALUE!</v>
      </c>
      <c r="CF33" s="10" t="e">
        <f>MATCH(INDEX($BP$12:$BU$12,1,MATCH(BR33,$BP$15:$BU$15,0)),结果汇总!$AI$10:$AI$13,0)</f>
        <v>#VALUE!</v>
      </c>
      <c r="CG33" s="10" t="e">
        <f>MATCH(INDEX($BP$12:$BU$12,1,MATCH(BS33,$BP$15:$BU$15,0)),结果汇总!$AI$10:$AI$13,0)</f>
        <v>#VALUE!</v>
      </c>
      <c r="CH33" s="10" t="e">
        <f>MATCH(INDEX($BP$12:$BU$12,1,MATCH(BT33,$BP$15:$BU$15,0)),结果汇总!$AI$10:$AI$13,0)</f>
        <v>#VALUE!</v>
      </c>
      <c r="CI33" s="10" t="e">
        <f>MATCH(INDEX($BP$12:$BU$12,1,MATCH(BU33,$BP$15:$BU$15,0)),结果汇总!$AI$10:$AI$13,0)</f>
        <v>#VALUE!</v>
      </c>
      <c r="CK33" s="10">
        <f t="shared" si="58"/>
        <v>0</v>
      </c>
      <c r="CL33" s="10">
        <f t="shared" si="58"/>
        <v>0</v>
      </c>
      <c r="CM33" s="10">
        <f t="shared" si="58"/>
        <v>0</v>
      </c>
      <c r="CN33" s="10">
        <f t="shared" si="58"/>
        <v>0</v>
      </c>
      <c r="CO33" s="10" t="e">
        <f t="shared" si="59"/>
        <v>#DIV/0!</v>
      </c>
      <c r="CP33" s="10" t="e">
        <f t="shared" si="59"/>
        <v>#DIV/0!</v>
      </c>
      <c r="CQ33" s="10" t="e">
        <f t="shared" si="59"/>
        <v>#DIV/0!</v>
      </c>
      <c r="CR33" s="10" t="e">
        <f t="shared" si="59"/>
        <v>#DIV/0!</v>
      </c>
      <c r="CS33" s="10">
        <f t="shared" si="60"/>
        <v>0</v>
      </c>
      <c r="CT33" s="10">
        <f t="shared" si="60"/>
        <v>0</v>
      </c>
      <c r="CU33" s="10">
        <f t="shared" si="60"/>
        <v>0</v>
      </c>
      <c r="CV33" s="10">
        <f t="shared" si="60"/>
        <v>0</v>
      </c>
      <c r="CW33" s="10">
        <f t="shared" si="61"/>
        <v>0</v>
      </c>
      <c r="CX33" s="10">
        <f t="shared" si="61"/>
        <v>0</v>
      </c>
      <c r="CY33" s="10">
        <f t="shared" si="61"/>
        <v>0</v>
      </c>
      <c r="CZ33" s="10">
        <f t="shared" si="61"/>
        <v>0</v>
      </c>
    </row>
    <row r="34" spans="4:104" x14ac:dyDescent="0.15">
      <c r="D34" s="10">
        <v>19</v>
      </c>
      <c r="E34" s="10" t="e">
        <f t="shared" si="21"/>
        <v>#VALUE!</v>
      </c>
      <c r="F34" s="10" t="e">
        <f t="shared" si="1"/>
        <v>#VALUE!</v>
      </c>
      <c r="G34" s="10" t="e">
        <f t="shared" si="2"/>
        <v>#VALUE!</v>
      </c>
      <c r="H34" s="10" t="e">
        <f t="shared" si="22"/>
        <v>#VALUE!</v>
      </c>
      <c r="I34" s="10" t="e">
        <f t="shared" si="3"/>
        <v>#VALUE!</v>
      </c>
      <c r="J34" s="10" t="e">
        <f t="shared" si="23"/>
        <v>#VALUE!</v>
      </c>
      <c r="K34" s="10" t="e">
        <f t="shared" si="4"/>
        <v>#VALUE!</v>
      </c>
      <c r="L34" s="10" t="e">
        <f t="shared" si="5"/>
        <v>#VALUE!</v>
      </c>
      <c r="M34" s="10" t="e">
        <f t="shared" si="24"/>
        <v>#VALUE!</v>
      </c>
      <c r="O34" s="10" t="e">
        <f t="shared" si="25"/>
        <v>#VALUE!</v>
      </c>
      <c r="P34" s="10" t="e">
        <f t="shared" si="6"/>
        <v>#VALUE!</v>
      </c>
      <c r="Q34" s="10" t="e">
        <f t="shared" si="7"/>
        <v>#VALUE!</v>
      </c>
      <c r="R34" s="10" t="e">
        <f t="shared" si="26"/>
        <v>#VALUE!</v>
      </c>
      <c r="S34" s="10" t="e">
        <f t="shared" si="27"/>
        <v>#VALUE!</v>
      </c>
      <c r="T34" s="10" t="e">
        <f t="shared" si="62"/>
        <v>#VALUE!</v>
      </c>
      <c r="U34" s="10" t="e">
        <f t="shared" si="63"/>
        <v>#VALUE!</v>
      </c>
      <c r="V34" s="10" t="e">
        <f t="shared" si="8"/>
        <v>#VALUE!</v>
      </c>
      <c r="W34" s="10" t="e">
        <f t="shared" si="28"/>
        <v>#VALUE!</v>
      </c>
      <c r="Y34" s="10" t="e">
        <f t="shared" si="29"/>
        <v>#VALUE!</v>
      </c>
      <c r="Z34" s="11" t="e">
        <f t="shared" si="30"/>
        <v>#VALUE!</v>
      </c>
      <c r="AA34" s="10" t="e">
        <f t="shared" si="9"/>
        <v>#VALUE!</v>
      </c>
      <c r="AB34" s="10" t="e">
        <f t="shared" si="31"/>
        <v>#VALUE!</v>
      </c>
      <c r="AC34" s="10" t="e">
        <f t="shared" si="32"/>
        <v>#VALUE!</v>
      </c>
      <c r="AD34" s="10" t="e">
        <f t="shared" si="64"/>
        <v>#VALUE!</v>
      </c>
      <c r="AE34" s="10" t="e">
        <f t="shared" si="65"/>
        <v>#VALUE!</v>
      </c>
      <c r="AF34" s="10" t="e">
        <f t="shared" si="10"/>
        <v>#VALUE!</v>
      </c>
      <c r="AG34" s="10" t="e">
        <f t="shared" si="33"/>
        <v>#VALUE!</v>
      </c>
      <c r="AI34" s="13"/>
      <c r="AK34" s="10" t="e">
        <f t="shared" si="34"/>
        <v>#VALUE!</v>
      </c>
      <c r="AL34" s="10" t="e">
        <f t="shared" si="66"/>
        <v>#VALUE!</v>
      </c>
      <c r="AM34" s="10" t="e">
        <f t="shared" si="11"/>
        <v>#VALUE!</v>
      </c>
      <c r="AN34" s="10" t="e">
        <f t="shared" si="35"/>
        <v>#VALUE!</v>
      </c>
      <c r="AO34" s="10" t="e">
        <f t="shared" si="36"/>
        <v>#VALUE!</v>
      </c>
      <c r="AP34" s="10" t="e">
        <f t="shared" si="37"/>
        <v>#VALUE!</v>
      </c>
      <c r="AQ34" s="10" t="e">
        <f t="shared" si="67"/>
        <v>#VALUE!</v>
      </c>
      <c r="AR34" s="10" t="e">
        <f t="shared" si="12"/>
        <v>#VALUE!</v>
      </c>
      <c r="AS34" s="10" t="e">
        <f t="shared" si="68"/>
        <v>#VALUE!</v>
      </c>
      <c r="AU34" s="10" t="e">
        <f t="shared" si="38"/>
        <v>#VALUE!</v>
      </c>
      <c r="AV34" s="10" t="e">
        <f t="shared" si="69"/>
        <v>#VALUE!</v>
      </c>
      <c r="AW34" s="10" t="e">
        <f t="shared" si="13"/>
        <v>#VALUE!</v>
      </c>
      <c r="AX34" s="10" t="e">
        <f t="shared" si="39"/>
        <v>#VALUE!</v>
      </c>
      <c r="AY34" s="10" t="e">
        <f t="shared" si="40"/>
        <v>#VALUE!</v>
      </c>
      <c r="AZ34" s="10" t="e">
        <f t="shared" si="41"/>
        <v>#VALUE!</v>
      </c>
      <c r="BA34" s="10" t="e">
        <f t="shared" si="70"/>
        <v>#VALUE!</v>
      </c>
      <c r="BB34" s="10" t="e">
        <f t="shared" si="14"/>
        <v>#VALUE!</v>
      </c>
      <c r="BC34" s="10" t="e">
        <f t="shared" si="71"/>
        <v>#VALUE!</v>
      </c>
      <c r="BE34" s="10" t="e">
        <f t="shared" si="42"/>
        <v>#VALUE!</v>
      </c>
      <c r="BF34" s="10" t="e">
        <f t="shared" si="72"/>
        <v>#VALUE!</v>
      </c>
      <c r="BG34" s="10" t="e">
        <f t="shared" si="15"/>
        <v>#VALUE!</v>
      </c>
      <c r="BH34" s="10" t="e">
        <f t="shared" si="43"/>
        <v>#VALUE!</v>
      </c>
      <c r="BI34" s="10" t="e">
        <f t="shared" si="44"/>
        <v>#VALUE!</v>
      </c>
      <c r="BJ34" s="10" t="e">
        <f t="shared" si="45"/>
        <v>#VALUE!</v>
      </c>
      <c r="BK34" s="10" t="e">
        <f t="shared" si="73"/>
        <v>#VALUE!</v>
      </c>
      <c r="BL34" s="10" t="e">
        <f t="shared" si="16"/>
        <v>#VALUE!</v>
      </c>
      <c r="BM34" s="10" t="e">
        <f t="shared" si="74"/>
        <v>#VALUE!</v>
      </c>
      <c r="BP34" s="10" t="e">
        <f t="shared" si="46"/>
        <v>#VALUE!</v>
      </c>
      <c r="BQ34" s="10" t="e">
        <f t="shared" si="47"/>
        <v>#VALUE!</v>
      </c>
      <c r="BR34" s="10" t="e">
        <f t="shared" si="48"/>
        <v>#VALUE!</v>
      </c>
      <c r="BS34" s="10" t="e">
        <f t="shared" si="49"/>
        <v>#VALUE!</v>
      </c>
      <c r="BT34" s="10" t="e">
        <f t="shared" si="50"/>
        <v>#VALUE!</v>
      </c>
      <c r="BU34" s="10" t="e">
        <f t="shared" si="51"/>
        <v>#VALUE!</v>
      </c>
      <c r="BW34" s="10" t="e">
        <f t="shared" si="52"/>
        <v>#VALUE!</v>
      </c>
      <c r="BX34" s="10" t="e">
        <f t="shared" si="53"/>
        <v>#VALUE!</v>
      </c>
      <c r="BY34" s="10" t="e">
        <f t="shared" si="54"/>
        <v>#VALUE!</v>
      </c>
      <c r="BZ34" s="10" t="e">
        <f t="shared" si="55"/>
        <v>#VALUE!</v>
      </c>
      <c r="CA34" s="10" t="e">
        <f t="shared" si="56"/>
        <v>#VALUE!</v>
      </c>
      <c r="CB34" s="10" t="e">
        <f t="shared" si="57"/>
        <v>#VALUE!</v>
      </c>
      <c r="CD34" s="10" t="e">
        <f>MATCH(INDEX($BP$12:$BU$12,1,MATCH(BP34,$BP$15:$BU$15,0)),结果汇总!$AI$10:$AI$13,0)</f>
        <v>#VALUE!</v>
      </c>
      <c r="CE34" s="10" t="e">
        <f>MATCH(INDEX($BP$12:$BU$12,1,MATCH(BQ34,$BP$15:$BU$15,0)),结果汇总!$AI$10:$AI$13,0)</f>
        <v>#VALUE!</v>
      </c>
      <c r="CF34" s="10" t="e">
        <f>MATCH(INDEX($BP$12:$BU$12,1,MATCH(BR34,$BP$15:$BU$15,0)),结果汇总!$AI$10:$AI$13,0)</f>
        <v>#VALUE!</v>
      </c>
      <c r="CG34" s="10" t="e">
        <f>MATCH(INDEX($BP$12:$BU$12,1,MATCH(BS34,$BP$15:$BU$15,0)),结果汇总!$AI$10:$AI$13,0)</f>
        <v>#VALUE!</v>
      </c>
      <c r="CH34" s="10" t="e">
        <f>MATCH(INDEX($BP$12:$BU$12,1,MATCH(BT34,$BP$15:$BU$15,0)),结果汇总!$AI$10:$AI$13,0)</f>
        <v>#VALUE!</v>
      </c>
      <c r="CI34" s="10" t="e">
        <f>MATCH(INDEX($BP$12:$BU$12,1,MATCH(BU34,$BP$15:$BU$15,0)),结果汇总!$AI$10:$AI$13,0)</f>
        <v>#VALUE!</v>
      </c>
      <c r="CK34" s="10">
        <f t="shared" si="58"/>
        <v>0</v>
      </c>
      <c r="CL34" s="10">
        <f t="shared" si="58"/>
        <v>0</v>
      </c>
      <c r="CM34" s="10">
        <f t="shared" si="58"/>
        <v>0</v>
      </c>
      <c r="CN34" s="10">
        <f t="shared" si="58"/>
        <v>0</v>
      </c>
      <c r="CO34" s="10" t="e">
        <f t="shared" si="59"/>
        <v>#DIV/0!</v>
      </c>
      <c r="CP34" s="10" t="e">
        <f t="shared" si="59"/>
        <v>#DIV/0!</v>
      </c>
      <c r="CQ34" s="10" t="e">
        <f t="shared" si="59"/>
        <v>#DIV/0!</v>
      </c>
      <c r="CR34" s="10" t="e">
        <f t="shared" si="59"/>
        <v>#DIV/0!</v>
      </c>
      <c r="CS34" s="10">
        <f t="shared" si="60"/>
        <v>0</v>
      </c>
      <c r="CT34" s="10">
        <f t="shared" si="60"/>
        <v>0</v>
      </c>
      <c r="CU34" s="10">
        <f t="shared" si="60"/>
        <v>0</v>
      </c>
      <c r="CV34" s="10">
        <f t="shared" si="60"/>
        <v>0</v>
      </c>
      <c r="CW34" s="10">
        <f t="shared" si="61"/>
        <v>0</v>
      </c>
      <c r="CX34" s="10">
        <f t="shared" si="61"/>
        <v>0</v>
      </c>
      <c r="CY34" s="10">
        <f t="shared" si="61"/>
        <v>0</v>
      </c>
      <c r="CZ34" s="10">
        <f t="shared" si="61"/>
        <v>0</v>
      </c>
    </row>
    <row r="35" spans="4:104" x14ac:dyDescent="0.15">
      <c r="D35" s="10">
        <v>20</v>
      </c>
      <c r="E35" s="10" t="e">
        <f t="shared" si="21"/>
        <v>#VALUE!</v>
      </c>
      <c r="F35" s="10" t="e">
        <f t="shared" si="1"/>
        <v>#VALUE!</v>
      </c>
      <c r="G35" s="10" t="e">
        <f t="shared" si="2"/>
        <v>#VALUE!</v>
      </c>
      <c r="H35" s="10" t="e">
        <f t="shared" si="22"/>
        <v>#VALUE!</v>
      </c>
      <c r="I35" s="10" t="e">
        <f t="shared" si="3"/>
        <v>#VALUE!</v>
      </c>
      <c r="J35" s="10" t="e">
        <f t="shared" si="23"/>
        <v>#VALUE!</v>
      </c>
      <c r="K35" s="10" t="e">
        <f t="shared" si="4"/>
        <v>#VALUE!</v>
      </c>
      <c r="L35" s="10" t="e">
        <f t="shared" si="5"/>
        <v>#VALUE!</v>
      </c>
      <c r="M35" s="10" t="e">
        <f t="shared" si="24"/>
        <v>#VALUE!</v>
      </c>
      <c r="O35" s="10" t="e">
        <f t="shared" si="25"/>
        <v>#VALUE!</v>
      </c>
      <c r="P35" s="10" t="e">
        <f t="shared" si="6"/>
        <v>#VALUE!</v>
      </c>
      <c r="Q35" s="10" t="e">
        <f t="shared" si="7"/>
        <v>#VALUE!</v>
      </c>
      <c r="R35" s="10" t="e">
        <f t="shared" si="26"/>
        <v>#VALUE!</v>
      </c>
      <c r="S35" s="10" t="e">
        <f t="shared" si="27"/>
        <v>#VALUE!</v>
      </c>
      <c r="T35" s="10" t="e">
        <f t="shared" si="62"/>
        <v>#VALUE!</v>
      </c>
      <c r="U35" s="10" t="e">
        <f t="shared" si="63"/>
        <v>#VALUE!</v>
      </c>
      <c r="V35" s="10" t="e">
        <f t="shared" si="8"/>
        <v>#VALUE!</v>
      </c>
      <c r="W35" s="10" t="e">
        <f t="shared" si="28"/>
        <v>#VALUE!</v>
      </c>
      <c r="Y35" s="10" t="e">
        <f t="shared" si="29"/>
        <v>#VALUE!</v>
      </c>
      <c r="Z35" s="11" t="e">
        <f t="shared" si="30"/>
        <v>#VALUE!</v>
      </c>
      <c r="AA35" s="10" t="e">
        <f t="shared" si="9"/>
        <v>#VALUE!</v>
      </c>
      <c r="AB35" s="10" t="e">
        <f t="shared" si="31"/>
        <v>#VALUE!</v>
      </c>
      <c r="AC35" s="10" t="e">
        <f t="shared" si="32"/>
        <v>#VALUE!</v>
      </c>
      <c r="AD35" s="10" t="e">
        <f t="shared" si="64"/>
        <v>#VALUE!</v>
      </c>
      <c r="AE35" s="10" t="e">
        <f t="shared" si="65"/>
        <v>#VALUE!</v>
      </c>
      <c r="AF35" s="10" t="e">
        <f t="shared" si="10"/>
        <v>#VALUE!</v>
      </c>
      <c r="AG35" s="10" t="e">
        <f t="shared" si="33"/>
        <v>#VALUE!</v>
      </c>
      <c r="AI35" s="13"/>
      <c r="AK35" s="10" t="e">
        <f t="shared" si="34"/>
        <v>#VALUE!</v>
      </c>
      <c r="AL35" s="10" t="e">
        <f t="shared" si="66"/>
        <v>#VALUE!</v>
      </c>
      <c r="AM35" s="10" t="e">
        <f t="shared" si="11"/>
        <v>#VALUE!</v>
      </c>
      <c r="AN35" s="10" t="e">
        <f t="shared" si="35"/>
        <v>#VALUE!</v>
      </c>
      <c r="AO35" s="10" t="e">
        <f t="shared" si="36"/>
        <v>#VALUE!</v>
      </c>
      <c r="AP35" s="10" t="e">
        <f t="shared" si="37"/>
        <v>#VALUE!</v>
      </c>
      <c r="AQ35" s="10" t="e">
        <f t="shared" si="67"/>
        <v>#VALUE!</v>
      </c>
      <c r="AR35" s="10" t="e">
        <f t="shared" si="12"/>
        <v>#VALUE!</v>
      </c>
      <c r="AS35" s="10" t="e">
        <f t="shared" si="68"/>
        <v>#VALUE!</v>
      </c>
      <c r="AU35" s="10" t="e">
        <f t="shared" si="38"/>
        <v>#VALUE!</v>
      </c>
      <c r="AV35" s="10" t="e">
        <f t="shared" si="69"/>
        <v>#VALUE!</v>
      </c>
      <c r="AW35" s="10" t="e">
        <f t="shared" si="13"/>
        <v>#VALUE!</v>
      </c>
      <c r="AX35" s="10" t="e">
        <f t="shared" si="39"/>
        <v>#VALUE!</v>
      </c>
      <c r="AY35" s="10" t="e">
        <f t="shared" si="40"/>
        <v>#VALUE!</v>
      </c>
      <c r="AZ35" s="10" t="e">
        <f t="shared" si="41"/>
        <v>#VALUE!</v>
      </c>
      <c r="BA35" s="10" t="e">
        <f t="shared" si="70"/>
        <v>#VALUE!</v>
      </c>
      <c r="BB35" s="10" t="e">
        <f t="shared" si="14"/>
        <v>#VALUE!</v>
      </c>
      <c r="BC35" s="10" t="e">
        <f t="shared" si="71"/>
        <v>#VALUE!</v>
      </c>
      <c r="BE35" s="10" t="e">
        <f t="shared" si="42"/>
        <v>#VALUE!</v>
      </c>
      <c r="BF35" s="10" t="e">
        <f t="shared" si="72"/>
        <v>#VALUE!</v>
      </c>
      <c r="BG35" s="10" t="e">
        <f t="shared" si="15"/>
        <v>#VALUE!</v>
      </c>
      <c r="BH35" s="10" t="e">
        <f t="shared" si="43"/>
        <v>#VALUE!</v>
      </c>
      <c r="BI35" s="10" t="e">
        <f t="shared" si="44"/>
        <v>#VALUE!</v>
      </c>
      <c r="BJ35" s="10" t="e">
        <f t="shared" si="45"/>
        <v>#VALUE!</v>
      </c>
      <c r="BK35" s="10" t="e">
        <f t="shared" si="73"/>
        <v>#VALUE!</v>
      </c>
      <c r="BL35" s="10" t="e">
        <f t="shared" si="16"/>
        <v>#VALUE!</v>
      </c>
      <c r="BM35" s="10" t="e">
        <f t="shared" si="74"/>
        <v>#VALUE!</v>
      </c>
      <c r="BP35" s="10" t="e">
        <f t="shared" si="46"/>
        <v>#VALUE!</v>
      </c>
      <c r="BQ35" s="10" t="e">
        <f t="shared" si="47"/>
        <v>#VALUE!</v>
      </c>
      <c r="BR35" s="10" t="e">
        <f t="shared" si="48"/>
        <v>#VALUE!</v>
      </c>
      <c r="BS35" s="10" t="e">
        <f t="shared" si="49"/>
        <v>#VALUE!</v>
      </c>
      <c r="BT35" s="10" t="e">
        <f t="shared" si="50"/>
        <v>#VALUE!</v>
      </c>
      <c r="BU35" s="10" t="e">
        <f t="shared" si="51"/>
        <v>#VALUE!</v>
      </c>
      <c r="BW35" s="10" t="e">
        <f t="shared" si="52"/>
        <v>#VALUE!</v>
      </c>
      <c r="BX35" s="10" t="e">
        <f t="shared" si="53"/>
        <v>#VALUE!</v>
      </c>
      <c r="BY35" s="10" t="e">
        <f t="shared" si="54"/>
        <v>#VALUE!</v>
      </c>
      <c r="BZ35" s="10" t="e">
        <f t="shared" si="55"/>
        <v>#VALUE!</v>
      </c>
      <c r="CA35" s="10" t="e">
        <f t="shared" si="56"/>
        <v>#VALUE!</v>
      </c>
      <c r="CB35" s="10" t="e">
        <f t="shared" si="57"/>
        <v>#VALUE!</v>
      </c>
      <c r="CD35" s="10" t="e">
        <f>MATCH(INDEX($BP$12:$BU$12,1,MATCH(BP35,$BP$15:$BU$15,0)),结果汇总!$AI$10:$AI$13,0)</f>
        <v>#VALUE!</v>
      </c>
      <c r="CE35" s="10" t="e">
        <f>MATCH(INDEX($BP$12:$BU$12,1,MATCH(BQ35,$BP$15:$BU$15,0)),结果汇总!$AI$10:$AI$13,0)</f>
        <v>#VALUE!</v>
      </c>
      <c r="CF35" s="10" t="e">
        <f>MATCH(INDEX($BP$12:$BU$12,1,MATCH(BR35,$BP$15:$BU$15,0)),结果汇总!$AI$10:$AI$13,0)</f>
        <v>#VALUE!</v>
      </c>
      <c r="CG35" s="10" t="e">
        <f>MATCH(INDEX($BP$12:$BU$12,1,MATCH(BS35,$BP$15:$BU$15,0)),结果汇总!$AI$10:$AI$13,0)</f>
        <v>#VALUE!</v>
      </c>
      <c r="CH35" s="10" t="e">
        <f>MATCH(INDEX($BP$12:$BU$12,1,MATCH(BT35,$BP$15:$BU$15,0)),结果汇总!$AI$10:$AI$13,0)</f>
        <v>#VALUE!</v>
      </c>
      <c r="CI35" s="10" t="e">
        <f>MATCH(INDEX($BP$12:$BU$12,1,MATCH(BU35,$BP$15:$BU$15,0)),结果汇总!$AI$10:$AI$13,0)</f>
        <v>#VALUE!</v>
      </c>
      <c r="CK35" s="10">
        <f t="shared" si="58"/>
        <v>0</v>
      </c>
      <c r="CL35" s="10">
        <f t="shared" si="58"/>
        <v>0</v>
      </c>
      <c r="CM35" s="10">
        <f t="shared" si="58"/>
        <v>0</v>
      </c>
      <c r="CN35" s="10">
        <f t="shared" si="58"/>
        <v>0</v>
      </c>
      <c r="CO35" s="10" t="e">
        <f t="shared" si="59"/>
        <v>#DIV/0!</v>
      </c>
      <c r="CP35" s="10" t="e">
        <f t="shared" si="59"/>
        <v>#DIV/0!</v>
      </c>
      <c r="CQ35" s="10" t="e">
        <f t="shared" si="59"/>
        <v>#DIV/0!</v>
      </c>
      <c r="CR35" s="10" t="e">
        <f t="shared" si="59"/>
        <v>#DIV/0!</v>
      </c>
      <c r="CS35" s="10">
        <f t="shared" si="60"/>
        <v>0</v>
      </c>
      <c r="CT35" s="10">
        <f t="shared" si="60"/>
        <v>0</v>
      </c>
      <c r="CU35" s="10">
        <f t="shared" si="60"/>
        <v>0</v>
      </c>
      <c r="CV35" s="10">
        <f t="shared" si="60"/>
        <v>0</v>
      </c>
      <c r="CW35" s="10">
        <f t="shared" si="61"/>
        <v>0</v>
      </c>
      <c r="CX35" s="10">
        <f t="shared" si="61"/>
        <v>0</v>
      </c>
      <c r="CY35" s="10">
        <f t="shared" si="61"/>
        <v>0</v>
      </c>
      <c r="CZ35" s="10">
        <f t="shared" si="61"/>
        <v>0</v>
      </c>
    </row>
    <row r="36" spans="4:104" x14ac:dyDescent="0.15">
      <c r="D36" s="10">
        <v>21</v>
      </c>
      <c r="E36" s="10" t="e">
        <f t="shared" si="21"/>
        <v>#VALUE!</v>
      </c>
      <c r="F36" s="10" t="e">
        <f t="shared" si="1"/>
        <v>#VALUE!</v>
      </c>
      <c r="G36" s="10" t="e">
        <f t="shared" si="2"/>
        <v>#VALUE!</v>
      </c>
      <c r="H36" s="10" t="e">
        <f t="shared" si="22"/>
        <v>#VALUE!</v>
      </c>
      <c r="I36" s="10" t="e">
        <f t="shared" si="3"/>
        <v>#VALUE!</v>
      </c>
      <c r="J36" s="10" t="e">
        <f t="shared" si="23"/>
        <v>#VALUE!</v>
      </c>
      <c r="K36" s="10" t="e">
        <f t="shared" si="4"/>
        <v>#VALUE!</v>
      </c>
      <c r="L36" s="10" t="e">
        <f t="shared" si="5"/>
        <v>#VALUE!</v>
      </c>
      <c r="M36" s="10" t="e">
        <f t="shared" si="24"/>
        <v>#VALUE!</v>
      </c>
      <c r="O36" s="10" t="e">
        <f t="shared" si="25"/>
        <v>#VALUE!</v>
      </c>
      <c r="P36" s="10" t="e">
        <f t="shared" si="6"/>
        <v>#VALUE!</v>
      </c>
      <c r="Q36" s="10" t="e">
        <f t="shared" si="7"/>
        <v>#VALUE!</v>
      </c>
      <c r="R36" s="10" t="e">
        <f t="shared" si="26"/>
        <v>#VALUE!</v>
      </c>
      <c r="S36" s="10" t="e">
        <f t="shared" si="27"/>
        <v>#VALUE!</v>
      </c>
      <c r="T36" s="10" t="e">
        <f t="shared" si="62"/>
        <v>#VALUE!</v>
      </c>
      <c r="U36" s="10" t="e">
        <f t="shared" si="63"/>
        <v>#VALUE!</v>
      </c>
      <c r="V36" s="10" t="e">
        <f t="shared" si="8"/>
        <v>#VALUE!</v>
      </c>
      <c r="W36" s="10" t="e">
        <f t="shared" si="28"/>
        <v>#VALUE!</v>
      </c>
      <c r="Y36" s="10" t="e">
        <f t="shared" si="29"/>
        <v>#VALUE!</v>
      </c>
      <c r="Z36" s="11" t="e">
        <f t="shared" si="30"/>
        <v>#VALUE!</v>
      </c>
      <c r="AA36" s="10" t="e">
        <f t="shared" si="9"/>
        <v>#VALUE!</v>
      </c>
      <c r="AB36" s="10" t="e">
        <f t="shared" si="31"/>
        <v>#VALUE!</v>
      </c>
      <c r="AC36" s="10" t="e">
        <f t="shared" si="32"/>
        <v>#VALUE!</v>
      </c>
      <c r="AD36" s="10" t="e">
        <f t="shared" si="64"/>
        <v>#VALUE!</v>
      </c>
      <c r="AE36" s="10" t="e">
        <f t="shared" si="65"/>
        <v>#VALUE!</v>
      </c>
      <c r="AF36" s="10" t="e">
        <f t="shared" si="10"/>
        <v>#VALUE!</v>
      </c>
      <c r="AG36" s="10" t="e">
        <f t="shared" si="33"/>
        <v>#VALUE!</v>
      </c>
      <c r="AI36" s="13"/>
      <c r="AK36" s="10" t="e">
        <f t="shared" si="34"/>
        <v>#VALUE!</v>
      </c>
      <c r="AL36" s="10" t="e">
        <f t="shared" si="66"/>
        <v>#VALUE!</v>
      </c>
      <c r="AM36" s="10" t="e">
        <f t="shared" si="11"/>
        <v>#VALUE!</v>
      </c>
      <c r="AN36" s="10" t="e">
        <f t="shared" si="35"/>
        <v>#VALUE!</v>
      </c>
      <c r="AO36" s="10" t="e">
        <f t="shared" si="36"/>
        <v>#VALUE!</v>
      </c>
      <c r="AP36" s="10" t="e">
        <f t="shared" si="37"/>
        <v>#VALUE!</v>
      </c>
      <c r="AQ36" s="10" t="e">
        <f t="shared" si="67"/>
        <v>#VALUE!</v>
      </c>
      <c r="AR36" s="10" t="e">
        <f t="shared" si="12"/>
        <v>#VALUE!</v>
      </c>
      <c r="AS36" s="10" t="e">
        <f t="shared" si="68"/>
        <v>#VALUE!</v>
      </c>
      <c r="AU36" s="10" t="e">
        <f t="shared" si="38"/>
        <v>#VALUE!</v>
      </c>
      <c r="AV36" s="10" t="e">
        <f t="shared" si="69"/>
        <v>#VALUE!</v>
      </c>
      <c r="AW36" s="10" t="e">
        <f t="shared" si="13"/>
        <v>#VALUE!</v>
      </c>
      <c r="AX36" s="10" t="e">
        <f t="shared" si="39"/>
        <v>#VALUE!</v>
      </c>
      <c r="AY36" s="10" t="e">
        <f t="shared" si="40"/>
        <v>#VALUE!</v>
      </c>
      <c r="AZ36" s="10" t="e">
        <f t="shared" si="41"/>
        <v>#VALUE!</v>
      </c>
      <c r="BA36" s="10" t="e">
        <f t="shared" si="70"/>
        <v>#VALUE!</v>
      </c>
      <c r="BB36" s="10" t="e">
        <f t="shared" si="14"/>
        <v>#VALUE!</v>
      </c>
      <c r="BC36" s="10" t="e">
        <f t="shared" si="71"/>
        <v>#VALUE!</v>
      </c>
      <c r="BE36" s="10" t="e">
        <f t="shared" si="42"/>
        <v>#VALUE!</v>
      </c>
      <c r="BF36" s="10" t="e">
        <f t="shared" si="72"/>
        <v>#VALUE!</v>
      </c>
      <c r="BG36" s="10" t="e">
        <f t="shared" si="15"/>
        <v>#VALUE!</v>
      </c>
      <c r="BH36" s="10" t="e">
        <f t="shared" si="43"/>
        <v>#VALUE!</v>
      </c>
      <c r="BI36" s="10" t="e">
        <f t="shared" si="44"/>
        <v>#VALUE!</v>
      </c>
      <c r="BJ36" s="10" t="e">
        <f t="shared" si="45"/>
        <v>#VALUE!</v>
      </c>
      <c r="BK36" s="10" t="e">
        <f t="shared" si="73"/>
        <v>#VALUE!</v>
      </c>
      <c r="BL36" s="10" t="e">
        <f t="shared" si="16"/>
        <v>#VALUE!</v>
      </c>
      <c r="BM36" s="10" t="e">
        <f t="shared" si="74"/>
        <v>#VALUE!</v>
      </c>
      <c r="BP36" s="10" t="e">
        <f t="shared" si="46"/>
        <v>#VALUE!</v>
      </c>
      <c r="BQ36" s="10" t="e">
        <f t="shared" si="47"/>
        <v>#VALUE!</v>
      </c>
      <c r="BR36" s="10" t="e">
        <f t="shared" si="48"/>
        <v>#VALUE!</v>
      </c>
      <c r="BS36" s="10" t="e">
        <f t="shared" si="49"/>
        <v>#VALUE!</v>
      </c>
      <c r="BT36" s="10" t="e">
        <f t="shared" si="50"/>
        <v>#VALUE!</v>
      </c>
      <c r="BU36" s="10" t="e">
        <f t="shared" si="51"/>
        <v>#VALUE!</v>
      </c>
      <c r="BW36" s="10" t="e">
        <f t="shared" si="52"/>
        <v>#VALUE!</v>
      </c>
      <c r="BX36" s="10" t="e">
        <f t="shared" si="53"/>
        <v>#VALUE!</v>
      </c>
      <c r="BY36" s="10" t="e">
        <f t="shared" si="54"/>
        <v>#VALUE!</v>
      </c>
      <c r="BZ36" s="10" t="e">
        <f t="shared" si="55"/>
        <v>#VALUE!</v>
      </c>
      <c r="CA36" s="10" t="e">
        <f t="shared" si="56"/>
        <v>#VALUE!</v>
      </c>
      <c r="CB36" s="10" t="e">
        <f t="shared" si="57"/>
        <v>#VALUE!</v>
      </c>
      <c r="CD36" s="10" t="e">
        <f>MATCH(INDEX($BP$12:$BU$12,1,MATCH(BP36,$BP$15:$BU$15,0)),结果汇总!$AI$10:$AI$13,0)</f>
        <v>#VALUE!</v>
      </c>
      <c r="CE36" s="10" t="e">
        <f>MATCH(INDEX($BP$12:$BU$12,1,MATCH(BQ36,$BP$15:$BU$15,0)),结果汇总!$AI$10:$AI$13,0)</f>
        <v>#VALUE!</v>
      </c>
      <c r="CF36" s="10" t="e">
        <f>MATCH(INDEX($BP$12:$BU$12,1,MATCH(BR36,$BP$15:$BU$15,0)),结果汇总!$AI$10:$AI$13,0)</f>
        <v>#VALUE!</v>
      </c>
      <c r="CG36" s="10" t="e">
        <f>MATCH(INDEX($BP$12:$BU$12,1,MATCH(BS36,$BP$15:$BU$15,0)),结果汇总!$AI$10:$AI$13,0)</f>
        <v>#VALUE!</v>
      </c>
      <c r="CH36" s="10" t="e">
        <f>MATCH(INDEX($BP$12:$BU$12,1,MATCH(BT36,$BP$15:$BU$15,0)),结果汇总!$AI$10:$AI$13,0)</f>
        <v>#VALUE!</v>
      </c>
      <c r="CI36" s="10" t="e">
        <f>MATCH(INDEX($BP$12:$BU$12,1,MATCH(BU36,$BP$15:$BU$15,0)),结果汇总!$AI$10:$AI$13,0)</f>
        <v>#VALUE!</v>
      </c>
      <c r="CK36" s="10">
        <f t="shared" si="58"/>
        <v>0</v>
      </c>
      <c r="CL36" s="10">
        <f t="shared" si="58"/>
        <v>0</v>
      </c>
      <c r="CM36" s="10">
        <f t="shared" si="58"/>
        <v>0</v>
      </c>
      <c r="CN36" s="10">
        <f t="shared" si="58"/>
        <v>0</v>
      </c>
      <c r="CO36" s="10" t="e">
        <f t="shared" si="59"/>
        <v>#DIV/0!</v>
      </c>
      <c r="CP36" s="10" t="e">
        <f t="shared" si="59"/>
        <v>#DIV/0!</v>
      </c>
      <c r="CQ36" s="10" t="e">
        <f t="shared" si="59"/>
        <v>#DIV/0!</v>
      </c>
      <c r="CR36" s="10" t="e">
        <f t="shared" si="59"/>
        <v>#DIV/0!</v>
      </c>
      <c r="CS36" s="10">
        <f t="shared" si="60"/>
        <v>0</v>
      </c>
      <c r="CT36" s="10">
        <f t="shared" si="60"/>
        <v>0</v>
      </c>
      <c r="CU36" s="10">
        <f t="shared" si="60"/>
        <v>0</v>
      </c>
      <c r="CV36" s="10">
        <f t="shared" si="60"/>
        <v>0</v>
      </c>
      <c r="CW36" s="10">
        <f t="shared" si="61"/>
        <v>0</v>
      </c>
      <c r="CX36" s="10">
        <f t="shared" si="61"/>
        <v>0</v>
      </c>
      <c r="CY36" s="10">
        <f t="shared" si="61"/>
        <v>0</v>
      </c>
      <c r="CZ36" s="10">
        <f t="shared" si="61"/>
        <v>0</v>
      </c>
    </row>
    <row r="37" spans="4:104" x14ac:dyDescent="0.15">
      <c r="D37" s="10">
        <v>22</v>
      </c>
      <c r="E37" s="10" t="e">
        <f t="shared" si="21"/>
        <v>#VALUE!</v>
      </c>
      <c r="F37" s="10" t="e">
        <f t="shared" si="1"/>
        <v>#VALUE!</v>
      </c>
      <c r="G37" s="10" t="e">
        <f t="shared" si="2"/>
        <v>#VALUE!</v>
      </c>
      <c r="H37" s="10" t="e">
        <f t="shared" si="22"/>
        <v>#VALUE!</v>
      </c>
      <c r="I37" s="10" t="e">
        <f t="shared" si="3"/>
        <v>#VALUE!</v>
      </c>
      <c r="J37" s="10" t="e">
        <f t="shared" si="23"/>
        <v>#VALUE!</v>
      </c>
      <c r="K37" s="10" t="e">
        <f t="shared" si="4"/>
        <v>#VALUE!</v>
      </c>
      <c r="L37" s="10" t="e">
        <f t="shared" si="5"/>
        <v>#VALUE!</v>
      </c>
      <c r="M37" s="10" t="e">
        <f t="shared" si="24"/>
        <v>#VALUE!</v>
      </c>
      <c r="O37" s="10" t="e">
        <f t="shared" si="25"/>
        <v>#VALUE!</v>
      </c>
      <c r="P37" s="10" t="e">
        <f t="shared" si="6"/>
        <v>#VALUE!</v>
      </c>
      <c r="Q37" s="10" t="e">
        <f t="shared" si="7"/>
        <v>#VALUE!</v>
      </c>
      <c r="R37" s="10" t="e">
        <f t="shared" si="26"/>
        <v>#VALUE!</v>
      </c>
      <c r="S37" s="10" t="e">
        <f t="shared" si="27"/>
        <v>#VALUE!</v>
      </c>
      <c r="T37" s="10" t="e">
        <f t="shared" si="62"/>
        <v>#VALUE!</v>
      </c>
      <c r="U37" s="10" t="e">
        <f t="shared" si="63"/>
        <v>#VALUE!</v>
      </c>
      <c r="V37" s="10" t="e">
        <f t="shared" si="8"/>
        <v>#VALUE!</v>
      </c>
      <c r="W37" s="10" t="e">
        <f t="shared" si="28"/>
        <v>#VALUE!</v>
      </c>
      <c r="Y37" s="10" t="e">
        <f t="shared" si="29"/>
        <v>#VALUE!</v>
      </c>
      <c r="Z37" s="11" t="e">
        <f t="shared" si="30"/>
        <v>#VALUE!</v>
      </c>
      <c r="AA37" s="10" t="e">
        <f t="shared" si="9"/>
        <v>#VALUE!</v>
      </c>
      <c r="AB37" s="10" t="e">
        <f t="shared" si="31"/>
        <v>#VALUE!</v>
      </c>
      <c r="AC37" s="10" t="e">
        <f t="shared" si="32"/>
        <v>#VALUE!</v>
      </c>
      <c r="AD37" s="10" t="e">
        <f t="shared" si="64"/>
        <v>#VALUE!</v>
      </c>
      <c r="AE37" s="10" t="e">
        <f t="shared" si="65"/>
        <v>#VALUE!</v>
      </c>
      <c r="AF37" s="10" t="e">
        <f t="shared" si="10"/>
        <v>#VALUE!</v>
      </c>
      <c r="AG37" s="10" t="e">
        <f t="shared" si="33"/>
        <v>#VALUE!</v>
      </c>
      <c r="AI37" s="13"/>
      <c r="AK37" s="10" t="e">
        <f t="shared" si="34"/>
        <v>#VALUE!</v>
      </c>
      <c r="AL37" s="10" t="e">
        <f t="shared" si="66"/>
        <v>#VALUE!</v>
      </c>
      <c r="AM37" s="10" t="e">
        <f t="shared" si="11"/>
        <v>#VALUE!</v>
      </c>
      <c r="AN37" s="10" t="e">
        <f t="shared" si="35"/>
        <v>#VALUE!</v>
      </c>
      <c r="AO37" s="10" t="e">
        <f t="shared" si="36"/>
        <v>#VALUE!</v>
      </c>
      <c r="AP37" s="10" t="e">
        <f t="shared" si="37"/>
        <v>#VALUE!</v>
      </c>
      <c r="AQ37" s="10" t="e">
        <f t="shared" si="67"/>
        <v>#VALUE!</v>
      </c>
      <c r="AR37" s="10" t="e">
        <f t="shared" si="12"/>
        <v>#VALUE!</v>
      </c>
      <c r="AS37" s="10" t="e">
        <f t="shared" si="68"/>
        <v>#VALUE!</v>
      </c>
      <c r="AU37" s="10" t="e">
        <f t="shared" si="38"/>
        <v>#VALUE!</v>
      </c>
      <c r="AV37" s="10" t="e">
        <f t="shared" si="69"/>
        <v>#VALUE!</v>
      </c>
      <c r="AW37" s="10" t="e">
        <f t="shared" si="13"/>
        <v>#VALUE!</v>
      </c>
      <c r="AX37" s="10" t="e">
        <f t="shared" si="39"/>
        <v>#VALUE!</v>
      </c>
      <c r="AY37" s="10" t="e">
        <f t="shared" si="40"/>
        <v>#VALUE!</v>
      </c>
      <c r="AZ37" s="10" t="e">
        <f t="shared" si="41"/>
        <v>#VALUE!</v>
      </c>
      <c r="BA37" s="10" t="e">
        <f t="shared" si="70"/>
        <v>#VALUE!</v>
      </c>
      <c r="BB37" s="10" t="e">
        <f t="shared" si="14"/>
        <v>#VALUE!</v>
      </c>
      <c r="BC37" s="10" t="e">
        <f t="shared" si="71"/>
        <v>#VALUE!</v>
      </c>
      <c r="BE37" s="10" t="e">
        <f t="shared" si="42"/>
        <v>#VALUE!</v>
      </c>
      <c r="BF37" s="10" t="e">
        <f t="shared" si="72"/>
        <v>#VALUE!</v>
      </c>
      <c r="BG37" s="10" t="e">
        <f t="shared" si="15"/>
        <v>#VALUE!</v>
      </c>
      <c r="BH37" s="10" t="e">
        <f t="shared" si="43"/>
        <v>#VALUE!</v>
      </c>
      <c r="BI37" s="10" t="e">
        <f t="shared" si="44"/>
        <v>#VALUE!</v>
      </c>
      <c r="BJ37" s="10" t="e">
        <f t="shared" si="45"/>
        <v>#VALUE!</v>
      </c>
      <c r="BK37" s="10" t="e">
        <f t="shared" si="73"/>
        <v>#VALUE!</v>
      </c>
      <c r="BL37" s="10" t="e">
        <f t="shared" si="16"/>
        <v>#VALUE!</v>
      </c>
      <c r="BM37" s="10" t="e">
        <f t="shared" si="74"/>
        <v>#VALUE!</v>
      </c>
      <c r="BP37" s="10" t="e">
        <f t="shared" si="46"/>
        <v>#VALUE!</v>
      </c>
      <c r="BQ37" s="10" t="e">
        <f t="shared" si="47"/>
        <v>#VALUE!</v>
      </c>
      <c r="BR37" s="10" t="e">
        <f t="shared" si="48"/>
        <v>#VALUE!</v>
      </c>
      <c r="BS37" s="10" t="e">
        <f t="shared" si="49"/>
        <v>#VALUE!</v>
      </c>
      <c r="BT37" s="10" t="e">
        <f t="shared" si="50"/>
        <v>#VALUE!</v>
      </c>
      <c r="BU37" s="10" t="e">
        <f t="shared" si="51"/>
        <v>#VALUE!</v>
      </c>
      <c r="BW37" s="10" t="e">
        <f t="shared" si="52"/>
        <v>#VALUE!</v>
      </c>
      <c r="BX37" s="10" t="e">
        <f t="shared" si="53"/>
        <v>#VALUE!</v>
      </c>
      <c r="BY37" s="10" t="e">
        <f t="shared" si="54"/>
        <v>#VALUE!</v>
      </c>
      <c r="BZ37" s="10" t="e">
        <f t="shared" si="55"/>
        <v>#VALUE!</v>
      </c>
      <c r="CA37" s="10" t="e">
        <f t="shared" si="56"/>
        <v>#VALUE!</v>
      </c>
      <c r="CB37" s="10" t="e">
        <f t="shared" si="57"/>
        <v>#VALUE!</v>
      </c>
      <c r="CD37" s="10" t="e">
        <f>MATCH(INDEX($BP$12:$BU$12,1,MATCH(BP37,$BP$15:$BU$15,0)),结果汇总!$AI$10:$AI$13,0)</f>
        <v>#VALUE!</v>
      </c>
      <c r="CE37" s="10" t="e">
        <f>MATCH(INDEX($BP$12:$BU$12,1,MATCH(BQ37,$BP$15:$BU$15,0)),结果汇总!$AI$10:$AI$13,0)</f>
        <v>#VALUE!</v>
      </c>
      <c r="CF37" s="10" t="e">
        <f>MATCH(INDEX($BP$12:$BU$12,1,MATCH(BR37,$BP$15:$BU$15,0)),结果汇总!$AI$10:$AI$13,0)</f>
        <v>#VALUE!</v>
      </c>
      <c r="CG37" s="10" t="e">
        <f>MATCH(INDEX($BP$12:$BU$12,1,MATCH(BS37,$BP$15:$BU$15,0)),结果汇总!$AI$10:$AI$13,0)</f>
        <v>#VALUE!</v>
      </c>
      <c r="CH37" s="10" t="e">
        <f>MATCH(INDEX($BP$12:$BU$12,1,MATCH(BT37,$BP$15:$BU$15,0)),结果汇总!$AI$10:$AI$13,0)</f>
        <v>#VALUE!</v>
      </c>
      <c r="CI37" s="10" t="e">
        <f>MATCH(INDEX($BP$12:$BU$12,1,MATCH(BU37,$BP$15:$BU$15,0)),结果汇总!$AI$10:$AI$13,0)</f>
        <v>#VALUE!</v>
      </c>
      <c r="CK37" s="10">
        <f t="shared" si="58"/>
        <v>0</v>
      </c>
      <c r="CL37" s="10">
        <f t="shared" si="58"/>
        <v>0</v>
      </c>
      <c r="CM37" s="10">
        <f t="shared" si="58"/>
        <v>0</v>
      </c>
      <c r="CN37" s="10">
        <f t="shared" si="58"/>
        <v>0</v>
      </c>
      <c r="CO37" s="10" t="e">
        <f t="shared" si="59"/>
        <v>#DIV/0!</v>
      </c>
      <c r="CP37" s="10" t="e">
        <f t="shared" si="59"/>
        <v>#DIV/0!</v>
      </c>
      <c r="CQ37" s="10" t="e">
        <f t="shared" si="59"/>
        <v>#DIV/0!</v>
      </c>
      <c r="CR37" s="10" t="e">
        <f t="shared" si="59"/>
        <v>#DIV/0!</v>
      </c>
      <c r="CS37" s="10">
        <f t="shared" si="60"/>
        <v>0</v>
      </c>
      <c r="CT37" s="10">
        <f t="shared" si="60"/>
        <v>0</v>
      </c>
      <c r="CU37" s="10">
        <f t="shared" si="60"/>
        <v>0</v>
      </c>
      <c r="CV37" s="10">
        <f t="shared" si="60"/>
        <v>0</v>
      </c>
      <c r="CW37" s="10">
        <f t="shared" si="61"/>
        <v>0</v>
      </c>
      <c r="CX37" s="10">
        <f t="shared" si="61"/>
        <v>0</v>
      </c>
      <c r="CY37" s="10">
        <f t="shared" si="61"/>
        <v>0</v>
      </c>
      <c r="CZ37" s="10">
        <f t="shared" si="61"/>
        <v>0</v>
      </c>
    </row>
    <row r="38" spans="4:104" x14ac:dyDescent="0.15">
      <c r="D38" s="10">
        <v>23</v>
      </c>
      <c r="E38" s="10" t="e">
        <f t="shared" si="21"/>
        <v>#VALUE!</v>
      </c>
      <c r="F38" s="10" t="e">
        <f t="shared" si="1"/>
        <v>#VALUE!</v>
      </c>
      <c r="G38" s="10" t="e">
        <f t="shared" si="2"/>
        <v>#VALUE!</v>
      </c>
      <c r="H38" s="10" t="e">
        <f t="shared" si="22"/>
        <v>#VALUE!</v>
      </c>
      <c r="I38" s="10" t="e">
        <f t="shared" si="3"/>
        <v>#VALUE!</v>
      </c>
      <c r="J38" s="10" t="e">
        <f t="shared" si="23"/>
        <v>#VALUE!</v>
      </c>
      <c r="K38" s="10" t="e">
        <f t="shared" si="4"/>
        <v>#VALUE!</v>
      </c>
      <c r="L38" s="10" t="e">
        <f t="shared" si="5"/>
        <v>#VALUE!</v>
      </c>
      <c r="M38" s="10" t="e">
        <f t="shared" si="24"/>
        <v>#VALUE!</v>
      </c>
      <c r="O38" s="10" t="e">
        <f t="shared" si="25"/>
        <v>#VALUE!</v>
      </c>
      <c r="P38" s="10" t="e">
        <f t="shared" si="6"/>
        <v>#VALUE!</v>
      </c>
      <c r="Q38" s="10" t="e">
        <f t="shared" si="7"/>
        <v>#VALUE!</v>
      </c>
      <c r="R38" s="10" t="e">
        <f t="shared" si="26"/>
        <v>#VALUE!</v>
      </c>
      <c r="S38" s="10" t="e">
        <f t="shared" si="27"/>
        <v>#VALUE!</v>
      </c>
      <c r="T38" s="10" t="e">
        <f t="shared" si="62"/>
        <v>#VALUE!</v>
      </c>
      <c r="U38" s="10" t="e">
        <f t="shared" si="63"/>
        <v>#VALUE!</v>
      </c>
      <c r="V38" s="10" t="e">
        <f t="shared" si="8"/>
        <v>#VALUE!</v>
      </c>
      <c r="W38" s="10" t="e">
        <f t="shared" si="28"/>
        <v>#VALUE!</v>
      </c>
      <c r="Y38" s="10" t="e">
        <f t="shared" si="29"/>
        <v>#VALUE!</v>
      </c>
      <c r="Z38" s="11" t="e">
        <f t="shared" si="30"/>
        <v>#VALUE!</v>
      </c>
      <c r="AA38" s="10" t="e">
        <f t="shared" si="9"/>
        <v>#VALUE!</v>
      </c>
      <c r="AB38" s="10" t="e">
        <f t="shared" si="31"/>
        <v>#VALUE!</v>
      </c>
      <c r="AC38" s="10" t="e">
        <f t="shared" si="32"/>
        <v>#VALUE!</v>
      </c>
      <c r="AD38" s="10" t="e">
        <f t="shared" si="64"/>
        <v>#VALUE!</v>
      </c>
      <c r="AE38" s="10" t="e">
        <f t="shared" si="65"/>
        <v>#VALUE!</v>
      </c>
      <c r="AF38" s="10" t="e">
        <f t="shared" si="10"/>
        <v>#VALUE!</v>
      </c>
      <c r="AG38" s="10" t="e">
        <f t="shared" si="33"/>
        <v>#VALUE!</v>
      </c>
      <c r="AI38" s="13"/>
      <c r="AK38" s="10" t="e">
        <f t="shared" si="34"/>
        <v>#VALUE!</v>
      </c>
      <c r="AL38" s="10" t="e">
        <f t="shared" si="66"/>
        <v>#VALUE!</v>
      </c>
      <c r="AM38" s="10" t="e">
        <f t="shared" si="11"/>
        <v>#VALUE!</v>
      </c>
      <c r="AN38" s="10" t="e">
        <f t="shared" si="35"/>
        <v>#VALUE!</v>
      </c>
      <c r="AO38" s="10" t="e">
        <f t="shared" si="36"/>
        <v>#VALUE!</v>
      </c>
      <c r="AP38" s="10" t="e">
        <f t="shared" si="37"/>
        <v>#VALUE!</v>
      </c>
      <c r="AQ38" s="10" t="e">
        <f t="shared" si="67"/>
        <v>#VALUE!</v>
      </c>
      <c r="AR38" s="10" t="e">
        <f t="shared" si="12"/>
        <v>#VALUE!</v>
      </c>
      <c r="AS38" s="10" t="e">
        <f t="shared" si="68"/>
        <v>#VALUE!</v>
      </c>
      <c r="AU38" s="10" t="e">
        <f t="shared" si="38"/>
        <v>#VALUE!</v>
      </c>
      <c r="AV38" s="10" t="e">
        <f t="shared" si="69"/>
        <v>#VALUE!</v>
      </c>
      <c r="AW38" s="10" t="e">
        <f t="shared" si="13"/>
        <v>#VALUE!</v>
      </c>
      <c r="AX38" s="10" t="e">
        <f t="shared" si="39"/>
        <v>#VALUE!</v>
      </c>
      <c r="AY38" s="10" t="e">
        <f t="shared" si="40"/>
        <v>#VALUE!</v>
      </c>
      <c r="AZ38" s="10" t="e">
        <f t="shared" si="41"/>
        <v>#VALUE!</v>
      </c>
      <c r="BA38" s="10" t="e">
        <f t="shared" si="70"/>
        <v>#VALUE!</v>
      </c>
      <c r="BB38" s="10" t="e">
        <f t="shared" si="14"/>
        <v>#VALUE!</v>
      </c>
      <c r="BC38" s="10" t="e">
        <f t="shared" si="71"/>
        <v>#VALUE!</v>
      </c>
      <c r="BE38" s="10" t="e">
        <f t="shared" si="42"/>
        <v>#VALUE!</v>
      </c>
      <c r="BF38" s="10" t="e">
        <f t="shared" si="72"/>
        <v>#VALUE!</v>
      </c>
      <c r="BG38" s="10" t="e">
        <f t="shared" si="15"/>
        <v>#VALUE!</v>
      </c>
      <c r="BH38" s="10" t="e">
        <f t="shared" si="43"/>
        <v>#VALUE!</v>
      </c>
      <c r="BI38" s="10" t="e">
        <f t="shared" si="44"/>
        <v>#VALUE!</v>
      </c>
      <c r="BJ38" s="10" t="e">
        <f t="shared" si="45"/>
        <v>#VALUE!</v>
      </c>
      <c r="BK38" s="10" t="e">
        <f t="shared" si="73"/>
        <v>#VALUE!</v>
      </c>
      <c r="BL38" s="10" t="e">
        <f t="shared" si="16"/>
        <v>#VALUE!</v>
      </c>
      <c r="BM38" s="10" t="e">
        <f t="shared" si="74"/>
        <v>#VALUE!</v>
      </c>
      <c r="BP38" s="10" t="e">
        <f t="shared" si="46"/>
        <v>#VALUE!</v>
      </c>
      <c r="BQ38" s="10" t="e">
        <f t="shared" si="47"/>
        <v>#VALUE!</v>
      </c>
      <c r="BR38" s="10" t="e">
        <f t="shared" si="48"/>
        <v>#VALUE!</v>
      </c>
      <c r="BS38" s="10" t="e">
        <f t="shared" si="49"/>
        <v>#VALUE!</v>
      </c>
      <c r="BT38" s="10" t="e">
        <f t="shared" si="50"/>
        <v>#VALUE!</v>
      </c>
      <c r="BU38" s="10" t="e">
        <f t="shared" si="51"/>
        <v>#VALUE!</v>
      </c>
      <c r="BW38" s="10" t="e">
        <f t="shared" si="52"/>
        <v>#VALUE!</v>
      </c>
      <c r="BX38" s="10" t="e">
        <f t="shared" si="53"/>
        <v>#VALUE!</v>
      </c>
      <c r="BY38" s="10" t="e">
        <f t="shared" si="54"/>
        <v>#VALUE!</v>
      </c>
      <c r="BZ38" s="10" t="e">
        <f t="shared" si="55"/>
        <v>#VALUE!</v>
      </c>
      <c r="CA38" s="10" t="e">
        <f t="shared" si="56"/>
        <v>#VALUE!</v>
      </c>
      <c r="CB38" s="10" t="e">
        <f t="shared" si="57"/>
        <v>#VALUE!</v>
      </c>
      <c r="CD38" s="10" t="e">
        <f>MATCH(INDEX($BP$12:$BU$12,1,MATCH(BP38,$BP$15:$BU$15,0)),结果汇总!$AI$10:$AI$13,0)</f>
        <v>#VALUE!</v>
      </c>
      <c r="CE38" s="10" t="e">
        <f>MATCH(INDEX($BP$12:$BU$12,1,MATCH(BQ38,$BP$15:$BU$15,0)),结果汇总!$AI$10:$AI$13,0)</f>
        <v>#VALUE!</v>
      </c>
      <c r="CF38" s="10" t="e">
        <f>MATCH(INDEX($BP$12:$BU$12,1,MATCH(BR38,$BP$15:$BU$15,0)),结果汇总!$AI$10:$AI$13,0)</f>
        <v>#VALUE!</v>
      </c>
      <c r="CG38" s="10" t="e">
        <f>MATCH(INDEX($BP$12:$BU$12,1,MATCH(BS38,$BP$15:$BU$15,0)),结果汇总!$AI$10:$AI$13,0)</f>
        <v>#VALUE!</v>
      </c>
      <c r="CH38" s="10" t="e">
        <f>MATCH(INDEX($BP$12:$BU$12,1,MATCH(BT38,$BP$15:$BU$15,0)),结果汇总!$AI$10:$AI$13,0)</f>
        <v>#VALUE!</v>
      </c>
      <c r="CI38" s="10" t="e">
        <f>MATCH(INDEX($BP$12:$BU$12,1,MATCH(BU38,$BP$15:$BU$15,0)),结果汇总!$AI$10:$AI$13,0)</f>
        <v>#VALUE!</v>
      </c>
      <c r="CK38" s="10">
        <f t="shared" si="58"/>
        <v>0</v>
      </c>
      <c r="CL38" s="10">
        <f t="shared" si="58"/>
        <v>0</v>
      </c>
      <c r="CM38" s="10">
        <f t="shared" si="58"/>
        <v>0</v>
      </c>
      <c r="CN38" s="10">
        <f t="shared" si="58"/>
        <v>0</v>
      </c>
      <c r="CO38" s="10" t="e">
        <f t="shared" si="59"/>
        <v>#DIV/0!</v>
      </c>
      <c r="CP38" s="10" t="e">
        <f t="shared" si="59"/>
        <v>#DIV/0!</v>
      </c>
      <c r="CQ38" s="10" t="e">
        <f t="shared" si="59"/>
        <v>#DIV/0!</v>
      </c>
      <c r="CR38" s="10" t="e">
        <f t="shared" si="59"/>
        <v>#DIV/0!</v>
      </c>
      <c r="CS38" s="10">
        <f t="shared" si="60"/>
        <v>0</v>
      </c>
      <c r="CT38" s="10">
        <f t="shared" si="60"/>
        <v>0</v>
      </c>
      <c r="CU38" s="10">
        <f t="shared" si="60"/>
        <v>0</v>
      </c>
      <c r="CV38" s="10">
        <f t="shared" si="60"/>
        <v>0</v>
      </c>
      <c r="CW38" s="10">
        <f t="shared" si="61"/>
        <v>0</v>
      </c>
      <c r="CX38" s="10">
        <f t="shared" si="61"/>
        <v>0</v>
      </c>
      <c r="CY38" s="10">
        <f t="shared" si="61"/>
        <v>0</v>
      </c>
      <c r="CZ38" s="10">
        <f t="shared" si="61"/>
        <v>0</v>
      </c>
    </row>
    <row r="39" spans="4:104" x14ac:dyDescent="0.15">
      <c r="D39" s="10">
        <v>24</v>
      </c>
      <c r="E39" s="10" t="e">
        <f t="shared" si="21"/>
        <v>#VALUE!</v>
      </c>
      <c r="F39" s="10" t="e">
        <f t="shared" si="1"/>
        <v>#VALUE!</v>
      </c>
      <c r="G39" s="10" t="e">
        <f t="shared" si="2"/>
        <v>#VALUE!</v>
      </c>
      <c r="H39" s="10" t="e">
        <f t="shared" si="22"/>
        <v>#VALUE!</v>
      </c>
      <c r="I39" s="10" t="e">
        <f t="shared" si="3"/>
        <v>#VALUE!</v>
      </c>
      <c r="J39" s="10" t="e">
        <f t="shared" si="23"/>
        <v>#VALUE!</v>
      </c>
      <c r="K39" s="10" t="e">
        <f t="shared" si="4"/>
        <v>#VALUE!</v>
      </c>
      <c r="L39" s="10" t="e">
        <f t="shared" si="5"/>
        <v>#VALUE!</v>
      </c>
      <c r="M39" s="10" t="e">
        <f t="shared" si="24"/>
        <v>#VALUE!</v>
      </c>
      <c r="O39" s="10" t="e">
        <f t="shared" si="25"/>
        <v>#VALUE!</v>
      </c>
      <c r="P39" s="10" t="e">
        <f t="shared" si="6"/>
        <v>#VALUE!</v>
      </c>
      <c r="Q39" s="10" t="e">
        <f t="shared" si="7"/>
        <v>#VALUE!</v>
      </c>
      <c r="R39" s="10" t="e">
        <f t="shared" si="26"/>
        <v>#VALUE!</v>
      </c>
      <c r="S39" s="10" t="e">
        <f t="shared" si="27"/>
        <v>#VALUE!</v>
      </c>
      <c r="T39" s="10" t="e">
        <f t="shared" si="62"/>
        <v>#VALUE!</v>
      </c>
      <c r="U39" s="10" t="e">
        <f t="shared" si="63"/>
        <v>#VALUE!</v>
      </c>
      <c r="V39" s="10" t="e">
        <f t="shared" si="8"/>
        <v>#VALUE!</v>
      </c>
      <c r="W39" s="10" t="e">
        <f t="shared" si="28"/>
        <v>#VALUE!</v>
      </c>
      <c r="Y39" s="10" t="e">
        <f t="shared" si="29"/>
        <v>#VALUE!</v>
      </c>
      <c r="Z39" s="11" t="e">
        <f t="shared" si="30"/>
        <v>#VALUE!</v>
      </c>
      <c r="AA39" s="10" t="e">
        <f t="shared" si="9"/>
        <v>#VALUE!</v>
      </c>
      <c r="AB39" s="10" t="e">
        <f t="shared" si="31"/>
        <v>#VALUE!</v>
      </c>
      <c r="AC39" s="10" t="e">
        <f t="shared" si="32"/>
        <v>#VALUE!</v>
      </c>
      <c r="AD39" s="10" t="e">
        <f t="shared" si="64"/>
        <v>#VALUE!</v>
      </c>
      <c r="AE39" s="10" t="e">
        <f t="shared" si="65"/>
        <v>#VALUE!</v>
      </c>
      <c r="AF39" s="10" t="e">
        <f t="shared" si="10"/>
        <v>#VALUE!</v>
      </c>
      <c r="AG39" s="10" t="e">
        <f t="shared" si="33"/>
        <v>#VALUE!</v>
      </c>
      <c r="AI39" s="13"/>
      <c r="AK39" s="10" t="e">
        <f t="shared" si="34"/>
        <v>#VALUE!</v>
      </c>
      <c r="AL39" s="10" t="e">
        <f t="shared" si="66"/>
        <v>#VALUE!</v>
      </c>
      <c r="AM39" s="10" t="e">
        <f t="shared" si="11"/>
        <v>#VALUE!</v>
      </c>
      <c r="AN39" s="10" t="e">
        <f t="shared" si="35"/>
        <v>#VALUE!</v>
      </c>
      <c r="AO39" s="10" t="e">
        <f t="shared" si="36"/>
        <v>#VALUE!</v>
      </c>
      <c r="AP39" s="10" t="e">
        <f t="shared" si="37"/>
        <v>#VALUE!</v>
      </c>
      <c r="AQ39" s="10" t="e">
        <f t="shared" si="67"/>
        <v>#VALUE!</v>
      </c>
      <c r="AR39" s="10" t="e">
        <f t="shared" si="12"/>
        <v>#VALUE!</v>
      </c>
      <c r="AS39" s="10" t="e">
        <f t="shared" si="68"/>
        <v>#VALUE!</v>
      </c>
      <c r="AU39" s="10" t="e">
        <f t="shared" si="38"/>
        <v>#VALUE!</v>
      </c>
      <c r="AV39" s="10" t="e">
        <f t="shared" si="69"/>
        <v>#VALUE!</v>
      </c>
      <c r="AW39" s="10" t="e">
        <f t="shared" si="13"/>
        <v>#VALUE!</v>
      </c>
      <c r="AX39" s="10" t="e">
        <f t="shared" si="39"/>
        <v>#VALUE!</v>
      </c>
      <c r="AY39" s="10" t="e">
        <f t="shared" si="40"/>
        <v>#VALUE!</v>
      </c>
      <c r="AZ39" s="10" t="e">
        <f t="shared" si="41"/>
        <v>#VALUE!</v>
      </c>
      <c r="BA39" s="10" t="e">
        <f t="shared" si="70"/>
        <v>#VALUE!</v>
      </c>
      <c r="BB39" s="10" t="e">
        <f t="shared" si="14"/>
        <v>#VALUE!</v>
      </c>
      <c r="BC39" s="10" t="e">
        <f t="shared" si="71"/>
        <v>#VALUE!</v>
      </c>
      <c r="BE39" s="10" t="e">
        <f t="shared" si="42"/>
        <v>#VALUE!</v>
      </c>
      <c r="BF39" s="10" t="e">
        <f t="shared" si="72"/>
        <v>#VALUE!</v>
      </c>
      <c r="BG39" s="10" t="e">
        <f t="shared" si="15"/>
        <v>#VALUE!</v>
      </c>
      <c r="BH39" s="10" t="e">
        <f t="shared" si="43"/>
        <v>#VALUE!</v>
      </c>
      <c r="BI39" s="10" t="e">
        <f t="shared" si="44"/>
        <v>#VALUE!</v>
      </c>
      <c r="BJ39" s="10" t="e">
        <f t="shared" si="45"/>
        <v>#VALUE!</v>
      </c>
      <c r="BK39" s="10" t="e">
        <f t="shared" si="73"/>
        <v>#VALUE!</v>
      </c>
      <c r="BL39" s="10" t="e">
        <f t="shared" si="16"/>
        <v>#VALUE!</v>
      </c>
      <c r="BM39" s="10" t="e">
        <f t="shared" si="74"/>
        <v>#VALUE!</v>
      </c>
      <c r="BP39" s="10" t="e">
        <f t="shared" si="46"/>
        <v>#VALUE!</v>
      </c>
      <c r="BQ39" s="10" t="e">
        <f t="shared" si="47"/>
        <v>#VALUE!</v>
      </c>
      <c r="BR39" s="10" t="e">
        <f t="shared" si="48"/>
        <v>#VALUE!</v>
      </c>
      <c r="BS39" s="10" t="e">
        <f t="shared" si="49"/>
        <v>#VALUE!</v>
      </c>
      <c r="BT39" s="10" t="e">
        <f t="shared" si="50"/>
        <v>#VALUE!</v>
      </c>
      <c r="BU39" s="10" t="e">
        <f t="shared" si="51"/>
        <v>#VALUE!</v>
      </c>
      <c r="BW39" s="10" t="e">
        <f t="shared" si="52"/>
        <v>#VALUE!</v>
      </c>
      <c r="BX39" s="10" t="e">
        <f t="shared" si="53"/>
        <v>#VALUE!</v>
      </c>
      <c r="BY39" s="10" t="e">
        <f t="shared" si="54"/>
        <v>#VALUE!</v>
      </c>
      <c r="BZ39" s="10" t="e">
        <f t="shared" si="55"/>
        <v>#VALUE!</v>
      </c>
      <c r="CA39" s="10" t="e">
        <f t="shared" si="56"/>
        <v>#VALUE!</v>
      </c>
      <c r="CB39" s="10" t="e">
        <f t="shared" si="57"/>
        <v>#VALUE!</v>
      </c>
      <c r="CD39" s="10" t="e">
        <f>MATCH(INDEX($BP$12:$BU$12,1,MATCH(BP39,$BP$15:$BU$15,0)),结果汇总!$AI$10:$AI$13,0)</f>
        <v>#VALUE!</v>
      </c>
      <c r="CE39" s="10" t="e">
        <f>MATCH(INDEX($BP$12:$BU$12,1,MATCH(BQ39,$BP$15:$BU$15,0)),结果汇总!$AI$10:$AI$13,0)</f>
        <v>#VALUE!</v>
      </c>
      <c r="CF39" s="10" t="e">
        <f>MATCH(INDEX($BP$12:$BU$12,1,MATCH(BR39,$BP$15:$BU$15,0)),结果汇总!$AI$10:$AI$13,0)</f>
        <v>#VALUE!</v>
      </c>
      <c r="CG39" s="10" t="e">
        <f>MATCH(INDEX($BP$12:$BU$12,1,MATCH(BS39,$BP$15:$BU$15,0)),结果汇总!$AI$10:$AI$13,0)</f>
        <v>#VALUE!</v>
      </c>
      <c r="CH39" s="10" t="e">
        <f>MATCH(INDEX($BP$12:$BU$12,1,MATCH(BT39,$BP$15:$BU$15,0)),结果汇总!$AI$10:$AI$13,0)</f>
        <v>#VALUE!</v>
      </c>
      <c r="CI39" s="10" t="e">
        <f>MATCH(INDEX($BP$12:$BU$12,1,MATCH(BU39,$BP$15:$BU$15,0)),结果汇总!$AI$10:$AI$13,0)</f>
        <v>#VALUE!</v>
      </c>
      <c r="CK39" s="10">
        <f t="shared" si="58"/>
        <v>0</v>
      </c>
      <c r="CL39" s="10">
        <f t="shared" si="58"/>
        <v>0</v>
      </c>
      <c r="CM39" s="10">
        <f t="shared" si="58"/>
        <v>0</v>
      </c>
      <c r="CN39" s="10">
        <f t="shared" si="58"/>
        <v>0</v>
      </c>
      <c r="CO39" s="10" t="e">
        <f t="shared" si="59"/>
        <v>#DIV/0!</v>
      </c>
      <c r="CP39" s="10" t="e">
        <f t="shared" si="59"/>
        <v>#DIV/0!</v>
      </c>
      <c r="CQ39" s="10" t="e">
        <f t="shared" si="59"/>
        <v>#DIV/0!</v>
      </c>
      <c r="CR39" s="10" t="e">
        <f t="shared" si="59"/>
        <v>#DIV/0!</v>
      </c>
      <c r="CS39" s="10">
        <f t="shared" si="60"/>
        <v>0</v>
      </c>
      <c r="CT39" s="10">
        <f t="shared" si="60"/>
        <v>0</v>
      </c>
      <c r="CU39" s="10">
        <f t="shared" si="60"/>
        <v>0</v>
      </c>
      <c r="CV39" s="10">
        <f t="shared" si="60"/>
        <v>0</v>
      </c>
      <c r="CW39" s="10">
        <f t="shared" si="61"/>
        <v>0</v>
      </c>
      <c r="CX39" s="10">
        <f t="shared" si="61"/>
        <v>0</v>
      </c>
      <c r="CY39" s="10">
        <f t="shared" si="61"/>
        <v>0</v>
      </c>
      <c r="CZ39" s="10">
        <f t="shared" si="61"/>
        <v>0</v>
      </c>
    </row>
    <row r="40" spans="4:104" x14ac:dyDescent="0.15">
      <c r="D40" s="10">
        <v>25</v>
      </c>
      <c r="E40" s="10" t="e">
        <f t="shared" si="21"/>
        <v>#VALUE!</v>
      </c>
      <c r="F40" s="10" t="e">
        <f t="shared" si="1"/>
        <v>#VALUE!</v>
      </c>
      <c r="G40" s="10" t="e">
        <f t="shared" si="2"/>
        <v>#VALUE!</v>
      </c>
      <c r="H40" s="10" t="e">
        <f t="shared" si="22"/>
        <v>#VALUE!</v>
      </c>
      <c r="I40" s="10" t="e">
        <f t="shared" si="3"/>
        <v>#VALUE!</v>
      </c>
      <c r="J40" s="10" t="e">
        <f t="shared" si="23"/>
        <v>#VALUE!</v>
      </c>
      <c r="K40" s="10" t="e">
        <f t="shared" si="4"/>
        <v>#VALUE!</v>
      </c>
      <c r="L40" s="10" t="e">
        <f t="shared" si="5"/>
        <v>#VALUE!</v>
      </c>
      <c r="M40" s="10" t="e">
        <f t="shared" si="24"/>
        <v>#VALUE!</v>
      </c>
      <c r="O40" s="10" t="e">
        <f t="shared" si="25"/>
        <v>#VALUE!</v>
      </c>
      <c r="P40" s="10" t="e">
        <f t="shared" si="6"/>
        <v>#VALUE!</v>
      </c>
      <c r="Q40" s="10" t="e">
        <f t="shared" si="7"/>
        <v>#VALUE!</v>
      </c>
      <c r="R40" s="10" t="e">
        <f t="shared" si="26"/>
        <v>#VALUE!</v>
      </c>
      <c r="S40" s="10" t="e">
        <f t="shared" si="27"/>
        <v>#VALUE!</v>
      </c>
      <c r="T40" s="10" t="e">
        <f t="shared" si="62"/>
        <v>#VALUE!</v>
      </c>
      <c r="U40" s="10" t="e">
        <f t="shared" si="63"/>
        <v>#VALUE!</v>
      </c>
      <c r="V40" s="10" t="e">
        <f t="shared" si="8"/>
        <v>#VALUE!</v>
      </c>
      <c r="W40" s="10" t="e">
        <f t="shared" si="28"/>
        <v>#VALUE!</v>
      </c>
      <c r="Y40" s="10" t="e">
        <f t="shared" si="29"/>
        <v>#VALUE!</v>
      </c>
      <c r="Z40" s="11" t="e">
        <f t="shared" si="30"/>
        <v>#VALUE!</v>
      </c>
      <c r="AA40" s="10" t="e">
        <f t="shared" si="9"/>
        <v>#VALUE!</v>
      </c>
      <c r="AB40" s="10" t="e">
        <f t="shared" si="31"/>
        <v>#VALUE!</v>
      </c>
      <c r="AC40" s="10" t="e">
        <f t="shared" si="32"/>
        <v>#VALUE!</v>
      </c>
      <c r="AD40" s="10" t="e">
        <f t="shared" si="64"/>
        <v>#VALUE!</v>
      </c>
      <c r="AE40" s="10" t="e">
        <f t="shared" si="65"/>
        <v>#VALUE!</v>
      </c>
      <c r="AF40" s="10" t="e">
        <f t="shared" si="10"/>
        <v>#VALUE!</v>
      </c>
      <c r="AG40" s="10" t="e">
        <f t="shared" si="33"/>
        <v>#VALUE!</v>
      </c>
      <c r="AI40" s="13"/>
      <c r="AK40" s="10" t="e">
        <f t="shared" si="34"/>
        <v>#VALUE!</v>
      </c>
      <c r="AL40" s="10" t="e">
        <f t="shared" si="66"/>
        <v>#VALUE!</v>
      </c>
      <c r="AM40" s="10" t="e">
        <f t="shared" si="11"/>
        <v>#VALUE!</v>
      </c>
      <c r="AN40" s="10" t="e">
        <f t="shared" si="35"/>
        <v>#VALUE!</v>
      </c>
      <c r="AO40" s="10" t="e">
        <f t="shared" si="36"/>
        <v>#VALUE!</v>
      </c>
      <c r="AP40" s="10" t="e">
        <f t="shared" si="37"/>
        <v>#VALUE!</v>
      </c>
      <c r="AQ40" s="10" t="e">
        <f t="shared" si="67"/>
        <v>#VALUE!</v>
      </c>
      <c r="AR40" s="10" t="e">
        <f t="shared" si="12"/>
        <v>#VALUE!</v>
      </c>
      <c r="AS40" s="10" t="e">
        <f t="shared" si="68"/>
        <v>#VALUE!</v>
      </c>
      <c r="AU40" s="10" t="e">
        <f t="shared" si="38"/>
        <v>#VALUE!</v>
      </c>
      <c r="AV40" s="10" t="e">
        <f t="shared" si="69"/>
        <v>#VALUE!</v>
      </c>
      <c r="AW40" s="10" t="e">
        <f t="shared" si="13"/>
        <v>#VALUE!</v>
      </c>
      <c r="AX40" s="10" t="e">
        <f t="shared" si="39"/>
        <v>#VALUE!</v>
      </c>
      <c r="AY40" s="10" t="e">
        <f t="shared" si="40"/>
        <v>#VALUE!</v>
      </c>
      <c r="AZ40" s="10" t="e">
        <f t="shared" si="41"/>
        <v>#VALUE!</v>
      </c>
      <c r="BA40" s="10" t="e">
        <f t="shared" si="70"/>
        <v>#VALUE!</v>
      </c>
      <c r="BB40" s="10" t="e">
        <f t="shared" si="14"/>
        <v>#VALUE!</v>
      </c>
      <c r="BC40" s="10" t="e">
        <f t="shared" si="71"/>
        <v>#VALUE!</v>
      </c>
      <c r="BE40" s="10" t="e">
        <f t="shared" si="42"/>
        <v>#VALUE!</v>
      </c>
      <c r="BF40" s="10" t="e">
        <f t="shared" si="72"/>
        <v>#VALUE!</v>
      </c>
      <c r="BG40" s="10" t="e">
        <f t="shared" si="15"/>
        <v>#VALUE!</v>
      </c>
      <c r="BH40" s="10" t="e">
        <f t="shared" si="43"/>
        <v>#VALUE!</v>
      </c>
      <c r="BI40" s="10" t="e">
        <f t="shared" si="44"/>
        <v>#VALUE!</v>
      </c>
      <c r="BJ40" s="10" t="e">
        <f t="shared" si="45"/>
        <v>#VALUE!</v>
      </c>
      <c r="BK40" s="10" t="e">
        <f t="shared" si="73"/>
        <v>#VALUE!</v>
      </c>
      <c r="BL40" s="10" t="e">
        <f t="shared" si="16"/>
        <v>#VALUE!</v>
      </c>
      <c r="BM40" s="10" t="e">
        <f t="shared" si="74"/>
        <v>#VALUE!</v>
      </c>
      <c r="BP40" s="10" t="e">
        <f t="shared" si="46"/>
        <v>#VALUE!</v>
      </c>
      <c r="BQ40" s="10" t="e">
        <f t="shared" si="47"/>
        <v>#VALUE!</v>
      </c>
      <c r="BR40" s="10" t="e">
        <f t="shared" si="48"/>
        <v>#VALUE!</v>
      </c>
      <c r="BS40" s="10" t="e">
        <f t="shared" si="49"/>
        <v>#VALUE!</v>
      </c>
      <c r="BT40" s="10" t="e">
        <f t="shared" si="50"/>
        <v>#VALUE!</v>
      </c>
      <c r="BU40" s="10" t="e">
        <f t="shared" si="51"/>
        <v>#VALUE!</v>
      </c>
      <c r="BW40" s="10" t="e">
        <f t="shared" si="52"/>
        <v>#VALUE!</v>
      </c>
      <c r="BX40" s="10" t="e">
        <f t="shared" si="53"/>
        <v>#VALUE!</v>
      </c>
      <c r="BY40" s="10" t="e">
        <f t="shared" si="54"/>
        <v>#VALUE!</v>
      </c>
      <c r="BZ40" s="10" t="e">
        <f t="shared" si="55"/>
        <v>#VALUE!</v>
      </c>
      <c r="CA40" s="10" t="e">
        <f t="shared" si="56"/>
        <v>#VALUE!</v>
      </c>
      <c r="CB40" s="10" t="e">
        <f t="shared" si="57"/>
        <v>#VALUE!</v>
      </c>
      <c r="CD40" s="10" t="e">
        <f>MATCH(INDEX($BP$12:$BU$12,1,MATCH(BP40,$BP$15:$BU$15,0)),结果汇总!$AI$10:$AI$13,0)</f>
        <v>#VALUE!</v>
      </c>
      <c r="CE40" s="10" t="e">
        <f>MATCH(INDEX($BP$12:$BU$12,1,MATCH(BQ40,$BP$15:$BU$15,0)),结果汇总!$AI$10:$AI$13,0)</f>
        <v>#VALUE!</v>
      </c>
      <c r="CF40" s="10" t="e">
        <f>MATCH(INDEX($BP$12:$BU$12,1,MATCH(BR40,$BP$15:$BU$15,0)),结果汇总!$AI$10:$AI$13,0)</f>
        <v>#VALUE!</v>
      </c>
      <c r="CG40" s="10" t="e">
        <f>MATCH(INDEX($BP$12:$BU$12,1,MATCH(BS40,$BP$15:$BU$15,0)),结果汇总!$AI$10:$AI$13,0)</f>
        <v>#VALUE!</v>
      </c>
      <c r="CH40" s="10" t="e">
        <f>MATCH(INDEX($BP$12:$BU$12,1,MATCH(BT40,$BP$15:$BU$15,0)),结果汇总!$AI$10:$AI$13,0)</f>
        <v>#VALUE!</v>
      </c>
      <c r="CI40" s="10" t="e">
        <f>MATCH(INDEX($BP$12:$BU$12,1,MATCH(BU40,$BP$15:$BU$15,0)),结果汇总!$AI$10:$AI$13,0)</f>
        <v>#VALUE!</v>
      </c>
      <c r="CK40" s="10">
        <f t="shared" si="58"/>
        <v>0</v>
      </c>
      <c r="CL40" s="10">
        <f t="shared" si="58"/>
        <v>0</v>
      </c>
      <c r="CM40" s="10">
        <f t="shared" si="58"/>
        <v>0</v>
      </c>
      <c r="CN40" s="10">
        <f t="shared" si="58"/>
        <v>0</v>
      </c>
      <c r="CO40" s="10" t="e">
        <f t="shared" si="59"/>
        <v>#DIV/0!</v>
      </c>
      <c r="CP40" s="10" t="e">
        <f t="shared" si="59"/>
        <v>#DIV/0!</v>
      </c>
      <c r="CQ40" s="10" t="e">
        <f t="shared" si="59"/>
        <v>#DIV/0!</v>
      </c>
      <c r="CR40" s="10" t="e">
        <f t="shared" si="59"/>
        <v>#DIV/0!</v>
      </c>
      <c r="CS40" s="10">
        <f t="shared" si="60"/>
        <v>0</v>
      </c>
      <c r="CT40" s="10">
        <f t="shared" si="60"/>
        <v>0</v>
      </c>
      <c r="CU40" s="10">
        <f t="shared" si="60"/>
        <v>0</v>
      </c>
      <c r="CV40" s="10">
        <f t="shared" si="60"/>
        <v>0</v>
      </c>
      <c r="CW40" s="10">
        <f t="shared" si="61"/>
        <v>0</v>
      </c>
      <c r="CX40" s="10">
        <f t="shared" si="61"/>
        <v>0</v>
      </c>
      <c r="CY40" s="10">
        <f t="shared" si="61"/>
        <v>0</v>
      </c>
      <c r="CZ40" s="10">
        <f t="shared" si="61"/>
        <v>0</v>
      </c>
    </row>
    <row r="41" spans="4:104" x14ac:dyDescent="0.15">
      <c r="D41" s="10">
        <v>26</v>
      </c>
      <c r="E41" s="10" t="e">
        <f t="shared" si="21"/>
        <v>#VALUE!</v>
      </c>
      <c r="F41" s="10" t="e">
        <f t="shared" si="1"/>
        <v>#VALUE!</v>
      </c>
      <c r="G41" s="10" t="e">
        <f t="shared" si="2"/>
        <v>#VALUE!</v>
      </c>
      <c r="H41" s="10" t="e">
        <f t="shared" si="22"/>
        <v>#VALUE!</v>
      </c>
      <c r="I41" s="10" t="e">
        <f t="shared" si="3"/>
        <v>#VALUE!</v>
      </c>
      <c r="J41" s="10" t="e">
        <f t="shared" si="23"/>
        <v>#VALUE!</v>
      </c>
      <c r="K41" s="10" t="e">
        <f t="shared" si="4"/>
        <v>#VALUE!</v>
      </c>
      <c r="L41" s="10" t="e">
        <f t="shared" si="5"/>
        <v>#VALUE!</v>
      </c>
      <c r="M41" s="10" t="e">
        <f t="shared" si="24"/>
        <v>#VALUE!</v>
      </c>
      <c r="O41" s="10" t="e">
        <f t="shared" si="25"/>
        <v>#VALUE!</v>
      </c>
      <c r="P41" s="10" t="e">
        <f t="shared" si="6"/>
        <v>#VALUE!</v>
      </c>
      <c r="Q41" s="10" t="e">
        <f t="shared" si="7"/>
        <v>#VALUE!</v>
      </c>
      <c r="R41" s="10" t="e">
        <f t="shared" si="26"/>
        <v>#VALUE!</v>
      </c>
      <c r="S41" s="10" t="e">
        <f t="shared" si="27"/>
        <v>#VALUE!</v>
      </c>
      <c r="T41" s="10" t="e">
        <f t="shared" si="62"/>
        <v>#VALUE!</v>
      </c>
      <c r="U41" s="10" t="e">
        <f t="shared" si="63"/>
        <v>#VALUE!</v>
      </c>
      <c r="V41" s="10" t="e">
        <f t="shared" si="8"/>
        <v>#VALUE!</v>
      </c>
      <c r="W41" s="10" t="e">
        <f t="shared" si="28"/>
        <v>#VALUE!</v>
      </c>
      <c r="Y41" s="10" t="e">
        <f t="shared" si="29"/>
        <v>#VALUE!</v>
      </c>
      <c r="Z41" s="11" t="e">
        <f t="shared" si="30"/>
        <v>#VALUE!</v>
      </c>
      <c r="AA41" s="10" t="e">
        <f t="shared" si="9"/>
        <v>#VALUE!</v>
      </c>
      <c r="AB41" s="10" t="e">
        <f t="shared" si="31"/>
        <v>#VALUE!</v>
      </c>
      <c r="AC41" s="10" t="e">
        <f t="shared" si="32"/>
        <v>#VALUE!</v>
      </c>
      <c r="AD41" s="10" t="e">
        <f t="shared" si="64"/>
        <v>#VALUE!</v>
      </c>
      <c r="AE41" s="10" t="e">
        <f t="shared" si="65"/>
        <v>#VALUE!</v>
      </c>
      <c r="AF41" s="10" t="e">
        <f t="shared" si="10"/>
        <v>#VALUE!</v>
      </c>
      <c r="AG41" s="10" t="e">
        <f t="shared" si="33"/>
        <v>#VALUE!</v>
      </c>
      <c r="AI41" s="13"/>
      <c r="AK41" s="10" t="e">
        <f t="shared" si="34"/>
        <v>#VALUE!</v>
      </c>
      <c r="AL41" s="10" t="e">
        <f t="shared" si="66"/>
        <v>#VALUE!</v>
      </c>
      <c r="AM41" s="10" t="e">
        <f t="shared" si="11"/>
        <v>#VALUE!</v>
      </c>
      <c r="AN41" s="10" t="e">
        <f t="shared" si="35"/>
        <v>#VALUE!</v>
      </c>
      <c r="AO41" s="10" t="e">
        <f t="shared" si="36"/>
        <v>#VALUE!</v>
      </c>
      <c r="AP41" s="10" t="e">
        <f t="shared" si="37"/>
        <v>#VALUE!</v>
      </c>
      <c r="AQ41" s="10" t="e">
        <f t="shared" si="67"/>
        <v>#VALUE!</v>
      </c>
      <c r="AR41" s="10" t="e">
        <f t="shared" si="12"/>
        <v>#VALUE!</v>
      </c>
      <c r="AS41" s="10" t="e">
        <f t="shared" si="68"/>
        <v>#VALUE!</v>
      </c>
      <c r="AU41" s="10" t="e">
        <f t="shared" si="38"/>
        <v>#VALUE!</v>
      </c>
      <c r="AV41" s="10" t="e">
        <f t="shared" si="69"/>
        <v>#VALUE!</v>
      </c>
      <c r="AW41" s="10" t="e">
        <f t="shared" si="13"/>
        <v>#VALUE!</v>
      </c>
      <c r="AX41" s="10" t="e">
        <f t="shared" si="39"/>
        <v>#VALUE!</v>
      </c>
      <c r="AY41" s="10" t="e">
        <f t="shared" si="40"/>
        <v>#VALUE!</v>
      </c>
      <c r="AZ41" s="10" t="e">
        <f t="shared" si="41"/>
        <v>#VALUE!</v>
      </c>
      <c r="BA41" s="10" t="e">
        <f t="shared" si="70"/>
        <v>#VALUE!</v>
      </c>
      <c r="BB41" s="10" t="e">
        <f t="shared" si="14"/>
        <v>#VALUE!</v>
      </c>
      <c r="BC41" s="10" t="e">
        <f t="shared" si="71"/>
        <v>#VALUE!</v>
      </c>
      <c r="BE41" s="10" t="e">
        <f t="shared" si="42"/>
        <v>#VALUE!</v>
      </c>
      <c r="BF41" s="10" t="e">
        <f t="shared" si="72"/>
        <v>#VALUE!</v>
      </c>
      <c r="BG41" s="10" t="e">
        <f t="shared" si="15"/>
        <v>#VALUE!</v>
      </c>
      <c r="BH41" s="10" t="e">
        <f t="shared" si="43"/>
        <v>#VALUE!</v>
      </c>
      <c r="BI41" s="10" t="e">
        <f t="shared" si="44"/>
        <v>#VALUE!</v>
      </c>
      <c r="BJ41" s="10" t="e">
        <f t="shared" si="45"/>
        <v>#VALUE!</v>
      </c>
      <c r="BK41" s="10" t="e">
        <f t="shared" si="73"/>
        <v>#VALUE!</v>
      </c>
      <c r="BL41" s="10" t="e">
        <f t="shared" si="16"/>
        <v>#VALUE!</v>
      </c>
      <c r="BM41" s="10" t="e">
        <f t="shared" si="74"/>
        <v>#VALUE!</v>
      </c>
      <c r="BP41" s="10" t="e">
        <f t="shared" si="46"/>
        <v>#VALUE!</v>
      </c>
      <c r="BQ41" s="10" t="e">
        <f t="shared" si="47"/>
        <v>#VALUE!</v>
      </c>
      <c r="BR41" s="10" t="e">
        <f t="shared" si="48"/>
        <v>#VALUE!</v>
      </c>
      <c r="BS41" s="10" t="e">
        <f t="shared" si="49"/>
        <v>#VALUE!</v>
      </c>
      <c r="BT41" s="10" t="e">
        <f t="shared" si="50"/>
        <v>#VALUE!</v>
      </c>
      <c r="BU41" s="10" t="e">
        <f t="shared" si="51"/>
        <v>#VALUE!</v>
      </c>
      <c r="BW41" s="10" t="e">
        <f t="shared" si="52"/>
        <v>#VALUE!</v>
      </c>
      <c r="BX41" s="10" t="e">
        <f t="shared" si="53"/>
        <v>#VALUE!</v>
      </c>
      <c r="BY41" s="10" t="e">
        <f t="shared" si="54"/>
        <v>#VALUE!</v>
      </c>
      <c r="BZ41" s="10" t="e">
        <f t="shared" si="55"/>
        <v>#VALUE!</v>
      </c>
      <c r="CA41" s="10" t="e">
        <f t="shared" si="56"/>
        <v>#VALUE!</v>
      </c>
      <c r="CB41" s="10" t="e">
        <f t="shared" si="57"/>
        <v>#VALUE!</v>
      </c>
      <c r="CD41" s="10" t="e">
        <f>MATCH(INDEX($BP$12:$BU$12,1,MATCH(BP41,$BP$15:$BU$15,0)),结果汇总!$AI$10:$AI$13,0)</f>
        <v>#VALUE!</v>
      </c>
      <c r="CE41" s="10" t="e">
        <f>MATCH(INDEX($BP$12:$BU$12,1,MATCH(BQ41,$BP$15:$BU$15,0)),结果汇总!$AI$10:$AI$13,0)</f>
        <v>#VALUE!</v>
      </c>
      <c r="CF41" s="10" t="e">
        <f>MATCH(INDEX($BP$12:$BU$12,1,MATCH(BR41,$BP$15:$BU$15,0)),结果汇总!$AI$10:$AI$13,0)</f>
        <v>#VALUE!</v>
      </c>
      <c r="CG41" s="10" t="e">
        <f>MATCH(INDEX($BP$12:$BU$12,1,MATCH(BS41,$BP$15:$BU$15,0)),结果汇总!$AI$10:$AI$13,0)</f>
        <v>#VALUE!</v>
      </c>
      <c r="CH41" s="10" t="e">
        <f>MATCH(INDEX($BP$12:$BU$12,1,MATCH(BT41,$BP$15:$BU$15,0)),结果汇总!$AI$10:$AI$13,0)</f>
        <v>#VALUE!</v>
      </c>
      <c r="CI41" s="10" t="e">
        <f>MATCH(INDEX($BP$12:$BU$12,1,MATCH(BU41,$BP$15:$BU$15,0)),结果汇总!$AI$10:$AI$13,0)</f>
        <v>#VALUE!</v>
      </c>
      <c r="CK41" s="10">
        <f t="shared" si="58"/>
        <v>0</v>
      </c>
      <c r="CL41" s="10">
        <f t="shared" si="58"/>
        <v>0</v>
      </c>
      <c r="CM41" s="10">
        <f t="shared" si="58"/>
        <v>0</v>
      </c>
      <c r="CN41" s="10">
        <f t="shared" si="58"/>
        <v>0</v>
      </c>
      <c r="CO41" s="10" t="e">
        <f t="shared" si="59"/>
        <v>#DIV/0!</v>
      </c>
      <c r="CP41" s="10" t="e">
        <f t="shared" si="59"/>
        <v>#DIV/0!</v>
      </c>
      <c r="CQ41" s="10" t="e">
        <f t="shared" si="59"/>
        <v>#DIV/0!</v>
      </c>
      <c r="CR41" s="10" t="e">
        <f t="shared" si="59"/>
        <v>#DIV/0!</v>
      </c>
      <c r="CS41" s="10">
        <f t="shared" si="60"/>
        <v>0</v>
      </c>
      <c r="CT41" s="10">
        <f t="shared" si="60"/>
        <v>0</v>
      </c>
      <c r="CU41" s="10">
        <f t="shared" si="60"/>
        <v>0</v>
      </c>
      <c r="CV41" s="10">
        <f t="shared" si="60"/>
        <v>0</v>
      </c>
      <c r="CW41" s="10">
        <f t="shared" si="61"/>
        <v>0</v>
      </c>
      <c r="CX41" s="10">
        <f t="shared" si="61"/>
        <v>0</v>
      </c>
      <c r="CY41" s="10">
        <f t="shared" si="61"/>
        <v>0</v>
      </c>
      <c r="CZ41" s="10">
        <f t="shared" si="61"/>
        <v>0</v>
      </c>
    </row>
    <row r="42" spans="4:104" x14ac:dyDescent="0.15">
      <c r="D42" s="10">
        <v>27</v>
      </c>
      <c r="E42" s="10" t="e">
        <f t="shared" si="21"/>
        <v>#VALUE!</v>
      </c>
      <c r="F42" s="10" t="e">
        <f t="shared" si="1"/>
        <v>#VALUE!</v>
      </c>
      <c r="G42" s="10" t="e">
        <f t="shared" si="2"/>
        <v>#VALUE!</v>
      </c>
      <c r="H42" s="10" t="e">
        <f t="shared" si="22"/>
        <v>#VALUE!</v>
      </c>
      <c r="I42" s="10" t="e">
        <f t="shared" si="3"/>
        <v>#VALUE!</v>
      </c>
      <c r="J42" s="10" t="e">
        <f t="shared" si="23"/>
        <v>#VALUE!</v>
      </c>
      <c r="K42" s="10" t="e">
        <f t="shared" si="4"/>
        <v>#VALUE!</v>
      </c>
      <c r="L42" s="10" t="e">
        <f t="shared" si="5"/>
        <v>#VALUE!</v>
      </c>
      <c r="M42" s="10" t="e">
        <f t="shared" si="24"/>
        <v>#VALUE!</v>
      </c>
      <c r="O42" s="10" t="e">
        <f t="shared" si="25"/>
        <v>#VALUE!</v>
      </c>
      <c r="P42" s="10" t="e">
        <f t="shared" si="6"/>
        <v>#VALUE!</v>
      </c>
      <c r="Q42" s="10" t="e">
        <f t="shared" si="7"/>
        <v>#VALUE!</v>
      </c>
      <c r="R42" s="10" t="e">
        <f t="shared" si="26"/>
        <v>#VALUE!</v>
      </c>
      <c r="S42" s="10" t="e">
        <f t="shared" si="27"/>
        <v>#VALUE!</v>
      </c>
      <c r="T42" s="10" t="e">
        <f t="shared" si="62"/>
        <v>#VALUE!</v>
      </c>
      <c r="U42" s="10" t="e">
        <f t="shared" si="63"/>
        <v>#VALUE!</v>
      </c>
      <c r="V42" s="10" t="e">
        <f t="shared" si="8"/>
        <v>#VALUE!</v>
      </c>
      <c r="W42" s="10" t="e">
        <f t="shared" si="28"/>
        <v>#VALUE!</v>
      </c>
      <c r="Y42" s="10" t="e">
        <f t="shared" si="29"/>
        <v>#VALUE!</v>
      </c>
      <c r="Z42" s="11" t="e">
        <f t="shared" si="30"/>
        <v>#VALUE!</v>
      </c>
      <c r="AA42" s="10" t="e">
        <f t="shared" si="9"/>
        <v>#VALUE!</v>
      </c>
      <c r="AB42" s="10" t="e">
        <f t="shared" si="31"/>
        <v>#VALUE!</v>
      </c>
      <c r="AC42" s="10" t="e">
        <f t="shared" si="32"/>
        <v>#VALUE!</v>
      </c>
      <c r="AD42" s="10" t="e">
        <f t="shared" si="64"/>
        <v>#VALUE!</v>
      </c>
      <c r="AE42" s="10" t="e">
        <f t="shared" si="65"/>
        <v>#VALUE!</v>
      </c>
      <c r="AF42" s="10" t="e">
        <f t="shared" si="10"/>
        <v>#VALUE!</v>
      </c>
      <c r="AG42" s="10" t="e">
        <f t="shared" si="33"/>
        <v>#VALUE!</v>
      </c>
      <c r="AI42" s="13"/>
      <c r="AK42" s="10" t="e">
        <f t="shared" si="34"/>
        <v>#VALUE!</v>
      </c>
      <c r="AL42" s="10" t="e">
        <f t="shared" si="66"/>
        <v>#VALUE!</v>
      </c>
      <c r="AM42" s="10" t="e">
        <f t="shared" si="11"/>
        <v>#VALUE!</v>
      </c>
      <c r="AN42" s="10" t="e">
        <f t="shared" si="35"/>
        <v>#VALUE!</v>
      </c>
      <c r="AO42" s="10" t="e">
        <f t="shared" si="36"/>
        <v>#VALUE!</v>
      </c>
      <c r="AP42" s="10" t="e">
        <f t="shared" si="37"/>
        <v>#VALUE!</v>
      </c>
      <c r="AQ42" s="10" t="e">
        <f t="shared" si="67"/>
        <v>#VALUE!</v>
      </c>
      <c r="AR42" s="10" t="e">
        <f t="shared" si="12"/>
        <v>#VALUE!</v>
      </c>
      <c r="AS42" s="10" t="e">
        <f t="shared" si="68"/>
        <v>#VALUE!</v>
      </c>
      <c r="AU42" s="10" t="e">
        <f t="shared" si="38"/>
        <v>#VALUE!</v>
      </c>
      <c r="AV42" s="10" t="e">
        <f t="shared" si="69"/>
        <v>#VALUE!</v>
      </c>
      <c r="AW42" s="10" t="e">
        <f t="shared" si="13"/>
        <v>#VALUE!</v>
      </c>
      <c r="AX42" s="10" t="e">
        <f t="shared" si="39"/>
        <v>#VALUE!</v>
      </c>
      <c r="AY42" s="10" t="e">
        <f t="shared" si="40"/>
        <v>#VALUE!</v>
      </c>
      <c r="AZ42" s="10" t="e">
        <f t="shared" si="41"/>
        <v>#VALUE!</v>
      </c>
      <c r="BA42" s="10" t="e">
        <f t="shared" si="70"/>
        <v>#VALUE!</v>
      </c>
      <c r="BB42" s="10" t="e">
        <f t="shared" si="14"/>
        <v>#VALUE!</v>
      </c>
      <c r="BC42" s="10" t="e">
        <f t="shared" si="71"/>
        <v>#VALUE!</v>
      </c>
      <c r="BE42" s="10" t="e">
        <f t="shared" si="42"/>
        <v>#VALUE!</v>
      </c>
      <c r="BF42" s="10" t="e">
        <f t="shared" si="72"/>
        <v>#VALUE!</v>
      </c>
      <c r="BG42" s="10" t="e">
        <f t="shared" si="15"/>
        <v>#VALUE!</v>
      </c>
      <c r="BH42" s="10" t="e">
        <f t="shared" si="43"/>
        <v>#VALUE!</v>
      </c>
      <c r="BI42" s="10" t="e">
        <f t="shared" si="44"/>
        <v>#VALUE!</v>
      </c>
      <c r="BJ42" s="10" t="e">
        <f t="shared" si="45"/>
        <v>#VALUE!</v>
      </c>
      <c r="BK42" s="10" t="e">
        <f t="shared" si="73"/>
        <v>#VALUE!</v>
      </c>
      <c r="BL42" s="10" t="e">
        <f t="shared" si="16"/>
        <v>#VALUE!</v>
      </c>
      <c r="BM42" s="10" t="e">
        <f t="shared" si="74"/>
        <v>#VALUE!</v>
      </c>
      <c r="BP42" s="10" t="e">
        <f t="shared" si="46"/>
        <v>#VALUE!</v>
      </c>
      <c r="BQ42" s="10" t="e">
        <f t="shared" si="47"/>
        <v>#VALUE!</v>
      </c>
      <c r="BR42" s="10" t="e">
        <f t="shared" si="48"/>
        <v>#VALUE!</v>
      </c>
      <c r="BS42" s="10" t="e">
        <f t="shared" si="49"/>
        <v>#VALUE!</v>
      </c>
      <c r="BT42" s="10" t="e">
        <f t="shared" si="50"/>
        <v>#VALUE!</v>
      </c>
      <c r="BU42" s="10" t="e">
        <f t="shared" si="51"/>
        <v>#VALUE!</v>
      </c>
      <c r="BW42" s="10" t="e">
        <f t="shared" si="52"/>
        <v>#VALUE!</v>
      </c>
      <c r="BX42" s="10" t="e">
        <f t="shared" si="53"/>
        <v>#VALUE!</v>
      </c>
      <c r="BY42" s="10" t="e">
        <f t="shared" si="54"/>
        <v>#VALUE!</v>
      </c>
      <c r="BZ42" s="10" t="e">
        <f t="shared" si="55"/>
        <v>#VALUE!</v>
      </c>
      <c r="CA42" s="10" t="e">
        <f t="shared" si="56"/>
        <v>#VALUE!</v>
      </c>
      <c r="CB42" s="10" t="e">
        <f t="shared" si="57"/>
        <v>#VALUE!</v>
      </c>
      <c r="CD42" s="10" t="e">
        <f>MATCH(INDEX($BP$12:$BU$12,1,MATCH(BP42,$BP$15:$BU$15,0)),结果汇总!$AI$10:$AI$13,0)</f>
        <v>#VALUE!</v>
      </c>
      <c r="CE42" s="10" t="e">
        <f>MATCH(INDEX($BP$12:$BU$12,1,MATCH(BQ42,$BP$15:$BU$15,0)),结果汇总!$AI$10:$AI$13,0)</f>
        <v>#VALUE!</v>
      </c>
      <c r="CF42" s="10" t="e">
        <f>MATCH(INDEX($BP$12:$BU$12,1,MATCH(BR42,$BP$15:$BU$15,0)),结果汇总!$AI$10:$AI$13,0)</f>
        <v>#VALUE!</v>
      </c>
      <c r="CG42" s="10" t="e">
        <f>MATCH(INDEX($BP$12:$BU$12,1,MATCH(BS42,$BP$15:$BU$15,0)),结果汇总!$AI$10:$AI$13,0)</f>
        <v>#VALUE!</v>
      </c>
      <c r="CH42" s="10" t="e">
        <f>MATCH(INDEX($BP$12:$BU$12,1,MATCH(BT42,$BP$15:$BU$15,0)),结果汇总!$AI$10:$AI$13,0)</f>
        <v>#VALUE!</v>
      </c>
      <c r="CI42" s="10" t="e">
        <f>MATCH(INDEX($BP$12:$BU$12,1,MATCH(BU42,$BP$15:$BU$15,0)),结果汇总!$AI$10:$AI$13,0)</f>
        <v>#VALUE!</v>
      </c>
      <c r="CK42" s="10">
        <f t="shared" si="58"/>
        <v>0</v>
      </c>
      <c r="CL42" s="10">
        <f t="shared" si="58"/>
        <v>0</v>
      </c>
      <c r="CM42" s="10">
        <f t="shared" si="58"/>
        <v>0</v>
      </c>
      <c r="CN42" s="10">
        <f t="shared" si="58"/>
        <v>0</v>
      </c>
      <c r="CO42" s="10" t="e">
        <f t="shared" si="59"/>
        <v>#DIV/0!</v>
      </c>
      <c r="CP42" s="10" t="e">
        <f t="shared" si="59"/>
        <v>#DIV/0!</v>
      </c>
      <c r="CQ42" s="10" t="e">
        <f t="shared" si="59"/>
        <v>#DIV/0!</v>
      </c>
      <c r="CR42" s="10" t="e">
        <f t="shared" si="59"/>
        <v>#DIV/0!</v>
      </c>
      <c r="CS42" s="10">
        <f t="shared" si="60"/>
        <v>0</v>
      </c>
      <c r="CT42" s="10">
        <f t="shared" si="60"/>
        <v>0</v>
      </c>
      <c r="CU42" s="10">
        <f t="shared" si="60"/>
        <v>0</v>
      </c>
      <c r="CV42" s="10">
        <f t="shared" si="60"/>
        <v>0</v>
      </c>
      <c r="CW42" s="10">
        <f t="shared" si="61"/>
        <v>0</v>
      </c>
      <c r="CX42" s="10">
        <f t="shared" si="61"/>
        <v>0</v>
      </c>
      <c r="CY42" s="10">
        <f t="shared" si="61"/>
        <v>0</v>
      </c>
      <c r="CZ42" s="10">
        <f t="shared" si="61"/>
        <v>0</v>
      </c>
    </row>
    <row r="43" spans="4:104" x14ac:dyDescent="0.15">
      <c r="D43" s="10">
        <v>28</v>
      </c>
      <c r="E43" s="10" t="e">
        <f t="shared" si="21"/>
        <v>#VALUE!</v>
      </c>
      <c r="F43" s="10" t="e">
        <f t="shared" si="1"/>
        <v>#VALUE!</v>
      </c>
      <c r="G43" s="10" t="e">
        <f t="shared" si="2"/>
        <v>#VALUE!</v>
      </c>
      <c r="H43" s="10" t="e">
        <f t="shared" si="22"/>
        <v>#VALUE!</v>
      </c>
      <c r="I43" s="10" t="e">
        <f t="shared" si="3"/>
        <v>#VALUE!</v>
      </c>
      <c r="J43" s="10" t="e">
        <f t="shared" si="23"/>
        <v>#VALUE!</v>
      </c>
      <c r="K43" s="10" t="e">
        <f t="shared" si="4"/>
        <v>#VALUE!</v>
      </c>
      <c r="L43" s="10" t="e">
        <f t="shared" si="5"/>
        <v>#VALUE!</v>
      </c>
      <c r="M43" s="10" t="e">
        <f t="shared" si="24"/>
        <v>#VALUE!</v>
      </c>
      <c r="O43" s="10" t="e">
        <f t="shared" si="25"/>
        <v>#VALUE!</v>
      </c>
      <c r="P43" s="10" t="e">
        <f t="shared" si="6"/>
        <v>#VALUE!</v>
      </c>
      <c r="Q43" s="10" t="e">
        <f t="shared" si="7"/>
        <v>#VALUE!</v>
      </c>
      <c r="R43" s="10" t="e">
        <f t="shared" si="26"/>
        <v>#VALUE!</v>
      </c>
      <c r="S43" s="10" t="e">
        <f t="shared" si="27"/>
        <v>#VALUE!</v>
      </c>
      <c r="T43" s="10" t="e">
        <f t="shared" si="62"/>
        <v>#VALUE!</v>
      </c>
      <c r="U43" s="10" t="e">
        <f t="shared" si="63"/>
        <v>#VALUE!</v>
      </c>
      <c r="V43" s="10" t="e">
        <f t="shared" si="8"/>
        <v>#VALUE!</v>
      </c>
      <c r="W43" s="10" t="e">
        <f t="shared" si="28"/>
        <v>#VALUE!</v>
      </c>
      <c r="Y43" s="10" t="e">
        <f t="shared" si="29"/>
        <v>#VALUE!</v>
      </c>
      <c r="Z43" s="11" t="e">
        <f t="shared" si="30"/>
        <v>#VALUE!</v>
      </c>
      <c r="AA43" s="10" t="e">
        <f t="shared" si="9"/>
        <v>#VALUE!</v>
      </c>
      <c r="AB43" s="10" t="e">
        <f t="shared" si="31"/>
        <v>#VALUE!</v>
      </c>
      <c r="AC43" s="10" t="e">
        <f t="shared" si="32"/>
        <v>#VALUE!</v>
      </c>
      <c r="AD43" s="10" t="e">
        <f t="shared" si="64"/>
        <v>#VALUE!</v>
      </c>
      <c r="AE43" s="10" t="e">
        <f t="shared" si="65"/>
        <v>#VALUE!</v>
      </c>
      <c r="AF43" s="10" t="e">
        <f t="shared" si="10"/>
        <v>#VALUE!</v>
      </c>
      <c r="AG43" s="10" t="e">
        <f t="shared" si="33"/>
        <v>#VALUE!</v>
      </c>
      <c r="AI43" s="13"/>
      <c r="AK43" s="10" t="e">
        <f t="shared" si="34"/>
        <v>#VALUE!</v>
      </c>
      <c r="AL43" s="10" t="e">
        <f t="shared" si="66"/>
        <v>#VALUE!</v>
      </c>
      <c r="AM43" s="10" t="e">
        <f t="shared" si="11"/>
        <v>#VALUE!</v>
      </c>
      <c r="AN43" s="10" t="e">
        <f t="shared" si="35"/>
        <v>#VALUE!</v>
      </c>
      <c r="AO43" s="10" t="e">
        <f t="shared" si="36"/>
        <v>#VALUE!</v>
      </c>
      <c r="AP43" s="10" t="e">
        <f t="shared" si="37"/>
        <v>#VALUE!</v>
      </c>
      <c r="AQ43" s="10" t="e">
        <f t="shared" si="67"/>
        <v>#VALUE!</v>
      </c>
      <c r="AR43" s="10" t="e">
        <f t="shared" si="12"/>
        <v>#VALUE!</v>
      </c>
      <c r="AS43" s="10" t="e">
        <f t="shared" si="68"/>
        <v>#VALUE!</v>
      </c>
      <c r="AU43" s="10" t="e">
        <f t="shared" si="38"/>
        <v>#VALUE!</v>
      </c>
      <c r="AV43" s="10" t="e">
        <f t="shared" si="69"/>
        <v>#VALUE!</v>
      </c>
      <c r="AW43" s="10" t="e">
        <f t="shared" si="13"/>
        <v>#VALUE!</v>
      </c>
      <c r="AX43" s="10" t="e">
        <f t="shared" si="39"/>
        <v>#VALUE!</v>
      </c>
      <c r="AY43" s="10" t="e">
        <f t="shared" si="40"/>
        <v>#VALUE!</v>
      </c>
      <c r="AZ43" s="10" t="e">
        <f t="shared" si="41"/>
        <v>#VALUE!</v>
      </c>
      <c r="BA43" s="10" t="e">
        <f t="shared" si="70"/>
        <v>#VALUE!</v>
      </c>
      <c r="BB43" s="10" t="e">
        <f t="shared" si="14"/>
        <v>#VALUE!</v>
      </c>
      <c r="BC43" s="10" t="e">
        <f t="shared" si="71"/>
        <v>#VALUE!</v>
      </c>
      <c r="BE43" s="10" t="e">
        <f t="shared" si="42"/>
        <v>#VALUE!</v>
      </c>
      <c r="BF43" s="10" t="e">
        <f t="shared" si="72"/>
        <v>#VALUE!</v>
      </c>
      <c r="BG43" s="10" t="e">
        <f t="shared" si="15"/>
        <v>#VALUE!</v>
      </c>
      <c r="BH43" s="10" t="e">
        <f t="shared" si="43"/>
        <v>#VALUE!</v>
      </c>
      <c r="BI43" s="10" t="e">
        <f t="shared" si="44"/>
        <v>#VALUE!</v>
      </c>
      <c r="BJ43" s="10" t="e">
        <f t="shared" si="45"/>
        <v>#VALUE!</v>
      </c>
      <c r="BK43" s="10" t="e">
        <f t="shared" si="73"/>
        <v>#VALUE!</v>
      </c>
      <c r="BL43" s="10" t="e">
        <f t="shared" si="16"/>
        <v>#VALUE!</v>
      </c>
      <c r="BM43" s="10" t="e">
        <f t="shared" si="74"/>
        <v>#VALUE!</v>
      </c>
      <c r="BP43" s="10" t="e">
        <f t="shared" si="46"/>
        <v>#VALUE!</v>
      </c>
      <c r="BQ43" s="10" t="e">
        <f t="shared" si="47"/>
        <v>#VALUE!</v>
      </c>
      <c r="BR43" s="10" t="e">
        <f t="shared" si="48"/>
        <v>#VALUE!</v>
      </c>
      <c r="BS43" s="10" t="e">
        <f t="shared" si="49"/>
        <v>#VALUE!</v>
      </c>
      <c r="BT43" s="10" t="e">
        <f t="shared" si="50"/>
        <v>#VALUE!</v>
      </c>
      <c r="BU43" s="10" t="e">
        <f t="shared" si="51"/>
        <v>#VALUE!</v>
      </c>
      <c r="BW43" s="10" t="e">
        <f t="shared" si="52"/>
        <v>#VALUE!</v>
      </c>
      <c r="BX43" s="10" t="e">
        <f t="shared" si="53"/>
        <v>#VALUE!</v>
      </c>
      <c r="BY43" s="10" t="e">
        <f t="shared" si="54"/>
        <v>#VALUE!</v>
      </c>
      <c r="BZ43" s="10" t="e">
        <f t="shared" si="55"/>
        <v>#VALUE!</v>
      </c>
      <c r="CA43" s="10" t="e">
        <f t="shared" si="56"/>
        <v>#VALUE!</v>
      </c>
      <c r="CB43" s="10" t="e">
        <f t="shared" si="57"/>
        <v>#VALUE!</v>
      </c>
      <c r="CD43" s="10" t="e">
        <f>MATCH(INDEX($BP$12:$BU$12,1,MATCH(BP43,$BP$15:$BU$15,0)),结果汇总!$AI$10:$AI$13,0)</f>
        <v>#VALUE!</v>
      </c>
      <c r="CE43" s="10" t="e">
        <f>MATCH(INDEX($BP$12:$BU$12,1,MATCH(BQ43,$BP$15:$BU$15,0)),结果汇总!$AI$10:$AI$13,0)</f>
        <v>#VALUE!</v>
      </c>
      <c r="CF43" s="10" t="e">
        <f>MATCH(INDEX($BP$12:$BU$12,1,MATCH(BR43,$BP$15:$BU$15,0)),结果汇总!$AI$10:$AI$13,0)</f>
        <v>#VALUE!</v>
      </c>
      <c r="CG43" s="10" t="e">
        <f>MATCH(INDEX($BP$12:$BU$12,1,MATCH(BS43,$BP$15:$BU$15,0)),结果汇总!$AI$10:$AI$13,0)</f>
        <v>#VALUE!</v>
      </c>
      <c r="CH43" s="10" t="e">
        <f>MATCH(INDEX($BP$12:$BU$12,1,MATCH(BT43,$BP$15:$BU$15,0)),结果汇总!$AI$10:$AI$13,0)</f>
        <v>#VALUE!</v>
      </c>
      <c r="CI43" s="10" t="e">
        <f>MATCH(INDEX($BP$12:$BU$12,1,MATCH(BU43,$BP$15:$BU$15,0)),结果汇总!$AI$10:$AI$13,0)</f>
        <v>#VALUE!</v>
      </c>
      <c r="CK43" s="10">
        <f t="shared" si="58"/>
        <v>0</v>
      </c>
      <c r="CL43" s="10">
        <f t="shared" si="58"/>
        <v>0</v>
      </c>
      <c r="CM43" s="10">
        <f t="shared" si="58"/>
        <v>0</v>
      </c>
      <c r="CN43" s="10">
        <f t="shared" si="58"/>
        <v>0</v>
      </c>
      <c r="CO43" s="10" t="e">
        <f t="shared" si="59"/>
        <v>#DIV/0!</v>
      </c>
      <c r="CP43" s="10" t="e">
        <f t="shared" si="59"/>
        <v>#DIV/0!</v>
      </c>
      <c r="CQ43" s="10" t="e">
        <f t="shared" si="59"/>
        <v>#DIV/0!</v>
      </c>
      <c r="CR43" s="10" t="e">
        <f t="shared" si="59"/>
        <v>#DIV/0!</v>
      </c>
      <c r="CS43" s="10">
        <f t="shared" si="60"/>
        <v>0</v>
      </c>
      <c r="CT43" s="10">
        <f t="shared" si="60"/>
        <v>0</v>
      </c>
      <c r="CU43" s="10">
        <f t="shared" si="60"/>
        <v>0</v>
      </c>
      <c r="CV43" s="10">
        <f t="shared" si="60"/>
        <v>0</v>
      </c>
      <c r="CW43" s="10">
        <f t="shared" si="61"/>
        <v>0</v>
      </c>
      <c r="CX43" s="10">
        <f t="shared" si="61"/>
        <v>0</v>
      </c>
      <c r="CY43" s="10">
        <f t="shared" si="61"/>
        <v>0</v>
      </c>
      <c r="CZ43" s="10">
        <f t="shared" si="61"/>
        <v>0</v>
      </c>
    </row>
    <row r="44" spans="4:104" x14ac:dyDescent="0.15">
      <c r="D44" s="10">
        <v>29</v>
      </c>
      <c r="E44" s="10" t="e">
        <f t="shared" si="21"/>
        <v>#VALUE!</v>
      </c>
      <c r="F44" s="10" t="e">
        <f t="shared" si="1"/>
        <v>#VALUE!</v>
      </c>
      <c r="G44" s="10" t="e">
        <f t="shared" si="2"/>
        <v>#VALUE!</v>
      </c>
      <c r="H44" s="10" t="e">
        <f t="shared" si="22"/>
        <v>#VALUE!</v>
      </c>
      <c r="I44" s="10" t="e">
        <f t="shared" si="3"/>
        <v>#VALUE!</v>
      </c>
      <c r="J44" s="10" t="e">
        <f t="shared" si="23"/>
        <v>#VALUE!</v>
      </c>
      <c r="K44" s="10" t="e">
        <f t="shared" si="4"/>
        <v>#VALUE!</v>
      </c>
      <c r="L44" s="10" t="e">
        <f t="shared" si="5"/>
        <v>#VALUE!</v>
      </c>
      <c r="M44" s="10" t="e">
        <f t="shared" si="24"/>
        <v>#VALUE!</v>
      </c>
      <c r="O44" s="10" t="e">
        <f t="shared" si="25"/>
        <v>#VALUE!</v>
      </c>
      <c r="P44" s="10" t="e">
        <f t="shared" si="6"/>
        <v>#VALUE!</v>
      </c>
      <c r="Q44" s="10" t="e">
        <f t="shared" si="7"/>
        <v>#VALUE!</v>
      </c>
      <c r="R44" s="10" t="e">
        <f t="shared" si="26"/>
        <v>#VALUE!</v>
      </c>
      <c r="S44" s="10" t="e">
        <f t="shared" si="27"/>
        <v>#VALUE!</v>
      </c>
      <c r="T44" s="10" t="e">
        <f t="shared" si="62"/>
        <v>#VALUE!</v>
      </c>
      <c r="U44" s="10" t="e">
        <f t="shared" si="63"/>
        <v>#VALUE!</v>
      </c>
      <c r="V44" s="10" t="e">
        <f t="shared" si="8"/>
        <v>#VALUE!</v>
      </c>
      <c r="W44" s="10" t="e">
        <f t="shared" si="28"/>
        <v>#VALUE!</v>
      </c>
      <c r="Y44" s="10" t="e">
        <f t="shared" si="29"/>
        <v>#VALUE!</v>
      </c>
      <c r="Z44" s="11" t="e">
        <f t="shared" si="30"/>
        <v>#VALUE!</v>
      </c>
      <c r="AA44" s="10" t="e">
        <f t="shared" si="9"/>
        <v>#VALUE!</v>
      </c>
      <c r="AB44" s="10" t="e">
        <f t="shared" si="31"/>
        <v>#VALUE!</v>
      </c>
      <c r="AC44" s="10" t="e">
        <f t="shared" si="32"/>
        <v>#VALUE!</v>
      </c>
      <c r="AD44" s="10" t="e">
        <f t="shared" si="64"/>
        <v>#VALUE!</v>
      </c>
      <c r="AE44" s="10" t="e">
        <f t="shared" si="65"/>
        <v>#VALUE!</v>
      </c>
      <c r="AF44" s="10" t="e">
        <f t="shared" si="10"/>
        <v>#VALUE!</v>
      </c>
      <c r="AG44" s="10" t="e">
        <f t="shared" si="33"/>
        <v>#VALUE!</v>
      </c>
      <c r="AI44" s="13"/>
      <c r="AK44" s="10" t="e">
        <f t="shared" si="34"/>
        <v>#VALUE!</v>
      </c>
      <c r="AL44" s="10" t="e">
        <f t="shared" si="66"/>
        <v>#VALUE!</v>
      </c>
      <c r="AM44" s="10" t="e">
        <f t="shared" si="11"/>
        <v>#VALUE!</v>
      </c>
      <c r="AN44" s="10" t="e">
        <f t="shared" si="35"/>
        <v>#VALUE!</v>
      </c>
      <c r="AO44" s="10" t="e">
        <f t="shared" si="36"/>
        <v>#VALUE!</v>
      </c>
      <c r="AP44" s="10" t="e">
        <f t="shared" si="37"/>
        <v>#VALUE!</v>
      </c>
      <c r="AQ44" s="10" t="e">
        <f t="shared" si="67"/>
        <v>#VALUE!</v>
      </c>
      <c r="AR44" s="10" t="e">
        <f t="shared" si="12"/>
        <v>#VALUE!</v>
      </c>
      <c r="AS44" s="10" t="e">
        <f t="shared" si="68"/>
        <v>#VALUE!</v>
      </c>
      <c r="AU44" s="10" t="e">
        <f t="shared" si="38"/>
        <v>#VALUE!</v>
      </c>
      <c r="AV44" s="10" t="e">
        <f t="shared" si="69"/>
        <v>#VALUE!</v>
      </c>
      <c r="AW44" s="10" t="e">
        <f t="shared" si="13"/>
        <v>#VALUE!</v>
      </c>
      <c r="AX44" s="10" t="e">
        <f t="shared" si="39"/>
        <v>#VALUE!</v>
      </c>
      <c r="AY44" s="10" t="e">
        <f t="shared" si="40"/>
        <v>#VALUE!</v>
      </c>
      <c r="AZ44" s="10" t="e">
        <f t="shared" si="41"/>
        <v>#VALUE!</v>
      </c>
      <c r="BA44" s="10" t="e">
        <f t="shared" si="70"/>
        <v>#VALUE!</v>
      </c>
      <c r="BB44" s="10" t="e">
        <f t="shared" si="14"/>
        <v>#VALUE!</v>
      </c>
      <c r="BC44" s="10" t="e">
        <f t="shared" si="71"/>
        <v>#VALUE!</v>
      </c>
      <c r="BE44" s="10" t="e">
        <f t="shared" si="42"/>
        <v>#VALUE!</v>
      </c>
      <c r="BF44" s="10" t="e">
        <f t="shared" si="72"/>
        <v>#VALUE!</v>
      </c>
      <c r="BG44" s="10" t="e">
        <f t="shared" si="15"/>
        <v>#VALUE!</v>
      </c>
      <c r="BH44" s="10" t="e">
        <f t="shared" si="43"/>
        <v>#VALUE!</v>
      </c>
      <c r="BI44" s="10" t="e">
        <f t="shared" si="44"/>
        <v>#VALUE!</v>
      </c>
      <c r="BJ44" s="10" t="e">
        <f t="shared" si="45"/>
        <v>#VALUE!</v>
      </c>
      <c r="BK44" s="10" t="e">
        <f t="shared" si="73"/>
        <v>#VALUE!</v>
      </c>
      <c r="BL44" s="10" t="e">
        <f t="shared" si="16"/>
        <v>#VALUE!</v>
      </c>
      <c r="BM44" s="10" t="e">
        <f t="shared" si="74"/>
        <v>#VALUE!</v>
      </c>
      <c r="BP44" s="10" t="e">
        <f t="shared" si="46"/>
        <v>#VALUE!</v>
      </c>
      <c r="BQ44" s="10" t="e">
        <f t="shared" si="47"/>
        <v>#VALUE!</v>
      </c>
      <c r="BR44" s="10" t="e">
        <f t="shared" si="48"/>
        <v>#VALUE!</v>
      </c>
      <c r="BS44" s="10" t="e">
        <f t="shared" si="49"/>
        <v>#VALUE!</v>
      </c>
      <c r="BT44" s="10" t="e">
        <f t="shared" si="50"/>
        <v>#VALUE!</v>
      </c>
      <c r="BU44" s="10" t="e">
        <f t="shared" si="51"/>
        <v>#VALUE!</v>
      </c>
      <c r="BW44" s="10" t="e">
        <f t="shared" si="52"/>
        <v>#VALUE!</v>
      </c>
      <c r="BX44" s="10" t="e">
        <f t="shared" si="53"/>
        <v>#VALUE!</v>
      </c>
      <c r="BY44" s="10" t="e">
        <f t="shared" si="54"/>
        <v>#VALUE!</v>
      </c>
      <c r="BZ44" s="10" t="e">
        <f t="shared" si="55"/>
        <v>#VALUE!</v>
      </c>
      <c r="CA44" s="10" t="e">
        <f t="shared" si="56"/>
        <v>#VALUE!</v>
      </c>
      <c r="CB44" s="10" t="e">
        <f t="shared" si="57"/>
        <v>#VALUE!</v>
      </c>
      <c r="CD44" s="10" t="e">
        <f>MATCH(INDEX($BP$12:$BU$12,1,MATCH(BP44,$BP$15:$BU$15,0)),结果汇总!$AI$10:$AI$13,0)</f>
        <v>#VALUE!</v>
      </c>
      <c r="CE44" s="10" t="e">
        <f>MATCH(INDEX($BP$12:$BU$12,1,MATCH(BQ44,$BP$15:$BU$15,0)),结果汇总!$AI$10:$AI$13,0)</f>
        <v>#VALUE!</v>
      </c>
      <c r="CF44" s="10" t="e">
        <f>MATCH(INDEX($BP$12:$BU$12,1,MATCH(BR44,$BP$15:$BU$15,0)),结果汇总!$AI$10:$AI$13,0)</f>
        <v>#VALUE!</v>
      </c>
      <c r="CG44" s="10" t="e">
        <f>MATCH(INDEX($BP$12:$BU$12,1,MATCH(BS44,$BP$15:$BU$15,0)),结果汇总!$AI$10:$AI$13,0)</f>
        <v>#VALUE!</v>
      </c>
      <c r="CH44" s="10" t="e">
        <f>MATCH(INDEX($BP$12:$BU$12,1,MATCH(BT44,$BP$15:$BU$15,0)),结果汇总!$AI$10:$AI$13,0)</f>
        <v>#VALUE!</v>
      </c>
      <c r="CI44" s="10" t="e">
        <f>MATCH(INDEX($BP$12:$BU$12,1,MATCH(BU44,$BP$15:$BU$15,0)),结果汇总!$AI$10:$AI$13,0)</f>
        <v>#VALUE!</v>
      </c>
      <c r="CK44" s="10">
        <f t="shared" si="58"/>
        <v>0</v>
      </c>
      <c r="CL44" s="10">
        <f t="shared" si="58"/>
        <v>0</v>
      </c>
      <c r="CM44" s="10">
        <f t="shared" si="58"/>
        <v>0</v>
      </c>
      <c r="CN44" s="10">
        <f t="shared" si="58"/>
        <v>0</v>
      </c>
      <c r="CO44" s="10" t="e">
        <f t="shared" si="59"/>
        <v>#DIV/0!</v>
      </c>
      <c r="CP44" s="10" t="e">
        <f t="shared" si="59"/>
        <v>#DIV/0!</v>
      </c>
      <c r="CQ44" s="10" t="e">
        <f t="shared" si="59"/>
        <v>#DIV/0!</v>
      </c>
      <c r="CR44" s="10" t="e">
        <f t="shared" si="59"/>
        <v>#DIV/0!</v>
      </c>
      <c r="CS44" s="10">
        <f t="shared" si="60"/>
        <v>0</v>
      </c>
      <c r="CT44" s="10">
        <f t="shared" si="60"/>
        <v>0</v>
      </c>
      <c r="CU44" s="10">
        <f t="shared" si="60"/>
        <v>0</v>
      </c>
      <c r="CV44" s="10">
        <f t="shared" si="60"/>
        <v>0</v>
      </c>
      <c r="CW44" s="10">
        <f t="shared" si="61"/>
        <v>0</v>
      </c>
      <c r="CX44" s="10">
        <f t="shared" si="61"/>
        <v>0</v>
      </c>
      <c r="CY44" s="10">
        <f t="shared" si="61"/>
        <v>0</v>
      </c>
      <c r="CZ44" s="10">
        <f t="shared" si="61"/>
        <v>0</v>
      </c>
    </row>
    <row r="45" spans="4:104" x14ac:dyDescent="0.15">
      <c r="D45" s="10">
        <v>30</v>
      </c>
      <c r="E45" s="10" t="e">
        <f t="shared" si="21"/>
        <v>#VALUE!</v>
      </c>
      <c r="F45" s="10" t="e">
        <f t="shared" si="1"/>
        <v>#VALUE!</v>
      </c>
      <c r="G45" s="10" t="e">
        <f t="shared" si="2"/>
        <v>#VALUE!</v>
      </c>
      <c r="H45" s="10" t="e">
        <f t="shared" si="22"/>
        <v>#VALUE!</v>
      </c>
      <c r="I45" s="10" t="e">
        <f t="shared" si="3"/>
        <v>#VALUE!</v>
      </c>
      <c r="J45" s="10" t="e">
        <f t="shared" si="23"/>
        <v>#VALUE!</v>
      </c>
      <c r="K45" s="10" t="e">
        <f t="shared" si="4"/>
        <v>#VALUE!</v>
      </c>
      <c r="L45" s="10" t="e">
        <f t="shared" si="5"/>
        <v>#VALUE!</v>
      </c>
      <c r="M45" s="10" t="e">
        <f t="shared" si="24"/>
        <v>#VALUE!</v>
      </c>
      <c r="O45" s="10" t="e">
        <f t="shared" si="25"/>
        <v>#VALUE!</v>
      </c>
      <c r="P45" s="10" t="e">
        <f t="shared" si="6"/>
        <v>#VALUE!</v>
      </c>
      <c r="Q45" s="10" t="e">
        <f t="shared" si="7"/>
        <v>#VALUE!</v>
      </c>
      <c r="R45" s="10" t="e">
        <f t="shared" si="26"/>
        <v>#VALUE!</v>
      </c>
      <c r="S45" s="10" t="e">
        <f t="shared" si="27"/>
        <v>#VALUE!</v>
      </c>
      <c r="T45" s="10" t="e">
        <f t="shared" si="62"/>
        <v>#VALUE!</v>
      </c>
      <c r="U45" s="10" t="e">
        <f t="shared" si="63"/>
        <v>#VALUE!</v>
      </c>
      <c r="V45" s="10" t="e">
        <f t="shared" si="8"/>
        <v>#VALUE!</v>
      </c>
      <c r="W45" s="10" t="e">
        <f t="shared" si="28"/>
        <v>#VALUE!</v>
      </c>
      <c r="Y45" s="10" t="e">
        <f t="shared" si="29"/>
        <v>#VALUE!</v>
      </c>
      <c r="Z45" s="11" t="e">
        <f t="shared" si="30"/>
        <v>#VALUE!</v>
      </c>
      <c r="AA45" s="10" t="e">
        <f t="shared" si="9"/>
        <v>#VALUE!</v>
      </c>
      <c r="AB45" s="10" t="e">
        <f t="shared" si="31"/>
        <v>#VALUE!</v>
      </c>
      <c r="AC45" s="10" t="e">
        <f t="shared" si="32"/>
        <v>#VALUE!</v>
      </c>
      <c r="AD45" s="10" t="e">
        <f t="shared" si="64"/>
        <v>#VALUE!</v>
      </c>
      <c r="AE45" s="10" t="e">
        <f t="shared" si="65"/>
        <v>#VALUE!</v>
      </c>
      <c r="AF45" s="10" t="e">
        <f t="shared" si="10"/>
        <v>#VALUE!</v>
      </c>
      <c r="AG45" s="10" t="e">
        <f t="shared" si="33"/>
        <v>#VALUE!</v>
      </c>
      <c r="AI45" s="13"/>
      <c r="AK45" s="10" t="e">
        <f t="shared" si="34"/>
        <v>#VALUE!</v>
      </c>
      <c r="AL45" s="10" t="e">
        <f t="shared" si="66"/>
        <v>#VALUE!</v>
      </c>
      <c r="AM45" s="10" t="e">
        <f t="shared" si="11"/>
        <v>#VALUE!</v>
      </c>
      <c r="AN45" s="10" t="e">
        <f t="shared" si="35"/>
        <v>#VALUE!</v>
      </c>
      <c r="AO45" s="10" t="e">
        <f t="shared" si="36"/>
        <v>#VALUE!</v>
      </c>
      <c r="AP45" s="10" t="e">
        <f t="shared" si="37"/>
        <v>#VALUE!</v>
      </c>
      <c r="AQ45" s="10" t="e">
        <f t="shared" si="67"/>
        <v>#VALUE!</v>
      </c>
      <c r="AR45" s="10" t="e">
        <f t="shared" si="12"/>
        <v>#VALUE!</v>
      </c>
      <c r="AS45" s="10" t="e">
        <f t="shared" si="68"/>
        <v>#VALUE!</v>
      </c>
      <c r="AU45" s="10" t="e">
        <f t="shared" si="38"/>
        <v>#VALUE!</v>
      </c>
      <c r="AV45" s="10" t="e">
        <f t="shared" si="69"/>
        <v>#VALUE!</v>
      </c>
      <c r="AW45" s="10" t="e">
        <f t="shared" si="13"/>
        <v>#VALUE!</v>
      </c>
      <c r="AX45" s="10" t="e">
        <f t="shared" si="39"/>
        <v>#VALUE!</v>
      </c>
      <c r="AY45" s="10" t="e">
        <f t="shared" si="40"/>
        <v>#VALUE!</v>
      </c>
      <c r="AZ45" s="10" t="e">
        <f t="shared" si="41"/>
        <v>#VALUE!</v>
      </c>
      <c r="BA45" s="10" t="e">
        <f t="shared" si="70"/>
        <v>#VALUE!</v>
      </c>
      <c r="BB45" s="10" t="e">
        <f t="shared" si="14"/>
        <v>#VALUE!</v>
      </c>
      <c r="BC45" s="10" t="e">
        <f t="shared" si="71"/>
        <v>#VALUE!</v>
      </c>
      <c r="BE45" s="10" t="e">
        <f t="shared" si="42"/>
        <v>#VALUE!</v>
      </c>
      <c r="BF45" s="10" t="e">
        <f t="shared" si="72"/>
        <v>#VALUE!</v>
      </c>
      <c r="BG45" s="10" t="e">
        <f t="shared" si="15"/>
        <v>#VALUE!</v>
      </c>
      <c r="BH45" s="10" t="e">
        <f t="shared" si="43"/>
        <v>#VALUE!</v>
      </c>
      <c r="BI45" s="10" t="e">
        <f t="shared" si="44"/>
        <v>#VALUE!</v>
      </c>
      <c r="BJ45" s="10" t="e">
        <f t="shared" si="45"/>
        <v>#VALUE!</v>
      </c>
      <c r="BK45" s="10" t="e">
        <f t="shared" si="73"/>
        <v>#VALUE!</v>
      </c>
      <c r="BL45" s="10" t="e">
        <f t="shared" si="16"/>
        <v>#VALUE!</v>
      </c>
      <c r="BM45" s="10" t="e">
        <f t="shared" si="74"/>
        <v>#VALUE!</v>
      </c>
      <c r="BP45" s="10" t="e">
        <f t="shared" si="46"/>
        <v>#VALUE!</v>
      </c>
      <c r="BQ45" s="10" t="e">
        <f t="shared" si="47"/>
        <v>#VALUE!</v>
      </c>
      <c r="BR45" s="10" t="e">
        <f t="shared" si="48"/>
        <v>#VALUE!</v>
      </c>
      <c r="BS45" s="10" t="e">
        <f t="shared" si="49"/>
        <v>#VALUE!</v>
      </c>
      <c r="BT45" s="10" t="e">
        <f t="shared" si="50"/>
        <v>#VALUE!</v>
      </c>
      <c r="BU45" s="10" t="e">
        <f t="shared" si="51"/>
        <v>#VALUE!</v>
      </c>
      <c r="BW45" s="10" t="e">
        <f t="shared" si="52"/>
        <v>#VALUE!</v>
      </c>
      <c r="BX45" s="10" t="e">
        <f t="shared" si="53"/>
        <v>#VALUE!</v>
      </c>
      <c r="BY45" s="10" t="e">
        <f t="shared" si="54"/>
        <v>#VALUE!</v>
      </c>
      <c r="BZ45" s="10" t="e">
        <f t="shared" si="55"/>
        <v>#VALUE!</v>
      </c>
      <c r="CA45" s="10" t="e">
        <f t="shared" si="56"/>
        <v>#VALUE!</v>
      </c>
      <c r="CB45" s="10" t="e">
        <f t="shared" si="57"/>
        <v>#VALUE!</v>
      </c>
      <c r="CD45" s="10" t="e">
        <f>MATCH(INDEX($BP$12:$BU$12,1,MATCH(BP45,$BP$15:$BU$15,0)),结果汇总!$AI$10:$AI$13,0)</f>
        <v>#VALUE!</v>
      </c>
      <c r="CE45" s="10" t="e">
        <f>MATCH(INDEX($BP$12:$BU$12,1,MATCH(BQ45,$BP$15:$BU$15,0)),结果汇总!$AI$10:$AI$13,0)</f>
        <v>#VALUE!</v>
      </c>
      <c r="CF45" s="10" t="e">
        <f>MATCH(INDEX($BP$12:$BU$12,1,MATCH(BR45,$BP$15:$BU$15,0)),结果汇总!$AI$10:$AI$13,0)</f>
        <v>#VALUE!</v>
      </c>
      <c r="CG45" s="10" t="e">
        <f>MATCH(INDEX($BP$12:$BU$12,1,MATCH(BS45,$BP$15:$BU$15,0)),结果汇总!$AI$10:$AI$13,0)</f>
        <v>#VALUE!</v>
      </c>
      <c r="CH45" s="10" t="e">
        <f>MATCH(INDEX($BP$12:$BU$12,1,MATCH(BT45,$BP$15:$BU$15,0)),结果汇总!$AI$10:$AI$13,0)</f>
        <v>#VALUE!</v>
      </c>
      <c r="CI45" s="10" t="e">
        <f>MATCH(INDEX($BP$12:$BU$12,1,MATCH(BU45,$BP$15:$BU$15,0)),结果汇总!$AI$10:$AI$13,0)</f>
        <v>#VALUE!</v>
      </c>
      <c r="CK45" s="10">
        <f t="shared" si="58"/>
        <v>0</v>
      </c>
      <c r="CL45" s="10">
        <f t="shared" si="58"/>
        <v>0</v>
      </c>
      <c r="CM45" s="10">
        <f t="shared" si="58"/>
        <v>0</v>
      </c>
      <c r="CN45" s="10">
        <f t="shared" si="58"/>
        <v>0</v>
      </c>
      <c r="CO45" s="10" t="e">
        <f t="shared" si="59"/>
        <v>#DIV/0!</v>
      </c>
      <c r="CP45" s="10" t="e">
        <f t="shared" si="59"/>
        <v>#DIV/0!</v>
      </c>
      <c r="CQ45" s="10" t="e">
        <f t="shared" si="59"/>
        <v>#DIV/0!</v>
      </c>
      <c r="CR45" s="10" t="e">
        <f t="shared" si="59"/>
        <v>#DIV/0!</v>
      </c>
      <c r="CS45" s="10">
        <f t="shared" si="60"/>
        <v>0</v>
      </c>
      <c r="CT45" s="10">
        <f t="shared" si="60"/>
        <v>0</v>
      </c>
      <c r="CU45" s="10">
        <f t="shared" si="60"/>
        <v>0</v>
      </c>
      <c r="CV45" s="10">
        <f t="shared" si="60"/>
        <v>0</v>
      </c>
      <c r="CW45" s="10">
        <f t="shared" si="61"/>
        <v>0</v>
      </c>
      <c r="CX45" s="10">
        <f t="shared" si="61"/>
        <v>0</v>
      </c>
      <c r="CY45" s="10">
        <f t="shared" si="61"/>
        <v>0</v>
      </c>
      <c r="CZ45" s="10">
        <f t="shared" si="61"/>
        <v>0</v>
      </c>
    </row>
    <row r="46" spans="4:104" x14ac:dyDescent="0.15">
      <c r="D46" s="10">
        <v>31</v>
      </c>
      <c r="E46" s="10" t="e">
        <f t="shared" si="21"/>
        <v>#VALUE!</v>
      </c>
      <c r="F46" s="10" t="e">
        <f t="shared" si="1"/>
        <v>#VALUE!</v>
      </c>
      <c r="G46" s="10" t="e">
        <f t="shared" si="2"/>
        <v>#VALUE!</v>
      </c>
      <c r="H46" s="10" t="e">
        <f t="shared" si="22"/>
        <v>#VALUE!</v>
      </c>
      <c r="I46" s="10" t="e">
        <f t="shared" si="3"/>
        <v>#VALUE!</v>
      </c>
      <c r="J46" s="10" t="e">
        <f t="shared" si="23"/>
        <v>#VALUE!</v>
      </c>
      <c r="K46" s="10" t="e">
        <f t="shared" si="4"/>
        <v>#VALUE!</v>
      </c>
      <c r="L46" s="10" t="e">
        <f t="shared" si="5"/>
        <v>#VALUE!</v>
      </c>
      <c r="M46" s="10" t="e">
        <f t="shared" si="24"/>
        <v>#VALUE!</v>
      </c>
      <c r="O46" s="10" t="e">
        <f t="shared" si="25"/>
        <v>#VALUE!</v>
      </c>
      <c r="P46" s="10" t="e">
        <f t="shared" si="6"/>
        <v>#VALUE!</v>
      </c>
      <c r="Q46" s="10" t="e">
        <f t="shared" si="7"/>
        <v>#VALUE!</v>
      </c>
      <c r="R46" s="10" t="e">
        <f t="shared" si="26"/>
        <v>#VALUE!</v>
      </c>
      <c r="S46" s="10" t="e">
        <f t="shared" si="27"/>
        <v>#VALUE!</v>
      </c>
      <c r="T46" s="10" t="e">
        <f t="shared" si="62"/>
        <v>#VALUE!</v>
      </c>
      <c r="U46" s="10" t="e">
        <f t="shared" si="63"/>
        <v>#VALUE!</v>
      </c>
      <c r="V46" s="10" t="e">
        <f t="shared" si="8"/>
        <v>#VALUE!</v>
      </c>
      <c r="W46" s="10" t="e">
        <f t="shared" si="28"/>
        <v>#VALUE!</v>
      </c>
      <c r="Y46" s="10" t="e">
        <f t="shared" si="29"/>
        <v>#VALUE!</v>
      </c>
      <c r="Z46" s="11" t="e">
        <f t="shared" si="30"/>
        <v>#VALUE!</v>
      </c>
      <c r="AA46" s="10" t="e">
        <f t="shared" si="9"/>
        <v>#VALUE!</v>
      </c>
      <c r="AB46" s="10" t="e">
        <f t="shared" si="31"/>
        <v>#VALUE!</v>
      </c>
      <c r="AC46" s="10" t="e">
        <f t="shared" si="32"/>
        <v>#VALUE!</v>
      </c>
      <c r="AD46" s="10" t="e">
        <f t="shared" si="64"/>
        <v>#VALUE!</v>
      </c>
      <c r="AE46" s="10" t="e">
        <f t="shared" si="65"/>
        <v>#VALUE!</v>
      </c>
      <c r="AF46" s="10" t="e">
        <f t="shared" si="10"/>
        <v>#VALUE!</v>
      </c>
      <c r="AG46" s="10" t="e">
        <f t="shared" si="33"/>
        <v>#VALUE!</v>
      </c>
      <c r="AI46" s="13"/>
      <c r="AK46" s="10" t="e">
        <f t="shared" si="34"/>
        <v>#VALUE!</v>
      </c>
      <c r="AL46" s="10" t="e">
        <f t="shared" si="66"/>
        <v>#VALUE!</v>
      </c>
      <c r="AM46" s="10" t="e">
        <f t="shared" si="11"/>
        <v>#VALUE!</v>
      </c>
      <c r="AN46" s="10" t="e">
        <f t="shared" si="35"/>
        <v>#VALUE!</v>
      </c>
      <c r="AO46" s="10" t="e">
        <f t="shared" si="36"/>
        <v>#VALUE!</v>
      </c>
      <c r="AP46" s="10" t="e">
        <f t="shared" si="37"/>
        <v>#VALUE!</v>
      </c>
      <c r="AQ46" s="10" t="e">
        <f t="shared" si="67"/>
        <v>#VALUE!</v>
      </c>
      <c r="AR46" s="10" t="e">
        <f t="shared" si="12"/>
        <v>#VALUE!</v>
      </c>
      <c r="AS46" s="10" t="e">
        <f t="shared" si="68"/>
        <v>#VALUE!</v>
      </c>
      <c r="AU46" s="10" t="e">
        <f t="shared" si="38"/>
        <v>#VALUE!</v>
      </c>
      <c r="AV46" s="10" t="e">
        <f t="shared" si="69"/>
        <v>#VALUE!</v>
      </c>
      <c r="AW46" s="10" t="e">
        <f t="shared" si="13"/>
        <v>#VALUE!</v>
      </c>
      <c r="AX46" s="10" t="e">
        <f t="shared" si="39"/>
        <v>#VALUE!</v>
      </c>
      <c r="AY46" s="10" t="e">
        <f t="shared" si="40"/>
        <v>#VALUE!</v>
      </c>
      <c r="AZ46" s="10" t="e">
        <f t="shared" si="41"/>
        <v>#VALUE!</v>
      </c>
      <c r="BA46" s="10" t="e">
        <f t="shared" si="70"/>
        <v>#VALUE!</v>
      </c>
      <c r="BB46" s="10" t="e">
        <f t="shared" si="14"/>
        <v>#VALUE!</v>
      </c>
      <c r="BC46" s="10" t="e">
        <f t="shared" si="71"/>
        <v>#VALUE!</v>
      </c>
      <c r="BE46" s="10" t="e">
        <f t="shared" si="42"/>
        <v>#VALUE!</v>
      </c>
      <c r="BF46" s="10" t="e">
        <f t="shared" si="72"/>
        <v>#VALUE!</v>
      </c>
      <c r="BG46" s="10" t="e">
        <f t="shared" si="15"/>
        <v>#VALUE!</v>
      </c>
      <c r="BH46" s="10" t="e">
        <f t="shared" si="43"/>
        <v>#VALUE!</v>
      </c>
      <c r="BI46" s="10" t="e">
        <f t="shared" si="44"/>
        <v>#VALUE!</v>
      </c>
      <c r="BJ46" s="10" t="e">
        <f t="shared" si="45"/>
        <v>#VALUE!</v>
      </c>
      <c r="BK46" s="10" t="e">
        <f t="shared" si="73"/>
        <v>#VALUE!</v>
      </c>
      <c r="BL46" s="10" t="e">
        <f t="shared" si="16"/>
        <v>#VALUE!</v>
      </c>
      <c r="BM46" s="10" t="e">
        <f t="shared" si="74"/>
        <v>#VALUE!</v>
      </c>
      <c r="BP46" s="10" t="e">
        <f t="shared" si="46"/>
        <v>#VALUE!</v>
      </c>
      <c r="BQ46" s="10" t="e">
        <f t="shared" si="47"/>
        <v>#VALUE!</v>
      </c>
      <c r="BR46" s="10" t="e">
        <f t="shared" si="48"/>
        <v>#VALUE!</v>
      </c>
      <c r="BS46" s="10" t="e">
        <f t="shared" si="49"/>
        <v>#VALUE!</v>
      </c>
      <c r="BT46" s="10" t="e">
        <f t="shared" si="50"/>
        <v>#VALUE!</v>
      </c>
      <c r="BU46" s="10" t="e">
        <f t="shared" si="51"/>
        <v>#VALUE!</v>
      </c>
      <c r="BW46" s="10" t="e">
        <f t="shared" si="52"/>
        <v>#VALUE!</v>
      </c>
      <c r="BX46" s="10" t="e">
        <f t="shared" si="53"/>
        <v>#VALUE!</v>
      </c>
      <c r="BY46" s="10" t="e">
        <f t="shared" si="54"/>
        <v>#VALUE!</v>
      </c>
      <c r="BZ46" s="10" t="e">
        <f t="shared" si="55"/>
        <v>#VALUE!</v>
      </c>
      <c r="CA46" s="10" t="e">
        <f t="shared" si="56"/>
        <v>#VALUE!</v>
      </c>
      <c r="CB46" s="10" t="e">
        <f t="shared" si="57"/>
        <v>#VALUE!</v>
      </c>
      <c r="CD46" s="10" t="e">
        <f>MATCH(INDEX($BP$12:$BU$12,1,MATCH(BP46,$BP$15:$BU$15,0)),结果汇总!$AI$10:$AI$13,0)</f>
        <v>#VALUE!</v>
      </c>
      <c r="CE46" s="10" t="e">
        <f>MATCH(INDEX($BP$12:$BU$12,1,MATCH(BQ46,$BP$15:$BU$15,0)),结果汇总!$AI$10:$AI$13,0)</f>
        <v>#VALUE!</v>
      </c>
      <c r="CF46" s="10" t="e">
        <f>MATCH(INDEX($BP$12:$BU$12,1,MATCH(BR46,$BP$15:$BU$15,0)),结果汇总!$AI$10:$AI$13,0)</f>
        <v>#VALUE!</v>
      </c>
      <c r="CG46" s="10" t="e">
        <f>MATCH(INDEX($BP$12:$BU$12,1,MATCH(BS46,$BP$15:$BU$15,0)),结果汇总!$AI$10:$AI$13,0)</f>
        <v>#VALUE!</v>
      </c>
      <c r="CH46" s="10" t="e">
        <f>MATCH(INDEX($BP$12:$BU$12,1,MATCH(BT46,$BP$15:$BU$15,0)),结果汇总!$AI$10:$AI$13,0)</f>
        <v>#VALUE!</v>
      </c>
      <c r="CI46" s="10" t="e">
        <f>MATCH(INDEX($BP$12:$BU$12,1,MATCH(BU46,$BP$15:$BU$15,0)),结果汇总!$AI$10:$AI$13,0)</f>
        <v>#VALUE!</v>
      </c>
      <c r="CK46" s="10">
        <f t="shared" si="58"/>
        <v>0</v>
      </c>
      <c r="CL46" s="10">
        <f t="shared" si="58"/>
        <v>0</v>
      </c>
      <c r="CM46" s="10">
        <f t="shared" si="58"/>
        <v>0</v>
      </c>
      <c r="CN46" s="10">
        <f t="shared" si="58"/>
        <v>0</v>
      </c>
      <c r="CO46" s="10" t="e">
        <f t="shared" si="59"/>
        <v>#DIV/0!</v>
      </c>
      <c r="CP46" s="10" t="e">
        <f t="shared" si="59"/>
        <v>#DIV/0!</v>
      </c>
      <c r="CQ46" s="10" t="e">
        <f t="shared" si="59"/>
        <v>#DIV/0!</v>
      </c>
      <c r="CR46" s="10" t="e">
        <f t="shared" si="59"/>
        <v>#DIV/0!</v>
      </c>
      <c r="CS46" s="10">
        <f t="shared" si="60"/>
        <v>0</v>
      </c>
      <c r="CT46" s="10">
        <f t="shared" si="60"/>
        <v>0</v>
      </c>
      <c r="CU46" s="10">
        <f t="shared" si="60"/>
        <v>0</v>
      </c>
      <c r="CV46" s="10">
        <f t="shared" si="60"/>
        <v>0</v>
      </c>
      <c r="CW46" s="10">
        <f t="shared" si="61"/>
        <v>0</v>
      </c>
      <c r="CX46" s="10">
        <f t="shared" si="61"/>
        <v>0</v>
      </c>
      <c r="CY46" s="10">
        <f t="shared" si="61"/>
        <v>0</v>
      </c>
      <c r="CZ46" s="10">
        <f t="shared" si="61"/>
        <v>0</v>
      </c>
    </row>
    <row r="47" spans="4:104" x14ac:dyDescent="0.15">
      <c r="D47" s="10">
        <v>32</v>
      </c>
      <c r="E47" s="10" t="e">
        <f t="shared" si="21"/>
        <v>#VALUE!</v>
      </c>
      <c r="F47" s="10" t="e">
        <f t="shared" si="1"/>
        <v>#VALUE!</v>
      </c>
      <c r="G47" s="10" t="e">
        <f t="shared" si="2"/>
        <v>#VALUE!</v>
      </c>
      <c r="H47" s="10" t="e">
        <f t="shared" si="22"/>
        <v>#VALUE!</v>
      </c>
      <c r="I47" s="10" t="e">
        <f t="shared" si="3"/>
        <v>#VALUE!</v>
      </c>
      <c r="J47" s="10" t="e">
        <f t="shared" si="23"/>
        <v>#VALUE!</v>
      </c>
      <c r="K47" s="10" t="e">
        <f t="shared" si="4"/>
        <v>#VALUE!</v>
      </c>
      <c r="L47" s="10" t="e">
        <f t="shared" si="5"/>
        <v>#VALUE!</v>
      </c>
      <c r="M47" s="10" t="e">
        <f t="shared" si="24"/>
        <v>#VALUE!</v>
      </c>
      <c r="O47" s="10" t="e">
        <f t="shared" si="25"/>
        <v>#VALUE!</v>
      </c>
      <c r="P47" s="10" t="e">
        <f t="shared" si="6"/>
        <v>#VALUE!</v>
      </c>
      <c r="Q47" s="10" t="e">
        <f t="shared" si="7"/>
        <v>#VALUE!</v>
      </c>
      <c r="R47" s="10" t="e">
        <f t="shared" si="26"/>
        <v>#VALUE!</v>
      </c>
      <c r="S47" s="10" t="e">
        <f t="shared" si="27"/>
        <v>#VALUE!</v>
      </c>
      <c r="T47" s="10" t="e">
        <f t="shared" si="62"/>
        <v>#VALUE!</v>
      </c>
      <c r="U47" s="10" t="e">
        <f t="shared" si="63"/>
        <v>#VALUE!</v>
      </c>
      <c r="V47" s="10" t="e">
        <f t="shared" si="8"/>
        <v>#VALUE!</v>
      </c>
      <c r="W47" s="10" t="e">
        <f t="shared" si="28"/>
        <v>#VALUE!</v>
      </c>
      <c r="Y47" s="10" t="e">
        <f t="shared" si="29"/>
        <v>#VALUE!</v>
      </c>
      <c r="Z47" s="11" t="e">
        <f t="shared" si="30"/>
        <v>#VALUE!</v>
      </c>
      <c r="AA47" s="10" t="e">
        <f t="shared" si="9"/>
        <v>#VALUE!</v>
      </c>
      <c r="AB47" s="10" t="e">
        <f t="shared" si="31"/>
        <v>#VALUE!</v>
      </c>
      <c r="AC47" s="10" t="e">
        <f t="shared" si="32"/>
        <v>#VALUE!</v>
      </c>
      <c r="AD47" s="10" t="e">
        <f t="shared" si="64"/>
        <v>#VALUE!</v>
      </c>
      <c r="AE47" s="10" t="e">
        <f t="shared" si="65"/>
        <v>#VALUE!</v>
      </c>
      <c r="AF47" s="10" t="e">
        <f t="shared" si="10"/>
        <v>#VALUE!</v>
      </c>
      <c r="AG47" s="10" t="e">
        <f t="shared" si="33"/>
        <v>#VALUE!</v>
      </c>
      <c r="AI47" s="13"/>
      <c r="AK47" s="10" t="e">
        <f t="shared" si="34"/>
        <v>#VALUE!</v>
      </c>
      <c r="AL47" s="10" t="e">
        <f t="shared" si="66"/>
        <v>#VALUE!</v>
      </c>
      <c r="AM47" s="10" t="e">
        <f t="shared" si="11"/>
        <v>#VALUE!</v>
      </c>
      <c r="AN47" s="10" t="e">
        <f t="shared" si="35"/>
        <v>#VALUE!</v>
      </c>
      <c r="AO47" s="10" t="e">
        <f t="shared" si="36"/>
        <v>#VALUE!</v>
      </c>
      <c r="AP47" s="10" t="e">
        <f t="shared" si="37"/>
        <v>#VALUE!</v>
      </c>
      <c r="AQ47" s="10" t="e">
        <f t="shared" si="67"/>
        <v>#VALUE!</v>
      </c>
      <c r="AR47" s="10" t="e">
        <f t="shared" si="12"/>
        <v>#VALUE!</v>
      </c>
      <c r="AS47" s="10" t="e">
        <f t="shared" si="68"/>
        <v>#VALUE!</v>
      </c>
      <c r="AU47" s="10" t="e">
        <f t="shared" si="38"/>
        <v>#VALUE!</v>
      </c>
      <c r="AV47" s="10" t="e">
        <f t="shared" si="69"/>
        <v>#VALUE!</v>
      </c>
      <c r="AW47" s="10" t="e">
        <f t="shared" si="13"/>
        <v>#VALUE!</v>
      </c>
      <c r="AX47" s="10" t="e">
        <f t="shared" si="39"/>
        <v>#VALUE!</v>
      </c>
      <c r="AY47" s="10" t="e">
        <f t="shared" si="40"/>
        <v>#VALUE!</v>
      </c>
      <c r="AZ47" s="10" t="e">
        <f t="shared" si="41"/>
        <v>#VALUE!</v>
      </c>
      <c r="BA47" s="10" t="e">
        <f t="shared" si="70"/>
        <v>#VALUE!</v>
      </c>
      <c r="BB47" s="10" t="e">
        <f t="shared" si="14"/>
        <v>#VALUE!</v>
      </c>
      <c r="BC47" s="10" t="e">
        <f t="shared" si="71"/>
        <v>#VALUE!</v>
      </c>
      <c r="BE47" s="10" t="e">
        <f t="shared" si="42"/>
        <v>#VALUE!</v>
      </c>
      <c r="BF47" s="10" t="e">
        <f t="shared" si="72"/>
        <v>#VALUE!</v>
      </c>
      <c r="BG47" s="10" t="e">
        <f t="shared" si="15"/>
        <v>#VALUE!</v>
      </c>
      <c r="BH47" s="10" t="e">
        <f t="shared" si="43"/>
        <v>#VALUE!</v>
      </c>
      <c r="BI47" s="10" t="e">
        <f t="shared" si="44"/>
        <v>#VALUE!</v>
      </c>
      <c r="BJ47" s="10" t="e">
        <f t="shared" si="45"/>
        <v>#VALUE!</v>
      </c>
      <c r="BK47" s="10" t="e">
        <f t="shared" si="73"/>
        <v>#VALUE!</v>
      </c>
      <c r="BL47" s="10" t="e">
        <f t="shared" si="16"/>
        <v>#VALUE!</v>
      </c>
      <c r="BM47" s="10" t="e">
        <f t="shared" si="74"/>
        <v>#VALUE!</v>
      </c>
      <c r="BP47" s="10" t="e">
        <f t="shared" si="46"/>
        <v>#VALUE!</v>
      </c>
      <c r="BQ47" s="10" t="e">
        <f t="shared" si="47"/>
        <v>#VALUE!</v>
      </c>
      <c r="BR47" s="10" t="e">
        <f t="shared" si="48"/>
        <v>#VALUE!</v>
      </c>
      <c r="BS47" s="10" t="e">
        <f t="shared" si="49"/>
        <v>#VALUE!</v>
      </c>
      <c r="BT47" s="10" t="e">
        <f t="shared" si="50"/>
        <v>#VALUE!</v>
      </c>
      <c r="BU47" s="10" t="e">
        <f t="shared" si="51"/>
        <v>#VALUE!</v>
      </c>
      <c r="BW47" s="10" t="e">
        <f t="shared" si="52"/>
        <v>#VALUE!</v>
      </c>
      <c r="BX47" s="10" t="e">
        <f t="shared" si="53"/>
        <v>#VALUE!</v>
      </c>
      <c r="BY47" s="10" t="e">
        <f t="shared" si="54"/>
        <v>#VALUE!</v>
      </c>
      <c r="BZ47" s="10" t="e">
        <f t="shared" si="55"/>
        <v>#VALUE!</v>
      </c>
      <c r="CA47" s="10" t="e">
        <f t="shared" si="56"/>
        <v>#VALUE!</v>
      </c>
      <c r="CB47" s="10" t="e">
        <f t="shared" si="57"/>
        <v>#VALUE!</v>
      </c>
      <c r="CD47" s="10" t="e">
        <f>MATCH(INDEX($BP$12:$BU$12,1,MATCH(BP47,$BP$15:$BU$15,0)),结果汇总!$AI$10:$AI$13,0)</f>
        <v>#VALUE!</v>
      </c>
      <c r="CE47" s="10" t="e">
        <f>MATCH(INDEX($BP$12:$BU$12,1,MATCH(BQ47,$BP$15:$BU$15,0)),结果汇总!$AI$10:$AI$13,0)</f>
        <v>#VALUE!</v>
      </c>
      <c r="CF47" s="10" t="e">
        <f>MATCH(INDEX($BP$12:$BU$12,1,MATCH(BR47,$BP$15:$BU$15,0)),结果汇总!$AI$10:$AI$13,0)</f>
        <v>#VALUE!</v>
      </c>
      <c r="CG47" s="10" t="e">
        <f>MATCH(INDEX($BP$12:$BU$12,1,MATCH(BS47,$BP$15:$BU$15,0)),结果汇总!$AI$10:$AI$13,0)</f>
        <v>#VALUE!</v>
      </c>
      <c r="CH47" s="10" t="e">
        <f>MATCH(INDEX($BP$12:$BU$12,1,MATCH(BT47,$BP$15:$BU$15,0)),结果汇总!$AI$10:$AI$13,0)</f>
        <v>#VALUE!</v>
      </c>
      <c r="CI47" s="10" t="e">
        <f>MATCH(INDEX($BP$12:$BU$12,1,MATCH(BU47,$BP$15:$BU$15,0)),结果汇总!$AI$10:$AI$13,0)</f>
        <v>#VALUE!</v>
      </c>
      <c r="CK47" s="10">
        <f t="shared" si="58"/>
        <v>0</v>
      </c>
      <c r="CL47" s="10">
        <f t="shared" si="58"/>
        <v>0</v>
      </c>
      <c r="CM47" s="10">
        <f t="shared" si="58"/>
        <v>0</v>
      </c>
      <c r="CN47" s="10">
        <f t="shared" si="58"/>
        <v>0</v>
      </c>
      <c r="CO47" s="10" t="e">
        <f t="shared" si="59"/>
        <v>#DIV/0!</v>
      </c>
      <c r="CP47" s="10" t="e">
        <f t="shared" si="59"/>
        <v>#DIV/0!</v>
      </c>
      <c r="CQ47" s="10" t="e">
        <f t="shared" si="59"/>
        <v>#DIV/0!</v>
      </c>
      <c r="CR47" s="10" t="e">
        <f t="shared" si="59"/>
        <v>#DIV/0!</v>
      </c>
      <c r="CS47" s="10">
        <f t="shared" si="60"/>
        <v>0</v>
      </c>
      <c r="CT47" s="10">
        <f t="shared" si="60"/>
        <v>0</v>
      </c>
      <c r="CU47" s="10">
        <f t="shared" si="60"/>
        <v>0</v>
      </c>
      <c r="CV47" s="10">
        <f t="shared" si="60"/>
        <v>0</v>
      </c>
      <c r="CW47" s="10">
        <f t="shared" si="61"/>
        <v>0</v>
      </c>
      <c r="CX47" s="10">
        <f t="shared" si="61"/>
        <v>0</v>
      </c>
      <c r="CY47" s="10">
        <f t="shared" si="61"/>
        <v>0</v>
      </c>
      <c r="CZ47" s="10">
        <f t="shared" si="61"/>
        <v>0</v>
      </c>
    </row>
    <row r="48" spans="4:104" x14ac:dyDescent="0.15">
      <c r="D48" s="10">
        <v>33</v>
      </c>
      <c r="E48" s="10" t="e">
        <f t="shared" si="21"/>
        <v>#VALUE!</v>
      </c>
      <c r="F48" s="10" t="e">
        <f t="shared" si="1"/>
        <v>#VALUE!</v>
      </c>
      <c r="G48" s="10" t="e">
        <f t="shared" si="2"/>
        <v>#VALUE!</v>
      </c>
      <c r="H48" s="10" t="e">
        <f t="shared" si="22"/>
        <v>#VALUE!</v>
      </c>
      <c r="I48" s="10" t="e">
        <f t="shared" si="3"/>
        <v>#VALUE!</v>
      </c>
      <c r="J48" s="10" t="e">
        <f t="shared" si="23"/>
        <v>#VALUE!</v>
      </c>
      <c r="K48" s="10" t="e">
        <f t="shared" si="4"/>
        <v>#VALUE!</v>
      </c>
      <c r="L48" s="10" t="e">
        <f t="shared" si="5"/>
        <v>#VALUE!</v>
      </c>
      <c r="M48" s="10" t="e">
        <f t="shared" si="24"/>
        <v>#VALUE!</v>
      </c>
      <c r="O48" s="10" t="e">
        <f t="shared" si="25"/>
        <v>#VALUE!</v>
      </c>
      <c r="P48" s="10" t="e">
        <f t="shared" si="6"/>
        <v>#VALUE!</v>
      </c>
      <c r="Q48" s="10" t="e">
        <f t="shared" si="7"/>
        <v>#VALUE!</v>
      </c>
      <c r="R48" s="10" t="e">
        <f t="shared" si="26"/>
        <v>#VALUE!</v>
      </c>
      <c r="S48" s="10" t="e">
        <f t="shared" si="27"/>
        <v>#VALUE!</v>
      </c>
      <c r="T48" s="10" t="e">
        <f t="shared" si="62"/>
        <v>#VALUE!</v>
      </c>
      <c r="U48" s="10" t="e">
        <f t="shared" si="63"/>
        <v>#VALUE!</v>
      </c>
      <c r="V48" s="10" t="e">
        <f t="shared" si="8"/>
        <v>#VALUE!</v>
      </c>
      <c r="W48" s="10" t="e">
        <f t="shared" si="28"/>
        <v>#VALUE!</v>
      </c>
      <c r="Y48" s="10" t="e">
        <f t="shared" si="29"/>
        <v>#VALUE!</v>
      </c>
      <c r="Z48" s="11" t="e">
        <f t="shared" si="30"/>
        <v>#VALUE!</v>
      </c>
      <c r="AA48" s="10" t="e">
        <f t="shared" si="9"/>
        <v>#VALUE!</v>
      </c>
      <c r="AB48" s="10" t="e">
        <f t="shared" si="31"/>
        <v>#VALUE!</v>
      </c>
      <c r="AC48" s="10" t="e">
        <f t="shared" si="32"/>
        <v>#VALUE!</v>
      </c>
      <c r="AD48" s="10" t="e">
        <f t="shared" si="64"/>
        <v>#VALUE!</v>
      </c>
      <c r="AE48" s="10" t="e">
        <f t="shared" si="65"/>
        <v>#VALUE!</v>
      </c>
      <c r="AF48" s="10" t="e">
        <f t="shared" si="10"/>
        <v>#VALUE!</v>
      </c>
      <c r="AG48" s="10" t="e">
        <f t="shared" si="33"/>
        <v>#VALUE!</v>
      </c>
      <c r="AI48" s="13"/>
      <c r="AK48" s="10" t="e">
        <f t="shared" si="34"/>
        <v>#VALUE!</v>
      </c>
      <c r="AL48" s="10" t="e">
        <f t="shared" si="66"/>
        <v>#VALUE!</v>
      </c>
      <c r="AM48" s="10" t="e">
        <f t="shared" si="11"/>
        <v>#VALUE!</v>
      </c>
      <c r="AN48" s="10" t="e">
        <f t="shared" si="35"/>
        <v>#VALUE!</v>
      </c>
      <c r="AO48" s="10" t="e">
        <f t="shared" si="36"/>
        <v>#VALUE!</v>
      </c>
      <c r="AP48" s="10" t="e">
        <f t="shared" si="37"/>
        <v>#VALUE!</v>
      </c>
      <c r="AQ48" s="10" t="e">
        <f t="shared" si="67"/>
        <v>#VALUE!</v>
      </c>
      <c r="AR48" s="10" t="e">
        <f t="shared" si="12"/>
        <v>#VALUE!</v>
      </c>
      <c r="AS48" s="10" t="e">
        <f t="shared" si="68"/>
        <v>#VALUE!</v>
      </c>
      <c r="AU48" s="10" t="e">
        <f t="shared" si="38"/>
        <v>#VALUE!</v>
      </c>
      <c r="AV48" s="10" t="e">
        <f t="shared" si="69"/>
        <v>#VALUE!</v>
      </c>
      <c r="AW48" s="10" t="e">
        <f t="shared" si="13"/>
        <v>#VALUE!</v>
      </c>
      <c r="AX48" s="10" t="e">
        <f t="shared" si="39"/>
        <v>#VALUE!</v>
      </c>
      <c r="AY48" s="10" t="e">
        <f t="shared" si="40"/>
        <v>#VALUE!</v>
      </c>
      <c r="AZ48" s="10" t="e">
        <f t="shared" si="41"/>
        <v>#VALUE!</v>
      </c>
      <c r="BA48" s="10" t="e">
        <f t="shared" si="70"/>
        <v>#VALUE!</v>
      </c>
      <c r="BB48" s="10" t="e">
        <f t="shared" si="14"/>
        <v>#VALUE!</v>
      </c>
      <c r="BC48" s="10" t="e">
        <f t="shared" si="71"/>
        <v>#VALUE!</v>
      </c>
      <c r="BE48" s="10" t="e">
        <f t="shared" si="42"/>
        <v>#VALUE!</v>
      </c>
      <c r="BF48" s="10" t="e">
        <f t="shared" si="72"/>
        <v>#VALUE!</v>
      </c>
      <c r="BG48" s="10" t="e">
        <f t="shared" si="15"/>
        <v>#VALUE!</v>
      </c>
      <c r="BH48" s="10" t="e">
        <f t="shared" si="43"/>
        <v>#VALUE!</v>
      </c>
      <c r="BI48" s="10" t="e">
        <f t="shared" si="44"/>
        <v>#VALUE!</v>
      </c>
      <c r="BJ48" s="10" t="e">
        <f t="shared" si="45"/>
        <v>#VALUE!</v>
      </c>
      <c r="BK48" s="10" t="e">
        <f t="shared" si="73"/>
        <v>#VALUE!</v>
      </c>
      <c r="BL48" s="10" t="e">
        <f t="shared" si="16"/>
        <v>#VALUE!</v>
      </c>
      <c r="BM48" s="10" t="e">
        <f t="shared" si="74"/>
        <v>#VALUE!</v>
      </c>
      <c r="BP48" s="10" t="e">
        <f t="shared" si="46"/>
        <v>#VALUE!</v>
      </c>
      <c r="BQ48" s="10" t="e">
        <f t="shared" si="47"/>
        <v>#VALUE!</v>
      </c>
      <c r="BR48" s="10" t="e">
        <f t="shared" si="48"/>
        <v>#VALUE!</v>
      </c>
      <c r="BS48" s="10" t="e">
        <f t="shared" si="49"/>
        <v>#VALUE!</v>
      </c>
      <c r="BT48" s="10" t="e">
        <f t="shared" si="50"/>
        <v>#VALUE!</v>
      </c>
      <c r="BU48" s="10" t="e">
        <f t="shared" si="51"/>
        <v>#VALUE!</v>
      </c>
      <c r="BW48" s="10" t="e">
        <f t="shared" si="52"/>
        <v>#VALUE!</v>
      </c>
      <c r="BX48" s="10" t="e">
        <f t="shared" si="53"/>
        <v>#VALUE!</v>
      </c>
      <c r="BY48" s="10" t="e">
        <f t="shared" si="54"/>
        <v>#VALUE!</v>
      </c>
      <c r="BZ48" s="10" t="e">
        <f t="shared" si="55"/>
        <v>#VALUE!</v>
      </c>
      <c r="CA48" s="10" t="e">
        <f t="shared" si="56"/>
        <v>#VALUE!</v>
      </c>
      <c r="CB48" s="10" t="e">
        <f t="shared" si="57"/>
        <v>#VALUE!</v>
      </c>
      <c r="CD48" s="10" t="e">
        <f>MATCH(INDEX($BP$12:$BU$12,1,MATCH(BP48,$BP$15:$BU$15,0)),结果汇总!$AI$10:$AI$13,0)</f>
        <v>#VALUE!</v>
      </c>
      <c r="CE48" s="10" t="e">
        <f>MATCH(INDEX($BP$12:$BU$12,1,MATCH(BQ48,$BP$15:$BU$15,0)),结果汇总!$AI$10:$AI$13,0)</f>
        <v>#VALUE!</v>
      </c>
      <c r="CF48" s="10" t="e">
        <f>MATCH(INDEX($BP$12:$BU$12,1,MATCH(BR48,$BP$15:$BU$15,0)),结果汇总!$AI$10:$AI$13,0)</f>
        <v>#VALUE!</v>
      </c>
      <c r="CG48" s="10" t="e">
        <f>MATCH(INDEX($BP$12:$BU$12,1,MATCH(BS48,$BP$15:$BU$15,0)),结果汇总!$AI$10:$AI$13,0)</f>
        <v>#VALUE!</v>
      </c>
      <c r="CH48" s="10" t="e">
        <f>MATCH(INDEX($BP$12:$BU$12,1,MATCH(BT48,$BP$15:$BU$15,0)),结果汇总!$AI$10:$AI$13,0)</f>
        <v>#VALUE!</v>
      </c>
      <c r="CI48" s="10" t="e">
        <f>MATCH(INDEX($BP$12:$BU$12,1,MATCH(BU48,$BP$15:$BU$15,0)),结果汇总!$AI$10:$AI$13,0)</f>
        <v>#VALUE!</v>
      </c>
      <c r="CK48" s="10">
        <f t="shared" si="58"/>
        <v>0</v>
      </c>
      <c r="CL48" s="10">
        <f t="shared" si="58"/>
        <v>0</v>
      </c>
      <c r="CM48" s="10">
        <f t="shared" si="58"/>
        <v>0</v>
      </c>
      <c r="CN48" s="10">
        <f t="shared" si="58"/>
        <v>0</v>
      </c>
      <c r="CO48" s="10" t="e">
        <f t="shared" si="59"/>
        <v>#DIV/0!</v>
      </c>
      <c r="CP48" s="10" t="e">
        <f t="shared" si="59"/>
        <v>#DIV/0!</v>
      </c>
      <c r="CQ48" s="10" t="e">
        <f t="shared" si="59"/>
        <v>#DIV/0!</v>
      </c>
      <c r="CR48" s="10" t="e">
        <f t="shared" si="59"/>
        <v>#DIV/0!</v>
      </c>
      <c r="CS48" s="10">
        <f t="shared" si="60"/>
        <v>0</v>
      </c>
      <c r="CT48" s="10">
        <f t="shared" si="60"/>
        <v>0</v>
      </c>
      <c r="CU48" s="10">
        <f t="shared" si="60"/>
        <v>0</v>
      </c>
      <c r="CV48" s="10">
        <f t="shared" si="60"/>
        <v>0</v>
      </c>
      <c r="CW48" s="10">
        <f t="shared" si="61"/>
        <v>0</v>
      </c>
      <c r="CX48" s="10">
        <f t="shared" si="61"/>
        <v>0</v>
      </c>
      <c r="CY48" s="10">
        <f t="shared" si="61"/>
        <v>0</v>
      </c>
      <c r="CZ48" s="10">
        <f t="shared" si="61"/>
        <v>0</v>
      </c>
    </row>
    <row r="49" spans="4:104" x14ac:dyDescent="0.15">
      <c r="D49" s="10">
        <v>34</v>
      </c>
      <c r="E49" s="10" t="e">
        <f t="shared" si="21"/>
        <v>#VALUE!</v>
      </c>
      <c r="F49" s="10" t="e">
        <f t="shared" si="1"/>
        <v>#VALUE!</v>
      </c>
      <c r="G49" s="10" t="e">
        <f t="shared" si="2"/>
        <v>#VALUE!</v>
      </c>
      <c r="H49" s="10" t="e">
        <f t="shared" si="22"/>
        <v>#VALUE!</v>
      </c>
      <c r="I49" s="10" t="e">
        <f t="shared" si="3"/>
        <v>#VALUE!</v>
      </c>
      <c r="J49" s="10" t="e">
        <f t="shared" si="23"/>
        <v>#VALUE!</v>
      </c>
      <c r="K49" s="10" t="e">
        <f t="shared" si="4"/>
        <v>#VALUE!</v>
      </c>
      <c r="L49" s="10" t="e">
        <f t="shared" si="5"/>
        <v>#VALUE!</v>
      </c>
      <c r="M49" s="10" t="e">
        <f t="shared" si="24"/>
        <v>#VALUE!</v>
      </c>
      <c r="O49" s="10" t="e">
        <f t="shared" si="25"/>
        <v>#VALUE!</v>
      </c>
      <c r="P49" s="10" t="e">
        <f t="shared" si="6"/>
        <v>#VALUE!</v>
      </c>
      <c r="Q49" s="10" t="e">
        <f t="shared" si="7"/>
        <v>#VALUE!</v>
      </c>
      <c r="R49" s="10" t="e">
        <f t="shared" si="26"/>
        <v>#VALUE!</v>
      </c>
      <c r="S49" s="10" t="e">
        <f t="shared" si="27"/>
        <v>#VALUE!</v>
      </c>
      <c r="T49" s="10" t="e">
        <f t="shared" si="62"/>
        <v>#VALUE!</v>
      </c>
      <c r="U49" s="10" t="e">
        <f t="shared" si="63"/>
        <v>#VALUE!</v>
      </c>
      <c r="V49" s="10" t="e">
        <f t="shared" si="8"/>
        <v>#VALUE!</v>
      </c>
      <c r="W49" s="10" t="e">
        <f t="shared" si="28"/>
        <v>#VALUE!</v>
      </c>
      <c r="Y49" s="10" t="e">
        <f t="shared" si="29"/>
        <v>#VALUE!</v>
      </c>
      <c r="Z49" s="11" t="e">
        <f t="shared" si="30"/>
        <v>#VALUE!</v>
      </c>
      <c r="AA49" s="10" t="e">
        <f t="shared" si="9"/>
        <v>#VALUE!</v>
      </c>
      <c r="AB49" s="10" t="e">
        <f t="shared" si="31"/>
        <v>#VALUE!</v>
      </c>
      <c r="AC49" s="10" t="e">
        <f t="shared" si="32"/>
        <v>#VALUE!</v>
      </c>
      <c r="AD49" s="10" t="e">
        <f t="shared" si="64"/>
        <v>#VALUE!</v>
      </c>
      <c r="AE49" s="10" t="e">
        <f t="shared" si="65"/>
        <v>#VALUE!</v>
      </c>
      <c r="AF49" s="10" t="e">
        <f t="shared" si="10"/>
        <v>#VALUE!</v>
      </c>
      <c r="AG49" s="10" t="e">
        <f t="shared" si="33"/>
        <v>#VALUE!</v>
      </c>
      <c r="AI49" s="13"/>
      <c r="AK49" s="10" t="e">
        <f t="shared" si="34"/>
        <v>#VALUE!</v>
      </c>
      <c r="AL49" s="10" t="e">
        <f t="shared" si="66"/>
        <v>#VALUE!</v>
      </c>
      <c r="AM49" s="10" t="e">
        <f t="shared" si="11"/>
        <v>#VALUE!</v>
      </c>
      <c r="AN49" s="10" t="e">
        <f t="shared" si="35"/>
        <v>#VALUE!</v>
      </c>
      <c r="AO49" s="10" t="e">
        <f t="shared" si="36"/>
        <v>#VALUE!</v>
      </c>
      <c r="AP49" s="10" t="e">
        <f t="shared" si="37"/>
        <v>#VALUE!</v>
      </c>
      <c r="AQ49" s="10" t="e">
        <f t="shared" si="67"/>
        <v>#VALUE!</v>
      </c>
      <c r="AR49" s="10" t="e">
        <f t="shared" si="12"/>
        <v>#VALUE!</v>
      </c>
      <c r="AS49" s="10" t="e">
        <f t="shared" si="68"/>
        <v>#VALUE!</v>
      </c>
      <c r="AU49" s="10" t="e">
        <f t="shared" si="38"/>
        <v>#VALUE!</v>
      </c>
      <c r="AV49" s="10" t="e">
        <f t="shared" si="69"/>
        <v>#VALUE!</v>
      </c>
      <c r="AW49" s="10" t="e">
        <f t="shared" si="13"/>
        <v>#VALUE!</v>
      </c>
      <c r="AX49" s="10" t="e">
        <f t="shared" si="39"/>
        <v>#VALUE!</v>
      </c>
      <c r="AY49" s="10" t="e">
        <f t="shared" si="40"/>
        <v>#VALUE!</v>
      </c>
      <c r="AZ49" s="10" t="e">
        <f t="shared" si="41"/>
        <v>#VALUE!</v>
      </c>
      <c r="BA49" s="10" t="e">
        <f t="shared" si="70"/>
        <v>#VALUE!</v>
      </c>
      <c r="BB49" s="10" t="e">
        <f t="shared" si="14"/>
        <v>#VALUE!</v>
      </c>
      <c r="BC49" s="10" t="e">
        <f t="shared" si="71"/>
        <v>#VALUE!</v>
      </c>
      <c r="BE49" s="10" t="e">
        <f t="shared" si="42"/>
        <v>#VALUE!</v>
      </c>
      <c r="BF49" s="10" t="e">
        <f t="shared" si="72"/>
        <v>#VALUE!</v>
      </c>
      <c r="BG49" s="10" t="e">
        <f t="shared" si="15"/>
        <v>#VALUE!</v>
      </c>
      <c r="BH49" s="10" t="e">
        <f t="shared" si="43"/>
        <v>#VALUE!</v>
      </c>
      <c r="BI49" s="10" t="e">
        <f t="shared" si="44"/>
        <v>#VALUE!</v>
      </c>
      <c r="BJ49" s="10" t="e">
        <f t="shared" si="45"/>
        <v>#VALUE!</v>
      </c>
      <c r="BK49" s="10" t="e">
        <f t="shared" si="73"/>
        <v>#VALUE!</v>
      </c>
      <c r="BL49" s="10" t="e">
        <f t="shared" si="16"/>
        <v>#VALUE!</v>
      </c>
      <c r="BM49" s="10" t="e">
        <f t="shared" si="74"/>
        <v>#VALUE!</v>
      </c>
      <c r="BP49" s="10" t="e">
        <f t="shared" si="46"/>
        <v>#VALUE!</v>
      </c>
      <c r="BQ49" s="10" t="e">
        <f t="shared" si="47"/>
        <v>#VALUE!</v>
      </c>
      <c r="BR49" s="10" t="e">
        <f t="shared" si="48"/>
        <v>#VALUE!</v>
      </c>
      <c r="BS49" s="10" t="e">
        <f t="shared" si="49"/>
        <v>#VALUE!</v>
      </c>
      <c r="BT49" s="10" t="e">
        <f t="shared" si="50"/>
        <v>#VALUE!</v>
      </c>
      <c r="BU49" s="10" t="e">
        <f t="shared" si="51"/>
        <v>#VALUE!</v>
      </c>
      <c r="BW49" s="10" t="e">
        <f t="shared" si="52"/>
        <v>#VALUE!</v>
      </c>
      <c r="BX49" s="10" t="e">
        <f t="shared" si="53"/>
        <v>#VALUE!</v>
      </c>
      <c r="BY49" s="10" t="e">
        <f t="shared" si="54"/>
        <v>#VALUE!</v>
      </c>
      <c r="BZ49" s="10" t="e">
        <f t="shared" si="55"/>
        <v>#VALUE!</v>
      </c>
      <c r="CA49" s="10" t="e">
        <f t="shared" si="56"/>
        <v>#VALUE!</v>
      </c>
      <c r="CB49" s="10" t="e">
        <f t="shared" si="57"/>
        <v>#VALUE!</v>
      </c>
      <c r="CD49" s="10" t="e">
        <f>MATCH(INDEX($BP$12:$BU$12,1,MATCH(BP49,$BP$15:$BU$15,0)),结果汇总!$AI$10:$AI$13,0)</f>
        <v>#VALUE!</v>
      </c>
      <c r="CE49" s="10" t="e">
        <f>MATCH(INDEX($BP$12:$BU$12,1,MATCH(BQ49,$BP$15:$BU$15,0)),结果汇总!$AI$10:$AI$13,0)</f>
        <v>#VALUE!</v>
      </c>
      <c r="CF49" s="10" t="e">
        <f>MATCH(INDEX($BP$12:$BU$12,1,MATCH(BR49,$BP$15:$BU$15,0)),结果汇总!$AI$10:$AI$13,0)</f>
        <v>#VALUE!</v>
      </c>
      <c r="CG49" s="10" t="e">
        <f>MATCH(INDEX($BP$12:$BU$12,1,MATCH(BS49,$BP$15:$BU$15,0)),结果汇总!$AI$10:$AI$13,0)</f>
        <v>#VALUE!</v>
      </c>
      <c r="CH49" s="10" t="e">
        <f>MATCH(INDEX($BP$12:$BU$12,1,MATCH(BT49,$BP$15:$BU$15,0)),结果汇总!$AI$10:$AI$13,0)</f>
        <v>#VALUE!</v>
      </c>
      <c r="CI49" s="10" t="e">
        <f>MATCH(INDEX($BP$12:$BU$12,1,MATCH(BU49,$BP$15:$BU$15,0)),结果汇总!$AI$10:$AI$13,0)</f>
        <v>#VALUE!</v>
      </c>
      <c r="CK49" s="10">
        <f t="shared" ref="CK49:CN80" si="75">COUNTIFS($CD49:$CI49,CK$15,$CD$15:$CI$15,$CK$14)/COUNTIFS($CD$15:$CI$15,$CK$14)</f>
        <v>0</v>
      </c>
      <c r="CL49" s="10">
        <f t="shared" si="75"/>
        <v>0</v>
      </c>
      <c r="CM49" s="10">
        <f t="shared" si="75"/>
        <v>0</v>
      </c>
      <c r="CN49" s="10">
        <f t="shared" si="75"/>
        <v>0</v>
      </c>
      <c r="CO49" s="10" t="e">
        <f t="shared" ref="CO49:CR80" si="76">COUNTIFS($CD49:$CI49,CO$15,$CD$15:$CI$15,$CO$14)/COUNTIFS($CD$15:$CI$15,$CO$14)</f>
        <v>#DIV/0!</v>
      </c>
      <c r="CP49" s="10" t="e">
        <f t="shared" si="76"/>
        <v>#DIV/0!</v>
      </c>
      <c r="CQ49" s="10" t="e">
        <f t="shared" si="76"/>
        <v>#DIV/0!</v>
      </c>
      <c r="CR49" s="10" t="e">
        <f t="shared" si="76"/>
        <v>#DIV/0!</v>
      </c>
      <c r="CS49" s="10">
        <f t="shared" ref="CS49:CV80" si="77">COUNTIFS($CD49:$CI49,CS$15,$CD$15:$CI$15,$CS$14)/COUNTIFS($CD$15:$CI$15,$CS$14)</f>
        <v>0</v>
      </c>
      <c r="CT49" s="10">
        <f t="shared" si="77"/>
        <v>0</v>
      </c>
      <c r="CU49" s="10">
        <f t="shared" si="77"/>
        <v>0</v>
      </c>
      <c r="CV49" s="10">
        <f t="shared" si="77"/>
        <v>0</v>
      </c>
      <c r="CW49" s="10">
        <f t="shared" ref="CW49:CZ80" si="78">COUNTIFS($CD49:$CI49,CW$15,$CD$15:$CI$15,$CW$14)/COUNTIFS($CD$15:$CI$15,$CW$14)</f>
        <v>0</v>
      </c>
      <c r="CX49" s="10">
        <f t="shared" si="78"/>
        <v>0</v>
      </c>
      <c r="CY49" s="10">
        <f t="shared" si="78"/>
        <v>0</v>
      </c>
      <c r="CZ49" s="10">
        <f t="shared" si="78"/>
        <v>0</v>
      </c>
    </row>
    <row r="50" spans="4:104" x14ac:dyDescent="0.15">
      <c r="D50" s="10">
        <v>35</v>
      </c>
      <c r="E50" s="10" t="e">
        <f t="shared" si="21"/>
        <v>#VALUE!</v>
      </c>
      <c r="F50" s="10" t="e">
        <f t="shared" si="1"/>
        <v>#VALUE!</v>
      </c>
      <c r="G50" s="10" t="e">
        <f t="shared" si="2"/>
        <v>#VALUE!</v>
      </c>
      <c r="H50" s="10" t="e">
        <f t="shared" si="22"/>
        <v>#VALUE!</v>
      </c>
      <c r="I50" s="10" t="e">
        <f t="shared" si="3"/>
        <v>#VALUE!</v>
      </c>
      <c r="J50" s="10" t="e">
        <f t="shared" si="23"/>
        <v>#VALUE!</v>
      </c>
      <c r="K50" s="10" t="e">
        <f t="shared" si="4"/>
        <v>#VALUE!</v>
      </c>
      <c r="L50" s="10" t="e">
        <f t="shared" si="5"/>
        <v>#VALUE!</v>
      </c>
      <c r="M50" s="10" t="e">
        <f t="shared" si="24"/>
        <v>#VALUE!</v>
      </c>
      <c r="O50" s="10" t="e">
        <f t="shared" si="25"/>
        <v>#VALUE!</v>
      </c>
      <c r="P50" s="10" t="e">
        <f t="shared" si="6"/>
        <v>#VALUE!</v>
      </c>
      <c r="Q50" s="10" t="e">
        <f t="shared" si="7"/>
        <v>#VALUE!</v>
      </c>
      <c r="R50" s="10" t="e">
        <f t="shared" si="26"/>
        <v>#VALUE!</v>
      </c>
      <c r="S50" s="10" t="e">
        <f t="shared" si="27"/>
        <v>#VALUE!</v>
      </c>
      <c r="T50" s="10" t="e">
        <f t="shared" si="62"/>
        <v>#VALUE!</v>
      </c>
      <c r="U50" s="10" t="e">
        <f t="shared" si="63"/>
        <v>#VALUE!</v>
      </c>
      <c r="V50" s="10" t="e">
        <f t="shared" si="8"/>
        <v>#VALUE!</v>
      </c>
      <c r="W50" s="10" t="e">
        <f t="shared" si="28"/>
        <v>#VALUE!</v>
      </c>
      <c r="Y50" s="10" t="e">
        <f t="shared" si="29"/>
        <v>#VALUE!</v>
      </c>
      <c r="Z50" s="11" t="e">
        <f t="shared" si="30"/>
        <v>#VALUE!</v>
      </c>
      <c r="AA50" s="10" t="e">
        <f t="shared" si="9"/>
        <v>#VALUE!</v>
      </c>
      <c r="AB50" s="10" t="e">
        <f t="shared" si="31"/>
        <v>#VALUE!</v>
      </c>
      <c r="AC50" s="10" t="e">
        <f t="shared" si="32"/>
        <v>#VALUE!</v>
      </c>
      <c r="AD50" s="10" t="e">
        <f t="shared" si="64"/>
        <v>#VALUE!</v>
      </c>
      <c r="AE50" s="10" t="e">
        <f t="shared" si="65"/>
        <v>#VALUE!</v>
      </c>
      <c r="AF50" s="10" t="e">
        <f t="shared" si="10"/>
        <v>#VALUE!</v>
      </c>
      <c r="AG50" s="10" t="e">
        <f t="shared" si="33"/>
        <v>#VALUE!</v>
      </c>
      <c r="AI50" s="13"/>
      <c r="AK50" s="10" t="e">
        <f t="shared" si="34"/>
        <v>#VALUE!</v>
      </c>
      <c r="AL50" s="10" t="e">
        <f t="shared" si="66"/>
        <v>#VALUE!</v>
      </c>
      <c r="AM50" s="10" t="e">
        <f t="shared" si="11"/>
        <v>#VALUE!</v>
      </c>
      <c r="AN50" s="10" t="e">
        <f t="shared" si="35"/>
        <v>#VALUE!</v>
      </c>
      <c r="AO50" s="10" t="e">
        <f t="shared" si="36"/>
        <v>#VALUE!</v>
      </c>
      <c r="AP50" s="10" t="e">
        <f t="shared" si="37"/>
        <v>#VALUE!</v>
      </c>
      <c r="AQ50" s="10" t="e">
        <f t="shared" si="67"/>
        <v>#VALUE!</v>
      </c>
      <c r="AR50" s="10" t="e">
        <f t="shared" si="12"/>
        <v>#VALUE!</v>
      </c>
      <c r="AS50" s="10" t="e">
        <f t="shared" si="68"/>
        <v>#VALUE!</v>
      </c>
      <c r="AU50" s="10" t="e">
        <f t="shared" si="38"/>
        <v>#VALUE!</v>
      </c>
      <c r="AV50" s="10" t="e">
        <f t="shared" si="69"/>
        <v>#VALUE!</v>
      </c>
      <c r="AW50" s="10" t="e">
        <f t="shared" si="13"/>
        <v>#VALUE!</v>
      </c>
      <c r="AX50" s="10" t="e">
        <f t="shared" si="39"/>
        <v>#VALUE!</v>
      </c>
      <c r="AY50" s="10" t="e">
        <f t="shared" si="40"/>
        <v>#VALUE!</v>
      </c>
      <c r="AZ50" s="10" t="e">
        <f t="shared" si="41"/>
        <v>#VALUE!</v>
      </c>
      <c r="BA50" s="10" t="e">
        <f t="shared" si="70"/>
        <v>#VALUE!</v>
      </c>
      <c r="BB50" s="10" t="e">
        <f t="shared" si="14"/>
        <v>#VALUE!</v>
      </c>
      <c r="BC50" s="10" t="e">
        <f t="shared" si="71"/>
        <v>#VALUE!</v>
      </c>
      <c r="BE50" s="10" t="e">
        <f t="shared" si="42"/>
        <v>#VALUE!</v>
      </c>
      <c r="BF50" s="10" t="e">
        <f t="shared" si="72"/>
        <v>#VALUE!</v>
      </c>
      <c r="BG50" s="10" t="e">
        <f t="shared" si="15"/>
        <v>#VALUE!</v>
      </c>
      <c r="BH50" s="10" t="e">
        <f t="shared" si="43"/>
        <v>#VALUE!</v>
      </c>
      <c r="BI50" s="10" t="e">
        <f t="shared" si="44"/>
        <v>#VALUE!</v>
      </c>
      <c r="BJ50" s="10" t="e">
        <f t="shared" si="45"/>
        <v>#VALUE!</v>
      </c>
      <c r="BK50" s="10" t="e">
        <f t="shared" si="73"/>
        <v>#VALUE!</v>
      </c>
      <c r="BL50" s="10" t="e">
        <f t="shared" si="16"/>
        <v>#VALUE!</v>
      </c>
      <c r="BM50" s="10" t="e">
        <f t="shared" si="74"/>
        <v>#VALUE!</v>
      </c>
      <c r="BP50" s="10" t="e">
        <f t="shared" si="46"/>
        <v>#VALUE!</v>
      </c>
      <c r="BQ50" s="10" t="e">
        <f t="shared" si="47"/>
        <v>#VALUE!</v>
      </c>
      <c r="BR50" s="10" t="e">
        <f t="shared" si="48"/>
        <v>#VALUE!</v>
      </c>
      <c r="BS50" s="10" t="e">
        <f t="shared" si="49"/>
        <v>#VALUE!</v>
      </c>
      <c r="BT50" s="10" t="e">
        <f t="shared" si="50"/>
        <v>#VALUE!</v>
      </c>
      <c r="BU50" s="10" t="e">
        <f t="shared" si="51"/>
        <v>#VALUE!</v>
      </c>
      <c r="BW50" s="10" t="e">
        <f t="shared" si="52"/>
        <v>#VALUE!</v>
      </c>
      <c r="BX50" s="10" t="e">
        <f t="shared" si="53"/>
        <v>#VALUE!</v>
      </c>
      <c r="BY50" s="10" t="e">
        <f t="shared" si="54"/>
        <v>#VALUE!</v>
      </c>
      <c r="BZ50" s="10" t="e">
        <f t="shared" si="55"/>
        <v>#VALUE!</v>
      </c>
      <c r="CA50" s="10" t="e">
        <f t="shared" si="56"/>
        <v>#VALUE!</v>
      </c>
      <c r="CB50" s="10" t="e">
        <f t="shared" si="57"/>
        <v>#VALUE!</v>
      </c>
      <c r="CD50" s="10" t="e">
        <f>MATCH(INDEX($BP$12:$BU$12,1,MATCH(BP50,$BP$15:$BU$15,0)),结果汇总!$AI$10:$AI$13,0)</f>
        <v>#VALUE!</v>
      </c>
      <c r="CE50" s="10" t="e">
        <f>MATCH(INDEX($BP$12:$BU$12,1,MATCH(BQ50,$BP$15:$BU$15,0)),结果汇总!$AI$10:$AI$13,0)</f>
        <v>#VALUE!</v>
      </c>
      <c r="CF50" s="10" t="e">
        <f>MATCH(INDEX($BP$12:$BU$12,1,MATCH(BR50,$BP$15:$BU$15,0)),结果汇总!$AI$10:$AI$13,0)</f>
        <v>#VALUE!</v>
      </c>
      <c r="CG50" s="10" t="e">
        <f>MATCH(INDEX($BP$12:$BU$12,1,MATCH(BS50,$BP$15:$BU$15,0)),结果汇总!$AI$10:$AI$13,0)</f>
        <v>#VALUE!</v>
      </c>
      <c r="CH50" s="10" t="e">
        <f>MATCH(INDEX($BP$12:$BU$12,1,MATCH(BT50,$BP$15:$BU$15,0)),结果汇总!$AI$10:$AI$13,0)</f>
        <v>#VALUE!</v>
      </c>
      <c r="CI50" s="10" t="e">
        <f>MATCH(INDEX($BP$12:$BU$12,1,MATCH(BU50,$BP$15:$BU$15,0)),结果汇总!$AI$10:$AI$13,0)</f>
        <v>#VALUE!</v>
      </c>
      <c r="CK50" s="10">
        <f t="shared" si="75"/>
        <v>0</v>
      </c>
      <c r="CL50" s="10">
        <f t="shared" si="75"/>
        <v>0</v>
      </c>
      <c r="CM50" s="10">
        <f t="shared" si="75"/>
        <v>0</v>
      </c>
      <c r="CN50" s="10">
        <f t="shared" si="75"/>
        <v>0</v>
      </c>
      <c r="CO50" s="10" t="e">
        <f t="shared" si="76"/>
        <v>#DIV/0!</v>
      </c>
      <c r="CP50" s="10" t="e">
        <f t="shared" si="76"/>
        <v>#DIV/0!</v>
      </c>
      <c r="CQ50" s="10" t="e">
        <f t="shared" si="76"/>
        <v>#DIV/0!</v>
      </c>
      <c r="CR50" s="10" t="e">
        <f t="shared" si="76"/>
        <v>#DIV/0!</v>
      </c>
      <c r="CS50" s="10">
        <f t="shared" si="77"/>
        <v>0</v>
      </c>
      <c r="CT50" s="10">
        <f t="shared" si="77"/>
        <v>0</v>
      </c>
      <c r="CU50" s="10">
        <f t="shared" si="77"/>
        <v>0</v>
      </c>
      <c r="CV50" s="10">
        <f t="shared" si="77"/>
        <v>0</v>
      </c>
      <c r="CW50" s="10">
        <f t="shared" si="78"/>
        <v>0</v>
      </c>
      <c r="CX50" s="10">
        <f t="shared" si="78"/>
        <v>0</v>
      </c>
      <c r="CY50" s="10">
        <f t="shared" si="78"/>
        <v>0</v>
      </c>
      <c r="CZ50" s="10">
        <f t="shared" si="78"/>
        <v>0</v>
      </c>
    </row>
    <row r="51" spans="4:104" x14ac:dyDescent="0.15">
      <c r="D51" s="10">
        <v>36</v>
      </c>
      <c r="E51" s="10" t="e">
        <f t="shared" si="21"/>
        <v>#VALUE!</v>
      </c>
      <c r="F51" s="10" t="e">
        <f t="shared" si="1"/>
        <v>#VALUE!</v>
      </c>
      <c r="G51" s="10" t="e">
        <f t="shared" si="2"/>
        <v>#VALUE!</v>
      </c>
      <c r="H51" s="10" t="e">
        <f t="shared" si="22"/>
        <v>#VALUE!</v>
      </c>
      <c r="I51" s="10" t="e">
        <f t="shared" si="3"/>
        <v>#VALUE!</v>
      </c>
      <c r="J51" s="10" t="e">
        <f t="shared" si="23"/>
        <v>#VALUE!</v>
      </c>
      <c r="K51" s="10" t="e">
        <f t="shared" si="4"/>
        <v>#VALUE!</v>
      </c>
      <c r="L51" s="10" t="e">
        <f t="shared" si="5"/>
        <v>#VALUE!</v>
      </c>
      <c r="M51" s="10" t="e">
        <f t="shared" si="24"/>
        <v>#VALUE!</v>
      </c>
      <c r="O51" s="10" t="e">
        <f t="shared" si="25"/>
        <v>#VALUE!</v>
      </c>
      <c r="P51" s="10" t="e">
        <f t="shared" si="6"/>
        <v>#VALUE!</v>
      </c>
      <c r="Q51" s="10" t="e">
        <f t="shared" si="7"/>
        <v>#VALUE!</v>
      </c>
      <c r="R51" s="10" t="e">
        <f t="shared" si="26"/>
        <v>#VALUE!</v>
      </c>
      <c r="S51" s="10" t="e">
        <f t="shared" si="27"/>
        <v>#VALUE!</v>
      </c>
      <c r="T51" s="10" t="e">
        <f t="shared" si="62"/>
        <v>#VALUE!</v>
      </c>
      <c r="U51" s="10" t="e">
        <f t="shared" si="63"/>
        <v>#VALUE!</v>
      </c>
      <c r="V51" s="10" t="e">
        <f t="shared" si="8"/>
        <v>#VALUE!</v>
      </c>
      <c r="W51" s="10" t="e">
        <f t="shared" si="28"/>
        <v>#VALUE!</v>
      </c>
      <c r="Y51" s="10" t="e">
        <f t="shared" si="29"/>
        <v>#VALUE!</v>
      </c>
      <c r="Z51" s="11" t="e">
        <f t="shared" si="30"/>
        <v>#VALUE!</v>
      </c>
      <c r="AA51" s="10" t="e">
        <f t="shared" si="9"/>
        <v>#VALUE!</v>
      </c>
      <c r="AB51" s="10" t="e">
        <f t="shared" si="31"/>
        <v>#VALUE!</v>
      </c>
      <c r="AC51" s="10" t="e">
        <f t="shared" si="32"/>
        <v>#VALUE!</v>
      </c>
      <c r="AD51" s="10" t="e">
        <f t="shared" si="64"/>
        <v>#VALUE!</v>
      </c>
      <c r="AE51" s="10" t="e">
        <f t="shared" si="65"/>
        <v>#VALUE!</v>
      </c>
      <c r="AF51" s="10" t="e">
        <f t="shared" si="10"/>
        <v>#VALUE!</v>
      </c>
      <c r="AG51" s="10" t="e">
        <f t="shared" si="33"/>
        <v>#VALUE!</v>
      </c>
      <c r="AI51" s="13"/>
      <c r="AK51" s="10" t="e">
        <f t="shared" si="34"/>
        <v>#VALUE!</v>
      </c>
      <c r="AL51" s="10" t="e">
        <f t="shared" si="66"/>
        <v>#VALUE!</v>
      </c>
      <c r="AM51" s="10" t="e">
        <f t="shared" si="11"/>
        <v>#VALUE!</v>
      </c>
      <c r="AN51" s="10" t="e">
        <f t="shared" si="35"/>
        <v>#VALUE!</v>
      </c>
      <c r="AO51" s="10" t="e">
        <f t="shared" si="36"/>
        <v>#VALUE!</v>
      </c>
      <c r="AP51" s="10" t="e">
        <f t="shared" si="37"/>
        <v>#VALUE!</v>
      </c>
      <c r="AQ51" s="10" t="e">
        <f t="shared" si="67"/>
        <v>#VALUE!</v>
      </c>
      <c r="AR51" s="10" t="e">
        <f t="shared" si="12"/>
        <v>#VALUE!</v>
      </c>
      <c r="AS51" s="10" t="e">
        <f t="shared" si="68"/>
        <v>#VALUE!</v>
      </c>
      <c r="AU51" s="10" t="e">
        <f t="shared" si="38"/>
        <v>#VALUE!</v>
      </c>
      <c r="AV51" s="10" t="e">
        <f t="shared" si="69"/>
        <v>#VALUE!</v>
      </c>
      <c r="AW51" s="10" t="e">
        <f t="shared" si="13"/>
        <v>#VALUE!</v>
      </c>
      <c r="AX51" s="10" t="e">
        <f t="shared" si="39"/>
        <v>#VALUE!</v>
      </c>
      <c r="AY51" s="10" t="e">
        <f t="shared" si="40"/>
        <v>#VALUE!</v>
      </c>
      <c r="AZ51" s="10" t="e">
        <f t="shared" si="41"/>
        <v>#VALUE!</v>
      </c>
      <c r="BA51" s="10" t="e">
        <f t="shared" si="70"/>
        <v>#VALUE!</v>
      </c>
      <c r="BB51" s="10" t="e">
        <f t="shared" si="14"/>
        <v>#VALUE!</v>
      </c>
      <c r="BC51" s="10" t="e">
        <f t="shared" si="71"/>
        <v>#VALUE!</v>
      </c>
      <c r="BE51" s="10" t="e">
        <f t="shared" si="42"/>
        <v>#VALUE!</v>
      </c>
      <c r="BF51" s="10" t="e">
        <f t="shared" si="72"/>
        <v>#VALUE!</v>
      </c>
      <c r="BG51" s="10" t="e">
        <f t="shared" si="15"/>
        <v>#VALUE!</v>
      </c>
      <c r="BH51" s="10" t="e">
        <f t="shared" si="43"/>
        <v>#VALUE!</v>
      </c>
      <c r="BI51" s="10" t="e">
        <f t="shared" si="44"/>
        <v>#VALUE!</v>
      </c>
      <c r="BJ51" s="10" t="e">
        <f t="shared" si="45"/>
        <v>#VALUE!</v>
      </c>
      <c r="BK51" s="10" t="e">
        <f t="shared" si="73"/>
        <v>#VALUE!</v>
      </c>
      <c r="BL51" s="10" t="e">
        <f t="shared" si="16"/>
        <v>#VALUE!</v>
      </c>
      <c r="BM51" s="10" t="e">
        <f t="shared" si="74"/>
        <v>#VALUE!</v>
      </c>
      <c r="BP51" s="10" t="e">
        <f t="shared" si="46"/>
        <v>#VALUE!</v>
      </c>
      <c r="BQ51" s="10" t="e">
        <f t="shared" si="47"/>
        <v>#VALUE!</v>
      </c>
      <c r="BR51" s="10" t="e">
        <f t="shared" si="48"/>
        <v>#VALUE!</v>
      </c>
      <c r="BS51" s="10" t="e">
        <f t="shared" si="49"/>
        <v>#VALUE!</v>
      </c>
      <c r="BT51" s="10" t="e">
        <f t="shared" si="50"/>
        <v>#VALUE!</v>
      </c>
      <c r="BU51" s="10" t="e">
        <f t="shared" si="51"/>
        <v>#VALUE!</v>
      </c>
      <c r="BW51" s="10" t="e">
        <f t="shared" si="52"/>
        <v>#VALUE!</v>
      </c>
      <c r="BX51" s="10" t="e">
        <f t="shared" si="53"/>
        <v>#VALUE!</v>
      </c>
      <c r="BY51" s="10" t="e">
        <f t="shared" si="54"/>
        <v>#VALUE!</v>
      </c>
      <c r="BZ51" s="10" t="e">
        <f t="shared" si="55"/>
        <v>#VALUE!</v>
      </c>
      <c r="CA51" s="10" t="e">
        <f t="shared" si="56"/>
        <v>#VALUE!</v>
      </c>
      <c r="CB51" s="10" t="e">
        <f t="shared" si="57"/>
        <v>#VALUE!</v>
      </c>
      <c r="CD51" s="10" t="e">
        <f>MATCH(INDEX($BP$12:$BU$12,1,MATCH(BP51,$BP$15:$BU$15,0)),结果汇总!$AI$10:$AI$13,0)</f>
        <v>#VALUE!</v>
      </c>
      <c r="CE51" s="10" t="e">
        <f>MATCH(INDEX($BP$12:$BU$12,1,MATCH(BQ51,$BP$15:$BU$15,0)),结果汇总!$AI$10:$AI$13,0)</f>
        <v>#VALUE!</v>
      </c>
      <c r="CF51" s="10" t="e">
        <f>MATCH(INDEX($BP$12:$BU$12,1,MATCH(BR51,$BP$15:$BU$15,0)),结果汇总!$AI$10:$AI$13,0)</f>
        <v>#VALUE!</v>
      </c>
      <c r="CG51" s="10" t="e">
        <f>MATCH(INDEX($BP$12:$BU$12,1,MATCH(BS51,$BP$15:$BU$15,0)),结果汇总!$AI$10:$AI$13,0)</f>
        <v>#VALUE!</v>
      </c>
      <c r="CH51" s="10" t="e">
        <f>MATCH(INDEX($BP$12:$BU$12,1,MATCH(BT51,$BP$15:$BU$15,0)),结果汇总!$AI$10:$AI$13,0)</f>
        <v>#VALUE!</v>
      </c>
      <c r="CI51" s="10" t="e">
        <f>MATCH(INDEX($BP$12:$BU$12,1,MATCH(BU51,$BP$15:$BU$15,0)),结果汇总!$AI$10:$AI$13,0)</f>
        <v>#VALUE!</v>
      </c>
      <c r="CK51" s="10">
        <f t="shared" si="75"/>
        <v>0</v>
      </c>
      <c r="CL51" s="10">
        <f t="shared" si="75"/>
        <v>0</v>
      </c>
      <c r="CM51" s="10">
        <f t="shared" si="75"/>
        <v>0</v>
      </c>
      <c r="CN51" s="10">
        <f t="shared" si="75"/>
        <v>0</v>
      </c>
      <c r="CO51" s="10" t="e">
        <f t="shared" si="76"/>
        <v>#DIV/0!</v>
      </c>
      <c r="CP51" s="10" t="e">
        <f t="shared" si="76"/>
        <v>#DIV/0!</v>
      </c>
      <c r="CQ51" s="10" t="e">
        <f t="shared" si="76"/>
        <v>#DIV/0!</v>
      </c>
      <c r="CR51" s="10" t="e">
        <f t="shared" si="76"/>
        <v>#DIV/0!</v>
      </c>
      <c r="CS51" s="10">
        <f t="shared" si="77"/>
        <v>0</v>
      </c>
      <c r="CT51" s="10">
        <f t="shared" si="77"/>
        <v>0</v>
      </c>
      <c r="CU51" s="10">
        <f t="shared" si="77"/>
        <v>0</v>
      </c>
      <c r="CV51" s="10">
        <f t="shared" si="77"/>
        <v>0</v>
      </c>
      <c r="CW51" s="10">
        <f t="shared" si="78"/>
        <v>0</v>
      </c>
      <c r="CX51" s="10">
        <f t="shared" si="78"/>
        <v>0</v>
      </c>
      <c r="CY51" s="10">
        <f t="shared" si="78"/>
        <v>0</v>
      </c>
      <c r="CZ51" s="10">
        <f t="shared" si="78"/>
        <v>0</v>
      </c>
    </row>
    <row r="52" spans="4:104" x14ac:dyDescent="0.15">
      <c r="D52" s="10">
        <v>37</v>
      </c>
      <c r="E52" s="10" t="e">
        <f t="shared" si="21"/>
        <v>#VALUE!</v>
      </c>
      <c r="F52" s="10" t="e">
        <f t="shared" si="1"/>
        <v>#VALUE!</v>
      </c>
      <c r="G52" s="10" t="e">
        <f t="shared" si="2"/>
        <v>#VALUE!</v>
      </c>
      <c r="H52" s="10" t="e">
        <f t="shared" si="22"/>
        <v>#VALUE!</v>
      </c>
      <c r="I52" s="10" t="e">
        <f t="shared" si="3"/>
        <v>#VALUE!</v>
      </c>
      <c r="J52" s="10" t="e">
        <f t="shared" si="23"/>
        <v>#VALUE!</v>
      </c>
      <c r="K52" s="10" t="e">
        <f t="shared" si="4"/>
        <v>#VALUE!</v>
      </c>
      <c r="L52" s="10" t="e">
        <f t="shared" si="5"/>
        <v>#VALUE!</v>
      </c>
      <c r="M52" s="10" t="e">
        <f t="shared" si="24"/>
        <v>#VALUE!</v>
      </c>
      <c r="O52" s="10" t="e">
        <f t="shared" si="25"/>
        <v>#VALUE!</v>
      </c>
      <c r="P52" s="10" t="e">
        <f t="shared" si="6"/>
        <v>#VALUE!</v>
      </c>
      <c r="Q52" s="10" t="e">
        <f t="shared" si="7"/>
        <v>#VALUE!</v>
      </c>
      <c r="R52" s="10" t="e">
        <f t="shared" si="26"/>
        <v>#VALUE!</v>
      </c>
      <c r="S52" s="10" t="e">
        <f t="shared" si="27"/>
        <v>#VALUE!</v>
      </c>
      <c r="T52" s="10" t="e">
        <f t="shared" si="62"/>
        <v>#VALUE!</v>
      </c>
      <c r="U52" s="10" t="e">
        <f t="shared" si="63"/>
        <v>#VALUE!</v>
      </c>
      <c r="V52" s="10" t="e">
        <f t="shared" si="8"/>
        <v>#VALUE!</v>
      </c>
      <c r="W52" s="10" t="e">
        <f t="shared" si="28"/>
        <v>#VALUE!</v>
      </c>
      <c r="Y52" s="10" t="e">
        <f t="shared" si="29"/>
        <v>#VALUE!</v>
      </c>
      <c r="Z52" s="11" t="e">
        <f t="shared" si="30"/>
        <v>#VALUE!</v>
      </c>
      <c r="AA52" s="10" t="e">
        <f t="shared" si="9"/>
        <v>#VALUE!</v>
      </c>
      <c r="AB52" s="10" t="e">
        <f t="shared" si="31"/>
        <v>#VALUE!</v>
      </c>
      <c r="AC52" s="10" t="e">
        <f t="shared" si="32"/>
        <v>#VALUE!</v>
      </c>
      <c r="AD52" s="10" t="e">
        <f t="shared" si="64"/>
        <v>#VALUE!</v>
      </c>
      <c r="AE52" s="10" t="e">
        <f t="shared" si="65"/>
        <v>#VALUE!</v>
      </c>
      <c r="AF52" s="10" t="e">
        <f t="shared" si="10"/>
        <v>#VALUE!</v>
      </c>
      <c r="AG52" s="10" t="e">
        <f t="shared" si="33"/>
        <v>#VALUE!</v>
      </c>
      <c r="AI52" s="13"/>
      <c r="AK52" s="10" t="e">
        <f t="shared" si="34"/>
        <v>#VALUE!</v>
      </c>
      <c r="AL52" s="10" t="e">
        <f t="shared" si="66"/>
        <v>#VALUE!</v>
      </c>
      <c r="AM52" s="10" t="e">
        <f t="shared" si="11"/>
        <v>#VALUE!</v>
      </c>
      <c r="AN52" s="10" t="e">
        <f t="shared" si="35"/>
        <v>#VALUE!</v>
      </c>
      <c r="AO52" s="10" t="e">
        <f t="shared" si="36"/>
        <v>#VALUE!</v>
      </c>
      <c r="AP52" s="10" t="e">
        <f t="shared" si="37"/>
        <v>#VALUE!</v>
      </c>
      <c r="AQ52" s="10" t="e">
        <f t="shared" si="67"/>
        <v>#VALUE!</v>
      </c>
      <c r="AR52" s="10" t="e">
        <f t="shared" si="12"/>
        <v>#VALUE!</v>
      </c>
      <c r="AS52" s="10" t="e">
        <f t="shared" si="68"/>
        <v>#VALUE!</v>
      </c>
      <c r="AU52" s="10" t="e">
        <f t="shared" si="38"/>
        <v>#VALUE!</v>
      </c>
      <c r="AV52" s="10" t="e">
        <f t="shared" si="69"/>
        <v>#VALUE!</v>
      </c>
      <c r="AW52" s="10" t="e">
        <f t="shared" si="13"/>
        <v>#VALUE!</v>
      </c>
      <c r="AX52" s="10" t="e">
        <f t="shared" si="39"/>
        <v>#VALUE!</v>
      </c>
      <c r="AY52" s="10" t="e">
        <f t="shared" si="40"/>
        <v>#VALUE!</v>
      </c>
      <c r="AZ52" s="10" t="e">
        <f t="shared" si="41"/>
        <v>#VALUE!</v>
      </c>
      <c r="BA52" s="10" t="e">
        <f t="shared" si="70"/>
        <v>#VALUE!</v>
      </c>
      <c r="BB52" s="10" t="e">
        <f t="shared" si="14"/>
        <v>#VALUE!</v>
      </c>
      <c r="BC52" s="10" t="e">
        <f t="shared" si="71"/>
        <v>#VALUE!</v>
      </c>
      <c r="BE52" s="10" t="e">
        <f t="shared" si="42"/>
        <v>#VALUE!</v>
      </c>
      <c r="BF52" s="10" t="e">
        <f t="shared" si="72"/>
        <v>#VALUE!</v>
      </c>
      <c r="BG52" s="10" t="e">
        <f t="shared" si="15"/>
        <v>#VALUE!</v>
      </c>
      <c r="BH52" s="10" t="e">
        <f t="shared" si="43"/>
        <v>#VALUE!</v>
      </c>
      <c r="BI52" s="10" t="e">
        <f t="shared" si="44"/>
        <v>#VALUE!</v>
      </c>
      <c r="BJ52" s="10" t="e">
        <f t="shared" si="45"/>
        <v>#VALUE!</v>
      </c>
      <c r="BK52" s="10" t="e">
        <f t="shared" si="73"/>
        <v>#VALUE!</v>
      </c>
      <c r="BL52" s="10" t="e">
        <f t="shared" si="16"/>
        <v>#VALUE!</v>
      </c>
      <c r="BM52" s="10" t="e">
        <f t="shared" si="74"/>
        <v>#VALUE!</v>
      </c>
      <c r="BP52" s="10" t="e">
        <f t="shared" si="46"/>
        <v>#VALUE!</v>
      </c>
      <c r="BQ52" s="10" t="e">
        <f t="shared" si="47"/>
        <v>#VALUE!</v>
      </c>
      <c r="BR52" s="10" t="e">
        <f t="shared" si="48"/>
        <v>#VALUE!</v>
      </c>
      <c r="BS52" s="10" t="e">
        <f t="shared" si="49"/>
        <v>#VALUE!</v>
      </c>
      <c r="BT52" s="10" t="e">
        <f t="shared" si="50"/>
        <v>#VALUE!</v>
      </c>
      <c r="BU52" s="10" t="e">
        <f t="shared" si="51"/>
        <v>#VALUE!</v>
      </c>
      <c r="BW52" s="10" t="e">
        <f t="shared" si="52"/>
        <v>#VALUE!</v>
      </c>
      <c r="BX52" s="10" t="e">
        <f t="shared" si="53"/>
        <v>#VALUE!</v>
      </c>
      <c r="BY52" s="10" t="e">
        <f t="shared" si="54"/>
        <v>#VALUE!</v>
      </c>
      <c r="BZ52" s="10" t="e">
        <f t="shared" si="55"/>
        <v>#VALUE!</v>
      </c>
      <c r="CA52" s="10" t="e">
        <f t="shared" si="56"/>
        <v>#VALUE!</v>
      </c>
      <c r="CB52" s="10" t="e">
        <f t="shared" si="57"/>
        <v>#VALUE!</v>
      </c>
      <c r="CD52" s="10" t="e">
        <f>MATCH(INDEX($BP$12:$BU$12,1,MATCH(BP52,$BP$15:$BU$15,0)),结果汇总!$AI$10:$AI$13,0)</f>
        <v>#VALUE!</v>
      </c>
      <c r="CE52" s="10" t="e">
        <f>MATCH(INDEX($BP$12:$BU$12,1,MATCH(BQ52,$BP$15:$BU$15,0)),结果汇总!$AI$10:$AI$13,0)</f>
        <v>#VALUE!</v>
      </c>
      <c r="CF52" s="10" t="e">
        <f>MATCH(INDEX($BP$12:$BU$12,1,MATCH(BR52,$BP$15:$BU$15,0)),结果汇总!$AI$10:$AI$13,0)</f>
        <v>#VALUE!</v>
      </c>
      <c r="CG52" s="10" t="e">
        <f>MATCH(INDEX($BP$12:$BU$12,1,MATCH(BS52,$BP$15:$BU$15,0)),结果汇总!$AI$10:$AI$13,0)</f>
        <v>#VALUE!</v>
      </c>
      <c r="CH52" s="10" t="e">
        <f>MATCH(INDEX($BP$12:$BU$12,1,MATCH(BT52,$BP$15:$BU$15,0)),结果汇总!$AI$10:$AI$13,0)</f>
        <v>#VALUE!</v>
      </c>
      <c r="CI52" s="10" t="e">
        <f>MATCH(INDEX($BP$12:$BU$12,1,MATCH(BU52,$BP$15:$BU$15,0)),结果汇总!$AI$10:$AI$13,0)</f>
        <v>#VALUE!</v>
      </c>
      <c r="CK52" s="10">
        <f t="shared" si="75"/>
        <v>0</v>
      </c>
      <c r="CL52" s="10">
        <f t="shared" si="75"/>
        <v>0</v>
      </c>
      <c r="CM52" s="10">
        <f t="shared" si="75"/>
        <v>0</v>
      </c>
      <c r="CN52" s="10">
        <f t="shared" si="75"/>
        <v>0</v>
      </c>
      <c r="CO52" s="10" t="e">
        <f t="shared" si="76"/>
        <v>#DIV/0!</v>
      </c>
      <c r="CP52" s="10" t="e">
        <f t="shared" si="76"/>
        <v>#DIV/0!</v>
      </c>
      <c r="CQ52" s="10" t="e">
        <f t="shared" si="76"/>
        <v>#DIV/0!</v>
      </c>
      <c r="CR52" s="10" t="e">
        <f t="shared" si="76"/>
        <v>#DIV/0!</v>
      </c>
      <c r="CS52" s="10">
        <f t="shared" si="77"/>
        <v>0</v>
      </c>
      <c r="CT52" s="10">
        <f t="shared" si="77"/>
        <v>0</v>
      </c>
      <c r="CU52" s="10">
        <f t="shared" si="77"/>
        <v>0</v>
      </c>
      <c r="CV52" s="10">
        <f t="shared" si="77"/>
        <v>0</v>
      </c>
      <c r="CW52" s="10">
        <f t="shared" si="78"/>
        <v>0</v>
      </c>
      <c r="CX52" s="10">
        <f t="shared" si="78"/>
        <v>0</v>
      </c>
      <c r="CY52" s="10">
        <f t="shared" si="78"/>
        <v>0</v>
      </c>
      <c r="CZ52" s="10">
        <f t="shared" si="78"/>
        <v>0</v>
      </c>
    </row>
    <row r="53" spans="4:104" x14ac:dyDescent="0.15">
      <c r="D53" s="10">
        <v>38</v>
      </c>
      <c r="E53" s="10" t="e">
        <f t="shared" si="21"/>
        <v>#VALUE!</v>
      </c>
      <c r="F53" s="10" t="e">
        <f t="shared" si="1"/>
        <v>#VALUE!</v>
      </c>
      <c r="G53" s="10" t="e">
        <f t="shared" si="2"/>
        <v>#VALUE!</v>
      </c>
      <c r="H53" s="10" t="e">
        <f t="shared" si="22"/>
        <v>#VALUE!</v>
      </c>
      <c r="I53" s="10" t="e">
        <f t="shared" si="3"/>
        <v>#VALUE!</v>
      </c>
      <c r="J53" s="10" t="e">
        <f t="shared" si="23"/>
        <v>#VALUE!</v>
      </c>
      <c r="K53" s="10" t="e">
        <f t="shared" si="4"/>
        <v>#VALUE!</v>
      </c>
      <c r="L53" s="10" t="e">
        <f t="shared" si="5"/>
        <v>#VALUE!</v>
      </c>
      <c r="M53" s="10" t="e">
        <f t="shared" si="24"/>
        <v>#VALUE!</v>
      </c>
      <c r="O53" s="10" t="e">
        <f t="shared" si="25"/>
        <v>#VALUE!</v>
      </c>
      <c r="P53" s="10" t="e">
        <f t="shared" si="6"/>
        <v>#VALUE!</v>
      </c>
      <c r="Q53" s="10" t="e">
        <f t="shared" si="7"/>
        <v>#VALUE!</v>
      </c>
      <c r="R53" s="10" t="e">
        <f t="shared" si="26"/>
        <v>#VALUE!</v>
      </c>
      <c r="S53" s="10" t="e">
        <f t="shared" si="27"/>
        <v>#VALUE!</v>
      </c>
      <c r="T53" s="10" t="e">
        <f t="shared" si="62"/>
        <v>#VALUE!</v>
      </c>
      <c r="U53" s="10" t="e">
        <f t="shared" si="63"/>
        <v>#VALUE!</v>
      </c>
      <c r="V53" s="10" t="e">
        <f t="shared" si="8"/>
        <v>#VALUE!</v>
      </c>
      <c r="W53" s="10" t="e">
        <f t="shared" si="28"/>
        <v>#VALUE!</v>
      </c>
      <c r="Y53" s="10" t="e">
        <f t="shared" si="29"/>
        <v>#VALUE!</v>
      </c>
      <c r="Z53" s="11" t="e">
        <f t="shared" si="30"/>
        <v>#VALUE!</v>
      </c>
      <c r="AA53" s="10" t="e">
        <f t="shared" si="9"/>
        <v>#VALUE!</v>
      </c>
      <c r="AB53" s="10" t="e">
        <f t="shared" si="31"/>
        <v>#VALUE!</v>
      </c>
      <c r="AC53" s="10" t="e">
        <f t="shared" si="32"/>
        <v>#VALUE!</v>
      </c>
      <c r="AD53" s="10" t="e">
        <f t="shared" si="64"/>
        <v>#VALUE!</v>
      </c>
      <c r="AE53" s="10" t="e">
        <f t="shared" si="65"/>
        <v>#VALUE!</v>
      </c>
      <c r="AF53" s="10" t="e">
        <f t="shared" si="10"/>
        <v>#VALUE!</v>
      </c>
      <c r="AG53" s="10" t="e">
        <f t="shared" si="33"/>
        <v>#VALUE!</v>
      </c>
      <c r="AI53" s="13"/>
      <c r="AK53" s="10" t="e">
        <f t="shared" si="34"/>
        <v>#VALUE!</v>
      </c>
      <c r="AL53" s="10" t="e">
        <f t="shared" si="66"/>
        <v>#VALUE!</v>
      </c>
      <c r="AM53" s="10" t="e">
        <f t="shared" si="11"/>
        <v>#VALUE!</v>
      </c>
      <c r="AN53" s="10" t="e">
        <f t="shared" si="35"/>
        <v>#VALUE!</v>
      </c>
      <c r="AO53" s="10" t="e">
        <f t="shared" si="36"/>
        <v>#VALUE!</v>
      </c>
      <c r="AP53" s="10" t="e">
        <f t="shared" si="37"/>
        <v>#VALUE!</v>
      </c>
      <c r="AQ53" s="10" t="e">
        <f t="shared" si="67"/>
        <v>#VALUE!</v>
      </c>
      <c r="AR53" s="10" t="e">
        <f t="shared" si="12"/>
        <v>#VALUE!</v>
      </c>
      <c r="AS53" s="10" t="e">
        <f t="shared" si="68"/>
        <v>#VALUE!</v>
      </c>
      <c r="AU53" s="10" t="e">
        <f t="shared" si="38"/>
        <v>#VALUE!</v>
      </c>
      <c r="AV53" s="10" t="e">
        <f t="shared" si="69"/>
        <v>#VALUE!</v>
      </c>
      <c r="AW53" s="10" t="e">
        <f t="shared" si="13"/>
        <v>#VALUE!</v>
      </c>
      <c r="AX53" s="10" t="e">
        <f t="shared" si="39"/>
        <v>#VALUE!</v>
      </c>
      <c r="AY53" s="10" t="e">
        <f t="shared" si="40"/>
        <v>#VALUE!</v>
      </c>
      <c r="AZ53" s="10" t="e">
        <f t="shared" si="41"/>
        <v>#VALUE!</v>
      </c>
      <c r="BA53" s="10" t="e">
        <f t="shared" si="70"/>
        <v>#VALUE!</v>
      </c>
      <c r="BB53" s="10" t="e">
        <f t="shared" si="14"/>
        <v>#VALUE!</v>
      </c>
      <c r="BC53" s="10" t="e">
        <f t="shared" si="71"/>
        <v>#VALUE!</v>
      </c>
      <c r="BE53" s="10" t="e">
        <f t="shared" si="42"/>
        <v>#VALUE!</v>
      </c>
      <c r="BF53" s="10" t="e">
        <f t="shared" si="72"/>
        <v>#VALUE!</v>
      </c>
      <c r="BG53" s="10" t="e">
        <f t="shared" si="15"/>
        <v>#VALUE!</v>
      </c>
      <c r="BH53" s="10" t="e">
        <f t="shared" si="43"/>
        <v>#VALUE!</v>
      </c>
      <c r="BI53" s="10" t="e">
        <f t="shared" si="44"/>
        <v>#VALUE!</v>
      </c>
      <c r="BJ53" s="10" t="e">
        <f t="shared" si="45"/>
        <v>#VALUE!</v>
      </c>
      <c r="BK53" s="10" t="e">
        <f t="shared" si="73"/>
        <v>#VALUE!</v>
      </c>
      <c r="BL53" s="10" t="e">
        <f t="shared" si="16"/>
        <v>#VALUE!</v>
      </c>
      <c r="BM53" s="10" t="e">
        <f t="shared" si="74"/>
        <v>#VALUE!</v>
      </c>
      <c r="BP53" s="10" t="e">
        <f t="shared" si="46"/>
        <v>#VALUE!</v>
      </c>
      <c r="BQ53" s="10" t="e">
        <f t="shared" si="47"/>
        <v>#VALUE!</v>
      </c>
      <c r="BR53" s="10" t="e">
        <f t="shared" si="48"/>
        <v>#VALUE!</v>
      </c>
      <c r="BS53" s="10" t="e">
        <f t="shared" si="49"/>
        <v>#VALUE!</v>
      </c>
      <c r="BT53" s="10" t="e">
        <f t="shared" si="50"/>
        <v>#VALUE!</v>
      </c>
      <c r="BU53" s="10" t="e">
        <f t="shared" si="51"/>
        <v>#VALUE!</v>
      </c>
      <c r="BW53" s="10" t="e">
        <f t="shared" si="52"/>
        <v>#VALUE!</v>
      </c>
      <c r="BX53" s="10" t="e">
        <f t="shared" si="53"/>
        <v>#VALUE!</v>
      </c>
      <c r="BY53" s="10" t="e">
        <f t="shared" si="54"/>
        <v>#VALUE!</v>
      </c>
      <c r="BZ53" s="10" t="e">
        <f t="shared" si="55"/>
        <v>#VALUE!</v>
      </c>
      <c r="CA53" s="10" t="e">
        <f t="shared" si="56"/>
        <v>#VALUE!</v>
      </c>
      <c r="CB53" s="10" t="e">
        <f t="shared" si="57"/>
        <v>#VALUE!</v>
      </c>
      <c r="CD53" s="10" t="e">
        <f>MATCH(INDEX($BP$12:$BU$12,1,MATCH(BP53,$BP$15:$BU$15,0)),结果汇总!$AI$10:$AI$13,0)</f>
        <v>#VALUE!</v>
      </c>
      <c r="CE53" s="10" t="e">
        <f>MATCH(INDEX($BP$12:$BU$12,1,MATCH(BQ53,$BP$15:$BU$15,0)),结果汇总!$AI$10:$AI$13,0)</f>
        <v>#VALUE!</v>
      </c>
      <c r="CF53" s="10" t="e">
        <f>MATCH(INDEX($BP$12:$BU$12,1,MATCH(BR53,$BP$15:$BU$15,0)),结果汇总!$AI$10:$AI$13,0)</f>
        <v>#VALUE!</v>
      </c>
      <c r="CG53" s="10" t="e">
        <f>MATCH(INDEX($BP$12:$BU$12,1,MATCH(BS53,$BP$15:$BU$15,0)),结果汇总!$AI$10:$AI$13,0)</f>
        <v>#VALUE!</v>
      </c>
      <c r="CH53" s="10" t="e">
        <f>MATCH(INDEX($BP$12:$BU$12,1,MATCH(BT53,$BP$15:$BU$15,0)),结果汇总!$AI$10:$AI$13,0)</f>
        <v>#VALUE!</v>
      </c>
      <c r="CI53" s="10" t="e">
        <f>MATCH(INDEX($BP$12:$BU$12,1,MATCH(BU53,$BP$15:$BU$15,0)),结果汇总!$AI$10:$AI$13,0)</f>
        <v>#VALUE!</v>
      </c>
      <c r="CK53" s="10">
        <f t="shared" si="75"/>
        <v>0</v>
      </c>
      <c r="CL53" s="10">
        <f t="shared" si="75"/>
        <v>0</v>
      </c>
      <c r="CM53" s="10">
        <f t="shared" si="75"/>
        <v>0</v>
      </c>
      <c r="CN53" s="10">
        <f t="shared" si="75"/>
        <v>0</v>
      </c>
      <c r="CO53" s="10" t="e">
        <f t="shared" si="76"/>
        <v>#DIV/0!</v>
      </c>
      <c r="CP53" s="10" t="e">
        <f t="shared" si="76"/>
        <v>#DIV/0!</v>
      </c>
      <c r="CQ53" s="10" t="e">
        <f t="shared" si="76"/>
        <v>#DIV/0!</v>
      </c>
      <c r="CR53" s="10" t="e">
        <f t="shared" si="76"/>
        <v>#DIV/0!</v>
      </c>
      <c r="CS53" s="10">
        <f t="shared" si="77"/>
        <v>0</v>
      </c>
      <c r="CT53" s="10">
        <f t="shared" si="77"/>
        <v>0</v>
      </c>
      <c r="CU53" s="10">
        <f t="shared" si="77"/>
        <v>0</v>
      </c>
      <c r="CV53" s="10">
        <f t="shared" si="77"/>
        <v>0</v>
      </c>
      <c r="CW53" s="10">
        <f t="shared" si="78"/>
        <v>0</v>
      </c>
      <c r="CX53" s="10">
        <f t="shared" si="78"/>
        <v>0</v>
      </c>
      <c r="CY53" s="10">
        <f t="shared" si="78"/>
        <v>0</v>
      </c>
      <c r="CZ53" s="10">
        <f t="shared" si="78"/>
        <v>0</v>
      </c>
    </row>
    <row r="54" spans="4:104" x14ac:dyDescent="0.15">
      <c r="D54" s="10">
        <v>39</v>
      </c>
      <c r="E54" s="10" t="e">
        <f t="shared" si="21"/>
        <v>#VALUE!</v>
      </c>
      <c r="F54" s="10" t="e">
        <f t="shared" si="1"/>
        <v>#VALUE!</v>
      </c>
      <c r="G54" s="10" t="e">
        <f t="shared" si="2"/>
        <v>#VALUE!</v>
      </c>
      <c r="H54" s="10" t="e">
        <f t="shared" si="22"/>
        <v>#VALUE!</v>
      </c>
      <c r="I54" s="10" t="e">
        <f t="shared" si="3"/>
        <v>#VALUE!</v>
      </c>
      <c r="J54" s="10" t="e">
        <f t="shared" si="23"/>
        <v>#VALUE!</v>
      </c>
      <c r="K54" s="10" t="e">
        <f t="shared" si="4"/>
        <v>#VALUE!</v>
      </c>
      <c r="L54" s="10" t="e">
        <f t="shared" si="5"/>
        <v>#VALUE!</v>
      </c>
      <c r="M54" s="10" t="e">
        <f t="shared" si="24"/>
        <v>#VALUE!</v>
      </c>
      <c r="O54" s="10" t="e">
        <f t="shared" si="25"/>
        <v>#VALUE!</v>
      </c>
      <c r="P54" s="10" t="e">
        <f t="shared" si="6"/>
        <v>#VALUE!</v>
      </c>
      <c r="Q54" s="10" t="e">
        <f t="shared" si="7"/>
        <v>#VALUE!</v>
      </c>
      <c r="R54" s="10" t="e">
        <f t="shared" si="26"/>
        <v>#VALUE!</v>
      </c>
      <c r="S54" s="10" t="e">
        <f t="shared" si="27"/>
        <v>#VALUE!</v>
      </c>
      <c r="T54" s="10" t="e">
        <f t="shared" si="62"/>
        <v>#VALUE!</v>
      </c>
      <c r="U54" s="10" t="e">
        <f t="shared" si="63"/>
        <v>#VALUE!</v>
      </c>
      <c r="V54" s="10" t="e">
        <f t="shared" si="8"/>
        <v>#VALUE!</v>
      </c>
      <c r="W54" s="10" t="e">
        <f t="shared" si="28"/>
        <v>#VALUE!</v>
      </c>
      <c r="Y54" s="10" t="e">
        <f t="shared" si="29"/>
        <v>#VALUE!</v>
      </c>
      <c r="Z54" s="11" t="e">
        <f t="shared" si="30"/>
        <v>#VALUE!</v>
      </c>
      <c r="AA54" s="10" t="e">
        <f t="shared" si="9"/>
        <v>#VALUE!</v>
      </c>
      <c r="AB54" s="10" t="e">
        <f t="shared" si="31"/>
        <v>#VALUE!</v>
      </c>
      <c r="AC54" s="10" t="e">
        <f t="shared" si="32"/>
        <v>#VALUE!</v>
      </c>
      <c r="AD54" s="10" t="e">
        <f t="shared" si="64"/>
        <v>#VALUE!</v>
      </c>
      <c r="AE54" s="10" t="e">
        <f t="shared" si="65"/>
        <v>#VALUE!</v>
      </c>
      <c r="AF54" s="10" t="e">
        <f t="shared" si="10"/>
        <v>#VALUE!</v>
      </c>
      <c r="AG54" s="10" t="e">
        <f t="shared" si="33"/>
        <v>#VALUE!</v>
      </c>
      <c r="AI54" s="13"/>
      <c r="AK54" s="10" t="e">
        <f t="shared" si="34"/>
        <v>#VALUE!</v>
      </c>
      <c r="AL54" s="10" t="e">
        <f t="shared" si="66"/>
        <v>#VALUE!</v>
      </c>
      <c r="AM54" s="10" t="e">
        <f t="shared" si="11"/>
        <v>#VALUE!</v>
      </c>
      <c r="AN54" s="10" t="e">
        <f t="shared" si="35"/>
        <v>#VALUE!</v>
      </c>
      <c r="AO54" s="10" t="e">
        <f t="shared" si="36"/>
        <v>#VALUE!</v>
      </c>
      <c r="AP54" s="10" t="e">
        <f t="shared" si="37"/>
        <v>#VALUE!</v>
      </c>
      <c r="AQ54" s="10" t="e">
        <f t="shared" si="67"/>
        <v>#VALUE!</v>
      </c>
      <c r="AR54" s="10" t="e">
        <f t="shared" si="12"/>
        <v>#VALUE!</v>
      </c>
      <c r="AS54" s="10" t="e">
        <f t="shared" si="68"/>
        <v>#VALUE!</v>
      </c>
      <c r="AU54" s="10" t="e">
        <f t="shared" si="38"/>
        <v>#VALUE!</v>
      </c>
      <c r="AV54" s="10" t="e">
        <f t="shared" si="69"/>
        <v>#VALUE!</v>
      </c>
      <c r="AW54" s="10" t="e">
        <f t="shared" si="13"/>
        <v>#VALUE!</v>
      </c>
      <c r="AX54" s="10" t="e">
        <f t="shared" si="39"/>
        <v>#VALUE!</v>
      </c>
      <c r="AY54" s="10" t="e">
        <f t="shared" si="40"/>
        <v>#VALUE!</v>
      </c>
      <c r="AZ54" s="10" t="e">
        <f t="shared" si="41"/>
        <v>#VALUE!</v>
      </c>
      <c r="BA54" s="10" t="e">
        <f t="shared" si="70"/>
        <v>#VALUE!</v>
      </c>
      <c r="BB54" s="10" t="e">
        <f t="shared" si="14"/>
        <v>#VALUE!</v>
      </c>
      <c r="BC54" s="10" t="e">
        <f t="shared" si="71"/>
        <v>#VALUE!</v>
      </c>
      <c r="BE54" s="10" t="e">
        <f t="shared" si="42"/>
        <v>#VALUE!</v>
      </c>
      <c r="BF54" s="10" t="e">
        <f t="shared" si="72"/>
        <v>#VALUE!</v>
      </c>
      <c r="BG54" s="10" t="e">
        <f t="shared" si="15"/>
        <v>#VALUE!</v>
      </c>
      <c r="BH54" s="10" t="e">
        <f t="shared" si="43"/>
        <v>#VALUE!</v>
      </c>
      <c r="BI54" s="10" t="e">
        <f t="shared" si="44"/>
        <v>#VALUE!</v>
      </c>
      <c r="BJ54" s="10" t="e">
        <f t="shared" si="45"/>
        <v>#VALUE!</v>
      </c>
      <c r="BK54" s="10" t="e">
        <f t="shared" si="73"/>
        <v>#VALUE!</v>
      </c>
      <c r="BL54" s="10" t="e">
        <f t="shared" si="16"/>
        <v>#VALUE!</v>
      </c>
      <c r="BM54" s="10" t="e">
        <f t="shared" si="74"/>
        <v>#VALUE!</v>
      </c>
      <c r="BP54" s="10" t="e">
        <f t="shared" si="46"/>
        <v>#VALUE!</v>
      </c>
      <c r="BQ54" s="10" t="e">
        <f t="shared" si="47"/>
        <v>#VALUE!</v>
      </c>
      <c r="BR54" s="10" t="e">
        <f t="shared" si="48"/>
        <v>#VALUE!</v>
      </c>
      <c r="BS54" s="10" t="e">
        <f t="shared" si="49"/>
        <v>#VALUE!</v>
      </c>
      <c r="BT54" s="10" t="e">
        <f t="shared" si="50"/>
        <v>#VALUE!</v>
      </c>
      <c r="BU54" s="10" t="e">
        <f t="shared" si="51"/>
        <v>#VALUE!</v>
      </c>
      <c r="BW54" s="10" t="e">
        <f t="shared" si="52"/>
        <v>#VALUE!</v>
      </c>
      <c r="BX54" s="10" t="e">
        <f t="shared" si="53"/>
        <v>#VALUE!</v>
      </c>
      <c r="BY54" s="10" t="e">
        <f t="shared" si="54"/>
        <v>#VALUE!</v>
      </c>
      <c r="BZ54" s="10" t="e">
        <f t="shared" si="55"/>
        <v>#VALUE!</v>
      </c>
      <c r="CA54" s="10" t="e">
        <f t="shared" si="56"/>
        <v>#VALUE!</v>
      </c>
      <c r="CB54" s="10" t="e">
        <f t="shared" si="57"/>
        <v>#VALUE!</v>
      </c>
      <c r="CD54" s="10" t="e">
        <f>MATCH(INDEX($BP$12:$BU$12,1,MATCH(BP54,$BP$15:$BU$15,0)),结果汇总!$AI$10:$AI$13,0)</f>
        <v>#VALUE!</v>
      </c>
      <c r="CE54" s="10" t="e">
        <f>MATCH(INDEX($BP$12:$BU$12,1,MATCH(BQ54,$BP$15:$BU$15,0)),结果汇总!$AI$10:$AI$13,0)</f>
        <v>#VALUE!</v>
      </c>
      <c r="CF54" s="10" t="e">
        <f>MATCH(INDEX($BP$12:$BU$12,1,MATCH(BR54,$BP$15:$BU$15,0)),结果汇总!$AI$10:$AI$13,0)</f>
        <v>#VALUE!</v>
      </c>
      <c r="CG54" s="10" t="e">
        <f>MATCH(INDEX($BP$12:$BU$12,1,MATCH(BS54,$BP$15:$BU$15,0)),结果汇总!$AI$10:$AI$13,0)</f>
        <v>#VALUE!</v>
      </c>
      <c r="CH54" s="10" t="e">
        <f>MATCH(INDEX($BP$12:$BU$12,1,MATCH(BT54,$BP$15:$BU$15,0)),结果汇总!$AI$10:$AI$13,0)</f>
        <v>#VALUE!</v>
      </c>
      <c r="CI54" s="10" t="e">
        <f>MATCH(INDEX($BP$12:$BU$12,1,MATCH(BU54,$BP$15:$BU$15,0)),结果汇总!$AI$10:$AI$13,0)</f>
        <v>#VALUE!</v>
      </c>
      <c r="CK54" s="10">
        <f t="shared" si="75"/>
        <v>0</v>
      </c>
      <c r="CL54" s="10">
        <f t="shared" si="75"/>
        <v>0</v>
      </c>
      <c r="CM54" s="10">
        <f t="shared" si="75"/>
        <v>0</v>
      </c>
      <c r="CN54" s="10">
        <f t="shared" si="75"/>
        <v>0</v>
      </c>
      <c r="CO54" s="10" t="e">
        <f t="shared" si="76"/>
        <v>#DIV/0!</v>
      </c>
      <c r="CP54" s="10" t="e">
        <f t="shared" si="76"/>
        <v>#DIV/0!</v>
      </c>
      <c r="CQ54" s="10" t="e">
        <f t="shared" si="76"/>
        <v>#DIV/0!</v>
      </c>
      <c r="CR54" s="10" t="e">
        <f t="shared" si="76"/>
        <v>#DIV/0!</v>
      </c>
      <c r="CS54" s="10">
        <f t="shared" si="77"/>
        <v>0</v>
      </c>
      <c r="CT54" s="10">
        <f t="shared" si="77"/>
        <v>0</v>
      </c>
      <c r="CU54" s="10">
        <f t="shared" si="77"/>
        <v>0</v>
      </c>
      <c r="CV54" s="10">
        <f t="shared" si="77"/>
        <v>0</v>
      </c>
      <c r="CW54" s="10">
        <f t="shared" si="78"/>
        <v>0</v>
      </c>
      <c r="CX54" s="10">
        <f t="shared" si="78"/>
        <v>0</v>
      </c>
      <c r="CY54" s="10">
        <f t="shared" si="78"/>
        <v>0</v>
      </c>
      <c r="CZ54" s="10">
        <f t="shared" si="78"/>
        <v>0</v>
      </c>
    </row>
    <row r="55" spans="4:104" x14ac:dyDescent="0.15">
      <c r="D55" s="10">
        <v>40</v>
      </c>
      <c r="E55" s="10" t="e">
        <f t="shared" si="21"/>
        <v>#VALUE!</v>
      </c>
      <c r="F55" s="10" t="e">
        <f t="shared" si="1"/>
        <v>#VALUE!</v>
      </c>
      <c r="G55" s="10" t="e">
        <f t="shared" si="2"/>
        <v>#VALUE!</v>
      </c>
      <c r="H55" s="10" t="e">
        <f t="shared" si="22"/>
        <v>#VALUE!</v>
      </c>
      <c r="I55" s="10" t="e">
        <f t="shared" si="3"/>
        <v>#VALUE!</v>
      </c>
      <c r="J55" s="10" t="e">
        <f t="shared" si="23"/>
        <v>#VALUE!</v>
      </c>
      <c r="K55" s="10" t="e">
        <f t="shared" si="4"/>
        <v>#VALUE!</v>
      </c>
      <c r="L55" s="10" t="e">
        <f t="shared" si="5"/>
        <v>#VALUE!</v>
      </c>
      <c r="M55" s="10" t="e">
        <f t="shared" si="24"/>
        <v>#VALUE!</v>
      </c>
      <c r="O55" s="10" t="e">
        <f t="shared" si="25"/>
        <v>#VALUE!</v>
      </c>
      <c r="P55" s="10" t="e">
        <f t="shared" si="6"/>
        <v>#VALUE!</v>
      </c>
      <c r="Q55" s="10" t="e">
        <f t="shared" si="7"/>
        <v>#VALUE!</v>
      </c>
      <c r="R55" s="10" t="e">
        <f t="shared" si="26"/>
        <v>#VALUE!</v>
      </c>
      <c r="S55" s="10" t="e">
        <f t="shared" si="27"/>
        <v>#VALUE!</v>
      </c>
      <c r="T55" s="10" t="e">
        <f t="shared" si="62"/>
        <v>#VALUE!</v>
      </c>
      <c r="U55" s="10" t="e">
        <f t="shared" si="63"/>
        <v>#VALUE!</v>
      </c>
      <c r="V55" s="10" t="e">
        <f t="shared" si="8"/>
        <v>#VALUE!</v>
      </c>
      <c r="W55" s="10" t="e">
        <f t="shared" si="28"/>
        <v>#VALUE!</v>
      </c>
      <c r="Y55" s="10" t="e">
        <f t="shared" si="29"/>
        <v>#VALUE!</v>
      </c>
      <c r="Z55" s="11" t="e">
        <f t="shared" si="30"/>
        <v>#VALUE!</v>
      </c>
      <c r="AA55" s="10" t="e">
        <f t="shared" si="9"/>
        <v>#VALUE!</v>
      </c>
      <c r="AB55" s="10" t="e">
        <f t="shared" si="31"/>
        <v>#VALUE!</v>
      </c>
      <c r="AC55" s="10" t="e">
        <f t="shared" si="32"/>
        <v>#VALUE!</v>
      </c>
      <c r="AD55" s="10" t="e">
        <f t="shared" si="64"/>
        <v>#VALUE!</v>
      </c>
      <c r="AE55" s="10" t="e">
        <f t="shared" si="65"/>
        <v>#VALUE!</v>
      </c>
      <c r="AF55" s="10" t="e">
        <f t="shared" si="10"/>
        <v>#VALUE!</v>
      </c>
      <c r="AG55" s="10" t="e">
        <f t="shared" si="33"/>
        <v>#VALUE!</v>
      </c>
      <c r="AI55" s="13"/>
      <c r="AK55" s="10" t="e">
        <f t="shared" si="34"/>
        <v>#VALUE!</v>
      </c>
      <c r="AL55" s="10" t="e">
        <f t="shared" si="66"/>
        <v>#VALUE!</v>
      </c>
      <c r="AM55" s="10" t="e">
        <f t="shared" si="11"/>
        <v>#VALUE!</v>
      </c>
      <c r="AN55" s="10" t="e">
        <f t="shared" si="35"/>
        <v>#VALUE!</v>
      </c>
      <c r="AO55" s="10" t="e">
        <f t="shared" si="36"/>
        <v>#VALUE!</v>
      </c>
      <c r="AP55" s="10" t="e">
        <f t="shared" si="37"/>
        <v>#VALUE!</v>
      </c>
      <c r="AQ55" s="10" t="e">
        <f t="shared" si="67"/>
        <v>#VALUE!</v>
      </c>
      <c r="AR55" s="10" t="e">
        <f t="shared" si="12"/>
        <v>#VALUE!</v>
      </c>
      <c r="AS55" s="10" t="e">
        <f t="shared" si="68"/>
        <v>#VALUE!</v>
      </c>
      <c r="AU55" s="10" t="e">
        <f t="shared" si="38"/>
        <v>#VALUE!</v>
      </c>
      <c r="AV55" s="10" t="e">
        <f t="shared" si="69"/>
        <v>#VALUE!</v>
      </c>
      <c r="AW55" s="10" t="e">
        <f t="shared" si="13"/>
        <v>#VALUE!</v>
      </c>
      <c r="AX55" s="10" t="e">
        <f t="shared" si="39"/>
        <v>#VALUE!</v>
      </c>
      <c r="AY55" s="10" t="e">
        <f t="shared" si="40"/>
        <v>#VALUE!</v>
      </c>
      <c r="AZ55" s="10" t="e">
        <f t="shared" si="41"/>
        <v>#VALUE!</v>
      </c>
      <c r="BA55" s="10" t="e">
        <f t="shared" si="70"/>
        <v>#VALUE!</v>
      </c>
      <c r="BB55" s="10" t="e">
        <f t="shared" si="14"/>
        <v>#VALUE!</v>
      </c>
      <c r="BC55" s="10" t="e">
        <f t="shared" si="71"/>
        <v>#VALUE!</v>
      </c>
      <c r="BE55" s="10" t="e">
        <f t="shared" si="42"/>
        <v>#VALUE!</v>
      </c>
      <c r="BF55" s="10" t="e">
        <f t="shared" si="72"/>
        <v>#VALUE!</v>
      </c>
      <c r="BG55" s="10" t="e">
        <f t="shared" si="15"/>
        <v>#VALUE!</v>
      </c>
      <c r="BH55" s="10" t="e">
        <f t="shared" si="43"/>
        <v>#VALUE!</v>
      </c>
      <c r="BI55" s="10" t="e">
        <f t="shared" si="44"/>
        <v>#VALUE!</v>
      </c>
      <c r="BJ55" s="10" t="e">
        <f t="shared" si="45"/>
        <v>#VALUE!</v>
      </c>
      <c r="BK55" s="10" t="e">
        <f t="shared" si="73"/>
        <v>#VALUE!</v>
      </c>
      <c r="BL55" s="10" t="e">
        <f t="shared" si="16"/>
        <v>#VALUE!</v>
      </c>
      <c r="BM55" s="10" t="e">
        <f t="shared" si="74"/>
        <v>#VALUE!</v>
      </c>
      <c r="BP55" s="10" t="e">
        <f t="shared" si="46"/>
        <v>#VALUE!</v>
      </c>
      <c r="BQ55" s="10" t="e">
        <f t="shared" si="47"/>
        <v>#VALUE!</v>
      </c>
      <c r="BR55" s="10" t="e">
        <f t="shared" si="48"/>
        <v>#VALUE!</v>
      </c>
      <c r="BS55" s="10" t="e">
        <f t="shared" si="49"/>
        <v>#VALUE!</v>
      </c>
      <c r="BT55" s="10" t="e">
        <f t="shared" si="50"/>
        <v>#VALUE!</v>
      </c>
      <c r="BU55" s="10" t="e">
        <f t="shared" si="51"/>
        <v>#VALUE!</v>
      </c>
      <c r="BW55" s="10" t="e">
        <f t="shared" si="52"/>
        <v>#VALUE!</v>
      </c>
      <c r="BX55" s="10" t="e">
        <f t="shared" si="53"/>
        <v>#VALUE!</v>
      </c>
      <c r="BY55" s="10" t="e">
        <f t="shared" si="54"/>
        <v>#VALUE!</v>
      </c>
      <c r="BZ55" s="10" t="e">
        <f t="shared" si="55"/>
        <v>#VALUE!</v>
      </c>
      <c r="CA55" s="10" t="e">
        <f t="shared" si="56"/>
        <v>#VALUE!</v>
      </c>
      <c r="CB55" s="10" t="e">
        <f t="shared" si="57"/>
        <v>#VALUE!</v>
      </c>
      <c r="CD55" s="10" t="e">
        <f>MATCH(INDEX($BP$12:$BU$12,1,MATCH(BP55,$BP$15:$BU$15,0)),结果汇总!$AI$10:$AI$13,0)</f>
        <v>#VALUE!</v>
      </c>
      <c r="CE55" s="10" t="e">
        <f>MATCH(INDEX($BP$12:$BU$12,1,MATCH(BQ55,$BP$15:$BU$15,0)),结果汇总!$AI$10:$AI$13,0)</f>
        <v>#VALUE!</v>
      </c>
      <c r="CF55" s="10" t="e">
        <f>MATCH(INDEX($BP$12:$BU$12,1,MATCH(BR55,$BP$15:$BU$15,0)),结果汇总!$AI$10:$AI$13,0)</f>
        <v>#VALUE!</v>
      </c>
      <c r="CG55" s="10" t="e">
        <f>MATCH(INDEX($BP$12:$BU$12,1,MATCH(BS55,$BP$15:$BU$15,0)),结果汇总!$AI$10:$AI$13,0)</f>
        <v>#VALUE!</v>
      </c>
      <c r="CH55" s="10" t="e">
        <f>MATCH(INDEX($BP$12:$BU$12,1,MATCH(BT55,$BP$15:$BU$15,0)),结果汇总!$AI$10:$AI$13,0)</f>
        <v>#VALUE!</v>
      </c>
      <c r="CI55" s="10" t="e">
        <f>MATCH(INDEX($BP$12:$BU$12,1,MATCH(BU55,$BP$15:$BU$15,0)),结果汇总!$AI$10:$AI$13,0)</f>
        <v>#VALUE!</v>
      </c>
      <c r="CK55" s="10">
        <f t="shared" si="75"/>
        <v>0</v>
      </c>
      <c r="CL55" s="10">
        <f t="shared" si="75"/>
        <v>0</v>
      </c>
      <c r="CM55" s="10">
        <f t="shared" si="75"/>
        <v>0</v>
      </c>
      <c r="CN55" s="10">
        <f t="shared" si="75"/>
        <v>0</v>
      </c>
      <c r="CO55" s="10" t="e">
        <f t="shared" si="76"/>
        <v>#DIV/0!</v>
      </c>
      <c r="CP55" s="10" t="e">
        <f t="shared" si="76"/>
        <v>#DIV/0!</v>
      </c>
      <c r="CQ55" s="10" t="e">
        <f t="shared" si="76"/>
        <v>#DIV/0!</v>
      </c>
      <c r="CR55" s="10" t="e">
        <f t="shared" si="76"/>
        <v>#DIV/0!</v>
      </c>
      <c r="CS55" s="10">
        <f t="shared" si="77"/>
        <v>0</v>
      </c>
      <c r="CT55" s="10">
        <f t="shared" si="77"/>
        <v>0</v>
      </c>
      <c r="CU55" s="10">
        <f t="shared" si="77"/>
        <v>0</v>
      </c>
      <c r="CV55" s="10">
        <f t="shared" si="77"/>
        <v>0</v>
      </c>
      <c r="CW55" s="10">
        <f t="shared" si="78"/>
        <v>0</v>
      </c>
      <c r="CX55" s="10">
        <f t="shared" si="78"/>
        <v>0</v>
      </c>
      <c r="CY55" s="10">
        <f t="shared" si="78"/>
        <v>0</v>
      </c>
      <c r="CZ55" s="10">
        <f t="shared" si="78"/>
        <v>0</v>
      </c>
    </row>
    <row r="56" spans="4:104" x14ac:dyDescent="0.15">
      <c r="D56" s="10">
        <v>41</v>
      </c>
      <c r="E56" s="10" t="e">
        <f t="shared" si="21"/>
        <v>#VALUE!</v>
      </c>
      <c r="F56" s="10" t="e">
        <f t="shared" si="1"/>
        <v>#VALUE!</v>
      </c>
      <c r="G56" s="10" t="e">
        <f t="shared" si="2"/>
        <v>#VALUE!</v>
      </c>
      <c r="H56" s="10" t="e">
        <f t="shared" si="22"/>
        <v>#VALUE!</v>
      </c>
      <c r="I56" s="10" t="e">
        <f t="shared" si="3"/>
        <v>#VALUE!</v>
      </c>
      <c r="J56" s="10" t="e">
        <f t="shared" si="23"/>
        <v>#VALUE!</v>
      </c>
      <c r="K56" s="10" t="e">
        <f t="shared" si="4"/>
        <v>#VALUE!</v>
      </c>
      <c r="L56" s="10" t="e">
        <f t="shared" si="5"/>
        <v>#VALUE!</v>
      </c>
      <c r="M56" s="10" t="e">
        <f t="shared" si="24"/>
        <v>#VALUE!</v>
      </c>
      <c r="O56" s="10" t="e">
        <f t="shared" si="25"/>
        <v>#VALUE!</v>
      </c>
      <c r="P56" s="10" t="e">
        <f t="shared" si="6"/>
        <v>#VALUE!</v>
      </c>
      <c r="Q56" s="10" t="e">
        <f t="shared" si="7"/>
        <v>#VALUE!</v>
      </c>
      <c r="R56" s="10" t="e">
        <f t="shared" si="26"/>
        <v>#VALUE!</v>
      </c>
      <c r="S56" s="10" t="e">
        <f t="shared" si="27"/>
        <v>#VALUE!</v>
      </c>
      <c r="T56" s="10" t="e">
        <f t="shared" si="62"/>
        <v>#VALUE!</v>
      </c>
      <c r="U56" s="10" t="e">
        <f t="shared" si="63"/>
        <v>#VALUE!</v>
      </c>
      <c r="V56" s="10" t="e">
        <f t="shared" si="8"/>
        <v>#VALUE!</v>
      </c>
      <c r="W56" s="10" t="e">
        <f t="shared" si="28"/>
        <v>#VALUE!</v>
      </c>
      <c r="Y56" s="10" t="e">
        <f t="shared" si="29"/>
        <v>#VALUE!</v>
      </c>
      <c r="Z56" s="11" t="e">
        <f t="shared" si="30"/>
        <v>#VALUE!</v>
      </c>
      <c r="AA56" s="10" t="e">
        <f t="shared" si="9"/>
        <v>#VALUE!</v>
      </c>
      <c r="AB56" s="10" t="e">
        <f t="shared" si="31"/>
        <v>#VALUE!</v>
      </c>
      <c r="AC56" s="10" t="e">
        <f t="shared" si="32"/>
        <v>#VALUE!</v>
      </c>
      <c r="AD56" s="10" t="e">
        <f t="shared" si="64"/>
        <v>#VALUE!</v>
      </c>
      <c r="AE56" s="10" t="e">
        <f t="shared" si="65"/>
        <v>#VALUE!</v>
      </c>
      <c r="AF56" s="10" t="e">
        <f t="shared" si="10"/>
        <v>#VALUE!</v>
      </c>
      <c r="AG56" s="10" t="e">
        <f t="shared" si="33"/>
        <v>#VALUE!</v>
      </c>
      <c r="AI56" s="13"/>
      <c r="AK56" s="10" t="e">
        <f t="shared" si="34"/>
        <v>#VALUE!</v>
      </c>
      <c r="AL56" s="10" t="e">
        <f t="shared" si="66"/>
        <v>#VALUE!</v>
      </c>
      <c r="AM56" s="10" t="e">
        <f t="shared" si="11"/>
        <v>#VALUE!</v>
      </c>
      <c r="AN56" s="10" t="e">
        <f t="shared" si="35"/>
        <v>#VALUE!</v>
      </c>
      <c r="AO56" s="10" t="e">
        <f t="shared" si="36"/>
        <v>#VALUE!</v>
      </c>
      <c r="AP56" s="10" t="e">
        <f t="shared" si="37"/>
        <v>#VALUE!</v>
      </c>
      <c r="AQ56" s="10" t="e">
        <f t="shared" si="67"/>
        <v>#VALUE!</v>
      </c>
      <c r="AR56" s="10" t="e">
        <f t="shared" si="12"/>
        <v>#VALUE!</v>
      </c>
      <c r="AS56" s="10" t="e">
        <f t="shared" si="68"/>
        <v>#VALUE!</v>
      </c>
      <c r="AU56" s="10" t="e">
        <f t="shared" si="38"/>
        <v>#VALUE!</v>
      </c>
      <c r="AV56" s="10" t="e">
        <f t="shared" si="69"/>
        <v>#VALUE!</v>
      </c>
      <c r="AW56" s="10" t="e">
        <f t="shared" si="13"/>
        <v>#VALUE!</v>
      </c>
      <c r="AX56" s="10" t="e">
        <f t="shared" si="39"/>
        <v>#VALUE!</v>
      </c>
      <c r="AY56" s="10" t="e">
        <f t="shared" si="40"/>
        <v>#VALUE!</v>
      </c>
      <c r="AZ56" s="10" t="e">
        <f t="shared" si="41"/>
        <v>#VALUE!</v>
      </c>
      <c r="BA56" s="10" t="e">
        <f t="shared" si="70"/>
        <v>#VALUE!</v>
      </c>
      <c r="BB56" s="10" t="e">
        <f t="shared" si="14"/>
        <v>#VALUE!</v>
      </c>
      <c r="BC56" s="10" t="e">
        <f t="shared" si="71"/>
        <v>#VALUE!</v>
      </c>
      <c r="BE56" s="10" t="e">
        <f t="shared" si="42"/>
        <v>#VALUE!</v>
      </c>
      <c r="BF56" s="10" t="e">
        <f t="shared" si="72"/>
        <v>#VALUE!</v>
      </c>
      <c r="BG56" s="10" t="e">
        <f t="shared" si="15"/>
        <v>#VALUE!</v>
      </c>
      <c r="BH56" s="10" t="e">
        <f t="shared" si="43"/>
        <v>#VALUE!</v>
      </c>
      <c r="BI56" s="10" t="e">
        <f t="shared" si="44"/>
        <v>#VALUE!</v>
      </c>
      <c r="BJ56" s="10" t="e">
        <f t="shared" si="45"/>
        <v>#VALUE!</v>
      </c>
      <c r="BK56" s="10" t="e">
        <f t="shared" si="73"/>
        <v>#VALUE!</v>
      </c>
      <c r="BL56" s="10" t="e">
        <f t="shared" si="16"/>
        <v>#VALUE!</v>
      </c>
      <c r="BM56" s="10" t="e">
        <f t="shared" si="74"/>
        <v>#VALUE!</v>
      </c>
      <c r="BP56" s="10" t="e">
        <f t="shared" si="46"/>
        <v>#VALUE!</v>
      </c>
      <c r="BQ56" s="10" t="e">
        <f t="shared" si="47"/>
        <v>#VALUE!</v>
      </c>
      <c r="BR56" s="10" t="e">
        <f t="shared" si="48"/>
        <v>#VALUE!</v>
      </c>
      <c r="BS56" s="10" t="e">
        <f t="shared" si="49"/>
        <v>#VALUE!</v>
      </c>
      <c r="BT56" s="10" t="e">
        <f t="shared" si="50"/>
        <v>#VALUE!</v>
      </c>
      <c r="BU56" s="10" t="e">
        <f t="shared" si="51"/>
        <v>#VALUE!</v>
      </c>
      <c r="BW56" s="10" t="e">
        <f t="shared" si="52"/>
        <v>#VALUE!</v>
      </c>
      <c r="BX56" s="10" t="e">
        <f t="shared" si="53"/>
        <v>#VALUE!</v>
      </c>
      <c r="BY56" s="10" t="e">
        <f t="shared" si="54"/>
        <v>#VALUE!</v>
      </c>
      <c r="BZ56" s="10" t="e">
        <f t="shared" si="55"/>
        <v>#VALUE!</v>
      </c>
      <c r="CA56" s="10" t="e">
        <f t="shared" si="56"/>
        <v>#VALUE!</v>
      </c>
      <c r="CB56" s="10" t="e">
        <f t="shared" si="57"/>
        <v>#VALUE!</v>
      </c>
      <c r="CD56" s="10" t="e">
        <f>MATCH(INDEX($BP$12:$BU$12,1,MATCH(BP56,$BP$15:$BU$15,0)),结果汇总!$AI$10:$AI$13,0)</f>
        <v>#VALUE!</v>
      </c>
      <c r="CE56" s="10" t="e">
        <f>MATCH(INDEX($BP$12:$BU$12,1,MATCH(BQ56,$BP$15:$BU$15,0)),结果汇总!$AI$10:$AI$13,0)</f>
        <v>#VALUE!</v>
      </c>
      <c r="CF56" s="10" t="e">
        <f>MATCH(INDEX($BP$12:$BU$12,1,MATCH(BR56,$BP$15:$BU$15,0)),结果汇总!$AI$10:$AI$13,0)</f>
        <v>#VALUE!</v>
      </c>
      <c r="CG56" s="10" t="e">
        <f>MATCH(INDEX($BP$12:$BU$12,1,MATCH(BS56,$BP$15:$BU$15,0)),结果汇总!$AI$10:$AI$13,0)</f>
        <v>#VALUE!</v>
      </c>
      <c r="CH56" s="10" t="e">
        <f>MATCH(INDEX($BP$12:$BU$12,1,MATCH(BT56,$BP$15:$BU$15,0)),结果汇总!$AI$10:$AI$13,0)</f>
        <v>#VALUE!</v>
      </c>
      <c r="CI56" s="10" t="e">
        <f>MATCH(INDEX($BP$12:$BU$12,1,MATCH(BU56,$BP$15:$BU$15,0)),结果汇总!$AI$10:$AI$13,0)</f>
        <v>#VALUE!</v>
      </c>
      <c r="CK56" s="10">
        <f t="shared" si="75"/>
        <v>0</v>
      </c>
      <c r="CL56" s="10">
        <f t="shared" si="75"/>
        <v>0</v>
      </c>
      <c r="CM56" s="10">
        <f t="shared" si="75"/>
        <v>0</v>
      </c>
      <c r="CN56" s="10">
        <f t="shared" si="75"/>
        <v>0</v>
      </c>
      <c r="CO56" s="10" t="e">
        <f t="shared" si="76"/>
        <v>#DIV/0!</v>
      </c>
      <c r="CP56" s="10" t="e">
        <f t="shared" si="76"/>
        <v>#DIV/0!</v>
      </c>
      <c r="CQ56" s="10" t="e">
        <f t="shared" si="76"/>
        <v>#DIV/0!</v>
      </c>
      <c r="CR56" s="10" t="e">
        <f t="shared" si="76"/>
        <v>#DIV/0!</v>
      </c>
      <c r="CS56" s="10">
        <f t="shared" si="77"/>
        <v>0</v>
      </c>
      <c r="CT56" s="10">
        <f t="shared" si="77"/>
        <v>0</v>
      </c>
      <c r="CU56" s="10">
        <f t="shared" si="77"/>
        <v>0</v>
      </c>
      <c r="CV56" s="10">
        <f t="shared" si="77"/>
        <v>0</v>
      </c>
      <c r="CW56" s="10">
        <f t="shared" si="78"/>
        <v>0</v>
      </c>
      <c r="CX56" s="10">
        <f t="shared" si="78"/>
        <v>0</v>
      </c>
      <c r="CY56" s="10">
        <f t="shared" si="78"/>
        <v>0</v>
      </c>
      <c r="CZ56" s="10">
        <f t="shared" si="78"/>
        <v>0</v>
      </c>
    </row>
    <row r="57" spans="4:104" x14ac:dyDescent="0.15">
      <c r="D57" s="10">
        <v>42</v>
      </c>
      <c r="E57" s="10" t="e">
        <f t="shared" si="21"/>
        <v>#VALUE!</v>
      </c>
      <c r="F57" s="10" t="e">
        <f t="shared" si="1"/>
        <v>#VALUE!</v>
      </c>
      <c r="G57" s="10" t="e">
        <f t="shared" si="2"/>
        <v>#VALUE!</v>
      </c>
      <c r="H57" s="10" t="e">
        <f t="shared" si="22"/>
        <v>#VALUE!</v>
      </c>
      <c r="I57" s="10" t="e">
        <f t="shared" si="3"/>
        <v>#VALUE!</v>
      </c>
      <c r="J57" s="10" t="e">
        <f t="shared" si="23"/>
        <v>#VALUE!</v>
      </c>
      <c r="K57" s="10" t="e">
        <f t="shared" si="4"/>
        <v>#VALUE!</v>
      </c>
      <c r="L57" s="10" t="e">
        <f t="shared" si="5"/>
        <v>#VALUE!</v>
      </c>
      <c r="M57" s="10" t="e">
        <f t="shared" si="24"/>
        <v>#VALUE!</v>
      </c>
      <c r="O57" s="10" t="e">
        <f t="shared" si="25"/>
        <v>#VALUE!</v>
      </c>
      <c r="P57" s="10" t="e">
        <f t="shared" si="6"/>
        <v>#VALUE!</v>
      </c>
      <c r="Q57" s="10" t="e">
        <f t="shared" si="7"/>
        <v>#VALUE!</v>
      </c>
      <c r="R57" s="10" t="e">
        <f t="shared" si="26"/>
        <v>#VALUE!</v>
      </c>
      <c r="S57" s="10" t="e">
        <f t="shared" si="27"/>
        <v>#VALUE!</v>
      </c>
      <c r="T57" s="10" t="e">
        <f t="shared" si="62"/>
        <v>#VALUE!</v>
      </c>
      <c r="U57" s="10" t="e">
        <f t="shared" si="63"/>
        <v>#VALUE!</v>
      </c>
      <c r="V57" s="10" t="e">
        <f t="shared" si="8"/>
        <v>#VALUE!</v>
      </c>
      <c r="W57" s="10" t="e">
        <f t="shared" si="28"/>
        <v>#VALUE!</v>
      </c>
      <c r="Y57" s="10" t="e">
        <f t="shared" si="29"/>
        <v>#VALUE!</v>
      </c>
      <c r="Z57" s="11" t="e">
        <f t="shared" si="30"/>
        <v>#VALUE!</v>
      </c>
      <c r="AA57" s="10" t="e">
        <f t="shared" si="9"/>
        <v>#VALUE!</v>
      </c>
      <c r="AB57" s="10" t="e">
        <f t="shared" si="31"/>
        <v>#VALUE!</v>
      </c>
      <c r="AC57" s="10" t="e">
        <f t="shared" si="32"/>
        <v>#VALUE!</v>
      </c>
      <c r="AD57" s="10" t="e">
        <f t="shared" si="64"/>
        <v>#VALUE!</v>
      </c>
      <c r="AE57" s="10" t="e">
        <f t="shared" si="65"/>
        <v>#VALUE!</v>
      </c>
      <c r="AF57" s="10" t="e">
        <f t="shared" si="10"/>
        <v>#VALUE!</v>
      </c>
      <c r="AG57" s="10" t="e">
        <f t="shared" si="33"/>
        <v>#VALUE!</v>
      </c>
      <c r="AI57" s="13"/>
      <c r="AK57" s="10" t="e">
        <f t="shared" si="34"/>
        <v>#VALUE!</v>
      </c>
      <c r="AL57" s="10" t="e">
        <f t="shared" si="66"/>
        <v>#VALUE!</v>
      </c>
      <c r="AM57" s="10" t="e">
        <f t="shared" si="11"/>
        <v>#VALUE!</v>
      </c>
      <c r="AN57" s="10" t="e">
        <f t="shared" si="35"/>
        <v>#VALUE!</v>
      </c>
      <c r="AO57" s="10" t="e">
        <f t="shared" si="36"/>
        <v>#VALUE!</v>
      </c>
      <c r="AP57" s="10" t="e">
        <f t="shared" si="37"/>
        <v>#VALUE!</v>
      </c>
      <c r="AQ57" s="10" t="e">
        <f t="shared" si="67"/>
        <v>#VALUE!</v>
      </c>
      <c r="AR57" s="10" t="e">
        <f t="shared" si="12"/>
        <v>#VALUE!</v>
      </c>
      <c r="AS57" s="10" t="e">
        <f t="shared" si="68"/>
        <v>#VALUE!</v>
      </c>
      <c r="AU57" s="10" t="e">
        <f t="shared" si="38"/>
        <v>#VALUE!</v>
      </c>
      <c r="AV57" s="10" t="e">
        <f t="shared" si="69"/>
        <v>#VALUE!</v>
      </c>
      <c r="AW57" s="10" t="e">
        <f t="shared" si="13"/>
        <v>#VALUE!</v>
      </c>
      <c r="AX57" s="10" t="e">
        <f t="shared" si="39"/>
        <v>#VALUE!</v>
      </c>
      <c r="AY57" s="10" t="e">
        <f t="shared" si="40"/>
        <v>#VALUE!</v>
      </c>
      <c r="AZ57" s="10" t="e">
        <f t="shared" si="41"/>
        <v>#VALUE!</v>
      </c>
      <c r="BA57" s="10" t="e">
        <f t="shared" si="70"/>
        <v>#VALUE!</v>
      </c>
      <c r="BB57" s="10" t="e">
        <f t="shared" si="14"/>
        <v>#VALUE!</v>
      </c>
      <c r="BC57" s="10" t="e">
        <f t="shared" si="71"/>
        <v>#VALUE!</v>
      </c>
      <c r="BE57" s="10" t="e">
        <f t="shared" si="42"/>
        <v>#VALUE!</v>
      </c>
      <c r="BF57" s="10" t="e">
        <f t="shared" si="72"/>
        <v>#VALUE!</v>
      </c>
      <c r="BG57" s="10" t="e">
        <f t="shared" si="15"/>
        <v>#VALUE!</v>
      </c>
      <c r="BH57" s="10" t="e">
        <f t="shared" si="43"/>
        <v>#VALUE!</v>
      </c>
      <c r="BI57" s="10" t="e">
        <f t="shared" si="44"/>
        <v>#VALUE!</v>
      </c>
      <c r="BJ57" s="10" t="e">
        <f t="shared" si="45"/>
        <v>#VALUE!</v>
      </c>
      <c r="BK57" s="10" t="e">
        <f t="shared" si="73"/>
        <v>#VALUE!</v>
      </c>
      <c r="BL57" s="10" t="e">
        <f t="shared" si="16"/>
        <v>#VALUE!</v>
      </c>
      <c r="BM57" s="10" t="e">
        <f t="shared" si="74"/>
        <v>#VALUE!</v>
      </c>
      <c r="BP57" s="10" t="e">
        <f t="shared" si="46"/>
        <v>#VALUE!</v>
      </c>
      <c r="BQ57" s="10" t="e">
        <f t="shared" si="47"/>
        <v>#VALUE!</v>
      </c>
      <c r="BR57" s="10" t="e">
        <f t="shared" si="48"/>
        <v>#VALUE!</v>
      </c>
      <c r="BS57" s="10" t="e">
        <f t="shared" si="49"/>
        <v>#VALUE!</v>
      </c>
      <c r="BT57" s="10" t="e">
        <f t="shared" si="50"/>
        <v>#VALUE!</v>
      </c>
      <c r="BU57" s="10" t="e">
        <f t="shared" si="51"/>
        <v>#VALUE!</v>
      </c>
      <c r="BW57" s="10" t="e">
        <f t="shared" si="52"/>
        <v>#VALUE!</v>
      </c>
      <c r="BX57" s="10" t="e">
        <f t="shared" si="53"/>
        <v>#VALUE!</v>
      </c>
      <c r="BY57" s="10" t="e">
        <f t="shared" si="54"/>
        <v>#VALUE!</v>
      </c>
      <c r="BZ57" s="10" t="e">
        <f t="shared" si="55"/>
        <v>#VALUE!</v>
      </c>
      <c r="CA57" s="10" t="e">
        <f t="shared" si="56"/>
        <v>#VALUE!</v>
      </c>
      <c r="CB57" s="10" t="e">
        <f t="shared" si="57"/>
        <v>#VALUE!</v>
      </c>
      <c r="CD57" s="10" t="e">
        <f>MATCH(INDEX($BP$12:$BU$12,1,MATCH(BP57,$BP$15:$BU$15,0)),结果汇总!$AI$10:$AI$13,0)</f>
        <v>#VALUE!</v>
      </c>
      <c r="CE57" s="10" t="e">
        <f>MATCH(INDEX($BP$12:$BU$12,1,MATCH(BQ57,$BP$15:$BU$15,0)),结果汇总!$AI$10:$AI$13,0)</f>
        <v>#VALUE!</v>
      </c>
      <c r="CF57" s="10" t="e">
        <f>MATCH(INDEX($BP$12:$BU$12,1,MATCH(BR57,$BP$15:$BU$15,0)),结果汇总!$AI$10:$AI$13,0)</f>
        <v>#VALUE!</v>
      </c>
      <c r="CG57" s="10" t="e">
        <f>MATCH(INDEX($BP$12:$BU$12,1,MATCH(BS57,$BP$15:$BU$15,0)),结果汇总!$AI$10:$AI$13,0)</f>
        <v>#VALUE!</v>
      </c>
      <c r="CH57" s="10" t="e">
        <f>MATCH(INDEX($BP$12:$BU$12,1,MATCH(BT57,$BP$15:$BU$15,0)),结果汇总!$AI$10:$AI$13,0)</f>
        <v>#VALUE!</v>
      </c>
      <c r="CI57" s="10" t="e">
        <f>MATCH(INDEX($BP$12:$BU$12,1,MATCH(BU57,$BP$15:$BU$15,0)),结果汇总!$AI$10:$AI$13,0)</f>
        <v>#VALUE!</v>
      </c>
      <c r="CK57" s="10">
        <f t="shared" si="75"/>
        <v>0</v>
      </c>
      <c r="CL57" s="10">
        <f t="shared" si="75"/>
        <v>0</v>
      </c>
      <c r="CM57" s="10">
        <f t="shared" si="75"/>
        <v>0</v>
      </c>
      <c r="CN57" s="10">
        <f t="shared" si="75"/>
        <v>0</v>
      </c>
      <c r="CO57" s="10" t="e">
        <f t="shared" si="76"/>
        <v>#DIV/0!</v>
      </c>
      <c r="CP57" s="10" t="e">
        <f t="shared" si="76"/>
        <v>#DIV/0!</v>
      </c>
      <c r="CQ57" s="10" t="e">
        <f t="shared" si="76"/>
        <v>#DIV/0!</v>
      </c>
      <c r="CR57" s="10" t="e">
        <f t="shared" si="76"/>
        <v>#DIV/0!</v>
      </c>
      <c r="CS57" s="10">
        <f t="shared" si="77"/>
        <v>0</v>
      </c>
      <c r="CT57" s="10">
        <f t="shared" si="77"/>
        <v>0</v>
      </c>
      <c r="CU57" s="10">
        <f t="shared" si="77"/>
        <v>0</v>
      </c>
      <c r="CV57" s="10">
        <f t="shared" si="77"/>
        <v>0</v>
      </c>
      <c r="CW57" s="10">
        <f t="shared" si="78"/>
        <v>0</v>
      </c>
      <c r="CX57" s="10">
        <f t="shared" si="78"/>
        <v>0</v>
      </c>
      <c r="CY57" s="10">
        <f t="shared" si="78"/>
        <v>0</v>
      </c>
      <c r="CZ57" s="10">
        <f t="shared" si="78"/>
        <v>0</v>
      </c>
    </row>
    <row r="58" spans="4:104" x14ac:dyDescent="0.15">
      <c r="D58" s="10">
        <v>43</v>
      </c>
      <c r="E58" s="10" t="e">
        <f t="shared" si="21"/>
        <v>#VALUE!</v>
      </c>
      <c r="F58" s="10" t="e">
        <f t="shared" si="1"/>
        <v>#VALUE!</v>
      </c>
      <c r="G58" s="10" t="e">
        <f t="shared" si="2"/>
        <v>#VALUE!</v>
      </c>
      <c r="H58" s="10" t="e">
        <f t="shared" si="22"/>
        <v>#VALUE!</v>
      </c>
      <c r="I58" s="10" t="e">
        <f t="shared" si="3"/>
        <v>#VALUE!</v>
      </c>
      <c r="J58" s="10" t="e">
        <f t="shared" si="23"/>
        <v>#VALUE!</v>
      </c>
      <c r="K58" s="10" t="e">
        <f t="shared" si="4"/>
        <v>#VALUE!</v>
      </c>
      <c r="L58" s="10" t="e">
        <f t="shared" si="5"/>
        <v>#VALUE!</v>
      </c>
      <c r="M58" s="10" t="e">
        <f t="shared" si="24"/>
        <v>#VALUE!</v>
      </c>
      <c r="O58" s="10" t="e">
        <f t="shared" si="25"/>
        <v>#VALUE!</v>
      </c>
      <c r="P58" s="10" t="e">
        <f t="shared" si="6"/>
        <v>#VALUE!</v>
      </c>
      <c r="Q58" s="10" t="e">
        <f t="shared" si="7"/>
        <v>#VALUE!</v>
      </c>
      <c r="R58" s="10" t="e">
        <f t="shared" si="26"/>
        <v>#VALUE!</v>
      </c>
      <c r="S58" s="10" t="e">
        <f t="shared" si="27"/>
        <v>#VALUE!</v>
      </c>
      <c r="T58" s="10" t="e">
        <f t="shared" si="62"/>
        <v>#VALUE!</v>
      </c>
      <c r="U58" s="10" t="e">
        <f t="shared" si="63"/>
        <v>#VALUE!</v>
      </c>
      <c r="V58" s="10" t="e">
        <f t="shared" si="8"/>
        <v>#VALUE!</v>
      </c>
      <c r="W58" s="10" t="e">
        <f t="shared" si="28"/>
        <v>#VALUE!</v>
      </c>
      <c r="Y58" s="10" t="e">
        <f t="shared" si="29"/>
        <v>#VALUE!</v>
      </c>
      <c r="Z58" s="11" t="e">
        <f t="shared" si="30"/>
        <v>#VALUE!</v>
      </c>
      <c r="AA58" s="10" t="e">
        <f t="shared" si="9"/>
        <v>#VALUE!</v>
      </c>
      <c r="AB58" s="10" t="e">
        <f t="shared" si="31"/>
        <v>#VALUE!</v>
      </c>
      <c r="AC58" s="10" t="e">
        <f t="shared" si="32"/>
        <v>#VALUE!</v>
      </c>
      <c r="AD58" s="10" t="e">
        <f t="shared" si="64"/>
        <v>#VALUE!</v>
      </c>
      <c r="AE58" s="10" t="e">
        <f t="shared" si="65"/>
        <v>#VALUE!</v>
      </c>
      <c r="AF58" s="10" t="e">
        <f t="shared" si="10"/>
        <v>#VALUE!</v>
      </c>
      <c r="AG58" s="10" t="e">
        <f t="shared" si="33"/>
        <v>#VALUE!</v>
      </c>
      <c r="AI58" s="13"/>
      <c r="AK58" s="10" t="e">
        <f t="shared" si="34"/>
        <v>#VALUE!</v>
      </c>
      <c r="AL58" s="10" t="e">
        <f t="shared" si="66"/>
        <v>#VALUE!</v>
      </c>
      <c r="AM58" s="10" t="e">
        <f t="shared" si="11"/>
        <v>#VALUE!</v>
      </c>
      <c r="AN58" s="10" t="e">
        <f t="shared" si="35"/>
        <v>#VALUE!</v>
      </c>
      <c r="AO58" s="10" t="e">
        <f t="shared" si="36"/>
        <v>#VALUE!</v>
      </c>
      <c r="AP58" s="10" t="e">
        <f t="shared" si="37"/>
        <v>#VALUE!</v>
      </c>
      <c r="AQ58" s="10" t="e">
        <f t="shared" si="67"/>
        <v>#VALUE!</v>
      </c>
      <c r="AR58" s="10" t="e">
        <f t="shared" si="12"/>
        <v>#VALUE!</v>
      </c>
      <c r="AS58" s="10" t="e">
        <f t="shared" si="68"/>
        <v>#VALUE!</v>
      </c>
      <c r="AU58" s="10" t="e">
        <f t="shared" si="38"/>
        <v>#VALUE!</v>
      </c>
      <c r="AV58" s="10" t="e">
        <f t="shared" si="69"/>
        <v>#VALUE!</v>
      </c>
      <c r="AW58" s="10" t="e">
        <f t="shared" si="13"/>
        <v>#VALUE!</v>
      </c>
      <c r="AX58" s="10" t="e">
        <f t="shared" si="39"/>
        <v>#VALUE!</v>
      </c>
      <c r="AY58" s="10" t="e">
        <f t="shared" si="40"/>
        <v>#VALUE!</v>
      </c>
      <c r="AZ58" s="10" t="e">
        <f t="shared" si="41"/>
        <v>#VALUE!</v>
      </c>
      <c r="BA58" s="10" t="e">
        <f t="shared" si="70"/>
        <v>#VALUE!</v>
      </c>
      <c r="BB58" s="10" t="e">
        <f t="shared" si="14"/>
        <v>#VALUE!</v>
      </c>
      <c r="BC58" s="10" t="e">
        <f t="shared" si="71"/>
        <v>#VALUE!</v>
      </c>
      <c r="BE58" s="10" t="e">
        <f t="shared" si="42"/>
        <v>#VALUE!</v>
      </c>
      <c r="BF58" s="10" t="e">
        <f t="shared" si="72"/>
        <v>#VALUE!</v>
      </c>
      <c r="BG58" s="10" t="e">
        <f t="shared" si="15"/>
        <v>#VALUE!</v>
      </c>
      <c r="BH58" s="10" t="e">
        <f t="shared" si="43"/>
        <v>#VALUE!</v>
      </c>
      <c r="BI58" s="10" t="e">
        <f t="shared" si="44"/>
        <v>#VALUE!</v>
      </c>
      <c r="BJ58" s="10" t="e">
        <f t="shared" si="45"/>
        <v>#VALUE!</v>
      </c>
      <c r="BK58" s="10" t="e">
        <f t="shared" si="73"/>
        <v>#VALUE!</v>
      </c>
      <c r="BL58" s="10" t="e">
        <f t="shared" si="16"/>
        <v>#VALUE!</v>
      </c>
      <c r="BM58" s="10" t="e">
        <f t="shared" si="74"/>
        <v>#VALUE!</v>
      </c>
      <c r="BP58" s="10" t="e">
        <f t="shared" si="46"/>
        <v>#VALUE!</v>
      </c>
      <c r="BQ58" s="10" t="e">
        <f t="shared" si="47"/>
        <v>#VALUE!</v>
      </c>
      <c r="BR58" s="10" t="e">
        <f t="shared" si="48"/>
        <v>#VALUE!</v>
      </c>
      <c r="BS58" s="10" t="e">
        <f t="shared" si="49"/>
        <v>#VALUE!</v>
      </c>
      <c r="BT58" s="10" t="e">
        <f t="shared" si="50"/>
        <v>#VALUE!</v>
      </c>
      <c r="BU58" s="10" t="e">
        <f t="shared" si="51"/>
        <v>#VALUE!</v>
      </c>
      <c r="BW58" s="10" t="e">
        <f t="shared" si="52"/>
        <v>#VALUE!</v>
      </c>
      <c r="BX58" s="10" t="e">
        <f t="shared" si="53"/>
        <v>#VALUE!</v>
      </c>
      <c r="BY58" s="10" t="e">
        <f t="shared" si="54"/>
        <v>#VALUE!</v>
      </c>
      <c r="BZ58" s="10" t="e">
        <f t="shared" si="55"/>
        <v>#VALUE!</v>
      </c>
      <c r="CA58" s="10" t="e">
        <f t="shared" si="56"/>
        <v>#VALUE!</v>
      </c>
      <c r="CB58" s="10" t="e">
        <f t="shared" si="57"/>
        <v>#VALUE!</v>
      </c>
      <c r="CD58" s="10" t="e">
        <f>MATCH(INDEX($BP$12:$BU$12,1,MATCH(BP58,$BP$15:$BU$15,0)),结果汇总!$AI$10:$AI$13,0)</f>
        <v>#VALUE!</v>
      </c>
      <c r="CE58" s="10" t="e">
        <f>MATCH(INDEX($BP$12:$BU$12,1,MATCH(BQ58,$BP$15:$BU$15,0)),结果汇总!$AI$10:$AI$13,0)</f>
        <v>#VALUE!</v>
      </c>
      <c r="CF58" s="10" t="e">
        <f>MATCH(INDEX($BP$12:$BU$12,1,MATCH(BR58,$BP$15:$BU$15,0)),结果汇总!$AI$10:$AI$13,0)</f>
        <v>#VALUE!</v>
      </c>
      <c r="CG58" s="10" t="e">
        <f>MATCH(INDEX($BP$12:$BU$12,1,MATCH(BS58,$BP$15:$BU$15,0)),结果汇总!$AI$10:$AI$13,0)</f>
        <v>#VALUE!</v>
      </c>
      <c r="CH58" s="10" t="e">
        <f>MATCH(INDEX($BP$12:$BU$12,1,MATCH(BT58,$BP$15:$BU$15,0)),结果汇总!$AI$10:$AI$13,0)</f>
        <v>#VALUE!</v>
      </c>
      <c r="CI58" s="10" t="e">
        <f>MATCH(INDEX($BP$12:$BU$12,1,MATCH(BU58,$BP$15:$BU$15,0)),结果汇总!$AI$10:$AI$13,0)</f>
        <v>#VALUE!</v>
      </c>
      <c r="CK58" s="10">
        <f t="shared" si="75"/>
        <v>0</v>
      </c>
      <c r="CL58" s="10">
        <f t="shared" si="75"/>
        <v>0</v>
      </c>
      <c r="CM58" s="10">
        <f t="shared" si="75"/>
        <v>0</v>
      </c>
      <c r="CN58" s="10">
        <f t="shared" si="75"/>
        <v>0</v>
      </c>
      <c r="CO58" s="10" t="e">
        <f t="shared" si="76"/>
        <v>#DIV/0!</v>
      </c>
      <c r="CP58" s="10" t="e">
        <f t="shared" si="76"/>
        <v>#DIV/0!</v>
      </c>
      <c r="CQ58" s="10" t="e">
        <f t="shared" si="76"/>
        <v>#DIV/0!</v>
      </c>
      <c r="CR58" s="10" t="e">
        <f t="shared" si="76"/>
        <v>#DIV/0!</v>
      </c>
      <c r="CS58" s="10">
        <f t="shared" si="77"/>
        <v>0</v>
      </c>
      <c r="CT58" s="10">
        <f t="shared" si="77"/>
        <v>0</v>
      </c>
      <c r="CU58" s="10">
        <f t="shared" si="77"/>
        <v>0</v>
      </c>
      <c r="CV58" s="10">
        <f t="shared" si="77"/>
        <v>0</v>
      </c>
      <c r="CW58" s="10">
        <f t="shared" si="78"/>
        <v>0</v>
      </c>
      <c r="CX58" s="10">
        <f t="shared" si="78"/>
        <v>0</v>
      </c>
      <c r="CY58" s="10">
        <f t="shared" si="78"/>
        <v>0</v>
      </c>
      <c r="CZ58" s="10">
        <f t="shared" si="78"/>
        <v>0</v>
      </c>
    </row>
    <row r="59" spans="4:104" x14ac:dyDescent="0.15">
      <c r="D59" s="10">
        <v>44</v>
      </c>
      <c r="E59" s="10" t="e">
        <f t="shared" si="21"/>
        <v>#VALUE!</v>
      </c>
      <c r="F59" s="10" t="e">
        <f t="shared" si="1"/>
        <v>#VALUE!</v>
      </c>
      <c r="G59" s="10" t="e">
        <f t="shared" si="2"/>
        <v>#VALUE!</v>
      </c>
      <c r="H59" s="10" t="e">
        <f t="shared" si="22"/>
        <v>#VALUE!</v>
      </c>
      <c r="I59" s="10" t="e">
        <f t="shared" si="3"/>
        <v>#VALUE!</v>
      </c>
      <c r="J59" s="10" t="e">
        <f t="shared" si="23"/>
        <v>#VALUE!</v>
      </c>
      <c r="K59" s="10" t="e">
        <f t="shared" si="4"/>
        <v>#VALUE!</v>
      </c>
      <c r="L59" s="10" t="e">
        <f t="shared" si="5"/>
        <v>#VALUE!</v>
      </c>
      <c r="M59" s="10" t="e">
        <f t="shared" si="24"/>
        <v>#VALUE!</v>
      </c>
      <c r="O59" s="10" t="e">
        <f t="shared" si="25"/>
        <v>#VALUE!</v>
      </c>
      <c r="P59" s="10" t="e">
        <f t="shared" si="6"/>
        <v>#VALUE!</v>
      </c>
      <c r="Q59" s="10" t="e">
        <f t="shared" si="7"/>
        <v>#VALUE!</v>
      </c>
      <c r="R59" s="10" t="e">
        <f t="shared" si="26"/>
        <v>#VALUE!</v>
      </c>
      <c r="S59" s="10" t="e">
        <f t="shared" si="27"/>
        <v>#VALUE!</v>
      </c>
      <c r="T59" s="10" t="e">
        <f t="shared" si="62"/>
        <v>#VALUE!</v>
      </c>
      <c r="U59" s="10" t="e">
        <f t="shared" si="63"/>
        <v>#VALUE!</v>
      </c>
      <c r="V59" s="10" t="e">
        <f t="shared" si="8"/>
        <v>#VALUE!</v>
      </c>
      <c r="W59" s="10" t="e">
        <f t="shared" si="28"/>
        <v>#VALUE!</v>
      </c>
      <c r="Y59" s="10" t="e">
        <f t="shared" si="29"/>
        <v>#VALUE!</v>
      </c>
      <c r="Z59" s="11" t="e">
        <f t="shared" si="30"/>
        <v>#VALUE!</v>
      </c>
      <c r="AA59" s="10" t="e">
        <f t="shared" si="9"/>
        <v>#VALUE!</v>
      </c>
      <c r="AB59" s="10" t="e">
        <f t="shared" si="31"/>
        <v>#VALUE!</v>
      </c>
      <c r="AC59" s="10" t="e">
        <f t="shared" si="32"/>
        <v>#VALUE!</v>
      </c>
      <c r="AD59" s="10" t="e">
        <f t="shared" si="64"/>
        <v>#VALUE!</v>
      </c>
      <c r="AE59" s="10" t="e">
        <f t="shared" si="65"/>
        <v>#VALUE!</v>
      </c>
      <c r="AF59" s="10" t="e">
        <f t="shared" si="10"/>
        <v>#VALUE!</v>
      </c>
      <c r="AG59" s="10" t="e">
        <f t="shared" si="33"/>
        <v>#VALUE!</v>
      </c>
      <c r="AI59" s="13"/>
      <c r="AK59" s="10" t="e">
        <f t="shared" si="34"/>
        <v>#VALUE!</v>
      </c>
      <c r="AL59" s="10" t="e">
        <f t="shared" si="66"/>
        <v>#VALUE!</v>
      </c>
      <c r="AM59" s="10" t="e">
        <f t="shared" si="11"/>
        <v>#VALUE!</v>
      </c>
      <c r="AN59" s="10" t="e">
        <f t="shared" si="35"/>
        <v>#VALUE!</v>
      </c>
      <c r="AO59" s="10" t="e">
        <f t="shared" si="36"/>
        <v>#VALUE!</v>
      </c>
      <c r="AP59" s="10" t="e">
        <f t="shared" si="37"/>
        <v>#VALUE!</v>
      </c>
      <c r="AQ59" s="10" t="e">
        <f t="shared" si="67"/>
        <v>#VALUE!</v>
      </c>
      <c r="AR59" s="10" t="e">
        <f t="shared" si="12"/>
        <v>#VALUE!</v>
      </c>
      <c r="AS59" s="10" t="e">
        <f t="shared" si="68"/>
        <v>#VALUE!</v>
      </c>
      <c r="AU59" s="10" t="e">
        <f t="shared" si="38"/>
        <v>#VALUE!</v>
      </c>
      <c r="AV59" s="10" t="e">
        <f t="shared" si="69"/>
        <v>#VALUE!</v>
      </c>
      <c r="AW59" s="10" t="e">
        <f t="shared" si="13"/>
        <v>#VALUE!</v>
      </c>
      <c r="AX59" s="10" t="e">
        <f t="shared" si="39"/>
        <v>#VALUE!</v>
      </c>
      <c r="AY59" s="10" t="e">
        <f t="shared" si="40"/>
        <v>#VALUE!</v>
      </c>
      <c r="AZ59" s="10" t="e">
        <f t="shared" si="41"/>
        <v>#VALUE!</v>
      </c>
      <c r="BA59" s="10" t="e">
        <f t="shared" si="70"/>
        <v>#VALUE!</v>
      </c>
      <c r="BB59" s="10" t="e">
        <f t="shared" si="14"/>
        <v>#VALUE!</v>
      </c>
      <c r="BC59" s="10" t="e">
        <f t="shared" si="71"/>
        <v>#VALUE!</v>
      </c>
      <c r="BE59" s="10" t="e">
        <f t="shared" si="42"/>
        <v>#VALUE!</v>
      </c>
      <c r="BF59" s="10" t="e">
        <f t="shared" si="72"/>
        <v>#VALUE!</v>
      </c>
      <c r="BG59" s="10" t="e">
        <f t="shared" si="15"/>
        <v>#VALUE!</v>
      </c>
      <c r="BH59" s="10" t="e">
        <f t="shared" si="43"/>
        <v>#VALUE!</v>
      </c>
      <c r="BI59" s="10" t="e">
        <f t="shared" si="44"/>
        <v>#VALUE!</v>
      </c>
      <c r="BJ59" s="10" t="e">
        <f t="shared" si="45"/>
        <v>#VALUE!</v>
      </c>
      <c r="BK59" s="10" t="e">
        <f t="shared" si="73"/>
        <v>#VALUE!</v>
      </c>
      <c r="BL59" s="10" t="e">
        <f t="shared" si="16"/>
        <v>#VALUE!</v>
      </c>
      <c r="BM59" s="10" t="e">
        <f t="shared" si="74"/>
        <v>#VALUE!</v>
      </c>
      <c r="BP59" s="10" t="e">
        <f t="shared" si="46"/>
        <v>#VALUE!</v>
      </c>
      <c r="BQ59" s="10" t="e">
        <f t="shared" si="47"/>
        <v>#VALUE!</v>
      </c>
      <c r="BR59" s="10" t="e">
        <f t="shared" si="48"/>
        <v>#VALUE!</v>
      </c>
      <c r="BS59" s="10" t="e">
        <f t="shared" si="49"/>
        <v>#VALUE!</v>
      </c>
      <c r="BT59" s="10" t="e">
        <f t="shared" si="50"/>
        <v>#VALUE!</v>
      </c>
      <c r="BU59" s="10" t="e">
        <f t="shared" si="51"/>
        <v>#VALUE!</v>
      </c>
      <c r="BW59" s="10" t="e">
        <f t="shared" si="52"/>
        <v>#VALUE!</v>
      </c>
      <c r="BX59" s="10" t="e">
        <f t="shared" si="53"/>
        <v>#VALUE!</v>
      </c>
      <c r="BY59" s="10" t="e">
        <f t="shared" si="54"/>
        <v>#VALUE!</v>
      </c>
      <c r="BZ59" s="10" t="e">
        <f t="shared" si="55"/>
        <v>#VALUE!</v>
      </c>
      <c r="CA59" s="10" t="e">
        <f t="shared" si="56"/>
        <v>#VALUE!</v>
      </c>
      <c r="CB59" s="10" t="e">
        <f t="shared" si="57"/>
        <v>#VALUE!</v>
      </c>
      <c r="CD59" s="10" t="e">
        <f>MATCH(INDEX($BP$12:$BU$12,1,MATCH(BP59,$BP$15:$BU$15,0)),结果汇总!$AI$10:$AI$13,0)</f>
        <v>#VALUE!</v>
      </c>
      <c r="CE59" s="10" t="e">
        <f>MATCH(INDEX($BP$12:$BU$12,1,MATCH(BQ59,$BP$15:$BU$15,0)),结果汇总!$AI$10:$AI$13,0)</f>
        <v>#VALUE!</v>
      </c>
      <c r="CF59" s="10" t="e">
        <f>MATCH(INDEX($BP$12:$BU$12,1,MATCH(BR59,$BP$15:$BU$15,0)),结果汇总!$AI$10:$AI$13,0)</f>
        <v>#VALUE!</v>
      </c>
      <c r="CG59" s="10" t="e">
        <f>MATCH(INDEX($BP$12:$BU$12,1,MATCH(BS59,$BP$15:$BU$15,0)),结果汇总!$AI$10:$AI$13,0)</f>
        <v>#VALUE!</v>
      </c>
      <c r="CH59" s="10" t="e">
        <f>MATCH(INDEX($BP$12:$BU$12,1,MATCH(BT59,$BP$15:$BU$15,0)),结果汇总!$AI$10:$AI$13,0)</f>
        <v>#VALUE!</v>
      </c>
      <c r="CI59" s="10" t="e">
        <f>MATCH(INDEX($BP$12:$BU$12,1,MATCH(BU59,$BP$15:$BU$15,0)),结果汇总!$AI$10:$AI$13,0)</f>
        <v>#VALUE!</v>
      </c>
      <c r="CK59" s="10">
        <f t="shared" si="75"/>
        <v>0</v>
      </c>
      <c r="CL59" s="10">
        <f t="shared" si="75"/>
        <v>0</v>
      </c>
      <c r="CM59" s="10">
        <f t="shared" si="75"/>
        <v>0</v>
      </c>
      <c r="CN59" s="10">
        <f t="shared" si="75"/>
        <v>0</v>
      </c>
      <c r="CO59" s="10" t="e">
        <f t="shared" si="76"/>
        <v>#DIV/0!</v>
      </c>
      <c r="CP59" s="10" t="e">
        <f t="shared" si="76"/>
        <v>#DIV/0!</v>
      </c>
      <c r="CQ59" s="10" t="e">
        <f t="shared" si="76"/>
        <v>#DIV/0!</v>
      </c>
      <c r="CR59" s="10" t="e">
        <f t="shared" si="76"/>
        <v>#DIV/0!</v>
      </c>
      <c r="CS59" s="10">
        <f t="shared" si="77"/>
        <v>0</v>
      </c>
      <c r="CT59" s="10">
        <f t="shared" si="77"/>
        <v>0</v>
      </c>
      <c r="CU59" s="10">
        <f t="shared" si="77"/>
        <v>0</v>
      </c>
      <c r="CV59" s="10">
        <f t="shared" si="77"/>
        <v>0</v>
      </c>
      <c r="CW59" s="10">
        <f t="shared" si="78"/>
        <v>0</v>
      </c>
      <c r="CX59" s="10">
        <f t="shared" si="78"/>
        <v>0</v>
      </c>
      <c r="CY59" s="10">
        <f t="shared" si="78"/>
        <v>0</v>
      </c>
      <c r="CZ59" s="10">
        <f t="shared" si="78"/>
        <v>0</v>
      </c>
    </row>
    <row r="60" spans="4:104" x14ac:dyDescent="0.15">
      <c r="D60" s="10">
        <v>45</v>
      </c>
      <c r="E60" s="10" t="e">
        <f t="shared" si="21"/>
        <v>#VALUE!</v>
      </c>
      <c r="F60" s="10" t="e">
        <f t="shared" si="1"/>
        <v>#VALUE!</v>
      </c>
      <c r="G60" s="10" t="e">
        <f t="shared" si="2"/>
        <v>#VALUE!</v>
      </c>
      <c r="H60" s="10" t="e">
        <f t="shared" si="22"/>
        <v>#VALUE!</v>
      </c>
      <c r="I60" s="10" t="e">
        <f t="shared" si="3"/>
        <v>#VALUE!</v>
      </c>
      <c r="J60" s="10" t="e">
        <f t="shared" si="23"/>
        <v>#VALUE!</v>
      </c>
      <c r="K60" s="10" t="e">
        <f t="shared" si="4"/>
        <v>#VALUE!</v>
      </c>
      <c r="L60" s="10" t="e">
        <f t="shared" si="5"/>
        <v>#VALUE!</v>
      </c>
      <c r="M60" s="10" t="e">
        <f t="shared" si="24"/>
        <v>#VALUE!</v>
      </c>
      <c r="O60" s="10" t="e">
        <f t="shared" si="25"/>
        <v>#VALUE!</v>
      </c>
      <c r="P60" s="10" t="e">
        <f t="shared" si="6"/>
        <v>#VALUE!</v>
      </c>
      <c r="Q60" s="10" t="e">
        <f t="shared" si="7"/>
        <v>#VALUE!</v>
      </c>
      <c r="R60" s="10" t="e">
        <f t="shared" si="26"/>
        <v>#VALUE!</v>
      </c>
      <c r="S60" s="10" t="e">
        <f t="shared" si="27"/>
        <v>#VALUE!</v>
      </c>
      <c r="T60" s="10" t="e">
        <f t="shared" si="62"/>
        <v>#VALUE!</v>
      </c>
      <c r="U60" s="10" t="e">
        <f t="shared" si="63"/>
        <v>#VALUE!</v>
      </c>
      <c r="V60" s="10" t="e">
        <f t="shared" si="8"/>
        <v>#VALUE!</v>
      </c>
      <c r="W60" s="10" t="e">
        <f t="shared" si="28"/>
        <v>#VALUE!</v>
      </c>
      <c r="Y60" s="10" t="e">
        <f t="shared" si="29"/>
        <v>#VALUE!</v>
      </c>
      <c r="Z60" s="11" t="e">
        <f t="shared" si="30"/>
        <v>#VALUE!</v>
      </c>
      <c r="AA60" s="10" t="e">
        <f t="shared" si="9"/>
        <v>#VALUE!</v>
      </c>
      <c r="AB60" s="10" t="e">
        <f t="shared" si="31"/>
        <v>#VALUE!</v>
      </c>
      <c r="AC60" s="10" t="e">
        <f t="shared" si="32"/>
        <v>#VALUE!</v>
      </c>
      <c r="AD60" s="10" t="e">
        <f t="shared" si="64"/>
        <v>#VALUE!</v>
      </c>
      <c r="AE60" s="10" t="e">
        <f t="shared" si="65"/>
        <v>#VALUE!</v>
      </c>
      <c r="AF60" s="10" t="e">
        <f t="shared" si="10"/>
        <v>#VALUE!</v>
      </c>
      <c r="AG60" s="10" t="e">
        <f t="shared" si="33"/>
        <v>#VALUE!</v>
      </c>
      <c r="AI60" s="13"/>
      <c r="AK60" s="10" t="e">
        <f t="shared" si="34"/>
        <v>#VALUE!</v>
      </c>
      <c r="AL60" s="10" t="e">
        <f t="shared" si="66"/>
        <v>#VALUE!</v>
      </c>
      <c r="AM60" s="10" t="e">
        <f t="shared" si="11"/>
        <v>#VALUE!</v>
      </c>
      <c r="AN60" s="10" t="e">
        <f t="shared" si="35"/>
        <v>#VALUE!</v>
      </c>
      <c r="AO60" s="10" t="e">
        <f t="shared" si="36"/>
        <v>#VALUE!</v>
      </c>
      <c r="AP60" s="10" t="e">
        <f t="shared" si="37"/>
        <v>#VALUE!</v>
      </c>
      <c r="AQ60" s="10" t="e">
        <f t="shared" si="67"/>
        <v>#VALUE!</v>
      </c>
      <c r="AR60" s="10" t="e">
        <f t="shared" si="12"/>
        <v>#VALUE!</v>
      </c>
      <c r="AS60" s="10" t="e">
        <f t="shared" si="68"/>
        <v>#VALUE!</v>
      </c>
      <c r="AU60" s="10" t="e">
        <f t="shared" si="38"/>
        <v>#VALUE!</v>
      </c>
      <c r="AV60" s="10" t="e">
        <f t="shared" si="69"/>
        <v>#VALUE!</v>
      </c>
      <c r="AW60" s="10" t="e">
        <f t="shared" si="13"/>
        <v>#VALUE!</v>
      </c>
      <c r="AX60" s="10" t="e">
        <f t="shared" si="39"/>
        <v>#VALUE!</v>
      </c>
      <c r="AY60" s="10" t="e">
        <f t="shared" si="40"/>
        <v>#VALUE!</v>
      </c>
      <c r="AZ60" s="10" t="e">
        <f t="shared" si="41"/>
        <v>#VALUE!</v>
      </c>
      <c r="BA60" s="10" t="e">
        <f t="shared" si="70"/>
        <v>#VALUE!</v>
      </c>
      <c r="BB60" s="10" t="e">
        <f t="shared" si="14"/>
        <v>#VALUE!</v>
      </c>
      <c r="BC60" s="10" t="e">
        <f t="shared" si="71"/>
        <v>#VALUE!</v>
      </c>
      <c r="BE60" s="10" t="e">
        <f t="shared" si="42"/>
        <v>#VALUE!</v>
      </c>
      <c r="BF60" s="10" t="e">
        <f t="shared" si="72"/>
        <v>#VALUE!</v>
      </c>
      <c r="BG60" s="10" t="e">
        <f t="shared" si="15"/>
        <v>#VALUE!</v>
      </c>
      <c r="BH60" s="10" t="e">
        <f t="shared" si="43"/>
        <v>#VALUE!</v>
      </c>
      <c r="BI60" s="10" t="e">
        <f t="shared" si="44"/>
        <v>#VALUE!</v>
      </c>
      <c r="BJ60" s="10" t="e">
        <f t="shared" si="45"/>
        <v>#VALUE!</v>
      </c>
      <c r="BK60" s="10" t="e">
        <f t="shared" si="73"/>
        <v>#VALUE!</v>
      </c>
      <c r="BL60" s="10" t="e">
        <f t="shared" si="16"/>
        <v>#VALUE!</v>
      </c>
      <c r="BM60" s="10" t="e">
        <f t="shared" si="74"/>
        <v>#VALUE!</v>
      </c>
      <c r="BP60" s="10" t="e">
        <f t="shared" si="46"/>
        <v>#VALUE!</v>
      </c>
      <c r="BQ60" s="10" t="e">
        <f t="shared" si="47"/>
        <v>#VALUE!</v>
      </c>
      <c r="BR60" s="10" t="e">
        <f t="shared" si="48"/>
        <v>#VALUE!</v>
      </c>
      <c r="BS60" s="10" t="e">
        <f t="shared" si="49"/>
        <v>#VALUE!</v>
      </c>
      <c r="BT60" s="10" t="e">
        <f t="shared" si="50"/>
        <v>#VALUE!</v>
      </c>
      <c r="BU60" s="10" t="e">
        <f t="shared" si="51"/>
        <v>#VALUE!</v>
      </c>
      <c r="BW60" s="10" t="e">
        <f t="shared" si="52"/>
        <v>#VALUE!</v>
      </c>
      <c r="BX60" s="10" t="e">
        <f t="shared" si="53"/>
        <v>#VALUE!</v>
      </c>
      <c r="BY60" s="10" t="e">
        <f t="shared" si="54"/>
        <v>#VALUE!</v>
      </c>
      <c r="BZ60" s="10" t="e">
        <f t="shared" si="55"/>
        <v>#VALUE!</v>
      </c>
      <c r="CA60" s="10" t="e">
        <f t="shared" si="56"/>
        <v>#VALUE!</v>
      </c>
      <c r="CB60" s="10" t="e">
        <f t="shared" si="57"/>
        <v>#VALUE!</v>
      </c>
      <c r="CD60" s="10" t="e">
        <f>MATCH(INDEX($BP$12:$BU$12,1,MATCH(BP60,$BP$15:$BU$15,0)),结果汇总!$AI$10:$AI$13,0)</f>
        <v>#VALUE!</v>
      </c>
      <c r="CE60" s="10" t="e">
        <f>MATCH(INDEX($BP$12:$BU$12,1,MATCH(BQ60,$BP$15:$BU$15,0)),结果汇总!$AI$10:$AI$13,0)</f>
        <v>#VALUE!</v>
      </c>
      <c r="CF60" s="10" t="e">
        <f>MATCH(INDEX($BP$12:$BU$12,1,MATCH(BR60,$BP$15:$BU$15,0)),结果汇总!$AI$10:$AI$13,0)</f>
        <v>#VALUE!</v>
      </c>
      <c r="CG60" s="10" t="e">
        <f>MATCH(INDEX($BP$12:$BU$12,1,MATCH(BS60,$BP$15:$BU$15,0)),结果汇总!$AI$10:$AI$13,0)</f>
        <v>#VALUE!</v>
      </c>
      <c r="CH60" s="10" t="e">
        <f>MATCH(INDEX($BP$12:$BU$12,1,MATCH(BT60,$BP$15:$BU$15,0)),结果汇总!$AI$10:$AI$13,0)</f>
        <v>#VALUE!</v>
      </c>
      <c r="CI60" s="10" t="e">
        <f>MATCH(INDEX($BP$12:$BU$12,1,MATCH(BU60,$BP$15:$BU$15,0)),结果汇总!$AI$10:$AI$13,0)</f>
        <v>#VALUE!</v>
      </c>
      <c r="CK60" s="10">
        <f t="shared" si="75"/>
        <v>0</v>
      </c>
      <c r="CL60" s="10">
        <f t="shared" si="75"/>
        <v>0</v>
      </c>
      <c r="CM60" s="10">
        <f t="shared" si="75"/>
        <v>0</v>
      </c>
      <c r="CN60" s="10">
        <f t="shared" si="75"/>
        <v>0</v>
      </c>
      <c r="CO60" s="10" t="e">
        <f t="shared" si="76"/>
        <v>#DIV/0!</v>
      </c>
      <c r="CP60" s="10" t="e">
        <f t="shared" si="76"/>
        <v>#DIV/0!</v>
      </c>
      <c r="CQ60" s="10" t="e">
        <f t="shared" si="76"/>
        <v>#DIV/0!</v>
      </c>
      <c r="CR60" s="10" t="e">
        <f t="shared" si="76"/>
        <v>#DIV/0!</v>
      </c>
      <c r="CS60" s="10">
        <f t="shared" si="77"/>
        <v>0</v>
      </c>
      <c r="CT60" s="10">
        <f t="shared" si="77"/>
        <v>0</v>
      </c>
      <c r="CU60" s="10">
        <f t="shared" si="77"/>
        <v>0</v>
      </c>
      <c r="CV60" s="10">
        <f t="shared" si="77"/>
        <v>0</v>
      </c>
      <c r="CW60" s="10">
        <f t="shared" si="78"/>
        <v>0</v>
      </c>
      <c r="CX60" s="10">
        <f t="shared" si="78"/>
        <v>0</v>
      </c>
      <c r="CY60" s="10">
        <f t="shared" si="78"/>
        <v>0</v>
      </c>
      <c r="CZ60" s="10">
        <f t="shared" si="78"/>
        <v>0</v>
      </c>
    </row>
    <row r="61" spans="4:104" x14ac:dyDescent="0.15">
      <c r="D61" s="10">
        <v>46</v>
      </c>
      <c r="E61" s="10" t="e">
        <f t="shared" si="21"/>
        <v>#VALUE!</v>
      </c>
      <c r="F61" s="10" t="e">
        <f t="shared" si="1"/>
        <v>#VALUE!</v>
      </c>
      <c r="G61" s="10" t="e">
        <f t="shared" si="2"/>
        <v>#VALUE!</v>
      </c>
      <c r="H61" s="10" t="e">
        <f t="shared" si="22"/>
        <v>#VALUE!</v>
      </c>
      <c r="I61" s="10" t="e">
        <f t="shared" si="3"/>
        <v>#VALUE!</v>
      </c>
      <c r="J61" s="10" t="e">
        <f t="shared" si="23"/>
        <v>#VALUE!</v>
      </c>
      <c r="K61" s="10" t="e">
        <f t="shared" si="4"/>
        <v>#VALUE!</v>
      </c>
      <c r="L61" s="10" t="e">
        <f t="shared" si="5"/>
        <v>#VALUE!</v>
      </c>
      <c r="M61" s="10" t="e">
        <f t="shared" si="24"/>
        <v>#VALUE!</v>
      </c>
      <c r="O61" s="10" t="e">
        <f t="shared" si="25"/>
        <v>#VALUE!</v>
      </c>
      <c r="P61" s="10" t="e">
        <f t="shared" si="6"/>
        <v>#VALUE!</v>
      </c>
      <c r="Q61" s="10" t="e">
        <f t="shared" si="7"/>
        <v>#VALUE!</v>
      </c>
      <c r="R61" s="10" t="e">
        <f t="shared" si="26"/>
        <v>#VALUE!</v>
      </c>
      <c r="S61" s="10" t="e">
        <f t="shared" si="27"/>
        <v>#VALUE!</v>
      </c>
      <c r="T61" s="10" t="e">
        <f t="shared" si="62"/>
        <v>#VALUE!</v>
      </c>
      <c r="U61" s="10" t="e">
        <f t="shared" si="63"/>
        <v>#VALUE!</v>
      </c>
      <c r="V61" s="10" t="e">
        <f t="shared" si="8"/>
        <v>#VALUE!</v>
      </c>
      <c r="W61" s="10" t="e">
        <f t="shared" si="28"/>
        <v>#VALUE!</v>
      </c>
      <c r="Y61" s="10" t="e">
        <f t="shared" si="29"/>
        <v>#VALUE!</v>
      </c>
      <c r="Z61" s="11" t="e">
        <f t="shared" si="30"/>
        <v>#VALUE!</v>
      </c>
      <c r="AA61" s="10" t="e">
        <f t="shared" si="9"/>
        <v>#VALUE!</v>
      </c>
      <c r="AB61" s="10" t="e">
        <f t="shared" si="31"/>
        <v>#VALUE!</v>
      </c>
      <c r="AC61" s="10" t="e">
        <f t="shared" si="32"/>
        <v>#VALUE!</v>
      </c>
      <c r="AD61" s="10" t="e">
        <f t="shared" si="64"/>
        <v>#VALUE!</v>
      </c>
      <c r="AE61" s="10" t="e">
        <f t="shared" si="65"/>
        <v>#VALUE!</v>
      </c>
      <c r="AF61" s="10" t="e">
        <f t="shared" si="10"/>
        <v>#VALUE!</v>
      </c>
      <c r="AG61" s="10" t="e">
        <f t="shared" si="33"/>
        <v>#VALUE!</v>
      </c>
      <c r="AI61" s="13"/>
      <c r="AK61" s="10" t="e">
        <f t="shared" si="34"/>
        <v>#VALUE!</v>
      </c>
      <c r="AL61" s="10" t="e">
        <f t="shared" si="66"/>
        <v>#VALUE!</v>
      </c>
      <c r="AM61" s="10" t="e">
        <f t="shared" si="11"/>
        <v>#VALUE!</v>
      </c>
      <c r="AN61" s="10" t="e">
        <f t="shared" si="35"/>
        <v>#VALUE!</v>
      </c>
      <c r="AO61" s="10" t="e">
        <f t="shared" si="36"/>
        <v>#VALUE!</v>
      </c>
      <c r="AP61" s="10" t="e">
        <f t="shared" si="37"/>
        <v>#VALUE!</v>
      </c>
      <c r="AQ61" s="10" t="e">
        <f t="shared" si="67"/>
        <v>#VALUE!</v>
      </c>
      <c r="AR61" s="10" t="e">
        <f t="shared" si="12"/>
        <v>#VALUE!</v>
      </c>
      <c r="AS61" s="10" t="e">
        <f t="shared" si="68"/>
        <v>#VALUE!</v>
      </c>
      <c r="AU61" s="10" t="e">
        <f t="shared" si="38"/>
        <v>#VALUE!</v>
      </c>
      <c r="AV61" s="10" t="e">
        <f t="shared" si="69"/>
        <v>#VALUE!</v>
      </c>
      <c r="AW61" s="10" t="e">
        <f t="shared" si="13"/>
        <v>#VALUE!</v>
      </c>
      <c r="AX61" s="10" t="e">
        <f t="shared" si="39"/>
        <v>#VALUE!</v>
      </c>
      <c r="AY61" s="10" t="e">
        <f t="shared" si="40"/>
        <v>#VALUE!</v>
      </c>
      <c r="AZ61" s="10" t="e">
        <f t="shared" si="41"/>
        <v>#VALUE!</v>
      </c>
      <c r="BA61" s="10" t="e">
        <f t="shared" si="70"/>
        <v>#VALUE!</v>
      </c>
      <c r="BB61" s="10" t="e">
        <f t="shared" si="14"/>
        <v>#VALUE!</v>
      </c>
      <c r="BC61" s="10" t="e">
        <f t="shared" si="71"/>
        <v>#VALUE!</v>
      </c>
      <c r="BE61" s="10" t="e">
        <f t="shared" si="42"/>
        <v>#VALUE!</v>
      </c>
      <c r="BF61" s="10" t="e">
        <f t="shared" si="72"/>
        <v>#VALUE!</v>
      </c>
      <c r="BG61" s="10" t="e">
        <f t="shared" si="15"/>
        <v>#VALUE!</v>
      </c>
      <c r="BH61" s="10" t="e">
        <f t="shared" si="43"/>
        <v>#VALUE!</v>
      </c>
      <c r="BI61" s="10" t="e">
        <f t="shared" si="44"/>
        <v>#VALUE!</v>
      </c>
      <c r="BJ61" s="10" t="e">
        <f t="shared" si="45"/>
        <v>#VALUE!</v>
      </c>
      <c r="BK61" s="10" t="e">
        <f t="shared" si="73"/>
        <v>#VALUE!</v>
      </c>
      <c r="BL61" s="10" t="e">
        <f t="shared" si="16"/>
        <v>#VALUE!</v>
      </c>
      <c r="BM61" s="10" t="e">
        <f t="shared" si="74"/>
        <v>#VALUE!</v>
      </c>
      <c r="BP61" s="10" t="e">
        <f t="shared" si="46"/>
        <v>#VALUE!</v>
      </c>
      <c r="BQ61" s="10" t="e">
        <f t="shared" si="47"/>
        <v>#VALUE!</v>
      </c>
      <c r="BR61" s="10" t="e">
        <f t="shared" si="48"/>
        <v>#VALUE!</v>
      </c>
      <c r="BS61" s="10" t="e">
        <f t="shared" si="49"/>
        <v>#VALUE!</v>
      </c>
      <c r="BT61" s="10" t="e">
        <f t="shared" si="50"/>
        <v>#VALUE!</v>
      </c>
      <c r="BU61" s="10" t="e">
        <f t="shared" si="51"/>
        <v>#VALUE!</v>
      </c>
      <c r="BW61" s="10" t="e">
        <f t="shared" si="52"/>
        <v>#VALUE!</v>
      </c>
      <c r="BX61" s="10" t="e">
        <f t="shared" si="53"/>
        <v>#VALUE!</v>
      </c>
      <c r="BY61" s="10" t="e">
        <f t="shared" si="54"/>
        <v>#VALUE!</v>
      </c>
      <c r="BZ61" s="10" t="e">
        <f t="shared" si="55"/>
        <v>#VALUE!</v>
      </c>
      <c r="CA61" s="10" t="e">
        <f t="shared" si="56"/>
        <v>#VALUE!</v>
      </c>
      <c r="CB61" s="10" t="e">
        <f t="shared" si="57"/>
        <v>#VALUE!</v>
      </c>
      <c r="CD61" s="10" t="e">
        <f>MATCH(INDEX($BP$12:$BU$12,1,MATCH(BP61,$BP$15:$BU$15,0)),结果汇总!$AI$10:$AI$13,0)</f>
        <v>#VALUE!</v>
      </c>
      <c r="CE61" s="10" t="e">
        <f>MATCH(INDEX($BP$12:$BU$12,1,MATCH(BQ61,$BP$15:$BU$15,0)),结果汇总!$AI$10:$AI$13,0)</f>
        <v>#VALUE!</v>
      </c>
      <c r="CF61" s="10" t="e">
        <f>MATCH(INDEX($BP$12:$BU$12,1,MATCH(BR61,$BP$15:$BU$15,0)),结果汇总!$AI$10:$AI$13,0)</f>
        <v>#VALUE!</v>
      </c>
      <c r="CG61" s="10" t="e">
        <f>MATCH(INDEX($BP$12:$BU$12,1,MATCH(BS61,$BP$15:$BU$15,0)),结果汇总!$AI$10:$AI$13,0)</f>
        <v>#VALUE!</v>
      </c>
      <c r="CH61" s="10" t="e">
        <f>MATCH(INDEX($BP$12:$BU$12,1,MATCH(BT61,$BP$15:$BU$15,0)),结果汇总!$AI$10:$AI$13,0)</f>
        <v>#VALUE!</v>
      </c>
      <c r="CI61" s="10" t="e">
        <f>MATCH(INDEX($BP$12:$BU$12,1,MATCH(BU61,$BP$15:$BU$15,0)),结果汇总!$AI$10:$AI$13,0)</f>
        <v>#VALUE!</v>
      </c>
      <c r="CK61" s="10">
        <f t="shared" si="75"/>
        <v>0</v>
      </c>
      <c r="CL61" s="10">
        <f t="shared" si="75"/>
        <v>0</v>
      </c>
      <c r="CM61" s="10">
        <f t="shared" si="75"/>
        <v>0</v>
      </c>
      <c r="CN61" s="10">
        <f t="shared" si="75"/>
        <v>0</v>
      </c>
      <c r="CO61" s="10" t="e">
        <f t="shared" si="76"/>
        <v>#DIV/0!</v>
      </c>
      <c r="CP61" s="10" t="e">
        <f t="shared" si="76"/>
        <v>#DIV/0!</v>
      </c>
      <c r="CQ61" s="10" t="e">
        <f t="shared" si="76"/>
        <v>#DIV/0!</v>
      </c>
      <c r="CR61" s="10" t="e">
        <f t="shared" si="76"/>
        <v>#DIV/0!</v>
      </c>
      <c r="CS61" s="10">
        <f t="shared" si="77"/>
        <v>0</v>
      </c>
      <c r="CT61" s="10">
        <f t="shared" si="77"/>
        <v>0</v>
      </c>
      <c r="CU61" s="10">
        <f t="shared" si="77"/>
        <v>0</v>
      </c>
      <c r="CV61" s="10">
        <f t="shared" si="77"/>
        <v>0</v>
      </c>
      <c r="CW61" s="10">
        <f t="shared" si="78"/>
        <v>0</v>
      </c>
      <c r="CX61" s="10">
        <f t="shared" si="78"/>
        <v>0</v>
      </c>
      <c r="CY61" s="10">
        <f t="shared" si="78"/>
        <v>0</v>
      </c>
      <c r="CZ61" s="10">
        <f t="shared" si="78"/>
        <v>0</v>
      </c>
    </row>
    <row r="62" spans="4:104" x14ac:dyDescent="0.15">
      <c r="D62" s="10">
        <v>47</v>
      </c>
      <c r="E62" s="10" t="e">
        <f t="shared" si="21"/>
        <v>#VALUE!</v>
      </c>
      <c r="F62" s="10" t="e">
        <f t="shared" si="1"/>
        <v>#VALUE!</v>
      </c>
      <c r="G62" s="10" t="e">
        <f t="shared" si="2"/>
        <v>#VALUE!</v>
      </c>
      <c r="H62" s="10" t="e">
        <f t="shared" si="22"/>
        <v>#VALUE!</v>
      </c>
      <c r="I62" s="10" t="e">
        <f t="shared" si="3"/>
        <v>#VALUE!</v>
      </c>
      <c r="J62" s="10" t="e">
        <f t="shared" si="23"/>
        <v>#VALUE!</v>
      </c>
      <c r="K62" s="10" t="e">
        <f t="shared" si="4"/>
        <v>#VALUE!</v>
      </c>
      <c r="L62" s="10" t="e">
        <f t="shared" si="5"/>
        <v>#VALUE!</v>
      </c>
      <c r="M62" s="10" t="e">
        <f t="shared" si="24"/>
        <v>#VALUE!</v>
      </c>
      <c r="O62" s="10" t="e">
        <f t="shared" si="25"/>
        <v>#VALUE!</v>
      </c>
      <c r="P62" s="10" t="e">
        <f t="shared" si="6"/>
        <v>#VALUE!</v>
      </c>
      <c r="Q62" s="10" t="e">
        <f t="shared" si="7"/>
        <v>#VALUE!</v>
      </c>
      <c r="R62" s="10" t="e">
        <f t="shared" si="26"/>
        <v>#VALUE!</v>
      </c>
      <c r="S62" s="10" t="e">
        <f t="shared" si="27"/>
        <v>#VALUE!</v>
      </c>
      <c r="T62" s="10" t="e">
        <f t="shared" si="62"/>
        <v>#VALUE!</v>
      </c>
      <c r="U62" s="10" t="e">
        <f t="shared" si="63"/>
        <v>#VALUE!</v>
      </c>
      <c r="V62" s="10" t="e">
        <f t="shared" si="8"/>
        <v>#VALUE!</v>
      </c>
      <c r="W62" s="10" t="e">
        <f t="shared" si="28"/>
        <v>#VALUE!</v>
      </c>
      <c r="Y62" s="10" t="e">
        <f t="shared" si="29"/>
        <v>#VALUE!</v>
      </c>
      <c r="Z62" s="11" t="e">
        <f t="shared" si="30"/>
        <v>#VALUE!</v>
      </c>
      <c r="AA62" s="10" t="e">
        <f t="shared" si="9"/>
        <v>#VALUE!</v>
      </c>
      <c r="AB62" s="10" t="e">
        <f t="shared" si="31"/>
        <v>#VALUE!</v>
      </c>
      <c r="AC62" s="10" t="e">
        <f t="shared" si="32"/>
        <v>#VALUE!</v>
      </c>
      <c r="AD62" s="10" t="e">
        <f t="shared" si="64"/>
        <v>#VALUE!</v>
      </c>
      <c r="AE62" s="10" t="e">
        <f t="shared" si="65"/>
        <v>#VALUE!</v>
      </c>
      <c r="AF62" s="10" t="e">
        <f t="shared" si="10"/>
        <v>#VALUE!</v>
      </c>
      <c r="AG62" s="10" t="e">
        <f t="shared" si="33"/>
        <v>#VALUE!</v>
      </c>
      <c r="AI62" s="13"/>
      <c r="AK62" s="10" t="e">
        <f t="shared" si="34"/>
        <v>#VALUE!</v>
      </c>
      <c r="AL62" s="10" t="e">
        <f t="shared" si="66"/>
        <v>#VALUE!</v>
      </c>
      <c r="AM62" s="10" t="e">
        <f t="shared" si="11"/>
        <v>#VALUE!</v>
      </c>
      <c r="AN62" s="10" t="e">
        <f t="shared" si="35"/>
        <v>#VALUE!</v>
      </c>
      <c r="AO62" s="10" t="e">
        <f t="shared" si="36"/>
        <v>#VALUE!</v>
      </c>
      <c r="AP62" s="10" t="e">
        <f t="shared" si="37"/>
        <v>#VALUE!</v>
      </c>
      <c r="AQ62" s="10" t="e">
        <f t="shared" si="67"/>
        <v>#VALUE!</v>
      </c>
      <c r="AR62" s="10" t="e">
        <f t="shared" si="12"/>
        <v>#VALUE!</v>
      </c>
      <c r="AS62" s="10" t="e">
        <f t="shared" si="68"/>
        <v>#VALUE!</v>
      </c>
      <c r="AU62" s="10" t="e">
        <f t="shared" si="38"/>
        <v>#VALUE!</v>
      </c>
      <c r="AV62" s="10" t="e">
        <f t="shared" si="69"/>
        <v>#VALUE!</v>
      </c>
      <c r="AW62" s="10" t="e">
        <f t="shared" si="13"/>
        <v>#VALUE!</v>
      </c>
      <c r="AX62" s="10" t="e">
        <f t="shared" si="39"/>
        <v>#VALUE!</v>
      </c>
      <c r="AY62" s="10" t="e">
        <f t="shared" si="40"/>
        <v>#VALUE!</v>
      </c>
      <c r="AZ62" s="10" t="e">
        <f t="shared" si="41"/>
        <v>#VALUE!</v>
      </c>
      <c r="BA62" s="10" t="e">
        <f t="shared" si="70"/>
        <v>#VALUE!</v>
      </c>
      <c r="BB62" s="10" t="e">
        <f t="shared" si="14"/>
        <v>#VALUE!</v>
      </c>
      <c r="BC62" s="10" t="e">
        <f t="shared" si="71"/>
        <v>#VALUE!</v>
      </c>
      <c r="BE62" s="10" t="e">
        <f t="shared" si="42"/>
        <v>#VALUE!</v>
      </c>
      <c r="BF62" s="10" t="e">
        <f t="shared" si="72"/>
        <v>#VALUE!</v>
      </c>
      <c r="BG62" s="10" t="e">
        <f t="shared" si="15"/>
        <v>#VALUE!</v>
      </c>
      <c r="BH62" s="10" t="e">
        <f t="shared" si="43"/>
        <v>#VALUE!</v>
      </c>
      <c r="BI62" s="10" t="e">
        <f t="shared" si="44"/>
        <v>#VALUE!</v>
      </c>
      <c r="BJ62" s="10" t="e">
        <f t="shared" si="45"/>
        <v>#VALUE!</v>
      </c>
      <c r="BK62" s="10" t="e">
        <f t="shared" si="73"/>
        <v>#VALUE!</v>
      </c>
      <c r="BL62" s="10" t="e">
        <f t="shared" si="16"/>
        <v>#VALUE!</v>
      </c>
      <c r="BM62" s="10" t="e">
        <f t="shared" si="74"/>
        <v>#VALUE!</v>
      </c>
      <c r="BP62" s="10" t="e">
        <f t="shared" si="46"/>
        <v>#VALUE!</v>
      </c>
      <c r="BQ62" s="10" t="e">
        <f t="shared" si="47"/>
        <v>#VALUE!</v>
      </c>
      <c r="BR62" s="10" t="e">
        <f t="shared" si="48"/>
        <v>#VALUE!</v>
      </c>
      <c r="BS62" s="10" t="e">
        <f t="shared" si="49"/>
        <v>#VALUE!</v>
      </c>
      <c r="BT62" s="10" t="e">
        <f t="shared" si="50"/>
        <v>#VALUE!</v>
      </c>
      <c r="BU62" s="10" t="e">
        <f t="shared" si="51"/>
        <v>#VALUE!</v>
      </c>
      <c r="BW62" s="10" t="e">
        <f t="shared" si="52"/>
        <v>#VALUE!</v>
      </c>
      <c r="BX62" s="10" t="e">
        <f t="shared" si="53"/>
        <v>#VALUE!</v>
      </c>
      <c r="BY62" s="10" t="e">
        <f t="shared" si="54"/>
        <v>#VALUE!</v>
      </c>
      <c r="BZ62" s="10" t="e">
        <f t="shared" si="55"/>
        <v>#VALUE!</v>
      </c>
      <c r="CA62" s="10" t="e">
        <f t="shared" si="56"/>
        <v>#VALUE!</v>
      </c>
      <c r="CB62" s="10" t="e">
        <f t="shared" si="57"/>
        <v>#VALUE!</v>
      </c>
      <c r="CD62" s="10" t="e">
        <f>MATCH(INDEX($BP$12:$BU$12,1,MATCH(BP62,$BP$15:$BU$15,0)),结果汇总!$AI$10:$AI$13,0)</f>
        <v>#VALUE!</v>
      </c>
      <c r="CE62" s="10" t="e">
        <f>MATCH(INDEX($BP$12:$BU$12,1,MATCH(BQ62,$BP$15:$BU$15,0)),结果汇总!$AI$10:$AI$13,0)</f>
        <v>#VALUE!</v>
      </c>
      <c r="CF62" s="10" t="e">
        <f>MATCH(INDEX($BP$12:$BU$12,1,MATCH(BR62,$BP$15:$BU$15,0)),结果汇总!$AI$10:$AI$13,0)</f>
        <v>#VALUE!</v>
      </c>
      <c r="CG62" s="10" t="e">
        <f>MATCH(INDEX($BP$12:$BU$12,1,MATCH(BS62,$BP$15:$BU$15,0)),结果汇总!$AI$10:$AI$13,0)</f>
        <v>#VALUE!</v>
      </c>
      <c r="CH62" s="10" t="e">
        <f>MATCH(INDEX($BP$12:$BU$12,1,MATCH(BT62,$BP$15:$BU$15,0)),结果汇总!$AI$10:$AI$13,0)</f>
        <v>#VALUE!</v>
      </c>
      <c r="CI62" s="10" t="e">
        <f>MATCH(INDEX($BP$12:$BU$12,1,MATCH(BU62,$BP$15:$BU$15,0)),结果汇总!$AI$10:$AI$13,0)</f>
        <v>#VALUE!</v>
      </c>
      <c r="CK62" s="10">
        <f t="shared" si="75"/>
        <v>0</v>
      </c>
      <c r="CL62" s="10">
        <f t="shared" si="75"/>
        <v>0</v>
      </c>
      <c r="CM62" s="10">
        <f t="shared" si="75"/>
        <v>0</v>
      </c>
      <c r="CN62" s="10">
        <f t="shared" si="75"/>
        <v>0</v>
      </c>
      <c r="CO62" s="10" t="e">
        <f t="shared" si="76"/>
        <v>#DIV/0!</v>
      </c>
      <c r="CP62" s="10" t="e">
        <f t="shared" si="76"/>
        <v>#DIV/0!</v>
      </c>
      <c r="CQ62" s="10" t="e">
        <f t="shared" si="76"/>
        <v>#DIV/0!</v>
      </c>
      <c r="CR62" s="10" t="e">
        <f t="shared" si="76"/>
        <v>#DIV/0!</v>
      </c>
      <c r="CS62" s="10">
        <f t="shared" si="77"/>
        <v>0</v>
      </c>
      <c r="CT62" s="10">
        <f t="shared" si="77"/>
        <v>0</v>
      </c>
      <c r="CU62" s="10">
        <f t="shared" si="77"/>
        <v>0</v>
      </c>
      <c r="CV62" s="10">
        <f t="shared" si="77"/>
        <v>0</v>
      </c>
      <c r="CW62" s="10">
        <f t="shared" si="78"/>
        <v>0</v>
      </c>
      <c r="CX62" s="10">
        <f t="shared" si="78"/>
        <v>0</v>
      </c>
      <c r="CY62" s="10">
        <f t="shared" si="78"/>
        <v>0</v>
      </c>
      <c r="CZ62" s="10">
        <f t="shared" si="78"/>
        <v>0</v>
      </c>
    </row>
    <row r="63" spans="4:104" x14ac:dyDescent="0.15">
      <c r="D63" s="10">
        <v>48</v>
      </c>
      <c r="E63" s="10" t="e">
        <f t="shared" si="21"/>
        <v>#VALUE!</v>
      </c>
      <c r="F63" s="10" t="e">
        <f t="shared" si="1"/>
        <v>#VALUE!</v>
      </c>
      <c r="G63" s="10" t="e">
        <f t="shared" si="2"/>
        <v>#VALUE!</v>
      </c>
      <c r="H63" s="10" t="e">
        <f t="shared" si="22"/>
        <v>#VALUE!</v>
      </c>
      <c r="I63" s="10" t="e">
        <f t="shared" si="3"/>
        <v>#VALUE!</v>
      </c>
      <c r="J63" s="10" t="e">
        <f t="shared" si="23"/>
        <v>#VALUE!</v>
      </c>
      <c r="K63" s="10" t="e">
        <f t="shared" si="4"/>
        <v>#VALUE!</v>
      </c>
      <c r="L63" s="10" t="e">
        <f t="shared" si="5"/>
        <v>#VALUE!</v>
      </c>
      <c r="M63" s="10" t="e">
        <f t="shared" si="24"/>
        <v>#VALUE!</v>
      </c>
      <c r="O63" s="10" t="e">
        <f t="shared" si="25"/>
        <v>#VALUE!</v>
      </c>
      <c r="P63" s="10" t="e">
        <f t="shared" si="6"/>
        <v>#VALUE!</v>
      </c>
      <c r="Q63" s="10" t="e">
        <f t="shared" si="7"/>
        <v>#VALUE!</v>
      </c>
      <c r="R63" s="10" t="e">
        <f t="shared" si="26"/>
        <v>#VALUE!</v>
      </c>
      <c r="S63" s="10" t="e">
        <f t="shared" si="27"/>
        <v>#VALUE!</v>
      </c>
      <c r="T63" s="10" t="e">
        <f t="shared" si="62"/>
        <v>#VALUE!</v>
      </c>
      <c r="U63" s="10" t="e">
        <f t="shared" si="63"/>
        <v>#VALUE!</v>
      </c>
      <c r="V63" s="10" t="e">
        <f t="shared" si="8"/>
        <v>#VALUE!</v>
      </c>
      <c r="W63" s="10" t="e">
        <f t="shared" si="28"/>
        <v>#VALUE!</v>
      </c>
      <c r="Y63" s="10" t="e">
        <f t="shared" si="29"/>
        <v>#VALUE!</v>
      </c>
      <c r="Z63" s="11" t="e">
        <f t="shared" si="30"/>
        <v>#VALUE!</v>
      </c>
      <c r="AA63" s="10" t="e">
        <f t="shared" si="9"/>
        <v>#VALUE!</v>
      </c>
      <c r="AB63" s="10" t="e">
        <f t="shared" si="31"/>
        <v>#VALUE!</v>
      </c>
      <c r="AC63" s="10" t="e">
        <f t="shared" si="32"/>
        <v>#VALUE!</v>
      </c>
      <c r="AD63" s="10" t="e">
        <f t="shared" si="64"/>
        <v>#VALUE!</v>
      </c>
      <c r="AE63" s="10" t="e">
        <f t="shared" si="65"/>
        <v>#VALUE!</v>
      </c>
      <c r="AF63" s="10" t="e">
        <f t="shared" si="10"/>
        <v>#VALUE!</v>
      </c>
      <c r="AG63" s="10" t="e">
        <f t="shared" si="33"/>
        <v>#VALUE!</v>
      </c>
      <c r="AI63" s="13"/>
      <c r="AK63" s="10" t="e">
        <f t="shared" si="34"/>
        <v>#VALUE!</v>
      </c>
      <c r="AL63" s="10" t="e">
        <f t="shared" si="66"/>
        <v>#VALUE!</v>
      </c>
      <c r="AM63" s="10" t="e">
        <f t="shared" si="11"/>
        <v>#VALUE!</v>
      </c>
      <c r="AN63" s="10" t="e">
        <f t="shared" si="35"/>
        <v>#VALUE!</v>
      </c>
      <c r="AO63" s="10" t="e">
        <f t="shared" si="36"/>
        <v>#VALUE!</v>
      </c>
      <c r="AP63" s="10" t="e">
        <f t="shared" si="37"/>
        <v>#VALUE!</v>
      </c>
      <c r="AQ63" s="10" t="e">
        <f t="shared" si="67"/>
        <v>#VALUE!</v>
      </c>
      <c r="AR63" s="10" t="e">
        <f t="shared" si="12"/>
        <v>#VALUE!</v>
      </c>
      <c r="AS63" s="10" t="e">
        <f t="shared" si="68"/>
        <v>#VALUE!</v>
      </c>
      <c r="AU63" s="10" t="e">
        <f t="shared" si="38"/>
        <v>#VALUE!</v>
      </c>
      <c r="AV63" s="10" t="e">
        <f t="shared" si="69"/>
        <v>#VALUE!</v>
      </c>
      <c r="AW63" s="10" t="e">
        <f t="shared" si="13"/>
        <v>#VALUE!</v>
      </c>
      <c r="AX63" s="10" t="e">
        <f t="shared" si="39"/>
        <v>#VALUE!</v>
      </c>
      <c r="AY63" s="10" t="e">
        <f t="shared" si="40"/>
        <v>#VALUE!</v>
      </c>
      <c r="AZ63" s="10" t="e">
        <f t="shared" si="41"/>
        <v>#VALUE!</v>
      </c>
      <c r="BA63" s="10" t="e">
        <f t="shared" si="70"/>
        <v>#VALUE!</v>
      </c>
      <c r="BB63" s="10" t="e">
        <f t="shared" si="14"/>
        <v>#VALUE!</v>
      </c>
      <c r="BC63" s="10" t="e">
        <f t="shared" si="71"/>
        <v>#VALUE!</v>
      </c>
      <c r="BE63" s="10" t="e">
        <f t="shared" si="42"/>
        <v>#VALUE!</v>
      </c>
      <c r="BF63" s="10" t="e">
        <f t="shared" si="72"/>
        <v>#VALUE!</v>
      </c>
      <c r="BG63" s="10" t="e">
        <f t="shared" si="15"/>
        <v>#VALUE!</v>
      </c>
      <c r="BH63" s="10" t="e">
        <f t="shared" si="43"/>
        <v>#VALUE!</v>
      </c>
      <c r="BI63" s="10" t="e">
        <f t="shared" si="44"/>
        <v>#VALUE!</v>
      </c>
      <c r="BJ63" s="10" t="e">
        <f t="shared" si="45"/>
        <v>#VALUE!</v>
      </c>
      <c r="BK63" s="10" t="e">
        <f t="shared" si="73"/>
        <v>#VALUE!</v>
      </c>
      <c r="BL63" s="10" t="e">
        <f t="shared" si="16"/>
        <v>#VALUE!</v>
      </c>
      <c r="BM63" s="10" t="e">
        <f t="shared" si="74"/>
        <v>#VALUE!</v>
      </c>
      <c r="BP63" s="10" t="e">
        <f t="shared" si="46"/>
        <v>#VALUE!</v>
      </c>
      <c r="BQ63" s="10" t="e">
        <f t="shared" si="47"/>
        <v>#VALUE!</v>
      </c>
      <c r="BR63" s="10" t="e">
        <f t="shared" si="48"/>
        <v>#VALUE!</v>
      </c>
      <c r="BS63" s="10" t="e">
        <f t="shared" si="49"/>
        <v>#VALUE!</v>
      </c>
      <c r="BT63" s="10" t="e">
        <f t="shared" si="50"/>
        <v>#VALUE!</v>
      </c>
      <c r="BU63" s="10" t="e">
        <f t="shared" si="51"/>
        <v>#VALUE!</v>
      </c>
      <c r="BW63" s="10" t="e">
        <f t="shared" si="52"/>
        <v>#VALUE!</v>
      </c>
      <c r="BX63" s="10" t="e">
        <f t="shared" si="53"/>
        <v>#VALUE!</v>
      </c>
      <c r="BY63" s="10" t="e">
        <f t="shared" si="54"/>
        <v>#VALUE!</v>
      </c>
      <c r="BZ63" s="10" t="e">
        <f t="shared" si="55"/>
        <v>#VALUE!</v>
      </c>
      <c r="CA63" s="10" t="e">
        <f t="shared" si="56"/>
        <v>#VALUE!</v>
      </c>
      <c r="CB63" s="10" t="e">
        <f t="shared" si="57"/>
        <v>#VALUE!</v>
      </c>
      <c r="CD63" s="10" t="e">
        <f>MATCH(INDEX($BP$12:$BU$12,1,MATCH(BP63,$BP$15:$BU$15,0)),结果汇总!$AI$10:$AI$13,0)</f>
        <v>#VALUE!</v>
      </c>
      <c r="CE63" s="10" t="e">
        <f>MATCH(INDEX($BP$12:$BU$12,1,MATCH(BQ63,$BP$15:$BU$15,0)),结果汇总!$AI$10:$AI$13,0)</f>
        <v>#VALUE!</v>
      </c>
      <c r="CF63" s="10" t="e">
        <f>MATCH(INDEX($BP$12:$BU$12,1,MATCH(BR63,$BP$15:$BU$15,0)),结果汇总!$AI$10:$AI$13,0)</f>
        <v>#VALUE!</v>
      </c>
      <c r="CG63" s="10" t="e">
        <f>MATCH(INDEX($BP$12:$BU$12,1,MATCH(BS63,$BP$15:$BU$15,0)),结果汇总!$AI$10:$AI$13,0)</f>
        <v>#VALUE!</v>
      </c>
      <c r="CH63" s="10" t="e">
        <f>MATCH(INDEX($BP$12:$BU$12,1,MATCH(BT63,$BP$15:$BU$15,0)),结果汇总!$AI$10:$AI$13,0)</f>
        <v>#VALUE!</v>
      </c>
      <c r="CI63" s="10" t="e">
        <f>MATCH(INDEX($BP$12:$BU$12,1,MATCH(BU63,$BP$15:$BU$15,0)),结果汇总!$AI$10:$AI$13,0)</f>
        <v>#VALUE!</v>
      </c>
      <c r="CK63" s="10">
        <f t="shared" si="75"/>
        <v>0</v>
      </c>
      <c r="CL63" s="10">
        <f t="shared" si="75"/>
        <v>0</v>
      </c>
      <c r="CM63" s="10">
        <f t="shared" si="75"/>
        <v>0</v>
      </c>
      <c r="CN63" s="10">
        <f t="shared" si="75"/>
        <v>0</v>
      </c>
      <c r="CO63" s="10" t="e">
        <f t="shared" si="76"/>
        <v>#DIV/0!</v>
      </c>
      <c r="CP63" s="10" t="e">
        <f t="shared" si="76"/>
        <v>#DIV/0!</v>
      </c>
      <c r="CQ63" s="10" t="e">
        <f t="shared" si="76"/>
        <v>#DIV/0!</v>
      </c>
      <c r="CR63" s="10" t="e">
        <f t="shared" si="76"/>
        <v>#DIV/0!</v>
      </c>
      <c r="CS63" s="10">
        <f t="shared" si="77"/>
        <v>0</v>
      </c>
      <c r="CT63" s="10">
        <f t="shared" si="77"/>
        <v>0</v>
      </c>
      <c r="CU63" s="10">
        <f t="shared" si="77"/>
        <v>0</v>
      </c>
      <c r="CV63" s="10">
        <f t="shared" si="77"/>
        <v>0</v>
      </c>
      <c r="CW63" s="10">
        <f t="shared" si="78"/>
        <v>0</v>
      </c>
      <c r="CX63" s="10">
        <f t="shared" si="78"/>
        <v>0</v>
      </c>
      <c r="CY63" s="10">
        <f t="shared" si="78"/>
        <v>0</v>
      </c>
      <c r="CZ63" s="10">
        <f t="shared" si="78"/>
        <v>0</v>
      </c>
    </row>
    <row r="64" spans="4:104" x14ac:dyDescent="0.15">
      <c r="D64" s="10">
        <v>49</v>
      </c>
      <c r="E64" s="10" t="e">
        <f t="shared" si="21"/>
        <v>#VALUE!</v>
      </c>
      <c r="F64" s="10" t="e">
        <f t="shared" si="1"/>
        <v>#VALUE!</v>
      </c>
      <c r="G64" s="10" t="e">
        <f t="shared" si="2"/>
        <v>#VALUE!</v>
      </c>
      <c r="H64" s="10" t="e">
        <f t="shared" si="22"/>
        <v>#VALUE!</v>
      </c>
      <c r="I64" s="10" t="e">
        <f t="shared" si="3"/>
        <v>#VALUE!</v>
      </c>
      <c r="J64" s="10" t="e">
        <f t="shared" si="23"/>
        <v>#VALUE!</v>
      </c>
      <c r="K64" s="10" t="e">
        <f t="shared" si="4"/>
        <v>#VALUE!</v>
      </c>
      <c r="L64" s="10" t="e">
        <f t="shared" si="5"/>
        <v>#VALUE!</v>
      </c>
      <c r="M64" s="10" t="e">
        <f t="shared" si="24"/>
        <v>#VALUE!</v>
      </c>
      <c r="O64" s="10" t="e">
        <f t="shared" si="25"/>
        <v>#VALUE!</v>
      </c>
      <c r="P64" s="10" t="e">
        <f t="shared" si="6"/>
        <v>#VALUE!</v>
      </c>
      <c r="Q64" s="10" t="e">
        <f t="shared" si="7"/>
        <v>#VALUE!</v>
      </c>
      <c r="R64" s="10" t="e">
        <f t="shared" si="26"/>
        <v>#VALUE!</v>
      </c>
      <c r="S64" s="10" t="e">
        <f t="shared" si="27"/>
        <v>#VALUE!</v>
      </c>
      <c r="T64" s="10" t="e">
        <f t="shared" si="62"/>
        <v>#VALUE!</v>
      </c>
      <c r="U64" s="10" t="e">
        <f t="shared" si="63"/>
        <v>#VALUE!</v>
      </c>
      <c r="V64" s="10" t="e">
        <f t="shared" si="8"/>
        <v>#VALUE!</v>
      </c>
      <c r="W64" s="10" t="e">
        <f t="shared" si="28"/>
        <v>#VALUE!</v>
      </c>
      <c r="Y64" s="10" t="e">
        <f t="shared" si="29"/>
        <v>#VALUE!</v>
      </c>
      <c r="Z64" s="11" t="e">
        <f t="shared" si="30"/>
        <v>#VALUE!</v>
      </c>
      <c r="AA64" s="10" t="e">
        <f t="shared" si="9"/>
        <v>#VALUE!</v>
      </c>
      <c r="AB64" s="10" t="e">
        <f t="shared" si="31"/>
        <v>#VALUE!</v>
      </c>
      <c r="AC64" s="10" t="e">
        <f t="shared" si="32"/>
        <v>#VALUE!</v>
      </c>
      <c r="AD64" s="10" t="e">
        <f t="shared" si="64"/>
        <v>#VALUE!</v>
      </c>
      <c r="AE64" s="10" t="e">
        <f t="shared" si="65"/>
        <v>#VALUE!</v>
      </c>
      <c r="AF64" s="10" t="e">
        <f t="shared" si="10"/>
        <v>#VALUE!</v>
      </c>
      <c r="AG64" s="10" t="e">
        <f t="shared" si="33"/>
        <v>#VALUE!</v>
      </c>
      <c r="AI64" s="13"/>
      <c r="AK64" s="10" t="e">
        <f t="shared" si="34"/>
        <v>#VALUE!</v>
      </c>
      <c r="AL64" s="10" t="e">
        <f t="shared" si="66"/>
        <v>#VALUE!</v>
      </c>
      <c r="AM64" s="10" t="e">
        <f t="shared" si="11"/>
        <v>#VALUE!</v>
      </c>
      <c r="AN64" s="10" t="e">
        <f t="shared" si="35"/>
        <v>#VALUE!</v>
      </c>
      <c r="AO64" s="10" t="e">
        <f t="shared" si="36"/>
        <v>#VALUE!</v>
      </c>
      <c r="AP64" s="10" t="e">
        <f t="shared" si="37"/>
        <v>#VALUE!</v>
      </c>
      <c r="AQ64" s="10" t="e">
        <f t="shared" si="67"/>
        <v>#VALUE!</v>
      </c>
      <c r="AR64" s="10" t="e">
        <f t="shared" si="12"/>
        <v>#VALUE!</v>
      </c>
      <c r="AS64" s="10" t="e">
        <f t="shared" si="68"/>
        <v>#VALUE!</v>
      </c>
      <c r="AU64" s="10" t="e">
        <f t="shared" si="38"/>
        <v>#VALUE!</v>
      </c>
      <c r="AV64" s="10" t="e">
        <f t="shared" si="69"/>
        <v>#VALUE!</v>
      </c>
      <c r="AW64" s="10" t="e">
        <f t="shared" si="13"/>
        <v>#VALUE!</v>
      </c>
      <c r="AX64" s="10" t="e">
        <f t="shared" si="39"/>
        <v>#VALUE!</v>
      </c>
      <c r="AY64" s="10" t="e">
        <f t="shared" si="40"/>
        <v>#VALUE!</v>
      </c>
      <c r="AZ64" s="10" t="e">
        <f t="shared" si="41"/>
        <v>#VALUE!</v>
      </c>
      <c r="BA64" s="10" t="e">
        <f t="shared" si="70"/>
        <v>#VALUE!</v>
      </c>
      <c r="BB64" s="10" t="e">
        <f t="shared" si="14"/>
        <v>#VALUE!</v>
      </c>
      <c r="BC64" s="10" t="e">
        <f t="shared" si="71"/>
        <v>#VALUE!</v>
      </c>
      <c r="BE64" s="10" t="e">
        <f t="shared" si="42"/>
        <v>#VALUE!</v>
      </c>
      <c r="BF64" s="10" t="e">
        <f t="shared" si="72"/>
        <v>#VALUE!</v>
      </c>
      <c r="BG64" s="10" t="e">
        <f t="shared" si="15"/>
        <v>#VALUE!</v>
      </c>
      <c r="BH64" s="10" t="e">
        <f t="shared" si="43"/>
        <v>#VALUE!</v>
      </c>
      <c r="BI64" s="10" t="e">
        <f t="shared" si="44"/>
        <v>#VALUE!</v>
      </c>
      <c r="BJ64" s="10" t="e">
        <f t="shared" si="45"/>
        <v>#VALUE!</v>
      </c>
      <c r="BK64" s="10" t="e">
        <f t="shared" si="73"/>
        <v>#VALUE!</v>
      </c>
      <c r="BL64" s="10" t="e">
        <f t="shared" si="16"/>
        <v>#VALUE!</v>
      </c>
      <c r="BM64" s="10" t="e">
        <f t="shared" si="74"/>
        <v>#VALUE!</v>
      </c>
      <c r="BP64" s="10" t="e">
        <f t="shared" si="46"/>
        <v>#VALUE!</v>
      </c>
      <c r="BQ64" s="10" t="e">
        <f t="shared" si="47"/>
        <v>#VALUE!</v>
      </c>
      <c r="BR64" s="10" t="e">
        <f t="shared" si="48"/>
        <v>#VALUE!</v>
      </c>
      <c r="BS64" s="10" t="e">
        <f t="shared" si="49"/>
        <v>#VALUE!</v>
      </c>
      <c r="BT64" s="10" t="e">
        <f t="shared" si="50"/>
        <v>#VALUE!</v>
      </c>
      <c r="BU64" s="10" t="e">
        <f t="shared" si="51"/>
        <v>#VALUE!</v>
      </c>
      <c r="BW64" s="10" t="e">
        <f t="shared" si="52"/>
        <v>#VALUE!</v>
      </c>
      <c r="BX64" s="10" t="e">
        <f t="shared" si="53"/>
        <v>#VALUE!</v>
      </c>
      <c r="BY64" s="10" t="e">
        <f t="shared" si="54"/>
        <v>#VALUE!</v>
      </c>
      <c r="BZ64" s="10" t="e">
        <f t="shared" si="55"/>
        <v>#VALUE!</v>
      </c>
      <c r="CA64" s="10" t="e">
        <f t="shared" si="56"/>
        <v>#VALUE!</v>
      </c>
      <c r="CB64" s="10" t="e">
        <f t="shared" si="57"/>
        <v>#VALUE!</v>
      </c>
      <c r="CD64" s="10" t="e">
        <f>MATCH(INDEX($BP$12:$BU$12,1,MATCH(BP64,$BP$15:$BU$15,0)),结果汇总!$AI$10:$AI$13,0)</f>
        <v>#VALUE!</v>
      </c>
      <c r="CE64" s="10" t="e">
        <f>MATCH(INDEX($BP$12:$BU$12,1,MATCH(BQ64,$BP$15:$BU$15,0)),结果汇总!$AI$10:$AI$13,0)</f>
        <v>#VALUE!</v>
      </c>
      <c r="CF64" s="10" t="e">
        <f>MATCH(INDEX($BP$12:$BU$12,1,MATCH(BR64,$BP$15:$BU$15,0)),结果汇总!$AI$10:$AI$13,0)</f>
        <v>#VALUE!</v>
      </c>
      <c r="CG64" s="10" t="e">
        <f>MATCH(INDEX($BP$12:$BU$12,1,MATCH(BS64,$BP$15:$BU$15,0)),结果汇总!$AI$10:$AI$13,0)</f>
        <v>#VALUE!</v>
      </c>
      <c r="CH64" s="10" t="e">
        <f>MATCH(INDEX($BP$12:$BU$12,1,MATCH(BT64,$BP$15:$BU$15,0)),结果汇总!$AI$10:$AI$13,0)</f>
        <v>#VALUE!</v>
      </c>
      <c r="CI64" s="10" t="e">
        <f>MATCH(INDEX($BP$12:$BU$12,1,MATCH(BU64,$BP$15:$BU$15,0)),结果汇总!$AI$10:$AI$13,0)</f>
        <v>#VALUE!</v>
      </c>
      <c r="CK64" s="10">
        <f t="shared" si="75"/>
        <v>0</v>
      </c>
      <c r="CL64" s="10">
        <f t="shared" si="75"/>
        <v>0</v>
      </c>
      <c r="CM64" s="10">
        <f t="shared" si="75"/>
        <v>0</v>
      </c>
      <c r="CN64" s="10">
        <f t="shared" si="75"/>
        <v>0</v>
      </c>
      <c r="CO64" s="10" t="e">
        <f t="shared" si="76"/>
        <v>#DIV/0!</v>
      </c>
      <c r="CP64" s="10" t="e">
        <f t="shared" si="76"/>
        <v>#DIV/0!</v>
      </c>
      <c r="CQ64" s="10" t="e">
        <f t="shared" si="76"/>
        <v>#DIV/0!</v>
      </c>
      <c r="CR64" s="10" t="e">
        <f t="shared" si="76"/>
        <v>#DIV/0!</v>
      </c>
      <c r="CS64" s="10">
        <f t="shared" si="77"/>
        <v>0</v>
      </c>
      <c r="CT64" s="10">
        <f t="shared" si="77"/>
        <v>0</v>
      </c>
      <c r="CU64" s="10">
        <f t="shared" si="77"/>
        <v>0</v>
      </c>
      <c r="CV64" s="10">
        <f t="shared" si="77"/>
        <v>0</v>
      </c>
      <c r="CW64" s="10">
        <f t="shared" si="78"/>
        <v>0</v>
      </c>
      <c r="CX64" s="10">
        <f t="shared" si="78"/>
        <v>0</v>
      </c>
      <c r="CY64" s="10">
        <f t="shared" si="78"/>
        <v>0</v>
      </c>
      <c r="CZ64" s="10">
        <f t="shared" si="78"/>
        <v>0</v>
      </c>
    </row>
    <row r="65" spans="4:104" x14ac:dyDescent="0.15">
      <c r="D65" s="10">
        <v>50</v>
      </c>
      <c r="E65" s="10" t="e">
        <f t="shared" si="21"/>
        <v>#VALUE!</v>
      </c>
      <c r="F65" s="10" t="e">
        <f t="shared" si="1"/>
        <v>#VALUE!</v>
      </c>
      <c r="G65" s="10" t="e">
        <f t="shared" si="2"/>
        <v>#VALUE!</v>
      </c>
      <c r="H65" s="10" t="e">
        <f t="shared" si="22"/>
        <v>#VALUE!</v>
      </c>
      <c r="I65" s="10" t="e">
        <f t="shared" si="3"/>
        <v>#VALUE!</v>
      </c>
      <c r="J65" s="10" t="e">
        <f t="shared" si="23"/>
        <v>#VALUE!</v>
      </c>
      <c r="K65" s="10" t="e">
        <f t="shared" si="4"/>
        <v>#VALUE!</v>
      </c>
      <c r="L65" s="10" t="e">
        <f t="shared" si="5"/>
        <v>#VALUE!</v>
      </c>
      <c r="M65" s="10" t="e">
        <f t="shared" si="24"/>
        <v>#VALUE!</v>
      </c>
      <c r="O65" s="10" t="e">
        <f t="shared" si="25"/>
        <v>#VALUE!</v>
      </c>
      <c r="P65" s="10" t="e">
        <f t="shared" si="6"/>
        <v>#VALUE!</v>
      </c>
      <c r="Q65" s="10" t="e">
        <f t="shared" si="7"/>
        <v>#VALUE!</v>
      </c>
      <c r="R65" s="10" t="e">
        <f t="shared" si="26"/>
        <v>#VALUE!</v>
      </c>
      <c r="S65" s="10" t="e">
        <f t="shared" si="27"/>
        <v>#VALUE!</v>
      </c>
      <c r="T65" s="10" t="e">
        <f t="shared" si="62"/>
        <v>#VALUE!</v>
      </c>
      <c r="U65" s="10" t="e">
        <f t="shared" si="63"/>
        <v>#VALUE!</v>
      </c>
      <c r="V65" s="10" t="e">
        <f t="shared" si="8"/>
        <v>#VALUE!</v>
      </c>
      <c r="W65" s="10" t="e">
        <f t="shared" si="28"/>
        <v>#VALUE!</v>
      </c>
      <c r="Y65" s="10" t="e">
        <f t="shared" si="29"/>
        <v>#VALUE!</v>
      </c>
      <c r="Z65" s="11" t="e">
        <f t="shared" si="30"/>
        <v>#VALUE!</v>
      </c>
      <c r="AA65" s="10" t="e">
        <f t="shared" si="9"/>
        <v>#VALUE!</v>
      </c>
      <c r="AB65" s="10" t="e">
        <f t="shared" si="31"/>
        <v>#VALUE!</v>
      </c>
      <c r="AC65" s="10" t="e">
        <f t="shared" si="32"/>
        <v>#VALUE!</v>
      </c>
      <c r="AD65" s="10" t="e">
        <f t="shared" si="64"/>
        <v>#VALUE!</v>
      </c>
      <c r="AE65" s="10" t="e">
        <f t="shared" si="65"/>
        <v>#VALUE!</v>
      </c>
      <c r="AF65" s="10" t="e">
        <f t="shared" si="10"/>
        <v>#VALUE!</v>
      </c>
      <c r="AG65" s="10" t="e">
        <f t="shared" si="33"/>
        <v>#VALUE!</v>
      </c>
      <c r="AI65" s="13"/>
      <c r="AK65" s="10" t="e">
        <f t="shared" si="34"/>
        <v>#VALUE!</v>
      </c>
      <c r="AL65" s="10" t="e">
        <f t="shared" si="66"/>
        <v>#VALUE!</v>
      </c>
      <c r="AM65" s="10" t="e">
        <f t="shared" si="11"/>
        <v>#VALUE!</v>
      </c>
      <c r="AN65" s="10" t="e">
        <f t="shared" si="35"/>
        <v>#VALUE!</v>
      </c>
      <c r="AO65" s="10" t="e">
        <f t="shared" si="36"/>
        <v>#VALUE!</v>
      </c>
      <c r="AP65" s="10" t="e">
        <f t="shared" si="37"/>
        <v>#VALUE!</v>
      </c>
      <c r="AQ65" s="10" t="e">
        <f t="shared" si="67"/>
        <v>#VALUE!</v>
      </c>
      <c r="AR65" s="10" t="e">
        <f t="shared" si="12"/>
        <v>#VALUE!</v>
      </c>
      <c r="AS65" s="10" t="e">
        <f t="shared" si="68"/>
        <v>#VALUE!</v>
      </c>
      <c r="AU65" s="10" t="e">
        <f t="shared" si="38"/>
        <v>#VALUE!</v>
      </c>
      <c r="AV65" s="10" t="e">
        <f t="shared" si="69"/>
        <v>#VALUE!</v>
      </c>
      <c r="AW65" s="10" t="e">
        <f t="shared" si="13"/>
        <v>#VALUE!</v>
      </c>
      <c r="AX65" s="10" t="e">
        <f t="shared" si="39"/>
        <v>#VALUE!</v>
      </c>
      <c r="AY65" s="10" t="e">
        <f t="shared" si="40"/>
        <v>#VALUE!</v>
      </c>
      <c r="AZ65" s="10" t="e">
        <f t="shared" si="41"/>
        <v>#VALUE!</v>
      </c>
      <c r="BA65" s="10" t="e">
        <f t="shared" si="70"/>
        <v>#VALUE!</v>
      </c>
      <c r="BB65" s="10" t="e">
        <f t="shared" si="14"/>
        <v>#VALUE!</v>
      </c>
      <c r="BC65" s="10" t="e">
        <f t="shared" si="71"/>
        <v>#VALUE!</v>
      </c>
      <c r="BE65" s="10" t="e">
        <f t="shared" si="42"/>
        <v>#VALUE!</v>
      </c>
      <c r="BF65" s="10" t="e">
        <f t="shared" si="72"/>
        <v>#VALUE!</v>
      </c>
      <c r="BG65" s="10" t="e">
        <f t="shared" si="15"/>
        <v>#VALUE!</v>
      </c>
      <c r="BH65" s="10" t="e">
        <f t="shared" si="43"/>
        <v>#VALUE!</v>
      </c>
      <c r="BI65" s="10" t="e">
        <f t="shared" si="44"/>
        <v>#VALUE!</v>
      </c>
      <c r="BJ65" s="10" t="e">
        <f t="shared" si="45"/>
        <v>#VALUE!</v>
      </c>
      <c r="BK65" s="10" t="e">
        <f t="shared" si="73"/>
        <v>#VALUE!</v>
      </c>
      <c r="BL65" s="10" t="e">
        <f t="shared" si="16"/>
        <v>#VALUE!</v>
      </c>
      <c r="BM65" s="10" t="e">
        <f t="shared" si="74"/>
        <v>#VALUE!</v>
      </c>
      <c r="BP65" s="10" t="e">
        <f t="shared" si="46"/>
        <v>#VALUE!</v>
      </c>
      <c r="BQ65" s="10" t="e">
        <f t="shared" si="47"/>
        <v>#VALUE!</v>
      </c>
      <c r="BR65" s="10" t="e">
        <f t="shared" si="48"/>
        <v>#VALUE!</v>
      </c>
      <c r="BS65" s="10" t="e">
        <f t="shared" si="49"/>
        <v>#VALUE!</v>
      </c>
      <c r="BT65" s="10" t="e">
        <f t="shared" si="50"/>
        <v>#VALUE!</v>
      </c>
      <c r="BU65" s="10" t="e">
        <f t="shared" si="51"/>
        <v>#VALUE!</v>
      </c>
      <c r="BW65" s="10" t="e">
        <f t="shared" si="52"/>
        <v>#VALUE!</v>
      </c>
      <c r="BX65" s="10" t="e">
        <f t="shared" si="53"/>
        <v>#VALUE!</v>
      </c>
      <c r="BY65" s="10" t="e">
        <f t="shared" si="54"/>
        <v>#VALUE!</v>
      </c>
      <c r="BZ65" s="10" t="e">
        <f t="shared" si="55"/>
        <v>#VALUE!</v>
      </c>
      <c r="CA65" s="10" t="e">
        <f t="shared" si="56"/>
        <v>#VALUE!</v>
      </c>
      <c r="CB65" s="10" t="e">
        <f t="shared" si="57"/>
        <v>#VALUE!</v>
      </c>
      <c r="CD65" s="10" t="e">
        <f>MATCH(INDEX($BP$12:$BU$12,1,MATCH(BP65,$BP$15:$BU$15,0)),结果汇总!$AI$10:$AI$13,0)</f>
        <v>#VALUE!</v>
      </c>
      <c r="CE65" s="10" t="e">
        <f>MATCH(INDEX($BP$12:$BU$12,1,MATCH(BQ65,$BP$15:$BU$15,0)),结果汇总!$AI$10:$AI$13,0)</f>
        <v>#VALUE!</v>
      </c>
      <c r="CF65" s="10" t="e">
        <f>MATCH(INDEX($BP$12:$BU$12,1,MATCH(BR65,$BP$15:$BU$15,0)),结果汇总!$AI$10:$AI$13,0)</f>
        <v>#VALUE!</v>
      </c>
      <c r="CG65" s="10" t="e">
        <f>MATCH(INDEX($BP$12:$BU$12,1,MATCH(BS65,$BP$15:$BU$15,0)),结果汇总!$AI$10:$AI$13,0)</f>
        <v>#VALUE!</v>
      </c>
      <c r="CH65" s="10" t="e">
        <f>MATCH(INDEX($BP$12:$BU$12,1,MATCH(BT65,$BP$15:$BU$15,0)),结果汇总!$AI$10:$AI$13,0)</f>
        <v>#VALUE!</v>
      </c>
      <c r="CI65" s="10" t="e">
        <f>MATCH(INDEX($BP$12:$BU$12,1,MATCH(BU65,$BP$15:$BU$15,0)),结果汇总!$AI$10:$AI$13,0)</f>
        <v>#VALUE!</v>
      </c>
      <c r="CK65" s="10">
        <f t="shared" si="75"/>
        <v>0</v>
      </c>
      <c r="CL65" s="10">
        <f t="shared" si="75"/>
        <v>0</v>
      </c>
      <c r="CM65" s="10">
        <f t="shared" si="75"/>
        <v>0</v>
      </c>
      <c r="CN65" s="10">
        <f t="shared" si="75"/>
        <v>0</v>
      </c>
      <c r="CO65" s="10" t="e">
        <f t="shared" si="76"/>
        <v>#DIV/0!</v>
      </c>
      <c r="CP65" s="10" t="e">
        <f t="shared" si="76"/>
        <v>#DIV/0!</v>
      </c>
      <c r="CQ65" s="10" t="e">
        <f t="shared" si="76"/>
        <v>#DIV/0!</v>
      </c>
      <c r="CR65" s="10" t="e">
        <f t="shared" si="76"/>
        <v>#DIV/0!</v>
      </c>
      <c r="CS65" s="10">
        <f t="shared" si="77"/>
        <v>0</v>
      </c>
      <c r="CT65" s="10">
        <f t="shared" si="77"/>
        <v>0</v>
      </c>
      <c r="CU65" s="10">
        <f t="shared" si="77"/>
        <v>0</v>
      </c>
      <c r="CV65" s="10">
        <f t="shared" si="77"/>
        <v>0</v>
      </c>
      <c r="CW65" s="10">
        <f t="shared" si="78"/>
        <v>0</v>
      </c>
      <c r="CX65" s="10">
        <f t="shared" si="78"/>
        <v>0</v>
      </c>
      <c r="CY65" s="10">
        <f t="shared" si="78"/>
        <v>0</v>
      </c>
      <c r="CZ65" s="10">
        <f t="shared" si="78"/>
        <v>0</v>
      </c>
    </row>
    <row r="66" spans="4:104" x14ac:dyDescent="0.15">
      <c r="D66" s="10">
        <v>51</v>
      </c>
      <c r="E66" s="10" t="e">
        <f t="shared" si="21"/>
        <v>#VALUE!</v>
      </c>
      <c r="F66" s="10" t="e">
        <f t="shared" si="1"/>
        <v>#VALUE!</v>
      </c>
      <c r="G66" s="10" t="e">
        <f t="shared" si="2"/>
        <v>#VALUE!</v>
      </c>
      <c r="H66" s="10" t="e">
        <f t="shared" si="22"/>
        <v>#VALUE!</v>
      </c>
      <c r="I66" s="10" t="e">
        <f t="shared" si="3"/>
        <v>#VALUE!</v>
      </c>
      <c r="J66" s="10" t="e">
        <f t="shared" si="23"/>
        <v>#VALUE!</v>
      </c>
      <c r="K66" s="10" t="e">
        <f t="shared" si="4"/>
        <v>#VALUE!</v>
      </c>
      <c r="L66" s="10" t="e">
        <f t="shared" si="5"/>
        <v>#VALUE!</v>
      </c>
      <c r="M66" s="10" t="e">
        <f t="shared" si="24"/>
        <v>#VALUE!</v>
      </c>
      <c r="O66" s="10" t="e">
        <f t="shared" si="25"/>
        <v>#VALUE!</v>
      </c>
      <c r="P66" s="10" t="e">
        <f t="shared" si="6"/>
        <v>#VALUE!</v>
      </c>
      <c r="Q66" s="10" t="e">
        <f t="shared" si="7"/>
        <v>#VALUE!</v>
      </c>
      <c r="R66" s="10" t="e">
        <f t="shared" si="26"/>
        <v>#VALUE!</v>
      </c>
      <c r="S66" s="10" t="e">
        <f t="shared" si="27"/>
        <v>#VALUE!</v>
      </c>
      <c r="T66" s="10" t="e">
        <f t="shared" si="62"/>
        <v>#VALUE!</v>
      </c>
      <c r="U66" s="10" t="e">
        <f t="shared" si="63"/>
        <v>#VALUE!</v>
      </c>
      <c r="V66" s="10" t="e">
        <f t="shared" si="8"/>
        <v>#VALUE!</v>
      </c>
      <c r="W66" s="10" t="e">
        <f t="shared" si="28"/>
        <v>#VALUE!</v>
      </c>
      <c r="Y66" s="10" t="e">
        <f t="shared" si="29"/>
        <v>#VALUE!</v>
      </c>
      <c r="Z66" s="11" t="e">
        <f t="shared" si="30"/>
        <v>#VALUE!</v>
      </c>
      <c r="AA66" s="10" t="e">
        <f t="shared" si="9"/>
        <v>#VALUE!</v>
      </c>
      <c r="AB66" s="10" t="e">
        <f t="shared" si="31"/>
        <v>#VALUE!</v>
      </c>
      <c r="AC66" s="10" t="e">
        <f t="shared" si="32"/>
        <v>#VALUE!</v>
      </c>
      <c r="AD66" s="10" t="e">
        <f t="shared" si="64"/>
        <v>#VALUE!</v>
      </c>
      <c r="AE66" s="10" t="e">
        <f t="shared" si="65"/>
        <v>#VALUE!</v>
      </c>
      <c r="AF66" s="10" t="e">
        <f t="shared" si="10"/>
        <v>#VALUE!</v>
      </c>
      <c r="AG66" s="10" t="e">
        <f t="shared" si="33"/>
        <v>#VALUE!</v>
      </c>
      <c r="AI66" s="13"/>
      <c r="AK66" s="10" t="e">
        <f t="shared" si="34"/>
        <v>#VALUE!</v>
      </c>
      <c r="AL66" s="10" t="e">
        <f t="shared" si="66"/>
        <v>#VALUE!</v>
      </c>
      <c r="AM66" s="10" t="e">
        <f t="shared" si="11"/>
        <v>#VALUE!</v>
      </c>
      <c r="AN66" s="10" t="e">
        <f t="shared" si="35"/>
        <v>#VALUE!</v>
      </c>
      <c r="AO66" s="10" t="e">
        <f t="shared" si="36"/>
        <v>#VALUE!</v>
      </c>
      <c r="AP66" s="10" t="e">
        <f t="shared" si="37"/>
        <v>#VALUE!</v>
      </c>
      <c r="AQ66" s="10" t="e">
        <f t="shared" si="67"/>
        <v>#VALUE!</v>
      </c>
      <c r="AR66" s="10" t="e">
        <f t="shared" si="12"/>
        <v>#VALUE!</v>
      </c>
      <c r="AS66" s="10" t="e">
        <f t="shared" si="68"/>
        <v>#VALUE!</v>
      </c>
      <c r="AU66" s="10" t="e">
        <f t="shared" si="38"/>
        <v>#VALUE!</v>
      </c>
      <c r="AV66" s="10" t="e">
        <f t="shared" si="69"/>
        <v>#VALUE!</v>
      </c>
      <c r="AW66" s="10" t="e">
        <f t="shared" si="13"/>
        <v>#VALUE!</v>
      </c>
      <c r="AX66" s="10" t="e">
        <f t="shared" si="39"/>
        <v>#VALUE!</v>
      </c>
      <c r="AY66" s="10" t="e">
        <f t="shared" si="40"/>
        <v>#VALUE!</v>
      </c>
      <c r="AZ66" s="10" t="e">
        <f t="shared" si="41"/>
        <v>#VALUE!</v>
      </c>
      <c r="BA66" s="10" t="e">
        <f t="shared" si="70"/>
        <v>#VALUE!</v>
      </c>
      <c r="BB66" s="10" t="e">
        <f t="shared" si="14"/>
        <v>#VALUE!</v>
      </c>
      <c r="BC66" s="10" t="e">
        <f t="shared" si="71"/>
        <v>#VALUE!</v>
      </c>
      <c r="BE66" s="10" t="e">
        <f t="shared" si="42"/>
        <v>#VALUE!</v>
      </c>
      <c r="BF66" s="10" t="e">
        <f t="shared" si="72"/>
        <v>#VALUE!</v>
      </c>
      <c r="BG66" s="10" t="e">
        <f t="shared" si="15"/>
        <v>#VALUE!</v>
      </c>
      <c r="BH66" s="10" t="e">
        <f t="shared" si="43"/>
        <v>#VALUE!</v>
      </c>
      <c r="BI66" s="10" t="e">
        <f t="shared" si="44"/>
        <v>#VALUE!</v>
      </c>
      <c r="BJ66" s="10" t="e">
        <f t="shared" si="45"/>
        <v>#VALUE!</v>
      </c>
      <c r="BK66" s="10" t="e">
        <f t="shared" si="73"/>
        <v>#VALUE!</v>
      </c>
      <c r="BL66" s="10" t="e">
        <f t="shared" si="16"/>
        <v>#VALUE!</v>
      </c>
      <c r="BM66" s="10" t="e">
        <f t="shared" si="74"/>
        <v>#VALUE!</v>
      </c>
      <c r="BP66" s="10" t="e">
        <f t="shared" si="46"/>
        <v>#VALUE!</v>
      </c>
      <c r="BQ66" s="10" t="e">
        <f t="shared" si="47"/>
        <v>#VALUE!</v>
      </c>
      <c r="BR66" s="10" t="e">
        <f t="shared" si="48"/>
        <v>#VALUE!</v>
      </c>
      <c r="BS66" s="10" t="e">
        <f t="shared" si="49"/>
        <v>#VALUE!</v>
      </c>
      <c r="BT66" s="10" t="e">
        <f t="shared" si="50"/>
        <v>#VALUE!</v>
      </c>
      <c r="BU66" s="10" t="e">
        <f t="shared" si="51"/>
        <v>#VALUE!</v>
      </c>
      <c r="BW66" s="10" t="e">
        <f t="shared" si="52"/>
        <v>#VALUE!</v>
      </c>
      <c r="BX66" s="10" t="e">
        <f t="shared" si="53"/>
        <v>#VALUE!</v>
      </c>
      <c r="BY66" s="10" t="e">
        <f t="shared" si="54"/>
        <v>#VALUE!</v>
      </c>
      <c r="BZ66" s="10" t="e">
        <f t="shared" si="55"/>
        <v>#VALUE!</v>
      </c>
      <c r="CA66" s="10" t="e">
        <f t="shared" si="56"/>
        <v>#VALUE!</v>
      </c>
      <c r="CB66" s="10" t="e">
        <f t="shared" si="57"/>
        <v>#VALUE!</v>
      </c>
      <c r="CD66" s="10" t="e">
        <f>MATCH(INDEX($BP$12:$BU$12,1,MATCH(BP66,$BP$15:$BU$15,0)),结果汇总!$AI$10:$AI$13,0)</f>
        <v>#VALUE!</v>
      </c>
      <c r="CE66" s="10" t="e">
        <f>MATCH(INDEX($BP$12:$BU$12,1,MATCH(BQ66,$BP$15:$BU$15,0)),结果汇总!$AI$10:$AI$13,0)</f>
        <v>#VALUE!</v>
      </c>
      <c r="CF66" s="10" t="e">
        <f>MATCH(INDEX($BP$12:$BU$12,1,MATCH(BR66,$BP$15:$BU$15,0)),结果汇总!$AI$10:$AI$13,0)</f>
        <v>#VALUE!</v>
      </c>
      <c r="CG66" s="10" t="e">
        <f>MATCH(INDEX($BP$12:$BU$12,1,MATCH(BS66,$BP$15:$BU$15,0)),结果汇总!$AI$10:$AI$13,0)</f>
        <v>#VALUE!</v>
      </c>
      <c r="CH66" s="10" t="e">
        <f>MATCH(INDEX($BP$12:$BU$12,1,MATCH(BT66,$BP$15:$BU$15,0)),结果汇总!$AI$10:$AI$13,0)</f>
        <v>#VALUE!</v>
      </c>
      <c r="CI66" s="10" t="e">
        <f>MATCH(INDEX($BP$12:$BU$12,1,MATCH(BU66,$BP$15:$BU$15,0)),结果汇总!$AI$10:$AI$13,0)</f>
        <v>#VALUE!</v>
      </c>
      <c r="CK66" s="10">
        <f t="shared" si="75"/>
        <v>0</v>
      </c>
      <c r="CL66" s="10">
        <f t="shared" si="75"/>
        <v>0</v>
      </c>
      <c r="CM66" s="10">
        <f t="shared" si="75"/>
        <v>0</v>
      </c>
      <c r="CN66" s="10">
        <f t="shared" si="75"/>
        <v>0</v>
      </c>
      <c r="CO66" s="10" t="e">
        <f t="shared" si="76"/>
        <v>#DIV/0!</v>
      </c>
      <c r="CP66" s="10" t="e">
        <f t="shared" si="76"/>
        <v>#DIV/0!</v>
      </c>
      <c r="CQ66" s="10" t="e">
        <f t="shared" si="76"/>
        <v>#DIV/0!</v>
      </c>
      <c r="CR66" s="10" t="e">
        <f t="shared" si="76"/>
        <v>#DIV/0!</v>
      </c>
      <c r="CS66" s="10">
        <f t="shared" si="77"/>
        <v>0</v>
      </c>
      <c r="CT66" s="10">
        <f t="shared" si="77"/>
        <v>0</v>
      </c>
      <c r="CU66" s="10">
        <f t="shared" si="77"/>
        <v>0</v>
      </c>
      <c r="CV66" s="10">
        <f t="shared" si="77"/>
        <v>0</v>
      </c>
      <c r="CW66" s="10">
        <f t="shared" si="78"/>
        <v>0</v>
      </c>
      <c r="CX66" s="10">
        <f t="shared" si="78"/>
        <v>0</v>
      </c>
      <c r="CY66" s="10">
        <f t="shared" si="78"/>
        <v>0</v>
      </c>
      <c r="CZ66" s="10">
        <f t="shared" si="78"/>
        <v>0</v>
      </c>
    </row>
    <row r="67" spans="4:104" x14ac:dyDescent="0.15">
      <c r="D67" s="10">
        <v>52</v>
      </c>
      <c r="E67" s="10" t="e">
        <f t="shared" si="21"/>
        <v>#VALUE!</v>
      </c>
      <c r="F67" s="10" t="e">
        <f t="shared" si="1"/>
        <v>#VALUE!</v>
      </c>
      <c r="G67" s="10" t="e">
        <f t="shared" si="2"/>
        <v>#VALUE!</v>
      </c>
      <c r="H67" s="10" t="e">
        <f t="shared" si="22"/>
        <v>#VALUE!</v>
      </c>
      <c r="I67" s="10" t="e">
        <f t="shared" si="3"/>
        <v>#VALUE!</v>
      </c>
      <c r="J67" s="10" t="e">
        <f t="shared" si="23"/>
        <v>#VALUE!</v>
      </c>
      <c r="K67" s="10" t="e">
        <f t="shared" si="4"/>
        <v>#VALUE!</v>
      </c>
      <c r="L67" s="10" t="e">
        <f t="shared" si="5"/>
        <v>#VALUE!</v>
      </c>
      <c r="M67" s="10" t="e">
        <f t="shared" si="24"/>
        <v>#VALUE!</v>
      </c>
      <c r="O67" s="10" t="e">
        <f t="shared" si="25"/>
        <v>#VALUE!</v>
      </c>
      <c r="P67" s="10" t="e">
        <f t="shared" si="6"/>
        <v>#VALUE!</v>
      </c>
      <c r="Q67" s="10" t="e">
        <f t="shared" si="7"/>
        <v>#VALUE!</v>
      </c>
      <c r="R67" s="10" t="e">
        <f t="shared" si="26"/>
        <v>#VALUE!</v>
      </c>
      <c r="S67" s="10" t="e">
        <f t="shared" si="27"/>
        <v>#VALUE!</v>
      </c>
      <c r="T67" s="10" t="e">
        <f t="shared" si="62"/>
        <v>#VALUE!</v>
      </c>
      <c r="U67" s="10" t="e">
        <f t="shared" si="63"/>
        <v>#VALUE!</v>
      </c>
      <c r="V67" s="10" t="e">
        <f t="shared" si="8"/>
        <v>#VALUE!</v>
      </c>
      <c r="W67" s="10" t="e">
        <f t="shared" si="28"/>
        <v>#VALUE!</v>
      </c>
      <c r="Y67" s="10" t="e">
        <f t="shared" si="29"/>
        <v>#VALUE!</v>
      </c>
      <c r="Z67" s="11" t="e">
        <f t="shared" si="30"/>
        <v>#VALUE!</v>
      </c>
      <c r="AA67" s="10" t="e">
        <f t="shared" si="9"/>
        <v>#VALUE!</v>
      </c>
      <c r="AB67" s="10" t="e">
        <f t="shared" si="31"/>
        <v>#VALUE!</v>
      </c>
      <c r="AC67" s="10" t="e">
        <f t="shared" si="32"/>
        <v>#VALUE!</v>
      </c>
      <c r="AD67" s="10" t="e">
        <f t="shared" si="64"/>
        <v>#VALUE!</v>
      </c>
      <c r="AE67" s="10" t="e">
        <f t="shared" si="65"/>
        <v>#VALUE!</v>
      </c>
      <c r="AF67" s="10" t="e">
        <f t="shared" si="10"/>
        <v>#VALUE!</v>
      </c>
      <c r="AG67" s="10" t="e">
        <f t="shared" si="33"/>
        <v>#VALUE!</v>
      </c>
      <c r="AI67" s="13"/>
      <c r="AK67" s="10" t="e">
        <f t="shared" si="34"/>
        <v>#VALUE!</v>
      </c>
      <c r="AL67" s="10" t="e">
        <f t="shared" si="66"/>
        <v>#VALUE!</v>
      </c>
      <c r="AM67" s="10" t="e">
        <f t="shared" si="11"/>
        <v>#VALUE!</v>
      </c>
      <c r="AN67" s="10" t="e">
        <f t="shared" si="35"/>
        <v>#VALUE!</v>
      </c>
      <c r="AO67" s="10" t="e">
        <f t="shared" si="36"/>
        <v>#VALUE!</v>
      </c>
      <c r="AP67" s="10" t="e">
        <f t="shared" si="37"/>
        <v>#VALUE!</v>
      </c>
      <c r="AQ67" s="10" t="e">
        <f t="shared" si="67"/>
        <v>#VALUE!</v>
      </c>
      <c r="AR67" s="10" t="e">
        <f t="shared" si="12"/>
        <v>#VALUE!</v>
      </c>
      <c r="AS67" s="10" t="e">
        <f t="shared" si="68"/>
        <v>#VALUE!</v>
      </c>
      <c r="AU67" s="10" t="e">
        <f t="shared" si="38"/>
        <v>#VALUE!</v>
      </c>
      <c r="AV67" s="10" t="e">
        <f t="shared" si="69"/>
        <v>#VALUE!</v>
      </c>
      <c r="AW67" s="10" t="e">
        <f t="shared" si="13"/>
        <v>#VALUE!</v>
      </c>
      <c r="AX67" s="10" t="e">
        <f t="shared" si="39"/>
        <v>#VALUE!</v>
      </c>
      <c r="AY67" s="10" t="e">
        <f t="shared" si="40"/>
        <v>#VALUE!</v>
      </c>
      <c r="AZ67" s="10" t="e">
        <f t="shared" si="41"/>
        <v>#VALUE!</v>
      </c>
      <c r="BA67" s="10" t="e">
        <f t="shared" si="70"/>
        <v>#VALUE!</v>
      </c>
      <c r="BB67" s="10" t="e">
        <f t="shared" si="14"/>
        <v>#VALUE!</v>
      </c>
      <c r="BC67" s="10" t="e">
        <f t="shared" si="71"/>
        <v>#VALUE!</v>
      </c>
      <c r="BE67" s="10" t="e">
        <f t="shared" si="42"/>
        <v>#VALUE!</v>
      </c>
      <c r="BF67" s="10" t="e">
        <f t="shared" si="72"/>
        <v>#VALUE!</v>
      </c>
      <c r="BG67" s="10" t="e">
        <f t="shared" si="15"/>
        <v>#VALUE!</v>
      </c>
      <c r="BH67" s="10" t="e">
        <f t="shared" si="43"/>
        <v>#VALUE!</v>
      </c>
      <c r="BI67" s="10" t="e">
        <f t="shared" si="44"/>
        <v>#VALUE!</v>
      </c>
      <c r="BJ67" s="10" t="e">
        <f t="shared" si="45"/>
        <v>#VALUE!</v>
      </c>
      <c r="BK67" s="10" t="e">
        <f t="shared" si="73"/>
        <v>#VALUE!</v>
      </c>
      <c r="BL67" s="10" t="e">
        <f t="shared" si="16"/>
        <v>#VALUE!</v>
      </c>
      <c r="BM67" s="10" t="e">
        <f t="shared" si="74"/>
        <v>#VALUE!</v>
      </c>
      <c r="BP67" s="10" t="e">
        <f t="shared" si="46"/>
        <v>#VALUE!</v>
      </c>
      <c r="BQ67" s="10" t="e">
        <f t="shared" si="47"/>
        <v>#VALUE!</v>
      </c>
      <c r="BR67" s="10" t="e">
        <f t="shared" si="48"/>
        <v>#VALUE!</v>
      </c>
      <c r="BS67" s="10" t="e">
        <f t="shared" si="49"/>
        <v>#VALUE!</v>
      </c>
      <c r="BT67" s="10" t="e">
        <f t="shared" si="50"/>
        <v>#VALUE!</v>
      </c>
      <c r="BU67" s="10" t="e">
        <f t="shared" si="51"/>
        <v>#VALUE!</v>
      </c>
      <c r="BW67" s="10" t="e">
        <f t="shared" si="52"/>
        <v>#VALUE!</v>
      </c>
      <c r="BX67" s="10" t="e">
        <f t="shared" si="53"/>
        <v>#VALUE!</v>
      </c>
      <c r="BY67" s="10" t="e">
        <f t="shared" si="54"/>
        <v>#VALUE!</v>
      </c>
      <c r="BZ67" s="10" t="e">
        <f t="shared" si="55"/>
        <v>#VALUE!</v>
      </c>
      <c r="CA67" s="10" t="e">
        <f t="shared" si="56"/>
        <v>#VALUE!</v>
      </c>
      <c r="CB67" s="10" t="e">
        <f t="shared" si="57"/>
        <v>#VALUE!</v>
      </c>
      <c r="CD67" s="10" t="e">
        <f>MATCH(INDEX($BP$12:$BU$12,1,MATCH(BP67,$BP$15:$BU$15,0)),结果汇总!$AI$10:$AI$13,0)</f>
        <v>#VALUE!</v>
      </c>
      <c r="CE67" s="10" t="e">
        <f>MATCH(INDEX($BP$12:$BU$12,1,MATCH(BQ67,$BP$15:$BU$15,0)),结果汇总!$AI$10:$AI$13,0)</f>
        <v>#VALUE!</v>
      </c>
      <c r="CF67" s="10" t="e">
        <f>MATCH(INDEX($BP$12:$BU$12,1,MATCH(BR67,$BP$15:$BU$15,0)),结果汇总!$AI$10:$AI$13,0)</f>
        <v>#VALUE!</v>
      </c>
      <c r="CG67" s="10" t="e">
        <f>MATCH(INDEX($BP$12:$BU$12,1,MATCH(BS67,$BP$15:$BU$15,0)),结果汇总!$AI$10:$AI$13,0)</f>
        <v>#VALUE!</v>
      </c>
      <c r="CH67" s="10" t="e">
        <f>MATCH(INDEX($BP$12:$BU$12,1,MATCH(BT67,$BP$15:$BU$15,0)),结果汇总!$AI$10:$AI$13,0)</f>
        <v>#VALUE!</v>
      </c>
      <c r="CI67" s="10" t="e">
        <f>MATCH(INDEX($BP$12:$BU$12,1,MATCH(BU67,$BP$15:$BU$15,0)),结果汇总!$AI$10:$AI$13,0)</f>
        <v>#VALUE!</v>
      </c>
      <c r="CK67" s="10">
        <f t="shared" si="75"/>
        <v>0</v>
      </c>
      <c r="CL67" s="10">
        <f t="shared" si="75"/>
        <v>0</v>
      </c>
      <c r="CM67" s="10">
        <f t="shared" si="75"/>
        <v>0</v>
      </c>
      <c r="CN67" s="10">
        <f t="shared" si="75"/>
        <v>0</v>
      </c>
      <c r="CO67" s="10" t="e">
        <f t="shared" si="76"/>
        <v>#DIV/0!</v>
      </c>
      <c r="CP67" s="10" t="e">
        <f t="shared" si="76"/>
        <v>#DIV/0!</v>
      </c>
      <c r="CQ67" s="10" t="e">
        <f t="shared" si="76"/>
        <v>#DIV/0!</v>
      </c>
      <c r="CR67" s="10" t="e">
        <f t="shared" si="76"/>
        <v>#DIV/0!</v>
      </c>
      <c r="CS67" s="10">
        <f t="shared" si="77"/>
        <v>0</v>
      </c>
      <c r="CT67" s="10">
        <f t="shared" si="77"/>
        <v>0</v>
      </c>
      <c r="CU67" s="10">
        <f t="shared" si="77"/>
        <v>0</v>
      </c>
      <c r="CV67" s="10">
        <f t="shared" si="77"/>
        <v>0</v>
      </c>
      <c r="CW67" s="10">
        <f t="shared" si="78"/>
        <v>0</v>
      </c>
      <c r="CX67" s="10">
        <f t="shared" si="78"/>
        <v>0</v>
      </c>
      <c r="CY67" s="10">
        <f t="shared" si="78"/>
        <v>0</v>
      </c>
      <c r="CZ67" s="10">
        <f t="shared" si="78"/>
        <v>0</v>
      </c>
    </row>
    <row r="68" spans="4:104" x14ac:dyDescent="0.15">
      <c r="D68" s="10">
        <v>53</v>
      </c>
      <c r="E68" s="10" t="e">
        <f t="shared" si="21"/>
        <v>#VALUE!</v>
      </c>
      <c r="F68" s="10" t="e">
        <f t="shared" si="1"/>
        <v>#VALUE!</v>
      </c>
      <c r="G68" s="10" t="e">
        <f t="shared" si="2"/>
        <v>#VALUE!</v>
      </c>
      <c r="H68" s="10" t="e">
        <f t="shared" si="22"/>
        <v>#VALUE!</v>
      </c>
      <c r="I68" s="10" t="e">
        <f t="shared" si="3"/>
        <v>#VALUE!</v>
      </c>
      <c r="J68" s="10" t="e">
        <f t="shared" si="23"/>
        <v>#VALUE!</v>
      </c>
      <c r="K68" s="10" t="e">
        <f t="shared" si="4"/>
        <v>#VALUE!</v>
      </c>
      <c r="L68" s="10" t="e">
        <f t="shared" si="5"/>
        <v>#VALUE!</v>
      </c>
      <c r="M68" s="10" t="e">
        <f t="shared" si="24"/>
        <v>#VALUE!</v>
      </c>
      <c r="O68" s="10" t="e">
        <f t="shared" si="25"/>
        <v>#VALUE!</v>
      </c>
      <c r="P68" s="10" t="e">
        <f t="shared" si="6"/>
        <v>#VALUE!</v>
      </c>
      <c r="Q68" s="10" t="e">
        <f t="shared" si="7"/>
        <v>#VALUE!</v>
      </c>
      <c r="R68" s="10" t="e">
        <f t="shared" si="26"/>
        <v>#VALUE!</v>
      </c>
      <c r="S68" s="10" t="e">
        <f t="shared" si="27"/>
        <v>#VALUE!</v>
      </c>
      <c r="T68" s="10" t="e">
        <f t="shared" si="62"/>
        <v>#VALUE!</v>
      </c>
      <c r="U68" s="10" t="e">
        <f t="shared" si="63"/>
        <v>#VALUE!</v>
      </c>
      <c r="V68" s="10" t="e">
        <f t="shared" si="8"/>
        <v>#VALUE!</v>
      </c>
      <c r="W68" s="10" t="e">
        <f t="shared" si="28"/>
        <v>#VALUE!</v>
      </c>
      <c r="Y68" s="10" t="e">
        <f t="shared" si="29"/>
        <v>#VALUE!</v>
      </c>
      <c r="Z68" s="11" t="e">
        <f t="shared" si="30"/>
        <v>#VALUE!</v>
      </c>
      <c r="AA68" s="10" t="e">
        <f t="shared" si="9"/>
        <v>#VALUE!</v>
      </c>
      <c r="AB68" s="10" t="e">
        <f t="shared" si="31"/>
        <v>#VALUE!</v>
      </c>
      <c r="AC68" s="10" t="e">
        <f t="shared" si="32"/>
        <v>#VALUE!</v>
      </c>
      <c r="AD68" s="10" t="e">
        <f t="shared" si="64"/>
        <v>#VALUE!</v>
      </c>
      <c r="AE68" s="10" t="e">
        <f t="shared" si="65"/>
        <v>#VALUE!</v>
      </c>
      <c r="AF68" s="10" t="e">
        <f t="shared" si="10"/>
        <v>#VALUE!</v>
      </c>
      <c r="AG68" s="10" t="e">
        <f t="shared" si="33"/>
        <v>#VALUE!</v>
      </c>
      <c r="AI68" s="13"/>
      <c r="AK68" s="10" t="e">
        <f t="shared" si="34"/>
        <v>#VALUE!</v>
      </c>
      <c r="AL68" s="10" t="e">
        <f t="shared" si="66"/>
        <v>#VALUE!</v>
      </c>
      <c r="AM68" s="10" t="e">
        <f t="shared" si="11"/>
        <v>#VALUE!</v>
      </c>
      <c r="AN68" s="10" t="e">
        <f t="shared" si="35"/>
        <v>#VALUE!</v>
      </c>
      <c r="AO68" s="10" t="e">
        <f t="shared" si="36"/>
        <v>#VALUE!</v>
      </c>
      <c r="AP68" s="10" t="e">
        <f t="shared" si="37"/>
        <v>#VALUE!</v>
      </c>
      <c r="AQ68" s="10" t="e">
        <f t="shared" si="67"/>
        <v>#VALUE!</v>
      </c>
      <c r="AR68" s="10" t="e">
        <f t="shared" si="12"/>
        <v>#VALUE!</v>
      </c>
      <c r="AS68" s="10" t="e">
        <f t="shared" si="68"/>
        <v>#VALUE!</v>
      </c>
      <c r="AU68" s="10" t="e">
        <f t="shared" si="38"/>
        <v>#VALUE!</v>
      </c>
      <c r="AV68" s="10" t="e">
        <f t="shared" si="69"/>
        <v>#VALUE!</v>
      </c>
      <c r="AW68" s="10" t="e">
        <f t="shared" si="13"/>
        <v>#VALUE!</v>
      </c>
      <c r="AX68" s="10" t="e">
        <f t="shared" si="39"/>
        <v>#VALUE!</v>
      </c>
      <c r="AY68" s="10" t="e">
        <f t="shared" si="40"/>
        <v>#VALUE!</v>
      </c>
      <c r="AZ68" s="10" t="e">
        <f t="shared" si="41"/>
        <v>#VALUE!</v>
      </c>
      <c r="BA68" s="10" t="e">
        <f t="shared" si="70"/>
        <v>#VALUE!</v>
      </c>
      <c r="BB68" s="10" t="e">
        <f t="shared" si="14"/>
        <v>#VALUE!</v>
      </c>
      <c r="BC68" s="10" t="e">
        <f t="shared" si="71"/>
        <v>#VALUE!</v>
      </c>
      <c r="BE68" s="10" t="e">
        <f t="shared" si="42"/>
        <v>#VALUE!</v>
      </c>
      <c r="BF68" s="10" t="e">
        <f t="shared" si="72"/>
        <v>#VALUE!</v>
      </c>
      <c r="BG68" s="10" t="e">
        <f t="shared" si="15"/>
        <v>#VALUE!</v>
      </c>
      <c r="BH68" s="10" t="e">
        <f t="shared" si="43"/>
        <v>#VALUE!</v>
      </c>
      <c r="BI68" s="10" t="e">
        <f t="shared" si="44"/>
        <v>#VALUE!</v>
      </c>
      <c r="BJ68" s="10" t="e">
        <f t="shared" si="45"/>
        <v>#VALUE!</v>
      </c>
      <c r="BK68" s="10" t="e">
        <f t="shared" si="73"/>
        <v>#VALUE!</v>
      </c>
      <c r="BL68" s="10" t="e">
        <f t="shared" si="16"/>
        <v>#VALUE!</v>
      </c>
      <c r="BM68" s="10" t="e">
        <f t="shared" si="74"/>
        <v>#VALUE!</v>
      </c>
      <c r="BP68" s="10" t="e">
        <f t="shared" si="46"/>
        <v>#VALUE!</v>
      </c>
      <c r="BQ68" s="10" t="e">
        <f t="shared" si="47"/>
        <v>#VALUE!</v>
      </c>
      <c r="BR68" s="10" t="e">
        <f t="shared" si="48"/>
        <v>#VALUE!</v>
      </c>
      <c r="BS68" s="10" t="e">
        <f t="shared" si="49"/>
        <v>#VALUE!</v>
      </c>
      <c r="BT68" s="10" t="e">
        <f t="shared" si="50"/>
        <v>#VALUE!</v>
      </c>
      <c r="BU68" s="10" t="e">
        <f t="shared" si="51"/>
        <v>#VALUE!</v>
      </c>
      <c r="BW68" s="10" t="e">
        <f t="shared" si="52"/>
        <v>#VALUE!</v>
      </c>
      <c r="BX68" s="10" t="e">
        <f t="shared" si="53"/>
        <v>#VALUE!</v>
      </c>
      <c r="BY68" s="10" t="e">
        <f t="shared" si="54"/>
        <v>#VALUE!</v>
      </c>
      <c r="BZ68" s="10" t="e">
        <f t="shared" si="55"/>
        <v>#VALUE!</v>
      </c>
      <c r="CA68" s="10" t="e">
        <f t="shared" si="56"/>
        <v>#VALUE!</v>
      </c>
      <c r="CB68" s="10" t="e">
        <f t="shared" si="57"/>
        <v>#VALUE!</v>
      </c>
      <c r="CD68" s="10" t="e">
        <f>MATCH(INDEX($BP$12:$BU$12,1,MATCH(BP68,$BP$15:$BU$15,0)),结果汇总!$AI$10:$AI$13,0)</f>
        <v>#VALUE!</v>
      </c>
      <c r="CE68" s="10" t="e">
        <f>MATCH(INDEX($BP$12:$BU$12,1,MATCH(BQ68,$BP$15:$BU$15,0)),结果汇总!$AI$10:$AI$13,0)</f>
        <v>#VALUE!</v>
      </c>
      <c r="CF68" s="10" t="e">
        <f>MATCH(INDEX($BP$12:$BU$12,1,MATCH(BR68,$BP$15:$BU$15,0)),结果汇总!$AI$10:$AI$13,0)</f>
        <v>#VALUE!</v>
      </c>
      <c r="CG68" s="10" t="e">
        <f>MATCH(INDEX($BP$12:$BU$12,1,MATCH(BS68,$BP$15:$BU$15,0)),结果汇总!$AI$10:$AI$13,0)</f>
        <v>#VALUE!</v>
      </c>
      <c r="CH68" s="10" t="e">
        <f>MATCH(INDEX($BP$12:$BU$12,1,MATCH(BT68,$BP$15:$BU$15,0)),结果汇总!$AI$10:$AI$13,0)</f>
        <v>#VALUE!</v>
      </c>
      <c r="CI68" s="10" t="e">
        <f>MATCH(INDEX($BP$12:$BU$12,1,MATCH(BU68,$BP$15:$BU$15,0)),结果汇总!$AI$10:$AI$13,0)</f>
        <v>#VALUE!</v>
      </c>
      <c r="CK68" s="10">
        <f t="shared" si="75"/>
        <v>0</v>
      </c>
      <c r="CL68" s="10">
        <f t="shared" si="75"/>
        <v>0</v>
      </c>
      <c r="CM68" s="10">
        <f t="shared" si="75"/>
        <v>0</v>
      </c>
      <c r="CN68" s="10">
        <f t="shared" si="75"/>
        <v>0</v>
      </c>
      <c r="CO68" s="10" t="e">
        <f t="shared" si="76"/>
        <v>#DIV/0!</v>
      </c>
      <c r="CP68" s="10" t="e">
        <f t="shared" si="76"/>
        <v>#DIV/0!</v>
      </c>
      <c r="CQ68" s="10" t="e">
        <f t="shared" si="76"/>
        <v>#DIV/0!</v>
      </c>
      <c r="CR68" s="10" t="e">
        <f t="shared" si="76"/>
        <v>#DIV/0!</v>
      </c>
      <c r="CS68" s="10">
        <f t="shared" si="77"/>
        <v>0</v>
      </c>
      <c r="CT68" s="10">
        <f t="shared" si="77"/>
        <v>0</v>
      </c>
      <c r="CU68" s="10">
        <f t="shared" si="77"/>
        <v>0</v>
      </c>
      <c r="CV68" s="10">
        <f t="shared" si="77"/>
        <v>0</v>
      </c>
      <c r="CW68" s="10">
        <f t="shared" si="78"/>
        <v>0</v>
      </c>
      <c r="CX68" s="10">
        <f t="shared" si="78"/>
        <v>0</v>
      </c>
      <c r="CY68" s="10">
        <f t="shared" si="78"/>
        <v>0</v>
      </c>
      <c r="CZ68" s="10">
        <f t="shared" si="78"/>
        <v>0</v>
      </c>
    </row>
    <row r="69" spans="4:104" x14ac:dyDescent="0.15">
      <c r="D69" s="10">
        <v>54</v>
      </c>
      <c r="E69" s="10" t="e">
        <f t="shared" si="21"/>
        <v>#VALUE!</v>
      </c>
      <c r="F69" s="10" t="e">
        <f t="shared" si="1"/>
        <v>#VALUE!</v>
      </c>
      <c r="G69" s="10" t="e">
        <f t="shared" si="2"/>
        <v>#VALUE!</v>
      </c>
      <c r="H69" s="10" t="e">
        <f t="shared" si="22"/>
        <v>#VALUE!</v>
      </c>
      <c r="I69" s="10" t="e">
        <f t="shared" si="3"/>
        <v>#VALUE!</v>
      </c>
      <c r="J69" s="10" t="e">
        <f t="shared" si="23"/>
        <v>#VALUE!</v>
      </c>
      <c r="K69" s="10" t="e">
        <f t="shared" si="4"/>
        <v>#VALUE!</v>
      </c>
      <c r="L69" s="10" t="e">
        <f t="shared" si="5"/>
        <v>#VALUE!</v>
      </c>
      <c r="M69" s="10" t="e">
        <f t="shared" si="24"/>
        <v>#VALUE!</v>
      </c>
      <c r="O69" s="10" t="e">
        <f t="shared" si="25"/>
        <v>#VALUE!</v>
      </c>
      <c r="P69" s="10" t="e">
        <f t="shared" si="6"/>
        <v>#VALUE!</v>
      </c>
      <c r="Q69" s="10" t="e">
        <f t="shared" si="7"/>
        <v>#VALUE!</v>
      </c>
      <c r="R69" s="10" t="e">
        <f t="shared" si="26"/>
        <v>#VALUE!</v>
      </c>
      <c r="S69" s="10" t="e">
        <f t="shared" si="27"/>
        <v>#VALUE!</v>
      </c>
      <c r="T69" s="10" t="e">
        <f t="shared" si="62"/>
        <v>#VALUE!</v>
      </c>
      <c r="U69" s="10" t="e">
        <f t="shared" si="63"/>
        <v>#VALUE!</v>
      </c>
      <c r="V69" s="10" t="e">
        <f t="shared" si="8"/>
        <v>#VALUE!</v>
      </c>
      <c r="W69" s="10" t="e">
        <f t="shared" si="28"/>
        <v>#VALUE!</v>
      </c>
      <c r="Y69" s="10" t="e">
        <f t="shared" si="29"/>
        <v>#VALUE!</v>
      </c>
      <c r="Z69" s="11" t="e">
        <f t="shared" si="30"/>
        <v>#VALUE!</v>
      </c>
      <c r="AA69" s="10" t="e">
        <f t="shared" si="9"/>
        <v>#VALUE!</v>
      </c>
      <c r="AB69" s="10" t="e">
        <f t="shared" si="31"/>
        <v>#VALUE!</v>
      </c>
      <c r="AC69" s="10" t="e">
        <f t="shared" si="32"/>
        <v>#VALUE!</v>
      </c>
      <c r="AD69" s="10" t="e">
        <f t="shared" si="64"/>
        <v>#VALUE!</v>
      </c>
      <c r="AE69" s="10" t="e">
        <f t="shared" si="65"/>
        <v>#VALUE!</v>
      </c>
      <c r="AF69" s="10" t="e">
        <f t="shared" si="10"/>
        <v>#VALUE!</v>
      </c>
      <c r="AG69" s="10" t="e">
        <f t="shared" si="33"/>
        <v>#VALUE!</v>
      </c>
      <c r="AI69" s="13"/>
      <c r="AK69" s="10" t="e">
        <f t="shared" si="34"/>
        <v>#VALUE!</v>
      </c>
      <c r="AL69" s="10" t="e">
        <f t="shared" si="66"/>
        <v>#VALUE!</v>
      </c>
      <c r="AM69" s="10" t="e">
        <f t="shared" si="11"/>
        <v>#VALUE!</v>
      </c>
      <c r="AN69" s="10" t="e">
        <f t="shared" si="35"/>
        <v>#VALUE!</v>
      </c>
      <c r="AO69" s="10" t="e">
        <f t="shared" si="36"/>
        <v>#VALUE!</v>
      </c>
      <c r="AP69" s="10" t="e">
        <f t="shared" si="37"/>
        <v>#VALUE!</v>
      </c>
      <c r="AQ69" s="10" t="e">
        <f t="shared" si="67"/>
        <v>#VALUE!</v>
      </c>
      <c r="AR69" s="10" t="e">
        <f t="shared" si="12"/>
        <v>#VALUE!</v>
      </c>
      <c r="AS69" s="10" t="e">
        <f t="shared" si="68"/>
        <v>#VALUE!</v>
      </c>
      <c r="AU69" s="10" t="e">
        <f t="shared" si="38"/>
        <v>#VALUE!</v>
      </c>
      <c r="AV69" s="10" t="e">
        <f t="shared" si="69"/>
        <v>#VALUE!</v>
      </c>
      <c r="AW69" s="10" t="e">
        <f t="shared" si="13"/>
        <v>#VALUE!</v>
      </c>
      <c r="AX69" s="10" t="e">
        <f t="shared" si="39"/>
        <v>#VALUE!</v>
      </c>
      <c r="AY69" s="10" t="e">
        <f t="shared" si="40"/>
        <v>#VALUE!</v>
      </c>
      <c r="AZ69" s="10" t="e">
        <f t="shared" si="41"/>
        <v>#VALUE!</v>
      </c>
      <c r="BA69" s="10" t="e">
        <f t="shared" si="70"/>
        <v>#VALUE!</v>
      </c>
      <c r="BB69" s="10" t="e">
        <f t="shared" si="14"/>
        <v>#VALUE!</v>
      </c>
      <c r="BC69" s="10" t="e">
        <f t="shared" si="71"/>
        <v>#VALUE!</v>
      </c>
      <c r="BE69" s="10" t="e">
        <f t="shared" si="42"/>
        <v>#VALUE!</v>
      </c>
      <c r="BF69" s="10" t="e">
        <f t="shared" si="72"/>
        <v>#VALUE!</v>
      </c>
      <c r="BG69" s="10" t="e">
        <f t="shared" si="15"/>
        <v>#VALUE!</v>
      </c>
      <c r="BH69" s="10" t="e">
        <f t="shared" si="43"/>
        <v>#VALUE!</v>
      </c>
      <c r="BI69" s="10" t="e">
        <f t="shared" si="44"/>
        <v>#VALUE!</v>
      </c>
      <c r="BJ69" s="10" t="e">
        <f t="shared" si="45"/>
        <v>#VALUE!</v>
      </c>
      <c r="BK69" s="10" t="e">
        <f t="shared" si="73"/>
        <v>#VALUE!</v>
      </c>
      <c r="BL69" s="10" t="e">
        <f t="shared" si="16"/>
        <v>#VALUE!</v>
      </c>
      <c r="BM69" s="10" t="e">
        <f t="shared" si="74"/>
        <v>#VALUE!</v>
      </c>
      <c r="BP69" s="10" t="e">
        <f t="shared" si="46"/>
        <v>#VALUE!</v>
      </c>
      <c r="BQ69" s="10" t="e">
        <f t="shared" si="47"/>
        <v>#VALUE!</v>
      </c>
      <c r="BR69" s="10" t="e">
        <f t="shared" si="48"/>
        <v>#VALUE!</v>
      </c>
      <c r="BS69" s="10" t="e">
        <f t="shared" si="49"/>
        <v>#VALUE!</v>
      </c>
      <c r="BT69" s="10" t="e">
        <f t="shared" si="50"/>
        <v>#VALUE!</v>
      </c>
      <c r="BU69" s="10" t="e">
        <f t="shared" si="51"/>
        <v>#VALUE!</v>
      </c>
      <c r="BW69" s="10" t="e">
        <f t="shared" si="52"/>
        <v>#VALUE!</v>
      </c>
      <c r="BX69" s="10" t="e">
        <f t="shared" si="53"/>
        <v>#VALUE!</v>
      </c>
      <c r="BY69" s="10" t="e">
        <f t="shared" si="54"/>
        <v>#VALUE!</v>
      </c>
      <c r="BZ69" s="10" t="e">
        <f t="shared" si="55"/>
        <v>#VALUE!</v>
      </c>
      <c r="CA69" s="10" t="e">
        <f t="shared" si="56"/>
        <v>#VALUE!</v>
      </c>
      <c r="CB69" s="10" t="e">
        <f t="shared" si="57"/>
        <v>#VALUE!</v>
      </c>
      <c r="CD69" s="10" t="e">
        <f>MATCH(INDEX($BP$12:$BU$12,1,MATCH(BP69,$BP$15:$BU$15,0)),结果汇总!$AI$10:$AI$13,0)</f>
        <v>#VALUE!</v>
      </c>
      <c r="CE69" s="10" t="e">
        <f>MATCH(INDEX($BP$12:$BU$12,1,MATCH(BQ69,$BP$15:$BU$15,0)),结果汇总!$AI$10:$AI$13,0)</f>
        <v>#VALUE!</v>
      </c>
      <c r="CF69" s="10" t="e">
        <f>MATCH(INDEX($BP$12:$BU$12,1,MATCH(BR69,$BP$15:$BU$15,0)),结果汇总!$AI$10:$AI$13,0)</f>
        <v>#VALUE!</v>
      </c>
      <c r="CG69" s="10" t="e">
        <f>MATCH(INDEX($BP$12:$BU$12,1,MATCH(BS69,$BP$15:$BU$15,0)),结果汇总!$AI$10:$AI$13,0)</f>
        <v>#VALUE!</v>
      </c>
      <c r="CH69" s="10" t="e">
        <f>MATCH(INDEX($BP$12:$BU$12,1,MATCH(BT69,$BP$15:$BU$15,0)),结果汇总!$AI$10:$AI$13,0)</f>
        <v>#VALUE!</v>
      </c>
      <c r="CI69" s="10" t="e">
        <f>MATCH(INDEX($BP$12:$BU$12,1,MATCH(BU69,$BP$15:$BU$15,0)),结果汇总!$AI$10:$AI$13,0)</f>
        <v>#VALUE!</v>
      </c>
      <c r="CK69" s="10">
        <f t="shared" si="75"/>
        <v>0</v>
      </c>
      <c r="CL69" s="10">
        <f t="shared" si="75"/>
        <v>0</v>
      </c>
      <c r="CM69" s="10">
        <f t="shared" si="75"/>
        <v>0</v>
      </c>
      <c r="CN69" s="10">
        <f t="shared" si="75"/>
        <v>0</v>
      </c>
      <c r="CO69" s="10" t="e">
        <f t="shared" si="76"/>
        <v>#DIV/0!</v>
      </c>
      <c r="CP69" s="10" t="e">
        <f t="shared" si="76"/>
        <v>#DIV/0!</v>
      </c>
      <c r="CQ69" s="10" t="e">
        <f t="shared" si="76"/>
        <v>#DIV/0!</v>
      </c>
      <c r="CR69" s="10" t="e">
        <f t="shared" si="76"/>
        <v>#DIV/0!</v>
      </c>
      <c r="CS69" s="10">
        <f t="shared" si="77"/>
        <v>0</v>
      </c>
      <c r="CT69" s="10">
        <f t="shared" si="77"/>
        <v>0</v>
      </c>
      <c r="CU69" s="10">
        <f t="shared" si="77"/>
        <v>0</v>
      </c>
      <c r="CV69" s="10">
        <f t="shared" si="77"/>
        <v>0</v>
      </c>
      <c r="CW69" s="10">
        <f t="shared" si="78"/>
        <v>0</v>
      </c>
      <c r="CX69" s="10">
        <f t="shared" si="78"/>
        <v>0</v>
      </c>
      <c r="CY69" s="10">
        <f t="shared" si="78"/>
        <v>0</v>
      </c>
      <c r="CZ69" s="10">
        <f t="shared" si="78"/>
        <v>0</v>
      </c>
    </row>
    <row r="70" spans="4:104" x14ac:dyDescent="0.15">
      <c r="D70" s="10">
        <v>55</v>
      </c>
      <c r="E70" s="10" t="e">
        <f t="shared" si="21"/>
        <v>#VALUE!</v>
      </c>
      <c r="F70" s="10" t="e">
        <f t="shared" si="1"/>
        <v>#VALUE!</v>
      </c>
      <c r="G70" s="10" t="e">
        <f t="shared" si="2"/>
        <v>#VALUE!</v>
      </c>
      <c r="H70" s="10" t="e">
        <f t="shared" si="22"/>
        <v>#VALUE!</v>
      </c>
      <c r="I70" s="10" t="e">
        <f t="shared" si="3"/>
        <v>#VALUE!</v>
      </c>
      <c r="J70" s="10" t="e">
        <f t="shared" si="23"/>
        <v>#VALUE!</v>
      </c>
      <c r="K70" s="10" t="e">
        <f t="shared" si="4"/>
        <v>#VALUE!</v>
      </c>
      <c r="L70" s="10" t="e">
        <f t="shared" si="5"/>
        <v>#VALUE!</v>
      </c>
      <c r="M70" s="10" t="e">
        <f t="shared" si="24"/>
        <v>#VALUE!</v>
      </c>
      <c r="O70" s="10" t="e">
        <f t="shared" si="25"/>
        <v>#VALUE!</v>
      </c>
      <c r="P70" s="10" t="e">
        <f t="shared" si="6"/>
        <v>#VALUE!</v>
      </c>
      <c r="Q70" s="10" t="e">
        <f t="shared" si="7"/>
        <v>#VALUE!</v>
      </c>
      <c r="R70" s="10" t="e">
        <f t="shared" si="26"/>
        <v>#VALUE!</v>
      </c>
      <c r="S70" s="10" t="e">
        <f t="shared" si="27"/>
        <v>#VALUE!</v>
      </c>
      <c r="T70" s="10" t="e">
        <f t="shared" si="62"/>
        <v>#VALUE!</v>
      </c>
      <c r="U70" s="10" t="e">
        <f t="shared" si="63"/>
        <v>#VALUE!</v>
      </c>
      <c r="V70" s="10" t="e">
        <f t="shared" si="8"/>
        <v>#VALUE!</v>
      </c>
      <c r="W70" s="10" t="e">
        <f t="shared" si="28"/>
        <v>#VALUE!</v>
      </c>
      <c r="Y70" s="10" t="e">
        <f t="shared" si="29"/>
        <v>#VALUE!</v>
      </c>
      <c r="Z70" s="11" t="e">
        <f t="shared" si="30"/>
        <v>#VALUE!</v>
      </c>
      <c r="AA70" s="10" t="e">
        <f t="shared" si="9"/>
        <v>#VALUE!</v>
      </c>
      <c r="AB70" s="10" t="e">
        <f t="shared" si="31"/>
        <v>#VALUE!</v>
      </c>
      <c r="AC70" s="10" t="e">
        <f t="shared" si="32"/>
        <v>#VALUE!</v>
      </c>
      <c r="AD70" s="10" t="e">
        <f t="shared" si="64"/>
        <v>#VALUE!</v>
      </c>
      <c r="AE70" s="10" t="e">
        <f t="shared" si="65"/>
        <v>#VALUE!</v>
      </c>
      <c r="AF70" s="10" t="e">
        <f t="shared" si="10"/>
        <v>#VALUE!</v>
      </c>
      <c r="AG70" s="10" t="e">
        <f t="shared" si="33"/>
        <v>#VALUE!</v>
      </c>
      <c r="AI70" s="13"/>
      <c r="AK70" s="10" t="e">
        <f t="shared" si="34"/>
        <v>#VALUE!</v>
      </c>
      <c r="AL70" s="10" t="e">
        <f t="shared" si="66"/>
        <v>#VALUE!</v>
      </c>
      <c r="AM70" s="10" t="e">
        <f t="shared" si="11"/>
        <v>#VALUE!</v>
      </c>
      <c r="AN70" s="10" t="e">
        <f t="shared" si="35"/>
        <v>#VALUE!</v>
      </c>
      <c r="AO70" s="10" t="e">
        <f t="shared" si="36"/>
        <v>#VALUE!</v>
      </c>
      <c r="AP70" s="10" t="e">
        <f t="shared" si="37"/>
        <v>#VALUE!</v>
      </c>
      <c r="AQ70" s="10" t="e">
        <f t="shared" si="67"/>
        <v>#VALUE!</v>
      </c>
      <c r="AR70" s="10" t="e">
        <f t="shared" si="12"/>
        <v>#VALUE!</v>
      </c>
      <c r="AS70" s="10" t="e">
        <f t="shared" si="68"/>
        <v>#VALUE!</v>
      </c>
      <c r="AU70" s="10" t="e">
        <f t="shared" si="38"/>
        <v>#VALUE!</v>
      </c>
      <c r="AV70" s="10" t="e">
        <f t="shared" si="69"/>
        <v>#VALUE!</v>
      </c>
      <c r="AW70" s="10" t="e">
        <f t="shared" si="13"/>
        <v>#VALUE!</v>
      </c>
      <c r="AX70" s="10" t="e">
        <f t="shared" si="39"/>
        <v>#VALUE!</v>
      </c>
      <c r="AY70" s="10" t="e">
        <f t="shared" si="40"/>
        <v>#VALUE!</v>
      </c>
      <c r="AZ70" s="10" t="e">
        <f t="shared" si="41"/>
        <v>#VALUE!</v>
      </c>
      <c r="BA70" s="10" t="e">
        <f t="shared" si="70"/>
        <v>#VALUE!</v>
      </c>
      <c r="BB70" s="10" t="e">
        <f t="shared" si="14"/>
        <v>#VALUE!</v>
      </c>
      <c r="BC70" s="10" t="e">
        <f t="shared" si="71"/>
        <v>#VALUE!</v>
      </c>
      <c r="BE70" s="10" t="e">
        <f t="shared" si="42"/>
        <v>#VALUE!</v>
      </c>
      <c r="BF70" s="10" t="e">
        <f t="shared" si="72"/>
        <v>#VALUE!</v>
      </c>
      <c r="BG70" s="10" t="e">
        <f t="shared" si="15"/>
        <v>#VALUE!</v>
      </c>
      <c r="BH70" s="10" t="e">
        <f t="shared" si="43"/>
        <v>#VALUE!</v>
      </c>
      <c r="BI70" s="10" t="e">
        <f t="shared" si="44"/>
        <v>#VALUE!</v>
      </c>
      <c r="BJ70" s="10" t="e">
        <f t="shared" si="45"/>
        <v>#VALUE!</v>
      </c>
      <c r="BK70" s="10" t="e">
        <f t="shared" si="73"/>
        <v>#VALUE!</v>
      </c>
      <c r="BL70" s="10" t="e">
        <f t="shared" si="16"/>
        <v>#VALUE!</v>
      </c>
      <c r="BM70" s="10" t="e">
        <f t="shared" si="74"/>
        <v>#VALUE!</v>
      </c>
      <c r="BP70" s="10" t="e">
        <f t="shared" si="46"/>
        <v>#VALUE!</v>
      </c>
      <c r="BQ70" s="10" t="e">
        <f t="shared" si="47"/>
        <v>#VALUE!</v>
      </c>
      <c r="BR70" s="10" t="e">
        <f t="shared" si="48"/>
        <v>#VALUE!</v>
      </c>
      <c r="BS70" s="10" t="e">
        <f t="shared" si="49"/>
        <v>#VALUE!</v>
      </c>
      <c r="BT70" s="10" t="e">
        <f t="shared" si="50"/>
        <v>#VALUE!</v>
      </c>
      <c r="BU70" s="10" t="e">
        <f t="shared" si="51"/>
        <v>#VALUE!</v>
      </c>
      <c r="BW70" s="10" t="e">
        <f t="shared" si="52"/>
        <v>#VALUE!</v>
      </c>
      <c r="BX70" s="10" t="e">
        <f t="shared" si="53"/>
        <v>#VALUE!</v>
      </c>
      <c r="BY70" s="10" t="e">
        <f t="shared" si="54"/>
        <v>#VALUE!</v>
      </c>
      <c r="BZ70" s="10" t="e">
        <f t="shared" si="55"/>
        <v>#VALUE!</v>
      </c>
      <c r="CA70" s="10" t="e">
        <f t="shared" si="56"/>
        <v>#VALUE!</v>
      </c>
      <c r="CB70" s="10" t="e">
        <f t="shared" si="57"/>
        <v>#VALUE!</v>
      </c>
      <c r="CD70" s="10" t="e">
        <f>MATCH(INDEX($BP$12:$BU$12,1,MATCH(BP70,$BP$15:$BU$15,0)),结果汇总!$AI$10:$AI$13,0)</f>
        <v>#VALUE!</v>
      </c>
      <c r="CE70" s="10" t="e">
        <f>MATCH(INDEX($BP$12:$BU$12,1,MATCH(BQ70,$BP$15:$BU$15,0)),结果汇总!$AI$10:$AI$13,0)</f>
        <v>#VALUE!</v>
      </c>
      <c r="CF70" s="10" t="e">
        <f>MATCH(INDEX($BP$12:$BU$12,1,MATCH(BR70,$BP$15:$BU$15,0)),结果汇总!$AI$10:$AI$13,0)</f>
        <v>#VALUE!</v>
      </c>
      <c r="CG70" s="10" t="e">
        <f>MATCH(INDEX($BP$12:$BU$12,1,MATCH(BS70,$BP$15:$BU$15,0)),结果汇总!$AI$10:$AI$13,0)</f>
        <v>#VALUE!</v>
      </c>
      <c r="CH70" s="10" t="e">
        <f>MATCH(INDEX($BP$12:$BU$12,1,MATCH(BT70,$BP$15:$BU$15,0)),结果汇总!$AI$10:$AI$13,0)</f>
        <v>#VALUE!</v>
      </c>
      <c r="CI70" s="10" t="e">
        <f>MATCH(INDEX($BP$12:$BU$12,1,MATCH(BU70,$BP$15:$BU$15,0)),结果汇总!$AI$10:$AI$13,0)</f>
        <v>#VALUE!</v>
      </c>
      <c r="CK70" s="10">
        <f t="shared" si="75"/>
        <v>0</v>
      </c>
      <c r="CL70" s="10">
        <f t="shared" si="75"/>
        <v>0</v>
      </c>
      <c r="CM70" s="10">
        <f t="shared" si="75"/>
        <v>0</v>
      </c>
      <c r="CN70" s="10">
        <f t="shared" si="75"/>
        <v>0</v>
      </c>
      <c r="CO70" s="10" t="e">
        <f t="shared" si="76"/>
        <v>#DIV/0!</v>
      </c>
      <c r="CP70" s="10" t="e">
        <f t="shared" si="76"/>
        <v>#DIV/0!</v>
      </c>
      <c r="CQ70" s="10" t="e">
        <f t="shared" si="76"/>
        <v>#DIV/0!</v>
      </c>
      <c r="CR70" s="10" t="e">
        <f t="shared" si="76"/>
        <v>#DIV/0!</v>
      </c>
      <c r="CS70" s="10">
        <f t="shared" si="77"/>
        <v>0</v>
      </c>
      <c r="CT70" s="10">
        <f t="shared" si="77"/>
        <v>0</v>
      </c>
      <c r="CU70" s="10">
        <f t="shared" si="77"/>
        <v>0</v>
      </c>
      <c r="CV70" s="10">
        <f t="shared" si="77"/>
        <v>0</v>
      </c>
      <c r="CW70" s="10">
        <f t="shared" si="78"/>
        <v>0</v>
      </c>
      <c r="CX70" s="10">
        <f t="shared" si="78"/>
        <v>0</v>
      </c>
      <c r="CY70" s="10">
        <f t="shared" si="78"/>
        <v>0</v>
      </c>
      <c r="CZ70" s="10">
        <f t="shared" si="78"/>
        <v>0</v>
      </c>
    </row>
    <row r="71" spans="4:104" x14ac:dyDescent="0.15">
      <c r="D71" s="10">
        <v>56</v>
      </c>
      <c r="E71" s="10" t="e">
        <f t="shared" si="21"/>
        <v>#VALUE!</v>
      </c>
      <c r="F71" s="10" t="e">
        <f t="shared" si="1"/>
        <v>#VALUE!</v>
      </c>
      <c r="G71" s="10" t="e">
        <f t="shared" si="2"/>
        <v>#VALUE!</v>
      </c>
      <c r="H71" s="10" t="e">
        <f t="shared" si="22"/>
        <v>#VALUE!</v>
      </c>
      <c r="I71" s="10" t="e">
        <f t="shared" si="3"/>
        <v>#VALUE!</v>
      </c>
      <c r="J71" s="10" t="e">
        <f t="shared" si="23"/>
        <v>#VALUE!</v>
      </c>
      <c r="K71" s="10" t="e">
        <f t="shared" si="4"/>
        <v>#VALUE!</v>
      </c>
      <c r="L71" s="10" t="e">
        <f t="shared" si="5"/>
        <v>#VALUE!</v>
      </c>
      <c r="M71" s="10" t="e">
        <f t="shared" si="24"/>
        <v>#VALUE!</v>
      </c>
      <c r="O71" s="10" t="e">
        <f t="shared" si="25"/>
        <v>#VALUE!</v>
      </c>
      <c r="P71" s="10" t="e">
        <f t="shared" si="6"/>
        <v>#VALUE!</v>
      </c>
      <c r="Q71" s="10" t="e">
        <f t="shared" si="7"/>
        <v>#VALUE!</v>
      </c>
      <c r="R71" s="10" t="e">
        <f t="shared" si="26"/>
        <v>#VALUE!</v>
      </c>
      <c r="S71" s="10" t="e">
        <f t="shared" si="27"/>
        <v>#VALUE!</v>
      </c>
      <c r="T71" s="10" t="e">
        <f t="shared" si="62"/>
        <v>#VALUE!</v>
      </c>
      <c r="U71" s="10" t="e">
        <f t="shared" si="63"/>
        <v>#VALUE!</v>
      </c>
      <c r="V71" s="10" t="e">
        <f t="shared" si="8"/>
        <v>#VALUE!</v>
      </c>
      <c r="W71" s="10" t="e">
        <f t="shared" si="28"/>
        <v>#VALUE!</v>
      </c>
      <c r="Y71" s="10" t="e">
        <f t="shared" si="29"/>
        <v>#VALUE!</v>
      </c>
      <c r="Z71" s="11" t="e">
        <f t="shared" si="30"/>
        <v>#VALUE!</v>
      </c>
      <c r="AA71" s="10" t="e">
        <f t="shared" si="9"/>
        <v>#VALUE!</v>
      </c>
      <c r="AB71" s="10" t="e">
        <f t="shared" si="31"/>
        <v>#VALUE!</v>
      </c>
      <c r="AC71" s="10" t="e">
        <f t="shared" si="32"/>
        <v>#VALUE!</v>
      </c>
      <c r="AD71" s="10" t="e">
        <f t="shared" si="64"/>
        <v>#VALUE!</v>
      </c>
      <c r="AE71" s="10" t="e">
        <f t="shared" si="65"/>
        <v>#VALUE!</v>
      </c>
      <c r="AF71" s="10" t="e">
        <f t="shared" si="10"/>
        <v>#VALUE!</v>
      </c>
      <c r="AG71" s="10" t="e">
        <f t="shared" si="33"/>
        <v>#VALUE!</v>
      </c>
      <c r="AI71" s="13"/>
      <c r="AK71" s="10" t="e">
        <f t="shared" si="34"/>
        <v>#VALUE!</v>
      </c>
      <c r="AL71" s="10" t="e">
        <f t="shared" si="66"/>
        <v>#VALUE!</v>
      </c>
      <c r="AM71" s="10" t="e">
        <f t="shared" si="11"/>
        <v>#VALUE!</v>
      </c>
      <c r="AN71" s="10" t="e">
        <f t="shared" si="35"/>
        <v>#VALUE!</v>
      </c>
      <c r="AO71" s="10" t="e">
        <f t="shared" si="36"/>
        <v>#VALUE!</v>
      </c>
      <c r="AP71" s="10" t="e">
        <f t="shared" si="37"/>
        <v>#VALUE!</v>
      </c>
      <c r="AQ71" s="10" t="e">
        <f t="shared" si="67"/>
        <v>#VALUE!</v>
      </c>
      <c r="AR71" s="10" t="e">
        <f t="shared" si="12"/>
        <v>#VALUE!</v>
      </c>
      <c r="AS71" s="10" t="e">
        <f t="shared" si="68"/>
        <v>#VALUE!</v>
      </c>
      <c r="AU71" s="10" t="e">
        <f t="shared" si="38"/>
        <v>#VALUE!</v>
      </c>
      <c r="AV71" s="10" t="e">
        <f t="shared" si="69"/>
        <v>#VALUE!</v>
      </c>
      <c r="AW71" s="10" t="e">
        <f t="shared" si="13"/>
        <v>#VALUE!</v>
      </c>
      <c r="AX71" s="10" t="e">
        <f t="shared" si="39"/>
        <v>#VALUE!</v>
      </c>
      <c r="AY71" s="10" t="e">
        <f t="shared" si="40"/>
        <v>#VALUE!</v>
      </c>
      <c r="AZ71" s="10" t="e">
        <f t="shared" si="41"/>
        <v>#VALUE!</v>
      </c>
      <c r="BA71" s="10" t="e">
        <f t="shared" si="70"/>
        <v>#VALUE!</v>
      </c>
      <c r="BB71" s="10" t="e">
        <f t="shared" si="14"/>
        <v>#VALUE!</v>
      </c>
      <c r="BC71" s="10" t="e">
        <f t="shared" si="71"/>
        <v>#VALUE!</v>
      </c>
      <c r="BE71" s="10" t="e">
        <f t="shared" si="42"/>
        <v>#VALUE!</v>
      </c>
      <c r="BF71" s="10" t="e">
        <f t="shared" si="72"/>
        <v>#VALUE!</v>
      </c>
      <c r="BG71" s="10" t="e">
        <f t="shared" si="15"/>
        <v>#VALUE!</v>
      </c>
      <c r="BH71" s="10" t="e">
        <f t="shared" si="43"/>
        <v>#VALUE!</v>
      </c>
      <c r="BI71" s="10" t="e">
        <f t="shared" si="44"/>
        <v>#VALUE!</v>
      </c>
      <c r="BJ71" s="10" t="e">
        <f t="shared" si="45"/>
        <v>#VALUE!</v>
      </c>
      <c r="BK71" s="10" t="e">
        <f t="shared" si="73"/>
        <v>#VALUE!</v>
      </c>
      <c r="BL71" s="10" t="e">
        <f t="shared" si="16"/>
        <v>#VALUE!</v>
      </c>
      <c r="BM71" s="10" t="e">
        <f t="shared" si="74"/>
        <v>#VALUE!</v>
      </c>
      <c r="BP71" s="10" t="e">
        <f t="shared" si="46"/>
        <v>#VALUE!</v>
      </c>
      <c r="BQ71" s="10" t="e">
        <f t="shared" si="47"/>
        <v>#VALUE!</v>
      </c>
      <c r="BR71" s="10" t="e">
        <f t="shared" si="48"/>
        <v>#VALUE!</v>
      </c>
      <c r="BS71" s="10" t="e">
        <f t="shared" si="49"/>
        <v>#VALUE!</v>
      </c>
      <c r="BT71" s="10" t="e">
        <f t="shared" si="50"/>
        <v>#VALUE!</v>
      </c>
      <c r="BU71" s="10" t="e">
        <f t="shared" si="51"/>
        <v>#VALUE!</v>
      </c>
      <c r="BW71" s="10" t="e">
        <f t="shared" si="52"/>
        <v>#VALUE!</v>
      </c>
      <c r="BX71" s="10" t="e">
        <f t="shared" si="53"/>
        <v>#VALUE!</v>
      </c>
      <c r="BY71" s="10" t="e">
        <f t="shared" si="54"/>
        <v>#VALUE!</v>
      </c>
      <c r="BZ71" s="10" t="e">
        <f t="shared" si="55"/>
        <v>#VALUE!</v>
      </c>
      <c r="CA71" s="10" t="e">
        <f t="shared" si="56"/>
        <v>#VALUE!</v>
      </c>
      <c r="CB71" s="10" t="e">
        <f t="shared" si="57"/>
        <v>#VALUE!</v>
      </c>
      <c r="CD71" s="10" t="e">
        <f>MATCH(INDEX($BP$12:$BU$12,1,MATCH(BP71,$BP$15:$BU$15,0)),结果汇总!$AI$10:$AI$13,0)</f>
        <v>#VALUE!</v>
      </c>
      <c r="CE71" s="10" t="e">
        <f>MATCH(INDEX($BP$12:$BU$12,1,MATCH(BQ71,$BP$15:$BU$15,0)),结果汇总!$AI$10:$AI$13,0)</f>
        <v>#VALUE!</v>
      </c>
      <c r="CF71" s="10" t="e">
        <f>MATCH(INDEX($BP$12:$BU$12,1,MATCH(BR71,$BP$15:$BU$15,0)),结果汇总!$AI$10:$AI$13,0)</f>
        <v>#VALUE!</v>
      </c>
      <c r="CG71" s="10" t="e">
        <f>MATCH(INDEX($BP$12:$BU$12,1,MATCH(BS71,$BP$15:$BU$15,0)),结果汇总!$AI$10:$AI$13,0)</f>
        <v>#VALUE!</v>
      </c>
      <c r="CH71" s="10" t="e">
        <f>MATCH(INDEX($BP$12:$BU$12,1,MATCH(BT71,$BP$15:$BU$15,0)),结果汇总!$AI$10:$AI$13,0)</f>
        <v>#VALUE!</v>
      </c>
      <c r="CI71" s="10" t="e">
        <f>MATCH(INDEX($BP$12:$BU$12,1,MATCH(BU71,$BP$15:$BU$15,0)),结果汇总!$AI$10:$AI$13,0)</f>
        <v>#VALUE!</v>
      </c>
      <c r="CK71" s="10">
        <f t="shared" si="75"/>
        <v>0</v>
      </c>
      <c r="CL71" s="10">
        <f t="shared" si="75"/>
        <v>0</v>
      </c>
      <c r="CM71" s="10">
        <f t="shared" si="75"/>
        <v>0</v>
      </c>
      <c r="CN71" s="10">
        <f t="shared" si="75"/>
        <v>0</v>
      </c>
      <c r="CO71" s="10" t="e">
        <f t="shared" si="76"/>
        <v>#DIV/0!</v>
      </c>
      <c r="CP71" s="10" t="e">
        <f t="shared" si="76"/>
        <v>#DIV/0!</v>
      </c>
      <c r="CQ71" s="10" t="e">
        <f t="shared" si="76"/>
        <v>#DIV/0!</v>
      </c>
      <c r="CR71" s="10" t="e">
        <f t="shared" si="76"/>
        <v>#DIV/0!</v>
      </c>
      <c r="CS71" s="10">
        <f t="shared" si="77"/>
        <v>0</v>
      </c>
      <c r="CT71" s="10">
        <f t="shared" si="77"/>
        <v>0</v>
      </c>
      <c r="CU71" s="10">
        <f t="shared" si="77"/>
        <v>0</v>
      </c>
      <c r="CV71" s="10">
        <f t="shared" si="77"/>
        <v>0</v>
      </c>
      <c r="CW71" s="10">
        <f t="shared" si="78"/>
        <v>0</v>
      </c>
      <c r="CX71" s="10">
        <f t="shared" si="78"/>
        <v>0</v>
      </c>
      <c r="CY71" s="10">
        <f t="shared" si="78"/>
        <v>0</v>
      </c>
      <c r="CZ71" s="10">
        <f t="shared" si="78"/>
        <v>0</v>
      </c>
    </row>
    <row r="72" spans="4:104" x14ac:dyDescent="0.15">
      <c r="D72" s="10">
        <v>57</v>
      </c>
      <c r="E72" s="10" t="e">
        <f t="shared" si="21"/>
        <v>#VALUE!</v>
      </c>
      <c r="F72" s="10" t="e">
        <f t="shared" si="1"/>
        <v>#VALUE!</v>
      </c>
      <c r="G72" s="10" t="e">
        <f t="shared" si="2"/>
        <v>#VALUE!</v>
      </c>
      <c r="H72" s="10" t="e">
        <f t="shared" si="22"/>
        <v>#VALUE!</v>
      </c>
      <c r="I72" s="10" t="e">
        <f t="shared" si="3"/>
        <v>#VALUE!</v>
      </c>
      <c r="J72" s="10" t="e">
        <f t="shared" si="23"/>
        <v>#VALUE!</v>
      </c>
      <c r="K72" s="10" t="e">
        <f t="shared" si="4"/>
        <v>#VALUE!</v>
      </c>
      <c r="L72" s="10" t="e">
        <f t="shared" si="5"/>
        <v>#VALUE!</v>
      </c>
      <c r="M72" s="10" t="e">
        <f t="shared" si="24"/>
        <v>#VALUE!</v>
      </c>
      <c r="O72" s="10" t="e">
        <f t="shared" si="25"/>
        <v>#VALUE!</v>
      </c>
      <c r="P72" s="10" t="e">
        <f t="shared" si="6"/>
        <v>#VALUE!</v>
      </c>
      <c r="Q72" s="10" t="e">
        <f t="shared" si="7"/>
        <v>#VALUE!</v>
      </c>
      <c r="R72" s="10" t="e">
        <f t="shared" si="26"/>
        <v>#VALUE!</v>
      </c>
      <c r="S72" s="10" t="e">
        <f t="shared" si="27"/>
        <v>#VALUE!</v>
      </c>
      <c r="T72" s="10" t="e">
        <f t="shared" si="62"/>
        <v>#VALUE!</v>
      </c>
      <c r="U72" s="10" t="e">
        <f t="shared" si="63"/>
        <v>#VALUE!</v>
      </c>
      <c r="V72" s="10" t="e">
        <f t="shared" si="8"/>
        <v>#VALUE!</v>
      </c>
      <c r="W72" s="10" t="e">
        <f t="shared" si="28"/>
        <v>#VALUE!</v>
      </c>
      <c r="Y72" s="10" t="e">
        <f t="shared" si="29"/>
        <v>#VALUE!</v>
      </c>
      <c r="Z72" s="11" t="e">
        <f t="shared" si="30"/>
        <v>#VALUE!</v>
      </c>
      <c r="AA72" s="10" t="e">
        <f t="shared" si="9"/>
        <v>#VALUE!</v>
      </c>
      <c r="AB72" s="10" t="e">
        <f t="shared" si="31"/>
        <v>#VALUE!</v>
      </c>
      <c r="AC72" s="10" t="e">
        <f t="shared" si="32"/>
        <v>#VALUE!</v>
      </c>
      <c r="AD72" s="10" t="e">
        <f t="shared" si="64"/>
        <v>#VALUE!</v>
      </c>
      <c r="AE72" s="10" t="e">
        <f t="shared" si="65"/>
        <v>#VALUE!</v>
      </c>
      <c r="AF72" s="10" t="e">
        <f t="shared" si="10"/>
        <v>#VALUE!</v>
      </c>
      <c r="AG72" s="10" t="e">
        <f t="shared" si="33"/>
        <v>#VALUE!</v>
      </c>
      <c r="AI72" s="13"/>
      <c r="AK72" s="10" t="e">
        <f t="shared" si="34"/>
        <v>#VALUE!</v>
      </c>
      <c r="AL72" s="10" t="e">
        <f t="shared" si="66"/>
        <v>#VALUE!</v>
      </c>
      <c r="AM72" s="10" t="e">
        <f t="shared" si="11"/>
        <v>#VALUE!</v>
      </c>
      <c r="AN72" s="10" t="e">
        <f t="shared" si="35"/>
        <v>#VALUE!</v>
      </c>
      <c r="AO72" s="10" t="e">
        <f t="shared" si="36"/>
        <v>#VALUE!</v>
      </c>
      <c r="AP72" s="10" t="e">
        <f t="shared" si="37"/>
        <v>#VALUE!</v>
      </c>
      <c r="AQ72" s="10" t="e">
        <f t="shared" si="67"/>
        <v>#VALUE!</v>
      </c>
      <c r="AR72" s="10" t="e">
        <f t="shared" si="12"/>
        <v>#VALUE!</v>
      </c>
      <c r="AS72" s="10" t="e">
        <f t="shared" si="68"/>
        <v>#VALUE!</v>
      </c>
      <c r="AU72" s="10" t="e">
        <f t="shared" si="38"/>
        <v>#VALUE!</v>
      </c>
      <c r="AV72" s="10" t="e">
        <f t="shared" si="69"/>
        <v>#VALUE!</v>
      </c>
      <c r="AW72" s="10" t="e">
        <f t="shared" si="13"/>
        <v>#VALUE!</v>
      </c>
      <c r="AX72" s="10" t="e">
        <f t="shared" si="39"/>
        <v>#VALUE!</v>
      </c>
      <c r="AY72" s="10" t="e">
        <f t="shared" si="40"/>
        <v>#VALUE!</v>
      </c>
      <c r="AZ72" s="10" t="e">
        <f t="shared" si="41"/>
        <v>#VALUE!</v>
      </c>
      <c r="BA72" s="10" t="e">
        <f t="shared" si="70"/>
        <v>#VALUE!</v>
      </c>
      <c r="BB72" s="10" t="e">
        <f t="shared" si="14"/>
        <v>#VALUE!</v>
      </c>
      <c r="BC72" s="10" t="e">
        <f t="shared" si="71"/>
        <v>#VALUE!</v>
      </c>
      <c r="BE72" s="10" t="e">
        <f t="shared" si="42"/>
        <v>#VALUE!</v>
      </c>
      <c r="BF72" s="10" t="e">
        <f t="shared" si="72"/>
        <v>#VALUE!</v>
      </c>
      <c r="BG72" s="10" t="e">
        <f t="shared" si="15"/>
        <v>#VALUE!</v>
      </c>
      <c r="BH72" s="10" t="e">
        <f t="shared" si="43"/>
        <v>#VALUE!</v>
      </c>
      <c r="BI72" s="10" t="e">
        <f t="shared" si="44"/>
        <v>#VALUE!</v>
      </c>
      <c r="BJ72" s="10" t="e">
        <f t="shared" si="45"/>
        <v>#VALUE!</v>
      </c>
      <c r="BK72" s="10" t="e">
        <f t="shared" si="73"/>
        <v>#VALUE!</v>
      </c>
      <c r="BL72" s="10" t="e">
        <f t="shared" si="16"/>
        <v>#VALUE!</v>
      </c>
      <c r="BM72" s="10" t="e">
        <f t="shared" si="74"/>
        <v>#VALUE!</v>
      </c>
      <c r="BP72" s="10" t="e">
        <f t="shared" si="46"/>
        <v>#VALUE!</v>
      </c>
      <c r="BQ72" s="10" t="e">
        <f t="shared" si="47"/>
        <v>#VALUE!</v>
      </c>
      <c r="BR72" s="10" t="e">
        <f t="shared" si="48"/>
        <v>#VALUE!</v>
      </c>
      <c r="BS72" s="10" t="e">
        <f t="shared" si="49"/>
        <v>#VALUE!</v>
      </c>
      <c r="BT72" s="10" t="e">
        <f t="shared" si="50"/>
        <v>#VALUE!</v>
      </c>
      <c r="BU72" s="10" t="e">
        <f t="shared" si="51"/>
        <v>#VALUE!</v>
      </c>
      <c r="BW72" s="10" t="e">
        <f t="shared" si="52"/>
        <v>#VALUE!</v>
      </c>
      <c r="BX72" s="10" t="e">
        <f t="shared" si="53"/>
        <v>#VALUE!</v>
      </c>
      <c r="BY72" s="10" t="e">
        <f t="shared" si="54"/>
        <v>#VALUE!</v>
      </c>
      <c r="BZ72" s="10" t="e">
        <f t="shared" si="55"/>
        <v>#VALUE!</v>
      </c>
      <c r="CA72" s="10" t="e">
        <f t="shared" si="56"/>
        <v>#VALUE!</v>
      </c>
      <c r="CB72" s="10" t="e">
        <f t="shared" si="57"/>
        <v>#VALUE!</v>
      </c>
      <c r="CD72" s="10" t="e">
        <f>MATCH(INDEX($BP$12:$BU$12,1,MATCH(BP72,$BP$15:$BU$15,0)),结果汇总!$AI$10:$AI$13,0)</f>
        <v>#VALUE!</v>
      </c>
      <c r="CE72" s="10" t="e">
        <f>MATCH(INDEX($BP$12:$BU$12,1,MATCH(BQ72,$BP$15:$BU$15,0)),结果汇总!$AI$10:$AI$13,0)</f>
        <v>#VALUE!</v>
      </c>
      <c r="CF72" s="10" t="e">
        <f>MATCH(INDEX($BP$12:$BU$12,1,MATCH(BR72,$BP$15:$BU$15,0)),结果汇总!$AI$10:$AI$13,0)</f>
        <v>#VALUE!</v>
      </c>
      <c r="CG72" s="10" t="e">
        <f>MATCH(INDEX($BP$12:$BU$12,1,MATCH(BS72,$BP$15:$BU$15,0)),结果汇总!$AI$10:$AI$13,0)</f>
        <v>#VALUE!</v>
      </c>
      <c r="CH72" s="10" t="e">
        <f>MATCH(INDEX($BP$12:$BU$12,1,MATCH(BT72,$BP$15:$BU$15,0)),结果汇总!$AI$10:$AI$13,0)</f>
        <v>#VALUE!</v>
      </c>
      <c r="CI72" s="10" t="e">
        <f>MATCH(INDEX($BP$12:$BU$12,1,MATCH(BU72,$BP$15:$BU$15,0)),结果汇总!$AI$10:$AI$13,0)</f>
        <v>#VALUE!</v>
      </c>
      <c r="CK72" s="10">
        <f t="shared" si="75"/>
        <v>0</v>
      </c>
      <c r="CL72" s="10">
        <f t="shared" si="75"/>
        <v>0</v>
      </c>
      <c r="CM72" s="10">
        <f t="shared" si="75"/>
        <v>0</v>
      </c>
      <c r="CN72" s="10">
        <f t="shared" si="75"/>
        <v>0</v>
      </c>
      <c r="CO72" s="10" t="e">
        <f t="shared" si="76"/>
        <v>#DIV/0!</v>
      </c>
      <c r="CP72" s="10" t="e">
        <f t="shared" si="76"/>
        <v>#DIV/0!</v>
      </c>
      <c r="CQ72" s="10" t="e">
        <f t="shared" si="76"/>
        <v>#DIV/0!</v>
      </c>
      <c r="CR72" s="10" t="e">
        <f t="shared" si="76"/>
        <v>#DIV/0!</v>
      </c>
      <c r="CS72" s="10">
        <f t="shared" si="77"/>
        <v>0</v>
      </c>
      <c r="CT72" s="10">
        <f t="shared" si="77"/>
        <v>0</v>
      </c>
      <c r="CU72" s="10">
        <f t="shared" si="77"/>
        <v>0</v>
      </c>
      <c r="CV72" s="10">
        <f t="shared" si="77"/>
        <v>0</v>
      </c>
      <c r="CW72" s="10">
        <f t="shared" si="78"/>
        <v>0</v>
      </c>
      <c r="CX72" s="10">
        <f t="shared" si="78"/>
        <v>0</v>
      </c>
      <c r="CY72" s="10">
        <f t="shared" si="78"/>
        <v>0</v>
      </c>
      <c r="CZ72" s="10">
        <f t="shared" si="78"/>
        <v>0</v>
      </c>
    </row>
    <row r="73" spans="4:104" x14ac:dyDescent="0.15">
      <c r="D73" s="10">
        <v>58</v>
      </c>
      <c r="E73" s="10" t="e">
        <f t="shared" si="21"/>
        <v>#VALUE!</v>
      </c>
      <c r="F73" s="10" t="e">
        <f t="shared" si="1"/>
        <v>#VALUE!</v>
      </c>
      <c r="G73" s="10" t="e">
        <f t="shared" si="2"/>
        <v>#VALUE!</v>
      </c>
      <c r="H73" s="10" t="e">
        <f t="shared" si="22"/>
        <v>#VALUE!</v>
      </c>
      <c r="I73" s="10" t="e">
        <f t="shared" si="3"/>
        <v>#VALUE!</v>
      </c>
      <c r="J73" s="10" t="e">
        <f t="shared" si="23"/>
        <v>#VALUE!</v>
      </c>
      <c r="K73" s="10" t="e">
        <f t="shared" si="4"/>
        <v>#VALUE!</v>
      </c>
      <c r="L73" s="10" t="e">
        <f t="shared" si="5"/>
        <v>#VALUE!</v>
      </c>
      <c r="M73" s="10" t="e">
        <f t="shared" si="24"/>
        <v>#VALUE!</v>
      </c>
      <c r="O73" s="10" t="e">
        <f t="shared" si="25"/>
        <v>#VALUE!</v>
      </c>
      <c r="P73" s="10" t="e">
        <f t="shared" si="6"/>
        <v>#VALUE!</v>
      </c>
      <c r="Q73" s="10" t="e">
        <f t="shared" si="7"/>
        <v>#VALUE!</v>
      </c>
      <c r="R73" s="10" t="e">
        <f t="shared" si="26"/>
        <v>#VALUE!</v>
      </c>
      <c r="S73" s="10" t="e">
        <f t="shared" si="27"/>
        <v>#VALUE!</v>
      </c>
      <c r="T73" s="10" t="e">
        <f t="shared" si="62"/>
        <v>#VALUE!</v>
      </c>
      <c r="U73" s="10" t="e">
        <f t="shared" si="63"/>
        <v>#VALUE!</v>
      </c>
      <c r="V73" s="10" t="e">
        <f t="shared" si="8"/>
        <v>#VALUE!</v>
      </c>
      <c r="W73" s="10" t="e">
        <f t="shared" si="28"/>
        <v>#VALUE!</v>
      </c>
      <c r="Y73" s="10" t="e">
        <f t="shared" si="29"/>
        <v>#VALUE!</v>
      </c>
      <c r="Z73" s="11" t="e">
        <f t="shared" si="30"/>
        <v>#VALUE!</v>
      </c>
      <c r="AA73" s="10" t="e">
        <f t="shared" si="9"/>
        <v>#VALUE!</v>
      </c>
      <c r="AB73" s="10" t="e">
        <f t="shared" si="31"/>
        <v>#VALUE!</v>
      </c>
      <c r="AC73" s="10" t="e">
        <f t="shared" si="32"/>
        <v>#VALUE!</v>
      </c>
      <c r="AD73" s="10" t="e">
        <f t="shared" si="64"/>
        <v>#VALUE!</v>
      </c>
      <c r="AE73" s="10" t="e">
        <f t="shared" si="65"/>
        <v>#VALUE!</v>
      </c>
      <c r="AF73" s="10" t="e">
        <f t="shared" si="10"/>
        <v>#VALUE!</v>
      </c>
      <c r="AG73" s="10" t="e">
        <f t="shared" si="33"/>
        <v>#VALUE!</v>
      </c>
      <c r="AI73" s="13"/>
      <c r="AK73" s="10" t="e">
        <f t="shared" si="34"/>
        <v>#VALUE!</v>
      </c>
      <c r="AL73" s="10" t="e">
        <f t="shared" si="66"/>
        <v>#VALUE!</v>
      </c>
      <c r="AM73" s="10" t="e">
        <f t="shared" si="11"/>
        <v>#VALUE!</v>
      </c>
      <c r="AN73" s="10" t="e">
        <f t="shared" si="35"/>
        <v>#VALUE!</v>
      </c>
      <c r="AO73" s="10" t="e">
        <f t="shared" si="36"/>
        <v>#VALUE!</v>
      </c>
      <c r="AP73" s="10" t="e">
        <f t="shared" si="37"/>
        <v>#VALUE!</v>
      </c>
      <c r="AQ73" s="10" t="e">
        <f t="shared" si="67"/>
        <v>#VALUE!</v>
      </c>
      <c r="AR73" s="10" t="e">
        <f t="shared" si="12"/>
        <v>#VALUE!</v>
      </c>
      <c r="AS73" s="10" t="e">
        <f t="shared" si="68"/>
        <v>#VALUE!</v>
      </c>
      <c r="AU73" s="10" t="e">
        <f t="shared" si="38"/>
        <v>#VALUE!</v>
      </c>
      <c r="AV73" s="10" t="e">
        <f t="shared" si="69"/>
        <v>#VALUE!</v>
      </c>
      <c r="AW73" s="10" t="e">
        <f t="shared" si="13"/>
        <v>#VALUE!</v>
      </c>
      <c r="AX73" s="10" t="e">
        <f t="shared" si="39"/>
        <v>#VALUE!</v>
      </c>
      <c r="AY73" s="10" t="e">
        <f t="shared" si="40"/>
        <v>#VALUE!</v>
      </c>
      <c r="AZ73" s="10" t="e">
        <f t="shared" si="41"/>
        <v>#VALUE!</v>
      </c>
      <c r="BA73" s="10" t="e">
        <f t="shared" si="70"/>
        <v>#VALUE!</v>
      </c>
      <c r="BB73" s="10" t="e">
        <f t="shared" si="14"/>
        <v>#VALUE!</v>
      </c>
      <c r="BC73" s="10" t="e">
        <f t="shared" si="71"/>
        <v>#VALUE!</v>
      </c>
      <c r="BE73" s="10" t="e">
        <f t="shared" si="42"/>
        <v>#VALUE!</v>
      </c>
      <c r="BF73" s="10" t="e">
        <f t="shared" si="72"/>
        <v>#VALUE!</v>
      </c>
      <c r="BG73" s="10" t="e">
        <f t="shared" si="15"/>
        <v>#VALUE!</v>
      </c>
      <c r="BH73" s="10" t="e">
        <f t="shared" si="43"/>
        <v>#VALUE!</v>
      </c>
      <c r="BI73" s="10" t="e">
        <f t="shared" si="44"/>
        <v>#VALUE!</v>
      </c>
      <c r="BJ73" s="10" t="e">
        <f t="shared" si="45"/>
        <v>#VALUE!</v>
      </c>
      <c r="BK73" s="10" t="e">
        <f t="shared" si="73"/>
        <v>#VALUE!</v>
      </c>
      <c r="BL73" s="10" t="e">
        <f t="shared" si="16"/>
        <v>#VALUE!</v>
      </c>
      <c r="BM73" s="10" t="e">
        <f t="shared" si="74"/>
        <v>#VALUE!</v>
      </c>
      <c r="BP73" s="10" t="e">
        <f t="shared" si="46"/>
        <v>#VALUE!</v>
      </c>
      <c r="BQ73" s="10" t="e">
        <f t="shared" si="47"/>
        <v>#VALUE!</v>
      </c>
      <c r="BR73" s="10" t="e">
        <f t="shared" si="48"/>
        <v>#VALUE!</v>
      </c>
      <c r="BS73" s="10" t="e">
        <f t="shared" si="49"/>
        <v>#VALUE!</v>
      </c>
      <c r="BT73" s="10" t="e">
        <f t="shared" si="50"/>
        <v>#VALUE!</v>
      </c>
      <c r="BU73" s="10" t="e">
        <f t="shared" si="51"/>
        <v>#VALUE!</v>
      </c>
      <c r="BW73" s="10" t="e">
        <f t="shared" si="52"/>
        <v>#VALUE!</v>
      </c>
      <c r="BX73" s="10" t="e">
        <f t="shared" si="53"/>
        <v>#VALUE!</v>
      </c>
      <c r="BY73" s="10" t="e">
        <f t="shared" si="54"/>
        <v>#VALUE!</v>
      </c>
      <c r="BZ73" s="10" t="e">
        <f t="shared" si="55"/>
        <v>#VALUE!</v>
      </c>
      <c r="CA73" s="10" t="e">
        <f t="shared" si="56"/>
        <v>#VALUE!</v>
      </c>
      <c r="CB73" s="10" t="e">
        <f t="shared" si="57"/>
        <v>#VALUE!</v>
      </c>
      <c r="CD73" s="10" t="e">
        <f>MATCH(INDEX($BP$12:$BU$12,1,MATCH(BP73,$BP$15:$BU$15,0)),结果汇总!$AI$10:$AI$13,0)</f>
        <v>#VALUE!</v>
      </c>
      <c r="CE73" s="10" t="e">
        <f>MATCH(INDEX($BP$12:$BU$12,1,MATCH(BQ73,$BP$15:$BU$15,0)),结果汇总!$AI$10:$AI$13,0)</f>
        <v>#VALUE!</v>
      </c>
      <c r="CF73" s="10" t="e">
        <f>MATCH(INDEX($BP$12:$BU$12,1,MATCH(BR73,$BP$15:$BU$15,0)),结果汇总!$AI$10:$AI$13,0)</f>
        <v>#VALUE!</v>
      </c>
      <c r="CG73" s="10" t="e">
        <f>MATCH(INDEX($BP$12:$BU$12,1,MATCH(BS73,$BP$15:$BU$15,0)),结果汇总!$AI$10:$AI$13,0)</f>
        <v>#VALUE!</v>
      </c>
      <c r="CH73" s="10" t="e">
        <f>MATCH(INDEX($BP$12:$BU$12,1,MATCH(BT73,$BP$15:$BU$15,0)),结果汇总!$AI$10:$AI$13,0)</f>
        <v>#VALUE!</v>
      </c>
      <c r="CI73" s="10" t="e">
        <f>MATCH(INDEX($BP$12:$BU$12,1,MATCH(BU73,$BP$15:$BU$15,0)),结果汇总!$AI$10:$AI$13,0)</f>
        <v>#VALUE!</v>
      </c>
      <c r="CK73" s="10">
        <f t="shared" si="75"/>
        <v>0</v>
      </c>
      <c r="CL73" s="10">
        <f t="shared" si="75"/>
        <v>0</v>
      </c>
      <c r="CM73" s="10">
        <f t="shared" si="75"/>
        <v>0</v>
      </c>
      <c r="CN73" s="10">
        <f t="shared" si="75"/>
        <v>0</v>
      </c>
      <c r="CO73" s="10" t="e">
        <f t="shared" si="76"/>
        <v>#DIV/0!</v>
      </c>
      <c r="CP73" s="10" t="e">
        <f t="shared" si="76"/>
        <v>#DIV/0!</v>
      </c>
      <c r="CQ73" s="10" t="e">
        <f t="shared" si="76"/>
        <v>#DIV/0!</v>
      </c>
      <c r="CR73" s="10" t="e">
        <f t="shared" si="76"/>
        <v>#DIV/0!</v>
      </c>
      <c r="CS73" s="10">
        <f t="shared" si="77"/>
        <v>0</v>
      </c>
      <c r="CT73" s="10">
        <f t="shared" si="77"/>
        <v>0</v>
      </c>
      <c r="CU73" s="10">
        <f t="shared" si="77"/>
        <v>0</v>
      </c>
      <c r="CV73" s="10">
        <f t="shared" si="77"/>
        <v>0</v>
      </c>
      <c r="CW73" s="10">
        <f t="shared" si="78"/>
        <v>0</v>
      </c>
      <c r="CX73" s="10">
        <f t="shared" si="78"/>
        <v>0</v>
      </c>
      <c r="CY73" s="10">
        <f t="shared" si="78"/>
        <v>0</v>
      </c>
      <c r="CZ73" s="10">
        <f t="shared" si="78"/>
        <v>0</v>
      </c>
    </row>
    <row r="74" spans="4:104" x14ac:dyDescent="0.15">
      <c r="D74" s="10">
        <v>59</v>
      </c>
      <c r="E74" s="10" t="e">
        <f t="shared" si="21"/>
        <v>#VALUE!</v>
      </c>
      <c r="F74" s="10" t="e">
        <f t="shared" si="1"/>
        <v>#VALUE!</v>
      </c>
      <c r="G74" s="10" t="e">
        <f t="shared" si="2"/>
        <v>#VALUE!</v>
      </c>
      <c r="H74" s="10" t="e">
        <f t="shared" si="22"/>
        <v>#VALUE!</v>
      </c>
      <c r="I74" s="10" t="e">
        <f t="shared" si="3"/>
        <v>#VALUE!</v>
      </c>
      <c r="J74" s="10" t="e">
        <f t="shared" si="23"/>
        <v>#VALUE!</v>
      </c>
      <c r="K74" s="10" t="e">
        <f t="shared" si="4"/>
        <v>#VALUE!</v>
      </c>
      <c r="L74" s="10" t="e">
        <f t="shared" si="5"/>
        <v>#VALUE!</v>
      </c>
      <c r="M74" s="10" t="e">
        <f t="shared" si="24"/>
        <v>#VALUE!</v>
      </c>
      <c r="O74" s="10" t="e">
        <f t="shared" si="25"/>
        <v>#VALUE!</v>
      </c>
      <c r="P74" s="10" t="e">
        <f t="shared" si="6"/>
        <v>#VALUE!</v>
      </c>
      <c r="Q74" s="10" t="e">
        <f t="shared" si="7"/>
        <v>#VALUE!</v>
      </c>
      <c r="R74" s="10" t="e">
        <f t="shared" si="26"/>
        <v>#VALUE!</v>
      </c>
      <c r="S74" s="10" t="e">
        <f t="shared" si="27"/>
        <v>#VALUE!</v>
      </c>
      <c r="T74" s="10" t="e">
        <f t="shared" si="62"/>
        <v>#VALUE!</v>
      </c>
      <c r="U74" s="10" t="e">
        <f t="shared" si="63"/>
        <v>#VALUE!</v>
      </c>
      <c r="V74" s="10" t="e">
        <f t="shared" si="8"/>
        <v>#VALUE!</v>
      </c>
      <c r="W74" s="10" t="e">
        <f t="shared" si="28"/>
        <v>#VALUE!</v>
      </c>
      <c r="Y74" s="10" t="e">
        <f t="shared" si="29"/>
        <v>#VALUE!</v>
      </c>
      <c r="Z74" s="11" t="e">
        <f t="shared" si="30"/>
        <v>#VALUE!</v>
      </c>
      <c r="AA74" s="10" t="e">
        <f t="shared" si="9"/>
        <v>#VALUE!</v>
      </c>
      <c r="AB74" s="10" t="e">
        <f t="shared" si="31"/>
        <v>#VALUE!</v>
      </c>
      <c r="AC74" s="10" t="e">
        <f t="shared" si="32"/>
        <v>#VALUE!</v>
      </c>
      <c r="AD74" s="10" t="e">
        <f t="shared" si="64"/>
        <v>#VALUE!</v>
      </c>
      <c r="AE74" s="10" t="e">
        <f t="shared" si="65"/>
        <v>#VALUE!</v>
      </c>
      <c r="AF74" s="10" t="e">
        <f t="shared" si="10"/>
        <v>#VALUE!</v>
      </c>
      <c r="AG74" s="10" t="e">
        <f t="shared" si="33"/>
        <v>#VALUE!</v>
      </c>
      <c r="AI74" s="13"/>
      <c r="AK74" s="10" t="e">
        <f t="shared" si="34"/>
        <v>#VALUE!</v>
      </c>
      <c r="AL74" s="10" t="e">
        <f t="shared" si="66"/>
        <v>#VALUE!</v>
      </c>
      <c r="AM74" s="10" t="e">
        <f t="shared" si="11"/>
        <v>#VALUE!</v>
      </c>
      <c r="AN74" s="10" t="e">
        <f t="shared" si="35"/>
        <v>#VALUE!</v>
      </c>
      <c r="AO74" s="10" t="e">
        <f t="shared" si="36"/>
        <v>#VALUE!</v>
      </c>
      <c r="AP74" s="10" t="e">
        <f t="shared" si="37"/>
        <v>#VALUE!</v>
      </c>
      <c r="AQ74" s="10" t="e">
        <f t="shared" si="67"/>
        <v>#VALUE!</v>
      </c>
      <c r="AR74" s="10" t="e">
        <f t="shared" si="12"/>
        <v>#VALUE!</v>
      </c>
      <c r="AS74" s="10" t="e">
        <f t="shared" si="68"/>
        <v>#VALUE!</v>
      </c>
      <c r="AU74" s="10" t="e">
        <f t="shared" si="38"/>
        <v>#VALUE!</v>
      </c>
      <c r="AV74" s="10" t="e">
        <f t="shared" si="69"/>
        <v>#VALUE!</v>
      </c>
      <c r="AW74" s="10" t="e">
        <f t="shared" si="13"/>
        <v>#VALUE!</v>
      </c>
      <c r="AX74" s="10" t="e">
        <f t="shared" si="39"/>
        <v>#VALUE!</v>
      </c>
      <c r="AY74" s="10" t="e">
        <f t="shared" si="40"/>
        <v>#VALUE!</v>
      </c>
      <c r="AZ74" s="10" t="e">
        <f t="shared" si="41"/>
        <v>#VALUE!</v>
      </c>
      <c r="BA74" s="10" t="e">
        <f t="shared" si="70"/>
        <v>#VALUE!</v>
      </c>
      <c r="BB74" s="10" t="e">
        <f t="shared" si="14"/>
        <v>#VALUE!</v>
      </c>
      <c r="BC74" s="10" t="e">
        <f t="shared" si="71"/>
        <v>#VALUE!</v>
      </c>
      <c r="BE74" s="10" t="e">
        <f t="shared" si="42"/>
        <v>#VALUE!</v>
      </c>
      <c r="BF74" s="10" t="e">
        <f t="shared" si="72"/>
        <v>#VALUE!</v>
      </c>
      <c r="BG74" s="10" t="e">
        <f t="shared" si="15"/>
        <v>#VALUE!</v>
      </c>
      <c r="BH74" s="10" t="e">
        <f t="shared" si="43"/>
        <v>#VALUE!</v>
      </c>
      <c r="BI74" s="10" t="e">
        <f t="shared" si="44"/>
        <v>#VALUE!</v>
      </c>
      <c r="BJ74" s="10" t="e">
        <f t="shared" si="45"/>
        <v>#VALUE!</v>
      </c>
      <c r="BK74" s="10" t="e">
        <f t="shared" si="73"/>
        <v>#VALUE!</v>
      </c>
      <c r="BL74" s="10" t="e">
        <f t="shared" si="16"/>
        <v>#VALUE!</v>
      </c>
      <c r="BM74" s="10" t="e">
        <f t="shared" si="74"/>
        <v>#VALUE!</v>
      </c>
      <c r="BP74" s="10" t="e">
        <f t="shared" si="46"/>
        <v>#VALUE!</v>
      </c>
      <c r="BQ74" s="10" t="e">
        <f t="shared" si="47"/>
        <v>#VALUE!</v>
      </c>
      <c r="BR74" s="10" t="e">
        <f t="shared" si="48"/>
        <v>#VALUE!</v>
      </c>
      <c r="BS74" s="10" t="e">
        <f t="shared" si="49"/>
        <v>#VALUE!</v>
      </c>
      <c r="BT74" s="10" t="e">
        <f t="shared" si="50"/>
        <v>#VALUE!</v>
      </c>
      <c r="BU74" s="10" t="e">
        <f t="shared" si="51"/>
        <v>#VALUE!</v>
      </c>
      <c r="BW74" s="10" t="e">
        <f t="shared" si="52"/>
        <v>#VALUE!</v>
      </c>
      <c r="BX74" s="10" t="e">
        <f t="shared" si="53"/>
        <v>#VALUE!</v>
      </c>
      <c r="BY74" s="10" t="e">
        <f t="shared" si="54"/>
        <v>#VALUE!</v>
      </c>
      <c r="BZ74" s="10" t="e">
        <f t="shared" si="55"/>
        <v>#VALUE!</v>
      </c>
      <c r="CA74" s="10" t="e">
        <f t="shared" si="56"/>
        <v>#VALUE!</v>
      </c>
      <c r="CB74" s="10" t="e">
        <f t="shared" si="57"/>
        <v>#VALUE!</v>
      </c>
      <c r="CD74" s="10" t="e">
        <f>MATCH(INDEX($BP$12:$BU$12,1,MATCH(BP74,$BP$15:$BU$15,0)),结果汇总!$AI$10:$AI$13,0)</f>
        <v>#VALUE!</v>
      </c>
      <c r="CE74" s="10" t="e">
        <f>MATCH(INDEX($BP$12:$BU$12,1,MATCH(BQ74,$BP$15:$BU$15,0)),结果汇总!$AI$10:$AI$13,0)</f>
        <v>#VALUE!</v>
      </c>
      <c r="CF74" s="10" t="e">
        <f>MATCH(INDEX($BP$12:$BU$12,1,MATCH(BR74,$BP$15:$BU$15,0)),结果汇总!$AI$10:$AI$13,0)</f>
        <v>#VALUE!</v>
      </c>
      <c r="CG74" s="10" t="e">
        <f>MATCH(INDEX($BP$12:$BU$12,1,MATCH(BS74,$BP$15:$BU$15,0)),结果汇总!$AI$10:$AI$13,0)</f>
        <v>#VALUE!</v>
      </c>
      <c r="CH74" s="10" t="e">
        <f>MATCH(INDEX($BP$12:$BU$12,1,MATCH(BT74,$BP$15:$BU$15,0)),结果汇总!$AI$10:$AI$13,0)</f>
        <v>#VALUE!</v>
      </c>
      <c r="CI74" s="10" t="e">
        <f>MATCH(INDEX($BP$12:$BU$12,1,MATCH(BU74,$BP$15:$BU$15,0)),结果汇总!$AI$10:$AI$13,0)</f>
        <v>#VALUE!</v>
      </c>
      <c r="CK74" s="10">
        <f t="shared" si="75"/>
        <v>0</v>
      </c>
      <c r="CL74" s="10">
        <f t="shared" si="75"/>
        <v>0</v>
      </c>
      <c r="CM74" s="10">
        <f t="shared" si="75"/>
        <v>0</v>
      </c>
      <c r="CN74" s="10">
        <f t="shared" si="75"/>
        <v>0</v>
      </c>
      <c r="CO74" s="10" t="e">
        <f t="shared" si="76"/>
        <v>#DIV/0!</v>
      </c>
      <c r="CP74" s="10" t="e">
        <f t="shared" si="76"/>
        <v>#DIV/0!</v>
      </c>
      <c r="CQ74" s="10" t="e">
        <f t="shared" si="76"/>
        <v>#DIV/0!</v>
      </c>
      <c r="CR74" s="10" t="e">
        <f t="shared" si="76"/>
        <v>#DIV/0!</v>
      </c>
      <c r="CS74" s="10">
        <f t="shared" si="77"/>
        <v>0</v>
      </c>
      <c r="CT74" s="10">
        <f t="shared" si="77"/>
        <v>0</v>
      </c>
      <c r="CU74" s="10">
        <f t="shared" si="77"/>
        <v>0</v>
      </c>
      <c r="CV74" s="10">
        <f t="shared" si="77"/>
        <v>0</v>
      </c>
      <c r="CW74" s="10">
        <f t="shared" si="78"/>
        <v>0</v>
      </c>
      <c r="CX74" s="10">
        <f t="shared" si="78"/>
        <v>0</v>
      </c>
      <c r="CY74" s="10">
        <f t="shared" si="78"/>
        <v>0</v>
      </c>
      <c r="CZ74" s="10">
        <f t="shared" si="78"/>
        <v>0</v>
      </c>
    </row>
    <row r="75" spans="4:104" x14ac:dyDescent="0.15">
      <c r="D75" s="10">
        <v>60</v>
      </c>
      <c r="E75" s="10" t="e">
        <f t="shared" si="21"/>
        <v>#VALUE!</v>
      </c>
      <c r="F75" s="10" t="e">
        <f t="shared" si="1"/>
        <v>#VALUE!</v>
      </c>
      <c r="G75" s="10" t="e">
        <f t="shared" si="2"/>
        <v>#VALUE!</v>
      </c>
      <c r="H75" s="10" t="e">
        <f t="shared" si="22"/>
        <v>#VALUE!</v>
      </c>
      <c r="I75" s="10" t="e">
        <f t="shared" si="3"/>
        <v>#VALUE!</v>
      </c>
      <c r="J75" s="10" t="e">
        <f t="shared" si="23"/>
        <v>#VALUE!</v>
      </c>
      <c r="K75" s="10" t="e">
        <f t="shared" si="4"/>
        <v>#VALUE!</v>
      </c>
      <c r="L75" s="10" t="e">
        <f t="shared" si="5"/>
        <v>#VALUE!</v>
      </c>
      <c r="M75" s="10" t="e">
        <f t="shared" si="24"/>
        <v>#VALUE!</v>
      </c>
      <c r="O75" s="10" t="e">
        <f t="shared" si="25"/>
        <v>#VALUE!</v>
      </c>
      <c r="P75" s="10" t="e">
        <f t="shared" si="6"/>
        <v>#VALUE!</v>
      </c>
      <c r="Q75" s="10" t="e">
        <f t="shared" si="7"/>
        <v>#VALUE!</v>
      </c>
      <c r="R75" s="10" t="e">
        <f t="shared" si="26"/>
        <v>#VALUE!</v>
      </c>
      <c r="S75" s="10" t="e">
        <f t="shared" si="27"/>
        <v>#VALUE!</v>
      </c>
      <c r="T75" s="10" t="e">
        <f t="shared" si="62"/>
        <v>#VALUE!</v>
      </c>
      <c r="U75" s="10" t="e">
        <f t="shared" si="63"/>
        <v>#VALUE!</v>
      </c>
      <c r="V75" s="10" t="e">
        <f t="shared" si="8"/>
        <v>#VALUE!</v>
      </c>
      <c r="W75" s="10" t="e">
        <f t="shared" si="28"/>
        <v>#VALUE!</v>
      </c>
      <c r="Y75" s="10" t="e">
        <f t="shared" si="29"/>
        <v>#VALUE!</v>
      </c>
      <c r="Z75" s="11" t="e">
        <f t="shared" si="30"/>
        <v>#VALUE!</v>
      </c>
      <c r="AA75" s="10" t="e">
        <f t="shared" si="9"/>
        <v>#VALUE!</v>
      </c>
      <c r="AB75" s="10" t="e">
        <f t="shared" si="31"/>
        <v>#VALUE!</v>
      </c>
      <c r="AC75" s="10" t="e">
        <f t="shared" si="32"/>
        <v>#VALUE!</v>
      </c>
      <c r="AD75" s="10" t="e">
        <f t="shared" si="64"/>
        <v>#VALUE!</v>
      </c>
      <c r="AE75" s="10" t="e">
        <f t="shared" si="65"/>
        <v>#VALUE!</v>
      </c>
      <c r="AF75" s="10" t="e">
        <f t="shared" si="10"/>
        <v>#VALUE!</v>
      </c>
      <c r="AG75" s="10" t="e">
        <f t="shared" si="33"/>
        <v>#VALUE!</v>
      </c>
      <c r="AI75" s="13"/>
      <c r="AK75" s="10" t="e">
        <f t="shared" si="34"/>
        <v>#VALUE!</v>
      </c>
      <c r="AL75" s="10" t="e">
        <f t="shared" si="66"/>
        <v>#VALUE!</v>
      </c>
      <c r="AM75" s="10" t="e">
        <f t="shared" si="11"/>
        <v>#VALUE!</v>
      </c>
      <c r="AN75" s="10" t="e">
        <f t="shared" si="35"/>
        <v>#VALUE!</v>
      </c>
      <c r="AO75" s="10" t="e">
        <f t="shared" si="36"/>
        <v>#VALUE!</v>
      </c>
      <c r="AP75" s="10" t="e">
        <f t="shared" si="37"/>
        <v>#VALUE!</v>
      </c>
      <c r="AQ75" s="10" t="e">
        <f t="shared" si="67"/>
        <v>#VALUE!</v>
      </c>
      <c r="AR75" s="10" t="e">
        <f t="shared" si="12"/>
        <v>#VALUE!</v>
      </c>
      <c r="AS75" s="10" t="e">
        <f t="shared" si="68"/>
        <v>#VALUE!</v>
      </c>
      <c r="AU75" s="10" t="e">
        <f t="shared" si="38"/>
        <v>#VALUE!</v>
      </c>
      <c r="AV75" s="10" t="e">
        <f t="shared" si="69"/>
        <v>#VALUE!</v>
      </c>
      <c r="AW75" s="10" t="e">
        <f t="shared" si="13"/>
        <v>#VALUE!</v>
      </c>
      <c r="AX75" s="10" t="e">
        <f t="shared" si="39"/>
        <v>#VALUE!</v>
      </c>
      <c r="AY75" s="10" t="e">
        <f t="shared" si="40"/>
        <v>#VALUE!</v>
      </c>
      <c r="AZ75" s="10" t="e">
        <f t="shared" si="41"/>
        <v>#VALUE!</v>
      </c>
      <c r="BA75" s="10" t="e">
        <f t="shared" si="70"/>
        <v>#VALUE!</v>
      </c>
      <c r="BB75" s="10" t="e">
        <f t="shared" si="14"/>
        <v>#VALUE!</v>
      </c>
      <c r="BC75" s="10" t="e">
        <f t="shared" si="71"/>
        <v>#VALUE!</v>
      </c>
      <c r="BE75" s="10" t="e">
        <f t="shared" si="42"/>
        <v>#VALUE!</v>
      </c>
      <c r="BF75" s="10" t="e">
        <f t="shared" si="72"/>
        <v>#VALUE!</v>
      </c>
      <c r="BG75" s="10" t="e">
        <f t="shared" si="15"/>
        <v>#VALUE!</v>
      </c>
      <c r="BH75" s="10" t="e">
        <f t="shared" si="43"/>
        <v>#VALUE!</v>
      </c>
      <c r="BI75" s="10" t="e">
        <f t="shared" si="44"/>
        <v>#VALUE!</v>
      </c>
      <c r="BJ75" s="10" t="e">
        <f t="shared" si="45"/>
        <v>#VALUE!</v>
      </c>
      <c r="BK75" s="10" t="e">
        <f t="shared" si="73"/>
        <v>#VALUE!</v>
      </c>
      <c r="BL75" s="10" t="e">
        <f t="shared" si="16"/>
        <v>#VALUE!</v>
      </c>
      <c r="BM75" s="10" t="e">
        <f t="shared" si="74"/>
        <v>#VALUE!</v>
      </c>
      <c r="BP75" s="10" t="e">
        <f t="shared" si="46"/>
        <v>#VALUE!</v>
      </c>
      <c r="BQ75" s="10" t="e">
        <f t="shared" si="47"/>
        <v>#VALUE!</v>
      </c>
      <c r="BR75" s="10" t="e">
        <f t="shared" si="48"/>
        <v>#VALUE!</v>
      </c>
      <c r="BS75" s="10" t="e">
        <f t="shared" si="49"/>
        <v>#VALUE!</v>
      </c>
      <c r="BT75" s="10" t="e">
        <f t="shared" si="50"/>
        <v>#VALUE!</v>
      </c>
      <c r="BU75" s="10" t="e">
        <f t="shared" si="51"/>
        <v>#VALUE!</v>
      </c>
      <c r="BW75" s="10" t="e">
        <f t="shared" si="52"/>
        <v>#VALUE!</v>
      </c>
      <c r="BX75" s="10" t="e">
        <f t="shared" si="53"/>
        <v>#VALUE!</v>
      </c>
      <c r="BY75" s="10" t="e">
        <f t="shared" si="54"/>
        <v>#VALUE!</v>
      </c>
      <c r="BZ75" s="10" t="e">
        <f t="shared" si="55"/>
        <v>#VALUE!</v>
      </c>
      <c r="CA75" s="10" t="e">
        <f t="shared" si="56"/>
        <v>#VALUE!</v>
      </c>
      <c r="CB75" s="10" t="e">
        <f t="shared" si="57"/>
        <v>#VALUE!</v>
      </c>
      <c r="CD75" s="10" t="e">
        <f>MATCH(INDEX($BP$12:$BU$12,1,MATCH(BP75,$BP$15:$BU$15,0)),结果汇总!$AI$10:$AI$13,0)</f>
        <v>#VALUE!</v>
      </c>
      <c r="CE75" s="10" t="e">
        <f>MATCH(INDEX($BP$12:$BU$12,1,MATCH(BQ75,$BP$15:$BU$15,0)),结果汇总!$AI$10:$AI$13,0)</f>
        <v>#VALUE!</v>
      </c>
      <c r="CF75" s="10" t="e">
        <f>MATCH(INDEX($BP$12:$BU$12,1,MATCH(BR75,$BP$15:$BU$15,0)),结果汇总!$AI$10:$AI$13,0)</f>
        <v>#VALUE!</v>
      </c>
      <c r="CG75" s="10" t="e">
        <f>MATCH(INDEX($BP$12:$BU$12,1,MATCH(BS75,$BP$15:$BU$15,0)),结果汇总!$AI$10:$AI$13,0)</f>
        <v>#VALUE!</v>
      </c>
      <c r="CH75" s="10" t="e">
        <f>MATCH(INDEX($BP$12:$BU$12,1,MATCH(BT75,$BP$15:$BU$15,0)),结果汇总!$AI$10:$AI$13,0)</f>
        <v>#VALUE!</v>
      </c>
      <c r="CI75" s="10" t="e">
        <f>MATCH(INDEX($BP$12:$BU$12,1,MATCH(BU75,$BP$15:$BU$15,0)),结果汇总!$AI$10:$AI$13,0)</f>
        <v>#VALUE!</v>
      </c>
      <c r="CK75" s="10">
        <f t="shared" si="75"/>
        <v>0</v>
      </c>
      <c r="CL75" s="10">
        <f t="shared" si="75"/>
        <v>0</v>
      </c>
      <c r="CM75" s="10">
        <f t="shared" si="75"/>
        <v>0</v>
      </c>
      <c r="CN75" s="10">
        <f t="shared" si="75"/>
        <v>0</v>
      </c>
      <c r="CO75" s="10" t="e">
        <f t="shared" si="76"/>
        <v>#DIV/0!</v>
      </c>
      <c r="CP75" s="10" t="e">
        <f t="shared" si="76"/>
        <v>#DIV/0!</v>
      </c>
      <c r="CQ75" s="10" t="e">
        <f t="shared" si="76"/>
        <v>#DIV/0!</v>
      </c>
      <c r="CR75" s="10" t="e">
        <f t="shared" si="76"/>
        <v>#DIV/0!</v>
      </c>
      <c r="CS75" s="10">
        <f t="shared" si="77"/>
        <v>0</v>
      </c>
      <c r="CT75" s="10">
        <f t="shared" si="77"/>
        <v>0</v>
      </c>
      <c r="CU75" s="10">
        <f t="shared" si="77"/>
        <v>0</v>
      </c>
      <c r="CV75" s="10">
        <f t="shared" si="77"/>
        <v>0</v>
      </c>
      <c r="CW75" s="10">
        <f t="shared" si="78"/>
        <v>0</v>
      </c>
      <c r="CX75" s="10">
        <f t="shared" si="78"/>
        <v>0</v>
      </c>
      <c r="CY75" s="10">
        <f t="shared" si="78"/>
        <v>0</v>
      </c>
      <c r="CZ75" s="10">
        <f t="shared" si="78"/>
        <v>0</v>
      </c>
    </row>
    <row r="76" spans="4:104" x14ac:dyDescent="0.15">
      <c r="D76" s="10">
        <v>61</v>
      </c>
      <c r="E76" s="10" t="e">
        <f t="shared" si="21"/>
        <v>#VALUE!</v>
      </c>
      <c r="F76" s="10" t="e">
        <f t="shared" si="1"/>
        <v>#VALUE!</v>
      </c>
      <c r="G76" s="10" t="e">
        <f t="shared" si="2"/>
        <v>#VALUE!</v>
      </c>
      <c r="H76" s="10" t="e">
        <f t="shared" si="22"/>
        <v>#VALUE!</v>
      </c>
      <c r="I76" s="10" t="e">
        <f t="shared" si="3"/>
        <v>#VALUE!</v>
      </c>
      <c r="J76" s="10" t="e">
        <f t="shared" si="23"/>
        <v>#VALUE!</v>
      </c>
      <c r="K76" s="10" t="e">
        <f t="shared" si="4"/>
        <v>#VALUE!</v>
      </c>
      <c r="L76" s="10" t="e">
        <f t="shared" si="5"/>
        <v>#VALUE!</v>
      </c>
      <c r="M76" s="10" t="e">
        <f t="shared" si="24"/>
        <v>#VALUE!</v>
      </c>
      <c r="O76" s="10" t="e">
        <f t="shared" si="25"/>
        <v>#VALUE!</v>
      </c>
      <c r="P76" s="10" t="e">
        <f t="shared" si="6"/>
        <v>#VALUE!</v>
      </c>
      <c r="Q76" s="10" t="e">
        <f t="shared" si="7"/>
        <v>#VALUE!</v>
      </c>
      <c r="R76" s="10" t="e">
        <f t="shared" si="26"/>
        <v>#VALUE!</v>
      </c>
      <c r="S76" s="10" t="e">
        <f t="shared" si="27"/>
        <v>#VALUE!</v>
      </c>
      <c r="T76" s="10" t="e">
        <f t="shared" si="62"/>
        <v>#VALUE!</v>
      </c>
      <c r="U76" s="10" t="e">
        <f t="shared" si="63"/>
        <v>#VALUE!</v>
      </c>
      <c r="V76" s="10" t="e">
        <f t="shared" si="8"/>
        <v>#VALUE!</v>
      </c>
      <c r="W76" s="10" t="e">
        <f t="shared" si="28"/>
        <v>#VALUE!</v>
      </c>
      <c r="Y76" s="10" t="e">
        <f t="shared" si="29"/>
        <v>#VALUE!</v>
      </c>
      <c r="Z76" s="11" t="e">
        <f t="shared" si="30"/>
        <v>#VALUE!</v>
      </c>
      <c r="AA76" s="10" t="e">
        <f t="shared" si="9"/>
        <v>#VALUE!</v>
      </c>
      <c r="AB76" s="10" t="e">
        <f t="shared" si="31"/>
        <v>#VALUE!</v>
      </c>
      <c r="AC76" s="10" t="e">
        <f t="shared" si="32"/>
        <v>#VALUE!</v>
      </c>
      <c r="AD76" s="10" t="e">
        <f t="shared" si="64"/>
        <v>#VALUE!</v>
      </c>
      <c r="AE76" s="10" t="e">
        <f t="shared" si="65"/>
        <v>#VALUE!</v>
      </c>
      <c r="AF76" s="10" t="e">
        <f t="shared" si="10"/>
        <v>#VALUE!</v>
      </c>
      <c r="AG76" s="10" t="e">
        <f t="shared" si="33"/>
        <v>#VALUE!</v>
      </c>
      <c r="AI76" s="13"/>
      <c r="AK76" s="10" t="e">
        <f t="shared" si="34"/>
        <v>#VALUE!</v>
      </c>
      <c r="AL76" s="10" t="e">
        <f t="shared" si="66"/>
        <v>#VALUE!</v>
      </c>
      <c r="AM76" s="10" t="e">
        <f t="shared" si="11"/>
        <v>#VALUE!</v>
      </c>
      <c r="AN76" s="10" t="e">
        <f t="shared" si="35"/>
        <v>#VALUE!</v>
      </c>
      <c r="AO76" s="10" t="e">
        <f t="shared" si="36"/>
        <v>#VALUE!</v>
      </c>
      <c r="AP76" s="10" t="e">
        <f t="shared" si="37"/>
        <v>#VALUE!</v>
      </c>
      <c r="AQ76" s="10" t="e">
        <f t="shared" si="67"/>
        <v>#VALUE!</v>
      </c>
      <c r="AR76" s="10" t="e">
        <f t="shared" si="12"/>
        <v>#VALUE!</v>
      </c>
      <c r="AS76" s="10" t="e">
        <f t="shared" si="68"/>
        <v>#VALUE!</v>
      </c>
      <c r="AU76" s="10" t="e">
        <f t="shared" si="38"/>
        <v>#VALUE!</v>
      </c>
      <c r="AV76" s="10" t="e">
        <f t="shared" si="69"/>
        <v>#VALUE!</v>
      </c>
      <c r="AW76" s="10" t="e">
        <f t="shared" si="13"/>
        <v>#VALUE!</v>
      </c>
      <c r="AX76" s="10" t="e">
        <f t="shared" si="39"/>
        <v>#VALUE!</v>
      </c>
      <c r="AY76" s="10" t="e">
        <f t="shared" si="40"/>
        <v>#VALUE!</v>
      </c>
      <c r="AZ76" s="10" t="e">
        <f t="shared" si="41"/>
        <v>#VALUE!</v>
      </c>
      <c r="BA76" s="10" t="e">
        <f t="shared" si="70"/>
        <v>#VALUE!</v>
      </c>
      <c r="BB76" s="10" t="e">
        <f t="shared" si="14"/>
        <v>#VALUE!</v>
      </c>
      <c r="BC76" s="10" t="e">
        <f t="shared" si="71"/>
        <v>#VALUE!</v>
      </c>
      <c r="BE76" s="10" t="e">
        <f t="shared" si="42"/>
        <v>#VALUE!</v>
      </c>
      <c r="BF76" s="10" t="e">
        <f t="shared" si="72"/>
        <v>#VALUE!</v>
      </c>
      <c r="BG76" s="10" t="e">
        <f t="shared" si="15"/>
        <v>#VALUE!</v>
      </c>
      <c r="BH76" s="10" t="e">
        <f t="shared" si="43"/>
        <v>#VALUE!</v>
      </c>
      <c r="BI76" s="10" t="e">
        <f t="shared" si="44"/>
        <v>#VALUE!</v>
      </c>
      <c r="BJ76" s="10" t="e">
        <f t="shared" si="45"/>
        <v>#VALUE!</v>
      </c>
      <c r="BK76" s="10" t="e">
        <f t="shared" si="73"/>
        <v>#VALUE!</v>
      </c>
      <c r="BL76" s="10" t="e">
        <f t="shared" si="16"/>
        <v>#VALUE!</v>
      </c>
      <c r="BM76" s="10" t="e">
        <f t="shared" si="74"/>
        <v>#VALUE!</v>
      </c>
      <c r="BP76" s="10" t="e">
        <f t="shared" si="46"/>
        <v>#VALUE!</v>
      </c>
      <c r="BQ76" s="10" t="e">
        <f t="shared" si="47"/>
        <v>#VALUE!</v>
      </c>
      <c r="BR76" s="10" t="e">
        <f t="shared" si="48"/>
        <v>#VALUE!</v>
      </c>
      <c r="BS76" s="10" t="e">
        <f t="shared" si="49"/>
        <v>#VALUE!</v>
      </c>
      <c r="BT76" s="10" t="e">
        <f t="shared" si="50"/>
        <v>#VALUE!</v>
      </c>
      <c r="BU76" s="10" t="e">
        <f t="shared" si="51"/>
        <v>#VALUE!</v>
      </c>
      <c r="BW76" s="10" t="e">
        <f t="shared" si="52"/>
        <v>#VALUE!</v>
      </c>
      <c r="BX76" s="10" t="e">
        <f t="shared" si="53"/>
        <v>#VALUE!</v>
      </c>
      <c r="BY76" s="10" t="e">
        <f t="shared" si="54"/>
        <v>#VALUE!</v>
      </c>
      <c r="BZ76" s="10" t="e">
        <f t="shared" si="55"/>
        <v>#VALUE!</v>
      </c>
      <c r="CA76" s="10" t="e">
        <f t="shared" si="56"/>
        <v>#VALUE!</v>
      </c>
      <c r="CB76" s="10" t="e">
        <f t="shared" si="57"/>
        <v>#VALUE!</v>
      </c>
      <c r="CD76" s="10" t="e">
        <f>MATCH(INDEX($BP$12:$BU$12,1,MATCH(BP76,$BP$15:$BU$15,0)),结果汇总!$AI$10:$AI$13,0)</f>
        <v>#VALUE!</v>
      </c>
      <c r="CE76" s="10" t="e">
        <f>MATCH(INDEX($BP$12:$BU$12,1,MATCH(BQ76,$BP$15:$BU$15,0)),结果汇总!$AI$10:$AI$13,0)</f>
        <v>#VALUE!</v>
      </c>
      <c r="CF76" s="10" t="e">
        <f>MATCH(INDEX($BP$12:$BU$12,1,MATCH(BR76,$BP$15:$BU$15,0)),结果汇总!$AI$10:$AI$13,0)</f>
        <v>#VALUE!</v>
      </c>
      <c r="CG76" s="10" t="e">
        <f>MATCH(INDEX($BP$12:$BU$12,1,MATCH(BS76,$BP$15:$BU$15,0)),结果汇总!$AI$10:$AI$13,0)</f>
        <v>#VALUE!</v>
      </c>
      <c r="CH76" s="10" t="e">
        <f>MATCH(INDEX($BP$12:$BU$12,1,MATCH(BT76,$BP$15:$BU$15,0)),结果汇总!$AI$10:$AI$13,0)</f>
        <v>#VALUE!</v>
      </c>
      <c r="CI76" s="10" t="e">
        <f>MATCH(INDEX($BP$12:$BU$12,1,MATCH(BU76,$BP$15:$BU$15,0)),结果汇总!$AI$10:$AI$13,0)</f>
        <v>#VALUE!</v>
      </c>
      <c r="CK76" s="10">
        <f t="shared" si="75"/>
        <v>0</v>
      </c>
      <c r="CL76" s="10">
        <f t="shared" si="75"/>
        <v>0</v>
      </c>
      <c r="CM76" s="10">
        <f t="shared" si="75"/>
        <v>0</v>
      </c>
      <c r="CN76" s="10">
        <f t="shared" si="75"/>
        <v>0</v>
      </c>
      <c r="CO76" s="10" t="e">
        <f t="shared" si="76"/>
        <v>#DIV/0!</v>
      </c>
      <c r="CP76" s="10" t="e">
        <f t="shared" si="76"/>
        <v>#DIV/0!</v>
      </c>
      <c r="CQ76" s="10" t="e">
        <f t="shared" si="76"/>
        <v>#DIV/0!</v>
      </c>
      <c r="CR76" s="10" t="e">
        <f t="shared" si="76"/>
        <v>#DIV/0!</v>
      </c>
      <c r="CS76" s="10">
        <f t="shared" si="77"/>
        <v>0</v>
      </c>
      <c r="CT76" s="10">
        <f t="shared" si="77"/>
        <v>0</v>
      </c>
      <c r="CU76" s="10">
        <f t="shared" si="77"/>
        <v>0</v>
      </c>
      <c r="CV76" s="10">
        <f t="shared" si="77"/>
        <v>0</v>
      </c>
      <c r="CW76" s="10">
        <f t="shared" si="78"/>
        <v>0</v>
      </c>
      <c r="CX76" s="10">
        <f t="shared" si="78"/>
        <v>0</v>
      </c>
      <c r="CY76" s="10">
        <f t="shared" si="78"/>
        <v>0</v>
      </c>
      <c r="CZ76" s="10">
        <f t="shared" si="78"/>
        <v>0</v>
      </c>
    </row>
    <row r="77" spans="4:104" x14ac:dyDescent="0.15">
      <c r="D77" s="10">
        <v>62</v>
      </c>
      <c r="E77" s="10" t="e">
        <f t="shared" si="21"/>
        <v>#VALUE!</v>
      </c>
      <c r="F77" s="10" t="e">
        <f t="shared" si="1"/>
        <v>#VALUE!</v>
      </c>
      <c r="G77" s="10" t="e">
        <f t="shared" si="2"/>
        <v>#VALUE!</v>
      </c>
      <c r="H77" s="10" t="e">
        <f t="shared" si="22"/>
        <v>#VALUE!</v>
      </c>
      <c r="I77" s="10" t="e">
        <f t="shared" si="3"/>
        <v>#VALUE!</v>
      </c>
      <c r="J77" s="10" t="e">
        <f t="shared" si="23"/>
        <v>#VALUE!</v>
      </c>
      <c r="K77" s="10" t="e">
        <f t="shared" si="4"/>
        <v>#VALUE!</v>
      </c>
      <c r="L77" s="10" t="e">
        <f t="shared" si="5"/>
        <v>#VALUE!</v>
      </c>
      <c r="M77" s="10" t="e">
        <f t="shared" si="24"/>
        <v>#VALUE!</v>
      </c>
      <c r="O77" s="10" t="e">
        <f t="shared" si="25"/>
        <v>#VALUE!</v>
      </c>
      <c r="P77" s="10" t="e">
        <f t="shared" si="6"/>
        <v>#VALUE!</v>
      </c>
      <c r="Q77" s="10" t="e">
        <f t="shared" si="7"/>
        <v>#VALUE!</v>
      </c>
      <c r="R77" s="10" t="e">
        <f t="shared" si="26"/>
        <v>#VALUE!</v>
      </c>
      <c r="S77" s="10" t="e">
        <f t="shared" si="27"/>
        <v>#VALUE!</v>
      </c>
      <c r="T77" s="10" t="e">
        <f t="shared" si="62"/>
        <v>#VALUE!</v>
      </c>
      <c r="U77" s="10" t="e">
        <f t="shared" si="63"/>
        <v>#VALUE!</v>
      </c>
      <c r="V77" s="10" t="e">
        <f t="shared" si="8"/>
        <v>#VALUE!</v>
      </c>
      <c r="W77" s="10" t="e">
        <f t="shared" si="28"/>
        <v>#VALUE!</v>
      </c>
      <c r="Y77" s="10" t="e">
        <f t="shared" si="29"/>
        <v>#VALUE!</v>
      </c>
      <c r="Z77" s="11" t="e">
        <f t="shared" si="30"/>
        <v>#VALUE!</v>
      </c>
      <c r="AA77" s="10" t="e">
        <f t="shared" si="9"/>
        <v>#VALUE!</v>
      </c>
      <c r="AB77" s="10" t="e">
        <f t="shared" si="31"/>
        <v>#VALUE!</v>
      </c>
      <c r="AC77" s="10" t="e">
        <f t="shared" si="32"/>
        <v>#VALUE!</v>
      </c>
      <c r="AD77" s="10" t="e">
        <f t="shared" si="64"/>
        <v>#VALUE!</v>
      </c>
      <c r="AE77" s="10" t="e">
        <f t="shared" si="65"/>
        <v>#VALUE!</v>
      </c>
      <c r="AF77" s="10" t="e">
        <f t="shared" si="10"/>
        <v>#VALUE!</v>
      </c>
      <c r="AG77" s="10" t="e">
        <f t="shared" si="33"/>
        <v>#VALUE!</v>
      </c>
      <c r="AI77" s="13"/>
      <c r="AK77" s="10" t="e">
        <f t="shared" si="34"/>
        <v>#VALUE!</v>
      </c>
      <c r="AL77" s="10" t="e">
        <f t="shared" si="66"/>
        <v>#VALUE!</v>
      </c>
      <c r="AM77" s="10" t="e">
        <f t="shared" si="11"/>
        <v>#VALUE!</v>
      </c>
      <c r="AN77" s="10" t="e">
        <f t="shared" si="35"/>
        <v>#VALUE!</v>
      </c>
      <c r="AO77" s="10" t="e">
        <f t="shared" si="36"/>
        <v>#VALUE!</v>
      </c>
      <c r="AP77" s="10" t="e">
        <f t="shared" si="37"/>
        <v>#VALUE!</v>
      </c>
      <c r="AQ77" s="10" t="e">
        <f t="shared" si="67"/>
        <v>#VALUE!</v>
      </c>
      <c r="AR77" s="10" t="e">
        <f t="shared" si="12"/>
        <v>#VALUE!</v>
      </c>
      <c r="AS77" s="10" t="e">
        <f t="shared" si="68"/>
        <v>#VALUE!</v>
      </c>
      <c r="AU77" s="10" t="e">
        <f t="shared" si="38"/>
        <v>#VALUE!</v>
      </c>
      <c r="AV77" s="10" t="e">
        <f t="shared" si="69"/>
        <v>#VALUE!</v>
      </c>
      <c r="AW77" s="10" t="e">
        <f t="shared" si="13"/>
        <v>#VALUE!</v>
      </c>
      <c r="AX77" s="10" t="e">
        <f t="shared" si="39"/>
        <v>#VALUE!</v>
      </c>
      <c r="AY77" s="10" t="e">
        <f t="shared" si="40"/>
        <v>#VALUE!</v>
      </c>
      <c r="AZ77" s="10" t="e">
        <f t="shared" si="41"/>
        <v>#VALUE!</v>
      </c>
      <c r="BA77" s="10" t="e">
        <f t="shared" si="70"/>
        <v>#VALUE!</v>
      </c>
      <c r="BB77" s="10" t="e">
        <f t="shared" si="14"/>
        <v>#VALUE!</v>
      </c>
      <c r="BC77" s="10" t="e">
        <f t="shared" si="71"/>
        <v>#VALUE!</v>
      </c>
      <c r="BE77" s="10" t="e">
        <f t="shared" si="42"/>
        <v>#VALUE!</v>
      </c>
      <c r="BF77" s="10" t="e">
        <f t="shared" si="72"/>
        <v>#VALUE!</v>
      </c>
      <c r="BG77" s="10" t="e">
        <f t="shared" si="15"/>
        <v>#VALUE!</v>
      </c>
      <c r="BH77" s="10" t="e">
        <f t="shared" si="43"/>
        <v>#VALUE!</v>
      </c>
      <c r="BI77" s="10" t="e">
        <f t="shared" si="44"/>
        <v>#VALUE!</v>
      </c>
      <c r="BJ77" s="10" t="e">
        <f t="shared" si="45"/>
        <v>#VALUE!</v>
      </c>
      <c r="BK77" s="10" t="e">
        <f t="shared" si="73"/>
        <v>#VALUE!</v>
      </c>
      <c r="BL77" s="10" t="e">
        <f t="shared" si="16"/>
        <v>#VALUE!</v>
      </c>
      <c r="BM77" s="10" t="e">
        <f t="shared" si="74"/>
        <v>#VALUE!</v>
      </c>
      <c r="BP77" s="10" t="e">
        <f t="shared" si="46"/>
        <v>#VALUE!</v>
      </c>
      <c r="BQ77" s="10" t="e">
        <f t="shared" si="47"/>
        <v>#VALUE!</v>
      </c>
      <c r="BR77" s="10" t="e">
        <f t="shared" si="48"/>
        <v>#VALUE!</v>
      </c>
      <c r="BS77" s="10" t="e">
        <f t="shared" si="49"/>
        <v>#VALUE!</v>
      </c>
      <c r="BT77" s="10" t="e">
        <f t="shared" si="50"/>
        <v>#VALUE!</v>
      </c>
      <c r="BU77" s="10" t="e">
        <f t="shared" si="51"/>
        <v>#VALUE!</v>
      </c>
      <c r="BW77" s="10" t="e">
        <f t="shared" si="52"/>
        <v>#VALUE!</v>
      </c>
      <c r="BX77" s="10" t="e">
        <f t="shared" si="53"/>
        <v>#VALUE!</v>
      </c>
      <c r="BY77" s="10" t="e">
        <f t="shared" si="54"/>
        <v>#VALUE!</v>
      </c>
      <c r="BZ77" s="10" t="e">
        <f t="shared" si="55"/>
        <v>#VALUE!</v>
      </c>
      <c r="CA77" s="10" t="e">
        <f t="shared" si="56"/>
        <v>#VALUE!</v>
      </c>
      <c r="CB77" s="10" t="e">
        <f t="shared" si="57"/>
        <v>#VALUE!</v>
      </c>
      <c r="CD77" s="10" t="e">
        <f>MATCH(INDEX($BP$12:$BU$12,1,MATCH(BP77,$BP$15:$BU$15,0)),结果汇总!$AI$10:$AI$13,0)</f>
        <v>#VALUE!</v>
      </c>
      <c r="CE77" s="10" t="e">
        <f>MATCH(INDEX($BP$12:$BU$12,1,MATCH(BQ77,$BP$15:$BU$15,0)),结果汇总!$AI$10:$AI$13,0)</f>
        <v>#VALUE!</v>
      </c>
      <c r="CF77" s="10" t="e">
        <f>MATCH(INDEX($BP$12:$BU$12,1,MATCH(BR77,$BP$15:$BU$15,0)),结果汇总!$AI$10:$AI$13,0)</f>
        <v>#VALUE!</v>
      </c>
      <c r="CG77" s="10" t="e">
        <f>MATCH(INDEX($BP$12:$BU$12,1,MATCH(BS77,$BP$15:$BU$15,0)),结果汇总!$AI$10:$AI$13,0)</f>
        <v>#VALUE!</v>
      </c>
      <c r="CH77" s="10" t="e">
        <f>MATCH(INDEX($BP$12:$BU$12,1,MATCH(BT77,$BP$15:$BU$15,0)),结果汇总!$AI$10:$AI$13,0)</f>
        <v>#VALUE!</v>
      </c>
      <c r="CI77" s="10" t="e">
        <f>MATCH(INDEX($BP$12:$BU$12,1,MATCH(BU77,$BP$15:$BU$15,0)),结果汇总!$AI$10:$AI$13,0)</f>
        <v>#VALUE!</v>
      </c>
      <c r="CK77" s="10">
        <f t="shared" si="75"/>
        <v>0</v>
      </c>
      <c r="CL77" s="10">
        <f t="shared" si="75"/>
        <v>0</v>
      </c>
      <c r="CM77" s="10">
        <f t="shared" si="75"/>
        <v>0</v>
      </c>
      <c r="CN77" s="10">
        <f t="shared" si="75"/>
        <v>0</v>
      </c>
      <c r="CO77" s="10" t="e">
        <f t="shared" si="76"/>
        <v>#DIV/0!</v>
      </c>
      <c r="CP77" s="10" t="e">
        <f t="shared" si="76"/>
        <v>#DIV/0!</v>
      </c>
      <c r="CQ77" s="10" t="e">
        <f t="shared" si="76"/>
        <v>#DIV/0!</v>
      </c>
      <c r="CR77" s="10" t="e">
        <f t="shared" si="76"/>
        <v>#DIV/0!</v>
      </c>
      <c r="CS77" s="10">
        <f t="shared" si="77"/>
        <v>0</v>
      </c>
      <c r="CT77" s="10">
        <f t="shared" si="77"/>
        <v>0</v>
      </c>
      <c r="CU77" s="10">
        <f t="shared" si="77"/>
        <v>0</v>
      </c>
      <c r="CV77" s="10">
        <f t="shared" si="77"/>
        <v>0</v>
      </c>
      <c r="CW77" s="10">
        <f t="shared" si="78"/>
        <v>0</v>
      </c>
      <c r="CX77" s="10">
        <f t="shared" si="78"/>
        <v>0</v>
      </c>
      <c r="CY77" s="10">
        <f t="shared" si="78"/>
        <v>0</v>
      </c>
      <c r="CZ77" s="10">
        <f t="shared" si="78"/>
        <v>0</v>
      </c>
    </row>
    <row r="78" spans="4:104" x14ac:dyDescent="0.15">
      <c r="D78" s="10">
        <v>63</v>
      </c>
      <c r="E78" s="10" t="e">
        <f t="shared" si="21"/>
        <v>#VALUE!</v>
      </c>
      <c r="F78" s="10" t="e">
        <f t="shared" si="1"/>
        <v>#VALUE!</v>
      </c>
      <c r="G78" s="10" t="e">
        <f t="shared" si="2"/>
        <v>#VALUE!</v>
      </c>
      <c r="H78" s="10" t="e">
        <f t="shared" si="22"/>
        <v>#VALUE!</v>
      </c>
      <c r="I78" s="10" t="e">
        <f t="shared" si="3"/>
        <v>#VALUE!</v>
      </c>
      <c r="J78" s="10" t="e">
        <f t="shared" si="23"/>
        <v>#VALUE!</v>
      </c>
      <c r="K78" s="10" t="e">
        <f t="shared" si="4"/>
        <v>#VALUE!</v>
      </c>
      <c r="L78" s="10" t="e">
        <f t="shared" si="5"/>
        <v>#VALUE!</v>
      </c>
      <c r="M78" s="10" t="e">
        <f t="shared" si="24"/>
        <v>#VALUE!</v>
      </c>
      <c r="O78" s="10" t="e">
        <f t="shared" si="25"/>
        <v>#VALUE!</v>
      </c>
      <c r="P78" s="10" t="e">
        <f t="shared" si="6"/>
        <v>#VALUE!</v>
      </c>
      <c r="Q78" s="10" t="e">
        <f t="shared" si="7"/>
        <v>#VALUE!</v>
      </c>
      <c r="R78" s="10" t="e">
        <f t="shared" si="26"/>
        <v>#VALUE!</v>
      </c>
      <c r="S78" s="10" t="e">
        <f t="shared" si="27"/>
        <v>#VALUE!</v>
      </c>
      <c r="T78" s="10" t="e">
        <f t="shared" si="62"/>
        <v>#VALUE!</v>
      </c>
      <c r="U78" s="10" t="e">
        <f t="shared" si="63"/>
        <v>#VALUE!</v>
      </c>
      <c r="V78" s="10" t="e">
        <f t="shared" si="8"/>
        <v>#VALUE!</v>
      </c>
      <c r="W78" s="10" t="e">
        <f t="shared" si="28"/>
        <v>#VALUE!</v>
      </c>
      <c r="Y78" s="10" t="e">
        <f t="shared" si="29"/>
        <v>#VALUE!</v>
      </c>
      <c r="Z78" s="11" t="e">
        <f t="shared" si="30"/>
        <v>#VALUE!</v>
      </c>
      <c r="AA78" s="10" t="e">
        <f t="shared" si="9"/>
        <v>#VALUE!</v>
      </c>
      <c r="AB78" s="10" t="e">
        <f t="shared" si="31"/>
        <v>#VALUE!</v>
      </c>
      <c r="AC78" s="10" t="e">
        <f t="shared" si="32"/>
        <v>#VALUE!</v>
      </c>
      <c r="AD78" s="10" t="e">
        <f t="shared" si="64"/>
        <v>#VALUE!</v>
      </c>
      <c r="AE78" s="10" t="e">
        <f t="shared" si="65"/>
        <v>#VALUE!</v>
      </c>
      <c r="AF78" s="10" t="e">
        <f t="shared" si="10"/>
        <v>#VALUE!</v>
      </c>
      <c r="AG78" s="10" t="e">
        <f t="shared" si="33"/>
        <v>#VALUE!</v>
      </c>
      <c r="AI78" s="13"/>
      <c r="AK78" s="10" t="e">
        <f t="shared" si="34"/>
        <v>#VALUE!</v>
      </c>
      <c r="AL78" s="10" t="e">
        <f t="shared" si="66"/>
        <v>#VALUE!</v>
      </c>
      <c r="AM78" s="10" t="e">
        <f t="shared" si="11"/>
        <v>#VALUE!</v>
      </c>
      <c r="AN78" s="10" t="e">
        <f t="shared" si="35"/>
        <v>#VALUE!</v>
      </c>
      <c r="AO78" s="10" t="e">
        <f t="shared" si="36"/>
        <v>#VALUE!</v>
      </c>
      <c r="AP78" s="10" t="e">
        <f t="shared" si="37"/>
        <v>#VALUE!</v>
      </c>
      <c r="AQ78" s="10" t="e">
        <f t="shared" si="67"/>
        <v>#VALUE!</v>
      </c>
      <c r="AR78" s="10" t="e">
        <f t="shared" si="12"/>
        <v>#VALUE!</v>
      </c>
      <c r="AS78" s="10" t="e">
        <f t="shared" si="68"/>
        <v>#VALUE!</v>
      </c>
      <c r="AU78" s="10" t="e">
        <f t="shared" si="38"/>
        <v>#VALUE!</v>
      </c>
      <c r="AV78" s="10" t="e">
        <f t="shared" si="69"/>
        <v>#VALUE!</v>
      </c>
      <c r="AW78" s="10" t="e">
        <f t="shared" si="13"/>
        <v>#VALUE!</v>
      </c>
      <c r="AX78" s="10" t="e">
        <f t="shared" si="39"/>
        <v>#VALUE!</v>
      </c>
      <c r="AY78" s="10" t="e">
        <f t="shared" si="40"/>
        <v>#VALUE!</v>
      </c>
      <c r="AZ78" s="10" t="e">
        <f t="shared" si="41"/>
        <v>#VALUE!</v>
      </c>
      <c r="BA78" s="10" t="e">
        <f t="shared" si="70"/>
        <v>#VALUE!</v>
      </c>
      <c r="BB78" s="10" t="e">
        <f t="shared" si="14"/>
        <v>#VALUE!</v>
      </c>
      <c r="BC78" s="10" t="e">
        <f t="shared" si="71"/>
        <v>#VALUE!</v>
      </c>
      <c r="BE78" s="10" t="e">
        <f t="shared" si="42"/>
        <v>#VALUE!</v>
      </c>
      <c r="BF78" s="10" t="e">
        <f t="shared" si="72"/>
        <v>#VALUE!</v>
      </c>
      <c r="BG78" s="10" t="e">
        <f t="shared" si="15"/>
        <v>#VALUE!</v>
      </c>
      <c r="BH78" s="10" t="e">
        <f t="shared" si="43"/>
        <v>#VALUE!</v>
      </c>
      <c r="BI78" s="10" t="e">
        <f t="shared" si="44"/>
        <v>#VALUE!</v>
      </c>
      <c r="BJ78" s="10" t="e">
        <f t="shared" si="45"/>
        <v>#VALUE!</v>
      </c>
      <c r="BK78" s="10" t="e">
        <f t="shared" si="73"/>
        <v>#VALUE!</v>
      </c>
      <c r="BL78" s="10" t="e">
        <f t="shared" si="16"/>
        <v>#VALUE!</v>
      </c>
      <c r="BM78" s="10" t="e">
        <f t="shared" si="74"/>
        <v>#VALUE!</v>
      </c>
      <c r="BP78" s="10" t="e">
        <f t="shared" si="46"/>
        <v>#VALUE!</v>
      </c>
      <c r="BQ78" s="10" t="e">
        <f t="shared" si="47"/>
        <v>#VALUE!</v>
      </c>
      <c r="BR78" s="10" t="e">
        <f t="shared" si="48"/>
        <v>#VALUE!</v>
      </c>
      <c r="BS78" s="10" t="e">
        <f t="shared" si="49"/>
        <v>#VALUE!</v>
      </c>
      <c r="BT78" s="10" t="e">
        <f t="shared" si="50"/>
        <v>#VALUE!</v>
      </c>
      <c r="BU78" s="10" t="e">
        <f t="shared" si="51"/>
        <v>#VALUE!</v>
      </c>
      <c r="BW78" s="10" t="e">
        <f t="shared" si="52"/>
        <v>#VALUE!</v>
      </c>
      <c r="BX78" s="10" t="e">
        <f t="shared" si="53"/>
        <v>#VALUE!</v>
      </c>
      <c r="BY78" s="10" t="e">
        <f t="shared" si="54"/>
        <v>#VALUE!</v>
      </c>
      <c r="BZ78" s="10" t="e">
        <f t="shared" si="55"/>
        <v>#VALUE!</v>
      </c>
      <c r="CA78" s="10" t="e">
        <f t="shared" si="56"/>
        <v>#VALUE!</v>
      </c>
      <c r="CB78" s="10" t="e">
        <f t="shared" si="57"/>
        <v>#VALUE!</v>
      </c>
      <c r="CD78" s="10" t="e">
        <f>MATCH(INDEX($BP$12:$BU$12,1,MATCH(BP78,$BP$15:$BU$15,0)),结果汇总!$AI$10:$AI$13,0)</f>
        <v>#VALUE!</v>
      </c>
      <c r="CE78" s="10" t="e">
        <f>MATCH(INDEX($BP$12:$BU$12,1,MATCH(BQ78,$BP$15:$BU$15,0)),结果汇总!$AI$10:$AI$13,0)</f>
        <v>#VALUE!</v>
      </c>
      <c r="CF78" s="10" t="e">
        <f>MATCH(INDEX($BP$12:$BU$12,1,MATCH(BR78,$BP$15:$BU$15,0)),结果汇总!$AI$10:$AI$13,0)</f>
        <v>#VALUE!</v>
      </c>
      <c r="CG78" s="10" t="e">
        <f>MATCH(INDEX($BP$12:$BU$12,1,MATCH(BS78,$BP$15:$BU$15,0)),结果汇总!$AI$10:$AI$13,0)</f>
        <v>#VALUE!</v>
      </c>
      <c r="CH78" s="10" t="e">
        <f>MATCH(INDEX($BP$12:$BU$12,1,MATCH(BT78,$BP$15:$BU$15,0)),结果汇总!$AI$10:$AI$13,0)</f>
        <v>#VALUE!</v>
      </c>
      <c r="CI78" s="10" t="e">
        <f>MATCH(INDEX($BP$12:$BU$12,1,MATCH(BU78,$BP$15:$BU$15,0)),结果汇总!$AI$10:$AI$13,0)</f>
        <v>#VALUE!</v>
      </c>
      <c r="CK78" s="10">
        <f t="shared" si="75"/>
        <v>0</v>
      </c>
      <c r="CL78" s="10">
        <f t="shared" si="75"/>
        <v>0</v>
      </c>
      <c r="CM78" s="10">
        <f t="shared" si="75"/>
        <v>0</v>
      </c>
      <c r="CN78" s="10">
        <f t="shared" si="75"/>
        <v>0</v>
      </c>
      <c r="CO78" s="10" t="e">
        <f t="shared" si="76"/>
        <v>#DIV/0!</v>
      </c>
      <c r="CP78" s="10" t="e">
        <f t="shared" si="76"/>
        <v>#DIV/0!</v>
      </c>
      <c r="CQ78" s="10" t="e">
        <f t="shared" si="76"/>
        <v>#DIV/0!</v>
      </c>
      <c r="CR78" s="10" t="e">
        <f t="shared" si="76"/>
        <v>#DIV/0!</v>
      </c>
      <c r="CS78" s="10">
        <f t="shared" si="77"/>
        <v>0</v>
      </c>
      <c r="CT78" s="10">
        <f t="shared" si="77"/>
        <v>0</v>
      </c>
      <c r="CU78" s="10">
        <f t="shared" si="77"/>
        <v>0</v>
      </c>
      <c r="CV78" s="10">
        <f t="shared" si="77"/>
        <v>0</v>
      </c>
      <c r="CW78" s="10">
        <f t="shared" si="78"/>
        <v>0</v>
      </c>
      <c r="CX78" s="10">
        <f t="shared" si="78"/>
        <v>0</v>
      </c>
      <c r="CY78" s="10">
        <f t="shared" si="78"/>
        <v>0</v>
      </c>
      <c r="CZ78" s="10">
        <f t="shared" si="78"/>
        <v>0</v>
      </c>
    </row>
    <row r="79" spans="4:104" x14ac:dyDescent="0.15">
      <c r="D79" s="10">
        <v>64</v>
      </c>
      <c r="E79" s="10" t="e">
        <f t="shared" si="21"/>
        <v>#VALUE!</v>
      </c>
      <c r="F79" s="10" t="e">
        <f t="shared" si="1"/>
        <v>#VALUE!</v>
      </c>
      <c r="G79" s="10" t="e">
        <f t="shared" si="2"/>
        <v>#VALUE!</v>
      </c>
      <c r="H79" s="10" t="e">
        <f t="shared" si="22"/>
        <v>#VALUE!</v>
      </c>
      <c r="I79" s="10" t="e">
        <f t="shared" si="3"/>
        <v>#VALUE!</v>
      </c>
      <c r="J79" s="10" t="e">
        <f t="shared" si="23"/>
        <v>#VALUE!</v>
      </c>
      <c r="K79" s="10" t="e">
        <f t="shared" si="4"/>
        <v>#VALUE!</v>
      </c>
      <c r="L79" s="10" t="e">
        <f t="shared" si="5"/>
        <v>#VALUE!</v>
      </c>
      <c r="M79" s="10" t="e">
        <f t="shared" si="24"/>
        <v>#VALUE!</v>
      </c>
      <c r="O79" s="10" t="e">
        <f t="shared" si="25"/>
        <v>#VALUE!</v>
      </c>
      <c r="P79" s="10" t="e">
        <f t="shared" si="6"/>
        <v>#VALUE!</v>
      </c>
      <c r="Q79" s="10" t="e">
        <f t="shared" si="7"/>
        <v>#VALUE!</v>
      </c>
      <c r="R79" s="10" t="e">
        <f t="shared" si="26"/>
        <v>#VALUE!</v>
      </c>
      <c r="S79" s="10" t="e">
        <f t="shared" si="27"/>
        <v>#VALUE!</v>
      </c>
      <c r="T79" s="10" t="e">
        <f t="shared" si="62"/>
        <v>#VALUE!</v>
      </c>
      <c r="U79" s="10" t="e">
        <f t="shared" si="63"/>
        <v>#VALUE!</v>
      </c>
      <c r="V79" s="10" t="e">
        <f t="shared" si="8"/>
        <v>#VALUE!</v>
      </c>
      <c r="W79" s="10" t="e">
        <f t="shared" si="28"/>
        <v>#VALUE!</v>
      </c>
      <c r="Y79" s="10" t="e">
        <f t="shared" si="29"/>
        <v>#VALUE!</v>
      </c>
      <c r="Z79" s="11" t="e">
        <f t="shared" si="30"/>
        <v>#VALUE!</v>
      </c>
      <c r="AA79" s="10" t="e">
        <f t="shared" si="9"/>
        <v>#VALUE!</v>
      </c>
      <c r="AB79" s="10" t="e">
        <f t="shared" si="31"/>
        <v>#VALUE!</v>
      </c>
      <c r="AC79" s="10" t="e">
        <f t="shared" si="32"/>
        <v>#VALUE!</v>
      </c>
      <c r="AD79" s="10" t="e">
        <f t="shared" si="64"/>
        <v>#VALUE!</v>
      </c>
      <c r="AE79" s="10" t="e">
        <f t="shared" si="65"/>
        <v>#VALUE!</v>
      </c>
      <c r="AF79" s="10" t="e">
        <f t="shared" si="10"/>
        <v>#VALUE!</v>
      </c>
      <c r="AG79" s="10" t="e">
        <f t="shared" si="33"/>
        <v>#VALUE!</v>
      </c>
      <c r="AI79" s="13"/>
      <c r="AK79" s="10" t="e">
        <f t="shared" si="34"/>
        <v>#VALUE!</v>
      </c>
      <c r="AL79" s="10" t="e">
        <f t="shared" si="66"/>
        <v>#VALUE!</v>
      </c>
      <c r="AM79" s="10" t="e">
        <f t="shared" si="11"/>
        <v>#VALUE!</v>
      </c>
      <c r="AN79" s="10" t="e">
        <f t="shared" si="35"/>
        <v>#VALUE!</v>
      </c>
      <c r="AO79" s="10" t="e">
        <f t="shared" si="36"/>
        <v>#VALUE!</v>
      </c>
      <c r="AP79" s="10" t="e">
        <f t="shared" si="37"/>
        <v>#VALUE!</v>
      </c>
      <c r="AQ79" s="10" t="e">
        <f t="shared" si="67"/>
        <v>#VALUE!</v>
      </c>
      <c r="AR79" s="10" t="e">
        <f t="shared" si="12"/>
        <v>#VALUE!</v>
      </c>
      <c r="AS79" s="10" t="e">
        <f t="shared" si="68"/>
        <v>#VALUE!</v>
      </c>
      <c r="AU79" s="10" t="e">
        <f t="shared" si="38"/>
        <v>#VALUE!</v>
      </c>
      <c r="AV79" s="10" t="e">
        <f t="shared" si="69"/>
        <v>#VALUE!</v>
      </c>
      <c r="AW79" s="10" t="e">
        <f t="shared" si="13"/>
        <v>#VALUE!</v>
      </c>
      <c r="AX79" s="10" t="e">
        <f t="shared" si="39"/>
        <v>#VALUE!</v>
      </c>
      <c r="AY79" s="10" t="e">
        <f t="shared" si="40"/>
        <v>#VALUE!</v>
      </c>
      <c r="AZ79" s="10" t="e">
        <f t="shared" si="41"/>
        <v>#VALUE!</v>
      </c>
      <c r="BA79" s="10" t="e">
        <f t="shared" si="70"/>
        <v>#VALUE!</v>
      </c>
      <c r="BB79" s="10" t="e">
        <f t="shared" si="14"/>
        <v>#VALUE!</v>
      </c>
      <c r="BC79" s="10" t="e">
        <f t="shared" si="71"/>
        <v>#VALUE!</v>
      </c>
      <c r="BE79" s="10" t="e">
        <f t="shared" si="42"/>
        <v>#VALUE!</v>
      </c>
      <c r="BF79" s="10" t="e">
        <f t="shared" si="72"/>
        <v>#VALUE!</v>
      </c>
      <c r="BG79" s="10" t="e">
        <f t="shared" si="15"/>
        <v>#VALUE!</v>
      </c>
      <c r="BH79" s="10" t="e">
        <f t="shared" si="43"/>
        <v>#VALUE!</v>
      </c>
      <c r="BI79" s="10" t="e">
        <f t="shared" si="44"/>
        <v>#VALUE!</v>
      </c>
      <c r="BJ79" s="10" t="e">
        <f t="shared" si="45"/>
        <v>#VALUE!</v>
      </c>
      <c r="BK79" s="10" t="e">
        <f t="shared" si="73"/>
        <v>#VALUE!</v>
      </c>
      <c r="BL79" s="10" t="e">
        <f t="shared" si="16"/>
        <v>#VALUE!</v>
      </c>
      <c r="BM79" s="10" t="e">
        <f t="shared" si="74"/>
        <v>#VALUE!</v>
      </c>
      <c r="BP79" s="10" t="e">
        <f t="shared" si="46"/>
        <v>#VALUE!</v>
      </c>
      <c r="BQ79" s="10" t="e">
        <f t="shared" si="47"/>
        <v>#VALUE!</v>
      </c>
      <c r="BR79" s="10" t="e">
        <f t="shared" si="48"/>
        <v>#VALUE!</v>
      </c>
      <c r="BS79" s="10" t="e">
        <f t="shared" si="49"/>
        <v>#VALUE!</v>
      </c>
      <c r="BT79" s="10" t="e">
        <f t="shared" si="50"/>
        <v>#VALUE!</v>
      </c>
      <c r="BU79" s="10" t="e">
        <f t="shared" si="51"/>
        <v>#VALUE!</v>
      </c>
      <c r="BW79" s="10" t="e">
        <f t="shared" si="52"/>
        <v>#VALUE!</v>
      </c>
      <c r="BX79" s="10" t="e">
        <f t="shared" si="53"/>
        <v>#VALUE!</v>
      </c>
      <c r="BY79" s="10" t="e">
        <f t="shared" si="54"/>
        <v>#VALUE!</v>
      </c>
      <c r="BZ79" s="10" t="e">
        <f t="shared" si="55"/>
        <v>#VALUE!</v>
      </c>
      <c r="CA79" s="10" t="e">
        <f t="shared" si="56"/>
        <v>#VALUE!</v>
      </c>
      <c r="CB79" s="10" t="e">
        <f t="shared" si="57"/>
        <v>#VALUE!</v>
      </c>
      <c r="CD79" s="10" t="e">
        <f>MATCH(INDEX($BP$12:$BU$12,1,MATCH(BP79,$BP$15:$BU$15,0)),结果汇总!$AI$10:$AI$13,0)</f>
        <v>#VALUE!</v>
      </c>
      <c r="CE79" s="10" t="e">
        <f>MATCH(INDEX($BP$12:$BU$12,1,MATCH(BQ79,$BP$15:$BU$15,0)),结果汇总!$AI$10:$AI$13,0)</f>
        <v>#VALUE!</v>
      </c>
      <c r="CF79" s="10" t="e">
        <f>MATCH(INDEX($BP$12:$BU$12,1,MATCH(BR79,$BP$15:$BU$15,0)),结果汇总!$AI$10:$AI$13,0)</f>
        <v>#VALUE!</v>
      </c>
      <c r="CG79" s="10" t="e">
        <f>MATCH(INDEX($BP$12:$BU$12,1,MATCH(BS79,$BP$15:$BU$15,0)),结果汇总!$AI$10:$AI$13,0)</f>
        <v>#VALUE!</v>
      </c>
      <c r="CH79" s="10" t="e">
        <f>MATCH(INDEX($BP$12:$BU$12,1,MATCH(BT79,$BP$15:$BU$15,0)),结果汇总!$AI$10:$AI$13,0)</f>
        <v>#VALUE!</v>
      </c>
      <c r="CI79" s="10" t="e">
        <f>MATCH(INDEX($BP$12:$BU$12,1,MATCH(BU79,$BP$15:$BU$15,0)),结果汇总!$AI$10:$AI$13,0)</f>
        <v>#VALUE!</v>
      </c>
      <c r="CK79" s="10">
        <f t="shared" si="75"/>
        <v>0</v>
      </c>
      <c r="CL79" s="10">
        <f t="shared" si="75"/>
        <v>0</v>
      </c>
      <c r="CM79" s="10">
        <f t="shared" si="75"/>
        <v>0</v>
      </c>
      <c r="CN79" s="10">
        <f t="shared" si="75"/>
        <v>0</v>
      </c>
      <c r="CO79" s="10" t="e">
        <f t="shared" si="76"/>
        <v>#DIV/0!</v>
      </c>
      <c r="CP79" s="10" t="e">
        <f t="shared" si="76"/>
        <v>#DIV/0!</v>
      </c>
      <c r="CQ79" s="10" t="e">
        <f t="shared" si="76"/>
        <v>#DIV/0!</v>
      </c>
      <c r="CR79" s="10" t="e">
        <f t="shared" si="76"/>
        <v>#DIV/0!</v>
      </c>
      <c r="CS79" s="10">
        <f t="shared" si="77"/>
        <v>0</v>
      </c>
      <c r="CT79" s="10">
        <f t="shared" si="77"/>
        <v>0</v>
      </c>
      <c r="CU79" s="10">
        <f t="shared" si="77"/>
        <v>0</v>
      </c>
      <c r="CV79" s="10">
        <f t="shared" si="77"/>
        <v>0</v>
      </c>
      <c r="CW79" s="10">
        <f t="shared" si="78"/>
        <v>0</v>
      </c>
      <c r="CX79" s="10">
        <f t="shared" si="78"/>
        <v>0</v>
      </c>
      <c r="CY79" s="10">
        <f t="shared" si="78"/>
        <v>0</v>
      </c>
      <c r="CZ79" s="10">
        <f t="shared" si="78"/>
        <v>0</v>
      </c>
    </row>
    <row r="80" spans="4:104" x14ac:dyDescent="0.15">
      <c r="D80" s="10">
        <v>65</v>
      </c>
      <c r="E80" s="10" t="e">
        <f t="shared" si="21"/>
        <v>#VALUE!</v>
      </c>
      <c r="F80" s="10" t="e">
        <f t="shared" ref="F80:F135" si="79">IF(E80=0,0,E80*$E$5)</f>
        <v>#VALUE!</v>
      </c>
      <c r="G80" s="10" t="e">
        <f t="shared" ref="G80:G135" si="80">F80*$P$7</f>
        <v>#VALUE!</v>
      </c>
      <c r="H80" s="10" t="e">
        <f t="shared" si="22"/>
        <v>#VALUE!</v>
      </c>
      <c r="I80" s="10" t="e">
        <f t="shared" ref="I80:I135" si="81">IF(AND(J80=0,E80&lt;&gt;0),1,H80/(H80+$G$6))</f>
        <v>#VALUE!</v>
      </c>
      <c r="J80" s="10" t="e">
        <f t="shared" si="23"/>
        <v>#VALUE!</v>
      </c>
      <c r="K80" s="10" t="e">
        <f t="shared" ref="K80:K135" si="82">IF(J80=0,0,ROUNDUP(J80,0)*$E$6)</f>
        <v>#VALUE!</v>
      </c>
      <c r="L80" s="10" t="e">
        <f t="shared" ref="L80:L135" si="83">K80*$P$7</f>
        <v>#VALUE!</v>
      </c>
      <c r="M80" s="10" t="e">
        <f t="shared" si="24"/>
        <v>#VALUE!</v>
      </c>
      <c r="O80" s="10" t="e">
        <f t="shared" si="25"/>
        <v>#VALUE!</v>
      </c>
      <c r="P80" s="10" t="e">
        <f t="shared" ref="P80:P135" si="84">IF(O80=0,0,O80*$E$8)</f>
        <v>#VALUE!</v>
      </c>
      <c r="Q80" s="10" t="e">
        <f t="shared" ref="Q80:Q135" si="85">P80*$P$7</f>
        <v>#VALUE!</v>
      </c>
      <c r="R80" s="10" t="e">
        <f t="shared" si="26"/>
        <v>#VALUE!</v>
      </c>
      <c r="S80" s="10" t="e">
        <f t="shared" si="27"/>
        <v>#VALUE!</v>
      </c>
      <c r="T80" s="10" t="e">
        <f t="shared" si="62"/>
        <v>#VALUE!</v>
      </c>
      <c r="U80" s="10" t="e">
        <f t="shared" si="63"/>
        <v>#VALUE!</v>
      </c>
      <c r="V80" s="10" t="e">
        <f t="shared" ref="V80:V135" si="86">U80*$P$7</f>
        <v>#VALUE!</v>
      </c>
      <c r="W80" s="10" t="e">
        <f t="shared" si="28"/>
        <v>#VALUE!</v>
      </c>
      <c r="Y80" s="10" t="e">
        <f t="shared" si="29"/>
        <v>#VALUE!</v>
      </c>
      <c r="Z80" s="11" t="e">
        <f t="shared" si="30"/>
        <v>#VALUE!</v>
      </c>
      <c r="AA80" s="10" t="e">
        <f t="shared" ref="AA80:AA135" si="87">Z80*$P$7</f>
        <v>#VALUE!</v>
      </c>
      <c r="AB80" s="10" t="e">
        <f t="shared" si="31"/>
        <v>#VALUE!</v>
      </c>
      <c r="AC80" s="10" t="e">
        <f t="shared" si="32"/>
        <v>#VALUE!</v>
      </c>
      <c r="AD80" s="10" t="e">
        <f t="shared" si="64"/>
        <v>#VALUE!</v>
      </c>
      <c r="AE80" s="10" t="e">
        <f t="shared" si="65"/>
        <v>#VALUE!</v>
      </c>
      <c r="AF80" s="10" t="e">
        <f t="shared" ref="AF80:AF135" si="88">AE80*$P$7</f>
        <v>#VALUE!</v>
      </c>
      <c r="AG80" s="10" t="e">
        <f t="shared" si="33"/>
        <v>#VALUE!</v>
      </c>
      <c r="AI80" s="13"/>
      <c r="AK80" s="10" t="e">
        <f t="shared" si="34"/>
        <v>#VALUE!</v>
      </c>
      <c r="AL80" s="10" t="e">
        <f t="shared" si="66"/>
        <v>#VALUE!</v>
      </c>
      <c r="AM80" s="10" t="e">
        <f t="shared" ref="AM80:AM135" si="89">AL80*$P$7</f>
        <v>#VALUE!</v>
      </c>
      <c r="AN80" s="10" t="e">
        <f t="shared" si="35"/>
        <v>#VALUE!</v>
      </c>
      <c r="AO80" s="10" t="e">
        <f t="shared" si="36"/>
        <v>#VALUE!</v>
      </c>
      <c r="AP80" s="10" t="e">
        <f t="shared" si="37"/>
        <v>#VALUE!</v>
      </c>
      <c r="AQ80" s="10" t="e">
        <f t="shared" si="67"/>
        <v>#VALUE!</v>
      </c>
      <c r="AR80" s="10" t="e">
        <f t="shared" ref="AR80:AR135" si="90">AQ80*$P$7</f>
        <v>#VALUE!</v>
      </c>
      <c r="AS80" s="10" t="e">
        <f t="shared" si="68"/>
        <v>#VALUE!</v>
      </c>
      <c r="AU80" s="10" t="e">
        <f t="shared" si="38"/>
        <v>#VALUE!</v>
      </c>
      <c r="AV80" s="10" t="e">
        <f t="shared" si="69"/>
        <v>#VALUE!</v>
      </c>
      <c r="AW80" s="10" t="e">
        <f t="shared" ref="AW80:AW135" si="91">AV80*$P$7</f>
        <v>#VALUE!</v>
      </c>
      <c r="AX80" s="10" t="e">
        <f t="shared" si="39"/>
        <v>#VALUE!</v>
      </c>
      <c r="AY80" s="10" t="e">
        <f t="shared" si="40"/>
        <v>#VALUE!</v>
      </c>
      <c r="AZ80" s="10" t="e">
        <f t="shared" si="41"/>
        <v>#VALUE!</v>
      </c>
      <c r="BA80" s="10" t="e">
        <f t="shared" si="70"/>
        <v>#VALUE!</v>
      </c>
      <c r="BB80" s="10" t="e">
        <f t="shared" ref="BB80:BB135" si="92">BA80*$P$7</f>
        <v>#VALUE!</v>
      </c>
      <c r="BC80" s="10" t="e">
        <f t="shared" si="71"/>
        <v>#VALUE!</v>
      </c>
      <c r="BE80" s="10" t="e">
        <f t="shared" si="42"/>
        <v>#VALUE!</v>
      </c>
      <c r="BF80" s="10" t="e">
        <f t="shared" si="72"/>
        <v>#VALUE!</v>
      </c>
      <c r="BG80" s="10" t="e">
        <f t="shared" ref="BG80:BG135" si="93">BF80*$P$7</f>
        <v>#VALUE!</v>
      </c>
      <c r="BH80" s="10" t="e">
        <f t="shared" si="43"/>
        <v>#VALUE!</v>
      </c>
      <c r="BI80" s="10" t="e">
        <f t="shared" si="44"/>
        <v>#VALUE!</v>
      </c>
      <c r="BJ80" s="10" t="e">
        <f t="shared" si="45"/>
        <v>#VALUE!</v>
      </c>
      <c r="BK80" s="10" t="e">
        <f t="shared" si="73"/>
        <v>#VALUE!</v>
      </c>
      <c r="BL80" s="10" t="e">
        <f t="shared" ref="BL80:BL135" si="94">BK80*$P$7</f>
        <v>#VALUE!</v>
      </c>
      <c r="BM80" s="10" t="e">
        <f t="shared" si="74"/>
        <v>#VALUE!</v>
      </c>
      <c r="BP80" s="10" t="e">
        <f t="shared" si="46"/>
        <v>#VALUE!</v>
      </c>
      <c r="BQ80" s="10" t="e">
        <f t="shared" si="47"/>
        <v>#VALUE!</v>
      </c>
      <c r="BR80" s="10" t="e">
        <f t="shared" si="48"/>
        <v>#VALUE!</v>
      </c>
      <c r="BS80" s="10" t="e">
        <f t="shared" si="49"/>
        <v>#VALUE!</v>
      </c>
      <c r="BT80" s="10" t="e">
        <f t="shared" si="50"/>
        <v>#VALUE!</v>
      </c>
      <c r="BU80" s="10" t="e">
        <f t="shared" si="51"/>
        <v>#VALUE!</v>
      </c>
      <c r="BW80" s="10" t="e">
        <f t="shared" si="52"/>
        <v>#VALUE!</v>
      </c>
      <c r="BX80" s="10" t="e">
        <f t="shared" si="53"/>
        <v>#VALUE!</v>
      </c>
      <c r="BY80" s="10" t="e">
        <f t="shared" si="54"/>
        <v>#VALUE!</v>
      </c>
      <c r="BZ80" s="10" t="e">
        <f t="shared" si="55"/>
        <v>#VALUE!</v>
      </c>
      <c r="CA80" s="10" t="e">
        <f t="shared" si="56"/>
        <v>#VALUE!</v>
      </c>
      <c r="CB80" s="10" t="e">
        <f t="shared" si="57"/>
        <v>#VALUE!</v>
      </c>
      <c r="CD80" s="10" t="e">
        <f>MATCH(INDEX($BP$12:$BU$12,1,MATCH(BP80,$BP$15:$BU$15,0)),结果汇总!$AI$10:$AI$13,0)</f>
        <v>#VALUE!</v>
      </c>
      <c r="CE80" s="10" t="e">
        <f>MATCH(INDEX($BP$12:$BU$12,1,MATCH(BQ80,$BP$15:$BU$15,0)),结果汇总!$AI$10:$AI$13,0)</f>
        <v>#VALUE!</v>
      </c>
      <c r="CF80" s="10" t="e">
        <f>MATCH(INDEX($BP$12:$BU$12,1,MATCH(BR80,$BP$15:$BU$15,0)),结果汇总!$AI$10:$AI$13,0)</f>
        <v>#VALUE!</v>
      </c>
      <c r="CG80" s="10" t="e">
        <f>MATCH(INDEX($BP$12:$BU$12,1,MATCH(BS80,$BP$15:$BU$15,0)),结果汇总!$AI$10:$AI$13,0)</f>
        <v>#VALUE!</v>
      </c>
      <c r="CH80" s="10" t="e">
        <f>MATCH(INDEX($BP$12:$BU$12,1,MATCH(BT80,$BP$15:$BU$15,0)),结果汇总!$AI$10:$AI$13,0)</f>
        <v>#VALUE!</v>
      </c>
      <c r="CI80" s="10" t="e">
        <f>MATCH(INDEX($BP$12:$BU$12,1,MATCH(BU80,$BP$15:$BU$15,0)),结果汇总!$AI$10:$AI$13,0)</f>
        <v>#VALUE!</v>
      </c>
      <c r="CK80" s="10">
        <f t="shared" si="75"/>
        <v>0</v>
      </c>
      <c r="CL80" s="10">
        <f t="shared" si="75"/>
        <v>0</v>
      </c>
      <c r="CM80" s="10">
        <f t="shared" si="75"/>
        <v>0</v>
      </c>
      <c r="CN80" s="10">
        <f t="shared" si="75"/>
        <v>0</v>
      </c>
      <c r="CO80" s="10" t="e">
        <f t="shared" si="76"/>
        <v>#DIV/0!</v>
      </c>
      <c r="CP80" s="10" t="e">
        <f t="shared" si="76"/>
        <v>#DIV/0!</v>
      </c>
      <c r="CQ80" s="10" t="e">
        <f t="shared" si="76"/>
        <v>#DIV/0!</v>
      </c>
      <c r="CR80" s="10" t="e">
        <f t="shared" si="76"/>
        <v>#DIV/0!</v>
      </c>
      <c r="CS80" s="10">
        <f t="shared" si="77"/>
        <v>0</v>
      </c>
      <c r="CT80" s="10">
        <f t="shared" si="77"/>
        <v>0</v>
      </c>
      <c r="CU80" s="10">
        <f t="shared" si="77"/>
        <v>0</v>
      </c>
      <c r="CV80" s="10">
        <f t="shared" si="77"/>
        <v>0</v>
      </c>
      <c r="CW80" s="10">
        <f t="shared" si="78"/>
        <v>0</v>
      </c>
      <c r="CX80" s="10">
        <f t="shared" si="78"/>
        <v>0</v>
      </c>
      <c r="CY80" s="10">
        <f t="shared" si="78"/>
        <v>0</v>
      </c>
      <c r="CZ80" s="10">
        <f t="shared" si="78"/>
        <v>0</v>
      </c>
    </row>
    <row r="81" spans="4:104" x14ac:dyDescent="0.15">
      <c r="D81" s="10">
        <v>66</v>
      </c>
      <c r="E81" s="10" t="e">
        <f t="shared" ref="E81:E135" si="95">IF(E80-((AL80+AM80+AQ80+AR80)*IF(BS80=1,1,0)+(AV80+AW80+BA80+BB80)*IF(BT80=1,1,0)+(BF80+BG80+BK80+BL80)*IF(BU80=1,1,0))*IF(J80=0,1,I80)/$D$5&lt;$E$16*$P$8,0,
E80-((AL80+AM80+AQ80+AR80)*IF(BS80=1,1,0)+(AV80+AW80+BA80+BB80)*IF(BT80=1,1,0)+(BF80+BG80+BK80+BL80)*IF(BU80=1,1,0))*IF(J80=0,1,I80)/$D$5)</f>
        <v>#VALUE!</v>
      </c>
      <c r="F81" s="10" t="e">
        <f t="shared" si="79"/>
        <v>#VALUE!</v>
      </c>
      <c r="G81" s="10" t="e">
        <f t="shared" si="80"/>
        <v>#VALUE!</v>
      </c>
      <c r="H81" s="10" t="e">
        <f t="shared" ref="H81:H135" si="96">IF(E81=0,0,ROUNDUP(E81/$F$5*$G$5,0))</f>
        <v>#VALUE!</v>
      </c>
      <c r="I81" s="10" t="e">
        <f t="shared" si="81"/>
        <v>#VALUE!</v>
      </c>
      <c r="J81" s="10" t="e">
        <f t="shared" ref="J81:J135" si="97">MAX(J80-((AL80+AM80+AQ80+AR80)*IF(BS80=1,1,0)+(AV80+AW80+BA80+BB80)*IF(BT80=1,1,0)+(BF80+BG80+BK80+BL80)*IF(BU80=1,1,0))*IF(E80=0,1,M80)/$D$6,0)</f>
        <v>#VALUE!</v>
      </c>
      <c r="K81" s="10" t="e">
        <f t="shared" si="82"/>
        <v>#VALUE!</v>
      </c>
      <c r="L81" s="10" t="e">
        <f t="shared" si="83"/>
        <v>#VALUE!</v>
      </c>
      <c r="M81" s="10" t="e">
        <f t="shared" ref="M81:M135" si="98">IF(J81=0,0,1-I81)</f>
        <v>#VALUE!</v>
      </c>
      <c r="O81" s="10" t="e">
        <f t="shared" ref="O81:O135" si="99">IF(O80-((AL80+AM80+AQ80+AR80)*IF(BS80=3,1,0)+(AV80+AW80+BA80+BB80)*IF(BT80=3,1,0)+(BF80+BG80+BK80+BL80)*IF(BU80=3,1,0))*IF(T80=0,1,S80)/$D$8&lt;$O$16*$P$8,0,
O80-((AL80+AM80+AQ80+AR80)*IF(BS80=3,1,0)+(AV80+AW80+BA80+BB80)*IF(BT80=3,1,0)+(BF80+BG80+BK80+BL80)*IF(BU80=3,1,0))*IF(T80=0,1,S80)/$D$8)</f>
        <v>#VALUE!</v>
      </c>
      <c r="P81" s="10" t="e">
        <f t="shared" si="84"/>
        <v>#VALUE!</v>
      </c>
      <c r="Q81" s="10" t="e">
        <f t="shared" si="85"/>
        <v>#VALUE!</v>
      </c>
      <c r="R81" s="10" t="e">
        <f t="shared" ref="R81:R135" si="100">IF(O81=0,0,ROUNDUP(O81/$F$8*$G$8,0))</f>
        <v>#VALUE!</v>
      </c>
      <c r="S81" s="10" t="e">
        <f t="shared" ref="S81:S135" si="101">IF(AND(T81=0,O81&lt;&gt;0),1,R81/(R81+$G$9))</f>
        <v>#VALUE!</v>
      </c>
      <c r="T81" s="10" t="e">
        <f t="shared" si="62"/>
        <v>#VALUE!</v>
      </c>
      <c r="U81" s="10" t="e">
        <f t="shared" si="63"/>
        <v>#VALUE!</v>
      </c>
      <c r="V81" s="10" t="e">
        <f t="shared" si="86"/>
        <v>#VALUE!</v>
      </c>
      <c r="W81" s="10" t="e">
        <f t="shared" ref="W81:W135" si="102">IF(T81=0,0,1-S81)</f>
        <v>#VALUE!</v>
      </c>
      <c r="Y81" s="10" t="e">
        <f t="shared" ref="Y81:Y135" si="103">IF(Y80-((AL80+AM80+AQ80+AR80)*IF(BS80=5,1,0)+(AV80+AW80+BA80+BB80)*IF(BT80=5,1,0)+(BF80+BG80+BK80+BL80)*IF(BU80=5,1,0))*IF(AD80=0,1,AC80)/$D$11&lt;$Y$16*$P$8,0,
Y80-((AL80+AM80+AQ80+AR80)*IF(BS80=5,1,0)+(AV80+AW80+BA80+BB80)*IF(BT80=5,1,0)+(BF80+BG80+BK80+BL80)*IF(BU80=5,1,0))*IF(AD80=0,1,AC80)/$D$11)</f>
        <v>#VALUE!</v>
      </c>
      <c r="Z81" s="11" t="e">
        <f t="shared" ref="Z81:Z135" si="104">IF(Y81=0,0,Y81*$E$11)</f>
        <v>#VALUE!</v>
      </c>
      <c r="AA81" s="10" t="e">
        <f t="shared" si="87"/>
        <v>#VALUE!</v>
      </c>
      <c r="AB81" s="10" t="e">
        <f t="shared" ref="AB81:AB135" si="105">IF(Y81=0,0,ROUNDUP(Y81/$F$11*$G$11,0))</f>
        <v>#VALUE!</v>
      </c>
      <c r="AC81" s="10" t="e">
        <f t="shared" ref="AC81:AC135" si="106">IF(AND(AD81=0,Y81&lt;&gt;0),1,AB81/(AB81+$G$12))</f>
        <v>#VALUE!</v>
      </c>
      <c r="AD81" s="10" t="e">
        <f t="shared" si="64"/>
        <v>#VALUE!</v>
      </c>
      <c r="AE81" s="10" t="e">
        <f t="shared" si="65"/>
        <v>#VALUE!</v>
      </c>
      <c r="AF81" s="10" t="e">
        <f t="shared" si="88"/>
        <v>#VALUE!</v>
      </c>
      <c r="AG81" s="10" t="e">
        <f t="shared" ref="AG81:AG135" si="107">IF(AD81=0,0,1-AC81)</f>
        <v>#VALUE!</v>
      </c>
      <c r="AI81" s="13"/>
      <c r="AK81" s="10" t="e">
        <f t="shared" ref="AK81:AK135" si="108">IF(AK80-((F80+G80+K80+L80)*IF(BR80=2,1,0)+(P80+Q80+U80+V80)*IF(BQ80=2,1,0)+(Z80+AA80+AE80+AF80)*IF(BP80=2,1,0))*IF(AP80=0,1,AO80)/$J$5&lt;$AK$16*$P$8,0,
AK80-((F80+G80+K80+L80)*IF(BR80=2,1,0)+(P80+Q80+U80+V80)*IF(BQ80=2,1,0)+(Z80+AA80+AE80+AF80)*IF(BP80=2,1,0))*IF(AP80=0,1,AO80)/$J$5)</f>
        <v>#VALUE!</v>
      </c>
      <c r="AL81" s="10" t="e">
        <f t="shared" si="66"/>
        <v>#VALUE!</v>
      </c>
      <c r="AM81" s="10" t="e">
        <f t="shared" si="89"/>
        <v>#VALUE!</v>
      </c>
      <c r="AN81" s="10" t="e">
        <f t="shared" ref="AN81:AN135" si="109">IF(AK81=0,0,ROUNDUP(AK81/$L$5*$M$5,0))</f>
        <v>#VALUE!</v>
      </c>
      <c r="AO81" s="10" t="e">
        <f t="shared" ref="AO81:AO135" si="110">IF(AND(AP81=0,AK81&lt;&gt;0),1,AN81/(AN81+$M$6))</f>
        <v>#VALUE!</v>
      </c>
      <c r="AP81" s="10" t="e">
        <f t="shared" ref="AP81:AP135" si="111">MAX(AP80-((F80+G80+K80+L80)*IF(BR80=2,1,0)+(P80+Q80+U80+V80)*IF(BQ80=2,1,0)+(Z80+AA80+AE80+AF80)*IF(BP80=2,1,0))*IF(AK80=0,1,AS80)/$J$6,0)</f>
        <v>#VALUE!</v>
      </c>
      <c r="AQ81" s="10" t="e">
        <f t="shared" si="67"/>
        <v>#VALUE!</v>
      </c>
      <c r="AR81" s="10" t="e">
        <f t="shared" si="90"/>
        <v>#VALUE!</v>
      </c>
      <c r="AS81" s="10" t="e">
        <f t="shared" si="68"/>
        <v>#VALUE!</v>
      </c>
      <c r="AU81" s="10" t="e">
        <f t="shared" ref="AU81:AU135" si="112">IF(AU80-((F80+G80+K80+L80)*IF(BR80=4,1,0)+(P80+Q80+U80+V80)*IF(BQ80=4,1,0)+(Z80+AA80+AE80+AF80)*IF(BP80=4,1,0))*IF(AZ80=0,1,AY80)/$J$8&lt;$AU$16*$P$8,0,
AU80-((F80+G80+K80+L80)*IF(BR80=4,1,0)+(P80+Q80+U80+V80)*IF(BQ80=4,1,0)+(Z80+AA80+AE80+AF80)*IF(BP80=4,1,0))*IF(AZ80=0,1,AY80)/$J$8)</f>
        <v>#VALUE!</v>
      </c>
      <c r="AV81" s="10" t="e">
        <f t="shared" si="69"/>
        <v>#VALUE!</v>
      </c>
      <c r="AW81" s="10" t="e">
        <f t="shared" si="91"/>
        <v>#VALUE!</v>
      </c>
      <c r="AX81" s="10" t="e">
        <f t="shared" ref="AX81:AX135" si="113">IF(AU81=0,0,ROUNDUP(AU81/$L$8*$M$8,0))</f>
        <v>#VALUE!</v>
      </c>
      <c r="AY81" s="10" t="e">
        <f t="shared" ref="AY81:AY135" si="114">IF(AND(AZ81=0,AU81&lt;&gt;0),1,AX81/(AX81+$M$9))</f>
        <v>#VALUE!</v>
      </c>
      <c r="AZ81" s="10" t="e">
        <f t="shared" ref="AZ81:AZ135" si="115">MAX(AZ80-((F80+G80+K80+L80)*IF(BR80=4,1,0)+(P80+Q80+U80+V80)*IF(BQ80=4,1,0)+(Z80+AA80+AE80+AF80)*IF(BP80=4,1,0))*IF(AU80=0,1,BC80)/$J$9,0)</f>
        <v>#VALUE!</v>
      </c>
      <c r="BA81" s="10" t="e">
        <f t="shared" si="70"/>
        <v>#VALUE!</v>
      </c>
      <c r="BB81" s="10" t="e">
        <f t="shared" si="92"/>
        <v>#VALUE!</v>
      </c>
      <c r="BC81" s="10" t="e">
        <f t="shared" si="71"/>
        <v>#VALUE!</v>
      </c>
      <c r="BE81" s="10" t="e">
        <f t="shared" ref="BE81:BE135" si="116">IF(BE80-((F80+G80+K80+L80)*IF(BR80=6,1,0)+(P80+Q80+U80+V80)*IF(BQ80=6,1,0)+(Z80+AA80+AE80+AF80)*IF(BP80=6,1,0))*IF(BJ80=0,1,BI80)/$J$11&lt;$BE$16*$P$8,0,
BE80-((F80+G80+K80+L80)*IF(BR80=6,1,0)+(P80+Q80+U80+V80)*IF(BQ80=6,1,0)+(Z80+AA80+AE80+AF80)*IF(BP80=6,1,0))*IF(BJ80=0,1,BI80)/$J$11)</f>
        <v>#VALUE!</v>
      </c>
      <c r="BF81" s="10" t="e">
        <f t="shared" si="72"/>
        <v>#VALUE!</v>
      </c>
      <c r="BG81" s="10" t="e">
        <f t="shared" si="93"/>
        <v>#VALUE!</v>
      </c>
      <c r="BH81" s="10" t="e">
        <f t="shared" ref="BH81:BH135" si="117">IF(BE81=0,0,ROUNDUP(BE81/$L$11*$M$11,0))</f>
        <v>#VALUE!</v>
      </c>
      <c r="BI81" s="10" t="e">
        <f t="shared" ref="BI81:BI135" si="118">IF(AND(BJ81=0,BE81&lt;&gt;0),1,BH81/(BH81+$M$12))</f>
        <v>#VALUE!</v>
      </c>
      <c r="BJ81" s="10" t="e">
        <f t="shared" ref="BJ81:BJ135" si="119">MAX(BJ80-((F80+G80+K80+L80)*IF(BR80=6,1,0)+(P80+Q80+U80+V80)*IF(BQ80=6,1,0)+(Z80+AA80+AE80+AF80)*IF(BP80=6,1,0))*IF(BE80=0,1,BM80)/$J$12,0)</f>
        <v>#VALUE!</v>
      </c>
      <c r="BK81" s="10" t="e">
        <f t="shared" si="73"/>
        <v>#VALUE!</v>
      </c>
      <c r="BL81" s="10" t="e">
        <f t="shared" si="94"/>
        <v>#VALUE!</v>
      </c>
      <c r="BM81" s="10" t="e">
        <f t="shared" si="74"/>
        <v>#VALUE!</v>
      </c>
      <c r="BP81" s="10" t="e">
        <f t="shared" ref="BP81:BP135" si="120">IF(BZ81&gt;0,BS$15,IF(CA81&gt;0,BT$15,BU$15))</f>
        <v>#VALUE!</v>
      </c>
      <c r="BQ81" s="10" t="e">
        <f t="shared" ref="BQ81:BQ135" si="121">IF(BZ81&gt;0,BS$15,IF(CA81&gt;0,BT$15,BU$15))</f>
        <v>#VALUE!</v>
      </c>
      <c r="BR81" s="10" t="e">
        <f t="shared" ref="BR81:BR135" si="122">IF(BZ81&gt;0,BS$15,IF(CA81&gt;0,BT$15,BU$15))</f>
        <v>#VALUE!</v>
      </c>
      <c r="BS81" s="10" t="e">
        <f t="shared" ref="BS81:BS135" si="123">IF(BY81&gt;0,BR$15,IF(BX81&gt;0,BQ$15,BP$15))</f>
        <v>#VALUE!</v>
      </c>
      <c r="BT81" s="10" t="e">
        <f t="shared" ref="BT81:BT135" si="124">IF(BY81&gt;0,BR$15,IF(BX81&gt;0,BQ$15,BP$15))</f>
        <v>#VALUE!</v>
      </c>
      <c r="BU81" s="10" t="e">
        <f t="shared" ref="BU81:BU135" si="125">IF(BY81&gt;0,BR$15,IF(BX81&gt;0,BQ$15,BP$15))</f>
        <v>#VALUE!</v>
      </c>
      <c r="BW81" s="10" t="e">
        <f t="shared" ref="BW81:BW135" si="126">Y81+AD81*1000</f>
        <v>#VALUE!</v>
      </c>
      <c r="BX81" s="10" t="e">
        <f t="shared" ref="BX81:BX135" si="127">O81+T81*1000</f>
        <v>#VALUE!</v>
      </c>
      <c r="BY81" s="10" t="e">
        <f t="shared" ref="BY81:BY135" si="128">E81+J81*1000</f>
        <v>#VALUE!</v>
      </c>
      <c r="BZ81" s="10" t="e">
        <f t="shared" ref="BZ81:BZ135" si="129">AK81+AP81*1000</f>
        <v>#VALUE!</v>
      </c>
      <c r="CA81" s="10" t="e">
        <f t="shared" ref="CA81:CA135" si="130">AU81+AZ81*1000</f>
        <v>#VALUE!</v>
      </c>
      <c r="CB81" s="10" t="e">
        <f t="shared" ref="CB81:CB135" si="131">BE81+BJ81*1000</f>
        <v>#VALUE!</v>
      </c>
      <c r="CD81" s="10" t="e">
        <f>MATCH(INDEX($BP$12:$BU$12,1,MATCH(BP81,$BP$15:$BU$15,0)),结果汇总!$AI$10:$AI$13,0)</f>
        <v>#VALUE!</v>
      </c>
      <c r="CE81" s="10" t="e">
        <f>MATCH(INDEX($BP$12:$BU$12,1,MATCH(BQ81,$BP$15:$BU$15,0)),结果汇总!$AI$10:$AI$13,0)</f>
        <v>#VALUE!</v>
      </c>
      <c r="CF81" s="10" t="e">
        <f>MATCH(INDEX($BP$12:$BU$12,1,MATCH(BR81,$BP$15:$BU$15,0)),结果汇总!$AI$10:$AI$13,0)</f>
        <v>#VALUE!</v>
      </c>
      <c r="CG81" s="10" t="e">
        <f>MATCH(INDEX($BP$12:$BU$12,1,MATCH(BS81,$BP$15:$BU$15,0)),结果汇总!$AI$10:$AI$13,0)</f>
        <v>#VALUE!</v>
      </c>
      <c r="CH81" s="10" t="e">
        <f>MATCH(INDEX($BP$12:$BU$12,1,MATCH(BT81,$BP$15:$BU$15,0)),结果汇总!$AI$10:$AI$13,0)</f>
        <v>#VALUE!</v>
      </c>
      <c r="CI81" s="10" t="e">
        <f>MATCH(INDEX($BP$12:$BU$12,1,MATCH(BU81,$BP$15:$BU$15,0)),结果汇总!$AI$10:$AI$13,0)</f>
        <v>#VALUE!</v>
      </c>
      <c r="CK81" s="10">
        <f t="shared" ref="CK81:CN112" si="132">COUNTIFS($CD81:$CI81,CK$15,$CD$15:$CI$15,$CK$14)/COUNTIFS($CD$15:$CI$15,$CK$14)</f>
        <v>0</v>
      </c>
      <c r="CL81" s="10">
        <f t="shared" si="132"/>
        <v>0</v>
      </c>
      <c r="CM81" s="10">
        <f t="shared" si="132"/>
        <v>0</v>
      </c>
      <c r="CN81" s="10">
        <f t="shared" si="132"/>
        <v>0</v>
      </c>
      <c r="CO81" s="10" t="e">
        <f t="shared" ref="CO81:CR112" si="133">COUNTIFS($CD81:$CI81,CO$15,$CD$15:$CI$15,$CO$14)/COUNTIFS($CD$15:$CI$15,$CO$14)</f>
        <v>#DIV/0!</v>
      </c>
      <c r="CP81" s="10" t="e">
        <f t="shared" si="133"/>
        <v>#DIV/0!</v>
      </c>
      <c r="CQ81" s="10" t="e">
        <f t="shared" si="133"/>
        <v>#DIV/0!</v>
      </c>
      <c r="CR81" s="10" t="e">
        <f t="shared" si="133"/>
        <v>#DIV/0!</v>
      </c>
      <c r="CS81" s="10">
        <f t="shared" ref="CS81:CV112" si="134">COUNTIFS($CD81:$CI81,CS$15,$CD$15:$CI$15,$CS$14)/COUNTIFS($CD$15:$CI$15,$CS$14)</f>
        <v>0</v>
      </c>
      <c r="CT81" s="10">
        <f t="shared" si="134"/>
        <v>0</v>
      </c>
      <c r="CU81" s="10">
        <f t="shared" si="134"/>
        <v>0</v>
      </c>
      <c r="CV81" s="10">
        <f t="shared" si="134"/>
        <v>0</v>
      </c>
      <c r="CW81" s="10">
        <f t="shared" ref="CW81:CZ112" si="135">COUNTIFS($CD81:$CI81,CW$15,$CD$15:$CI$15,$CW$14)/COUNTIFS($CD$15:$CI$15,$CW$14)</f>
        <v>0</v>
      </c>
      <c r="CX81" s="10">
        <f t="shared" si="135"/>
        <v>0</v>
      </c>
      <c r="CY81" s="10">
        <f t="shared" si="135"/>
        <v>0</v>
      </c>
      <c r="CZ81" s="10">
        <f t="shared" si="135"/>
        <v>0</v>
      </c>
    </row>
    <row r="82" spans="4:104" x14ac:dyDescent="0.15">
      <c r="D82" s="10">
        <v>67</v>
      </c>
      <c r="E82" s="10" t="e">
        <f t="shared" si="95"/>
        <v>#VALUE!</v>
      </c>
      <c r="F82" s="10" t="e">
        <f t="shared" si="79"/>
        <v>#VALUE!</v>
      </c>
      <c r="G82" s="10" t="e">
        <f t="shared" si="80"/>
        <v>#VALUE!</v>
      </c>
      <c r="H82" s="10" t="e">
        <f t="shared" si="96"/>
        <v>#VALUE!</v>
      </c>
      <c r="I82" s="10" t="e">
        <f t="shared" si="81"/>
        <v>#VALUE!</v>
      </c>
      <c r="J82" s="10" t="e">
        <f t="shared" si="97"/>
        <v>#VALUE!</v>
      </c>
      <c r="K82" s="10" t="e">
        <f t="shared" si="82"/>
        <v>#VALUE!</v>
      </c>
      <c r="L82" s="10" t="e">
        <f t="shared" si="83"/>
        <v>#VALUE!</v>
      </c>
      <c r="M82" s="10" t="e">
        <f t="shared" si="98"/>
        <v>#VALUE!</v>
      </c>
      <c r="O82" s="10" t="e">
        <f t="shared" si="99"/>
        <v>#VALUE!</v>
      </c>
      <c r="P82" s="10" t="e">
        <f t="shared" si="84"/>
        <v>#VALUE!</v>
      </c>
      <c r="Q82" s="10" t="e">
        <f t="shared" si="85"/>
        <v>#VALUE!</v>
      </c>
      <c r="R82" s="10" t="e">
        <f t="shared" si="100"/>
        <v>#VALUE!</v>
      </c>
      <c r="S82" s="10" t="e">
        <f t="shared" si="101"/>
        <v>#VALUE!</v>
      </c>
      <c r="T82" s="10" t="e">
        <f t="shared" ref="T82:T135" si="136">MAX(T81-((AL81+AM81+AQ81+AR81)*IF(BS81=3,1,0)+(AV81+AW81+BA81+BB81)*IF(BT81=3,1,0)+(BF81+BG81+BK81+BL81)*IF(BU81=3,1,0))*IF(O81=0,1,W81)/$D$9,0)</f>
        <v>#VALUE!</v>
      </c>
      <c r="U82" s="10" t="e">
        <f t="shared" ref="U82:U135" si="137">IF(T82=0,0,ROUNDUP(T82,0)*$E$9)</f>
        <v>#VALUE!</v>
      </c>
      <c r="V82" s="10" t="e">
        <f t="shared" si="86"/>
        <v>#VALUE!</v>
      </c>
      <c r="W82" s="10" t="e">
        <f t="shared" si="102"/>
        <v>#VALUE!</v>
      </c>
      <c r="Y82" s="10" t="e">
        <f t="shared" si="103"/>
        <v>#VALUE!</v>
      </c>
      <c r="Z82" s="11" t="e">
        <f t="shared" si="104"/>
        <v>#VALUE!</v>
      </c>
      <c r="AA82" s="10" t="e">
        <f t="shared" si="87"/>
        <v>#VALUE!</v>
      </c>
      <c r="AB82" s="10" t="e">
        <f t="shared" si="105"/>
        <v>#VALUE!</v>
      </c>
      <c r="AC82" s="10" t="e">
        <f t="shared" si="106"/>
        <v>#VALUE!</v>
      </c>
      <c r="AD82" s="10" t="e">
        <f t="shared" ref="AD82:AD135" si="138">MAX(AD81-((AL81+AM81+AQ81+AR81)*IF(BS81=5,1,0)+(AV81+AW81+BA81+BB81)*IF(BT81=5,1,0)+(BF81+BG81+BK81+BL81)*IF(BU81=5,1,0))*IF(Y81=0,1,AG81)/$D$12,0)</f>
        <v>#VALUE!</v>
      </c>
      <c r="AE82" s="10" t="e">
        <f t="shared" ref="AE82:AE135" si="139">IF(AD82=0,0,ROUNDUP(AD82,0)*$E$12)</f>
        <v>#VALUE!</v>
      </c>
      <c r="AF82" s="10" t="e">
        <f t="shared" si="88"/>
        <v>#VALUE!</v>
      </c>
      <c r="AG82" s="10" t="e">
        <f t="shared" si="107"/>
        <v>#VALUE!</v>
      </c>
      <c r="AI82" s="13"/>
      <c r="AK82" s="10" t="e">
        <f t="shared" si="108"/>
        <v>#VALUE!</v>
      </c>
      <c r="AL82" s="10" t="e">
        <f t="shared" ref="AL82:AL135" si="140">IF(AK82=0,0,AK82*$K$5)</f>
        <v>#VALUE!</v>
      </c>
      <c r="AM82" s="10" t="e">
        <f t="shared" si="89"/>
        <v>#VALUE!</v>
      </c>
      <c r="AN82" s="10" t="e">
        <f t="shared" si="109"/>
        <v>#VALUE!</v>
      </c>
      <c r="AO82" s="10" t="e">
        <f t="shared" si="110"/>
        <v>#VALUE!</v>
      </c>
      <c r="AP82" s="10" t="e">
        <f t="shared" si="111"/>
        <v>#VALUE!</v>
      </c>
      <c r="AQ82" s="10" t="e">
        <f t="shared" ref="AQ82:AQ135" si="141">IF(AP82=0,0,ROUNDUP(AP82,0)*$K$6)</f>
        <v>#VALUE!</v>
      </c>
      <c r="AR82" s="10" t="e">
        <f t="shared" si="90"/>
        <v>#VALUE!</v>
      </c>
      <c r="AS82" s="10" t="e">
        <f t="shared" ref="AS82:AS135" si="142">IF(AP82=0,0,1-AO82)</f>
        <v>#VALUE!</v>
      </c>
      <c r="AU82" s="10" t="e">
        <f t="shared" si="112"/>
        <v>#VALUE!</v>
      </c>
      <c r="AV82" s="10" t="e">
        <f t="shared" ref="AV82:AV135" si="143">IF(AU82=0,0,AU82*$K$8)</f>
        <v>#VALUE!</v>
      </c>
      <c r="AW82" s="10" t="e">
        <f t="shared" si="91"/>
        <v>#VALUE!</v>
      </c>
      <c r="AX82" s="10" t="e">
        <f t="shared" si="113"/>
        <v>#VALUE!</v>
      </c>
      <c r="AY82" s="10" t="e">
        <f t="shared" si="114"/>
        <v>#VALUE!</v>
      </c>
      <c r="AZ82" s="10" t="e">
        <f t="shared" si="115"/>
        <v>#VALUE!</v>
      </c>
      <c r="BA82" s="10" t="e">
        <f t="shared" ref="BA82:BA135" si="144">IF(AZ82=0,0,ROUNDUP(AZ82,0)*$K$9)</f>
        <v>#VALUE!</v>
      </c>
      <c r="BB82" s="10" t="e">
        <f t="shared" si="92"/>
        <v>#VALUE!</v>
      </c>
      <c r="BC82" s="10" t="e">
        <f t="shared" ref="BC82:BC135" si="145">IF(AZ82=0,0,1-AY82)</f>
        <v>#VALUE!</v>
      </c>
      <c r="BE82" s="10" t="e">
        <f t="shared" si="116"/>
        <v>#VALUE!</v>
      </c>
      <c r="BF82" s="10" t="e">
        <f t="shared" ref="BF82:BF135" si="146">IF(BE82=0,0,BE82*$K$11)</f>
        <v>#VALUE!</v>
      </c>
      <c r="BG82" s="10" t="e">
        <f t="shared" si="93"/>
        <v>#VALUE!</v>
      </c>
      <c r="BH82" s="10" t="e">
        <f t="shared" si="117"/>
        <v>#VALUE!</v>
      </c>
      <c r="BI82" s="10" t="e">
        <f t="shared" si="118"/>
        <v>#VALUE!</v>
      </c>
      <c r="BJ82" s="10" t="e">
        <f t="shared" si="119"/>
        <v>#VALUE!</v>
      </c>
      <c r="BK82" s="10" t="e">
        <f t="shared" ref="BK82:BK135" si="147">IF(BJ82=0,0,ROUNDUP(BJ82,0)*$K$12)</f>
        <v>#VALUE!</v>
      </c>
      <c r="BL82" s="10" t="e">
        <f t="shared" si="94"/>
        <v>#VALUE!</v>
      </c>
      <c r="BM82" s="10" t="e">
        <f t="shared" ref="BM82:BM135" si="148">IF(BJ82=0,0,1-BI82)</f>
        <v>#VALUE!</v>
      </c>
      <c r="BP82" s="10" t="e">
        <f t="shared" si="120"/>
        <v>#VALUE!</v>
      </c>
      <c r="BQ82" s="10" t="e">
        <f t="shared" si="121"/>
        <v>#VALUE!</v>
      </c>
      <c r="BR82" s="10" t="e">
        <f t="shared" si="122"/>
        <v>#VALUE!</v>
      </c>
      <c r="BS82" s="10" t="e">
        <f t="shared" si="123"/>
        <v>#VALUE!</v>
      </c>
      <c r="BT82" s="10" t="e">
        <f t="shared" si="124"/>
        <v>#VALUE!</v>
      </c>
      <c r="BU82" s="10" t="e">
        <f t="shared" si="125"/>
        <v>#VALUE!</v>
      </c>
      <c r="BW82" s="10" t="e">
        <f t="shared" si="126"/>
        <v>#VALUE!</v>
      </c>
      <c r="BX82" s="10" t="e">
        <f t="shared" si="127"/>
        <v>#VALUE!</v>
      </c>
      <c r="BY82" s="10" t="e">
        <f t="shared" si="128"/>
        <v>#VALUE!</v>
      </c>
      <c r="BZ82" s="10" t="e">
        <f t="shared" si="129"/>
        <v>#VALUE!</v>
      </c>
      <c r="CA82" s="10" t="e">
        <f t="shared" si="130"/>
        <v>#VALUE!</v>
      </c>
      <c r="CB82" s="10" t="e">
        <f t="shared" si="131"/>
        <v>#VALUE!</v>
      </c>
      <c r="CD82" s="10" t="e">
        <f>MATCH(INDEX($BP$12:$BU$12,1,MATCH(BP82,$BP$15:$BU$15,0)),结果汇总!$AI$10:$AI$13,0)</f>
        <v>#VALUE!</v>
      </c>
      <c r="CE82" s="10" t="e">
        <f>MATCH(INDEX($BP$12:$BU$12,1,MATCH(BQ82,$BP$15:$BU$15,0)),结果汇总!$AI$10:$AI$13,0)</f>
        <v>#VALUE!</v>
      </c>
      <c r="CF82" s="10" t="e">
        <f>MATCH(INDEX($BP$12:$BU$12,1,MATCH(BR82,$BP$15:$BU$15,0)),结果汇总!$AI$10:$AI$13,0)</f>
        <v>#VALUE!</v>
      </c>
      <c r="CG82" s="10" t="e">
        <f>MATCH(INDEX($BP$12:$BU$12,1,MATCH(BS82,$BP$15:$BU$15,0)),结果汇总!$AI$10:$AI$13,0)</f>
        <v>#VALUE!</v>
      </c>
      <c r="CH82" s="10" t="e">
        <f>MATCH(INDEX($BP$12:$BU$12,1,MATCH(BT82,$BP$15:$BU$15,0)),结果汇总!$AI$10:$AI$13,0)</f>
        <v>#VALUE!</v>
      </c>
      <c r="CI82" s="10" t="e">
        <f>MATCH(INDEX($BP$12:$BU$12,1,MATCH(BU82,$BP$15:$BU$15,0)),结果汇总!$AI$10:$AI$13,0)</f>
        <v>#VALUE!</v>
      </c>
      <c r="CK82" s="10">
        <f t="shared" si="132"/>
        <v>0</v>
      </c>
      <c r="CL82" s="10">
        <f t="shared" si="132"/>
        <v>0</v>
      </c>
      <c r="CM82" s="10">
        <f t="shared" si="132"/>
        <v>0</v>
      </c>
      <c r="CN82" s="10">
        <f t="shared" si="132"/>
        <v>0</v>
      </c>
      <c r="CO82" s="10" t="e">
        <f t="shared" si="133"/>
        <v>#DIV/0!</v>
      </c>
      <c r="CP82" s="10" t="e">
        <f t="shared" si="133"/>
        <v>#DIV/0!</v>
      </c>
      <c r="CQ82" s="10" t="e">
        <f t="shared" si="133"/>
        <v>#DIV/0!</v>
      </c>
      <c r="CR82" s="10" t="e">
        <f t="shared" si="133"/>
        <v>#DIV/0!</v>
      </c>
      <c r="CS82" s="10">
        <f t="shared" si="134"/>
        <v>0</v>
      </c>
      <c r="CT82" s="10">
        <f t="shared" si="134"/>
        <v>0</v>
      </c>
      <c r="CU82" s="10">
        <f t="shared" si="134"/>
        <v>0</v>
      </c>
      <c r="CV82" s="10">
        <f t="shared" si="134"/>
        <v>0</v>
      </c>
      <c r="CW82" s="10">
        <f t="shared" si="135"/>
        <v>0</v>
      </c>
      <c r="CX82" s="10">
        <f t="shared" si="135"/>
        <v>0</v>
      </c>
      <c r="CY82" s="10">
        <f t="shared" si="135"/>
        <v>0</v>
      </c>
      <c r="CZ82" s="10">
        <f t="shared" si="135"/>
        <v>0</v>
      </c>
    </row>
    <row r="83" spans="4:104" x14ac:dyDescent="0.15">
      <c r="D83" s="10">
        <v>68</v>
      </c>
      <c r="E83" s="10" t="e">
        <f t="shared" si="95"/>
        <v>#VALUE!</v>
      </c>
      <c r="F83" s="10" t="e">
        <f t="shared" si="79"/>
        <v>#VALUE!</v>
      </c>
      <c r="G83" s="10" t="e">
        <f t="shared" si="80"/>
        <v>#VALUE!</v>
      </c>
      <c r="H83" s="10" t="e">
        <f t="shared" si="96"/>
        <v>#VALUE!</v>
      </c>
      <c r="I83" s="10" t="e">
        <f t="shared" si="81"/>
        <v>#VALUE!</v>
      </c>
      <c r="J83" s="10" t="e">
        <f t="shared" si="97"/>
        <v>#VALUE!</v>
      </c>
      <c r="K83" s="10" t="e">
        <f t="shared" si="82"/>
        <v>#VALUE!</v>
      </c>
      <c r="L83" s="10" t="e">
        <f t="shared" si="83"/>
        <v>#VALUE!</v>
      </c>
      <c r="M83" s="10" t="e">
        <f t="shared" si="98"/>
        <v>#VALUE!</v>
      </c>
      <c r="O83" s="10" t="e">
        <f t="shared" si="99"/>
        <v>#VALUE!</v>
      </c>
      <c r="P83" s="10" t="e">
        <f t="shared" si="84"/>
        <v>#VALUE!</v>
      </c>
      <c r="Q83" s="10" t="e">
        <f t="shared" si="85"/>
        <v>#VALUE!</v>
      </c>
      <c r="R83" s="10" t="e">
        <f t="shared" si="100"/>
        <v>#VALUE!</v>
      </c>
      <c r="S83" s="10" t="e">
        <f t="shared" si="101"/>
        <v>#VALUE!</v>
      </c>
      <c r="T83" s="10" t="e">
        <f t="shared" si="136"/>
        <v>#VALUE!</v>
      </c>
      <c r="U83" s="10" t="e">
        <f t="shared" si="137"/>
        <v>#VALUE!</v>
      </c>
      <c r="V83" s="10" t="e">
        <f t="shared" si="86"/>
        <v>#VALUE!</v>
      </c>
      <c r="W83" s="10" t="e">
        <f t="shared" si="102"/>
        <v>#VALUE!</v>
      </c>
      <c r="Y83" s="10" t="e">
        <f t="shared" si="103"/>
        <v>#VALUE!</v>
      </c>
      <c r="Z83" s="11" t="e">
        <f t="shared" si="104"/>
        <v>#VALUE!</v>
      </c>
      <c r="AA83" s="10" t="e">
        <f t="shared" si="87"/>
        <v>#VALUE!</v>
      </c>
      <c r="AB83" s="10" t="e">
        <f t="shared" si="105"/>
        <v>#VALUE!</v>
      </c>
      <c r="AC83" s="10" t="e">
        <f t="shared" si="106"/>
        <v>#VALUE!</v>
      </c>
      <c r="AD83" s="10" t="e">
        <f t="shared" si="138"/>
        <v>#VALUE!</v>
      </c>
      <c r="AE83" s="10" t="e">
        <f t="shared" si="139"/>
        <v>#VALUE!</v>
      </c>
      <c r="AF83" s="10" t="e">
        <f t="shared" si="88"/>
        <v>#VALUE!</v>
      </c>
      <c r="AG83" s="10" t="e">
        <f t="shared" si="107"/>
        <v>#VALUE!</v>
      </c>
      <c r="AI83" s="13"/>
      <c r="AK83" s="10" t="e">
        <f t="shared" si="108"/>
        <v>#VALUE!</v>
      </c>
      <c r="AL83" s="10" t="e">
        <f t="shared" si="140"/>
        <v>#VALUE!</v>
      </c>
      <c r="AM83" s="10" t="e">
        <f t="shared" si="89"/>
        <v>#VALUE!</v>
      </c>
      <c r="AN83" s="10" t="e">
        <f t="shared" si="109"/>
        <v>#VALUE!</v>
      </c>
      <c r="AO83" s="10" t="e">
        <f t="shared" si="110"/>
        <v>#VALUE!</v>
      </c>
      <c r="AP83" s="10" t="e">
        <f t="shared" si="111"/>
        <v>#VALUE!</v>
      </c>
      <c r="AQ83" s="10" t="e">
        <f t="shared" si="141"/>
        <v>#VALUE!</v>
      </c>
      <c r="AR83" s="10" t="e">
        <f t="shared" si="90"/>
        <v>#VALUE!</v>
      </c>
      <c r="AS83" s="10" t="e">
        <f t="shared" si="142"/>
        <v>#VALUE!</v>
      </c>
      <c r="AU83" s="10" t="e">
        <f t="shared" si="112"/>
        <v>#VALUE!</v>
      </c>
      <c r="AV83" s="10" t="e">
        <f t="shared" si="143"/>
        <v>#VALUE!</v>
      </c>
      <c r="AW83" s="10" t="e">
        <f t="shared" si="91"/>
        <v>#VALUE!</v>
      </c>
      <c r="AX83" s="10" t="e">
        <f t="shared" si="113"/>
        <v>#VALUE!</v>
      </c>
      <c r="AY83" s="10" t="e">
        <f t="shared" si="114"/>
        <v>#VALUE!</v>
      </c>
      <c r="AZ83" s="10" t="e">
        <f t="shared" si="115"/>
        <v>#VALUE!</v>
      </c>
      <c r="BA83" s="10" t="e">
        <f t="shared" si="144"/>
        <v>#VALUE!</v>
      </c>
      <c r="BB83" s="10" t="e">
        <f t="shared" si="92"/>
        <v>#VALUE!</v>
      </c>
      <c r="BC83" s="10" t="e">
        <f t="shared" si="145"/>
        <v>#VALUE!</v>
      </c>
      <c r="BE83" s="10" t="e">
        <f t="shared" si="116"/>
        <v>#VALUE!</v>
      </c>
      <c r="BF83" s="10" t="e">
        <f t="shared" si="146"/>
        <v>#VALUE!</v>
      </c>
      <c r="BG83" s="10" t="e">
        <f t="shared" si="93"/>
        <v>#VALUE!</v>
      </c>
      <c r="BH83" s="10" t="e">
        <f t="shared" si="117"/>
        <v>#VALUE!</v>
      </c>
      <c r="BI83" s="10" t="e">
        <f t="shared" si="118"/>
        <v>#VALUE!</v>
      </c>
      <c r="BJ83" s="10" t="e">
        <f t="shared" si="119"/>
        <v>#VALUE!</v>
      </c>
      <c r="BK83" s="10" t="e">
        <f t="shared" si="147"/>
        <v>#VALUE!</v>
      </c>
      <c r="BL83" s="10" t="e">
        <f t="shared" si="94"/>
        <v>#VALUE!</v>
      </c>
      <c r="BM83" s="10" t="e">
        <f t="shared" si="148"/>
        <v>#VALUE!</v>
      </c>
      <c r="BP83" s="10" t="e">
        <f t="shared" si="120"/>
        <v>#VALUE!</v>
      </c>
      <c r="BQ83" s="10" t="e">
        <f t="shared" si="121"/>
        <v>#VALUE!</v>
      </c>
      <c r="BR83" s="10" t="e">
        <f t="shared" si="122"/>
        <v>#VALUE!</v>
      </c>
      <c r="BS83" s="10" t="e">
        <f t="shared" si="123"/>
        <v>#VALUE!</v>
      </c>
      <c r="BT83" s="10" t="e">
        <f t="shared" si="124"/>
        <v>#VALUE!</v>
      </c>
      <c r="BU83" s="10" t="e">
        <f t="shared" si="125"/>
        <v>#VALUE!</v>
      </c>
      <c r="BW83" s="10" t="e">
        <f t="shared" si="126"/>
        <v>#VALUE!</v>
      </c>
      <c r="BX83" s="10" t="e">
        <f t="shared" si="127"/>
        <v>#VALUE!</v>
      </c>
      <c r="BY83" s="10" t="e">
        <f t="shared" si="128"/>
        <v>#VALUE!</v>
      </c>
      <c r="BZ83" s="10" t="e">
        <f t="shared" si="129"/>
        <v>#VALUE!</v>
      </c>
      <c r="CA83" s="10" t="e">
        <f t="shared" si="130"/>
        <v>#VALUE!</v>
      </c>
      <c r="CB83" s="10" t="e">
        <f t="shared" si="131"/>
        <v>#VALUE!</v>
      </c>
      <c r="CD83" s="10" t="e">
        <f>MATCH(INDEX($BP$12:$BU$12,1,MATCH(BP83,$BP$15:$BU$15,0)),结果汇总!$AI$10:$AI$13,0)</f>
        <v>#VALUE!</v>
      </c>
      <c r="CE83" s="10" t="e">
        <f>MATCH(INDEX($BP$12:$BU$12,1,MATCH(BQ83,$BP$15:$BU$15,0)),结果汇总!$AI$10:$AI$13,0)</f>
        <v>#VALUE!</v>
      </c>
      <c r="CF83" s="10" t="e">
        <f>MATCH(INDEX($BP$12:$BU$12,1,MATCH(BR83,$BP$15:$BU$15,0)),结果汇总!$AI$10:$AI$13,0)</f>
        <v>#VALUE!</v>
      </c>
      <c r="CG83" s="10" t="e">
        <f>MATCH(INDEX($BP$12:$BU$12,1,MATCH(BS83,$BP$15:$BU$15,0)),结果汇总!$AI$10:$AI$13,0)</f>
        <v>#VALUE!</v>
      </c>
      <c r="CH83" s="10" t="e">
        <f>MATCH(INDEX($BP$12:$BU$12,1,MATCH(BT83,$BP$15:$BU$15,0)),结果汇总!$AI$10:$AI$13,0)</f>
        <v>#VALUE!</v>
      </c>
      <c r="CI83" s="10" t="e">
        <f>MATCH(INDEX($BP$12:$BU$12,1,MATCH(BU83,$BP$15:$BU$15,0)),结果汇总!$AI$10:$AI$13,0)</f>
        <v>#VALUE!</v>
      </c>
      <c r="CK83" s="10">
        <f t="shared" si="132"/>
        <v>0</v>
      </c>
      <c r="CL83" s="10">
        <f t="shared" si="132"/>
        <v>0</v>
      </c>
      <c r="CM83" s="10">
        <f t="shared" si="132"/>
        <v>0</v>
      </c>
      <c r="CN83" s="10">
        <f t="shared" si="132"/>
        <v>0</v>
      </c>
      <c r="CO83" s="10" t="e">
        <f t="shared" si="133"/>
        <v>#DIV/0!</v>
      </c>
      <c r="CP83" s="10" t="e">
        <f t="shared" si="133"/>
        <v>#DIV/0!</v>
      </c>
      <c r="CQ83" s="10" t="e">
        <f t="shared" si="133"/>
        <v>#DIV/0!</v>
      </c>
      <c r="CR83" s="10" t="e">
        <f t="shared" si="133"/>
        <v>#DIV/0!</v>
      </c>
      <c r="CS83" s="10">
        <f t="shared" si="134"/>
        <v>0</v>
      </c>
      <c r="CT83" s="10">
        <f t="shared" si="134"/>
        <v>0</v>
      </c>
      <c r="CU83" s="10">
        <f t="shared" si="134"/>
        <v>0</v>
      </c>
      <c r="CV83" s="10">
        <f t="shared" si="134"/>
        <v>0</v>
      </c>
      <c r="CW83" s="10">
        <f t="shared" si="135"/>
        <v>0</v>
      </c>
      <c r="CX83" s="10">
        <f t="shared" si="135"/>
        <v>0</v>
      </c>
      <c r="CY83" s="10">
        <f t="shared" si="135"/>
        <v>0</v>
      </c>
      <c r="CZ83" s="10">
        <f t="shared" si="135"/>
        <v>0</v>
      </c>
    </row>
    <row r="84" spans="4:104" x14ac:dyDescent="0.15">
      <c r="D84" s="10">
        <v>69</v>
      </c>
      <c r="E84" s="10" t="e">
        <f t="shared" si="95"/>
        <v>#VALUE!</v>
      </c>
      <c r="F84" s="10" t="e">
        <f t="shared" si="79"/>
        <v>#VALUE!</v>
      </c>
      <c r="G84" s="10" t="e">
        <f t="shared" si="80"/>
        <v>#VALUE!</v>
      </c>
      <c r="H84" s="10" t="e">
        <f t="shared" si="96"/>
        <v>#VALUE!</v>
      </c>
      <c r="I84" s="10" t="e">
        <f t="shared" si="81"/>
        <v>#VALUE!</v>
      </c>
      <c r="J84" s="10" t="e">
        <f t="shared" si="97"/>
        <v>#VALUE!</v>
      </c>
      <c r="K84" s="10" t="e">
        <f t="shared" si="82"/>
        <v>#VALUE!</v>
      </c>
      <c r="L84" s="10" t="e">
        <f t="shared" si="83"/>
        <v>#VALUE!</v>
      </c>
      <c r="M84" s="10" t="e">
        <f t="shared" si="98"/>
        <v>#VALUE!</v>
      </c>
      <c r="O84" s="10" t="e">
        <f t="shared" si="99"/>
        <v>#VALUE!</v>
      </c>
      <c r="P84" s="10" t="e">
        <f t="shared" si="84"/>
        <v>#VALUE!</v>
      </c>
      <c r="Q84" s="10" t="e">
        <f t="shared" si="85"/>
        <v>#VALUE!</v>
      </c>
      <c r="R84" s="10" t="e">
        <f t="shared" si="100"/>
        <v>#VALUE!</v>
      </c>
      <c r="S84" s="10" t="e">
        <f t="shared" si="101"/>
        <v>#VALUE!</v>
      </c>
      <c r="T84" s="10" t="e">
        <f t="shared" si="136"/>
        <v>#VALUE!</v>
      </c>
      <c r="U84" s="10" t="e">
        <f t="shared" si="137"/>
        <v>#VALUE!</v>
      </c>
      <c r="V84" s="10" t="e">
        <f t="shared" si="86"/>
        <v>#VALUE!</v>
      </c>
      <c r="W84" s="10" t="e">
        <f t="shared" si="102"/>
        <v>#VALUE!</v>
      </c>
      <c r="Y84" s="10" t="e">
        <f t="shared" si="103"/>
        <v>#VALUE!</v>
      </c>
      <c r="Z84" s="11" t="e">
        <f t="shared" si="104"/>
        <v>#VALUE!</v>
      </c>
      <c r="AA84" s="10" t="e">
        <f t="shared" si="87"/>
        <v>#VALUE!</v>
      </c>
      <c r="AB84" s="10" t="e">
        <f t="shared" si="105"/>
        <v>#VALUE!</v>
      </c>
      <c r="AC84" s="10" t="e">
        <f t="shared" si="106"/>
        <v>#VALUE!</v>
      </c>
      <c r="AD84" s="10" t="e">
        <f t="shared" si="138"/>
        <v>#VALUE!</v>
      </c>
      <c r="AE84" s="10" t="e">
        <f t="shared" si="139"/>
        <v>#VALUE!</v>
      </c>
      <c r="AF84" s="10" t="e">
        <f t="shared" si="88"/>
        <v>#VALUE!</v>
      </c>
      <c r="AG84" s="10" t="e">
        <f t="shared" si="107"/>
        <v>#VALUE!</v>
      </c>
      <c r="AI84" s="13"/>
      <c r="AK84" s="10" t="e">
        <f t="shared" si="108"/>
        <v>#VALUE!</v>
      </c>
      <c r="AL84" s="10" t="e">
        <f t="shared" si="140"/>
        <v>#VALUE!</v>
      </c>
      <c r="AM84" s="10" t="e">
        <f t="shared" si="89"/>
        <v>#VALUE!</v>
      </c>
      <c r="AN84" s="10" t="e">
        <f t="shared" si="109"/>
        <v>#VALUE!</v>
      </c>
      <c r="AO84" s="10" t="e">
        <f t="shared" si="110"/>
        <v>#VALUE!</v>
      </c>
      <c r="AP84" s="10" t="e">
        <f t="shared" si="111"/>
        <v>#VALUE!</v>
      </c>
      <c r="AQ84" s="10" t="e">
        <f t="shared" si="141"/>
        <v>#VALUE!</v>
      </c>
      <c r="AR84" s="10" t="e">
        <f t="shared" si="90"/>
        <v>#VALUE!</v>
      </c>
      <c r="AS84" s="10" t="e">
        <f t="shared" si="142"/>
        <v>#VALUE!</v>
      </c>
      <c r="AU84" s="10" t="e">
        <f t="shared" si="112"/>
        <v>#VALUE!</v>
      </c>
      <c r="AV84" s="10" t="e">
        <f t="shared" si="143"/>
        <v>#VALUE!</v>
      </c>
      <c r="AW84" s="10" t="e">
        <f t="shared" si="91"/>
        <v>#VALUE!</v>
      </c>
      <c r="AX84" s="10" t="e">
        <f t="shared" si="113"/>
        <v>#VALUE!</v>
      </c>
      <c r="AY84" s="10" t="e">
        <f t="shared" si="114"/>
        <v>#VALUE!</v>
      </c>
      <c r="AZ84" s="10" t="e">
        <f t="shared" si="115"/>
        <v>#VALUE!</v>
      </c>
      <c r="BA84" s="10" t="e">
        <f t="shared" si="144"/>
        <v>#VALUE!</v>
      </c>
      <c r="BB84" s="10" t="e">
        <f t="shared" si="92"/>
        <v>#VALUE!</v>
      </c>
      <c r="BC84" s="10" t="e">
        <f t="shared" si="145"/>
        <v>#VALUE!</v>
      </c>
      <c r="BE84" s="10" t="e">
        <f t="shared" si="116"/>
        <v>#VALUE!</v>
      </c>
      <c r="BF84" s="10" t="e">
        <f t="shared" si="146"/>
        <v>#VALUE!</v>
      </c>
      <c r="BG84" s="10" t="e">
        <f t="shared" si="93"/>
        <v>#VALUE!</v>
      </c>
      <c r="BH84" s="10" t="e">
        <f t="shared" si="117"/>
        <v>#VALUE!</v>
      </c>
      <c r="BI84" s="10" t="e">
        <f t="shared" si="118"/>
        <v>#VALUE!</v>
      </c>
      <c r="BJ84" s="10" t="e">
        <f t="shared" si="119"/>
        <v>#VALUE!</v>
      </c>
      <c r="BK84" s="10" t="e">
        <f t="shared" si="147"/>
        <v>#VALUE!</v>
      </c>
      <c r="BL84" s="10" t="e">
        <f t="shared" si="94"/>
        <v>#VALUE!</v>
      </c>
      <c r="BM84" s="10" t="e">
        <f t="shared" si="148"/>
        <v>#VALUE!</v>
      </c>
      <c r="BP84" s="10" t="e">
        <f t="shared" si="120"/>
        <v>#VALUE!</v>
      </c>
      <c r="BQ84" s="10" t="e">
        <f t="shared" si="121"/>
        <v>#VALUE!</v>
      </c>
      <c r="BR84" s="10" t="e">
        <f t="shared" si="122"/>
        <v>#VALUE!</v>
      </c>
      <c r="BS84" s="10" t="e">
        <f t="shared" si="123"/>
        <v>#VALUE!</v>
      </c>
      <c r="BT84" s="10" t="e">
        <f t="shared" si="124"/>
        <v>#VALUE!</v>
      </c>
      <c r="BU84" s="10" t="e">
        <f t="shared" si="125"/>
        <v>#VALUE!</v>
      </c>
      <c r="BW84" s="10" t="e">
        <f t="shared" si="126"/>
        <v>#VALUE!</v>
      </c>
      <c r="BX84" s="10" t="e">
        <f t="shared" si="127"/>
        <v>#VALUE!</v>
      </c>
      <c r="BY84" s="10" t="e">
        <f t="shared" si="128"/>
        <v>#VALUE!</v>
      </c>
      <c r="BZ84" s="10" t="e">
        <f t="shared" si="129"/>
        <v>#VALUE!</v>
      </c>
      <c r="CA84" s="10" t="e">
        <f t="shared" si="130"/>
        <v>#VALUE!</v>
      </c>
      <c r="CB84" s="10" t="e">
        <f t="shared" si="131"/>
        <v>#VALUE!</v>
      </c>
      <c r="CD84" s="10" t="e">
        <f>MATCH(INDEX($BP$12:$BU$12,1,MATCH(BP84,$BP$15:$BU$15,0)),结果汇总!$AI$10:$AI$13,0)</f>
        <v>#VALUE!</v>
      </c>
      <c r="CE84" s="10" t="e">
        <f>MATCH(INDEX($BP$12:$BU$12,1,MATCH(BQ84,$BP$15:$BU$15,0)),结果汇总!$AI$10:$AI$13,0)</f>
        <v>#VALUE!</v>
      </c>
      <c r="CF84" s="10" t="e">
        <f>MATCH(INDEX($BP$12:$BU$12,1,MATCH(BR84,$BP$15:$BU$15,0)),结果汇总!$AI$10:$AI$13,0)</f>
        <v>#VALUE!</v>
      </c>
      <c r="CG84" s="10" t="e">
        <f>MATCH(INDEX($BP$12:$BU$12,1,MATCH(BS84,$BP$15:$BU$15,0)),结果汇总!$AI$10:$AI$13,0)</f>
        <v>#VALUE!</v>
      </c>
      <c r="CH84" s="10" t="e">
        <f>MATCH(INDEX($BP$12:$BU$12,1,MATCH(BT84,$BP$15:$BU$15,0)),结果汇总!$AI$10:$AI$13,0)</f>
        <v>#VALUE!</v>
      </c>
      <c r="CI84" s="10" t="e">
        <f>MATCH(INDEX($BP$12:$BU$12,1,MATCH(BU84,$BP$15:$BU$15,0)),结果汇总!$AI$10:$AI$13,0)</f>
        <v>#VALUE!</v>
      </c>
      <c r="CK84" s="10">
        <f t="shared" si="132"/>
        <v>0</v>
      </c>
      <c r="CL84" s="10">
        <f t="shared" si="132"/>
        <v>0</v>
      </c>
      <c r="CM84" s="10">
        <f t="shared" si="132"/>
        <v>0</v>
      </c>
      <c r="CN84" s="10">
        <f t="shared" si="132"/>
        <v>0</v>
      </c>
      <c r="CO84" s="10" t="e">
        <f t="shared" si="133"/>
        <v>#DIV/0!</v>
      </c>
      <c r="CP84" s="10" t="e">
        <f t="shared" si="133"/>
        <v>#DIV/0!</v>
      </c>
      <c r="CQ84" s="10" t="e">
        <f t="shared" si="133"/>
        <v>#DIV/0!</v>
      </c>
      <c r="CR84" s="10" t="e">
        <f t="shared" si="133"/>
        <v>#DIV/0!</v>
      </c>
      <c r="CS84" s="10">
        <f t="shared" si="134"/>
        <v>0</v>
      </c>
      <c r="CT84" s="10">
        <f t="shared" si="134"/>
        <v>0</v>
      </c>
      <c r="CU84" s="10">
        <f t="shared" si="134"/>
        <v>0</v>
      </c>
      <c r="CV84" s="10">
        <f t="shared" si="134"/>
        <v>0</v>
      </c>
      <c r="CW84" s="10">
        <f t="shared" si="135"/>
        <v>0</v>
      </c>
      <c r="CX84" s="10">
        <f t="shared" si="135"/>
        <v>0</v>
      </c>
      <c r="CY84" s="10">
        <f t="shared" si="135"/>
        <v>0</v>
      </c>
      <c r="CZ84" s="10">
        <f t="shared" si="135"/>
        <v>0</v>
      </c>
    </row>
    <row r="85" spans="4:104" x14ac:dyDescent="0.15">
      <c r="D85" s="10">
        <v>70</v>
      </c>
      <c r="E85" s="10" t="e">
        <f t="shared" si="95"/>
        <v>#VALUE!</v>
      </c>
      <c r="F85" s="10" t="e">
        <f t="shared" si="79"/>
        <v>#VALUE!</v>
      </c>
      <c r="G85" s="10" t="e">
        <f t="shared" si="80"/>
        <v>#VALUE!</v>
      </c>
      <c r="H85" s="10" t="e">
        <f t="shared" si="96"/>
        <v>#VALUE!</v>
      </c>
      <c r="I85" s="10" t="e">
        <f t="shared" si="81"/>
        <v>#VALUE!</v>
      </c>
      <c r="J85" s="10" t="e">
        <f t="shared" si="97"/>
        <v>#VALUE!</v>
      </c>
      <c r="K85" s="10" t="e">
        <f t="shared" si="82"/>
        <v>#VALUE!</v>
      </c>
      <c r="L85" s="10" t="e">
        <f t="shared" si="83"/>
        <v>#VALUE!</v>
      </c>
      <c r="M85" s="10" t="e">
        <f t="shared" si="98"/>
        <v>#VALUE!</v>
      </c>
      <c r="O85" s="10" t="e">
        <f t="shared" si="99"/>
        <v>#VALUE!</v>
      </c>
      <c r="P85" s="10" t="e">
        <f t="shared" si="84"/>
        <v>#VALUE!</v>
      </c>
      <c r="Q85" s="10" t="e">
        <f t="shared" si="85"/>
        <v>#VALUE!</v>
      </c>
      <c r="R85" s="10" t="e">
        <f t="shared" si="100"/>
        <v>#VALUE!</v>
      </c>
      <c r="S85" s="10" t="e">
        <f t="shared" si="101"/>
        <v>#VALUE!</v>
      </c>
      <c r="T85" s="10" t="e">
        <f t="shared" si="136"/>
        <v>#VALUE!</v>
      </c>
      <c r="U85" s="10" t="e">
        <f t="shared" si="137"/>
        <v>#VALUE!</v>
      </c>
      <c r="V85" s="10" t="e">
        <f t="shared" si="86"/>
        <v>#VALUE!</v>
      </c>
      <c r="W85" s="10" t="e">
        <f t="shared" si="102"/>
        <v>#VALUE!</v>
      </c>
      <c r="Y85" s="10" t="e">
        <f t="shared" si="103"/>
        <v>#VALUE!</v>
      </c>
      <c r="Z85" s="11" t="e">
        <f t="shared" si="104"/>
        <v>#VALUE!</v>
      </c>
      <c r="AA85" s="10" t="e">
        <f t="shared" si="87"/>
        <v>#VALUE!</v>
      </c>
      <c r="AB85" s="10" t="e">
        <f t="shared" si="105"/>
        <v>#VALUE!</v>
      </c>
      <c r="AC85" s="10" t="e">
        <f t="shared" si="106"/>
        <v>#VALUE!</v>
      </c>
      <c r="AD85" s="10" t="e">
        <f t="shared" si="138"/>
        <v>#VALUE!</v>
      </c>
      <c r="AE85" s="10" t="e">
        <f t="shared" si="139"/>
        <v>#VALUE!</v>
      </c>
      <c r="AF85" s="10" t="e">
        <f t="shared" si="88"/>
        <v>#VALUE!</v>
      </c>
      <c r="AG85" s="10" t="e">
        <f t="shared" si="107"/>
        <v>#VALUE!</v>
      </c>
      <c r="AI85" s="13"/>
      <c r="AK85" s="10" t="e">
        <f t="shared" si="108"/>
        <v>#VALUE!</v>
      </c>
      <c r="AL85" s="10" t="e">
        <f t="shared" si="140"/>
        <v>#VALUE!</v>
      </c>
      <c r="AM85" s="10" t="e">
        <f t="shared" si="89"/>
        <v>#VALUE!</v>
      </c>
      <c r="AN85" s="10" t="e">
        <f t="shared" si="109"/>
        <v>#VALUE!</v>
      </c>
      <c r="AO85" s="10" t="e">
        <f t="shared" si="110"/>
        <v>#VALUE!</v>
      </c>
      <c r="AP85" s="10" t="e">
        <f t="shared" si="111"/>
        <v>#VALUE!</v>
      </c>
      <c r="AQ85" s="10" t="e">
        <f t="shared" si="141"/>
        <v>#VALUE!</v>
      </c>
      <c r="AR85" s="10" t="e">
        <f t="shared" si="90"/>
        <v>#VALUE!</v>
      </c>
      <c r="AS85" s="10" t="e">
        <f t="shared" si="142"/>
        <v>#VALUE!</v>
      </c>
      <c r="AU85" s="10" t="e">
        <f t="shared" si="112"/>
        <v>#VALUE!</v>
      </c>
      <c r="AV85" s="10" t="e">
        <f t="shared" si="143"/>
        <v>#VALUE!</v>
      </c>
      <c r="AW85" s="10" t="e">
        <f t="shared" si="91"/>
        <v>#VALUE!</v>
      </c>
      <c r="AX85" s="10" t="e">
        <f t="shared" si="113"/>
        <v>#VALUE!</v>
      </c>
      <c r="AY85" s="10" t="e">
        <f t="shared" si="114"/>
        <v>#VALUE!</v>
      </c>
      <c r="AZ85" s="10" t="e">
        <f t="shared" si="115"/>
        <v>#VALUE!</v>
      </c>
      <c r="BA85" s="10" t="e">
        <f t="shared" si="144"/>
        <v>#VALUE!</v>
      </c>
      <c r="BB85" s="10" t="e">
        <f t="shared" si="92"/>
        <v>#VALUE!</v>
      </c>
      <c r="BC85" s="10" t="e">
        <f t="shared" si="145"/>
        <v>#VALUE!</v>
      </c>
      <c r="BE85" s="10" t="e">
        <f t="shared" si="116"/>
        <v>#VALUE!</v>
      </c>
      <c r="BF85" s="10" t="e">
        <f t="shared" si="146"/>
        <v>#VALUE!</v>
      </c>
      <c r="BG85" s="10" t="e">
        <f t="shared" si="93"/>
        <v>#VALUE!</v>
      </c>
      <c r="BH85" s="10" t="e">
        <f t="shared" si="117"/>
        <v>#VALUE!</v>
      </c>
      <c r="BI85" s="10" t="e">
        <f t="shared" si="118"/>
        <v>#VALUE!</v>
      </c>
      <c r="BJ85" s="10" t="e">
        <f t="shared" si="119"/>
        <v>#VALUE!</v>
      </c>
      <c r="BK85" s="10" t="e">
        <f t="shared" si="147"/>
        <v>#VALUE!</v>
      </c>
      <c r="BL85" s="10" t="e">
        <f t="shared" si="94"/>
        <v>#VALUE!</v>
      </c>
      <c r="BM85" s="10" t="e">
        <f t="shared" si="148"/>
        <v>#VALUE!</v>
      </c>
      <c r="BP85" s="10" t="e">
        <f t="shared" si="120"/>
        <v>#VALUE!</v>
      </c>
      <c r="BQ85" s="10" t="e">
        <f t="shared" si="121"/>
        <v>#VALUE!</v>
      </c>
      <c r="BR85" s="10" t="e">
        <f t="shared" si="122"/>
        <v>#VALUE!</v>
      </c>
      <c r="BS85" s="10" t="e">
        <f t="shared" si="123"/>
        <v>#VALUE!</v>
      </c>
      <c r="BT85" s="10" t="e">
        <f t="shared" si="124"/>
        <v>#VALUE!</v>
      </c>
      <c r="BU85" s="10" t="e">
        <f t="shared" si="125"/>
        <v>#VALUE!</v>
      </c>
      <c r="BW85" s="10" t="e">
        <f t="shared" si="126"/>
        <v>#VALUE!</v>
      </c>
      <c r="BX85" s="10" t="e">
        <f t="shared" si="127"/>
        <v>#VALUE!</v>
      </c>
      <c r="BY85" s="10" t="e">
        <f t="shared" si="128"/>
        <v>#VALUE!</v>
      </c>
      <c r="BZ85" s="10" t="e">
        <f t="shared" si="129"/>
        <v>#VALUE!</v>
      </c>
      <c r="CA85" s="10" t="e">
        <f t="shared" si="130"/>
        <v>#VALUE!</v>
      </c>
      <c r="CB85" s="10" t="e">
        <f t="shared" si="131"/>
        <v>#VALUE!</v>
      </c>
      <c r="CD85" s="10" t="e">
        <f>MATCH(INDEX($BP$12:$BU$12,1,MATCH(BP85,$BP$15:$BU$15,0)),结果汇总!$AI$10:$AI$13,0)</f>
        <v>#VALUE!</v>
      </c>
      <c r="CE85" s="10" t="e">
        <f>MATCH(INDEX($BP$12:$BU$12,1,MATCH(BQ85,$BP$15:$BU$15,0)),结果汇总!$AI$10:$AI$13,0)</f>
        <v>#VALUE!</v>
      </c>
      <c r="CF85" s="10" t="e">
        <f>MATCH(INDEX($BP$12:$BU$12,1,MATCH(BR85,$BP$15:$BU$15,0)),结果汇总!$AI$10:$AI$13,0)</f>
        <v>#VALUE!</v>
      </c>
      <c r="CG85" s="10" t="e">
        <f>MATCH(INDEX($BP$12:$BU$12,1,MATCH(BS85,$BP$15:$BU$15,0)),结果汇总!$AI$10:$AI$13,0)</f>
        <v>#VALUE!</v>
      </c>
      <c r="CH85" s="10" t="e">
        <f>MATCH(INDEX($BP$12:$BU$12,1,MATCH(BT85,$BP$15:$BU$15,0)),结果汇总!$AI$10:$AI$13,0)</f>
        <v>#VALUE!</v>
      </c>
      <c r="CI85" s="10" t="e">
        <f>MATCH(INDEX($BP$12:$BU$12,1,MATCH(BU85,$BP$15:$BU$15,0)),结果汇总!$AI$10:$AI$13,0)</f>
        <v>#VALUE!</v>
      </c>
      <c r="CK85" s="10">
        <f t="shared" si="132"/>
        <v>0</v>
      </c>
      <c r="CL85" s="10">
        <f t="shared" si="132"/>
        <v>0</v>
      </c>
      <c r="CM85" s="10">
        <f t="shared" si="132"/>
        <v>0</v>
      </c>
      <c r="CN85" s="10">
        <f t="shared" si="132"/>
        <v>0</v>
      </c>
      <c r="CO85" s="10" t="e">
        <f t="shared" si="133"/>
        <v>#DIV/0!</v>
      </c>
      <c r="CP85" s="10" t="e">
        <f t="shared" si="133"/>
        <v>#DIV/0!</v>
      </c>
      <c r="CQ85" s="10" t="e">
        <f t="shared" si="133"/>
        <v>#DIV/0!</v>
      </c>
      <c r="CR85" s="10" t="e">
        <f t="shared" si="133"/>
        <v>#DIV/0!</v>
      </c>
      <c r="CS85" s="10">
        <f t="shared" si="134"/>
        <v>0</v>
      </c>
      <c r="CT85" s="10">
        <f t="shared" si="134"/>
        <v>0</v>
      </c>
      <c r="CU85" s="10">
        <f t="shared" si="134"/>
        <v>0</v>
      </c>
      <c r="CV85" s="10">
        <f t="shared" si="134"/>
        <v>0</v>
      </c>
      <c r="CW85" s="10">
        <f t="shared" si="135"/>
        <v>0</v>
      </c>
      <c r="CX85" s="10">
        <f t="shared" si="135"/>
        <v>0</v>
      </c>
      <c r="CY85" s="10">
        <f t="shared" si="135"/>
        <v>0</v>
      </c>
      <c r="CZ85" s="10">
        <f t="shared" si="135"/>
        <v>0</v>
      </c>
    </row>
    <row r="86" spans="4:104" x14ac:dyDescent="0.15">
      <c r="D86" s="10">
        <v>71</v>
      </c>
      <c r="E86" s="10" t="e">
        <f t="shared" si="95"/>
        <v>#VALUE!</v>
      </c>
      <c r="F86" s="10" t="e">
        <f t="shared" si="79"/>
        <v>#VALUE!</v>
      </c>
      <c r="G86" s="10" t="e">
        <f t="shared" si="80"/>
        <v>#VALUE!</v>
      </c>
      <c r="H86" s="10" t="e">
        <f t="shared" si="96"/>
        <v>#VALUE!</v>
      </c>
      <c r="I86" s="10" t="e">
        <f t="shared" si="81"/>
        <v>#VALUE!</v>
      </c>
      <c r="J86" s="10" t="e">
        <f t="shared" si="97"/>
        <v>#VALUE!</v>
      </c>
      <c r="K86" s="10" t="e">
        <f t="shared" si="82"/>
        <v>#VALUE!</v>
      </c>
      <c r="L86" s="10" t="e">
        <f t="shared" si="83"/>
        <v>#VALUE!</v>
      </c>
      <c r="M86" s="10" t="e">
        <f t="shared" si="98"/>
        <v>#VALUE!</v>
      </c>
      <c r="O86" s="10" t="e">
        <f t="shared" si="99"/>
        <v>#VALUE!</v>
      </c>
      <c r="P86" s="10" t="e">
        <f t="shared" si="84"/>
        <v>#VALUE!</v>
      </c>
      <c r="Q86" s="10" t="e">
        <f t="shared" si="85"/>
        <v>#VALUE!</v>
      </c>
      <c r="R86" s="10" t="e">
        <f t="shared" si="100"/>
        <v>#VALUE!</v>
      </c>
      <c r="S86" s="10" t="e">
        <f t="shared" si="101"/>
        <v>#VALUE!</v>
      </c>
      <c r="T86" s="10" t="e">
        <f t="shared" si="136"/>
        <v>#VALUE!</v>
      </c>
      <c r="U86" s="10" t="e">
        <f t="shared" si="137"/>
        <v>#VALUE!</v>
      </c>
      <c r="V86" s="10" t="e">
        <f t="shared" si="86"/>
        <v>#VALUE!</v>
      </c>
      <c r="W86" s="10" t="e">
        <f t="shared" si="102"/>
        <v>#VALUE!</v>
      </c>
      <c r="Y86" s="10" t="e">
        <f t="shared" si="103"/>
        <v>#VALUE!</v>
      </c>
      <c r="Z86" s="11" t="e">
        <f t="shared" si="104"/>
        <v>#VALUE!</v>
      </c>
      <c r="AA86" s="10" t="e">
        <f t="shared" si="87"/>
        <v>#VALUE!</v>
      </c>
      <c r="AB86" s="10" t="e">
        <f t="shared" si="105"/>
        <v>#VALUE!</v>
      </c>
      <c r="AC86" s="10" t="e">
        <f t="shared" si="106"/>
        <v>#VALUE!</v>
      </c>
      <c r="AD86" s="10" t="e">
        <f t="shared" si="138"/>
        <v>#VALUE!</v>
      </c>
      <c r="AE86" s="10" t="e">
        <f t="shared" si="139"/>
        <v>#VALUE!</v>
      </c>
      <c r="AF86" s="10" t="e">
        <f t="shared" si="88"/>
        <v>#VALUE!</v>
      </c>
      <c r="AG86" s="10" t="e">
        <f t="shared" si="107"/>
        <v>#VALUE!</v>
      </c>
      <c r="AI86" s="13"/>
      <c r="AK86" s="10" t="e">
        <f t="shared" si="108"/>
        <v>#VALUE!</v>
      </c>
      <c r="AL86" s="10" t="e">
        <f t="shared" si="140"/>
        <v>#VALUE!</v>
      </c>
      <c r="AM86" s="10" t="e">
        <f t="shared" si="89"/>
        <v>#VALUE!</v>
      </c>
      <c r="AN86" s="10" t="e">
        <f t="shared" si="109"/>
        <v>#VALUE!</v>
      </c>
      <c r="AO86" s="10" t="e">
        <f t="shared" si="110"/>
        <v>#VALUE!</v>
      </c>
      <c r="AP86" s="10" t="e">
        <f t="shared" si="111"/>
        <v>#VALUE!</v>
      </c>
      <c r="AQ86" s="10" t="e">
        <f t="shared" si="141"/>
        <v>#VALUE!</v>
      </c>
      <c r="AR86" s="10" t="e">
        <f t="shared" si="90"/>
        <v>#VALUE!</v>
      </c>
      <c r="AS86" s="10" t="e">
        <f t="shared" si="142"/>
        <v>#VALUE!</v>
      </c>
      <c r="AU86" s="10" t="e">
        <f t="shared" si="112"/>
        <v>#VALUE!</v>
      </c>
      <c r="AV86" s="10" t="e">
        <f t="shared" si="143"/>
        <v>#VALUE!</v>
      </c>
      <c r="AW86" s="10" t="e">
        <f t="shared" si="91"/>
        <v>#VALUE!</v>
      </c>
      <c r="AX86" s="10" t="e">
        <f t="shared" si="113"/>
        <v>#VALUE!</v>
      </c>
      <c r="AY86" s="10" t="e">
        <f t="shared" si="114"/>
        <v>#VALUE!</v>
      </c>
      <c r="AZ86" s="10" t="e">
        <f t="shared" si="115"/>
        <v>#VALUE!</v>
      </c>
      <c r="BA86" s="10" t="e">
        <f t="shared" si="144"/>
        <v>#VALUE!</v>
      </c>
      <c r="BB86" s="10" t="e">
        <f t="shared" si="92"/>
        <v>#VALUE!</v>
      </c>
      <c r="BC86" s="10" t="e">
        <f t="shared" si="145"/>
        <v>#VALUE!</v>
      </c>
      <c r="BE86" s="10" t="e">
        <f t="shared" si="116"/>
        <v>#VALUE!</v>
      </c>
      <c r="BF86" s="10" t="e">
        <f t="shared" si="146"/>
        <v>#VALUE!</v>
      </c>
      <c r="BG86" s="10" t="e">
        <f t="shared" si="93"/>
        <v>#VALUE!</v>
      </c>
      <c r="BH86" s="10" t="e">
        <f t="shared" si="117"/>
        <v>#VALUE!</v>
      </c>
      <c r="BI86" s="10" t="e">
        <f t="shared" si="118"/>
        <v>#VALUE!</v>
      </c>
      <c r="BJ86" s="10" t="e">
        <f t="shared" si="119"/>
        <v>#VALUE!</v>
      </c>
      <c r="BK86" s="10" t="e">
        <f t="shared" si="147"/>
        <v>#VALUE!</v>
      </c>
      <c r="BL86" s="10" t="e">
        <f t="shared" si="94"/>
        <v>#VALUE!</v>
      </c>
      <c r="BM86" s="10" t="e">
        <f t="shared" si="148"/>
        <v>#VALUE!</v>
      </c>
      <c r="BP86" s="10" t="e">
        <f t="shared" si="120"/>
        <v>#VALUE!</v>
      </c>
      <c r="BQ86" s="10" t="e">
        <f t="shared" si="121"/>
        <v>#VALUE!</v>
      </c>
      <c r="BR86" s="10" t="e">
        <f t="shared" si="122"/>
        <v>#VALUE!</v>
      </c>
      <c r="BS86" s="10" t="e">
        <f t="shared" si="123"/>
        <v>#VALUE!</v>
      </c>
      <c r="BT86" s="10" t="e">
        <f t="shared" si="124"/>
        <v>#VALUE!</v>
      </c>
      <c r="BU86" s="10" t="e">
        <f t="shared" si="125"/>
        <v>#VALUE!</v>
      </c>
      <c r="BW86" s="10" t="e">
        <f t="shared" si="126"/>
        <v>#VALUE!</v>
      </c>
      <c r="BX86" s="10" t="e">
        <f t="shared" si="127"/>
        <v>#VALUE!</v>
      </c>
      <c r="BY86" s="10" t="e">
        <f t="shared" si="128"/>
        <v>#VALUE!</v>
      </c>
      <c r="BZ86" s="10" t="e">
        <f t="shared" si="129"/>
        <v>#VALUE!</v>
      </c>
      <c r="CA86" s="10" t="e">
        <f t="shared" si="130"/>
        <v>#VALUE!</v>
      </c>
      <c r="CB86" s="10" t="e">
        <f t="shared" si="131"/>
        <v>#VALUE!</v>
      </c>
      <c r="CD86" s="10" t="e">
        <f>MATCH(INDEX($BP$12:$BU$12,1,MATCH(BP86,$BP$15:$BU$15,0)),结果汇总!$AI$10:$AI$13,0)</f>
        <v>#VALUE!</v>
      </c>
      <c r="CE86" s="10" t="e">
        <f>MATCH(INDEX($BP$12:$BU$12,1,MATCH(BQ86,$BP$15:$BU$15,0)),结果汇总!$AI$10:$AI$13,0)</f>
        <v>#VALUE!</v>
      </c>
      <c r="CF86" s="10" t="e">
        <f>MATCH(INDEX($BP$12:$BU$12,1,MATCH(BR86,$BP$15:$BU$15,0)),结果汇总!$AI$10:$AI$13,0)</f>
        <v>#VALUE!</v>
      </c>
      <c r="CG86" s="10" t="e">
        <f>MATCH(INDEX($BP$12:$BU$12,1,MATCH(BS86,$BP$15:$BU$15,0)),结果汇总!$AI$10:$AI$13,0)</f>
        <v>#VALUE!</v>
      </c>
      <c r="CH86" s="10" t="e">
        <f>MATCH(INDEX($BP$12:$BU$12,1,MATCH(BT86,$BP$15:$BU$15,0)),结果汇总!$AI$10:$AI$13,0)</f>
        <v>#VALUE!</v>
      </c>
      <c r="CI86" s="10" t="e">
        <f>MATCH(INDEX($BP$12:$BU$12,1,MATCH(BU86,$BP$15:$BU$15,0)),结果汇总!$AI$10:$AI$13,0)</f>
        <v>#VALUE!</v>
      </c>
      <c r="CK86" s="10">
        <f t="shared" si="132"/>
        <v>0</v>
      </c>
      <c r="CL86" s="10">
        <f t="shared" si="132"/>
        <v>0</v>
      </c>
      <c r="CM86" s="10">
        <f t="shared" si="132"/>
        <v>0</v>
      </c>
      <c r="CN86" s="10">
        <f t="shared" si="132"/>
        <v>0</v>
      </c>
      <c r="CO86" s="10" t="e">
        <f t="shared" si="133"/>
        <v>#DIV/0!</v>
      </c>
      <c r="CP86" s="10" t="e">
        <f t="shared" si="133"/>
        <v>#DIV/0!</v>
      </c>
      <c r="CQ86" s="10" t="e">
        <f t="shared" si="133"/>
        <v>#DIV/0!</v>
      </c>
      <c r="CR86" s="10" t="e">
        <f t="shared" si="133"/>
        <v>#DIV/0!</v>
      </c>
      <c r="CS86" s="10">
        <f t="shared" si="134"/>
        <v>0</v>
      </c>
      <c r="CT86" s="10">
        <f t="shared" si="134"/>
        <v>0</v>
      </c>
      <c r="CU86" s="10">
        <f t="shared" si="134"/>
        <v>0</v>
      </c>
      <c r="CV86" s="10">
        <f t="shared" si="134"/>
        <v>0</v>
      </c>
      <c r="CW86" s="10">
        <f t="shared" si="135"/>
        <v>0</v>
      </c>
      <c r="CX86" s="10">
        <f t="shared" si="135"/>
        <v>0</v>
      </c>
      <c r="CY86" s="10">
        <f t="shared" si="135"/>
        <v>0</v>
      </c>
      <c r="CZ86" s="10">
        <f t="shared" si="135"/>
        <v>0</v>
      </c>
    </row>
    <row r="87" spans="4:104" x14ac:dyDescent="0.15">
      <c r="D87" s="10">
        <v>72</v>
      </c>
      <c r="E87" s="10" t="e">
        <f t="shared" si="95"/>
        <v>#VALUE!</v>
      </c>
      <c r="F87" s="10" t="e">
        <f t="shared" si="79"/>
        <v>#VALUE!</v>
      </c>
      <c r="G87" s="10" t="e">
        <f t="shared" si="80"/>
        <v>#VALUE!</v>
      </c>
      <c r="H87" s="10" t="e">
        <f t="shared" si="96"/>
        <v>#VALUE!</v>
      </c>
      <c r="I87" s="10" t="e">
        <f t="shared" si="81"/>
        <v>#VALUE!</v>
      </c>
      <c r="J87" s="10" t="e">
        <f t="shared" si="97"/>
        <v>#VALUE!</v>
      </c>
      <c r="K87" s="10" t="e">
        <f t="shared" si="82"/>
        <v>#VALUE!</v>
      </c>
      <c r="L87" s="10" t="e">
        <f t="shared" si="83"/>
        <v>#VALUE!</v>
      </c>
      <c r="M87" s="10" t="e">
        <f t="shared" si="98"/>
        <v>#VALUE!</v>
      </c>
      <c r="O87" s="10" t="e">
        <f t="shared" si="99"/>
        <v>#VALUE!</v>
      </c>
      <c r="P87" s="10" t="e">
        <f t="shared" si="84"/>
        <v>#VALUE!</v>
      </c>
      <c r="Q87" s="10" t="e">
        <f t="shared" si="85"/>
        <v>#VALUE!</v>
      </c>
      <c r="R87" s="10" t="e">
        <f t="shared" si="100"/>
        <v>#VALUE!</v>
      </c>
      <c r="S87" s="10" t="e">
        <f t="shared" si="101"/>
        <v>#VALUE!</v>
      </c>
      <c r="T87" s="10" t="e">
        <f t="shared" si="136"/>
        <v>#VALUE!</v>
      </c>
      <c r="U87" s="10" t="e">
        <f t="shared" si="137"/>
        <v>#VALUE!</v>
      </c>
      <c r="V87" s="10" t="e">
        <f t="shared" si="86"/>
        <v>#VALUE!</v>
      </c>
      <c r="W87" s="10" t="e">
        <f t="shared" si="102"/>
        <v>#VALUE!</v>
      </c>
      <c r="Y87" s="10" t="e">
        <f t="shared" si="103"/>
        <v>#VALUE!</v>
      </c>
      <c r="Z87" s="11" t="e">
        <f t="shared" si="104"/>
        <v>#VALUE!</v>
      </c>
      <c r="AA87" s="10" t="e">
        <f t="shared" si="87"/>
        <v>#VALUE!</v>
      </c>
      <c r="AB87" s="10" t="e">
        <f t="shared" si="105"/>
        <v>#VALUE!</v>
      </c>
      <c r="AC87" s="10" t="e">
        <f t="shared" si="106"/>
        <v>#VALUE!</v>
      </c>
      <c r="AD87" s="10" t="e">
        <f t="shared" si="138"/>
        <v>#VALUE!</v>
      </c>
      <c r="AE87" s="10" t="e">
        <f t="shared" si="139"/>
        <v>#VALUE!</v>
      </c>
      <c r="AF87" s="10" t="e">
        <f t="shared" si="88"/>
        <v>#VALUE!</v>
      </c>
      <c r="AG87" s="10" t="e">
        <f t="shared" si="107"/>
        <v>#VALUE!</v>
      </c>
      <c r="AI87" s="13"/>
      <c r="AK87" s="10" t="e">
        <f t="shared" si="108"/>
        <v>#VALUE!</v>
      </c>
      <c r="AL87" s="10" t="e">
        <f t="shared" si="140"/>
        <v>#VALUE!</v>
      </c>
      <c r="AM87" s="10" t="e">
        <f t="shared" si="89"/>
        <v>#VALUE!</v>
      </c>
      <c r="AN87" s="10" t="e">
        <f t="shared" si="109"/>
        <v>#VALUE!</v>
      </c>
      <c r="AO87" s="10" t="e">
        <f t="shared" si="110"/>
        <v>#VALUE!</v>
      </c>
      <c r="AP87" s="10" t="e">
        <f t="shared" si="111"/>
        <v>#VALUE!</v>
      </c>
      <c r="AQ87" s="10" t="e">
        <f t="shared" si="141"/>
        <v>#VALUE!</v>
      </c>
      <c r="AR87" s="10" t="e">
        <f t="shared" si="90"/>
        <v>#VALUE!</v>
      </c>
      <c r="AS87" s="10" t="e">
        <f t="shared" si="142"/>
        <v>#VALUE!</v>
      </c>
      <c r="AU87" s="10" t="e">
        <f t="shared" si="112"/>
        <v>#VALUE!</v>
      </c>
      <c r="AV87" s="10" t="e">
        <f t="shared" si="143"/>
        <v>#VALUE!</v>
      </c>
      <c r="AW87" s="10" t="e">
        <f t="shared" si="91"/>
        <v>#VALUE!</v>
      </c>
      <c r="AX87" s="10" t="e">
        <f t="shared" si="113"/>
        <v>#VALUE!</v>
      </c>
      <c r="AY87" s="10" t="e">
        <f t="shared" si="114"/>
        <v>#VALUE!</v>
      </c>
      <c r="AZ87" s="10" t="e">
        <f t="shared" si="115"/>
        <v>#VALUE!</v>
      </c>
      <c r="BA87" s="10" t="e">
        <f t="shared" si="144"/>
        <v>#VALUE!</v>
      </c>
      <c r="BB87" s="10" t="e">
        <f t="shared" si="92"/>
        <v>#VALUE!</v>
      </c>
      <c r="BC87" s="10" t="e">
        <f t="shared" si="145"/>
        <v>#VALUE!</v>
      </c>
      <c r="BE87" s="10" t="e">
        <f t="shared" si="116"/>
        <v>#VALUE!</v>
      </c>
      <c r="BF87" s="10" t="e">
        <f t="shared" si="146"/>
        <v>#VALUE!</v>
      </c>
      <c r="BG87" s="10" t="e">
        <f t="shared" si="93"/>
        <v>#VALUE!</v>
      </c>
      <c r="BH87" s="10" t="e">
        <f t="shared" si="117"/>
        <v>#VALUE!</v>
      </c>
      <c r="BI87" s="10" t="e">
        <f t="shared" si="118"/>
        <v>#VALUE!</v>
      </c>
      <c r="BJ87" s="10" t="e">
        <f t="shared" si="119"/>
        <v>#VALUE!</v>
      </c>
      <c r="BK87" s="10" t="e">
        <f t="shared" si="147"/>
        <v>#VALUE!</v>
      </c>
      <c r="BL87" s="10" t="e">
        <f t="shared" si="94"/>
        <v>#VALUE!</v>
      </c>
      <c r="BM87" s="10" t="e">
        <f t="shared" si="148"/>
        <v>#VALUE!</v>
      </c>
      <c r="BP87" s="10" t="e">
        <f t="shared" si="120"/>
        <v>#VALUE!</v>
      </c>
      <c r="BQ87" s="10" t="e">
        <f t="shared" si="121"/>
        <v>#VALUE!</v>
      </c>
      <c r="BR87" s="10" t="e">
        <f t="shared" si="122"/>
        <v>#VALUE!</v>
      </c>
      <c r="BS87" s="10" t="e">
        <f t="shared" si="123"/>
        <v>#VALUE!</v>
      </c>
      <c r="BT87" s="10" t="e">
        <f t="shared" si="124"/>
        <v>#VALUE!</v>
      </c>
      <c r="BU87" s="10" t="e">
        <f t="shared" si="125"/>
        <v>#VALUE!</v>
      </c>
      <c r="BW87" s="10" t="e">
        <f t="shared" si="126"/>
        <v>#VALUE!</v>
      </c>
      <c r="BX87" s="10" t="e">
        <f t="shared" si="127"/>
        <v>#VALUE!</v>
      </c>
      <c r="BY87" s="10" t="e">
        <f t="shared" si="128"/>
        <v>#VALUE!</v>
      </c>
      <c r="BZ87" s="10" t="e">
        <f t="shared" si="129"/>
        <v>#VALUE!</v>
      </c>
      <c r="CA87" s="10" t="e">
        <f t="shared" si="130"/>
        <v>#VALUE!</v>
      </c>
      <c r="CB87" s="10" t="e">
        <f t="shared" si="131"/>
        <v>#VALUE!</v>
      </c>
      <c r="CD87" s="10" t="e">
        <f>MATCH(INDEX($BP$12:$BU$12,1,MATCH(BP87,$BP$15:$BU$15,0)),结果汇总!$AI$10:$AI$13,0)</f>
        <v>#VALUE!</v>
      </c>
      <c r="CE87" s="10" t="e">
        <f>MATCH(INDEX($BP$12:$BU$12,1,MATCH(BQ87,$BP$15:$BU$15,0)),结果汇总!$AI$10:$AI$13,0)</f>
        <v>#VALUE!</v>
      </c>
      <c r="CF87" s="10" t="e">
        <f>MATCH(INDEX($BP$12:$BU$12,1,MATCH(BR87,$BP$15:$BU$15,0)),结果汇总!$AI$10:$AI$13,0)</f>
        <v>#VALUE!</v>
      </c>
      <c r="CG87" s="10" t="e">
        <f>MATCH(INDEX($BP$12:$BU$12,1,MATCH(BS87,$BP$15:$BU$15,0)),结果汇总!$AI$10:$AI$13,0)</f>
        <v>#VALUE!</v>
      </c>
      <c r="CH87" s="10" t="e">
        <f>MATCH(INDEX($BP$12:$BU$12,1,MATCH(BT87,$BP$15:$BU$15,0)),结果汇总!$AI$10:$AI$13,0)</f>
        <v>#VALUE!</v>
      </c>
      <c r="CI87" s="10" t="e">
        <f>MATCH(INDEX($BP$12:$BU$12,1,MATCH(BU87,$BP$15:$BU$15,0)),结果汇总!$AI$10:$AI$13,0)</f>
        <v>#VALUE!</v>
      </c>
      <c r="CK87" s="10">
        <f t="shared" si="132"/>
        <v>0</v>
      </c>
      <c r="CL87" s="10">
        <f t="shared" si="132"/>
        <v>0</v>
      </c>
      <c r="CM87" s="10">
        <f t="shared" si="132"/>
        <v>0</v>
      </c>
      <c r="CN87" s="10">
        <f t="shared" si="132"/>
        <v>0</v>
      </c>
      <c r="CO87" s="10" t="e">
        <f t="shared" si="133"/>
        <v>#DIV/0!</v>
      </c>
      <c r="CP87" s="10" t="e">
        <f t="shared" si="133"/>
        <v>#DIV/0!</v>
      </c>
      <c r="CQ87" s="10" t="e">
        <f t="shared" si="133"/>
        <v>#DIV/0!</v>
      </c>
      <c r="CR87" s="10" t="e">
        <f t="shared" si="133"/>
        <v>#DIV/0!</v>
      </c>
      <c r="CS87" s="10">
        <f t="shared" si="134"/>
        <v>0</v>
      </c>
      <c r="CT87" s="10">
        <f t="shared" si="134"/>
        <v>0</v>
      </c>
      <c r="CU87" s="10">
        <f t="shared" si="134"/>
        <v>0</v>
      </c>
      <c r="CV87" s="10">
        <f t="shared" si="134"/>
        <v>0</v>
      </c>
      <c r="CW87" s="10">
        <f t="shared" si="135"/>
        <v>0</v>
      </c>
      <c r="CX87" s="10">
        <f t="shared" si="135"/>
        <v>0</v>
      </c>
      <c r="CY87" s="10">
        <f t="shared" si="135"/>
        <v>0</v>
      </c>
      <c r="CZ87" s="10">
        <f t="shared" si="135"/>
        <v>0</v>
      </c>
    </row>
    <row r="88" spans="4:104" x14ac:dyDescent="0.15">
      <c r="D88" s="10">
        <v>73</v>
      </c>
      <c r="E88" s="10" t="e">
        <f t="shared" si="95"/>
        <v>#VALUE!</v>
      </c>
      <c r="F88" s="10" t="e">
        <f t="shared" si="79"/>
        <v>#VALUE!</v>
      </c>
      <c r="G88" s="10" t="e">
        <f t="shared" si="80"/>
        <v>#VALUE!</v>
      </c>
      <c r="H88" s="10" t="e">
        <f t="shared" si="96"/>
        <v>#VALUE!</v>
      </c>
      <c r="I88" s="10" t="e">
        <f t="shared" si="81"/>
        <v>#VALUE!</v>
      </c>
      <c r="J88" s="10" t="e">
        <f t="shared" si="97"/>
        <v>#VALUE!</v>
      </c>
      <c r="K88" s="10" t="e">
        <f t="shared" si="82"/>
        <v>#VALUE!</v>
      </c>
      <c r="L88" s="10" t="e">
        <f t="shared" si="83"/>
        <v>#VALUE!</v>
      </c>
      <c r="M88" s="10" t="e">
        <f t="shared" si="98"/>
        <v>#VALUE!</v>
      </c>
      <c r="O88" s="10" t="e">
        <f t="shared" si="99"/>
        <v>#VALUE!</v>
      </c>
      <c r="P88" s="10" t="e">
        <f t="shared" si="84"/>
        <v>#VALUE!</v>
      </c>
      <c r="Q88" s="10" t="e">
        <f t="shared" si="85"/>
        <v>#VALUE!</v>
      </c>
      <c r="R88" s="10" t="e">
        <f t="shared" si="100"/>
        <v>#VALUE!</v>
      </c>
      <c r="S88" s="10" t="e">
        <f t="shared" si="101"/>
        <v>#VALUE!</v>
      </c>
      <c r="T88" s="10" t="e">
        <f t="shared" si="136"/>
        <v>#VALUE!</v>
      </c>
      <c r="U88" s="10" t="e">
        <f t="shared" si="137"/>
        <v>#VALUE!</v>
      </c>
      <c r="V88" s="10" t="e">
        <f t="shared" si="86"/>
        <v>#VALUE!</v>
      </c>
      <c r="W88" s="10" t="e">
        <f t="shared" si="102"/>
        <v>#VALUE!</v>
      </c>
      <c r="Y88" s="10" t="e">
        <f t="shared" si="103"/>
        <v>#VALUE!</v>
      </c>
      <c r="Z88" s="11" t="e">
        <f t="shared" si="104"/>
        <v>#VALUE!</v>
      </c>
      <c r="AA88" s="10" t="e">
        <f t="shared" si="87"/>
        <v>#VALUE!</v>
      </c>
      <c r="AB88" s="10" t="e">
        <f t="shared" si="105"/>
        <v>#VALUE!</v>
      </c>
      <c r="AC88" s="10" t="e">
        <f t="shared" si="106"/>
        <v>#VALUE!</v>
      </c>
      <c r="AD88" s="10" t="e">
        <f t="shared" si="138"/>
        <v>#VALUE!</v>
      </c>
      <c r="AE88" s="10" t="e">
        <f t="shared" si="139"/>
        <v>#VALUE!</v>
      </c>
      <c r="AF88" s="10" t="e">
        <f t="shared" si="88"/>
        <v>#VALUE!</v>
      </c>
      <c r="AG88" s="10" t="e">
        <f t="shared" si="107"/>
        <v>#VALUE!</v>
      </c>
      <c r="AI88" s="13"/>
      <c r="AK88" s="10" t="e">
        <f t="shared" si="108"/>
        <v>#VALUE!</v>
      </c>
      <c r="AL88" s="10" t="e">
        <f t="shared" si="140"/>
        <v>#VALUE!</v>
      </c>
      <c r="AM88" s="10" t="e">
        <f t="shared" si="89"/>
        <v>#VALUE!</v>
      </c>
      <c r="AN88" s="10" t="e">
        <f t="shared" si="109"/>
        <v>#VALUE!</v>
      </c>
      <c r="AO88" s="10" t="e">
        <f t="shared" si="110"/>
        <v>#VALUE!</v>
      </c>
      <c r="AP88" s="10" t="e">
        <f t="shared" si="111"/>
        <v>#VALUE!</v>
      </c>
      <c r="AQ88" s="10" t="e">
        <f t="shared" si="141"/>
        <v>#VALUE!</v>
      </c>
      <c r="AR88" s="10" t="e">
        <f t="shared" si="90"/>
        <v>#VALUE!</v>
      </c>
      <c r="AS88" s="10" t="e">
        <f t="shared" si="142"/>
        <v>#VALUE!</v>
      </c>
      <c r="AU88" s="10" t="e">
        <f t="shared" si="112"/>
        <v>#VALUE!</v>
      </c>
      <c r="AV88" s="10" t="e">
        <f t="shared" si="143"/>
        <v>#VALUE!</v>
      </c>
      <c r="AW88" s="10" t="e">
        <f t="shared" si="91"/>
        <v>#VALUE!</v>
      </c>
      <c r="AX88" s="10" t="e">
        <f t="shared" si="113"/>
        <v>#VALUE!</v>
      </c>
      <c r="AY88" s="10" t="e">
        <f t="shared" si="114"/>
        <v>#VALUE!</v>
      </c>
      <c r="AZ88" s="10" t="e">
        <f t="shared" si="115"/>
        <v>#VALUE!</v>
      </c>
      <c r="BA88" s="10" t="e">
        <f t="shared" si="144"/>
        <v>#VALUE!</v>
      </c>
      <c r="BB88" s="10" t="e">
        <f t="shared" si="92"/>
        <v>#VALUE!</v>
      </c>
      <c r="BC88" s="10" t="e">
        <f t="shared" si="145"/>
        <v>#VALUE!</v>
      </c>
      <c r="BE88" s="10" t="e">
        <f t="shared" si="116"/>
        <v>#VALUE!</v>
      </c>
      <c r="BF88" s="10" t="e">
        <f t="shared" si="146"/>
        <v>#VALUE!</v>
      </c>
      <c r="BG88" s="10" t="e">
        <f t="shared" si="93"/>
        <v>#VALUE!</v>
      </c>
      <c r="BH88" s="10" t="e">
        <f t="shared" si="117"/>
        <v>#VALUE!</v>
      </c>
      <c r="BI88" s="10" t="e">
        <f t="shared" si="118"/>
        <v>#VALUE!</v>
      </c>
      <c r="BJ88" s="10" t="e">
        <f t="shared" si="119"/>
        <v>#VALUE!</v>
      </c>
      <c r="BK88" s="10" t="e">
        <f t="shared" si="147"/>
        <v>#VALUE!</v>
      </c>
      <c r="BL88" s="10" t="e">
        <f t="shared" si="94"/>
        <v>#VALUE!</v>
      </c>
      <c r="BM88" s="10" t="e">
        <f t="shared" si="148"/>
        <v>#VALUE!</v>
      </c>
      <c r="BP88" s="10" t="e">
        <f t="shared" si="120"/>
        <v>#VALUE!</v>
      </c>
      <c r="BQ88" s="10" t="e">
        <f t="shared" si="121"/>
        <v>#VALUE!</v>
      </c>
      <c r="BR88" s="10" t="e">
        <f t="shared" si="122"/>
        <v>#VALUE!</v>
      </c>
      <c r="BS88" s="10" t="e">
        <f t="shared" si="123"/>
        <v>#VALUE!</v>
      </c>
      <c r="BT88" s="10" t="e">
        <f t="shared" si="124"/>
        <v>#VALUE!</v>
      </c>
      <c r="BU88" s="10" t="e">
        <f t="shared" si="125"/>
        <v>#VALUE!</v>
      </c>
      <c r="BW88" s="10" t="e">
        <f t="shared" si="126"/>
        <v>#VALUE!</v>
      </c>
      <c r="BX88" s="10" t="e">
        <f t="shared" si="127"/>
        <v>#VALUE!</v>
      </c>
      <c r="BY88" s="10" t="e">
        <f t="shared" si="128"/>
        <v>#VALUE!</v>
      </c>
      <c r="BZ88" s="10" t="e">
        <f t="shared" si="129"/>
        <v>#VALUE!</v>
      </c>
      <c r="CA88" s="10" t="e">
        <f t="shared" si="130"/>
        <v>#VALUE!</v>
      </c>
      <c r="CB88" s="10" t="e">
        <f t="shared" si="131"/>
        <v>#VALUE!</v>
      </c>
      <c r="CD88" s="10" t="e">
        <f>MATCH(INDEX($BP$12:$BU$12,1,MATCH(BP88,$BP$15:$BU$15,0)),结果汇总!$AI$10:$AI$13,0)</f>
        <v>#VALUE!</v>
      </c>
      <c r="CE88" s="10" t="e">
        <f>MATCH(INDEX($BP$12:$BU$12,1,MATCH(BQ88,$BP$15:$BU$15,0)),结果汇总!$AI$10:$AI$13,0)</f>
        <v>#VALUE!</v>
      </c>
      <c r="CF88" s="10" t="e">
        <f>MATCH(INDEX($BP$12:$BU$12,1,MATCH(BR88,$BP$15:$BU$15,0)),结果汇总!$AI$10:$AI$13,0)</f>
        <v>#VALUE!</v>
      </c>
      <c r="CG88" s="10" t="e">
        <f>MATCH(INDEX($BP$12:$BU$12,1,MATCH(BS88,$BP$15:$BU$15,0)),结果汇总!$AI$10:$AI$13,0)</f>
        <v>#VALUE!</v>
      </c>
      <c r="CH88" s="10" t="e">
        <f>MATCH(INDEX($BP$12:$BU$12,1,MATCH(BT88,$BP$15:$BU$15,0)),结果汇总!$AI$10:$AI$13,0)</f>
        <v>#VALUE!</v>
      </c>
      <c r="CI88" s="10" t="e">
        <f>MATCH(INDEX($BP$12:$BU$12,1,MATCH(BU88,$BP$15:$BU$15,0)),结果汇总!$AI$10:$AI$13,0)</f>
        <v>#VALUE!</v>
      </c>
      <c r="CK88" s="10">
        <f t="shared" si="132"/>
        <v>0</v>
      </c>
      <c r="CL88" s="10">
        <f t="shared" si="132"/>
        <v>0</v>
      </c>
      <c r="CM88" s="10">
        <f t="shared" si="132"/>
        <v>0</v>
      </c>
      <c r="CN88" s="10">
        <f t="shared" si="132"/>
        <v>0</v>
      </c>
      <c r="CO88" s="10" t="e">
        <f t="shared" si="133"/>
        <v>#DIV/0!</v>
      </c>
      <c r="CP88" s="10" t="e">
        <f t="shared" si="133"/>
        <v>#DIV/0!</v>
      </c>
      <c r="CQ88" s="10" t="e">
        <f t="shared" si="133"/>
        <v>#DIV/0!</v>
      </c>
      <c r="CR88" s="10" t="e">
        <f t="shared" si="133"/>
        <v>#DIV/0!</v>
      </c>
      <c r="CS88" s="10">
        <f t="shared" si="134"/>
        <v>0</v>
      </c>
      <c r="CT88" s="10">
        <f t="shared" si="134"/>
        <v>0</v>
      </c>
      <c r="CU88" s="10">
        <f t="shared" si="134"/>
        <v>0</v>
      </c>
      <c r="CV88" s="10">
        <f t="shared" si="134"/>
        <v>0</v>
      </c>
      <c r="CW88" s="10">
        <f t="shared" si="135"/>
        <v>0</v>
      </c>
      <c r="CX88" s="10">
        <f t="shared" si="135"/>
        <v>0</v>
      </c>
      <c r="CY88" s="10">
        <f t="shared" si="135"/>
        <v>0</v>
      </c>
      <c r="CZ88" s="10">
        <f t="shared" si="135"/>
        <v>0</v>
      </c>
    </row>
    <row r="89" spans="4:104" x14ac:dyDescent="0.15">
      <c r="D89" s="10">
        <v>74</v>
      </c>
      <c r="E89" s="10" t="e">
        <f t="shared" si="95"/>
        <v>#VALUE!</v>
      </c>
      <c r="F89" s="10" t="e">
        <f t="shared" si="79"/>
        <v>#VALUE!</v>
      </c>
      <c r="G89" s="10" t="e">
        <f t="shared" si="80"/>
        <v>#VALUE!</v>
      </c>
      <c r="H89" s="10" t="e">
        <f t="shared" si="96"/>
        <v>#VALUE!</v>
      </c>
      <c r="I89" s="10" t="e">
        <f t="shared" si="81"/>
        <v>#VALUE!</v>
      </c>
      <c r="J89" s="10" t="e">
        <f t="shared" si="97"/>
        <v>#VALUE!</v>
      </c>
      <c r="K89" s="10" t="e">
        <f t="shared" si="82"/>
        <v>#VALUE!</v>
      </c>
      <c r="L89" s="10" t="e">
        <f t="shared" si="83"/>
        <v>#VALUE!</v>
      </c>
      <c r="M89" s="10" t="e">
        <f t="shared" si="98"/>
        <v>#VALUE!</v>
      </c>
      <c r="O89" s="10" t="e">
        <f t="shared" si="99"/>
        <v>#VALUE!</v>
      </c>
      <c r="P89" s="10" t="e">
        <f t="shared" si="84"/>
        <v>#VALUE!</v>
      </c>
      <c r="Q89" s="10" t="e">
        <f t="shared" si="85"/>
        <v>#VALUE!</v>
      </c>
      <c r="R89" s="10" t="e">
        <f t="shared" si="100"/>
        <v>#VALUE!</v>
      </c>
      <c r="S89" s="10" t="e">
        <f t="shared" si="101"/>
        <v>#VALUE!</v>
      </c>
      <c r="T89" s="10" t="e">
        <f t="shared" si="136"/>
        <v>#VALUE!</v>
      </c>
      <c r="U89" s="10" t="e">
        <f t="shared" si="137"/>
        <v>#VALUE!</v>
      </c>
      <c r="V89" s="10" t="e">
        <f t="shared" si="86"/>
        <v>#VALUE!</v>
      </c>
      <c r="W89" s="10" t="e">
        <f t="shared" si="102"/>
        <v>#VALUE!</v>
      </c>
      <c r="Y89" s="10" t="e">
        <f t="shared" si="103"/>
        <v>#VALUE!</v>
      </c>
      <c r="Z89" s="11" t="e">
        <f t="shared" si="104"/>
        <v>#VALUE!</v>
      </c>
      <c r="AA89" s="10" t="e">
        <f t="shared" si="87"/>
        <v>#VALUE!</v>
      </c>
      <c r="AB89" s="10" t="e">
        <f t="shared" si="105"/>
        <v>#VALUE!</v>
      </c>
      <c r="AC89" s="10" t="e">
        <f t="shared" si="106"/>
        <v>#VALUE!</v>
      </c>
      <c r="AD89" s="10" t="e">
        <f t="shared" si="138"/>
        <v>#VALUE!</v>
      </c>
      <c r="AE89" s="10" t="e">
        <f t="shared" si="139"/>
        <v>#VALUE!</v>
      </c>
      <c r="AF89" s="10" t="e">
        <f t="shared" si="88"/>
        <v>#VALUE!</v>
      </c>
      <c r="AG89" s="10" t="e">
        <f t="shared" si="107"/>
        <v>#VALUE!</v>
      </c>
      <c r="AI89" s="13"/>
      <c r="AK89" s="10" t="e">
        <f t="shared" si="108"/>
        <v>#VALUE!</v>
      </c>
      <c r="AL89" s="10" t="e">
        <f t="shared" si="140"/>
        <v>#VALUE!</v>
      </c>
      <c r="AM89" s="10" t="e">
        <f t="shared" si="89"/>
        <v>#VALUE!</v>
      </c>
      <c r="AN89" s="10" t="e">
        <f t="shared" si="109"/>
        <v>#VALUE!</v>
      </c>
      <c r="AO89" s="10" t="e">
        <f t="shared" si="110"/>
        <v>#VALUE!</v>
      </c>
      <c r="AP89" s="10" t="e">
        <f t="shared" si="111"/>
        <v>#VALUE!</v>
      </c>
      <c r="AQ89" s="10" t="e">
        <f t="shared" si="141"/>
        <v>#VALUE!</v>
      </c>
      <c r="AR89" s="10" t="e">
        <f t="shared" si="90"/>
        <v>#VALUE!</v>
      </c>
      <c r="AS89" s="10" t="e">
        <f t="shared" si="142"/>
        <v>#VALUE!</v>
      </c>
      <c r="AU89" s="10" t="e">
        <f t="shared" si="112"/>
        <v>#VALUE!</v>
      </c>
      <c r="AV89" s="10" t="e">
        <f t="shared" si="143"/>
        <v>#VALUE!</v>
      </c>
      <c r="AW89" s="10" t="e">
        <f t="shared" si="91"/>
        <v>#VALUE!</v>
      </c>
      <c r="AX89" s="10" t="e">
        <f t="shared" si="113"/>
        <v>#VALUE!</v>
      </c>
      <c r="AY89" s="10" t="e">
        <f t="shared" si="114"/>
        <v>#VALUE!</v>
      </c>
      <c r="AZ89" s="10" t="e">
        <f t="shared" si="115"/>
        <v>#VALUE!</v>
      </c>
      <c r="BA89" s="10" t="e">
        <f t="shared" si="144"/>
        <v>#VALUE!</v>
      </c>
      <c r="BB89" s="10" t="e">
        <f t="shared" si="92"/>
        <v>#VALUE!</v>
      </c>
      <c r="BC89" s="10" t="e">
        <f t="shared" si="145"/>
        <v>#VALUE!</v>
      </c>
      <c r="BE89" s="10" t="e">
        <f t="shared" si="116"/>
        <v>#VALUE!</v>
      </c>
      <c r="BF89" s="10" t="e">
        <f t="shared" si="146"/>
        <v>#VALUE!</v>
      </c>
      <c r="BG89" s="10" t="e">
        <f t="shared" si="93"/>
        <v>#VALUE!</v>
      </c>
      <c r="BH89" s="10" t="e">
        <f t="shared" si="117"/>
        <v>#VALUE!</v>
      </c>
      <c r="BI89" s="10" t="e">
        <f t="shared" si="118"/>
        <v>#VALUE!</v>
      </c>
      <c r="BJ89" s="10" t="e">
        <f t="shared" si="119"/>
        <v>#VALUE!</v>
      </c>
      <c r="BK89" s="10" t="e">
        <f t="shared" si="147"/>
        <v>#VALUE!</v>
      </c>
      <c r="BL89" s="10" t="e">
        <f t="shared" si="94"/>
        <v>#VALUE!</v>
      </c>
      <c r="BM89" s="10" t="e">
        <f t="shared" si="148"/>
        <v>#VALUE!</v>
      </c>
      <c r="BP89" s="10" t="e">
        <f t="shared" si="120"/>
        <v>#VALUE!</v>
      </c>
      <c r="BQ89" s="10" t="e">
        <f t="shared" si="121"/>
        <v>#VALUE!</v>
      </c>
      <c r="BR89" s="10" t="e">
        <f t="shared" si="122"/>
        <v>#VALUE!</v>
      </c>
      <c r="BS89" s="10" t="e">
        <f t="shared" si="123"/>
        <v>#VALUE!</v>
      </c>
      <c r="BT89" s="10" t="e">
        <f t="shared" si="124"/>
        <v>#VALUE!</v>
      </c>
      <c r="BU89" s="10" t="e">
        <f t="shared" si="125"/>
        <v>#VALUE!</v>
      </c>
      <c r="BW89" s="10" t="e">
        <f t="shared" si="126"/>
        <v>#VALUE!</v>
      </c>
      <c r="BX89" s="10" t="e">
        <f t="shared" si="127"/>
        <v>#VALUE!</v>
      </c>
      <c r="BY89" s="10" t="e">
        <f t="shared" si="128"/>
        <v>#VALUE!</v>
      </c>
      <c r="BZ89" s="10" t="e">
        <f t="shared" si="129"/>
        <v>#VALUE!</v>
      </c>
      <c r="CA89" s="10" t="e">
        <f t="shared" si="130"/>
        <v>#VALUE!</v>
      </c>
      <c r="CB89" s="10" t="e">
        <f t="shared" si="131"/>
        <v>#VALUE!</v>
      </c>
      <c r="CD89" s="10" t="e">
        <f>MATCH(INDEX($BP$12:$BU$12,1,MATCH(BP89,$BP$15:$BU$15,0)),结果汇总!$AI$10:$AI$13,0)</f>
        <v>#VALUE!</v>
      </c>
      <c r="CE89" s="10" t="e">
        <f>MATCH(INDEX($BP$12:$BU$12,1,MATCH(BQ89,$BP$15:$BU$15,0)),结果汇总!$AI$10:$AI$13,0)</f>
        <v>#VALUE!</v>
      </c>
      <c r="CF89" s="10" t="e">
        <f>MATCH(INDEX($BP$12:$BU$12,1,MATCH(BR89,$BP$15:$BU$15,0)),结果汇总!$AI$10:$AI$13,0)</f>
        <v>#VALUE!</v>
      </c>
      <c r="CG89" s="10" t="e">
        <f>MATCH(INDEX($BP$12:$BU$12,1,MATCH(BS89,$BP$15:$BU$15,0)),结果汇总!$AI$10:$AI$13,0)</f>
        <v>#VALUE!</v>
      </c>
      <c r="CH89" s="10" t="e">
        <f>MATCH(INDEX($BP$12:$BU$12,1,MATCH(BT89,$BP$15:$BU$15,0)),结果汇总!$AI$10:$AI$13,0)</f>
        <v>#VALUE!</v>
      </c>
      <c r="CI89" s="10" t="e">
        <f>MATCH(INDEX($BP$12:$BU$12,1,MATCH(BU89,$BP$15:$BU$15,0)),结果汇总!$AI$10:$AI$13,0)</f>
        <v>#VALUE!</v>
      </c>
      <c r="CK89" s="10">
        <f t="shared" si="132"/>
        <v>0</v>
      </c>
      <c r="CL89" s="10">
        <f t="shared" si="132"/>
        <v>0</v>
      </c>
      <c r="CM89" s="10">
        <f t="shared" si="132"/>
        <v>0</v>
      </c>
      <c r="CN89" s="10">
        <f t="shared" si="132"/>
        <v>0</v>
      </c>
      <c r="CO89" s="10" t="e">
        <f t="shared" si="133"/>
        <v>#DIV/0!</v>
      </c>
      <c r="CP89" s="10" t="e">
        <f t="shared" si="133"/>
        <v>#DIV/0!</v>
      </c>
      <c r="CQ89" s="10" t="e">
        <f t="shared" si="133"/>
        <v>#DIV/0!</v>
      </c>
      <c r="CR89" s="10" t="e">
        <f t="shared" si="133"/>
        <v>#DIV/0!</v>
      </c>
      <c r="CS89" s="10">
        <f t="shared" si="134"/>
        <v>0</v>
      </c>
      <c r="CT89" s="10">
        <f t="shared" si="134"/>
        <v>0</v>
      </c>
      <c r="CU89" s="10">
        <f t="shared" si="134"/>
        <v>0</v>
      </c>
      <c r="CV89" s="10">
        <f t="shared" si="134"/>
        <v>0</v>
      </c>
      <c r="CW89" s="10">
        <f t="shared" si="135"/>
        <v>0</v>
      </c>
      <c r="CX89" s="10">
        <f t="shared" si="135"/>
        <v>0</v>
      </c>
      <c r="CY89" s="10">
        <f t="shared" si="135"/>
        <v>0</v>
      </c>
      <c r="CZ89" s="10">
        <f t="shared" si="135"/>
        <v>0</v>
      </c>
    </row>
    <row r="90" spans="4:104" x14ac:dyDescent="0.15">
      <c r="D90" s="10">
        <v>75</v>
      </c>
      <c r="E90" s="10" t="e">
        <f t="shared" si="95"/>
        <v>#VALUE!</v>
      </c>
      <c r="F90" s="10" t="e">
        <f t="shared" si="79"/>
        <v>#VALUE!</v>
      </c>
      <c r="G90" s="10" t="e">
        <f t="shared" si="80"/>
        <v>#VALUE!</v>
      </c>
      <c r="H90" s="10" t="e">
        <f t="shared" si="96"/>
        <v>#VALUE!</v>
      </c>
      <c r="I90" s="10" t="e">
        <f t="shared" si="81"/>
        <v>#VALUE!</v>
      </c>
      <c r="J90" s="10" t="e">
        <f t="shared" si="97"/>
        <v>#VALUE!</v>
      </c>
      <c r="K90" s="10" t="e">
        <f t="shared" si="82"/>
        <v>#VALUE!</v>
      </c>
      <c r="L90" s="10" t="e">
        <f t="shared" si="83"/>
        <v>#VALUE!</v>
      </c>
      <c r="M90" s="10" t="e">
        <f t="shared" si="98"/>
        <v>#VALUE!</v>
      </c>
      <c r="O90" s="10" t="e">
        <f t="shared" si="99"/>
        <v>#VALUE!</v>
      </c>
      <c r="P90" s="10" t="e">
        <f t="shared" si="84"/>
        <v>#VALUE!</v>
      </c>
      <c r="Q90" s="10" t="e">
        <f t="shared" si="85"/>
        <v>#VALUE!</v>
      </c>
      <c r="R90" s="10" t="e">
        <f t="shared" si="100"/>
        <v>#VALUE!</v>
      </c>
      <c r="S90" s="10" t="e">
        <f t="shared" si="101"/>
        <v>#VALUE!</v>
      </c>
      <c r="T90" s="10" t="e">
        <f t="shared" si="136"/>
        <v>#VALUE!</v>
      </c>
      <c r="U90" s="10" t="e">
        <f t="shared" si="137"/>
        <v>#VALUE!</v>
      </c>
      <c r="V90" s="10" t="e">
        <f t="shared" si="86"/>
        <v>#VALUE!</v>
      </c>
      <c r="W90" s="10" t="e">
        <f t="shared" si="102"/>
        <v>#VALUE!</v>
      </c>
      <c r="Y90" s="10" t="e">
        <f t="shared" si="103"/>
        <v>#VALUE!</v>
      </c>
      <c r="Z90" s="11" t="e">
        <f t="shared" si="104"/>
        <v>#VALUE!</v>
      </c>
      <c r="AA90" s="10" t="e">
        <f t="shared" si="87"/>
        <v>#VALUE!</v>
      </c>
      <c r="AB90" s="10" t="e">
        <f t="shared" si="105"/>
        <v>#VALUE!</v>
      </c>
      <c r="AC90" s="10" t="e">
        <f t="shared" si="106"/>
        <v>#VALUE!</v>
      </c>
      <c r="AD90" s="10" t="e">
        <f t="shared" si="138"/>
        <v>#VALUE!</v>
      </c>
      <c r="AE90" s="10" t="e">
        <f t="shared" si="139"/>
        <v>#VALUE!</v>
      </c>
      <c r="AF90" s="10" t="e">
        <f t="shared" si="88"/>
        <v>#VALUE!</v>
      </c>
      <c r="AG90" s="10" t="e">
        <f t="shared" si="107"/>
        <v>#VALUE!</v>
      </c>
      <c r="AI90" s="13"/>
      <c r="AK90" s="10" t="e">
        <f t="shared" si="108"/>
        <v>#VALUE!</v>
      </c>
      <c r="AL90" s="10" t="e">
        <f t="shared" si="140"/>
        <v>#VALUE!</v>
      </c>
      <c r="AM90" s="10" t="e">
        <f t="shared" si="89"/>
        <v>#VALUE!</v>
      </c>
      <c r="AN90" s="10" t="e">
        <f t="shared" si="109"/>
        <v>#VALUE!</v>
      </c>
      <c r="AO90" s="10" t="e">
        <f t="shared" si="110"/>
        <v>#VALUE!</v>
      </c>
      <c r="AP90" s="10" t="e">
        <f t="shared" si="111"/>
        <v>#VALUE!</v>
      </c>
      <c r="AQ90" s="10" t="e">
        <f t="shared" si="141"/>
        <v>#VALUE!</v>
      </c>
      <c r="AR90" s="10" t="e">
        <f t="shared" si="90"/>
        <v>#VALUE!</v>
      </c>
      <c r="AS90" s="10" t="e">
        <f t="shared" si="142"/>
        <v>#VALUE!</v>
      </c>
      <c r="AU90" s="10" t="e">
        <f t="shared" si="112"/>
        <v>#VALUE!</v>
      </c>
      <c r="AV90" s="10" t="e">
        <f t="shared" si="143"/>
        <v>#VALUE!</v>
      </c>
      <c r="AW90" s="10" t="e">
        <f t="shared" si="91"/>
        <v>#VALUE!</v>
      </c>
      <c r="AX90" s="10" t="e">
        <f t="shared" si="113"/>
        <v>#VALUE!</v>
      </c>
      <c r="AY90" s="10" t="e">
        <f t="shared" si="114"/>
        <v>#VALUE!</v>
      </c>
      <c r="AZ90" s="10" t="e">
        <f t="shared" si="115"/>
        <v>#VALUE!</v>
      </c>
      <c r="BA90" s="10" t="e">
        <f t="shared" si="144"/>
        <v>#VALUE!</v>
      </c>
      <c r="BB90" s="10" t="e">
        <f t="shared" si="92"/>
        <v>#VALUE!</v>
      </c>
      <c r="BC90" s="10" t="e">
        <f t="shared" si="145"/>
        <v>#VALUE!</v>
      </c>
      <c r="BE90" s="10" t="e">
        <f t="shared" si="116"/>
        <v>#VALUE!</v>
      </c>
      <c r="BF90" s="10" t="e">
        <f t="shared" si="146"/>
        <v>#VALUE!</v>
      </c>
      <c r="BG90" s="10" t="e">
        <f t="shared" si="93"/>
        <v>#VALUE!</v>
      </c>
      <c r="BH90" s="10" t="e">
        <f t="shared" si="117"/>
        <v>#VALUE!</v>
      </c>
      <c r="BI90" s="10" t="e">
        <f t="shared" si="118"/>
        <v>#VALUE!</v>
      </c>
      <c r="BJ90" s="10" t="e">
        <f t="shared" si="119"/>
        <v>#VALUE!</v>
      </c>
      <c r="BK90" s="10" t="e">
        <f t="shared" si="147"/>
        <v>#VALUE!</v>
      </c>
      <c r="BL90" s="10" t="e">
        <f t="shared" si="94"/>
        <v>#VALUE!</v>
      </c>
      <c r="BM90" s="10" t="e">
        <f t="shared" si="148"/>
        <v>#VALUE!</v>
      </c>
      <c r="BP90" s="10" t="e">
        <f t="shared" si="120"/>
        <v>#VALUE!</v>
      </c>
      <c r="BQ90" s="10" t="e">
        <f t="shared" si="121"/>
        <v>#VALUE!</v>
      </c>
      <c r="BR90" s="10" t="e">
        <f t="shared" si="122"/>
        <v>#VALUE!</v>
      </c>
      <c r="BS90" s="10" t="e">
        <f t="shared" si="123"/>
        <v>#VALUE!</v>
      </c>
      <c r="BT90" s="10" t="e">
        <f t="shared" si="124"/>
        <v>#VALUE!</v>
      </c>
      <c r="BU90" s="10" t="e">
        <f t="shared" si="125"/>
        <v>#VALUE!</v>
      </c>
      <c r="BW90" s="10" t="e">
        <f t="shared" si="126"/>
        <v>#VALUE!</v>
      </c>
      <c r="BX90" s="10" t="e">
        <f t="shared" si="127"/>
        <v>#VALUE!</v>
      </c>
      <c r="BY90" s="10" t="e">
        <f t="shared" si="128"/>
        <v>#VALUE!</v>
      </c>
      <c r="BZ90" s="10" t="e">
        <f t="shared" si="129"/>
        <v>#VALUE!</v>
      </c>
      <c r="CA90" s="10" t="e">
        <f t="shared" si="130"/>
        <v>#VALUE!</v>
      </c>
      <c r="CB90" s="10" t="e">
        <f t="shared" si="131"/>
        <v>#VALUE!</v>
      </c>
      <c r="CD90" s="10" t="e">
        <f>MATCH(INDEX($BP$12:$BU$12,1,MATCH(BP90,$BP$15:$BU$15,0)),结果汇总!$AI$10:$AI$13,0)</f>
        <v>#VALUE!</v>
      </c>
      <c r="CE90" s="10" t="e">
        <f>MATCH(INDEX($BP$12:$BU$12,1,MATCH(BQ90,$BP$15:$BU$15,0)),结果汇总!$AI$10:$AI$13,0)</f>
        <v>#VALUE!</v>
      </c>
      <c r="CF90" s="10" t="e">
        <f>MATCH(INDEX($BP$12:$BU$12,1,MATCH(BR90,$BP$15:$BU$15,0)),结果汇总!$AI$10:$AI$13,0)</f>
        <v>#VALUE!</v>
      </c>
      <c r="CG90" s="10" t="e">
        <f>MATCH(INDEX($BP$12:$BU$12,1,MATCH(BS90,$BP$15:$BU$15,0)),结果汇总!$AI$10:$AI$13,0)</f>
        <v>#VALUE!</v>
      </c>
      <c r="CH90" s="10" t="e">
        <f>MATCH(INDEX($BP$12:$BU$12,1,MATCH(BT90,$BP$15:$BU$15,0)),结果汇总!$AI$10:$AI$13,0)</f>
        <v>#VALUE!</v>
      </c>
      <c r="CI90" s="10" t="e">
        <f>MATCH(INDEX($BP$12:$BU$12,1,MATCH(BU90,$BP$15:$BU$15,0)),结果汇总!$AI$10:$AI$13,0)</f>
        <v>#VALUE!</v>
      </c>
      <c r="CK90" s="10">
        <f t="shared" si="132"/>
        <v>0</v>
      </c>
      <c r="CL90" s="10">
        <f t="shared" si="132"/>
        <v>0</v>
      </c>
      <c r="CM90" s="10">
        <f t="shared" si="132"/>
        <v>0</v>
      </c>
      <c r="CN90" s="10">
        <f t="shared" si="132"/>
        <v>0</v>
      </c>
      <c r="CO90" s="10" t="e">
        <f t="shared" si="133"/>
        <v>#DIV/0!</v>
      </c>
      <c r="CP90" s="10" t="e">
        <f t="shared" si="133"/>
        <v>#DIV/0!</v>
      </c>
      <c r="CQ90" s="10" t="e">
        <f t="shared" si="133"/>
        <v>#DIV/0!</v>
      </c>
      <c r="CR90" s="10" t="e">
        <f t="shared" si="133"/>
        <v>#DIV/0!</v>
      </c>
      <c r="CS90" s="10">
        <f t="shared" si="134"/>
        <v>0</v>
      </c>
      <c r="CT90" s="10">
        <f t="shared" si="134"/>
        <v>0</v>
      </c>
      <c r="CU90" s="10">
        <f t="shared" si="134"/>
        <v>0</v>
      </c>
      <c r="CV90" s="10">
        <f t="shared" si="134"/>
        <v>0</v>
      </c>
      <c r="CW90" s="10">
        <f t="shared" si="135"/>
        <v>0</v>
      </c>
      <c r="CX90" s="10">
        <f t="shared" si="135"/>
        <v>0</v>
      </c>
      <c r="CY90" s="10">
        <f t="shared" si="135"/>
        <v>0</v>
      </c>
      <c r="CZ90" s="10">
        <f t="shared" si="135"/>
        <v>0</v>
      </c>
    </row>
    <row r="91" spans="4:104" x14ac:dyDescent="0.15">
      <c r="D91" s="10">
        <v>76</v>
      </c>
      <c r="E91" s="10" t="e">
        <f t="shared" si="95"/>
        <v>#VALUE!</v>
      </c>
      <c r="F91" s="10" t="e">
        <f t="shared" si="79"/>
        <v>#VALUE!</v>
      </c>
      <c r="G91" s="10" t="e">
        <f t="shared" si="80"/>
        <v>#VALUE!</v>
      </c>
      <c r="H91" s="10" t="e">
        <f t="shared" si="96"/>
        <v>#VALUE!</v>
      </c>
      <c r="I91" s="10" t="e">
        <f t="shared" si="81"/>
        <v>#VALUE!</v>
      </c>
      <c r="J91" s="10" t="e">
        <f t="shared" si="97"/>
        <v>#VALUE!</v>
      </c>
      <c r="K91" s="10" t="e">
        <f t="shared" si="82"/>
        <v>#VALUE!</v>
      </c>
      <c r="L91" s="10" t="e">
        <f t="shared" si="83"/>
        <v>#VALUE!</v>
      </c>
      <c r="M91" s="10" t="e">
        <f t="shared" si="98"/>
        <v>#VALUE!</v>
      </c>
      <c r="O91" s="10" t="e">
        <f t="shared" si="99"/>
        <v>#VALUE!</v>
      </c>
      <c r="P91" s="10" t="e">
        <f t="shared" si="84"/>
        <v>#VALUE!</v>
      </c>
      <c r="Q91" s="10" t="e">
        <f t="shared" si="85"/>
        <v>#VALUE!</v>
      </c>
      <c r="R91" s="10" t="e">
        <f t="shared" si="100"/>
        <v>#VALUE!</v>
      </c>
      <c r="S91" s="10" t="e">
        <f t="shared" si="101"/>
        <v>#VALUE!</v>
      </c>
      <c r="T91" s="10" t="e">
        <f t="shared" si="136"/>
        <v>#VALUE!</v>
      </c>
      <c r="U91" s="10" t="e">
        <f t="shared" si="137"/>
        <v>#VALUE!</v>
      </c>
      <c r="V91" s="10" t="e">
        <f t="shared" si="86"/>
        <v>#VALUE!</v>
      </c>
      <c r="W91" s="10" t="e">
        <f t="shared" si="102"/>
        <v>#VALUE!</v>
      </c>
      <c r="Y91" s="10" t="e">
        <f t="shared" si="103"/>
        <v>#VALUE!</v>
      </c>
      <c r="Z91" s="11" t="e">
        <f t="shared" si="104"/>
        <v>#VALUE!</v>
      </c>
      <c r="AA91" s="10" t="e">
        <f t="shared" si="87"/>
        <v>#VALUE!</v>
      </c>
      <c r="AB91" s="10" t="e">
        <f t="shared" si="105"/>
        <v>#VALUE!</v>
      </c>
      <c r="AC91" s="10" t="e">
        <f t="shared" si="106"/>
        <v>#VALUE!</v>
      </c>
      <c r="AD91" s="10" t="e">
        <f t="shared" si="138"/>
        <v>#VALUE!</v>
      </c>
      <c r="AE91" s="10" t="e">
        <f t="shared" si="139"/>
        <v>#VALUE!</v>
      </c>
      <c r="AF91" s="10" t="e">
        <f t="shared" si="88"/>
        <v>#VALUE!</v>
      </c>
      <c r="AG91" s="10" t="e">
        <f t="shared" si="107"/>
        <v>#VALUE!</v>
      </c>
      <c r="AI91" s="13"/>
      <c r="AK91" s="10" t="e">
        <f t="shared" si="108"/>
        <v>#VALUE!</v>
      </c>
      <c r="AL91" s="10" t="e">
        <f t="shared" si="140"/>
        <v>#VALUE!</v>
      </c>
      <c r="AM91" s="10" t="e">
        <f t="shared" si="89"/>
        <v>#VALUE!</v>
      </c>
      <c r="AN91" s="10" t="e">
        <f t="shared" si="109"/>
        <v>#VALUE!</v>
      </c>
      <c r="AO91" s="10" t="e">
        <f t="shared" si="110"/>
        <v>#VALUE!</v>
      </c>
      <c r="AP91" s="10" t="e">
        <f t="shared" si="111"/>
        <v>#VALUE!</v>
      </c>
      <c r="AQ91" s="10" t="e">
        <f t="shared" si="141"/>
        <v>#VALUE!</v>
      </c>
      <c r="AR91" s="10" t="e">
        <f t="shared" si="90"/>
        <v>#VALUE!</v>
      </c>
      <c r="AS91" s="10" t="e">
        <f t="shared" si="142"/>
        <v>#VALUE!</v>
      </c>
      <c r="AU91" s="10" t="e">
        <f t="shared" si="112"/>
        <v>#VALUE!</v>
      </c>
      <c r="AV91" s="10" t="e">
        <f t="shared" si="143"/>
        <v>#VALUE!</v>
      </c>
      <c r="AW91" s="10" t="e">
        <f t="shared" si="91"/>
        <v>#VALUE!</v>
      </c>
      <c r="AX91" s="10" t="e">
        <f t="shared" si="113"/>
        <v>#VALUE!</v>
      </c>
      <c r="AY91" s="10" t="e">
        <f t="shared" si="114"/>
        <v>#VALUE!</v>
      </c>
      <c r="AZ91" s="10" t="e">
        <f t="shared" si="115"/>
        <v>#VALUE!</v>
      </c>
      <c r="BA91" s="10" t="e">
        <f t="shared" si="144"/>
        <v>#VALUE!</v>
      </c>
      <c r="BB91" s="10" t="e">
        <f t="shared" si="92"/>
        <v>#VALUE!</v>
      </c>
      <c r="BC91" s="10" t="e">
        <f t="shared" si="145"/>
        <v>#VALUE!</v>
      </c>
      <c r="BE91" s="10" t="e">
        <f t="shared" si="116"/>
        <v>#VALUE!</v>
      </c>
      <c r="BF91" s="10" t="e">
        <f t="shared" si="146"/>
        <v>#VALUE!</v>
      </c>
      <c r="BG91" s="10" t="e">
        <f t="shared" si="93"/>
        <v>#VALUE!</v>
      </c>
      <c r="BH91" s="10" t="e">
        <f t="shared" si="117"/>
        <v>#VALUE!</v>
      </c>
      <c r="BI91" s="10" t="e">
        <f t="shared" si="118"/>
        <v>#VALUE!</v>
      </c>
      <c r="BJ91" s="10" t="e">
        <f t="shared" si="119"/>
        <v>#VALUE!</v>
      </c>
      <c r="BK91" s="10" t="e">
        <f t="shared" si="147"/>
        <v>#VALUE!</v>
      </c>
      <c r="BL91" s="10" t="e">
        <f t="shared" si="94"/>
        <v>#VALUE!</v>
      </c>
      <c r="BM91" s="10" t="e">
        <f t="shared" si="148"/>
        <v>#VALUE!</v>
      </c>
      <c r="BP91" s="10" t="e">
        <f t="shared" si="120"/>
        <v>#VALUE!</v>
      </c>
      <c r="BQ91" s="10" t="e">
        <f t="shared" si="121"/>
        <v>#VALUE!</v>
      </c>
      <c r="BR91" s="10" t="e">
        <f t="shared" si="122"/>
        <v>#VALUE!</v>
      </c>
      <c r="BS91" s="10" t="e">
        <f t="shared" si="123"/>
        <v>#VALUE!</v>
      </c>
      <c r="BT91" s="10" t="e">
        <f t="shared" si="124"/>
        <v>#VALUE!</v>
      </c>
      <c r="BU91" s="10" t="e">
        <f t="shared" si="125"/>
        <v>#VALUE!</v>
      </c>
      <c r="BW91" s="10" t="e">
        <f t="shared" si="126"/>
        <v>#VALUE!</v>
      </c>
      <c r="BX91" s="10" t="e">
        <f t="shared" si="127"/>
        <v>#VALUE!</v>
      </c>
      <c r="BY91" s="10" t="e">
        <f t="shared" si="128"/>
        <v>#VALUE!</v>
      </c>
      <c r="BZ91" s="10" t="e">
        <f t="shared" si="129"/>
        <v>#VALUE!</v>
      </c>
      <c r="CA91" s="10" t="e">
        <f t="shared" si="130"/>
        <v>#VALUE!</v>
      </c>
      <c r="CB91" s="10" t="e">
        <f t="shared" si="131"/>
        <v>#VALUE!</v>
      </c>
      <c r="CD91" s="10" t="e">
        <f>MATCH(INDEX($BP$12:$BU$12,1,MATCH(BP91,$BP$15:$BU$15,0)),结果汇总!$AI$10:$AI$13,0)</f>
        <v>#VALUE!</v>
      </c>
      <c r="CE91" s="10" t="e">
        <f>MATCH(INDEX($BP$12:$BU$12,1,MATCH(BQ91,$BP$15:$BU$15,0)),结果汇总!$AI$10:$AI$13,0)</f>
        <v>#VALUE!</v>
      </c>
      <c r="CF91" s="10" t="e">
        <f>MATCH(INDEX($BP$12:$BU$12,1,MATCH(BR91,$BP$15:$BU$15,0)),结果汇总!$AI$10:$AI$13,0)</f>
        <v>#VALUE!</v>
      </c>
      <c r="CG91" s="10" t="e">
        <f>MATCH(INDEX($BP$12:$BU$12,1,MATCH(BS91,$BP$15:$BU$15,0)),结果汇总!$AI$10:$AI$13,0)</f>
        <v>#VALUE!</v>
      </c>
      <c r="CH91" s="10" t="e">
        <f>MATCH(INDEX($BP$12:$BU$12,1,MATCH(BT91,$BP$15:$BU$15,0)),结果汇总!$AI$10:$AI$13,0)</f>
        <v>#VALUE!</v>
      </c>
      <c r="CI91" s="10" t="e">
        <f>MATCH(INDEX($BP$12:$BU$12,1,MATCH(BU91,$BP$15:$BU$15,0)),结果汇总!$AI$10:$AI$13,0)</f>
        <v>#VALUE!</v>
      </c>
      <c r="CK91" s="10">
        <f t="shared" si="132"/>
        <v>0</v>
      </c>
      <c r="CL91" s="10">
        <f t="shared" si="132"/>
        <v>0</v>
      </c>
      <c r="CM91" s="10">
        <f t="shared" si="132"/>
        <v>0</v>
      </c>
      <c r="CN91" s="10">
        <f t="shared" si="132"/>
        <v>0</v>
      </c>
      <c r="CO91" s="10" t="e">
        <f t="shared" si="133"/>
        <v>#DIV/0!</v>
      </c>
      <c r="CP91" s="10" t="e">
        <f t="shared" si="133"/>
        <v>#DIV/0!</v>
      </c>
      <c r="CQ91" s="10" t="e">
        <f t="shared" si="133"/>
        <v>#DIV/0!</v>
      </c>
      <c r="CR91" s="10" t="e">
        <f t="shared" si="133"/>
        <v>#DIV/0!</v>
      </c>
      <c r="CS91" s="10">
        <f t="shared" si="134"/>
        <v>0</v>
      </c>
      <c r="CT91" s="10">
        <f t="shared" si="134"/>
        <v>0</v>
      </c>
      <c r="CU91" s="10">
        <f t="shared" si="134"/>
        <v>0</v>
      </c>
      <c r="CV91" s="10">
        <f t="shared" si="134"/>
        <v>0</v>
      </c>
      <c r="CW91" s="10">
        <f t="shared" si="135"/>
        <v>0</v>
      </c>
      <c r="CX91" s="10">
        <f t="shared" si="135"/>
        <v>0</v>
      </c>
      <c r="CY91" s="10">
        <f t="shared" si="135"/>
        <v>0</v>
      </c>
      <c r="CZ91" s="10">
        <f t="shared" si="135"/>
        <v>0</v>
      </c>
    </row>
    <row r="92" spans="4:104" x14ac:dyDescent="0.15">
      <c r="D92" s="10">
        <v>77</v>
      </c>
      <c r="E92" s="10" t="e">
        <f t="shared" si="95"/>
        <v>#VALUE!</v>
      </c>
      <c r="F92" s="10" t="e">
        <f t="shared" si="79"/>
        <v>#VALUE!</v>
      </c>
      <c r="G92" s="10" t="e">
        <f t="shared" si="80"/>
        <v>#VALUE!</v>
      </c>
      <c r="H92" s="10" t="e">
        <f t="shared" si="96"/>
        <v>#VALUE!</v>
      </c>
      <c r="I92" s="10" t="e">
        <f t="shared" si="81"/>
        <v>#VALUE!</v>
      </c>
      <c r="J92" s="10" t="e">
        <f t="shared" si="97"/>
        <v>#VALUE!</v>
      </c>
      <c r="K92" s="10" t="e">
        <f t="shared" si="82"/>
        <v>#VALUE!</v>
      </c>
      <c r="L92" s="10" t="e">
        <f t="shared" si="83"/>
        <v>#VALUE!</v>
      </c>
      <c r="M92" s="10" t="e">
        <f t="shared" si="98"/>
        <v>#VALUE!</v>
      </c>
      <c r="O92" s="10" t="e">
        <f t="shared" si="99"/>
        <v>#VALUE!</v>
      </c>
      <c r="P92" s="10" t="e">
        <f t="shared" si="84"/>
        <v>#VALUE!</v>
      </c>
      <c r="Q92" s="10" t="e">
        <f t="shared" si="85"/>
        <v>#VALUE!</v>
      </c>
      <c r="R92" s="10" t="e">
        <f t="shared" si="100"/>
        <v>#VALUE!</v>
      </c>
      <c r="S92" s="10" t="e">
        <f t="shared" si="101"/>
        <v>#VALUE!</v>
      </c>
      <c r="T92" s="10" t="e">
        <f t="shared" si="136"/>
        <v>#VALUE!</v>
      </c>
      <c r="U92" s="10" t="e">
        <f t="shared" si="137"/>
        <v>#VALUE!</v>
      </c>
      <c r="V92" s="10" t="e">
        <f t="shared" si="86"/>
        <v>#VALUE!</v>
      </c>
      <c r="W92" s="10" t="e">
        <f t="shared" si="102"/>
        <v>#VALUE!</v>
      </c>
      <c r="Y92" s="10" t="e">
        <f t="shared" si="103"/>
        <v>#VALUE!</v>
      </c>
      <c r="Z92" s="11" t="e">
        <f t="shared" si="104"/>
        <v>#VALUE!</v>
      </c>
      <c r="AA92" s="10" t="e">
        <f t="shared" si="87"/>
        <v>#VALUE!</v>
      </c>
      <c r="AB92" s="10" t="e">
        <f t="shared" si="105"/>
        <v>#VALUE!</v>
      </c>
      <c r="AC92" s="10" t="e">
        <f t="shared" si="106"/>
        <v>#VALUE!</v>
      </c>
      <c r="AD92" s="10" t="e">
        <f t="shared" si="138"/>
        <v>#VALUE!</v>
      </c>
      <c r="AE92" s="10" t="e">
        <f t="shared" si="139"/>
        <v>#VALUE!</v>
      </c>
      <c r="AF92" s="10" t="e">
        <f t="shared" si="88"/>
        <v>#VALUE!</v>
      </c>
      <c r="AG92" s="10" t="e">
        <f t="shared" si="107"/>
        <v>#VALUE!</v>
      </c>
      <c r="AI92" s="13"/>
      <c r="AK92" s="10" t="e">
        <f t="shared" si="108"/>
        <v>#VALUE!</v>
      </c>
      <c r="AL92" s="10" t="e">
        <f t="shared" si="140"/>
        <v>#VALUE!</v>
      </c>
      <c r="AM92" s="10" t="e">
        <f t="shared" si="89"/>
        <v>#VALUE!</v>
      </c>
      <c r="AN92" s="10" t="e">
        <f t="shared" si="109"/>
        <v>#VALUE!</v>
      </c>
      <c r="AO92" s="10" t="e">
        <f t="shared" si="110"/>
        <v>#VALUE!</v>
      </c>
      <c r="AP92" s="10" t="e">
        <f t="shared" si="111"/>
        <v>#VALUE!</v>
      </c>
      <c r="AQ92" s="10" t="e">
        <f t="shared" si="141"/>
        <v>#VALUE!</v>
      </c>
      <c r="AR92" s="10" t="e">
        <f t="shared" si="90"/>
        <v>#VALUE!</v>
      </c>
      <c r="AS92" s="10" t="e">
        <f t="shared" si="142"/>
        <v>#VALUE!</v>
      </c>
      <c r="AU92" s="10" t="e">
        <f t="shared" si="112"/>
        <v>#VALUE!</v>
      </c>
      <c r="AV92" s="10" t="e">
        <f t="shared" si="143"/>
        <v>#VALUE!</v>
      </c>
      <c r="AW92" s="10" t="e">
        <f t="shared" si="91"/>
        <v>#VALUE!</v>
      </c>
      <c r="AX92" s="10" t="e">
        <f t="shared" si="113"/>
        <v>#VALUE!</v>
      </c>
      <c r="AY92" s="10" t="e">
        <f t="shared" si="114"/>
        <v>#VALUE!</v>
      </c>
      <c r="AZ92" s="10" t="e">
        <f t="shared" si="115"/>
        <v>#VALUE!</v>
      </c>
      <c r="BA92" s="10" t="e">
        <f t="shared" si="144"/>
        <v>#VALUE!</v>
      </c>
      <c r="BB92" s="10" t="e">
        <f t="shared" si="92"/>
        <v>#VALUE!</v>
      </c>
      <c r="BC92" s="10" t="e">
        <f t="shared" si="145"/>
        <v>#VALUE!</v>
      </c>
      <c r="BE92" s="10" t="e">
        <f t="shared" si="116"/>
        <v>#VALUE!</v>
      </c>
      <c r="BF92" s="10" t="e">
        <f t="shared" si="146"/>
        <v>#VALUE!</v>
      </c>
      <c r="BG92" s="10" t="e">
        <f t="shared" si="93"/>
        <v>#VALUE!</v>
      </c>
      <c r="BH92" s="10" t="e">
        <f t="shared" si="117"/>
        <v>#VALUE!</v>
      </c>
      <c r="BI92" s="10" t="e">
        <f t="shared" si="118"/>
        <v>#VALUE!</v>
      </c>
      <c r="BJ92" s="10" t="e">
        <f t="shared" si="119"/>
        <v>#VALUE!</v>
      </c>
      <c r="BK92" s="10" t="e">
        <f t="shared" si="147"/>
        <v>#VALUE!</v>
      </c>
      <c r="BL92" s="10" t="e">
        <f t="shared" si="94"/>
        <v>#VALUE!</v>
      </c>
      <c r="BM92" s="10" t="e">
        <f t="shared" si="148"/>
        <v>#VALUE!</v>
      </c>
      <c r="BP92" s="10" t="e">
        <f t="shared" si="120"/>
        <v>#VALUE!</v>
      </c>
      <c r="BQ92" s="10" t="e">
        <f t="shared" si="121"/>
        <v>#VALUE!</v>
      </c>
      <c r="BR92" s="10" t="e">
        <f t="shared" si="122"/>
        <v>#VALUE!</v>
      </c>
      <c r="BS92" s="10" t="e">
        <f t="shared" si="123"/>
        <v>#VALUE!</v>
      </c>
      <c r="BT92" s="10" t="e">
        <f t="shared" si="124"/>
        <v>#VALUE!</v>
      </c>
      <c r="BU92" s="10" t="e">
        <f t="shared" si="125"/>
        <v>#VALUE!</v>
      </c>
      <c r="BW92" s="10" t="e">
        <f t="shared" si="126"/>
        <v>#VALUE!</v>
      </c>
      <c r="BX92" s="10" t="e">
        <f t="shared" si="127"/>
        <v>#VALUE!</v>
      </c>
      <c r="BY92" s="10" t="e">
        <f t="shared" si="128"/>
        <v>#VALUE!</v>
      </c>
      <c r="BZ92" s="10" t="e">
        <f t="shared" si="129"/>
        <v>#VALUE!</v>
      </c>
      <c r="CA92" s="10" t="e">
        <f t="shared" si="130"/>
        <v>#VALUE!</v>
      </c>
      <c r="CB92" s="10" t="e">
        <f t="shared" si="131"/>
        <v>#VALUE!</v>
      </c>
      <c r="CD92" s="10" t="e">
        <f>MATCH(INDEX($BP$12:$BU$12,1,MATCH(BP92,$BP$15:$BU$15,0)),结果汇总!$AI$10:$AI$13,0)</f>
        <v>#VALUE!</v>
      </c>
      <c r="CE92" s="10" t="e">
        <f>MATCH(INDEX($BP$12:$BU$12,1,MATCH(BQ92,$BP$15:$BU$15,0)),结果汇总!$AI$10:$AI$13,0)</f>
        <v>#VALUE!</v>
      </c>
      <c r="CF92" s="10" t="e">
        <f>MATCH(INDEX($BP$12:$BU$12,1,MATCH(BR92,$BP$15:$BU$15,0)),结果汇总!$AI$10:$AI$13,0)</f>
        <v>#VALUE!</v>
      </c>
      <c r="CG92" s="10" t="e">
        <f>MATCH(INDEX($BP$12:$BU$12,1,MATCH(BS92,$BP$15:$BU$15,0)),结果汇总!$AI$10:$AI$13,0)</f>
        <v>#VALUE!</v>
      </c>
      <c r="CH92" s="10" t="e">
        <f>MATCH(INDEX($BP$12:$BU$12,1,MATCH(BT92,$BP$15:$BU$15,0)),结果汇总!$AI$10:$AI$13,0)</f>
        <v>#VALUE!</v>
      </c>
      <c r="CI92" s="10" t="e">
        <f>MATCH(INDEX($BP$12:$BU$12,1,MATCH(BU92,$BP$15:$BU$15,0)),结果汇总!$AI$10:$AI$13,0)</f>
        <v>#VALUE!</v>
      </c>
      <c r="CK92" s="10">
        <f t="shared" si="132"/>
        <v>0</v>
      </c>
      <c r="CL92" s="10">
        <f t="shared" si="132"/>
        <v>0</v>
      </c>
      <c r="CM92" s="10">
        <f t="shared" si="132"/>
        <v>0</v>
      </c>
      <c r="CN92" s="10">
        <f t="shared" si="132"/>
        <v>0</v>
      </c>
      <c r="CO92" s="10" t="e">
        <f t="shared" si="133"/>
        <v>#DIV/0!</v>
      </c>
      <c r="CP92" s="10" t="e">
        <f t="shared" si="133"/>
        <v>#DIV/0!</v>
      </c>
      <c r="CQ92" s="10" t="e">
        <f t="shared" si="133"/>
        <v>#DIV/0!</v>
      </c>
      <c r="CR92" s="10" t="e">
        <f t="shared" si="133"/>
        <v>#DIV/0!</v>
      </c>
      <c r="CS92" s="10">
        <f t="shared" si="134"/>
        <v>0</v>
      </c>
      <c r="CT92" s="10">
        <f t="shared" si="134"/>
        <v>0</v>
      </c>
      <c r="CU92" s="10">
        <f t="shared" si="134"/>
        <v>0</v>
      </c>
      <c r="CV92" s="10">
        <f t="shared" si="134"/>
        <v>0</v>
      </c>
      <c r="CW92" s="10">
        <f t="shared" si="135"/>
        <v>0</v>
      </c>
      <c r="CX92" s="10">
        <f t="shared" si="135"/>
        <v>0</v>
      </c>
      <c r="CY92" s="10">
        <f t="shared" si="135"/>
        <v>0</v>
      </c>
      <c r="CZ92" s="10">
        <f t="shared" si="135"/>
        <v>0</v>
      </c>
    </row>
    <row r="93" spans="4:104" x14ac:dyDescent="0.15">
      <c r="D93" s="10">
        <v>78</v>
      </c>
      <c r="E93" s="10" t="e">
        <f t="shared" si="95"/>
        <v>#VALUE!</v>
      </c>
      <c r="F93" s="10" t="e">
        <f t="shared" si="79"/>
        <v>#VALUE!</v>
      </c>
      <c r="G93" s="10" t="e">
        <f t="shared" si="80"/>
        <v>#VALUE!</v>
      </c>
      <c r="H93" s="10" t="e">
        <f t="shared" si="96"/>
        <v>#VALUE!</v>
      </c>
      <c r="I93" s="10" t="e">
        <f t="shared" si="81"/>
        <v>#VALUE!</v>
      </c>
      <c r="J93" s="10" t="e">
        <f t="shared" si="97"/>
        <v>#VALUE!</v>
      </c>
      <c r="K93" s="10" t="e">
        <f t="shared" si="82"/>
        <v>#VALUE!</v>
      </c>
      <c r="L93" s="10" t="e">
        <f t="shared" si="83"/>
        <v>#VALUE!</v>
      </c>
      <c r="M93" s="10" t="e">
        <f t="shared" si="98"/>
        <v>#VALUE!</v>
      </c>
      <c r="O93" s="10" t="e">
        <f t="shared" si="99"/>
        <v>#VALUE!</v>
      </c>
      <c r="P93" s="10" t="e">
        <f t="shared" si="84"/>
        <v>#VALUE!</v>
      </c>
      <c r="Q93" s="10" t="e">
        <f t="shared" si="85"/>
        <v>#VALUE!</v>
      </c>
      <c r="R93" s="10" t="e">
        <f t="shared" si="100"/>
        <v>#VALUE!</v>
      </c>
      <c r="S93" s="10" t="e">
        <f t="shared" si="101"/>
        <v>#VALUE!</v>
      </c>
      <c r="T93" s="10" t="e">
        <f t="shared" si="136"/>
        <v>#VALUE!</v>
      </c>
      <c r="U93" s="10" t="e">
        <f t="shared" si="137"/>
        <v>#VALUE!</v>
      </c>
      <c r="V93" s="10" t="e">
        <f t="shared" si="86"/>
        <v>#VALUE!</v>
      </c>
      <c r="W93" s="10" t="e">
        <f t="shared" si="102"/>
        <v>#VALUE!</v>
      </c>
      <c r="Y93" s="10" t="e">
        <f t="shared" si="103"/>
        <v>#VALUE!</v>
      </c>
      <c r="Z93" s="11" t="e">
        <f t="shared" si="104"/>
        <v>#VALUE!</v>
      </c>
      <c r="AA93" s="10" t="e">
        <f t="shared" si="87"/>
        <v>#VALUE!</v>
      </c>
      <c r="AB93" s="10" t="e">
        <f t="shared" si="105"/>
        <v>#VALUE!</v>
      </c>
      <c r="AC93" s="10" t="e">
        <f t="shared" si="106"/>
        <v>#VALUE!</v>
      </c>
      <c r="AD93" s="10" t="e">
        <f t="shared" si="138"/>
        <v>#VALUE!</v>
      </c>
      <c r="AE93" s="10" t="e">
        <f t="shared" si="139"/>
        <v>#VALUE!</v>
      </c>
      <c r="AF93" s="10" t="e">
        <f t="shared" si="88"/>
        <v>#VALUE!</v>
      </c>
      <c r="AG93" s="10" t="e">
        <f t="shared" si="107"/>
        <v>#VALUE!</v>
      </c>
      <c r="AI93" s="13"/>
      <c r="AK93" s="10" t="e">
        <f t="shared" si="108"/>
        <v>#VALUE!</v>
      </c>
      <c r="AL93" s="10" t="e">
        <f t="shared" si="140"/>
        <v>#VALUE!</v>
      </c>
      <c r="AM93" s="10" t="e">
        <f t="shared" si="89"/>
        <v>#VALUE!</v>
      </c>
      <c r="AN93" s="10" t="e">
        <f t="shared" si="109"/>
        <v>#VALUE!</v>
      </c>
      <c r="AO93" s="10" t="e">
        <f t="shared" si="110"/>
        <v>#VALUE!</v>
      </c>
      <c r="AP93" s="10" t="e">
        <f t="shared" si="111"/>
        <v>#VALUE!</v>
      </c>
      <c r="AQ93" s="10" t="e">
        <f t="shared" si="141"/>
        <v>#VALUE!</v>
      </c>
      <c r="AR93" s="10" t="e">
        <f t="shared" si="90"/>
        <v>#VALUE!</v>
      </c>
      <c r="AS93" s="10" t="e">
        <f t="shared" si="142"/>
        <v>#VALUE!</v>
      </c>
      <c r="AU93" s="10" t="e">
        <f t="shared" si="112"/>
        <v>#VALUE!</v>
      </c>
      <c r="AV93" s="10" t="e">
        <f t="shared" si="143"/>
        <v>#VALUE!</v>
      </c>
      <c r="AW93" s="10" t="e">
        <f t="shared" si="91"/>
        <v>#VALUE!</v>
      </c>
      <c r="AX93" s="10" t="e">
        <f t="shared" si="113"/>
        <v>#VALUE!</v>
      </c>
      <c r="AY93" s="10" t="e">
        <f t="shared" si="114"/>
        <v>#VALUE!</v>
      </c>
      <c r="AZ93" s="10" t="e">
        <f t="shared" si="115"/>
        <v>#VALUE!</v>
      </c>
      <c r="BA93" s="10" t="e">
        <f t="shared" si="144"/>
        <v>#VALUE!</v>
      </c>
      <c r="BB93" s="10" t="e">
        <f t="shared" si="92"/>
        <v>#VALUE!</v>
      </c>
      <c r="BC93" s="10" t="e">
        <f t="shared" si="145"/>
        <v>#VALUE!</v>
      </c>
      <c r="BE93" s="10" t="e">
        <f t="shared" si="116"/>
        <v>#VALUE!</v>
      </c>
      <c r="BF93" s="10" t="e">
        <f t="shared" si="146"/>
        <v>#VALUE!</v>
      </c>
      <c r="BG93" s="10" t="e">
        <f t="shared" si="93"/>
        <v>#VALUE!</v>
      </c>
      <c r="BH93" s="10" t="e">
        <f t="shared" si="117"/>
        <v>#VALUE!</v>
      </c>
      <c r="BI93" s="10" t="e">
        <f t="shared" si="118"/>
        <v>#VALUE!</v>
      </c>
      <c r="BJ93" s="10" t="e">
        <f t="shared" si="119"/>
        <v>#VALUE!</v>
      </c>
      <c r="BK93" s="10" t="e">
        <f t="shared" si="147"/>
        <v>#VALUE!</v>
      </c>
      <c r="BL93" s="10" t="e">
        <f t="shared" si="94"/>
        <v>#VALUE!</v>
      </c>
      <c r="BM93" s="10" t="e">
        <f t="shared" si="148"/>
        <v>#VALUE!</v>
      </c>
      <c r="BP93" s="10" t="e">
        <f t="shared" si="120"/>
        <v>#VALUE!</v>
      </c>
      <c r="BQ93" s="10" t="e">
        <f t="shared" si="121"/>
        <v>#VALUE!</v>
      </c>
      <c r="BR93" s="10" t="e">
        <f t="shared" si="122"/>
        <v>#VALUE!</v>
      </c>
      <c r="BS93" s="10" t="e">
        <f t="shared" si="123"/>
        <v>#VALUE!</v>
      </c>
      <c r="BT93" s="10" t="e">
        <f t="shared" si="124"/>
        <v>#VALUE!</v>
      </c>
      <c r="BU93" s="10" t="e">
        <f t="shared" si="125"/>
        <v>#VALUE!</v>
      </c>
      <c r="BW93" s="10" t="e">
        <f t="shared" si="126"/>
        <v>#VALUE!</v>
      </c>
      <c r="BX93" s="10" t="e">
        <f t="shared" si="127"/>
        <v>#VALUE!</v>
      </c>
      <c r="BY93" s="10" t="e">
        <f t="shared" si="128"/>
        <v>#VALUE!</v>
      </c>
      <c r="BZ93" s="10" t="e">
        <f t="shared" si="129"/>
        <v>#VALUE!</v>
      </c>
      <c r="CA93" s="10" t="e">
        <f t="shared" si="130"/>
        <v>#VALUE!</v>
      </c>
      <c r="CB93" s="10" t="e">
        <f t="shared" si="131"/>
        <v>#VALUE!</v>
      </c>
      <c r="CD93" s="10" t="e">
        <f>MATCH(INDEX($BP$12:$BU$12,1,MATCH(BP93,$BP$15:$BU$15,0)),结果汇总!$AI$10:$AI$13,0)</f>
        <v>#VALUE!</v>
      </c>
      <c r="CE93" s="10" t="e">
        <f>MATCH(INDEX($BP$12:$BU$12,1,MATCH(BQ93,$BP$15:$BU$15,0)),结果汇总!$AI$10:$AI$13,0)</f>
        <v>#VALUE!</v>
      </c>
      <c r="CF93" s="10" t="e">
        <f>MATCH(INDEX($BP$12:$BU$12,1,MATCH(BR93,$BP$15:$BU$15,0)),结果汇总!$AI$10:$AI$13,0)</f>
        <v>#VALUE!</v>
      </c>
      <c r="CG93" s="10" t="e">
        <f>MATCH(INDEX($BP$12:$BU$12,1,MATCH(BS93,$BP$15:$BU$15,0)),结果汇总!$AI$10:$AI$13,0)</f>
        <v>#VALUE!</v>
      </c>
      <c r="CH93" s="10" t="e">
        <f>MATCH(INDEX($BP$12:$BU$12,1,MATCH(BT93,$BP$15:$BU$15,0)),结果汇总!$AI$10:$AI$13,0)</f>
        <v>#VALUE!</v>
      </c>
      <c r="CI93" s="10" t="e">
        <f>MATCH(INDEX($BP$12:$BU$12,1,MATCH(BU93,$BP$15:$BU$15,0)),结果汇总!$AI$10:$AI$13,0)</f>
        <v>#VALUE!</v>
      </c>
      <c r="CK93" s="10">
        <f t="shared" si="132"/>
        <v>0</v>
      </c>
      <c r="CL93" s="10">
        <f t="shared" si="132"/>
        <v>0</v>
      </c>
      <c r="CM93" s="10">
        <f t="shared" si="132"/>
        <v>0</v>
      </c>
      <c r="CN93" s="10">
        <f t="shared" si="132"/>
        <v>0</v>
      </c>
      <c r="CO93" s="10" t="e">
        <f t="shared" si="133"/>
        <v>#DIV/0!</v>
      </c>
      <c r="CP93" s="10" t="e">
        <f t="shared" si="133"/>
        <v>#DIV/0!</v>
      </c>
      <c r="CQ93" s="10" t="e">
        <f t="shared" si="133"/>
        <v>#DIV/0!</v>
      </c>
      <c r="CR93" s="10" t="e">
        <f t="shared" si="133"/>
        <v>#DIV/0!</v>
      </c>
      <c r="CS93" s="10">
        <f t="shared" si="134"/>
        <v>0</v>
      </c>
      <c r="CT93" s="10">
        <f t="shared" si="134"/>
        <v>0</v>
      </c>
      <c r="CU93" s="10">
        <f t="shared" si="134"/>
        <v>0</v>
      </c>
      <c r="CV93" s="10">
        <f t="shared" si="134"/>
        <v>0</v>
      </c>
      <c r="CW93" s="10">
        <f t="shared" si="135"/>
        <v>0</v>
      </c>
      <c r="CX93" s="10">
        <f t="shared" si="135"/>
        <v>0</v>
      </c>
      <c r="CY93" s="10">
        <f t="shared" si="135"/>
        <v>0</v>
      </c>
      <c r="CZ93" s="10">
        <f t="shared" si="135"/>
        <v>0</v>
      </c>
    </row>
    <row r="94" spans="4:104" x14ac:dyDescent="0.15">
      <c r="D94" s="10">
        <v>79</v>
      </c>
      <c r="E94" s="10" t="e">
        <f t="shared" si="95"/>
        <v>#VALUE!</v>
      </c>
      <c r="F94" s="10" t="e">
        <f t="shared" si="79"/>
        <v>#VALUE!</v>
      </c>
      <c r="G94" s="10" t="e">
        <f t="shared" si="80"/>
        <v>#VALUE!</v>
      </c>
      <c r="H94" s="10" t="e">
        <f t="shared" si="96"/>
        <v>#VALUE!</v>
      </c>
      <c r="I94" s="10" t="e">
        <f t="shared" si="81"/>
        <v>#VALUE!</v>
      </c>
      <c r="J94" s="10" t="e">
        <f t="shared" si="97"/>
        <v>#VALUE!</v>
      </c>
      <c r="K94" s="10" t="e">
        <f t="shared" si="82"/>
        <v>#VALUE!</v>
      </c>
      <c r="L94" s="10" t="e">
        <f t="shared" si="83"/>
        <v>#VALUE!</v>
      </c>
      <c r="M94" s="10" t="e">
        <f t="shared" si="98"/>
        <v>#VALUE!</v>
      </c>
      <c r="O94" s="10" t="e">
        <f t="shared" si="99"/>
        <v>#VALUE!</v>
      </c>
      <c r="P94" s="10" t="e">
        <f t="shared" si="84"/>
        <v>#VALUE!</v>
      </c>
      <c r="Q94" s="10" t="e">
        <f t="shared" si="85"/>
        <v>#VALUE!</v>
      </c>
      <c r="R94" s="10" t="e">
        <f t="shared" si="100"/>
        <v>#VALUE!</v>
      </c>
      <c r="S94" s="10" t="e">
        <f t="shared" si="101"/>
        <v>#VALUE!</v>
      </c>
      <c r="T94" s="10" t="e">
        <f t="shared" si="136"/>
        <v>#VALUE!</v>
      </c>
      <c r="U94" s="10" t="e">
        <f t="shared" si="137"/>
        <v>#VALUE!</v>
      </c>
      <c r="V94" s="10" t="e">
        <f t="shared" si="86"/>
        <v>#VALUE!</v>
      </c>
      <c r="W94" s="10" t="e">
        <f t="shared" si="102"/>
        <v>#VALUE!</v>
      </c>
      <c r="Y94" s="10" t="e">
        <f t="shared" si="103"/>
        <v>#VALUE!</v>
      </c>
      <c r="Z94" s="11" t="e">
        <f t="shared" si="104"/>
        <v>#VALUE!</v>
      </c>
      <c r="AA94" s="10" t="e">
        <f t="shared" si="87"/>
        <v>#VALUE!</v>
      </c>
      <c r="AB94" s="10" t="e">
        <f t="shared" si="105"/>
        <v>#VALUE!</v>
      </c>
      <c r="AC94" s="10" t="e">
        <f t="shared" si="106"/>
        <v>#VALUE!</v>
      </c>
      <c r="AD94" s="10" t="e">
        <f t="shared" si="138"/>
        <v>#VALUE!</v>
      </c>
      <c r="AE94" s="10" t="e">
        <f t="shared" si="139"/>
        <v>#VALUE!</v>
      </c>
      <c r="AF94" s="10" t="e">
        <f t="shared" si="88"/>
        <v>#VALUE!</v>
      </c>
      <c r="AG94" s="10" t="e">
        <f t="shared" si="107"/>
        <v>#VALUE!</v>
      </c>
      <c r="AI94" s="13"/>
      <c r="AK94" s="10" t="e">
        <f t="shared" si="108"/>
        <v>#VALUE!</v>
      </c>
      <c r="AL94" s="10" t="e">
        <f t="shared" si="140"/>
        <v>#VALUE!</v>
      </c>
      <c r="AM94" s="10" t="e">
        <f t="shared" si="89"/>
        <v>#VALUE!</v>
      </c>
      <c r="AN94" s="10" t="e">
        <f t="shared" si="109"/>
        <v>#VALUE!</v>
      </c>
      <c r="AO94" s="10" t="e">
        <f t="shared" si="110"/>
        <v>#VALUE!</v>
      </c>
      <c r="AP94" s="10" t="e">
        <f t="shared" si="111"/>
        <v>#VALUE!</v>
      </c>
      <c r="AQ94" s="10" t="e">
        <f t="shared" si="141"/>
        <v>#VALUE!</v>
      </c>
      <c r="AR94" s="10" t="e">
        <f t="shared" si="90"/>
        <v>#VALUE!</v>
      </c>
      <c r="AS94" s="10" t="e">
        <f t="shared" si="142"/>
        <v>#VALUE!</v>
      </c>
      <c r="AU94" s="10" t="e">
        <f t="shared" si="112"/>
        <v>#VALUE!</v>
      </c>
      <c r="AV94" s="10" t="e">
        <f t="shared" si="143"/>
        <v>#VALUE!</v>
      </c>
      <c r="AW94" s="10" t="e">
        <f t="shared" si="91"/>
        <v>#VALUE!</v>
      </c>
      <c r="AX94" s="10" t="e">
        <f t="shared" si="113"/>
        <v>#VALUE!</v>
      </c>
      <c r="AY94" s="10" t="e">
        <f t="shared" si="114"/>
        <v>#VALUE!</v>
      </c>
      <c r="AZ94" s="10" t="e">
        <f t="shared" si="115"/>
        <v>#VALUE!</v>
      </c>
      <c r="BA94" s="10" t="e">
        <f t="shared" si="144"/>
        <v>#VALUE!</v>
      </c>
      <c r="BB94" s="10" t="e">
        <f t="shared" si="92"/>
        <v>#VALUE!</v>
      </c>
      <c r="BC94" s="10" t="e">
        <f t="shared" si="145"/>
        <v>#VALUE!</v>
      </c>
      <c r="BE94" s="10" t="e">
        <f t="shared" si="116"/>
        <v>#VALUE!</v>
      </c>
      <c r="BF94" s="10" t="e">
        <f t="shared" si="146"/>
        <v>#VALUE!</v>
      </c>
      <c r="BG94" s="10" t="e">
        <f t="shared" si="93"/>
        <v>#VALUE!</v>
      </c>
      <c r="BH94" s="10" t="e">
        <f t="shared" si="117"/>
        <v>#VALUE!</v>
      </c>
      <c r="BI94" s="10" t="e">
        <f t="shared" si="118"/>
        <v>#VALUE!</v>
      </c>
      <c r="BJ94" s="10" t="e">
        <f t="shared" si="119"/>
        <v>#VALUE!</v>
      </c>
      <c r="BK94" s="10" t="e">
        <f t="shared" si="147"/>
        <v>#VALUE!</v>
      </c>
      <c r="BL94" s="10" t="e">
        <f t="shared" si="94"/>
        <v>#VALUE!</v>
      </c>
      <c r="BM94" s="10" t="e">
        <f t="shared" si="148"/>
        <v>#VALUE!</v>
      </c>
      <c r="BP94" s="10" t="e">
        <f t="shared" si="120"/>
        <v>#VALUE!</v>
      </c>
      <c r="BQ94" s="10" t="e">
        <f t="shared" si="121"/>
        <v>#VALUE!</v>
      </c>
      <c r="BR94" s="10" t="e">
        <f t="shared" si="122"/>
        <v>#VALUE!</v>
      </c>
      <c r="BS94" s="10" t="e">
        <f t="shared" si="123"/>
        <v>#VALUE!</v>
      </c>
      <c r="BT94" s="10" t="e">
        <f t="shared" si="124"/>
        <v>#VALUE!</v>
      </c>
      <c r="BU94" s="10" t="e">
        <f t="shared" si="125"/>
        <v>#VALUE!</v>
      </c>
      <c r="BW94" s="10" t="e">
        <f t="shared" si="126"/>
        <v>#VALUE!</v>
      </c>
      <c r="BX94" s="10" t="e">
        <f t="shared" si="127"/>
        <v>#VALUE!</v>
      </c>
      <c r="BY94" s="10" t="e">
        <f t="shared" si="128"/>
        <v>#VALUE!</v>
      </c>
      <c r="BZ94" s="10" t="e">
        <f t="shared" si="129"/>
        <v>#VALUE!</v>
      </c>
      <c r="CA94" s="10" t="e">
        <f t="shared" si="130"/>
        <v>#VALUE!</v>
      </c>
      <c r="CB94" s="10" t="e">
        <f t="shared" si="131"/>
        <v>#VALUE!</v>
      </c>
      <c r="CD94" s="10" t="e">
        <f>MATCH(INDEX($BP$12:$BU$12,1,MATCH(BP94,$BP$15:$BU$15,0)),结果汇总!$AI$10:$AI$13,0)</f>
        <v>#VALUE!</v>
      </c>
      <c r="CE94" s="10" t="e">
        <f>MATCH(INDEX($BP$12:$BU$12,1,MATCH(BQ94,$BP$15:$BU$15,0)),结果汇总!$AI$10:$AI$13,0)</f>
        <v>#VALUE!</v>
      </c>
      <c r="CF94" s="10" t="e">
        <f>MATCH(INDEX($BP$12:$BU$12,1,MATCH(BR94,$BP$15:$BU$15,0)),结果汇总!$AI$10:$AI$13,0)</f>
        <v>#VALUE!</v>
      </c>
      <c r="CG94" s="10" t="e">
        <f>MATCH(INDEX($BP$12:$BU$12,1,MATCH(BS94,$BP$15:$BU$15,0)),结果汇总!$AI$10:$AI$13,0)</f>
        <v>#VALUE!</v>
      </c>
      <c r="CH94" s="10" t="e">
        <f>MATCH(INDEX($BP$12:$BU$12,1,MATCH(BT94,$BP$15:$BU$15,0)),结果汇总!$AI$10:$AI$13,0)</f>
        <v>#VALUE!</v>
      </c>
      <c r="CI94" s="10" t="e">
        <f>MATCH(INDEX($BP$12:$BU$12,1,MATCH(BU94,$BP$15:$BU$15,0)),结果汇总!$AI$10:$AI$13,0)</f>
        <v>#VALUE!</v>
      </c>
      <c r="CK94" s="10">
        <f t="shared" si="132"/>
        <v>0</v>
      </c>
      <c r="CL94" s="10">
        <f t="shared" si="132"/>
        <v>0</v>
      </c>
      <c r="CM94" s="10">
        <f t="shared" si="132"/>
        <v>0</v>
      </c>
      <c r="CN94" s="10">
        <f t="shared" si="132"/>
        <v>0</v>
      </c>
      <c r="CO94" s="10" t="e">
        <f t="shared" si="133"/>
        <v>#DIV/0!</v>
      </c>
      <c r="CP94" s="10" t="e">
        <f t="shared" si="133"/>
        <v>#DIV/0!</v>
      </c>
      <c r="CQ94" s="10" t="e">
        <f t="shared" si="133"/>
        <v>#DIV/0!</v>
      </c>
      <c r="CR94" s="10" t="e">
        <f t="shared" si="133"/>
        <v>#DIV/0!</v>
      </c>
      <c r="CS94" s="10">
        <f t="shared" si="134"/>
        <v>0</v>
      </c>
      <c r="CT94" s="10">
        <f t="shared" si="134"/>
        <v>0</v>
      </c>
      <c r="CU94" s="10">
        <f t="shared" si="134"/>
        <v>0</v>
      </c>
      <c r="CV94" s="10">
        <f t="shared" si="134"/>
        <v>0</v>
      </c>
      <c r="CW94" s="10">
        <f t="shared" si="135"/>
        <v>0</v>
      </c>
      <c r="CX94" s="10">
        <f t="shared" si="135"/>
        <v>0</v>
      </c>
      <c r="CY94" s="10">
        <f t="shared" si="135"/>
        <v>0</v>
      </c>
      <c r="CZ94" s="10">
        <f t="shared" si="135"/>
        <v>0</v>
      </c>
    </row>
    <row r="95" spans="4:104" x14ac:dyDescent="0.15">
      <c r="D95" s="10">
        <v>80</v>
      </c>
      <c r="E95" s="10" t="e">
        <f t="shared" si="95"/>
        <v>#VALUE!</v>
      </c>
      <c r="F95" s="10" t="e">
        <f t="shared" si="79"/>
        <v>#VALUE!</v>
      </c>
      <c r="G95" s="10" t="e">
        <f t="shared" si="80"/>
        <v>#VALUE!</v>
      </c>
      <c r="H95" s="10" t="e">
        <f t="shared" si="96"/>
        <v>#VALUE!</v>
      </c>
      <c r="I95" s="10" t="e">
        <f t="shared" si="81"/>
        <v>#VALUE!</v>
      </c>
      <c r="J95" s="10" t="e">
        <f t="shared" si="97"/>
        <v>#VALUE!</v>
      </c>
      <c r="K95" s="10" t="e">
        <f t="shared" si="82"/>
        <v>#VALUE!</v>
      </c>
      <c r="L95" s="10" t="e">
        <f t="shared" si="83"/>
        <v>#VALUE!</v>
      </c>
      <c r="M95" s="10" t="e">
        <f t="shared" si="98"/>
        <v>#VALUE!</v>
      </c>
      <c r="O95" s="10" t="e">
        <f t="shared" si="99"/>
        <v>#VALUE!</v>
      </c>
      <c r="P95" s="10" t="e">
        <f t="shared" si="84"/>
        <v>#VALUE!</v>
      </c>
      <c r="Q95" s="10" t="e">
        <f t="shared" si="85"/>
        <v>#VALUE!</v>
      </c>
      <c r="R95" s="10" t="e">
        <f t="shared" si="100"/>
        <v>#VALUE!</v>
      </c>
      <c r="S95" s="10" t="e">
        <f t="shared" si="101"/>
        <v>#VALUE!</v>
      </c>
      <c r="T95" s="10" t="e">
        <f t="shared" si="136"/>
        <v>#VALUE!</v>
      </c>
      <c r="U95" s="10" t="e">
        <f t="shared" si="137"/>
        <v>#VALUE!</v>
      </c>
      <c r="V95" s="10" t="e">
        <f t="shared" si="86"/>
        <v>#VALUE!</v>
      </c>
      <c r="W95" s="10" t="e">
        <f t="shared" si="102"/>
        <v>#VALUE!</v>
      </c>
      <c r="Y95" s="10" t="e">
        <f t="shared" si="103"/>
        <v>#VALUE!</v>
      </c>
      <c r="Z95" s="11" t="e">
        <f t="shared" si="104"/>
        <v>#VALUE!</v>
      </c>
      <c r="AA95" s="10" t="e">
        <f t="shared" si="87"/>
        <v>#VALUE!</v>
      </c>
      <c r="AB95" s="10" t="e">
        <f t="shared" si="105"/>
        <v>#VALUE!</v>
      </c>
      <c r="AC95" s="10" t="e">
        <f t="shared" si="106"/>
        <v>#VALUE!</v>
      </c>
      <c r="AD95" s="10" t="e">
        <f t="shared" si="138"/>
        <v>#VALUE!</v>
      </c>
      <c r="AE95" s="10" t="e">
        <f t="shared" si="139"/>
        <v>#VALUE!</v>
      </c>
      <c r="AF95" s="10" t="e">
        <f t="shared" si="88"/>
        <v>#VALUE!</v>
      </c>
      <c r="AG95" s="10" t="e">
        <f t="shared" si="107"/>
        <v>#VALUE!</v>
      </c>
      <c r="AI95" s="13"/>
      <c r="AK95" s="10" t="e">
        <f t="shared" si="108"/>
        <v>#VALUE!</v>
      </c>
      <c r="AL95" s="10" t="e">
        <f t="shared" si="140"/>
        <v>#VALUE!</v>
      </c>
      <c r="AM95" s="10" t="e">
        <f t="shared" si="89"/>
        <v>#VALUE!</v>
      </c>
      <c r="AN95" s="10" t="e">
        <f t="shared" si="109"/>
        <v>#VALUE!</v>
      </c>
      <c r="AO95" s="10" t="e">
        <f t="shared" si="110"/>
        <v>#VALUE!</v>
      </c>
      <c r="AP95" s="10" t="e">
        <f t="shared" si="111"/>
        <v>#VALUE!</v>
      </c>
      <c r="AQ95" s="10" t="e">
        <f t="shared" si="141"/>
        <v>#VALUE!</v>
      </c>
      <c r="AR95" s="10" t="e">
        <f t="shared" si="90"/>
        <v>#VALUE!</v>
      </c>
      <c r="AS95" s="10" t="e">
        <f t="shared" si="142"/>
        <v>#VALUE!</v>
      </c>
      <c r="AU95" s="10" t="e">
        <f t="shared" si="112"/>
        <v>#VALUE!</v>
      </c>
      <c r="AV95" s="10" t="e">
        <f t="shared" si="143"/>
        <v>#VALUE!</v>
      </c>
      <c r="AW95" s="10" t="e">
        <f t="shared" si="91"/>
        <v>#VALUE!</v>
      </c>
      <c r="AX95" s="10" t="e">
        <f t="shared" si="113"/>
        <v>#VALUE!</v>
      </c>
      <c r="AY95" s="10" t="e">
        <f t="shared" si="114"/>
        <v>#VALUE!</v>
      </c>
      <c r="AZ95" s="10" t="e">
        <f t="shared" si="115"/>
        <v>#VALUE!</v>
      </c>
      <c r="BA95" s="10" t="e">
        <f t="shared" si="144"/>
        <v>#VALUE!</v>
      </c>
      <c r="BB95" s="10" t="e">
        <f t="shared" si="92"/>
        <v>#VALUE!</v>
      </c>
      <c r="BC95" s="10" t="e">
        <f t="shared" si="145"/>
        <v>#VALUE!</v>
      </c>
      <c r="BE95" s="10" t="e">
        <f t="shared" si="116"/>
        <v>#VALUE!</v>
      </c>
      <c r="BF95" s="10" t="e">
        <f t="shared" si="146"/>
        <v>#VALUE!</v>
      </c>
      <c r="BG95" s="10" t="e">
        <f t="shared" si="93"/>
        <v>#VALUE!</v>
      </c>
      <c r="BH95" s="10" t="e">
        <f t="shared" si="117"/>
        <v>#VALUE!</v>
      </c>
      <c r="BI95" s="10" t="e">
        <f t="shared" si="118"/>
        <v>#VALUE!</v>
      </c>
      <c r="BJ95" s="10" t="e">
        <f t="shared" si="119"/>
        <v>#VALUE!</v>
      </c>
      <c r="BK95" s="10" t="e">
        <f t="shared" si="147"/>
        <v>#VALUE!</v>
      </c>
      <c r="BL95" s="10" t="e">
        <f t="shared" si="94"/>
        <v>#VALUE!</v>
      </c>
      <c r="BM95" s="10" t="e">
        <f t="shared" si="148"/>
        <v>#VALUE!</v>
      </c>
      <c r="BP95" s="10" t="e">
        <f t="shared" si="120"/>
        <v>#VALUE!</v>
      </c>
      <c r="BQ95" s="10" t="e">
        <f t="shared" si="121"/>
        <v>#VALUE!</v>
      </c>
      <c r="BR95" s="10" t="e">
        <f t="shared" si="122"/>
        <v>#VALUE!</v>
      </c>
      <c r="BS95" s="10" t="e">
        <f t="shared" si="123"/>
        <v>#VALUE!</v>
      </c>
      <c r="BT95" s="10" t="e">
        <f t="shared" si="124"/>
        <v>#VALUE!</v>
      </c>
      <c r="BU95" s="10" t="e">
        <f t="shared" si="125"/>
        <v>#VALUE!</v>
      </c>
      <c r="BW95" s="10" t="e">
        <f t="shared" si="126"/>
        <v>#VALUE!</v>
      </c>
      <c r="BX95" s="10" t="e">
        <f t="shared" si="127"/>
        <v>#VALUE!</v>
      </c>
      <c r="BY95" s="10" t="e">
        <f t="shared" si="128"/>
        <v>#VALUE!</v>
      </c>
      <c r="BZ95" s="10" t="e">
        <f t="shared" si="129"/>
        <v>#VALUE!</v>
      </c>
      <c r="CA95" s="10" t="e">
        <f t="shared" si="130"/>
        <v>#VALUE!</v>
      </c>
      <c r="CB95" s="10" t="e">
        <f t="shared" si="131"/>
        <v>#VALUE!</v>
      </c>
      <c r="CD95" s="10" t="e">
        <f>MATCH(INDEX($BP$12:$BU$12,1,MATCH(BP95,$BP$15:$BU$15,0)),结果汇总!$AI$10:$AI$13,0)</f>
        <v>#VALUE!</v>
      </c>
      <c r="CE95" s="10" t="e">
        <f>MATCH(INDEX($BP$12:$BU$12,1,MATCH(BQ95,$BP$15:$BU$15,0)),结果汇总!$AI$10:$AI$13,0)</f>
        <v>#VALUE!</v>
      </c>
      <c r="CF95" s="10" t="e">
        <f>MATCH(INDEX($BP$12:$BU$12,1,MATCH(BR95,$BP$15:$BU$15,0)),结果汇总!$AI$10:$AI$13,0)</f>
        <v>#VALUE!</v>
      </c>
      <c r="CG95" s="10" t="e">
        <f>MATCH(INDEX($BP$12:$BU$12,1,MATCH(BS95,$BP$15:$BU$15,0)),结果汇总!$AI$10:$AI$13,0)</f>
        <v>#VALUE!</v>
      </c>
      <c r="CH95" s="10" t="e">
        <f>MATCH(INDEX($BP$12:$BU$12,1,MATCH(BT95,$BP$15:$BU$15,0)),结果汇总!$AI$10:$AI$13,0)</f>
        <v>#VALUE!</v>
      </c>
      <c r="CI95" s="10" t="e">
        <f>MATCH(INDEX($BP$12:$BU$12,1,MATCH(BU95,$BP$15:$BU$15,0)),结果汇总!$AI$10:$AI$13,0)</f>
        <v>#VALUE!</v>
      </c>
      <c r="CK95" s="10">
        <f t="shared" si="132"/>
        <v>0</v>
      </c>
      <c r="CL95" s="10">
        <f t="shared" si="132"/>
        <v>0</v>
      </c>
      <c r="CM95" s="10">
        <f t="shared" si="132"/>
        <v>0</v>
      </c>
      <c r="CN95" s="10">
        <f t="shared" si="132"/>
        <v>0</v>
      </c>
      <c r="CO95" s="10" t="e">
        <f t="shared" si="133"/>
        <v>#DIV/0!</v>
      </c>
      <c r="CP95" s="10" t="e">
        <f t="shared" si="133"/>
        <v>#DIV/0!</v>
      </c>
      <c r="CQ95" s="10" t="e">
        <f t="shared" si="133"/>
        <v>#DIV/0!</v>
      </c>
      <c r="CR95" s="10" t="e">
        <f t="shared" si="133"/>
        <v>#DIV/0!</v>
      </c>
      <c r="CS95" s="10">
        <f t="shared" si="134"/>
        <v>0</v>
      </c>
      <c r="CT95" s="10">
        <f t="shared" si="134"/>
        <v>0</v>
      </c>
      <c r="CU95" s="10">
        <f t="shared" si="134"/>
        <v>0</v>
      </c>
      <c r="CV95" s="10">
        <f t="shared" si="134"/>
        <v>0</v>
      </c>
      <c r="CW95" s="10">
        <f t="shared" si="135"/>
        <v>0</v>
      </c>
      <c r="CX95" s="10">
        <f t="shared" si="135"/>
        <v>0</v>
      </c>
      <c r="CY95" s="10">
        <f t="shared" si="135"/>
        <v>0</v>
      </c>
      <c r="CZ95" s="10">
        <f t="shared" si="135"/>
        <v>0</v>
      </c>
    </row>
    <row r="96" spans="4:104" x14ac:dyDescent="0.15">
      <c r="D96" s="10">
        <v>81</v>
      </c>
      <c r="E96" s="10" t="e">
        <f t="shared" si="95"/>
        <v>#VALUE!</v>
      </c>
      <c r="F96" s="10" t="e">
        <f t="shared" si="79"/>
        <v>#VALUE!</v>
      </c>
      <c r="G96" s="10" t="e">
        <f t="shared" si="80"/>
        <v>#VALUE!</v>
      </c>
      <c r="H96" s="10" t="e">
        <f t="shared" si="96"/>
        <v>#VALUE!</v>
      </c>
      <c r="I96" s="10" t="e">
        <f t="shared" si="81"/>
        <v>#VALUE!</v>
      </c>
      <c r="J96" s="10" t="e">
        <f t="shared" si="97"/>
        <v>#VALUE!</v>
      </c>
      <c r="K96" s="10" t="e">
        <f t="shared" si="82"/>
        <v>#VALUE!</v>
      </c>
      <c r="L96" s="10" t="e">
        <f t="shared" si="83"/>
        <v>#VALUE!</v>
      </c>
      <c r="M96" s="10" t="e">
        <f t="shared" si="98"/>
        <v>#VALUE!</v>
      </c>
      <c r="O96" s="10" t="e">
        <f t="shared" si="99"/>
        <v>#VALUE!</v>
      </c>
      <c r="P96" s="10" t="e">
        <f t="shared" si="84"/>
        <v>#VALUE!</v>
      </c>
      <c r="Q96" s="10" t="e">
        <f t="shared" si="85"/>
        <v>#VALUE!</v>
      </c>
      <c r="R96" s="10" t="e">
        <f t="shared" si="100"/>
        <v>#VALUE!</v>
      </c>
      <c r="S96" s="10" t="e">
        <f t="shared" si="101"/>
        <v>#VALUE!</v>
      </c>
      <c r="T96" s="10" t="e">
        <f t="shared" si="136"/>
        <v>#VALUE!</v>
      </c>
      <c r="U96" s="10" t="e">
        <f t="shared" si="137"/>
        <v>#VALUE!</v>
      </c>
      <c r="V96" s="10" t="e">
        <f t="shared" si="86"/>
        <v>#VALUE!</v>
      </c>
      <c r="W96" s="10" t="e">
        <f t="shared" si="102"/>
        <v>#VALUE!</v>
      </c>
      <c r="Y96" s="10" t="e">
        <f t="shared" si="103"/>
        <v>#VALUE!</v>
      </c>
      <c r="Z96" s="11" t="e">
        <f t="shared" si="104"/>
        <v>#VALUE!</v>
      </c>
      <c r="AA96" s="10" t="e">
        <f t="shared" si="87"/>
        <v>#VALUE!</v>
      </c>
      <c r="AB96" s="10" t="e">
        <f t="shared" si="105"/>
        <v>#VALUE!</v>
      </c>
      <c r="AC96" s="10" t="e">
        <f t="shared" si="106"/>
        <v>#VALUE!</v>
      </c>
      <c r="AD96" s="10" t="e">
        <f t="shared" si="138"/>
        <v>#VALUE!</v>
      </c>
      <c r="AE96" s="10" t="e">
        <f t="shared" si="139"/>
        <v>#VALUE!</v>
      </c>
      <c r="AF96" s="10" t="e">
        <f t="shared" si="88"/>
        <v>#VALUE!</v>
      </c>
      <c r="AG96" s="10" t="e">
        <f t="shared" si="107"/>
        <v>#VALUE!</v>
      </c>
      <c r="AI96" s="13"/>
      <c r="AK96" s="10" t="e">
        <f t="shared" si="108"/>
        <v>#VALUE!</v>
      </c>
      <c r="AL96" s="10" t="e">
        <f t="shared" si="140"/>
        <v>#VALUE!</v>
      </c>
      <c r="AM96" s="10" t="e">
        <f t="shared" si="89"/>
        <v>#VALUE!</v>
      </c>
      <c r="AN96" s="10" t="e">
        <f t="shared" si="109"/>
        <v>#VALUE!</v>
      </c>
      <c r="AO96" s="10" t="e">
        <f t="shared" si="110"/>
        <v>#VALUE!</v>
      </c>
      <c r="AP96" s="10" t="e">
        <f t="shared" si="111"/>
        <v>#VALUE!</v>
      </c>
      <c r="AQ96" s="10" t="e">
        <f t="shared" si="141"/>
        <v>#VALUE!</v>
      </c>
      <c r="AR96" s="10" t="e">
        <f t="shared" si="90"/>
        <v>#VALUE!</v>
      </c>
      <c r="AS96" s="10" t="e">
        <f t="shared" si="142"/>
        <v>#VALUE!</v>
      </c>
      <c r="AU96" s="10" t="e">
        <f t="shared" si="112"/>
        <v>#VALUE!</v>
      </c>
      <c r="AV96" s="10" t="e">
        <f t="shared" si="143"/>
        <v>#VALUE!</v>
      </c>
      <c r="AW96" s="10" t="e">
        <f t="shared" si="91"/>
        <v>#VALUE!</v>
      </c>
      <c r="AX96" s="10" t="e">
        <f t="shared" si="113"/>
        <v>#VALUE!</v>
      </c>
      <c r="AY96" s="10" t="e">
        <f t="shared" si="114"/>
        <v>#VALUE!</v>
      </c>
      <c r="AZ96" s="10" t="e">
        <f t="shared" si="115"/>
        <v>#VALUE!</v>
      </c>
      <c r="BA96" s="10" t="e">
        <f t="shared" si="144"/>
        <v>#VALUE!</v>
      </c>
      <c r="BB96" s="10" t="e">
        <f t="shared" si="92"/>
        <v>#VALUE!</v>
      </c>
      <c r="BC96" s="10" t="e">
        <f t="shared" si="145"/>
        <v>#VALUE!</v>
      </c>
      <c r="BE96" s="10" t="e">
        <f t="shared" si="116"/>
        <v>#VALUE!</v>
      </c>
      <c r="BF96" s="10" t="e">
        <f t="shared" si="146"/>
        <v>#VALUE!</v>
      </c>
      <c r="BG96" s="10" t="e">
        <f t="shared" si="93"/>
        <v>#VALUE!</v>
      </c>
      <c r="BH96" s="10" t="e">
        <f t="shared" si="117"/>
        <v>#VALUE!</v>
      </c>
      <c r="BI96" s="10" t="e">
        <f t="shared" si="118"/>
        <v>#VALUE!</v>
      </c>
      <c r="BJ96" s="10" t="e">
        <f t="shared" si="119"/>
        <v>#VALUE!</v>
      </c>
      <c r="BK96" s="10" t="e">
        <f t="shared" si="147"/>
        <v>#VALUE!</v>
      </c>
      <c r="BL96" s="10" t="e">
        <f t="shared" si="94"/>
        <v>#VALUE!</v>
      </c>
      <c r="BM96" s="10" t="e">
        <f t="shared" si="148"/>
        <v>#VALUE!</v>
      </c>
      <c r="BP96" s="10" t="e">
        <f t="shared" si="120"/>
        <v>#VALUE!</v>
      </c>
      <c r="BQ96" s="10" t="e">
        <f t="shared" si="121"/>
        <v>#VALUE!</v>
      </c>
      <c r="BR96" s="10" t="e">
        <f t="shared" si="122"/>
        <v>#VALUE!</v>
      </c>
      <c r="BS96" s="10" t="e">
        <f t="shared" si="123"/>
        <v>#VALUE!</v>
      </c>
      <c r="BT96" s="10" t="e">
        <f t="shared" si="124"/>
        <v>#VALUE!</v>
      </c>
      <c r="BU96" s="10" t="e">
        <f t="shared" si="125"/>
        <v>#VALUE!</v>
      </c>
      <c r="BW96" s="10" t="e">
        <f t="shared" si="126"/>
        <v>#VALUE!</v>
      </c>
      <c r="BX96" s="10" t="e">
        <f t="shared" si="127"/>
        <v>#VALUE!</v>
      </c>
      <c r="BY96" s="10" t="e">
        <f t="shared" si="128"/>
        <v>#VALUE!</v>
      </c>
      <c r="BZ96" s="10" t="e">
        <f t="shared" si="129"/>
        <v>#VALUE!</v>
      </c>
      <c r="CA96" s="10" t="e">
        <f t="shared" si="130"/>
        <v>#VALUE!</v>
      </c>
      <c r="CB96" s="10" t="e">
        <f t="shared" si="131"/>
        <v>#VALUE!</v>
      </c>
      <c r="CD96" s="10" t="e">
        <f>MATCH(INDEX($BP$12:$BU$12,1,MATCH(BP96,$BP$15:$BU$15,0)),结果汇总!$AI$10:$AI$13,0)</f>
        <v>#VALUE!</v>
      </c>
      <c r="CE96" s="10" t="e">
        <f>MATCH(INDEX($BP$12:$BU$12,1,MATCH(BQ96,$BP$15:$BU$15,0)),结果汇总!$AI$10:$AI$13,0)</f>
        <v>#VALUE!</v>
      </c>
      <c r="CF96" s="10" t="e">
        <f>MATCH(INDEX($BP$12:$BU$12,1,MATCH(BR96,$BP$15:$BU$15,0)),结果汇总!$AI$10:$AI$13,0)</f>
        <v>#VALUE!</v>
      </c>
      <c r="CG96" s="10" t="e">
        <f>MATCH(INDEX($BP$12:$BU$12,1,MATCH(BS96,$BP$15:$BU$15,0)),结果汇总!$AI$10:$AI$13,0)</f>
        <v>#VALUE!</v>
      </c>
      <c r="CH96" s="10" t="e">
        <f>MATCH(INDEX($BP$12:$BU$12,1,MATCH(BT96,$BP$15:$BU$15,0)),结果汇总!$AI$10:$AI$13,0)</f>
        <v>#VALUE!</v>
      </c>
      <c r="CI96" s="10" t="e">
        <f>MATCH(INDEX($BP$12:$BU$12,1,MATCH(BU96,$BP$15:$BU$15,0)),结果汇总!$AI$10:$AI$13,0)</f>
        <v>#VALUE!</v>
      </c>
      <c r="CK96" s="10">
        <f t="shared" si="132"/>
        <v>0</v>
      </c>
      <c r="CL96" s="10">
        <f t="shared" si="132"/>
        <v>0</v>
      </c>
      <c r="CM96" s="10">
        <f t="shared" si="132"/>
        <v>0</v>
      </c>
      <c r="CN96" s="10">
        <f t="shared" si="132"/>
        <v>0</v>
      </c>
      <c r="CO96" s="10" t="e">
        <f t="shared" si="133"/>
        <v>#DIV/0!</v>
      </c>
      <c r="CP96" s="10" t="e">
        <f t="shared" si="133"/>
        <v>#DIV/0!</v>
      </c>
      <c r="CQ96" s="10" t="e">
        <f t="shared" si="133"/>
        <v>#DIV/0!</v>
      </c>
      <c r="CR96" s="10" t="e">
        <f t="shared" si="133"/>
        <v>#DIV/0!</v>
      </c>
      <c r="CS96" s="10">
        <f t="shared" si="134"/>
        <v>0</v>
      </c>
      <c r="CT96" s="10">
        <f t="shared" si="134"/>
        <v>0</v>
      </c>
      <c r="CU96" s="10">
        <f t="shared" si="134"/>
        <v>0</v>
      </c>
      <c r="CV96" s="10">
        <f t="shared" si="134"/>
        <v>0</v>
      </c>
      <c r="CW96" s="10">
        <f t="shared" si="135"/>
        <v>0</v>
      </c>
      <c r="CX96" s="10">
        <f t="shared" si="135"/>
        <v>0</v>
      </c>
      <c r="CY96" s="10">
        <f t="shared" si="135"/>
        <v>0</v>
      </c>
      <c r="CZ96" s="10">
        <f t="shared" si="135"/>
        <v>0</v>
      </c>
    </row>
    <row r="97" spans="4:104" x14ac:dyDescent="0.15">
      <c r="D97" s="10">
        <v>82</v>
      </c>
      <c r="E97" s="10" t="e">
        <f t="shared" si="95"/>
        <v>#VALUE!</v>
      </c>
      <c r="F97" s="10" t="e">
        <f t="shared" si="79"/>
        <v>#VALUE!</v>
      </c>
      <c r="G97" s="10" t="e">
        <f t="shared" si="80"/>
        <v>#VALUE!</v>
      </c>
      <c r="H97" s="10" t="e">
        <f t="shared" si="96"/>
        <v>#VALUE!</v>
      </c>
      <c r="I97" s="10" t="e">
        <f t="shared" si="81"/>
        <v>#VALUE!</v>
      </c>
      <c r="J97" s="10" t="e">
        <f t="shared" si="97"/>
        <v>#VALUE!</v>
      </c>
      <c r="K97" s="10" t="e">
        <f t="shared" si="82"/>
        <v>#VALUE!</v>
      </c>
      <c r="L97" s="10" t="e">
        <f t="shared" si="83"/>
        <v>#VALUE!</v>
      </c>
      <c r="M97" s="10" t="e">
        <f t="shared" si="98"/>
        <v>#VALUE!</v>
      </c>
      <c r="O97" s="10" t="e">
        <f t="shared" si="99"/>
        <v>#VALUE!</v>
      </c>
      <c r="P97" s="10" t="e">
        <f t="shared" si="84"/>
        <v>#VALUE!</v>
      </c>
      <c r="Q97" s="10" t="e">
        <f t="shared" si="85"/>
        <v>#VALUE!</v>
      </c>
      <c r="R97" s="10" t="e">
        <f t="shared" si="100"/>
        <v>#VALUE!</v>
      </c>
      <c r="S97" s="10" t="e">
        <f t="shared" si="101"/>
        <v>#VALUE!</v>
      </c>
      <c r="T97" s="10" t="e">
        <f t="shared" si="136"/>
        <v>#VALUE!</v>
      </c>
      <c r="U97" s="10" t="e">
        <f t="shared" si="137"/>
        <v>#VALUE!</v>
      </c>
      <c r="V97" s="10" t="e">
        <f t="shared" si="86"/>
        <v>#VALUE!</v>
      </c>
      <c r="W97" s="10" t="e">
        <f t="shared" si="102"/>
        <v>#VALUE!</v>
      </c>
      <c r="Y97" s="10" t="e">
        <f t="shared" si="103"/>
        <v>#VALUE!</v>
      </c>
      <c r="Z97" s="11" t="e">
        <f t="shared" si="104"/>
        <v>#VALUE!</v>
      </c>
      <c r="AA97" s="10" t="e">
        <f t="shared" si="87"/>
        <v>#VALUE!</v>
      </c>
      <c r="AB97" s="10" t="e">
        <f t="shared" si="105"/>
        <v>#VALUE!</v>
      </c>
      <c r="AC97" s="10" t="e">
        <f t="shared" si="106"/>
        <v>#VALUE!</v>
      </c>
      <c r="AD97" s="10" t="e">
        <f t="shared" si="138"/>
        <v>#VALUE!</v>
      </c>
      <c r="AE97" s="10" t="e">
        <f t="shared" si="139"/>
        <v>#VALUE!</v>
      </c>
      <c r="AF97" s="10" t="e">
        <f t="shared" si="88"/>
        <v>#VALUE!</v>
      </c>
      <c r="AG97" s="10" t="e">
        <f t="shared" si="107"/>
        <v>#VALUE!</v>
      </c>
      <c r="AI97" s="13"/>
      <c r="AK97" s="10" t="e">
        <f t="shared" si="108"/>
        <v>#VALUE!</v>
      </c>
      <c r="AL97" s="10" t="e">
        <f t="shared" si="140"/>
        <v>#VALUE!</v>
      </c>
      <c r="AM97" s="10" t="e">
        <f t="shared" si="89"/>
        <v>#VALUE!</v>
      </c>
      <c r="AN97" s="10" t="e">
        <f t="shared" si="109"/>
        <v>#VALUE!</v>
      </c>
      <c r="AO97" s="10" t="e">
        <f t="shared" si="110"/>
        <v>#VALUE!</v>
      </c>
      <c r="AP97" s="10" t="e">
        <f t="shared" si="111"/>
        <v>#VALUE!</v>
      </c>
      <c r="AQ97" s="10" t="e">
        <f t="shared" si="141"/>
        <v>#VALUE!</v>
      </c>
      <c r="AR97" s="10" t="e">
        <f t="shared" si="90"/>
        <v>#VALUE!</v>
      </c>
      <c r="AS97" s="10" t="e">
        <f t="shared" si="142"/>
        <v>#VALUE!</v>
      </c>
      <c r="AU97" s="10" t="e">
        <f t="shared" si="112"/>
        <v>#VALUE!</v>
      </c>
      <c r="AV97" s="10" t="e">
        <f t="shared" si="143"/>
        <v>#VALUE!</v>
      </c>
      <c r="AW97" s="10" t="e">
        <f t="shared" si="91"/>
        <v>#VALUE!</v>
      </c>
      <c r="AX97" s="10" t="e">
        <f t="shared" si="113"/>
        <v>#VALUE!</v>
      </c>
      <c r="AY97" s="10" t="e">
        <f t="shared" si="114"/>
        <v>#VALUE!</v>
      </c>
      <c r="AZ97" s="10" t="e">
        <f t="shared" si="115"/>
        <v>#VALUE!</v>
      </c>
      <c r="BA97" s="10" t="e">
        <f t="shared" si="144"/>
        <v>#VALUE!</v>
      </c>
      <c r="BB97" s="10" t="e">
        <f t="shared" si="92"/>
        <v>#VALUE!</v>
      </c>
      <c r="BC97" s="10" t="e">
        <f t="shared" si="145"/>
        <v>#VALUE!</v>
      </c>
      <c r="BE97" s="10" t="e">
        <f t="shared" si="116"/>
        <v>#VALUE!</v>
      </c>
      <c r="BF97" s="10" t="e">
        <f t="shared" si="146"/>
        <v>#VALUE!</v>
      </c>
      <c r="BG97" s="10" t="e">
        <f t="shared" si="93"/>
        <v>#VALUE!</v>
      </c>
      <c r="BH97" s="10" t="e">
        <f t="shared" si="117"/>
        <v>#VALUE!</v>
      </c>
      <c r="BI97" s="10" t="e">
        <f t="shared" si="118"/>
        <v>#VALUE!</v>
      </c>
      <c r="BJ97" s="10" t="e">
        <f t="shared" si="119"/>
        <v>#VALUE!</v>
      </c>
      <c r="BK97" s="10" t="e">
        <f t="shared" si="147"/>
        <v>#VALUE!</v>
      </c>
      <c r="BL97" s="10" t="e">
        <f t="shared" si="94"/>
        <v>#VALUE!</v>
      </c>
      <c r="BM97" s="10" t="e">
        <f t="shared" si="148"/>
        <v>#VALUE!</v>
      </c>
      <c r="BP97" s="10" t="e">
        <f t="shared" si="120"/>
        <v>#VALUE!</v>
      </c>
      <c r="BQ97" s="10" t="e">
        <f t="shared" si="121"/>
        <v>#VALUE!</v>
      </c>
      <c r="BR97" s="10" t="e">
        <f t="shared" si="122"/>
        <v>#VALUE!</v>
      </c>
      <c r="BS97" s="10" t="e">
        <f t="shared" si="123"/>
        <v>#VALUE!</v>
      </c>
      <c r="BT97" s="10" t="e">
        <f t="shared" si="124"/>
        <v>#VALUE!</v>
      </c>
      <c r="BU97" s="10" t="e">
        <f t="shared" si="125"/>
        <v>#VALUE!</v>
      </c>
      <c r="BW97" s="10" t="e">
        <f t="shared" si="126"/>
        <v>#VALUE!</v>
      </c>
      <c r="BX97" s="10" t="e">
        <f t="shared" si="127"/>
        <v>#VALUE!</v>
      </c>
      <c r="BY97" s="10" t="e">
        <f t="shared" si="128"/>
        <v>#VALUE!</v>
      </c>
      <c r="BZ97" s="10" t="e">
        <f t="shared" si="129"/>
        <v>#VALUE!</v>
      </c>
      <c r="CA97" s="10" t="e">
        <f t="shared" si="130"/>
        <v>#VALUE!</v>
      </c>
      <c r="CB97" s="10" t="e">
        <f t="shared" si="131"/>
        <v>#VALUE!</v>
      </c>
      <c r="CD97" s="10" t="e">
        <f>MATCH(INDEX($BP$12:$BU$12,1,MATCH(BP97,$BP$15:$BU$15,0)),结果汇总!$AI$10:$AI$13,0)</f>
        <v>#VALUE!</v>
      </c>
      <c r="CE97" s="10" t="e">
        <f>MATCH(INDEX($BP$12:$BU$12,1,MATCH(BQ97,$BP$15:$BU$15,0)),结果汇总!$AI$10:$AI$13,0)</f>
        <v>#VALUE!</v>
      </c>
      <c r="CF97" s="10" t="e">
        <f>MATCH(INDEX($BP$12:$BU$12,1,MATCH(BR97,$BP$15:$BU$15,0)),结果汇总!$AI$10:$AI$13,0)</f>
        <v>#VALUE!</v>
      </c>
      <c r="CG97" s="10" t="e">
        <f>MATCH(INDEX($BP$12:$BU$12,1,MATCH(BS97,$BP$15:$BU$15,0)),结果汇总!$AI$10:$AI$13,0)</f>
        <v>#VALUE!</v>
      </c>
      <c r="CH97" s="10" t="e">
        <f>MATCH(INDEX($BP$12:$BU$12,1,MATCH(BT97,$BP$15:$BU$15,0)),结果汇总!$AI$10:$AI$13,0)</f>
        <v>#VALUE!</v>
      </c>
      <c r="CI97" s="10" t="e">
        <f>MATCH(INDEX($BP$12:$BU$12,1,MATCH(BU97,$BP$15:$BU$15,0)),结果汇总!$AI$10:$AI$13,0)</f>
        <v>#VALUE!</v>
      </c>
      <c r="CK97" s="10">
        <f t="shared" si="132"/>
        <v>0</v>
      </c>
      <c r="CL97" s="10">
        <f t="shared" si="132"/>
        <v>0</v>
      </c>
      <c r="CM97" s="10">
        <f t="shared" si="132"/>
        <v>0</v>
      </c>
      <c r="CN97" s="10">
        <f t="shared" si="132"/>
        <v>0</v>
      </c>
      <c r="CO97" s="10" t="e">
        <f t="shared" si="133"/>
        <v>#DIV/0!</v>
      </c>
      <c r="CP97" s="10" t="e">
        <f t="shared" si="133"/>
        <v>#DIV/0!</v>
      </c>
      <c r="CQ97" s="10" t="e">
        <f t="shared" si="133"/>
        <v>#DIV/0!</v>
      </c>
      <c r="CR97" s="10" t="e">
        <f t="shared" si="133"/>
        <v>#DIV/0!</v>
      </c>
      <c r="CS97" s="10">
        <f t="shared" si="134"/>
        <v>0</v>
      </c>
      <c r="CT97" s="10">
        <f t="shared" si="134"/>
        <v>0</v>
      </c>
      <c r="CU97" s="10">
        <f t="shared" si="134"/>
        <v>0</v>
      </c>
      <c r="CV97" s="10">
        <f t="shared" si="134"/>
        <v>0</v>
      </c>
      <c r="CW97" s="10">
        <f t="shared" si="135"/>
        <v>0</v>
      </c>
      <c r="CX97" s="10">
        <f t="shared" si="135"/>
        <v>0</v>
      </c>
      <c r="CY97" s="10">
        <f t="shared" si="135"/>
        <v>0</v>
      </c>
      <c r="CZ97" s="10">
        <f t="shared" si="135"/>
        <v>0</v>
      </c>
    </row>
    <row r="98" spans="4:104" x14ac:dyDescent="0.15">
      <c r="D98" s="10">
        <v>83</v>
      </c>
      <c r="E98" s="10" t="e">
        <f t="shared" si="95"/>
        <v>#VALUE!</v>
      </c>
      <c r="F98" s="10" t="e">
        <f t="shared" si="79"/>
        <v>#VALUE!</v>
      </c>
      <c r="G98" s="10" t="e">
        <f t="shared" si="80"/>
        <v>#VALUE!</v>
      </c>
      <c r="H98" s="10" t="e">
        <f t="shared" si="96"/>
        <v>#VALUE!</v>
      </c>
      <c r="I98" s="10" t="e">
        <f t="shared" si="81"/>
        <v>#VALUE!</v>
      </c>
      <c r="J98" s="10" t="e">
        <f t="shared" si="97"/>
        <v>#VALUE!</v>
      </c>
      <c r="K98" s="10" t="e">
        <f t="shared" si="82"/>
        <v>#VALUE!</v>
      </c>
      <c r="L98" s="10" t="e">
        <f t="shared" si="83"/>
        <v>#VALUE!</v>
      </c>
      <c r="M98" s="10" t="e">
        <f t="shared" si="98"/>
        <v>#VALUE!</v>
      </c>
      <c r="O98" s="10" t="e">
        <f t="shared" si="99"/>
        <v>#VALUE!</v>
      </c>
      <c r="P98" s="10" t="e">
        <f t="shared" si="84"/>
        <v>#VALUE!</v>
      </c>
      <c r="Q98" s="10" t="e">
        <f t="shared" si="85"/>
        <v>#VALUE!</v>
      </c>
      <c r="R98" s="10" t="e">
        <f t="shared" si="100"/>
        <v>#VALUE!</v>
      </c>
      <c r="S98" s="10" t="e">
        <f t="shared" si="101"/>
        <v>#VALUE!</v>
      </c>
      <c r="T98" s="10" t="e">
        <f t="shared" si="136"/>
        <v>#VALUE!</v>
      </c>
      <c r="U98" s="10" t="e">
        <f t="shared" si="137"/>
        <v>#VALUE!</v>
      </c>
      <c r="V98" s="10" t="e">
        <f t="shared" si="86"/>
        <v>#VALUE!</v>
      </c>
      <c r="W98" s="10" t="e">
        <f t="shared" si="102"/>
        <v>#VALUE!</v>
      </c>
      <c r="Y98" s="10" t="e">
        <f t="shared" si="103"/>
        <v>#VALUE!</v>
      </c>
      <c r="Z98" s="11" t="e">
        <f t="shared" si="104"/>
        <v>#VALUE!</v>
      </c>
      <c r="AA98" s="10" t="e">
        <f t="shared" si="87"/>
        <v>#VALUE!</v>
      </c>
      <c r="AB98" s="10" t="e">
        <f t="shared" si="105"/>
        <v>#VALUE!</v>
      </c>
      <c r="AC98" s="10" t="e">
        <f t="shared" si="106"/>
        <v>#VALUE!</v>
      </c>
      <c r="AD98" s="10" t="e">
        <f t="shared" si="138"/>
        <v>#VALUE!</v>
      </c>
      <c r="AE98" s="10" t="e">
        <f t="shared" si="139"/>
        <v>#VALUE!</v>
      </c>
      <c r="AF98" s="10" t="e">
        <f t="shared" si="88"/>
        <v>#VALUE!</v>
      </c>
      <c r="AG98" s="10" t="e">
        <f t="shared" si="107"/>
        <v>#VALUE!</v>
      </c>
      <c r="AI98" s="13"/>
      <c r="AK98" s="10" t="e">
        <f t="shared" si="108"/>
        <v>#VALUE!</v>
      </c>
      <c r="AL98" s="10" t="e">
        <f t="shared" si="140"/>
        <v>#VALUE!</v>
      </c>
      <c r="AM98" s="10" t="e">
        <f t="shared" si="89"/>
        <v>#VALUE!</v>
      </c>
      <c r="AN98" s="10" t="e">
        <f t="shared" si="109"/>
        <v>#VALUE!</v>
      </c>
      <c r="AO98" s="10" t="e">
        <f t="shared" si="110"/>
        <v>#VALUE!</v>
      </c>
      <c r="AP98" s="10" t="e">
        <f t="shared" si="111"/>
        <v>#VALUE!</v>
      </c>
      <c r="AQ98" s="10" t="e">
        <f t="shared" si="141"/>
        <v>#VALUE!</v>
      </c>
      <c r="AR98" s="10" t="e">
        <f t="shared" si="90"/>
        <v>#VALUE!</v>
      </c>
      <c r="AS98" s="10" t="e">
        <f t="shared" si="142"/>
        <v>#VALUE!</v>
      </c>
      <c r="AU98" s="10" t="e">
        <f t="shared" si="112"/>
        <v>#VALUE!</v>
      </c>
      <c r="AV98" s="10" t="e">
        <f t="shared" si="143"/>
        <v>#VALUE!</v>
      </c>
      <c r="AW98" s="10" t="e">
        <f t="shared" si="91"/>
        <v>#VALUE!</v>
      </c>
      <c r="AX98" s="10" t="e">
        <f t="shared" si="113"/>
        <v>#VALUE!</v>
      </c>
      <c r="AY98" s="10" t="e">
        <f t="shared" si="114"/>
        <v>#VALUE!</v>
      </c>
      <c r="AZ98" s="10" t="e">
        <f t="shared" si="115"/>
        <v>#VALUE!</v>
      </c>
      <c r="BA98" s="10" t="e">
        <f t="shared" si="144"/>
        <v>#VALUE!</v>
      </c>
      <c r="BB98" s="10" t="e">
        <f t="shared" si="92"/>
        <v>#VALUE!</v>
      </c>
      <c r="BC98" s="10" t="e">
        <f t="shared" si="145"/>
        <v>#VALUE!</v>
      </c>
      <c r="BE98" s="10" t="e">
        <f t="shared" si="116"/>
        <v>#VALUE!</v>
      </c>
      <c r="BF98" s="10" t="e">
        <f t="shared" si="146"/>
        <v>#VALUE!</v>
      </c>
      <c r="BG98" s="10" t="e">
        <f t="shared" si="93"/>
        <v>#VALUE!</v>
      </c>
      <c r="BH98" s="10" t="e">
        <f t="shared" si="117"/>
        <v>#VALUE!</v>
      </c>
      <c r="BI98" s="10" t="e">
        <f t="shared" si="118"/>
        <v>#VALUE!</v>
      </c>
      <c r="BJ98" s="10" t="e">
        <f t="shared" si="119"/>
        <v>#VALUE!</v>
      </c>
      <c r="BK98" s="10" t="e">
        <f t="shared" si="147"/>
        <v>#VALUE!</v>
      </c>
      <c r="BL98" s="10" t="e">
        <f t="shared" si="94"/>
        <v>#VALUE!</v>
      </c>
      <c r="BM98" s="10" t="e">
        <f t="shared" si="148"/>
        <v>#VALUE!</v>
      </c>
      <c r="BP98" s="10" t="e">
        <f t="shared" si="120"/>
        <v>#VALUE!</v>
      </c>
      <c r="BQ98" s="10" t="e">
        <f t="shared" si="121"/>
        <v>#VALUE!</v>
      </c>
      <c r="BR98" s="10" t="e">
        <f t="shared" si="122"/>
        <v>#VALUE!</v>
      </c>
      <c r="BS98" s="10" t="e">
        <f t="shared" si="123"/>
        <v>#VALUE!</v>
      </c>
      <c r="BT98" s="10" t="e">
        <f t="shared" si="124"/>
        <v>#VALUE!</v>
      </c>
      <c r="BU98" s="10" t="e">
        <f t="shared" si="125"/>
        <v>#VALUE!</v>
      </c>
      <c r="BW98" s="10" t="e">
        <f t="shared" si="126"/>
        <v>#VALUE!</v>
      </c>
      <c r="BX98" s="10" t="e">
        <f t="shared" si="127"/>
        <v>#VALUE!</v>
      </c>
      <c r="BY98" s="10" t="e">
        <f t="shared" si="128"/>
        <v>#VALUE!</v>
      </c>
      <c r="BZ98" s="10" t="e">
        <f t="shared" si="129"/>
        <v>#VALUE!</v>
      </c>
      <c r="CA98" s="10" t="e">
        <f t="shared" si="130"/>
        <v>#VALUE!</v>
      </c>
      <c r="CB98" s="10" t="e">
        <f t="shared" si="131"/>
        <v>#VALUE!</v>
      </c>
      <c r="CD98" s="10" t="e">
        <f>MATCH(INDEX($BP$12:$BU$12,1,MATCH(BP98,$BP$15:$BU$15,0)),结果汇总!$AI$10:$AI$13,0)</f>
        <v>#VALUE!</v>
      </c>
      <c r="CE98" s="10" t="e">
        <f>MATCH(INDEX($BP$12:$BU$12,1,MATCH(BQ98,$BP$15:$BU$15,0)),结果汇总!$AI$10:$AI$13,0)</f>
        <v>#VALUE!</v>
      </c>
      <c r="CF98" s="10" t="e">
        <f>MATCH(INDEX($BP$12:$BU$12,1,MATCH(BR98,$BP$15:$BU$15,0)),结果汇总!$AI$10:$AI$13,0)</f>
        <v>#VALUE!</v>
      </c>
      <c r="CG98" s="10" t="e">
        <f>MATCH(INDEX($BP$12:$BU$12,1,MATCH(BS98,$BP$15:$BU$15,0)),结果汇总!$AI$10:$AI$13,0)</f>
        <v>#VALUE!</v>
      </c>
      <c r="CH98" s="10" t="e">
        <f>MATCH(INDEX($BP$12:$BU$12,1,MATCH(BT98,$BP$15:$BU$15,0)),结果汇总!$AI$10:$AI$13,0)</f>
        <v>#VALUE!</v>
      </c>
      <c r="CI98" s="10" t="e">
        <f>MATCH(INDEX($BP$12:$BU$12,1,MATCH(BU98,$BP$15:$BU$15,0)),结果汇总!$AI$10:$AI$13,0)</f>
        <v>#VALUE!</v>
      </c>
      <c r="CK98" s="10">
        <f t="shared" si="132"/>
        <v>0</v>
      </c>
      <c r="CL98" s="10">
        <f t="shared" si="132"/>
        <v>0</v>
      </c>
      <c r="CM98" s="10">
        <f t="shared" si="132"/>
        <v>0</v>
      </c>
      <c r="CN98" s="10">
        <f t="shared" si="132"/>
        <v>0</v>
      </c>
      <c r="CO98" s="10" t="e">
        <f t="shared" si="133"/>
        <v>#DIV/0!</v>
      </c>
      <c r="CP98" s="10" t="e">
        <f t="shared" si="133"/>
        <v>#DIV/0!</v>
      </c>
      <c r="CQ98" s="10" t="e">
        <f t="shared" si="133"/>
        <v>#DIV/0!</v>
      </c>
      <c r="CR98" s="10" t="e">
        <f t="shared" si="133"/>
        <v>#DIV/0!</v>
      </c>
      <c r="CS98" s="10">
        <f t="shared" si="134"/>
        <v>0</v>
      </c>
      <c r="CT98" s="10">
        <f t="shared" si="134"/>
        <v>0</v>
      </c>
      <c r="CU98" s="10">
        <f t="shared" si="134"/>
        <v>0</v>
      </c>
      <c r="CV98" s="10">
        <f t="shared" si="134"/>
        <v>0</v>
      </c>
      <c r="CW98" s="10">
        <f t="shared" si="135"/>
        <v>0</v>
      </c>
      <c r="CX98" s="10">
        <f t="shared" si="135"/>
        <v>0</v>
      </c>
      <c r="CY98" s="10">
        <f t="shared" si="135"/>
        <v>0</v>
      </c>
      <c r="CZ98" s="10">
        <f t="shared" si="135"/>
        <v>0</v>
      </c>
    </row>
    <row r="99" spans="4:104" x14ac:dyDescent="0.15">
      <c r="D99" s="10">
        <v>84</v>
      </c>
      <c r="E99" s="10" t="e">
        <f t="shared" si="95"/>
        <v>#VALUE!</v>
      </c>
      <c r="F99" s="10" t="e">
        <f t="shared" si="79"/>
        <v>#VALUE!</v>
      </c>
      <c r="G99" s="10" t="e">
        <f t="shared" si="80"/>
        <v>#VALUE!</v>
      </c>
      <c r="H99" s="10" t="e">
        <f t="shared" si="96"/>
        <v>#VALUE!</v>
      </c>
      <c r="I99" s="10" t="e">
        <f t="shared" si="81"/>
        <v>#VALUE!</v>
      </c>
      <c r="J99" s="10" t="e">
        <f t="shared" si="97"/>
        <v>#VALUE!</v>
      </c>
      <c r="K99" s="10" t="e">
        <f t="shared" si="82"/>
        <v>#VALUE!</v>
      </c>
      <c r="L99" s="10" t="e">
        <f t="shared" si="83"/>
        <v>#VALUE!</v>
      </c>
      <c r="M99" s="10" t="e">
        <f t="shared" si="98"/>
        <v>#VALUE!</v>
      </c>
      <c r="O99" s="10" t="e">
        <f t="shared" si="99"/>
        <v>#VALUE!</v>
      </c>
      <c r="P99" s="10" t="e">
        <f t="shared" si="84"/>
        <v>#VALUE!</v>
      </c>
      <c r="Q99" s="10" t="e">
        <f t="shared" si="85"/>
        <v>#VALUE!</v>
      </c>
      <c r="R99" s="10" t="e">
        <f t="shared" si="100"/>
        <v>#VALUE!</v>
      </c>
      <c r="S99" s="10" t="e">
        <f t="shared" si="101"/>
        <v>#VALUE!</v>
      </c>
      <c r="T99" s="10" t="e">
        <f t="shared" si="136"/>
        <v>#VALUE!</v>
      </c>
      <c r="U99" s="10" t="e">
        <f t="shared" si="137"/>
        <v>#VALUE!</v>
      </c>
      <c r="V99" s="10" t="e">
        <f t="shared" si="86"/>
        <v>#VALUE!</v>
      </c>
      <c r="W99" s="10" t="e">
        <f t="shared" si="102"/>
        <v>#VALUE!</v>
      </c>
      <c r="Y99" s="10" t="e">
        <f t="shared" si="103"/>
        <v>#VALUE!</v>
      </c>
      <c r="Z99" s="11" t="e">
        <f t="shared" si="104"/>
        <v>#VALUE!</v>
      </c>
      <c r="AA99" s="10" t="e">
        <f t="shared" si="87"/>
        <v>#VALUE!</v>
      </c>
      <c r="AB99" s="10" t="e">
        <f t="shared" si="105"/>
        <v>#VALUE!</v>
      </c>
      <c r="AC99" s="10" t="e">
        <f t="shared" si="106"/>
        <v>#VALUE!</v>
      </c>
      <c r="AD99" s="10" t="e">
        <f t="shared" si="138"/>
        <v>#VALUE!</v>
      </c>
      <c r="AE99" s="10" t="e">
        <f t="shared" si="139"/>
        <v>#VALUE!</v>
      </c>
      <c r="AF99" s="10" t="e">
        <f t="shared" si="88"/>
        <v>#VALUE!</v>
      </c>
      <c r="AG99" s="10" t="e">
        <f t="shared" si="107"/>
        <v>#VALUE!</v>
      </c>
      <c r="AI99" s="13"/>
      <c r="AK99" s="10" t="e">
        <f t="shared" si="108"/>
        <v>#VALUE!</v>
      </c>
      <c r="AL99" s="10" t="e">
        <f t="shared" si="140"/>
        <v>#VALUE!</v>
      </c>
      <c r="AM99" s="10" t="e">
        <f t="shared" si="89"/>
        <v>#VALUE!</v>
      </c>
      <c r="AN99" s="10" t="e">
        <f t="shared" si="109"/>
        <v>#VALUE!</v>
      </c>
      <c r="AO99" s="10" t="e">
        <f t="shared" si="110"/>
        <v>#VALUE!</v>
      </c>
      <c r="AP99" s="10" t="e">
        <f t="shared" si="111"/>
        <v>#VALUE!</v>
      </c>
      <c r="AQ99" s="10" t="e">
        <f t="shared" si="141"/>
        <v>#VALUE!</v>
      </c>
      <c r="AR99" s="10" t="e">
        <f t="shared" si="90"/>
        <v>#VALUE!</v>
      </c>
      <c r="AS99" s="10" t="e">
        <f t="shared" si="142"/>
        <v>#VALUE!</v>
      </c>
      <c r="AU99" s="10" t="e">
        <f t="shared" si="112"/>
        <v>#VALUE!</v>
      </c>
      <c r="AV99" s="10" t="e">
        <f t="shared" si="143"/>
        <v>#VALUE!</v>
      </c>
      <c r="AW99" s="10" t="e">
        <f t="shared" si="91"/>
        <v>#VALUE!</v>
      </c>
      <c r="AX99" s="10" t="e">
        <f t="shared" si="113"/>
        <v>#VALUE!</v>
      </c>
      <c r="AY99" s="10" t="e">
        <f t="shared" si="114"/>
        <v>#VALUE!</v>
      </c>
      <c r="AZ99" s="10" t="e">
        <f t="shared" si="115"/>
        <v>#VALUE!</v>
      </c>
      <c r="BA99" s="10" t="e">
        <f t="shared" si="144"/>
        <v>#VALUE!</v>
      </c>
      <c r="BB99" s="10" t="e">
        <f t="shared" si="92"/>
        <v>#VALUE!</v>
      </c>
      <c r="BC99" s="10" t="e">
        <f t="shared" si="145"/>
        <v>#VALUE!</v>
      </c>
      <c r="BE99" s="10" t="e">
        <f t="shared" si="116"/>
        <v>#VALUE!</v>
      </c>
      <c r="BF99" s="10" t="e">
        <f t="shared" si="146"/>
        <v>#VALUE!</v>
      </c>
      <c r="BG99" s="10" t="e">
        <f t="shared" si="93"/>
        <v>#VALUE!</v>
      </c>
      <c r="BH99" s="10" t="e">
        <f t="shared" si="117"/>
        <v>#VALUE!</v>
      </c>
      <c r="BI99" s="10" t="e">
        <f t="shared" si="118"/>
        <v>#VALUE!</v>
      </c>
      <c r="BJ99" s="10" t="e">
        <f t="shared" si="119"/>
        <v>#VALUE!</v>
      </c>
      <c r="BK99" s="10" t="e">
        <f t="shared" si="147"/>
        <v>#VALUE!</v>
      </c>
      <c r="BL99" s="10" t="e">
        <f t="shared" si="94"/>
        <v>#VALUE!</v>
      </c>
      <c r="BM99" s="10" t="e">
        <f t="shared" si="148"/>
        <v>#VALUE!</v>
      </c>
      <c r="BP99" s="10" t="e">
        <f t="shared" si="120"/>
        <v>#VALUE!</v>
      </c>
      <c r="BQ99" s="10" t="e">
        <f t="shared" si="121"/>
        <v>#VALUE!</v>
      </c>
      <c r="BR99" s="10" t="e">
        <f t="shared" si="122"/>
        <v>#VALUE!</v>
      </c>
      <c r="BS99" s="10" t="e">
        <f t="shared" si="123"/>
        <v>#VALUE!</v>
      </c>
      <c r="BT99" s="10" t="e">
        <f t="shared" si="124"/>
        <v>#VALUE!</v>
      </c>
      <c r="BU99" s="10" t="e">
        <f t="shared" si="125"/>
        <v>#VALUE!</v>
      </c>
      <c r="BW99" s="10" t="e">
        <f t="shared" si="126"/>
        <v>#VALUE!</v>
      </c>
      <c r="BX99" s="10" t="e">
        <f t="shared" si="127"/>
        <v>#VALUE!</v>
      </c>
      <c r="BY99" s="10" t="e">
        <f t="shared" si="128"/>
        <v>#VALUE!</v>
      </c>
      <c r="BZ99" s="10" t="e">
        <f t="shared" si="129"/>
        <v>#VALUE!</v>
      </c>
      <c r="CA99" s="10" t="e">
        <f t="shared" si="130"/>
        <v>#VALUE!</v>
      </c>
      <c r="CB99" s="10" t="e">
        <f t="shared" si="131"/>
        <v>#VALUE!</v>
      </c>
      <c r="CD99" s="10" t="e">
        <f>MATCH(INDEX($BP$12:$BU$12,1,MATCH(BP99,$BP$15:$BU$15,0)),结果汇总!$AI$10:$AI$13,0)</f>
        <v>#VALUE!</v>
      </c>
      <c r="CE99" s="10" t="e">
        <f>MATCH(INDEX($BP$12:$BU$12,1,MATCH(BQ99,$BP$15:$BU$15,0)),结果汇总!$AI$10:$AI$13,0)</f>
        <v>#VALUE!</v>
      </c>
      <c r="CF99" s="10" t="e">
        <f>MATCH(INDEX($BP$12:$BU$12,1,MATCH(BR99,$BP$15:$BU$15,0)),结果汇总!$AI$10:$AI$13,0)</f>
        <v>#VALUE!</v>
      </c>
      <c r="CG99" s="10" t="e">
        <f>MATCH(INDEX($BP$12:$BU$12,1,MATCH(BS99,$BP$15:$BU$15,0)),结果汇总!$AI$10:$AI$13,0)</f>
        <v>#VALUE!</v>
      </c>
      <c r="CH99" s="10" t="e">
        <f>MATCH(INDEX($BP$12:$BU$12,1,MATCH(BT99,$BP$15:$BU$15,0)),结果汇总!$AI$10:$AI$13,0)</f>
        <v>#VALUE!</v>
      </c>
      <c r="CI99" s="10" t="e">
        <f>MATCH(INDEX($BP$12:$BU$12,1,MATCH(BU99,$BP$15:$BU$15,0)),结果汇总!$AI$10:$AI$13,0)</f>
        <v>#VALUE!</v>
      </c>
      <c r="CK99" s="10">
        <f t="shared" si="132"/>
        <v>0</v>
      </c>
      <c r="CL99" s="10">
        <f t="shared" si="132"/>
        <v>0</v>
      </c>
      <c r="CM99" s="10">
        <f t="shared" si="132"/>
        <v>0</v>
      </c>
      <c r="CN99" s="10">
        <f t="shared" si="132"/>
        <v>0</v>
      </c>
      <c r="CO99" s="10" t="e">
        <f t="shared" si="133"/>
        <v>#DIV/0!</v>
      </c>
      <c r="CP99" s="10" t="e">
        <f t="shared" si="133"/>
        <v>#DIV/0!</v>
      </c>
      <c r="CQ99" s="10" t="e">
        <f t="shared" si="133"/>
        <v>#DIV/0!</v>
      </c>
      <c r="CR99" s="10" t="e">
        <f t="shared" si="133"/>
        <v>#DIV/0!</v>
      </c>
      <c r="CS99" s="10">
        <f t="shared" si="134"/>
        <v>0</v>
      </c>
      <c r="CT99" s="10">
        <f t="shared" si="134"/>
        <v>0</v>
      </c>
      <c r="CU99" s="10">
        <f t="shared" si="134"/>
        <v>0</v>
      </c>
      <c r="CV99" s="10">
        <f t="shared" si="134"/>
        <v>0</v>
      </c>
      <c r="CW99" s="10">
        <f t="shared" si="135"/>
        <v>0</v>
      </c>
      <c r="CX99" s="10">
        <f t="shared" si="135"/>
        <v>0</v>
      </c>
      <c r="CY99" s="10">
        <f t="shared" si="135"/>
        <v>0</v>
      </c>
      <c r="CZ99" s="10">
        <f t="shared" si="135"/>
        <v>0</v>
      </c>
    </row>
    <row r="100" spans="4:104" x14ac:dyDescent="0.15">
      <c r="D100" s="10">
        <v>85</v>
      </c>
      <c r="E100" s="10" t="e">
        <f t="shared" si="95"/>
        <v>#VALUE!</v>
      </c>
      <c r="F100" s="10" t="e">
        <f t="shared" si="79"/>
        <v>#VALUE!</v>
      </c>
      <c r="G100" s="10" t="e">
        <f t="shared" si="80"/>
        <v>#VALUE!</v>
      </c>
      <c r="H100" s="10" t="e">
        <f t="shared" si="96"/>
        <v>#VALUE!</v>
      </c>
      <c r="I100" s="10" t="e">
        <f t="shared" si="81"/>
        <v>#VALUE!</v>
      </c>
      <c r="J100" s="10" t="e">
        <f t="shared" si="97"/>
        <v>#VALUE!</v>
      </c>
      <c r="K100" s="10" t="e">
        <f t="shared" si="82"/>
        <v>#VALUE!</v>
      </c>
      <c r="L100" s="10" t="e">
        <f t="shared" si="83"/>
        <v>#VALUE!</v>
      </c>
      <c r="M100" s="10" t="e">
        <f t="shared" si="98"/>
        <v>#VALUE!</v>
      </c>
      <c r="O100" s="10" t="e">
        <f t="shared" si="99"/>
        <v>#VALUE!</v>
      </c>
      <c r="P100" s="10" t="e">
        <f t="shared" si="84"/>
        <v>#VALUE!</v>
      </c>
      <c r="Q100" s="10" t="e">
        <f t="shared" si="85"/>
        <v>#VALUE!</v>
      </c>
      <c r="R100" s="10" t="e">
        <f t="shared" si="100"/>
        <v>#VALUE!</v>
      </c>
      <c r="S100" s="10" t="e">
        <f t="shared" si="101"/>
        <v>#VALUE!</v>
      </c>
      <c r="T100" s="10" t="e">
        <f t="shared" si="136"/>
        <v>#VALUE!</v>
      </c>
      <c r="U100" s="10" t="e">
        <f t="shared" si="137"/>
        <v>#VALUE!</v>
      </c>
      <c r="V100" s="10" t="e">
        <f t="shared" si="86"/>
        <v>#VALUE!</v>
      </c>
      <c r="W100" s="10" t="e">
        <f t="shared" si="102"/>
        <v>#VALUE!</v>
      </c>
      <c r="Y100" s="10" t="e">
        <f t="shared" si="103"/>
        <v>#VALUE!</v>
      </c>
      <c r="Z100" s="11" t="e">
        <f t="shared" si="104"/>
        <v>#VALUE!</v>
      </c>
      <c r="AA100" s="10" t="e">
        <f t="shared" si="87"/>
        <v>#VALUE!</v>
      </c>
      <c r="AB100" s="10" t="e">
        <f t="shared" si="105"/>
        <v>#VALUE!</v>
      </c>
      <c r="AC100" s="10" t="e">
        <f t="shared" si="106"/>
        <v>#VALUE!</v>
      </c>
      <c r="AD100" s="10" t="e">
        <f t="shared" si="138"/>
        <v>#VALUE!</v>
      </c>
      <c r="AE100" s="10" t="e">
        <f t="shared" si="139"/>
        <v>#VALUE!</v>
      </c>
      <c r="AF100" s="10" t="e">
        <f t="shared" si="88"/>
        <v>#VALUE!</v>
      </c>
      <c r="AG100" s="10" t="e">
        <f t="shared" si="107"/>
        <v>#VALUE!</v>
      </c>
      <c r="AI100" s="13"/>
      <c r="AK100" s="10" t="e">
        <f t="shared" si="108"/>
        <v>#VALUE!</v>
      </c>
      <c r="AL100" s="10" t="e">
        <f t="shared" si="140"/>
        <v>#VALUE!</v>
      </c>
      <c r="AM100" s="10" t="e">
        <f t="shared" si="89"/>
        <v>#VALUE!</v>
      </c>
      <c r="AN100" s="10" t="e">
        <f t="shared" si="109"/>
        <v>#VALUE!</v>
      </c>
      <c r="AO100" s="10" t="e">
        <f t="shared" si="110"/>
        <v>#VALUE!</v>
      </c>
      <c r="AP100" s="10" t="e">
        <f t="shared" si="111"/>
        <v>#VALUE!</v>
      </c>
      <c r="AQ100" s="10" t="e">
        <f t="shared" si="141"/>
        <v>#VALUE!</v>
      </c>
      <c r="AR100" s="10" t="e">
        <f t="shared" si="90"/>
        <v>#VALUE!</v>
      </c>
      <c r="AS100" s="10" t="e">
        <f t="shared" si="142"/>
        <v>#VALUE!</v>
      </c>
      <c r="AU100" s="10" t="e">
        <f t="shared" si="112"/>
        <v>#VALUE!</v>
      </c>
      <c r="AV100" s="10" t="e">
        <f t="shared" si="143"/>
        <v>#VALUE!</v>
      </c>
      <c r="AW100" s="10" t="e">
        <f t="shared" si="91"/>
        <v>#VALUE!</v>
      </c>
      <c r="AX100" s="10" t="e">
        <f t="shared" si="113"/>
        <v>#VALUE!</v>
      </c>
      <c r="AY100" s="10" t="e">
        <f t="shared" si="114"/>
        <v>#VALUE!</v>
      </c>
      <c r="AZ100" s="10" t="e">
        <f t="shared" si="115"/>
        <v>#VALUE!</v>
      </c>
      <c r="BA100" s="10" t="e">
        <f t="shared" si="144"/>
        <v>#VALUE!</v>
      </c>
      <c r="BB100" s="10" t="e">
        <f t="shared" si="92"/>
        <v>#VALUE!</v>
      </c>
      <c r="BC100" s="10" t="e">
        <f t="shared" si="145"/>
        <v>#VALUE!</v>
      </c>
      <c r="BE100" s="10" t="e">
        <f t="shared" si="116"/>
        <v>#VALUE!</v>
      </c>
      <c r="BF100" s="10" t="e">
        <f t="shared" si="146"/>
        <v>#VALUE!</v>
      </c>
      <c r="BG100" s="10" t="e">
        <f t="shared" si="93"/>
        <v>#VALUE!</v>
      </c>
      <c r="BH100" s="10" t="e">
        <f t="shared" si="117"/>
        <v>#VALUE!</v>
      </c>
      <c r="BI100" s="10" t="e">
        <f t="shared" si="118"/>
        <v>#VALUE!</v>
      </c>
      <c r="BJ100" s="10" t="e">
        <f t="shared" si="119"/>
        <v>#VALUE!</v>
      </c>
      <c r="BK100" s="10" t="e">
        <f t="shared" si="147"/>
        <v>#VALUE!</v>
      </c>
      <c r="BL100" s="10" t="e">
        <f t="shared" si="94"/>
        <v>#VALUE!</v>
      </c>
      <c r="BM100" s="10" t="e">
        <f t="shared" si="148"/>
        <v>#VALUE!</v>
      </c>
      <c r="BP100" s="10" t="e">
        <f t="shared" si="120"/>
        <v>#VALUE!</v>
      </c>
      <c r="BQ100" s="10" t="e">
        <f t="shared" si="121"/>
        <v>#VALUE!</v>
      </c>
      <c r="BR100" s="10" t="e">
        <f t="shared" si="122"/>
        <v>#VALUE!</v>
      </c>
      <c r="BS100" s="10" t="e">
        <f t="shared" si="123"/>
        <v>#VALUE!</v>
      </c>
      <c r="BT100" s="10" t="e">
        <f t="shared" si="124"/>
        <v>#VALUE!</v>
      </c>
      <c r="BU100" s="10" t="e">
        <f t="shared" si="125"/>
        <v>#VALUE!</v>
      </c>
      <c r="BW100" s="10" t="e">
        <f t="shared" si="126"/>
        <v>#VALUE!</v>
      </c>
      <c r="BX100" s="10" t="e">
        <f t="shared" si="127"/>
        <v>#VALUE!</v>
      </c>
      <c r="BY100" s="10" t="e">
        <f t="shared" si="128"/>
        <v>#VALUE!</v>
      </c>
      <c r="BZ100" s="10" t="e">
        <f t="shared" si="129"/>
        <v>#VALUE!</v>
      </c>
      <c r="CA100" s="10" t="e">
        <f t="shared" si="130"/>
        <v>#VALUE!</v>
      </c>
      <c r="CB100" s="10" t="e">
        <f t="shared" si="131"/>
        <v>#VALUE!</v>
      </c>
      <c r="CD100" s="10" t="e">
        <f>MATCH(INDEX($BP$12:$BU$12,1,MATCH(BP100,$BP$15:$BU$15,0)),结果汇总!$AI$10:$AI$13,0)</f>
        <v>#VALUE!</v>
      </c>
      <c r="CE100" s="10" t="e">
        <f>MATCH(INDEX($BP$12:$BU$12,1,MATCH(BQ100,$BP$15:$BU$15,0)),结果汇总!$AI$10:$AI$13,0)</f>
        <v>#VALUE!</v>
      </c>
      <c r="CF100" s="10" t="e">
        <f>MATCH(INDEX($BP$12:$BU$12,1,MATCH(BR100,$BP$15:$BU$15,0)),结果汇总!$AI$10:$AI$13,0)</f>
        <v>#VALUE!</v>
      </c>
      <c r="CG100" s="10" t="e">
        <f>MATCH(INDEX($BP$12:$BU$12,1,MATCH(BS100,$BP$15:$BU$15,0)),结果汇总!$AI$10:$AI$13,0)</f>
        <v>#VALUE!</v>
      </c>
      <c r="CH100" s="10" t="e">
        <f>MATCH(INDEX($BP$12:$BU$12,1,MATCH(BT100,$BP$15:$BU$15,0)),结果汇总!$AI$10:$AI$13,0)</f>
        <v>#VALUE!</v>
      </c>
      <c r="CI100" s="10" t="e">
        <f>MATCH(INDEX($BP$12:$BU$12,1,MATCH(BU100,$BP$15:$BU$15,0)),结果汇总!$AI$10:$AI$13,0)</f>
        <v>#VALUE!</v>
      </c>
      <c r="CK100" s="10">
        <f t="shared" si="132"/>
        <v>0</v>
      </c>
      <c r="CL100" s="10">
        <f t="shared" si="132"/>
        <v>0</v>
      </c>
      <c r="CM100" s="10">
        <f t="shared" si="132"/>
        <v>0</v>
      </c>
      <c r="CN100" s="10">
        <f t="shared" si="132"/>
        <v>0</v>
      </c>
      <c r="CO100" s="10" t="e">
        <f t="shared" si="133"/>
        <v>#DIV/0!</v>
      </c>
      <c r="CP100" s="10" t="e">
        <f t="shared" si="133"/>
        <v>#DIV/0!</v>
      </c>
      <c r="CQ100" s="10" t="e">
        <f t="shared" si="133"/>
        <v>#DIV/0!</v>
      </c>
      <c r="CR100" s="10" t="e">
        <f t="shared" si="133"/>
        <v>#DIV/0!</v>
      </c>
      <c r="CS100" s="10">
        <f t="shared" si="134"/>
        <v>0</v>
      </c>
      <c r="CT100" s="10">
        <f t="shared" si="134"/>
        <v>0</v>
      </c>
      <c r="CU100" s="10">
        <f t="shared" si="134"/>
        <v>0</v>
      </c>
      <c r="CV100" s="10">
        <f t="shared" si="134"/>
        <v>0</v>
      </c>
      <c r="CW100" s="10">
        <f t="shared" si="135"/>
        <v>0</v>
      </c>
      <c r="CX100" s="10">
        <f t="shared" si="135"/>
        <v>0</v>
      </c>
      <c r="CY100" s="10">
        <f t="shared" si="135"/>
        <v>0</v>
      </c>
      <c r="CZ100" s="10">
        <f t="shared" si="135"/>
        <v>0</v>
      </c>
    </row>
    <row r="101" spans="4:104" x14ac:dyDescent="0.15">
      <c r="D101" s="10">
        <v>86</v>
      </c>
      <c r="E101" s="10" t="e">
        <f t="shared" si="95"/>
        <v>#VALUE!</v>
      </c>
      <c r="F101" s="10" t="e">
        <f t="shared" si="79"/>
        <v>#VALUE!</v>
      </c>
      <c r="G101" s="10" t="e">
        <f t="shared" si="80"/>
        <v>#VALUE!</v>
      </c>
      <c r="H101" s="10" t="e">
        <f t="shared" si="96"/>
        <v>#VALUE!</v>
      </c>
      <c r="I101" s="10" t="e">
        <f t="shared" si="81"/>
        <v>#VALUE!</v>
      </c>
      <c r="J101" s="10" t="e">
        <f t="shared" si="97"/>
        <v>#VALUE!</v>
      </c>
      <c r="K101" s="10" t="e">
        <f t="shared" si="82"/>
        <v>#VALUE!</v>
      </c>
      <c r="L101" s="10" t="e">
        <f t="shared" si="83"/>
        <v>#VALUE!</v>
      </c>
      <c r="M101" s="10" t="e">
        <f t="shared" si="98"/>
        <v>#VALUE!</v>
      </c>
      <c r="O101" s="10" t="e">
        <f t="shared" si="99"/>
        <v>#VALUE!</v>
      </c>
      <c r="P101" s="10" t="e">
        <f t="shared" si="84"/>
        <v>#VALUE!</v>
      </c>
      <c r="Q101" s="10" t="e">
        <f t="shared" si="85"/>
        <v>#VALUE!</v>
      </c>
      <c r="R101" s="10" t="e">
        <f t="shared" si="100"/>
        <v>#VALUE!</v>
      </c>
      <c r="S101" s="10" t="e">
        <f t="shared" si="101"/>
        <v>#VALUE!</v>
      </c>
      <c r="T101" s="10" t="e">
        <f t="shared" si="136"/>
        <v>#VALUE!</v>
      </c>
      <c r="U101" s="10" t="e">
        <f t="shared" si="137"/>
        <v>#VALUE!</v>
      </c>
      <c r="V101" s="10" t="e">
        <f t="shared" si="86"/>
        <v>#VALUE!</v>
      </c>
      <c r="W101" s="10" t="e">
        <f t="shared" si="102"/>
        <v>#VALUE!</v>
      </c>
      <c r="Y101" s="10" t="e">
        <f t="shared" si="103"/>
        <v>#VALUE!</v>
      </c>
      <c r="Z101" s="11" t="e">
        <f t="shared" si="104"/>
        <v>#VALUE!</v>
      </c>
      <c r="AA101" s="10" t="e">
        <f t="shared" si="87"/>
        <v>#VALUE!</v>
      </c>
      <c r="AB101" s="10" t="e">
        <f t="shared" si="105"/>
        <v>#VALUE!</v>
      </c>
      <c r="AC101" s="10" t="e">
        <f t="shared" si="106"/>
        <v>#VALUE!</v>
      </c>
      <c r="AD101" s="10" t="e">
        <f t="shared" si="138"/>
        <v>#VALUE!</v>
      </c>
      <c r="AE101" s="10" t="e">
        <f t="shared" si="139"/>
        <v>#VALUE!</v>
      </c>
      <c r="AF101" s="10" t="e">
        <f t="shared" si="88"/>
        <v>#VALUE!</v>
      </c>
      <c r="AG101" s="10" t="e">
        <f t="shared" si="107"/>
        <v>#VALUE!</v>
      </c>
      <c r="AI101" s="13"/>
      <c r="AK101" s="10" t="e">
        <f t="shared" si="108"/>
        <v>#VALUE!</v>
      </c>
      <c r="AL101" s="10" t="e">
        <f t="shared" si="140"/>
        <v>#VALUE!</v>
      </c>
      <c r="AM101" s="10" t="e">
        <f t="shared" si="89"/>
        <v>#VALUE!</v>
      </c>
      <c r="AN101" s="10" t="e">
        <f t="shared" si="109"/>
        <v>#VALUE!</v>
      </c>
      <c r="AO101" s="10" t="e">
        <f t="shared" si="110"/>
        <v>#VALUE!</v>
      </c>
      <c r="AP101" s="10" t="e">
        <f t="shared" si="111"/>
        <v>#VALUE!</v>
      </c>
      <c r="AQ101" s="10" t="e">
        <f t="shared" si="141"/>
        <v>#VALUE!</v>
      </c>
      <c r="AR101" s="10" t="e">
        <f t="shared" si="90"/>
        <v>#VALUE!</v>
      </c>
      <c r="AS101" s="10" t="e">
        <f t="shared" si="142"/>
        <v>#VALUE!</v>
      </c>
      <c r="AU101" s="10" t="e">
        <f t="shared" si="112"/>
        <v>#VALUE!</v>
      </c>
      <c r="AV101" s="10" t="e">
        <f t="shared" si="143"/>
        <v>#VALUE!</v>
      </c>
      <c r="AW101" s="10" t="e">
        <f t="shared" si="91"/>
        <v>#VALUE!</v>
      </c>
      <c r="AX101" s="10" t="e">
        <f t="shared" si="113"/>
        <v>#VALUE!</v>
      </c>
      <c r="AY101" s="10" t="e">
        <f t="shared" si="114"/>
        <v>#VALUE!</v>
      </c>
      <c r="AZ101" s="10" t="e">
        <f t="shared" si="115"/>
        <v>#VALUE!</v>
      </c>
      <c r="BA101" s="10" t="e">
        <f t="shared" si="144"/>
        <v>#VALUE!</v>
      </c>
      <c r="BB101" s="10" t="e">
        <f t="shared" si="92"/>
        <v>#VALUE!</v>
      </c>
      <c r="BC101" s="10" t="e">
        <f t="shared" si="145"/>
        <v>#VALUE!</v>
      </c>
      <c r="BE101" s="10" t="e">
        <f t="shared" si="116"/>
        <v>#VALUE!</v>
      </c>
      <c r="BF101" s="10" t="e">
        <f t="shared" si="146"/>
        <v>#VALUE!</v>
      </c>
      <c r="BG101" s="10" t="e">
        <f t="shared" si="93"/>
        <v>#VALUE!</v>
      </c>
      <c r="BH101" s="10" t="e">
        <f t="shared" si="117"/>
        <v>#VALUE!</v>
      </c>
      <c r="BI101" s="10" t="e">
        <f t="shared" si="118"/>
        <v>#VALUE!</v>
      </c>
      <c r="BJ101" s="10" t="e">
        <f t="shared" si="119"/>
        <v>#VALUE!</v>
      </c>
      <c r="BK101" s="10" t="e">
        <f t="shared" si="147"/>
        <v>#VALUE!</v>
      </c>
      <c r="BL101" s="10" t="e">
        <f t="shared" si="94"/>
        <v>#VALUE!</v>
      </c>
      <c r="BM101" s="10" t="e">
        <f t="shared" si="148"/>
        <v>#VALUE!</v>
      </c>
      <c r="BP101" s="10" t="e">
        <f t="shared" si="120"/>
        <v>#VALUE!</v>
      </c>
      <c r="BQ101" s="10" t="e">
        <f t="shared" si="121"/>
        <v>#VALUE!</v>
      </c>
      <c r="BR101" s="10" t="e">
        <f t="shared" si="122"/>
        <v>#VALUE!</v>
      </c>
      <c r="BS101" s="10" t="e">
        <f t="shared" si="123"/>
        <v>#VALUE!</v>
      </c>
      <c r="BT101" s="10" t="e">
        <f t="shared" si="124"/>
        <v>#VALUE!</v>
      </c>
      <c r="BU101" s="10" t="e">
        <f t="shared" si="125"/>
        <v>#VALUE!</v>
      </c>
      <c r="BW101" s="10" t="e">
        <f t="shared" si="126"/>
        <v>#VALUE!</v>
      </c>
      <c r="BX101" s="10" t="e">
        <f t="shared" si="127"/>
        <v>#VALUE!</v>
      </c>
      <c r="BY101" s="10" t="e">
        <f t="shared" si="128"/>
        <v>#VALUE!</v>
      </c>
      <c r="BZ101" s="10" t="e">
        <f t="shared" si="129"/>
        <v>#VALUE!</v>
      </c>
      <c r="CA101" s="10" t="e">
        <f t="shared" si="130"/>
        <v>#VALUE!</v>
      </c>
      <c r="CB101" s="10" t="e">
        <f t="shared" si="131"/>
        <v>#VALUE!</v>
      </c>
      <c r="CD101" s="10" t="e">
        <f>MATCH(INDEX($BP$12:$BU$12,1,MATCH(BP101,$BP$15:$BU$15,0)),结果汇总!$AI$10:$AI$13,0)</f>
        <v>#VALUE!</v>
      </c>
      <c r="CE101" s="10" t="e">
        <f>MATCH(INDEX($BP$12:$BU$12,1,MATCH(BQ101,$BP$15:$BU$15,0)),结果汇总!$AI$10:$AI$13,0)</f>
        <v>#VALUE!</v>
      </c>
      <c r="CF101" s="10" t="e">
        <f>MATCH(INDEX($BP$12:$BU$12,1,MATCH(BR101,$BP$15:$BU$15,0)),结果汇总!$AI$10:$AI$13,0)</f>
        <v>#VALUE!</v>
      </c>
      <c r="CG101" s="10" t="e">
        <f>MATCH(INDEX($BP$12:$BU$12,1,MATCH(BS101,$BP$15:$BU$15,0)),结果汇总!$AI$10:$AI$13,0)</f>
        <v>#VALUE!</v>
      </c>
      <c r="CH101" s="10" t="e">
        <f>MATCH(INDEX($BP$12:$BU$12,1,MATCH(BT101,$BP$15:$BU$15,0)),结果汇总!$AI$10:$AI$13,0)</f>
        <v>#VALUE!</v>
      </c>
      <c r="CI101" s="10" t="e">
        <f>MATCH(INDEX($BP$12:$BU$12,1,MATCH(BU101,$BP$15:$BU$15,0)),结果汇总!$AI$10:$AI$13,0)</f>
        <v>#VALUE!</v>
      </c>
      <c r="CK101" s="10">
        <f t="shared" si="132"/>
        <v>0</v>
      </c>
      <c r="CL101" s="10">
        <f t="shared" si="132"/>
        <v>0</v>
      </c>
      <c r="CM101" s="10">
        <f t="shared" si="132"/>
        <v>0</v>
      </c>
      <c r="CN101" s="10">
        <f t="shared" si="132"/>
        <v>0</v>
      </c>
      <c r="CO101" s="10" t="e">
        <f t="shared" si="133"/>
        <v>#DIV/0!</v>
      </c>
      <c r="CP101" s="10" t="e">
        <f t="shared" si="133"/>
        <v>#DIV/0!</v>
      </c>
      <c r="CQ101" s="10" t="e">
        <f t="shared" si="133"/>
        <v>#DIV/0!</v>
      </c>
      <c r="CR101" s="10" t="e">
        <f t="shared" si="133"/>
        <v>#DIV/0!</v>
      </c>
      <c r="CS101" s="10">
        <f t="shared" si="134"/>
        <v>0</v>
      </c>
      <c r="CT101" s="10">
        <f t="shared" si="134"/>
        <v>0</v>
      </c>
      <c r="CU101" s="10">
        <f t="shared" si="134"/>
        <v>0</v>
      </c>
      <c r="CV101" s="10">
        <f t="shared" si="134"/>
        <v>0</v>
      </c>
      <c r="CW101" s="10">
        <f t="shared" si="135"/>
        <v>0</v>
      </c>
      <c r="CX101" s="10">
        <f t="shared" si="135"/>
        <v>0</v>
      </c>
      <c r="CY101" s="10">
        <f t="shared" si="135"/>
        <v>0</v>
      </c>
      <c r="CZ101" s="10">
        <f t="shared" si="135"/>
        <v>0</v>
      </c>
    </row>
    <row r="102" spans="4:104" x14ac:dyDescent="0.15">
      <c r="D102" s="10">
        <v>87</v>
      </c>
      <c r="E102" s="10" t="e">
        <f t="shared" si="95"/>
        <v>#VALUE!</v>
      </c>
      <c r="F102" s="10" t="e">
        <f t="shared" si="79"/>
        <v>#VALUE!</v>
      </c>
      <c r="G102" s="10" t="e">
        <f t="shared" si="80"/>
        <v>#VALUE!</v>
      </c>
      <c r="H102" s="10" t="e">
        <f t="shared" si="96"/>
        <v>#VALUE!</v>
      </c>
      <c r="I102" s="10" t="e">
        <f t="shared" si="81"/>
        <v>#VALUE!</v>
      </c>
      <c r="J102" s="10" t="e">
        <f t="shared" si="97"/>
        <v>#VALUE!</v>
      </c>
      <c r="K102" s="10" t="e">
        <f t="shared" si="82"/>
        <v>#VALUE!</v>
      </c>
      <c r="L102" s="10" t="e">
        <f t="shared" si="83"/>
        <v>#VALUE!</v>
      </c>
      <c r="M102" s="10" t="e">
        <f t="shared" si="98"/>
        <v>#VALUE!</v>
      </c>
      <c r="O102" s="10" t="e">
        <f t="shared" si="99"/>
        <v>#VALUE!</v>
      </c>
      <c r="P102" s="10" t="e">
        <f t="shared" si="84"/>
        <v>#VALUE!</v>
      </c>
      <c r="Q102" s="10" t="e">
        <f t="shared" si="85"/>
        <v>#VALUE!</v>
      </c>
      <c r="R102" s="10" t="e">
        <f t="shared" si="100"/>
        <v>#VALUE!</v>
      </c>
      <c r="S102" s="10" t="e">
        <f t="shared" si="101"/>
        <v>#VALUE!</v>
      </c>
      <c r="T102" s="10" t="e">
        <f t="shared" si="136"/>
        <v>#VALUE!</v>
      </c>
      <c r="U102" s="10" t="e">
        <f t="shared" si="137"/>
        <v>#VALUE!</v>
      </c>
      <c r="V102" s="10" t="e">
        <f t="shared" si="86"/>
        <v>#VALUE!</v>
      </c>
      <c r="W102" s="10" t="e">
        <f t="shared" si="102"/>
        <v>#VALUE!</v>
      </c>
      <c r="Y102" s="10" t="e">
        <f t="shared" si="103"/>
        <v>#VALUE!</v>
      </c>
      <c r="Z102" s="11" t="e">
        <f t="shared" si="104"/>
        <v>#VALUE!</v>
      </c>
      <c r="AA102" s="10" t="e">
        <f t="shared" si="87"/>
        <v>#VALUE!</v>
      </c>
      <c r="AB102" s="10" t="e">
        <f t="shared" si="105"/>
        <v>#VALUE!</v>
      </c>
      <c r="AC102" s="10" t="e">
        <f t="shared" si="106"/>
        <v>#VALUE!</v>
      </c>
      <c r="AD102" s="10" t="e">
        <f t="shared" si="138"/>
        <v>#VALUE!</v>
      </c>
      <c r="AE102" s="10" t="e">
        <f t="shared" si="139"/>
        <v>#VALUE!</v>
      </c>
      <c r="AF102" s="10" t="e">
        <f t="shared" si="88"/>
        <v>#VALUE!</v>
      </c>
      <c r="AG102" s="10" t="e">
        <f t="shared" si="107"/>
        <v>#VALUE!</v>
      </c>
      <c r="AI102" s="13"/>
      <c r="AK102" s="10" t="e">
        <f t="shared" si="108"/>
        <v>#VALUE!</v>
      </c>
      <c r="AL102" s="10" t="e">
        <f t="shared" si="140"/>
        <v>#VALUE!</v>
      </c>
      <c r="AM102" s="10" t="e">
        <f t="shared" si="89"/>
        <v>#VALUE!</v>
      </c>
      <c r="AN102" s="10" t="e">
        <f t="shared" si="109"/>
        <v>#VALUE!</v>
      </c>
      <c r="AO102" s="10" t="e">
        <f t="shared" si="110"/>
        <v>#VALUE!</v>
      </c>
      <c r="AP102" s="10" t="e">
        <f t="shared" si="111"/>
        <v>#VALUE!</v>
      </c>
      <c r="AQ102" s="10" t="e">
        <f t="shared" si="141"/>
        <v>#VALUE!</v>
      </c>
      <c r="AR102" s="10" t="e">
        <f t="shared" si="90"/>
        <v>#VALUE!</v>
      </c>
      <c r="AS102" s="10" t="e">
        <f t="shared" si="142"/>
        <v>#VALUE!</v>
      </c>
      <c r="AU102" s="10" t="e">
        <f t="shared" si="112"/>
        <v>#VALUE!</v>
      </c>
      <c r="AV102" s="10" t="e">
        <f t="shared" si="143"/>
        <v>#VALUE!</v>
      </c>
      <c r="AW102" s="10" t="e">
        <f t="shared" si="91"/>
        <v>#VALUE!</v>
      </c>
      <c r="AX102" s="10" t="e">
        <f t="shared" si="113"/>
        <v>#VALUE!</v>
      </c>
      <c r="AY102" s="10" t="e">
        <f t="shared" si="114"/>
        <v>#VALUE!</v>
      </c>
      <c r="AZ102" s="10" t="e">
        <f t="shared" si="115"/>
        <v>#VALUE!</v>
      </c>
      <c r="BA102" s="10" t="e">
        <f t="shared" si="144"/>
        <v>#VALUE!</v>
      </c>
      <c r="BB102" s="10" t="e">
        <f t="shared" si="92"/>
        <v>#VALUE!</v>
      </c>
      <c r="BC102" s="10" t="e">
        <f t="shared" si="145"/>
        <v>#VALUE!</v>
      </c>
      <c r="BE102" s="10" t="e">
        <f t="shared" si="116"/>
        <v>#VALUE!</v>
      </c>
      <c r="BF102" s="10" t="e">
        <f t="shared" si="146"/>
        <v>#VALUE!</v>
      </c>
      <c r="BG102" s="10" t="e">
        <f t="shared" si="93"/>
        <v>#VALUE!</v>
      </c>
      <c r="BH102" s="10" t="e">
        <f t="shared" si="117"/>
        <v>#VALUE!</v>
      </c>
      <c r="BI102" s="10" t="e">
        <f t="shared" si="118"/>
        <v>#VALUE!</v>
      </c>
      <c r="BJ102" s="10" t="e">
        <f t="shared" si="119"/>
        <v>#VALUE!</v>
      </c>
      <c r="BK102" s="10" t="e">
        <f t="shared" si="147"/>
        <v>#VALUE!</v>
      </c>
      <c r="BL102" s="10" t="e">
        <f t="shared" si="94"/>
        <v>#VALUE!</v>
      </c>
      <c r="BM102" s="10" t="e">
        <f t="shared" si="148"/>
        <v>#VALUE!</v>
      </c>
      <c r="BP102" s="10" t="e">
        <f t="shared" si="120"/>
        <v>#VALUE!</v>
      </c>
      <c r="BQ102" s="10" t="e">
        <f t="shared" si="121"/>
        <v>#VALUE!</v>
      </c>
      <c r="BR102" s="10" t="e">
        <f t="shared" si="122"/>
        <v>#VALUE!</v>
      </c>
      <c r="BS102" s="10" t="e">
        <f t="shared" si="123"/>
        <v>#VALUE!</v>
      </c>
      <c r="BT102" s="10" t="e">
        <f t="shared" si="124"/>
        <v>#VALUE!</v>
      </c>
      <c r="BU102" s="10" t="e">
        <f t="shared" si="125"/>
        <v>#VALUE!</v>
      </c>
      <c r="BW102" s="10" t="e">
        <f t="shared" si="126"/>
        <v>#VALUE!</v>
      </c>
      <c r="BX102" s="10" t="e">
        <f t="shared" si="127"/>
        <v>#VALUE!</v>
      </c>
      <c r="BY102" s="10" t="e">
        <f t="shared" si="128"/>
        <v>#VALUE!</v>
      </c>
      <c r="BZ102" s="10" t="e">
        <f t="shared" si="129"/>
        <v>#VALUE!</v>
      </c>
      <c r="CA102" s="10" t="e">
        <f t="shared" si="130"/>
        <v>#VALUE!</v>
      </c>
      <c r="CB102" s="10" t="e">
        <f t="shared" si="131"/>
        <v>#VALUE!</v>
      </c>
      <c r="CD102" s="10" t="e">
        <f>MATCH(INDEX($BP$12:$BU$12,1,MATCH(BP102,$BP$15:$BU$15,0)),结果汇总!$AI$10:$AI$13,0)</f>
        <v>#VALUE!</v>
      </c>
      <c r="CE102" s="10" t="e">
        <f>MATCH(INDEX($BP$12:$BU$12,1,MATCH(BQ102,$BP$15:$BU$15,0)),结果汇总!$AI$10:$AI$13,0)</f>
        <v>#VALUE!</v>
      </c>
      <c r="CF102" s="10" t="e">
        <f>MATCH(INDEX($BP$12:$BU$12,1,MATCH(BR102,$BP$15:$BU$15,0)),结果汇总!$AI$10:$AI$13,0)</f>
        <v>#VALUE!</v>
      </c>
      <c r="CG102" s="10" t="e">
        <f>MATCH(INDEX($BP$12:$BU$12,1,MATCH(BS102,$BP$15:$BU$15,0)),结果汇总!$AI$10:$AI$13,0)</f>
        <v>#VALUE!</v>
      </c>
      <c r="CH102" s="10" t="e">
        <f>MATCH(INDEX($BP$12:$BU$12,1,MATCH(BT102,$BP$15:$BU$15,0)),结果汇总!$AI$10:$AI$13,0)</f>
        <v>#VALUE!</v>
      </c>
      <c r="CI102" s="10" t="e">
        <f>MATCH(INDEX($BP$12:$BU$12,1,MATCH(BU102,$BP$15:$BU$15,0)),结果汇总!$AI$10:$AI$13,0)</f>
        <v>#VALUE!</v>
      </c>
      <c r="CK102" s="10">
        <f t="shared" si="132"/>
        <v>0</v>
      </c>
      <c r="CL102" s="10">
        <f t="shared" si="132"/>
        <v>0</v>
      </c>
      <c r="CM102" s="10">
        <f t="shared" si="132"/>
        <v>0</v>
      </c>
      <c r="CN102" s="10">
        <f t="shared" si="132"/>
        <v>0</v>
      </c>
      <c r="CO102" s="10" t="e">
        <f t="shared" si="133"/>
        <v>#DIV/0!</v>
      </c>
      <c r="CP102" s="10" t="e">
        <f t="shared" si="133"/>
        <v>#DIV/0!</v>
      </c>
      <c r="CQ102" s="10" t="e">
        <f t="shared" si="133"/>
        <v>#DIV/0!</v>
      </c>
      <c r="CR102" s="10" t="e">
        <f t="shared" si="133"/>
        <v>#DIV/0!</v>
      </c>
      <c r="CS102" s="10">
        <f t="shared" si="134"/>
        <v>0</v>
      </c>
      <c r="CT102" s="10">
        <f t="shared" si="134"/>
        <v>0</v>
      </c>
      <c r="CU102" s="10">
        <f t="shared" si="134"/>
        <v>0</v>
      </c>
      <c r="CV102" s="10">
        <f t="shared" si="134"/>
        <v>0</v>
      </c>
      <c r="CW102" s="10">
        <f t="shared" si="135"/>
        <v>0</v>
      </c>
      <c r="CX102" s="10">
        <f t="shared" si="135"/>
        <v>0</v>
      </c>
      <c r="CY102" s="10">
        <f t="shared" si="135"/>
        <v>0</v>
      </c>
      <c r="CZ102" s="10">
        <f t="shared" si="135"/>
        <v>0</v>
      </c>
    </row>
    <row r="103" spans="4:104" x14ac:dyDescent="0.15">
      <c r="D103" s="10">
        <v>88</v>
      </c>
      <c r="E103" s="10" t="e">
        <f t="shared" si="95"/>
        <v>#VALUE!</v>
      </c>
      <c r="F103" s="10" t="e">
        <f t="shared" si="79"/>
        <v>#VALUE!</v>
      </c>
      <c r="G103" s="10" t="e">
        <f t="shared" si="80"/>
        <v>#VALUE!</v>
      </c>
      <c r="H103" s="10" t="e">
        <f t="shared" si="96"/>
        <v>#VALUE!</v>
      </c>
      <c r="I103" s="10" t="e">
        <f t="shared" si="81"/>
        <v>#VALUE!</v>
      </c>
      <c r="J103" s="10" t="e">
        <f t="shared" si="97"/>
        <v>#VALUE!</v>
      </c>
      <c r="K103" s="10" t="e">
        <f t="shared" si="82"/>
        <v>#VALUE!</v>
      </c>
      <c r="L103" s="10" t="e">
        <f t="shared" si="83"/>
        <v>#VALUE!</v>
      </c>
      <c r="M103" s="10" t="e">
        <f t="shared" si="98"/>
        <v>#VALUE!</v>
      </c>
      <c r="O103" s="10" t="e">
        <f t="shared" si="99"/>
        <v>#VALUE!</v>
      </c>
      <c r="P103" s="10" t="e">
        <f t="shared" si="84"/>
        <v>#VALUE!</v>
      </c>
      <c r="Q103" s="10" t="e">
        <f t="shared" si="85"/>
        <v>#VALUE!</v>
      </c>
      <c r="R103" s="10" t="e">
        <f t="shared" si="100"/>
        <v>#VALUE!</v>
      </c>
      <c r="S103" s="10" t="e">
        <f t="shared" si="101"/>
        <v>#VALUE!</v>
      </c>
      <c r="T103" s="10" t="e">
        <f t="shared" si="136"/>
        <v>#VALUE!</v>
      </c>
      <c r="U103" s="10" t="e">
        <f t="shared" si="137"/>
        <v>#VALUE!</v>
      </c>
      <c r="V103" s="10" t="e">
        <f t="shared" si="86"/>
        <v>#VALUE!</v>
      </c>
      <c r="W103" s="10" t="e">
        <f t="shared" si="102"/>
        <v>#VALUE!</v>
      </c>
      <c r="Y103" s="10" t="e">
        <f t="shared" si="103"/>
        <v>#VALUE!</v>
      </c>
      <c r="Z103" s="11" t="e">
        <f t="shared" si="104"/>
        <v>#VALUE!</v>
      </c>
      <c r="AA103" s="10" t="e">
        <f t="shared" si="87"/>
        <v>#VALUE!</v>
      </c>
      <c r="AB103" s="10" t="e">
        <f t="shared" si="105"/>
        <v>#VALUE!</v>
      </c>
      <c r="AC103" s="10" t="e">
        <f t="shared" si="106"/>
        <v>#VALUE!</v>
      </c>
      <c r="AD103" s="10" t="e">
        <f t="shared" si="138"/>
        <v>#VALUE!</v>
      </c>
      <c r="AE103" s="10" t="e">
        <f t="shared" si="139"/>
        <v>#VALUE!</v>
      </c>
      <c r="AF103" s="10" t="e">
        <f t="shared" si="88"/>
        <v>#VALUE!</v>
      </c>
      <c r="AG103" s="10" t="e">
        <f t="shared" si="107"/>
        <v>#VALUE!</v>
      </c>
      <c r="AI103" s="13"/>
      <c r="AK103" s="10" t="e">
        <f t="shared" si="108"/>
        <v>#VALUE!</v>
      </c>
      <c r="AL103" s="10" t="e">
        <f t="shared" si="140"/>
        <v>#VALUE!</v>
      </c>
      <c r="AM103" s="10" t="e">
        <f t="shared" si="89"/>
        <v>#VALUE!</v>
      </c>
      <c r="AN103" s="10" t="e">
        <f t="shared" si="109"/>
        <v>#VALUE!</v>
      </c>
      <c r="AO103" s="10" t="e">
        <f t="shared" si="110"/>
        <v>#VALUE!</v>
      </c>
      <c r="AP103" s="10" t="e">
        <f t="shared" si="111"/>
        <v>#VALUE!</v>
      </c>
      <c r="AQ103" s="10" t="e">
        <f t="shared" si="141"/>
        <v>#VALUE!</v>
      </c>
      <c r="AR103" s="10" t="e">
        <f t="shared" si="90"/>
        <v>#VALUE!</v>
      </c>
      <c r="AS103" s="10" t="e">
        <f t="shared" si="142"/>
        <v>#VALUE!</v>
      </c>
      <c r="AU103" s="10" t="e">
        <f t="shared" si="112"/>
        <v>#VALUE!</v>
      </c>
      <c r="AV103" s="10" t="e">
        <f t="shared" si="143"/>
        <v>#VALUE!</v>
      </c>
      <c r="AW103" s="10" t="e">
        <f t="shared" si="91"/>
        <v>#VALUE!</v>
      </c>
      <c r="AX103" s="10" t="e">
        <f t="shared" si="113"/>
        <v>#VALUE!</v>
      </c>
      <c r="AY103" s="10" t="e">
        <f t="shared" si="114"/>
        <v>#VALUE!</v>
      </c>
      <c r="AZ103" s="10" t="e">
        <f t="shared" si="115"/>
        <v>#VALUE!</v>
      </c>
      <c r="BA103" s="10" t="e">
        <f t="shared" si="144"/>
        <v>#VALUE!</v>
      </c>
      <c r="BB103" s="10" t="e">
        <f t="shared" si="92"/>
        <v>#VALUE!</v>
      </c>
      <c r="BC103" s="10" t="e">
        <f t="shared" si="145"/>
        <v>#VALUE!</v>
      </c>
      <c r="BE103" s="10" t="e">
        <f t="shared" si="116"/>
        <v>#VALUE!</v>
      </c>
      <c r="BF103" s="10" t="e">
        <f t="shared" si="146"/>
        <v>#VALUE!</v>
      </c>
      <c r="BG103" s="10" t="e">
        <f t="shared" si="93"/>
        <v>#VALUE!</v>
      </c>
      <c r="BH103" s="10" t="e">
        <f t="shared" si="117"/>
        <v>#VALUE!</v>
      </c>
      <c r="BI103" s="10" t="e">
        <f t="shared" si="118"/>
        <v>#VALUE!</v>
      </c>
      <c r="BJ103" s="10" t="e">
        <f t="shared" si="119"/>
        <v>#VALUE!</v>
      </c>
      <c r="BK103" s="10" t="e">
        <f t="shared" si="147"/>
        <v>#VALUE!</v>
      </c>
      <c r="BL103" s="10" t="e">
        <f t="shared" si="94"/>
        <v>#VALUE!</v>
      </c>
      <c r="BM103" s="10" t="e">
        <f t="shared" si="148"/>
        <v>#VALUE!</v>
      </c>
      <c r="BP103" s="10" t="e">
        <f t="shared" si="120"/>
        <v>#VALUE!</v>
      </c>
      <c r="BQ103" s="10" t="e">
        <f t="shared" si="121"/>
        <v>#VALUE!</v>
      </c>
      <c r="BR103" s="10" t="e">
        <f t="shared" si="122"/>
        <v>#VALUE!</v>
      </c>
      <c r="BS103" s="10" t="e">
        <f t="shared" si="123"/>
        <v>#VALUE!</v>
      </c>
      <c r="BT103" s="10" t="e">
        <f t="shared" si="124"/>
        <v>#VALUE!</v>
      </c>
      <c r="BU103" s="10" t="e">
        <f t="shared" si="125"/>
        <v>#VALUE!</v>
      </c>
      <c r="BW103" s="10" t="e">
        <f t="shared" si="126"/>
        <v>#VALUE!</v>
      </c>
      <c r="BX103" s="10" t="e">
        <f t="shared" si="127"/>
        <v>#VALUE!</v>
      </c>
      <c r="BY103" s="10" t="e">
        <f t="shared" si="128"/>
        <v>#VALUE!</v>
      </c>
      <c r="BZ103" s="10" t="e">
        <f t="shared" si="129"/>
        <v>#VALUE!</v>
      </c>
      <c r="CA103" s="10" t="e">
        <f t="shared" si="130"/>
        <v>#VALUE!</v>
      </c>
      <c r="CB103" s="10" t="e">
        <f t="shared" si="131"/>
        <v>#VALUE!</v>
      </c>
      <c r="CD103" s="10" t="e">
        <f>MATCH(INDEX($BP$12:$BU$12,1,MATCH(BP103,$BP$15:$BU$15,0)),结果汇总!$AI$10:$AI$13,0)</f>
        <v>#VALUE!</v>
      </c>
      <c r="CE103" s="10" t="e">
        <f>MATCH(INDEX($BP$12:$BU$12,1,MATCH(BQ103,$BP$15:$BU$15,0)),结果汇总!$AI$10:$AI$13,0)</f>
        <v>#VALUE!</v>
      </c>
      <c r="CF103" s="10" t="e">
        <f>MATCH(INDEX($BP$12:$BU$12,1,MATCH(BR103,$BP$15:$BU$15,0)),结果汇总!$AI$10:$AI$13,0)</f>
        <v>#VALUE!</v>
      </c>
      <c r="CG103" s="10" t="e">
        <f>MATCH(INDEX($BP$12:$BU$12,1,MATCH(BS103,$BP$15:$BU$15,0)),结果汇总!$AI$10:$AI$13,0)</f>
        <v>#VALUE!</v>
      </c>
      <c r="CH103" s="10" t="e">
        <f>MATCH(INDEX($BP$12:$BU$12,1,MATCH(BT103,$BP$15:$BU$15,0)),结果汇总!$AI$10:$AI$13,0)</f>
        <v>#VALUE!</v>
      </c>
      <c r="CI103" s="10" t="e">
        <f>MATCH(INDEX($BP$12:$BU$12,1,MATCH(BU103,$BP$15:$BU$15,0)),结果汇总!$AI$10:$AI$13,0)</f>
        <v>#VALUE!</v>
      </c>
      <c r="CK103" s="10">
        <f t="shared" si="132"/>
        <v>0</v>
      </c>
      <c r="CL103" s="10">
        <f t="shared" si="132"/>
        <v>0</v>
      </c>
      <c r="CM103" s="10">
        <f t="shared" si="132"/>
        <v>0</v>
      </c>
      <c r="CN103" s="10">
        <f t="shared" si="132"/>
        <v>0</v>
      </c>
      <c r="CO103" s="10" t="e">
        <f t="shared" si="133"/>
        <v>#DIV/0!</v>
      </c>
      <c r="CP103" s="10" t="e">
        <f t="shared" si="133"/>
        <v>#DIV/0!</v>
      </c>
      <c r="CQ103" s="10" t="e">
        <f t="shared" si="133"/>
        <v>#DIV/0!</v>
      </c>
      <c r="CR103" s="10" t="e">
        <f t="shared" si="133"/>
        <v>#DIV/0!</v>
      </c>
      <c r="CS103" s="10">
        <f t="shared" si="134"/>
        <v>0</v>
      </c>
      <c r="CT103" s="10">
        <f t="shared" si="134"/>
        <v>0</v>
      </c>
      <c r="CU103" s="10">
        <f t="shared" si="134"/>
        <v>0</v>
      </c>
      <c r="CV103" s="10">
        <f t="shared" si="134"/>
        <v>0</v>
      </c>
      <c r="CW103" s="10">
        <f t="shared" si="135"/>
        <v>0</v>
      </c>
      <c r="CX103" s="10">
        <f t="shared" si="135"/>
        <v>0</v>
      </c>
      <c r="CY103" s="10">
        <f t="shared" si="135"/>
        <v>0</v>
      </c>
      <c r="CZ103" s="10">
        <f t="shared" si="135"/>
        <v>0</v>
      </c>
    </row>
    <row r="104" spans="4:104" x14ac:dyDescent="0.15">
      <c r="D104" s="10">
        <v>89</v>
      </c>
      <c r="E104" s="10" t="e">
        <f t="shared" si="95"/>
        <v>#VALUE!</v>
      </c>
      <c r="F104" s="10" t="e">
        <f t="shared" si="79"/>
        <v>#VALUE!</v>
      </c>
      <c r="G104" s="10" t="e">
        <f t="shared" si="80"/>
        <v>#VALUE!</v>
      </c>
      <c r="H104" s="10" t="e">
        <f t="shared" si="96"/>
        <v>#VALUE!</v>
      </c>
      <c r="I104" s="10" t="e">
        <f t="shared" si="81"/>
        <v>#VALUE!</v>
      </c>
      <c r="J104" s="10" t="e">
        <f t="shared" si="97"/>
        <v>#VALUE!</v>
      </c>
      <c r="K104" s="10" t="e">
        <f t="shared" si="82"/>
        <v>#VALUE!</v>
      </c>
      <c r="L104" s="10" t="e">
        <f t="shared" si="83"/>
        <v>#VALUE!</v>
      </c>
      <c r="M104" s="10" t="e">
        <f t="shared" si="98"/>
        <v>#VALUE!</v>
      </c>
      <c r="O104" s="10" t="e">
        <f t="shared" si="99"/>
        <v>#VALUE!</v>
      </c>
      <c r="P104" s="10" t="e">
        <f t="shared" si="84"/>
        <v>#VALUE!</v>
      </c>
      <c r="Q104" s="10" t="e">
        <f t="shared" si="85"/>
        <v>#VALUE!</v>
      </c>
      <c r="R104" s="10" t="e">
        <f t="shared" si="100"/>
        <v>#VALUE!</v>
      </c>
      <c r="S104" s="10" t="e">
        <f t="shared" si="101"/>
        <v>#VALUE!</v>
      </c>
      <c r="T104" s="10" t="e">
        <f t="shared" si="136"/>
        <v>#VALUE!</v>
      </c>
      <c r="U104" s="10" t="e">
        <f t="shared" si="137"/>
        <v>#VALUE!</v>
      </c>
      <c r="V104" s="10" t="e">
        <f t="shared" si="86"/>
        <v>#VALUE!</v>
      </c>
      <c r="W104" s="10" t="e">
        <f t="shared" si="102"/>
        <v>#VALUE!</v>
      </c>
      <c r="Y104" s="10" t="e">
        <f t="shared" si="103"/>
        <v>#VALUE!</v>
      </c>
      <c r="Z104" s="11" t="e">
        <f t="shared" si="104"/>
        <v>#VALUE!</v>
      </c>
      <c r="AA104" s="10" t="e">
        <f t="shared" si="87"/>
        <v>#VALUE!</v>
      </c>
      <c r="AB104" s="10" t="e">
        <f t="shared" si="105"/>
        <v>#VALUE!</v>
      </c>
      <c r="AC104" s="10" t="e">
        <f t="shared" si="106"/>
        <v>#VALUE!</v>
      </c>
      <c r="AD104" s="10" t="e">
        <f t="shared" si="138"/>
        <v>#VALUE!</v>
      </c>
      <c r="AE104" s="10" t="e">
        <f t="shared" si="139"/>
        <v>#VALUE!</v>
      </c>
      <c r="AF104" s="10" t="e">
        <f t="shared" si="88"/>
        <v>#VALUE!</v>
      </c>
      <c r="AG104" s="10" t="e">
        <f t="shared" si="107"/>
        <v>#VALUE!</v>
      </c>
      <c r="AI104" s="13"/>
      <c r="AK104" s="10" t="e">
        <f t="shared" si="108"/>
        <v>#VALUE!</v>
      </c>
      <c r="AL104" s="10" t="e">
        <f t="shared" si="140"/>
        <v>#VALUE!</v>
      </c>
      <c r="AM104" s="10" t="e">
        <f t="shared" si="89"/>
        <v>#VALUE!</v>
      </c>
      <c r="AN104" s="10" t="e">
        <f t="shared" si="109"/>
        <v>#VALUE!</v>
      </c>
      <c r="AO104" s="10" t="e">
        <f t="shared" si="110"/>
        <v>#VALUE!</v>
      </c>
      <c r="AP104" s="10" t="e">
        <f t="shared" si="111"/>
        <v>#VALUE!</v>
      </c>
      <c r="AQ104" s="10" t="e">
        <f t="shared" si="141"/>
        <v>#VALUE!</v>
      </c>
      <c r="AR104" s="10" t="e">
        <f t="shared" si="90"/>
        <v>#VALUE!</v>
      </c>
      <c r="AS104" s="10" t="e">
        <f t="shared" si="142"/>
        <v>#VALUE!</v>
      </c>
      <c r="AU104" s="10" t="e">
        <f t="shared" si="112"/>
        <v>#VALUE!</v>
      </c>
      <c r="AV104" s="10" t="e">
        <f t="shared" si="143"/>
        <v>#VALUE!</v>
      </c>
      <c r="AW104" s="10" t="e">
        <f t="shared" si="91"/>
        <v>#VALUE!</v>
      </c>
      <c r="AX104" s="10" t="e">
        <f t="shared" si="113"/>
        <v>#VALUE!</v>
      </c>
      <c r="AY104" s="10" t="e">
        <f t="shared" si="114"/>
        <v>#VALUE!</v>
      </c>
      <c r="AZ104" s="10" t="e">
        <f t="shared" si="115"/>
        <v>#VALUE!</v>
      </c>
      <c r="BA104" s="10" t="e">
        <f t="shared" si="144"/>
        <v>#VALUE!</v>
      </c>
      <c r="BB104" s="10" t="e">
        <f t="shared" si="92"/>
        <v>#VALUE!</v>
      </c>
      <c r="BC104" s="10" t="e">
        <f t="shared" si="145"/>
        <v>#VALUE!</v>
      </c>
      <c r="BE104" s="10" t="e">
        <f t="shared" si="116"/>
        <v>#VALUE!</v>
      </c>
      <c r="BF104" s="10" t="e">
        <f t="shared" si="146"/>
        <v>#VALUE!</v>
      </c>
      <c r="BG104" s="10" t="e">
        <f t="shared" si="93"/>
        <v>#VALUE!</v>
      </c>
      <c r="BH104" s="10" t="e">
        <f t="shared" si="117"/>
        <v>#VALUE!</v>
      </c>
      <c r="BI104" s="10" t="e">
        <f t="shared" si="118"/>
        <v>#VALUE!</v>
      </c>
      <c r="BJ104" s="10" t="e">
        <f t="shared" si="119"/>
        <v>#VALUE!</v>
      </c>
      <c r="BK104" s="10" t="e">
        <f t="shared" si="147"/>
        <v>#VALUE!</v>
      </c>
      <c r="BL104" s="10" t="e">
        <f t="shared" si="94"/>
        <v>#VALUE!</v>
      </c>
      <c r="BM104" s="10" t="e">
        <f t="shared" si="148"/>
        <v>#VALUE!</v>
      </c>
      <c r="BP104" s="10" t="e">
        <f t="shared" si="120"/>
        <v>#VALUE!</v>
      </c>
      <c r="BQ104" s="10" t="e">
        <f t="shared" si="121"/>
        <v>#VALUE!</v>
      </c>
      <c r="BR104" s="10" t="e">
        <f t="shared" si="122"/>
        <v>#VALUE!</v>
      </c>
      <c r="BS104" s="10" t="e">
        <f t="shared" si="123"/>
        <v>#VALUE!</v>
      </c>
      <c r="BT104" s="10" t="e">
        <f t="shared" si="124"/>
        <v>#VALUE!</v>
      </c>
      <c r="BU104" s="10" t="e">
        <f t="shared" si="125"/>
        <v>#VALUE!</v>
      </c>
      <c r="BW104" s="10" t="e">
        <f>Y104+AD104*1000</f>
        <v>#VALUE!</v>
      </c>
      <c r="BX104" s="10" t="e">
        <f t="shared" si="127"/>
        <v>#VALUE!</v>
      </c>
      <c r="BY104" s="10" t="e">
        <f t="shared" si="128"/>
        <v>#VALUE!</v>
      </c>
      <c r="BZ104" s="10" t="e">
        <f t="shared" si="129"/>
        <v>#VALUE!</v>
      </c>
      <c r="CA104" s="10" t="e">
        <f t="shared" si="130"/>
        <v>#VALUE!</v>
      </c>
      <c r="CB104" s="10" t="e">
        <f t="shared" si="131"/>
        <v>#VALUE!</v>
      </c>
      <c r="CD104" s="10" t="e">
        <f>MATCH(INDEX($BP$12:$BU$12,1,MATCH(BP104,$BP$15:$BU$15,0)),结果汇总!$AI$10:$AI$13,0)</f>
        <v>#VALUE!</v>
      </c>
      <c r="CE104" s="10" t="e">
        <f>MATCH(INDEX($BP$12:$BU$12,1,MATCH(BQ104,$BP$15:$BU$15,0)),结果汇总!$AI$10:$AI$13,0)</f>
        <v>#VALUE!</v>
      </c>
      <c r="CF104" s="10" t="e">
        <f>MATCH(INDEX($BP$12:$BU$12,1,MATCH(BR104,$BP$15:$BU$15,0)),结果汇总!$AI$10:$AI$13,0)</f>
        <v>#VALUE!</v>
      </c>
      <c r="CG104" s="10" t="e">
        <f>MATCH(INDEX($BP$12:$BU$12,1,MATCH(BS104,$BP$15:$BU$15,0)),结果汇总!$AI$10:$AI$13,0)</f>
        <v>#VALUE!</v>
      </c>
      <c r="CH104" s="10" t="e">
        <f>MATCH(INDEX($BP$12:$BU$12,1,MATCH(BT104,$BP$15:$BU$15,0)),结果汇总!$AI$10:$AI$13,0)</f>
        <v>#VALUE!</v>
      </c>
      <c r="CI104" s="10" t="e">
        <f>MATCH(INDEX($BP$12:$BU$12,1,MATCH(BU104,$BP$15:$BU$15,0)),结果汇总!$AI$10:$AI$13,0)</f>
        <v>#VALUE!</v>
      </c>
      <c r="CK104" s="10">
        <f t="shared" si="132"/>
        <v>0</v>
      </c>
      <c r="CL104" s="10">
        <f t="shared" si="132"/>
        <v>0</v>
      </c>
      <c r="CM104" s="10">
        <f t="shared" si="132"/>
        <v>0</v>
      </c>
      <c r="CN104" s="10">
        <f t="shared" si="132"/>
        <v>0</v>
      </c>
      <c r="CO104" s="10" t="e">
        <f t="shared" si="133"/>
        <v>#DIV/0!</v>
      </c>
      <c r="CP104" s="10" t="e">
        <f t="shared" si="133"/>
        <v>#DIV/0!</v>
      </c>
      <c r="CQ104" s="10" t="e">
        <f t="shared" si="133"/>
        <v>#DIV/0!</v>
      </c>
      <c r="CR104" s="10" t="e">
        <f t="shared" si="133"/>
        <v>#DIV/0!</v>
      </c>
      <c r="CS104" s="10">
        <f t="shared" si="134"/>
        <v>0</v>
      </c>
      <c r="CT104" s="10">
        <f t="shared" si="134"/>
        <v>0</v>
      </c>
      <c r="CU104" s="10">
        <f t="shared" si="134"/>
        <v>0</v>
      </c>
      <c r="CV104" s="10">
        <f t="shared" si="134"/>
        <v>0</v>
      </c>
      <c r="CW104" s="10">
        <f t="shared" si="135"/>
        <v>0</v>
      </c>
      <c r="CX104" s="10">
        <f t="shared" si="135"/>
        <v>0</v>
      </c>
      <c r="CY104" s="10">
        <f t="shared" si="135"/>
        <v>0</v>
      </c>
      <c r="CZ104" s="10">
        <f t="shared" si="135"/>
        <v>0</v>
      </c>
    </row>
    <row r="105" spans="4:104" x14ac:dyDescent="0.15">
      <c r="D105" s="10">
        <v>90</v>
      </c>
      <c r="E105" s="10" t="e">
        <f t="shared" si="95"/>
        <v>#VALUE!</v>
      </c>
      <c r="F105" s="10" t="e">
        <f t="shared" si="79"/>
        <v>#VALUE!</v>
      </c>
      <c r="G105" s="10" t="e">
        <f t="shared" si="80"/>
        <v>#VALUE!</v>
      </c>
      <c r="H105" s="10" t="e">
        <f t="shared" si="96"/>
        <v>#VALUE!</v>
      </c>
      <c r="I105" s="10" t="e">
        <f t="shared" si="81"/>
        <v>#VALUE!</v>
      </c>
      <c r="J105" s="10" t="e">
        <f t="shared" si="97"/>
        <v>#VALUE!</v>
      </c>
      <c r="K105" s="10" t="e">
        <f t="shared" si="82"/>
        <v>#VALUE!</v>
      </c>
      <c r="L105" s="10" t="e">
        <f t="shared" si="83"/>
        <v>#VALUE!</v>
      </c>
      <c r="M105" s="10" t="e">
        <f t="shared" si="98"/>
        <v>#VALUE!</v>
      </c>
      <c r="O105" s="10" t="e">
        <f t="shared" si="99"/>
        <v>#VALUE!</v>
      </c>
      <c r="P105" s="10" t="e">
        <f t="shared" si="84"/>
        <v>#VALUE!</v>
      </c>
      <c r="Q105" s="10" t="e">
        <f t="shared" si="85"/>
        <v>#VALUE!</v>
      </c>
      <c r="R105" s="10" t="e">
        <f t="shared" si="100"/>
        <v>#VALUE!</v>
      </c>
      <c r="S105" s="10" t="e">
        <f t="shared" si="101"/>
        <v>#VALUE!</v>
      </c>
      <c r="T105" s="10" t="e">
        <f t="shared" si="136"/>
        <v>#VALUE!</v>
      </c>
      <c r="U105" s="10" t="e">
        <f t="shared" si="137"/>
        <v>#VALUE!</v>
      </c>
      <c r="V105" s="10" t="e">
        <f t="shared" si="86"/>
        <v>#VALUE!</v>
      </c>
      <c r="W105" s="10" t="e">
        <f t="shared" si="102"/>
        <v>#VALUE!</v>
      </c>
      <c r="Y105" s="10" t="e">
        <f t="shared" si="103"/>
        <v>#VALUE!</v>
      </c>
      <c r="Z105" s="11" t="e">
        <f t="shared" si="104"/>
        <v>#VALUE!</v>
      </c>
      <c r="AA105" s="10" t="e">
        <f t="shared" si="87"/>
        <v>#VALUE!</v>
      </c>
      <c r="AB105" s="10" t="e">
        <f t="shared" si="105"/>
        <v>#VALUE!</v>
      </c>
      <c r="AC105" s="10" t="e">
        <f t="shared" si="106"/>
        <v>#VALUE!</v>
      </c>
      <c r="AD105" s="10" t="e">
        <f t="shared" si="138"/>
        <v>#VALUE!</v>
      </c>
      <c r="AE105" s="10" t="e">
        <f t="shared" si="139"/>
        <v>#VALUE!</v>
      </c>
      <c r="AF105" s="10" t="e">
        <f t="shared" si="88"/>
        <v>#VALUE!</v>
      </c>
      <c r="AG105" s="10" t="e">
        <f t="shared" si="107"/>
        <v>#VALUE!</v>
      </c>
      <c r="AI105" s="13"/>
      <c r="AK105" s="10" t="e">
        <f t="shared" si="108"/>
        <v>#VALUE!</v>
      </c>
      <c r="AL105" s="10" t="e">
        <f t="shared" si="140"/>
        <v>#VALUE!</v>
      </c>
      <c r="AM105" s="10" t="e">
        <f t="shared" si="89"/>
        <v>#VALUE!</v>
      </c>
      <c r="AN105" s="10" t="e">
        <f t="shared" si="109"/>
        <v>#VALUE!</v>
      </c>
      <c r="AO105" s="10" t="e">
        <f t="shared" si="110"/>
        <v>#VALUE!</v>
      </c>
      <c r="AP105" s="10" t="e">
        <f t="shared" si="111"/>
        <v>#VALUE!</v>
      </c>
      <c r="AQ105" s="10" t="e">
        <f t="shared" si="141"/>
        <v>#VALUE!</v>
      </c>
      <c r="AR105" s="10" t="e">
        <f t="shared" si="90"/>
        <v>#VALUE!</v>
      </c>
      <c r="AS105" s="10" t="e">
        <f t="shared" si="142"/>
        <v>#VALUE!</v>
      </c>
      <c r="AU105" s="10" t="e">
        <f t="shared" si="112"/>
        <v>#VALUE!</v>
      </c>
      <c r="AV105" s="10" t="e">
        <f t="shared" si="143"/>
        <v>#VALUE!</v>
      </c>
      <c r="AW105" s="10" t="e">
        <f t="shared" si="91"/>
        <v>#VALUE!</v>
      </c>
      <c r="AX105" s="10" t="e">
        <f t="shared" si="113"/>
        <v>#VALUE!</v>
      </c>
      <c r="AY105" s="10" t="e">
        <f t="shared" si="114"/>
        <v>#VALUE!</v>
      </c>
      <c r="AZ105" s="10" t="e">
        <f t="shared" si="115"/>
        <v>#VALUE!</v>
      </c>
      <c r="BA105" s="10" t="e">
        <f t="shared" si="144"/>
        <v>#VALUE!</v>
      </c>
      <c r="BB105" s="10" t="e">
        <f t="shared" si="92"/>
        <v>#VALUE!</v>
      </c>
      <c r="BC105" s="10" t="e">
        <f t="shared" si="145"/>
        <v>#VALUE!</v>
      </c>
      <c r="BE105" s="10" t="e">
        <f t="shared" si="116"/>
        <v>#VALUE!</v>
      </c>
      <c r="BF105" s="10" t="e">
        <f t="shared" si="146"/>
        <v>#VALUE!</v>
      </c>
      <c r="BG105" s="10" t="e">
        <f t="shared" si="93"/>
        <v>#VALUE!</v>
      </c>
      <c r="BH105" s="10" t="e">
        <f t="shared" si="117"/>
        <v>#VALUE!</v>
      </c>
      <c r="BI105" s="10" t="e">
        <f t="shared" si="118"/>
        <v>#VALUE!</v>
      </c>
      <c r="BJ105" s="10" t="e">
        <f t="shared" si="119"/>
        <v>#VALUE!</v>
      </c>
      <c r="BK105" s="10" t="e">
        <f t="shared" si="147"/>
        <v>#VALUE!</v>
      </c>
      <c r="BL105" s="10" t="e">
        <f t="shared" si="94"/>
        <v>#VALUE!</v>
      </c>
      <c r="BM105" s="10" t="e">
        <f t="shared" si="148"/>
        <v>#VALUE!</v>
      </c>
      <c r="BP105" s="10" t="e">
        <f t="shared" si="120"/>
        <v>#VALUE!</v>
      </c>
      <c r="BQ105" s="10" t="e">
        <f t="shared" si="121"/>
        <v>#VALUE!</v>
      </c>
      <c r="BR105" s="10" t="e">
        <f t="shared" si="122"/>
        <v>#VALUE!</v>
      </c>
      <c r="BS105" s="10" t="e">
        <f t="shared" si="123"/>
        <v>#VALUE!</v>
      </c>
      <c r="BT105" s="10" t="e">
        <f t="shared" si="124"/>
        <v>#VALUE!</v>
      </c>
      <c r="BU105" s="10" t="e">
        <f t="shared" si="125"/>
        <v>#VALUE!</v>
      </c>
      <c r="BW105" s="10" t="e">
        <f t="shared" si="126"/>
        <v>#VALUE!</v>
      </c>
      <c r="BX105" s="10" t="e">
        <f t="shared" si="127"/>
        <v>#VALUE!</v>
      </c>
      <c r="BY105" s="10" t="e">
        <f t="shared" si="128"/>
        <v>#VALUE!</v>
      </c>
      <c r="BZ105" s="10" t="e">
        <f t="shared" si="129"/>
        <v>#VALUE!</v>
      </c>
      <c r="CA105" s="10" t="e">
        <f t="shared" si="130"/>
        <v>#VALUE!</v>
      </c>
      <c r="CB105" s="10" t="e">
        <f t="shared" si="131"/>
        <v>#VALUE!</v>
      </c>
      <c r="CD105" s="10" t="e">
        <f>MATCH(INDEX($BP$12:$BU$12,1,MATCH(BP105,$BP$15:$BU$15,0)),结果汇总!$AI$10:$AI$13,0)</f>
        <v>#VALUE!</v>
      </c>
      <c r="CE105" s="10" t="e">
        <f>MATCH(INDEX($BP$12:$BU$12,1,MATCH(BQ105,$BP$15:$BU$15,0)),结果汇总!$AI$10:$AI$13,0)</f>
        <v>#VALUE!</v>
      </c>
      <c r="CF105" s="10" t="e">
        <f>MATCH(INDEX($BP$12:$BU$12,1,MATCH(BR105,$BP$15:$BU$15,0)),结果汇总!$AI$10:$AI$13,0)</f>
        <v>#VALUE!</v>
      </c>
      <c r="CG105" s="10" t="e">
        <f>MATCH(INDEX($BP$12:$BU$12,1,MATCH(BS105,$BP$15:$BU$15,0)),结果汇总!$AI$10:$AI$13,0)</f>
        <v>#VALUE!</v>
      </c>
      <c r="CH105" s="10" t="e">
        <f>MATCH(INDEX($BP$12:$BU$12,1,MATCH(BT105,$BP$15:$BU$15,0)),结果汇总!$AI$10:$AI$13,0)</f>
        <v>#VALUE!</v>
      </c>
      <c r="CI105" s="10" t="e">
        <f>MATCH(INDEX($BP$12:$BU$12,1,MATCH(BU105,$BP$15:$BU$15,0)),结果汇总!$AI$10:$AI$13,0)</f>
        <v>#VALUE!</v>
      </c>
      <c r="CK105" s="10">
        <f t="shared" si="132"/>
        <v>0</v>
      </c>
      <c r="CL105" s="10">
        <f t="shared" si="132"/>
        <v>0</v>
      </c>
      <c r="CM105" s="10">
        <f t="shared" si="132"/>
        <v>0</v>
      </c>
      <c r="CN105" s="10">
        <f t="shared" si="132"/>
        <v>0</v>
      </c>
      <c r="CO105" s="10" t="e">
        <f t="shared" si="133"/>
        <v>#DIV/0!</v>
      </c>
      <c r="CP105" s="10" t="e">
        <f t="shared" si="133"/>
        <v>#DIV/0!</v>
      </c>
      <c r="CQ105" s="10" t="e">
        <f t="shared" si="133"/>
        <v>#DIV/0!</v>
      </c>
      <c r="CR105" s="10" t="e">
        <f t="shared" si="133"/>
        <v>#DIV/0!</v>
      </c>
      <c r="CS105" s="10">
        <f t="shared" si="134"/>
        <v>0</v>
      </c>
      <c r="CT105" s="10">
        <f t="shared" si="134"/>
        <v>0</v>
      </c>
      <c r="CU105" s="10">
        <f t="shared" si="134"/>
        <v>0</v>
      </c>
      <c r="CV105" s="10">
        <f t="shared" si="134"/>
        <v>0</v>
      </c>
      <c r="CW105" s="10">
        <f t="shared" si="135"/>
        <v>0</v>
      </c>
      <c r="CX105" s="10">
        <f t="shared" si="135"/>
        <v>0</v>
      </c>
      <c r="CY105" s="10">
        <f t="shared" si="135"/>
        <v>0</v>
      </c>
      <c r="CZ105" s="10">
        <f t="shared" si="135"/>
        <v>0</v>
      </c>
    </row>
    <row r="106" spans="4:104" x14ac:dyDescent="0.15">
      <c r="D106" s="10">
        <v>91</v>
      </c>
      <c r="E106" s="10" t="e">
        <f t="shared" si="95"/>
        <v>#VALUE!</v>
      </c>
      <c r="F106" s="10" t="e">
        <f t="shared" si="79"/>
        <v>#VALUE!</v>
      </c>
      <c r="G106" s="10" t="e">
        <f t="shared" si="80"/>
        <v>#VALUE!</v>
      </c>
      <c r="H106" s="10" t="e">
        <f t="shared" si="96"/>
        <v>#VALUE!</v>
      </c>
      <c r="I106" s="10" t="e">
        <f t="shared" si="81"/>
        <v>#VALUE!</v>
      </c>
      <c r="J106" s="10" t="e">
        <f t="shared" si="97"/>
        <v>#VALUE!</v>
      </c>
      <c r="K106" s="10" t="e">
        <f t="shared" si="82"/>
        <v>#VALUE!</v>
      </c>
      <c r="L106" s="10" t="e">
        <f t="shared" si="83"/>
        <v>#VALUE!</v>
      </c>
      <c r="M106" s="10" t="e">
        <f t="shared" si="98"/>
        <v>#VALUE!</v>
      </c>
      <c r="O106" s="10" t="e">
        <f t="shared" si="99"/>
        <v>#VALUE!</v>
      </c>
      <c r="P106" s="10" t="e">
        <f t="shared" si="84"/>
        <v>#VALUE!</v>
      </c>
      <c r="Q106" s="10" t="e">
        <f t="shared" si="85"/>
        <v>#VALUE!</v>
      </c>
      <c r="R106" s="10" t="e">
        <f t="shared" si="100"/>
        <v>#VALUE!</v>
      </c>
      <c r="S106" s="10" t="e">
        <f t="shared" si="101"/>
        <v>#VALUE!</v>
      </c>
      <c r="T106" s="10" t="e">
        <f t="shared" si="136"/>
        <v>#VALUE!</v>
      </c>
      <c r="U106" s="10" t="e">
        <f t="shared" si="137"/>
        <v>#VALUE!</v>
      </c>
      <c r="V106" s="10" t="e">
        <f t="shared" si="86"/>
        <v>#VALUE!</v>
      </c>
      <c r="W106" s="10" t="e">
        <f t="shared" si="102"/>
        <v>#VALUE!</v>
      </c>
      <c r="Y106" s="10" t="e">
        <f t="shared" si="103"/>
        <v>#VALUE!</v>
      </c>
      <c r="Z106" s="11" t="e">
        <f t="shared" si="104"/>
        <v>#VALUE!</v>
      </c>
      <c r="AA106" s="10" t="e">
        <f t="shared" si="87"/>
        <v>#VALUE!</v>
      </c>
      <c r="AB106" s="10" t="e">
        <f t="shared" si="105"/>
        <v>#VALUE!</v>
      </c>
      <c r="AC106" s="10" t="e">
        <f t="shared" si="106"/>
        <v>#VALUE!</v>
      </c>
      <c r="AD106" s="10" t="e">
        <f t="shared" si="138"/>
        <v>#VALUE!</v>
      </c>
      <c r="AE106" s="10" t="e">
        <f t="shared" si="139"/>
        <v>#VALUE!</v>
      </c>
      <c r="AF106" s="10" t="e">
        <f t="shared" si="88"/>
        <v>#VALUE!</v>
      </c>
      <c r="AG106" s="10" t="e">
        <f t="shared" si="107"/>
        <v>#VALUE!</v>
      </c>
      <c r="AI106" s="13"/>
      <c r="AK106" s="10" t="e">
        <f t="shared" si="108"/>
        <v>#VALUE!</v>
      </c>
      <c r="AL106" s="10" t="e">
        <f t="shared" si="140"/>
        <v>#VALUE!</v>
      </c>
      <c r="AM106" s="10" t="e">
        <f t="shared" si="89"/>
        <v>#VALUE!</v>
      </c>
      <c r="AN106" s="10" t="e">
        <f t="shared" si="109"/>
        <v>#VALUE!</v>
      </c>
      <c r="AO106" s="10" t="e">
        <f t="shared" si="110"/>
        <v>#VALUE!</v>
      </c>
      <c r="AP106" s="10" t="e">
        <f t="shared" si="111"/>
        <v>#VALUE!</v>
      </c>
      <c r="AQ106" s="10" t="e">
        <f t="shared" si="141"/>
        <v>#VALUE!</v>
      </c>
      <c r="AR106" s="10" t="e">
        <f t="shared" si="90"/>
        <v>#VALUE!</v>
      </c>
      <c r="AS106" s="10" t="e">
        <f t="shared" si="142"/>
        <v>#VALUE!</v>
      </c>
      <c r="AU106" s="10" t="e">
        <f t="shared" si="112"/>
        <v>#VALUE!</v>
      </c>
      <c r="AV106" s="10" t="e">
        <f t="shared" si="143"/>
        <v>#VALUE!</v>
      </c>
      <c r="AW106" s="10" t="e">
        <f t="shared" si="91"/>
        <v>#VALUE!</v>
      </c>
      <c r="AX106" s="10" t="e">
        <f t="shared" si="113"/>
        <v>#VALUE!</v>
      </c>
      <c r="AY106" s="10" t="e">
        <f t="shared" si="114"/>
        <v>#VALUE!</v>
      </c>
      <c r="AZ106" s="10" t="e">
        <f t="shared" si="115"/>
        <v>#VALUE!</v>
      </c>
      <c r="BA106" s="10" t="e">
        <f t="shared" si="144"/>
        <v>#VALUE!</v>
      </c>
      <c r="BB106" s="10" t="e">
        <f t="shared" si="92"/>
        <v>#VALUE!</v>
      </c>
      <c r="BC106" s="10" t="e">
        <f t="shared" si="145"/>
        <v>#VALUE!</v>
      </c>
      <c r="BE106" s="10" t="e">
        <f t="shared" si="116"/>
        <v>#VALUE!</v>
      </c>
      <c r="BF106" s="10" t="e">
        <f t="shared" si="146"/>
        <v>#VALUE!</v>
      </c>
      <c r="BG106" s="10" t="e">
        <f t="shared" si="93"/>
        <v>#VALUE!</v>
      </c>
      <c r="BH106" s="10" t="e">
        <f t="shared" si="117"/>
        <v>#VALUE!</v>
      </c>
      <c r="BI106" s="10" t="e">
        <f t="shared" si="118"/>
        <v>#VALUE!</v>
      </c>
      <c r="BJ106" s="10" t="e">
        <f t="shared" si="119"/>
        <v>#VALUE!</v>
      </c>
      <c r="BK106" s="10" t="e">
        <f t="shared" si="147"/>
        <v>#VALUE!</v>
      </c>
      <c r="BL106" s="10" t="e">
        <f t="shared" si="94"/>
        <v>#VALUE!</v>
      </c>
      <c r="BM106" s="10" t="e">
        <f t="shared" si="148"/>
        <v>#VALUE!</v>
      </c>
      <c r="BP106" s="10" t="e">
        <f t="shared" si="120"/>
        <v>#VALUE!</v>
      </c>
      <c r="BQ106" s="10" t="e">
        <f t="shared" si="121"/>
        <v>#VALUE!</v>
      </c>
      <c r="BR106" s="10" t="e">
        <f t="shared" si="122"/>
        <v>#VALUE!</v>
      </c>
      <c r="BS106" s="10" t="e">
        <f t="shared" si="123"/>
        <v>#VALUE!</v>
      </c>
      <c r="BT106" s="10" t="e">
        <f t="shared" si="124"/>
        <v>#VALUE!</v>
      </c>
      <c r="BU106" s="10" t="e">
        <f t="shared" si="125"/>
        <v>#VALUE!</v>
      </c>
      <c r="BW106" s="10" t="e">
        <f t="shared" si="126"/>
        <v>#VALUE!</v>
      </c>
      <c r="BX106" s="10" t="e">
        <f t="shared" si="127"/>
        <v>#VALUE!</v>
      </c>
      <c r="BY106" s="10" t="e">
        <f t="shared" si="128"/>
        <v>#VALUE!</v>
      </c>
      <c r="BZ106" s="10" t="e">
        <f t="shared" si="129"/>
        <v>#VALUE!</v>
      </c>
      <c r="CA106" s="10" t="e">
        <f t="shared" si="130"/>
        <v>#VALUE!</v>
      </c>
      <c r="CB106" s="10" t="e">
        <f t="shared" si="131"/>
        <v>#VALUE!</v>
      </c>
      <c r="CD106" s="10" t="e">
        <f>MATCH(INDEX($BP$12:$BU$12,1,MATCH(BP106,$BP$15:$BU$15,0)),结果汇总!$AI$10:$AI$13,0)</f>
        <v>#VALUE!</v>
      </c>
      <c r="CE106" s="10" t="e">
        <f>MATCH(INDEX($BP$12:$BU$12,1,MATCH(BQ106,$BP$15:$BU$15,0)),结果汇总!$AI$10:$AI$13,0)</f>
        <v>#VALUE!</v>
      </c>
      <c r="CF106" s="10" t="e">
        <f>MATCH(INDEX($BP$12:$BU$12,1,MATCH(BR106,$BP$15:$BU$15,0)),结果汇总!$AI$10:$AI$13,0)</f>
        <v>#VALUE!</v>
      </c>
      <c r="CG106" s="10" t="e">
        <f>MATCH(INDEX($BP$12:$BU$12,1,MATCH(BS106,$BP$15:$BU$15,0)),结果汇总!$AI$10:$AI$13,0)</f>
        <v>#VALUE!</v>
      </c>
      <c r="CH106" s="10" t="e">
        <f>MATCH(INDEX($BP$12:$BU$12,1,MATCH(BT106,$BP$15:$BU$15,0)),结果汇总!$AI$10:$AI$13,0)</f>
        <v>#VALUE!</v>
      </c>
      <c r="CI106" s="10" t="e">
        <f>MATCH(INDEX($BP$12:$BU$12,1,MATCH(BU106,$BP$15:$BU$15,0)),结果汇总!$AI$10:$AI$13,0)</f>
        <v>#VALUE!</v>
      </c>
      <c r="CK106" s="10">
        <f t="shared" si="132"/>
        <v>0</v>
      </c>
      <c r="CL106" s="10">
        <f t="shared" si="132"/>
        <v>0</v>
      </c>
      <c r="CM106" s="10">
        <f t="shared" si="132"/>
        <v>0</v>
      </c>
      <c r="CN106" s="10">
        <f t="shared" si="132"/>
        <v>0</v>
      </c>
      <c r="CO106" s="10" t="e">
        <f t="shared" si="133"/>
        <v>#DIV/0!</v>
      </c>
      <c r="CP106" s="10" t="e">
        <f t="shared" si="133"/>
        <v>#DIV/0!</v>
      </c>
      <c r="CQ106" s="10" t="e">
        <f t="shared" si="133"/>
        <v>#DIV/0!</v>
      </c>
      <c r="CR106" s="10" t="e">
        <f t="shared" si="133"/>
        <v>#DIV/0!</v>
      </c>
      <c r="CS106" s="10">
        <f t="shared" si="134"/>
        <v>0</v>
      </c>
      <c r="CT106" s="10">
        <f t="shared" si="134"/>
        <v>0</v>
      </c>
      <c r="CU106" s="10">
        <f t="shared" si="134"/>
        <v>0</v>
      </c>
      <c r="CV106" s="10">
        <f t="shared" si="134"/>
        <v>0</v>
      </c>
      <c r="CW106" s="10">
        <f t="shared" si="135"/>
        <v>0</v>
      </c>
      <c r="CX106" s="10">
        <f t="shared" si="135"/>
        <v>0</v>
      </c>
      <c r="CY106" s="10">
        <f t="shared" si="135"/>
        <v>0</v>
      </c>
      <c r="CZ106" s="10">
        <f t="shared" si="135"/>
        <v>0</v>
      </c>
    </row>
    <row r="107" spans="4:104" x14ac:dyDescent="0.15">
      <c r="D107" s="10">
        <v>92</v>
      </c>
      <c r="E107" s="10" t="e">
        <f t="shared" si="95"/>
        <v>#VALUE!</v>
      </c>
      <c r="F107" s="10" t="e">
        <f t="shared" si="79"/>
        <v>#VALUE!</v>
      </c>
      <c r="G107" s="10" t="e">
        <f t="shared" si="80"/>
        <v>#VALUE!</v>
      </c>
      <c r="H107" s="10" t="e">
        <f t="shared" si="96"/>
        <v>#VALUE!</v>
      </c>
      <c r="I107" s="10" t="e">
        <f t="shared" si="81"/>
        <v>#VALUE!</v>
      </c>
      <c r="J107" s="10" t="e">
        <f t="shared" si="97"/>
        <v>#VALUE!</v>
      </c>
      <c r="K107" s="10" t="e">
        <f t="shared" si="82"/>
        <v>#VALUE!</v>
      </c>
      <c r="L107" s="10" t="e">
        <f t="shared" si="83"/>
        <v>#VALUE!</v>
      </c>
      <c r="M107" s="10" t="e">
        <f t="shared" si="98"/>
        <v>#VALUE!</v>
      </c>
      <c r="O107" s="10" t="e">
        <f t="shared" si="99"/>
        <v>#VALUE!</v>
      </c>
      <c r="P107" s="10" t="e">
        <f t="shared" si="84"/>
        <v>#VALUE!</v>
      </c>
      <c r="Q107" s="10" t="e">
        <f t="shared" si="85"/>
        <v>#VALUE!</v>
      </c>
      <c r="R107" s="10" t="e">
        <f t="shared" si="100"/>
        <v>#VALUE!</v>
      </c>
      <c r="S107" s="10" t="e">
        <f t="shared" si="101"/>
        <v>#VALUE!</v>
      </c>
      <c r="T107" s="10" t="e">
        <f t="shared" si="136"/>
        <v>#VALUE!</v>
      </c>
      <c r="U107" s="10" t="e">
        <f t="shared" si="137"/>
        <v>#VALUE!</v>
      </c>
      <c r="V107" s="10" t="e">
        <f t="shared" si="86"/>
        <v>#VALUE!</v>
      </c>
      <c r="W107" s="10" t="e">
        <f t="shared" si="102"/>
        <v>#VALUE!</v>
      </c>
      <c r="Y107" s="10" t="e">
        <f t="shared" si="103"/>
        <v>#VALUE!</v>
      </c>
      <c r="Z107" s="11" t="e">
        <f t="shared" si="104"/>
        <v>#VALUE!</v>
      </c>
      <c r="AA107" s="10" t="e">
        <f t="shared" si="87"/>
        <v>#VALUE!</v>
      </c>
      <c r="AB107" s="10" t="e">
        <f t="shared" si="105"/>
        <v>#VALUE!</v>
      </c>
      <c r="AC107" s="10" t="e">
        <f t="shared" si="106"/>
        <v>#VALUE!</v>
      </c>
      <c r="AD107" s="10" t="e">
        <f t="shared" si="138"/>
        <v>#VALUE!</v>
      </c>
      <c r="AE107" s="10" t="e">
        <f t="shared" si="139"/>
        <v>#VALUE!</v>
      </c>
      <c r="AF107" s="10" t="e">
        <f t="shared" si="88"/>
        <v>#VALUE!</v>
      </c>
      <c r="AG107" s="10" t="e">
        <f t="shared" si="107"/>
        <v>#VALUE!</v>
      </c>
      <c r="AI107" s="13"/>
      <c r="AK107" s="10" t="e">
        <f t="shared" si="108"/>
        <v>#VALUE!</v>
      </c>
      <c r="AL107" s="10" t="e">
        <f t="shared" si="140"/>
        <v>#VALUE!</v>
      </c>
      <c r="AM107" s="10" t="e">
        <f t="shared" si="89"/>
        <v>#VALUE!</v>
      </c>
      <c r="AN107" s="10" t="e">
        <f t="shared" si="109"/>
        <v>#VALUE!</v>
      </c>
      <c r="AO107" s="10" t="e">
        <f t="shared" si="110"/>
        <v>#VALUE!</v>
      </c>
      <c r="AP107" s="10" t="e">
        <f t="shared" si="111"/>
        <v>#VALUE!</v>
      </c>
      <c r="AQ107" s="10" t="e">
        <f t="shared" si="141"/>
        <v>#VALUE!</v>
      </c>
      <c r="AR107" s="10" t="e">
        <f t="shared" si="90"/>
        <v>#VALUE!</v>
      </c>
      <c r="AS107" s="10" t="e">
        <f t="shared" si="142"/>
        <v>#VALUE!</v>
      </c>
      <c r="AU107" s="10" t="e">
        <f t="shared" si="112"/>
        <v>#VALUE!</v>
      </c>
      <c r="AV107" s="10" t="e">
        <f t="shared" si="143"/>
        <v>#VALUE!</v>
      </c>
      <c r="AW107" s="10" t="e">
        <f t="shared" si="91"/>
        <v>#VALUE!</v>
      </c>
      <c r="AX107" s="10" t="e">
        <f t="shared" si="113"/>
        <v>#VALUE!</v>
      </c>
      <c r="AY107" s="10" t="e">
        <f t="shared" si="114"/>
        <v>#VALUE!</v>
      </c>
      <c r="AZ107" s="10" t="e">
        <f t="shared" si="115"/>
        <v>#VALUE!</v>
      </c>
      <c r="BA107" s="10" t="e">
        <f t="shared" si="144"/>
        <v>#VALUE!</v>
      </c>
      <c r="BB107" s="10" t="e">
        <f t="shared" si="92"/>
        <v>#VALUE!</v>
      </c>
      <c r="BC107" s="10" t="e">
        <f t="shared" si="145"/>
        <v>#VALUE!</v>
      </c>
      <c r="BE107" s="10" t="e">
        <f t="shared" si="116"/>
        <v>#VALUE!</v>
      </c>
      <c r="BF107" s="10" t="e">
        <f t="shared" si="146"/>
        <v>#VALUE!</v>
      </c>
      <c r="BG107" s="10" t="e">
        <f t="shared" si="93"/>
        <v>#VALUE!</v>
      </c>
      <c r="BH107" s="10" t="e">
        <f t="shared" si="117"/>
        <v>#VALUE!</v>
      </c>
      <c r="BI107" s="10" t="e">
        <f t="shared" si="118"/>
        <v>#VALUE!</v>
      </c>
      <c r="BJ107" s="10" t="e">
        <f t="shared" si="119"/>
        <v>#VALUE!</v>
      </c>
      <c r="BK107" s="10" t="e">
        <f t="shared" si="147"/>
        <v>#VALUE!</v>
      </c>
      <c r="BL107" s="10" t="e">
        <f t="shared" si="94"/>
        <v>#VALUE!</v>
      </c>
      <c r="BM107" s="10" t="e">
        <f t="shared" si="148"/>
        <v>#VALUE!</v>
      </c>
      <c r="BP107" s="10" t="e">
        <f t="shared" si="120"/>
        <v>#VALUE!</v>
      </c>
      <c r="BQ107" s="10" t="e">
        <f t="shared" si="121"/>
        <v>#VALUE!</v>
      </c>
      <c r="BR107" s="10" t="e">
        <f t="shared" si="122"/>
        <v>#VALUE!</v>
      </c>
      <c r="BS107" s="10" t="e">
        <f t="shared" si="123"/>
        <v>#VALUE!</v>
      </c>
      <c r="BT107" s="10" t="e">
        <f t="shared" si="124"/>
        <v>#VALUE!</v>
      </c>
      <c r="BU107" s="10" t="e">
        <f t="shared" si="125"/>
        <v>#VALUE!</v>
      </c>
      <c r="BW107" s="10" t="e">
        <f t="shared" si="126"/>
        <v>#VALUE!</v>
      </c>
      <c r="BX107" s="10" t="e">
        <f t="shared" si="127"/>
        <v>#VALUE!</v>
      </c>
      <c r="BY107" s="10" t="e">
        <f t="shared" si="128"/>
        <v>#VALUE!</v>
      </c>
      <c r="BZ107" s="10" t="e">
        <f t="shared" si="129"/>
        <v>#VALUE!</v>
      </c>
      <c r="CA107" s="10" t="e">
        <f t="shared" si="130"/>
        <v>#VALUE!</v>
      </c>
      <c r="CB107" s="10" t="e">
        <f t="shared" si="131"/>
        <v>#VALUE!</v>
      </c>
      <c r="CD107" s="10" t="e">
        <f>MATCH(INDEX($BP$12:$BU$12,1,MATCH(BP107,$BP$15:$BU$15,0)),结果汇总!$AI$10:$AI$13,0)</f>
        <v>#VALUE!</v>
      </c>
      <c r="CE107" s="10" t="e">
        <f>MATCH(INDEX($BP$12:$BU$12,1,MATCH(BQ107,$BP$15:$BU$15,0)),结果汇总!$AI$10:$AI$13,0)</f>
        <v>#VALUE!</v>
      </c>
      <c r="CF107" s="10" t="e">
        <f>MATCH(INDEX($BP$12:$BU$12,1,MATCH(BR107,$BP$15:$BU$15,0)),结果汇总!$AI$10:$AI$13,0)</f>
        <v>#VALUE!</v>
      </c>
      <c r="CG107" s="10" t="e">
        <f>MATCH(INDEX($BP$12:$BU$12,1,MATCH(BS107,$BP$15:$BU$15,0)),结果汇总!$AI$10:$AI$13,0)</f>
        <v>#VALUE!</v>
      </c>
      <c r="CH107" s="10" t="e">
        <f>MATCH(INDEX($BP$12:$BU$12,1,MATCH(BT107,$BP$15:$BU$15,0)),结果汇总!$AI$10:$AI$13,0)</f>
        <v>#VALUE!</v>
      </c>
      <c r="CI107" s="10" t="e">
        <f>MATCH(INDEX($BP$12:$BU$12,1,MATCH(BU107,$BP$15:$BU$15,0)),结果汇总!$AI$10:$AI$13,0)</f>
        <v>#VALUE!</v>
      </c>
      <c r="CK107" s="10">
        <f t="shared" si="132"/>
        <v>0</v>
      </c>
      <c r="CL107" s="10">
        <f t="shared" si="132"/>
        <v>0</v>
      </c>
      <c r="CM107" s="10">
        <f t="shared" si="132"/>
        <v>0</v>
      </c>
      <c r="CN107" s="10">
        <f t="shared" si="132"/>
        <v>0</v>
      </c>
      <c r="CO107" s="10" t="e">
        <f t="shared" si="133"/>
        <v>#DIV/0!</v>
      </c>
      <c r="CP107" s="10" t="e">
        <f t="shared" si="133"/>
        <v>#DIV/0!</v>
      </c>
      <c r="CQ107" s="10" t="e">
        <f t="shared" si="133"/>
        <v>#DIV/0!</v>
      </c>
      <c r="CR107" s="10" t="e">
        <f t="shared" si="133"/>
        <v>#DIV/0!</v>
      </c>
      <c r="CS107" s="10">
        <f t="shared" si="134"/>
        <v>0</v>
      </c>
      <c r="CT107" s="10">
        <f t="shared" si="134"/>
        <v>0</v>
      </c>
      <c r="CU107" s="10">
        <f t="shared" si="134"/>
        <v>0</v>
      </c>
      <c r="CV107" s="10">
        <f t="shared" si="134"/>
        <v>0</v>
      </c>
      <c r="CW107" s="10">
        <f t="shared" si="135"/>
        <v>0</v>
      </c>
      <c r="CX107" s="10">
        <f t="shared" si="135"/>
        <v>0</v>
      </c>
      <c r="CY107" s="10">
        <f t="shared" si="135"/>
        <v>0</v>
      </c>
      <c r="CZ107" s="10">
        <f t="shared" si="135"/>
        <v>0</v>
      </c>
    </row>
    <row r="108" spans="4:104" x14ac:dyDescent="0.15">
      <c r="D108" s="10">
        <v>93</v>
      </c>
      <c r="E108" s="10" t="e">
        <f t="shared" si="95"/>
        <v>#VALUE!</v>
      </c>
      <c r="F108" s="10" t="e">
        <f t="shared" si="79"/>
        <v>#VALUE!</v>
      </c>
      <c r="G108" s="10" t="e">
        <f t="shared" si="80"/>
        <v>#VALUE!</v>
      </c>
      <c r="H108" s="10" t="e">
        <f t="shared" si="96"/>
        <v>#VALUE!</v>
      </c>
      <c r="I108" s="10" t="e">
        <f t="shared" si="81"/>
        <v>#VALUE!</v>
      </c>
      <c r="J108" s="10" t="e">
        <f t="shared" si="97"/>
        <v>#VALUE!</v>
      </c>
      <c r="K108" s="10" t="e">
        <f t="shared" si="82"/>
        <v>#VALUE!</v>
      </c>
      <c r="L108" s="10" t="e">
        <f t="shared" si="83"/>
        <v>#VALUE!</v>
      </c>
      <c r="M108" s="10" t="e">
        <f t="shared" si="98"/>
        <v>#VALUE!</v>
      </c>
      <c r="O108" s="10" t="e">
        <f t="shared" si="99"/>
        <v>#VALUE!</v>
      </c>
      <c r="P108" s="10" t="e">
        <f t="shared" si="84"/>
        <v>#VALUE!</v>
      </c>
      <c r="Q108" s="10" t="e">
        <f t="shared" si="85"/>
        <v>#VALUE!</v>
      </c>
      <c r="R108" s="10" t="e">
        <f t="shared" si="100"/>
        <v>#VALUE!</v>
      </c>
      <c r="S108" s="10" t="e">
        <f t="shared" si="101"/>
        <v>#VALUE!</v>
      </c>
      <c r="T108" s="10" t="e">
        <f t="shared" si="136"/>
        <v>#VALUE!</v>
      </c>
      <c r="U108" s="10" t="e">
        <f t="shared" si="137"/>
        <v>#VALUE!</v>
      </c>
      <c r="V108" s="10" t="e">
        <f t="shared" si="86"/>
        <v>#VALUE!</v>
      </c>
      <c r="W108" s="10" t="e">
        <f t="shared" si="102"/>
        <v>#VALUE!</v>
      </c>
      <c r="Y108" s="10" t="e">
        <f t="shared" si="103"/>
        <v>#VALUE!</v>
      </c>
      <c r="Z108" s="11" t="e">
        <f t="shared" si="104"/>
        <v>#VALUE!</v>
      </c>
      <c r="AA108" s="10" t="e">
        <f t="shared" si="87"/>
        <v>#VALUE!</v>
      </c>
      <c r="AB108" s="10" t="e">
        <f t="shared" si="105"/>
        <v>#VALUE!</v>
      </c>
      <c r="AC108" s="10" t="e">
        <f t="shared" si="106"/>
        <v>#VALUE!</v>
      </c>
      <c r="AD108" s="10" t="e">
        <f t="shared" si="138"/>
        <v>#VALUE!</v>
      </c>
      <c r="AE108" s="10" t="e">
        <f t="shared" si="139"/>
        <v>#VALUE!</v>
      </c>
      <c r="AF108" s="10" t="e">
        <f t="shared" si="88"/>
        <v>#VALUE!</v>
      </c>
      <c r="AG108" s="10" t="e">
        <f t="shared" si="107"/>
        <v>#VALUE!</v>
      </c>
      <c r="AI108" s="13"/>
      <c r="AK108" s="10" t="e">
        <f t="shared" si="108"/>
        <v>#VALUE!</v>
      </c>
      <c r="AL108" s="10" t="e">
        <f t="shared" si="140"/>
        <v>#VALUE!</v>
      </c>
      <c r="AM108" s="10" t="e">
        <f t="shared" si="89"/>
        <v>#VALUE!</v>
      </c>
      <c r="AN108" s="10" t="e">
        <f t="shared" si="109"/>
        <v>#VALUE!</v>
      </c>
      <c r="AO108" s="10" t="e">
        <f t="shared" si="110"/>
        <v>#VALUE!</v>
      </c>
      <c r="AP108" s="10" t="e">
        <f t="shared" si="111"/>
        <v>#VALUE!</v>
      </c>
      <c r="AQ108" s="10" t="e">
        <f t="shared" si="141"/>
        <v>#VALUE!</v>
      </c>
      <c r="AR108" s="10" t="e">
        <f t="shared" si="90"/>
        <v>#VALUE!</v>
      </c>
      <c r="AS108" s="10" t="e">
        <f t="shared" si="142"/>
        <v>#VALUE!</v>
      </c>
      <c r="AU108" s="10" t="e">
        <f t="shared" si="112"/>
        <v>#VALUE!</v>
      </c>
      <c r="AV108" s="10" t="e">
        <f t="shared" si="143"/>
        <v>#VALUE!</v>
      </c>
      <c r="AW108" s="10" t="e">
        <f t="shared" si="91"/>
        <v>#VALUE!</v>
      </c>
      <c r="AX108" s="10" t="e">
        <f t="shared" si="113"/>
        <v>#VALUE!</v>
      </c>
      <c r="AY108" s="10" t="e">
        <f t="shared" si="114"/>
        <v>#VALUE!</v>
      </c>
      <c r="AZ108" s="10" t="e">
        <f t="shared" si="115"/>
        <v>#VALUE!</v>
      </c>
      <c r="BA108" s="10" t="e">
        <f t="shared" si="144"/>
        <v>#VALUE!</v>
      </c>
      <c r="BB108" s="10" t="e">
        <f t="shared" si="92"/>
        <v>#VALUE!</v>
      </c>
      <c r="BC108" s="10" t="e">
        <f t="shared" si="145"/>
        <v>#VALUE!</v>
      </c>
      <c r="BE108" s="10" t="e">
        <f t="shared" si="116"/>
        <v>#VALUE!</v>
      </c>
      <c r="BF108" s="10" t="e">
        <f t="shared" si="146"/>
        <v>#VALUE!</v>
      </c>
      <c r="BG108" s="10" t="e">
        <f t="shared" si="93"/>
        <v>#VALUE!</v>
      </c>
      <c r="BH108" s="10" t="e">
        <f t="shared" si="117"/>
        <v>#VALUE!</v>
      </c>
      <c r="BI108" s="10" t="e">
        <f t="shared" si="118"/>
        <v>#VALUE!</v>
      </c>
      <c r="BJ108" s="10" t="e">
        <f t="shared" si="119"/>
        <v>#VALUE!</v>
      </c>
      <c r="BK108" s="10" t="e">
        <f t="shared" si="147"/>
        <v>#VALUE!</v>
      </c>
      <c r="BL108" s="10" t="e">
        <f t="shared" si="94"/>
        <v>#VALUE!</v>
      </c>
      <c r="BM108" s="10" t="e">
        <f t="shared" si="148"/>
        <v>#VALUE!</v>
      </c>
      <c r="BP108" s="10" t="e">
        <f t="shared" si="120"/>
        <v>#VALUE!</v>
      </c>
      <c r="BQ108" s="10" t="e">
        <f t="shared" si="121"/>
        <v>#VALUE!</v>
      </c>
      <c r="BR108" s="10" t="e">
        <f t="shared" si="122"/>
        <v>#VALUE!</v>
      </c>
      <c r="BS108" s="10" t="e">
        <f t="shared" si="123"/>
        <v>#VALUE!</v>
      </c>
      <c r="BT108" s="10" t="e">
        <f t="shared" si="124"/>
        <v>#VALUE!</v>
      </c>
      <c r="BU108" s="10" t="e">
        <f t="shared" si="125"/>
        <v>#VALUE!</v>
      </c>
      <c r="BW108" s="10" t="e">
        <f t="shared" si="126"/>
        <v>#VALUE!</v>
      </c>
      <c r="BX108" s="10" t="e">
        <f t="shared" si="127"/>
        <v>#VALUE!</v>
      </c>
      <c r="BY108" s="10" t="e">
        <f t="shared" si="128"/>
        <v>#VALUE!</v>
      </c>
      <c r="BZ108" s="10" t="e">
        <f t="shared" si="129"/>
        <v>#VALUE!</v>
      </c>
      <c r="CA108" s="10" t="e">
        <f t="shared" si="130"/>
        <v>#VALUE!</v>
      </c>
      <c r="CB108" s="10" t="e">
        <f t="shared" si="131"/>
        <v>#VALUE!</v>
      </c>
      <c r="CD108" s="10" t="e">
        <f>MATCH(INDEX($BP$12:$BU$12,1,MATCH(BP108,$BP$15:$BU$15,0)),结果汇总!$AI$10:$AI$13,0)</f>
        <v>#VALUE!</v>
      </c>
      <c r="CE108" s="10" t="e">
        <f>MATCH(INDEX($BP$12:$BU$12,1,MATCH(BQ108,$BP$15:$BU$15,0)),结果汇总!$AI$10:$AI$13,0)</f>
        <v>#VALUE!</v>
      </c>
      <c r="CF108" s="10" t="e">
        <f>MATCH(INDEX($BP$12:$BU$12,1,MATCH(BR108,$BP$15:$BU$15,0)),结果汇总!$AI$10:$AI$13,0)</f>
        <v>#VALUE!</v>
      </c>
      <c r="CG108" s="10" t="e">
        <f>MATCH(INDEX($BP$12:$BU$12,1,MATCH(BS108,$BP$15:$BU$15,0)),结果汇总!$AI$10:$AI$13,0)</f>
        <v>#VALUE!</v>
      </c>
      <c r="CH108" s="10" t="e">
        <f>MATCH(INDEX($BP$12:$BU$12,1,MATCH(BT108,$BP$15:$BU$15,0)),结果汇总!$AI$10:$AI$13,0)</f>
        <v>#VALUE!</v>
      </c>
      <c r="CI108" s="10" t="e">
        <f>MATCH(INDEX($BP$12:$BU$12,1,MATCH(BU108,$BP$15:$BU$15,0)),结果汇总!$AI$10:$AI$13,0)</f>
        <v>#VALUE!</v>
      </c>
      <c r="CK108" s="10">
        <f t="shared" si="132"/>
        <v>0</v>
      </c>
      <c r="CL108" s="10">
        <f t="shared" si="132"/>
        <v>0</v>
      </c>
      <c r="CM108" s="10">
        <f t="shared" si="132"/>
        <v>0</v>
      </c>
      <c r="CN108" s="10">
        <f t="shared" si="132"/>
        <v>0</v>
      </c>
      <c r="CO108" s="10" t="e">
        <f t="shared" si="133"/>
        <v>#DIV/0!</v>
      </c>
      <c r="CP108" s="10" t="e">
        <f t="shared" si="133"/>
        <v>#DIV/0!</v>
      </c>
      <c r="CQ108" s="10" t="e">
        <f t="shared" si="133"/>
        <v>#DIV/0!</v>
      </c>
      <c r="CR108" s="10" t="e">
        <f t="shared" si="133"/>
        <v>#DIV/0!</v>
      </c>
      <c r="CS108" s="10">
        <f t="shared" si="134"/>
        <v>0</v>
      </c>
      <c r="CT108" s="10">
        <f t="shared" si="134"/>
        <v>0</v>
      </c>
      <c r="CU108" s="10">
        <f t="shared" si="134"/>
        <v>0</v>
      </c>
      <c r="CV108" s="10">
        <f t="shared" si="134"/>
        <v>0</v>
      </c>
      <c r="CW108" s="10">
        <f t="shared" si="135"/>
        <v>0</v>
      </c>
      <c r="CX108" s="10">
        <f t="shared" si="135"/>
        <v>0</v>
      </c>
      <c r="CY108" s="10">
        <f t="shared" si="135"/>
        <v>0</v>
      </c>
      <c r="CZ108" s="10">
        <f t="shared" si="135"/>
        <v>0</v>
      </c>
    </row>
    <row r="109" spans="4:104" x14ac:dyDescent="0.15">
      <c r="D109" s="10">
        <v>94</v>
      </c>
      <c r="E109" s="10" t="e">
        <f t="shared" si="95"/>
        <v>#VALUE!</v>
      </c>
      <c r="F109" s="10" t="e">
        <f t="shared" si="79"/>
        <v>#VALUE!</v>
      </c>
      <c r="G109" s="10" t="e">
        <f t="shared" si="80"/>
        <v>#VALUE!</v>
      </c>
      <c r="H109" s="10" t="e">
        <f t="shared" si="96"/>
        <v>#VALUE!</v>
      </c>
      <c r="I109" s="10" t="e">
        <f t="shared" si="81"/>
        <v>#VALUE!</v>
      </c>
      <c r="J109" s="10" t="e">
        <f t="shared" si="97"/>
        <v>#VALUE!</v>
      </c>
      <c r="K109" s="10" t="e">
        <f t="shared" si="82"/>
        <v>#VALUE!</v>
      </c>
      <c r="L109" s="10" t="e">
        <f t="shared" si="83"/>
        <v>#VALUE!</v>
      </c>
      <c r="M109" s="10" t="e">
        <f t="shared" si="98"/>
        <v>#VALUE!</v>
      </c>
      <c r="O109" s="10" t="e">
        <f t="shared" si="99"/>
        <v>#VALUE!</v>
      </c>
      <c r="P109" s="10" t="e">
        <f t="shared" si="84"/>
        <v>#VALUE!</v>
      </c>
      <c r="Q109" s="10" t="e">
        <f t="shared" si="85"/>
        <v>#VALUE!</v>
      </c>
      <c r="R109" s="10" t="e">
        <f t="shared" si="100"/>
        <v>#VALUE!</v>
      </c>
      <c r="S109" s="10" t="e">
        <f t="shared" si="101"/>
        <v>#VALUE!</v>
      </c>
      <c r="T109" s="10" t="e">
        <f t="shared" si="136"/>
        <v>#VALUE!</v>
      </c>
      <c r="U109" s="10" t="e">
        <f t="shared" si="137"/>
        <v>#VALUE!</v>
      </c>
      <c r="V109" s="10" t="e">
        <f t="shared" si="86"/>
        <v>#VALUE!</v>
      </c>
      <c r="W109" s="10" t="e">
        <f t="shared" si="102"/>
        <v>#VALUE!</v>
      </c>
      <c r="Y109" s="10" t="e">
        <f t="shared" si="103"/>
        <v>#VALUE!</v>
      </c>
      <c r="Z109" s="11" t="e">
        <f t="shared" si="104"/>
        <v>#VALUE!</v>
      </c>
      <c r="AA109" s="10" t="e">
        <f t="shared" si="87"/>
        <v>#VALUE!</v>
      </c>
      <c r="AB109" s="10" t="e">
        <f t="shared" si="105"/>
        <v>#VALUE!</v>
      </c>
      <c r="AC109" s="10" t="e">
        <f t="shared" si="106"/>
        <v>#VALUE!</v>
      </c>
      <c r="AD109" s="10" t="e">
        <f t="shared" si="138"/>
        <v>#VALUE!</v>
      </c>
      <c r="AE109" s="10" t="e">
        <f t="shared" si="139"/>
        <v>#VALUE!</v>
      </c>
      <c r="AF109" s="10" t="e">
        <f t="shared" si="88"/>
        <v>#VALUE!</v>
      </c>
      <c r="AG109" s="10" t="e">
        <f t="shared" si="107"/>
        <v>#VALUE!</v>
      </c>
      <c r="AI109" s="13"/>
      <c r="AK109" s="10" t="e">
        <f t="shared" si="108"/>
        <v>#VALUE!</v>
      </c>
      <c r="AL109" s="10" t="e">
        <f t="shared" si="140"/>
        <v>#VALUE!</v>
      </c>
      <c r="AM109" s="10" t="e">
        <f t="shared" si="89"/>
        <v>#VALUE!</v>
      </c>
      <c r="AN109" s="10" t="e">
        <f t="shared" si="109"/>
        <v>#VALUE!</v>
      </c>
      <c r="AO109" s="10" t="e">
        <f t="shared" si="110"/>
        <v>#VALUE!</v>
      </c>
      <c r="AP109" s="10" t="e">
        <f t="shared" si="111"/>
        <v>#VALUE!</v>
      </c>
      <c r="AQ109" s="10" t="e">
        <f t="shared" si="141"/>
        <v>#VALUE!</v>
      </c>
      <c r="AR109" s="10" t="e">
        <f t="shared" si="90"/>
        <v>#VALUE!</v>
      </c>
      <c r="AS109" s="10" t="e">
        <f t="shared" si="142"/>
        <v>#VALUE!</v>
      </c>
      <c r="AU109" s="10" t="e">
        <f t="shared" si="112"/>
        <v>#VALUE!</v>
      </c>
      <c r="AV109" s="10" t="e">
        <f t="shared" si="143"/>
        <v>#VALUE!</v>
      </c>
      <c r="AW109" s="10" t="e">
        <f t="shared" si="91"/>
        <v>#VALUE!</v>
      </c>
      <c r="AX109" s="10" t="e">
        <f t="shared" si="113"/>
        <v>#VALUE!</v>
      </c>
      <c r="AY109" s="10" t="e">
        <f t="shared" si="114"/>
        <v>#VALUE!</v>
      </c>
      <c r="AZ109" s="10" t="e">
        <f t="shared" si="115"/>
        <v>#VALUE!</v>
      </c>
      <c r="BA109" s="10" t="e">
        <f t="shared" si="144"/>
        <v>#VALUE!</v>
      </c>
      <c r="BB109" s="10" t="e">
        <f t="shared" si="92"/>
        <v>#VALUE!</v>
      </c>
      <c r="BC109" s="10" t="e">
        <f t="shared" si="145"/>
        <v>#VALUE!</v>
      </c>
      <c r="BE109" s="10" t="e">
        <f t="shared" si="116"/>
        <v>#VALUE!</v>
      </c>
      <c r="BF109" s="10" t="e">
        <f t="shared" si="146"/>
        <v>#VALUE!</v>
      </c>
      <c r="BG109" s="10" t="e">
        <f t="shared" si="93"/>
        <v>#VALUE!</v>
      </c>
      <c r="BH109" s="10" t="e">
        <f t="shared" si="117"/>
        <v>#VALUE!</v>
      </c>
      <c r="BI109" s="10" t="e">
        <f t="shared" si="118"/>
        <v>#VALUE!</v>
      </c>
      <c r="BJ109" s="10" t="e">
        <f t="shared" si="119"/>
        <v>#VALUE!</v>
      </c>
      <c r="BK109" s="10" t="e">
        <f t="shared" si="147"/>
        <v>#VALUE!</v>
      </c>
      <c r="BL109" s="10" t="e">
        <f t="shared" si="94"/>
        <v>#VALUE!</v>
      </c>
      <c r="BM109" s="10" t="e">
        <f t="shared" si="148"/>
        <v>#VALUE!</v>
      </c>
      <c r="BP109" s="10" t="e">
        <f t="shared" si="120"/>
        <v>#VALUE!</v>
      </c>
      <c r="BQ109" s="10" t="e">
        <f t="shared" si="121"/>
        <v>#VALUE!</v>
      </c>
      <c r="BR109" s="10" t="e">
        <f t="shared" si="122"/>
        <v>#VALUE!</v>
      </c>
      <c r="BS109" s="10" t="e">
        <f t="shared" si="123"/>
        <v>#VALUE!</v>
      </c>
      <c r="BT109" s="10" t="e">
        <f t="shared" si="124"/>
        <v>#VALUE!</v>
      </c>
      <c r="BU109" s="10" t="e">
        <f t="shared" si="125"/>
        <v>#VALUE!</v>
      </c>
      <c r="BW109" s="10" t="e">
        <f t="shared" si="126"/>
        <v>#VALUE!</v>
      </c>
      <c r="BX109" s="10" t="e">
        <f t="shared" si="127"/>
        <v>#VALUE!</v>
      </c>
      <c r="BY109" s="10" t="e">
        <f t="shared" si="128"/>
        <v>#VALUE!</v>
      </c>
      <c r="BZ109" s="10" t="e">
        <f t="shared" si="129"/>
        <v>#VALUE!</v>
      </c>
      <c r="CA109" s="10" t="e">
        <f t="shared" si="130"/>
        <v>#VALUE!</v>
      </c>
      <c r="CB109" s="10" t="e">
        <f t="shared" si="131"/>
        <v>#VALUE!</v>
      </c>
      <c r="CD109" s="10" t="e">
        <f>MATCH(INDEX($BP$12:$BU$12,1,MATCH(BP109,$BP$15:$BU$15,0)),结果汇总!$AI$10:$AI$13,0)</f>
        <v>#VALUE!</v>
      </c>
      <c r="CE109" s="10" t="e">
        <f>MATCH(INDEX($BP$12:$BU$12,1,MATCH(BQ109,$BP$15:$BU$15,0)),结果汇总!$AI$10:$AI$13,0)</f>
        <v>#VALUE!</v>
      </c>
      <c r="CF109" s="10" t="e">
        <f>MATCH(INDEX($BP$12:$BU$12,1,MATCH(BR109,$BP$15:$BU$15,0)),结果汇总!$AI$10:$AI$13,0)</f>
        <v>#VALUE!</v>
      </c>
      <c r="CG109" s="10" t="e">
        <f>MATCH(INDEX($BP$12:$BU$12,1,MATCH(BS109,$BP$15:$BU$15,0)),结果汇总!$AI$10:$AI$13,0)</f>
        <v>#VALUE!</v>
      </c>
      <c r="CH109" s="10" t="e">
        <f>MATCH(INDEX($BP$12:$BU$12,1,MATCH(BT109,$BP$15:$BU$15,0)),结果汇总!$AI$10:$AI$13,0)</f>
        <v>#VALUE!</v>
      </c>
      <c r="CI109" s="10" t="e">
        <f>MATCH(INDEX($BP$12:$BU$12,1,MATCH(BU109,$BP$15:$BU$15,0)),结果汇总!$AI$10:$AI$13,0)</f>
        <v>#VALUE!</v>
      </c>
      <c r="CK109" s="10">
        <f t="shared" si="132"/>
        <v>0</v>
      </c>
      <c r="CL109" s="10">
        <f t="shared" si="132"/>
        <v>0</v>
      </c>
      <c r="CM109" s="10">
        <f t="shared" si="132"/>
        <v>0</v>
      </c>
      <c r="CN109" s="10">
        <f t="shared" si="132"/>
        <v>0</v>
      </c>
      <c r="CO109" s="10" t="e">
        <f t="shared" si="133"/>
        <v>#DIV/0!</v>
      </c>
      <c r="CP109" s="10" t="e">
        <f t="shared" si="133"/>
        <v>#DIV/0!</v>
      </c>
      <c r="CQ109" s="10" t="e">
        <f t="shared" si="133"/>
        <v>#DIV/0!</v>
      </c>
      <c r="CR109" s="10" t="e">
        <f t="shared" si="133"/>
        <v>#DIV/0!</v>
      </c>
      <c r="CS109" s="10">
        <f t="shared" si="134"/>
        <v>0</v>
      </c>
      <c r="CT109" s="10">
        <f t="shared" si="134"/>
        <v>0</v>
      </c>
      <c r="CU109" s="10">
        <f t="shared" si="134"/>
        <v>0</v>
      </c>
      <c r="CV109" s="10">
        <f t="shared" si="134"/>
        <v>0</v>
      </c>
      <c r="CW109" s="10">
        <f t="shared" si="135"/>
        <v>0</v>
      </c>
      <c r="CX109" s="10">
        <f t="shared" si="135"/>
        <v>0</v>
      </c>
      <c r="CY109" s="10">
        <f t="shared" si="135"/>
        <v>0</v>
      </c>
      <c r="CZ109" s="10">
        <f t="shared" si="135"/>
        <v>0</v>
      </c>
    </row>
    <row r="110" spans="4:104" x14ac:dyDescent="0.15">
      <c r="D110" s="10">
        <v>95</v>
      </c>
      <c r="E110" s="10" t="e">
        <f t="shared" si="95"/>
        <v>#VALUE!</v>
      </c>
      <c r="F110" s="10" t="e">
        <f t="shared" si="79"/>
        <v>#VALUE!</v>
      </c>
      <c r="G110" s="10" t="e">
        <f t="shared" si="80"/>
        <v>#VALUE!</v>
      </c>
      <c r="H110" s="10" t="e">
        <f t="shared" si="96"/>
        <v>#VALUE!</v>
      </c>
      <c r="I110" s="10" t="e">
        <f t="shared" si="81"/>
        <v>#VALUE!</v>
      </c>
      <c r="J110" s="10" t="e">
        <f t="shared" si="97"/>
        <v>#VALUE!</v>
      </c>
      <c r="K110" s="10" t="e">
        <f t="shared" si="82"/>
        <v>#VALUE!</v>
      </c>
      <c r="L110" s="10" t="e">
        <f t="shared" si="83"/>
        <v>#VALUE!</v>
      </c>
      <c r="M110" s="10" t="e">
        <f t="shared" si="98"/>
        <v>#VALUE!</v>
      </c>
      <c r="O110" s="10" t="e">
        <f t="shared" si="99"/>
        <v>#VALUE!</v>
      </c>
      <c r="P110" s="10" t="e">
        <f t="shared" si="84"/>
        <v>#VALUE!</v>
      </c>
      <c r="Q110" s="10" t="e">
        <f t="shared" si="85"/>
        <v>#VALUE!</v>
      </c>
      <c r="R110" s="10" t="e">
        <f t="shared" si="100"/>
        <v>#VALUE!</v>
      </c>
      <c r="S110" s="10" t="e">
        <f t="shared" si="101"/>
        <v>#VALUE!</v>
      </c>
      <c r="T110" s="10" t="e">
        <f t="shared" si="136"/>
        <v>#VALUE!</v>
      </c>
      <c r="U110" s="10" t="e">
        <f t="shared" si="137"/>
        <v>#VALUE!</v>
      </c>
      <c r="V110" s="10" t="e">
        <f t="shared" si="86"/>
        <v>#VALUE!</v>
      </c>
      <c r="W110" s="10" t="e">
        <f t="shared" si="102"/>
        <v>#VALUE!</v>
      </c>
      <c r="Y110" s="10" t="e">
        <f t="shared" si="103"/>
        <v>#VALUE!</v>
      </c>
      <c r="Z110" s="11" t="e">
        <f t="shared" si="104"/>
        <v>#VALUE!</v>
      </c>
      <c r="AA110" s="10" t="e">
        <f t="shared" si="87"/>
        <v>#VALUE!</v>
      </c>
      <c r="AB110" s="10" t="e">
        <f t="shared" si="105"/>
        <v>#VALUE!</v>
      </c>
      <c r="AC110" s="10" t="e">
        <f t="shared" si="106"/>
        <v>#VALUE!</v>
      </c>
      <c r="AD110" s="10" t="e">
        <f t="shared" si="138"/>
        <v>#VALUE!</v>
      </c>
      <c r="AE110" s="10" t="e">
        <f t="shared" si="139"/>
        <v>#VALUE!</v>
      </c>
      <c r="AF110" s="10" t="e">
        <f t="shared" si="88"/>
        <v>#VALUE!</v>
      </c>
      <c r="AG110" s="10" t="e">
        <f t="shared" si="107"/>
        <v>#VALUE!</v>
      </c>
      <c r="AI110" s="13"/>
      <c r="AK110" s="10" t="e">
        <f t="shared" si="108"/>
        <v>#VALUE!</v>
      </c>
      <c r="AL110" s="10" t="e">
        <f t="shared" si="140"/>
        <v>#VALUE!</v>
      </c>
      <c r="AM110" s="10" t="e">
        <f t="shared" si="89"/>
        <v>#VALUE!</v>
      </c>
      <c r="AN110" s="10" t="e">
        <f t="shared" si="109"/>
        <v>#VALUE!</v>
      </c>
      <c r="AO110" s="10" t="e">
        <f t="shared" si="110"/>
        <v>#VALUE!</v>
      </c>
      <c r="AP110" s="10" t="e">
        <f t="shared" si="111"/>
        <v>#VALUE!</v>
      </c>
      <c r="AQ110" s="10" t="e">
        <f t="shared" si="141"/>
        <v>#VALUE!</v>
      </c>
      <c r="AR110" s="10" t="e">
        <f t="shared" si="90"/>
        <v>#VALUE!</v>
      </c>
      <c r="AS110" s="10" t="e">
        <f t="shared" si="142"/>
        <v>#VALUE!</v>
      </c>
      <c r="AU110" s="10" t="e">
        <f t="shared" si="112"/>
        <v>#VALUE!</v>
      </c>
      <c r="AV110" s="10" t="e">
        <f t="shared" si="143"/>
        <v>#VALUE!</v>
      </c>
      <c r="AW110" s="10" t="e">
        <f t="shared" si="91"/>
        <v>#VALUE!</v>
      </c>
      <c r="AX110" s="10" t="e">
        <f t="shared" si="113"/>
        <v>#VALUE!</v>
      </c>
      <c r="AY110" s="10" t="e">
        <f t="shared" si="114"/>
        <v>#VALUE!</v>
      </c>
      <c r="AZ110" s="10" t="e">
        <f t="shared" si="115"/>
        <v>#VALUE!</v>
      </c>
      <c r="BA110" s="10" t="e">
        <f t="shared" si="144"/>
        <v>#VALUE!</v>
      </c>
      <c r="BB110" s="10" t="e">
        <f t="shared" si="92"/>
        <v>#VALUE!</v>
      </c>
      <c r="BC110" s="10" t="e">
        <f t="shared" si="145"/>
        <v>#VALUE!</v>
      </c>
      <c r="BE110" s="10" t="e">
        <f t="shared" si="116"/>
        <v>#VALUE!</v>
      </c>
      <c r="BF110" s="10" t="e">
        <f t="shared" si="146"/>
        <v>#VALUE!</v>
      </c>
      <c r="BG110" s="10" t="e">
        <f t="shared" si="93"/>
        <v>#VALUE!</v>
      </c>
      <c r="BH110" s="10" t="e">
        <f t="shared" si="117"/>
        <v>#VALUE!</v>
      </c>
      <c r="BI110" s="10" t="e">
        <f t="shared" si="118"/>
        <v>#VALUE!</v>
      </c>
      <c r="BJ110" s="10" t="e">
        <f t="shared" si="119"/>
        <v>#VALUE!</v>
      </c>
      <c r="BK110" s="10" t="e">
        <f t="shared" si="147"/>
        <v>#VALUE!</v>
      </c>
      <c r="BL110" s="10" t="e">
        <f t="shared" si="94"/>
        <v>#VALUE!</v>
      </c>
      <c r="BM110" s="10" t="e">
        <f t="shared" si="148"/>
        <v>#VALUE!</v>
      </c>
      <c r="BP110" s="10" t="e">
        <f t="shared" si="120"/>
        <v>#VALUE!</v>
      </c>
      <c r="BQ110" s="10" t="e">
        <f t="shared" si="121"/>
        <v>#VALUE!</v>
      </c>
      <c r="BR110" s="10" t="e">
        <f t="shared" si="122"/>
        <v>#VALUE!</v>
      </c>
      <c r="BS110" s="10" t="e">
        <f t="shared" si="123"/>
        <v>#VALUE!</v>
      </c>
      <c r="BT110" s="10" t="e">
        <f t="shared" si="124"/>
        <v>#VALUE!</v>
      </c>
      <c r="BU110" s="10" t="e">
        <f t="shared" si="125"/>
        <v>#VALUE!</v>
      </c>
      <c r="BW110" s="10" t="e">
        <f t="shared" si="126"/>
        <v>#VALUE!</v>
      </c>
      <c r="BX110" s="10" t="e">
        <f t="shared" si="127"/>
        <v>#VALUE!</v>
      </c>
      <c r="BY110" s="10" t="e">
        <f t="shared" si="128"/>
        <v>#VALUE!</v>
      </c>
      <c r="BZ110" s="10" t="e">
        <f t="shared" si="129"/>
        <v>#VALUE!</v>
      </c>
      <c r="CA110" s="10" t="e">
        <f t="shared" si="130"/>
        <v>#VALUE!</v>
      </c>
      <c r="CB110" s="10" t="e">
        <f t="shared" si="131"/>
        <v>#VALUE!</v>
      </c>
      <c r="CD110" s="10" t="e">
        <f>MATCH(INDEX($BP$12:$BU$12,1,MATCH(BP110,$BP$15:$BU$15,0)),结果汇总!$AI$10:$AI$13,0)</f>
        <v>#VALUE!</v>
      </c>
      <c r="CE110" s="10" t="e">
        <f>MATCH(INDEX($BP$12:$BU$12,1,MATCH(BQ110,$BP$15:$BU$15,0)),结果汇总!$AI$10:$AI$13,0)</f>
        <v>#VALUE!</v>
      </c>
      <c r="CF110" s="10" t="e">
        <f>MATCH(INDEX($BP$12:$BU$12,1,MATCH(BR110,$BP$15:$BU$15,0)),结果汇总!$AI$10:$AI$13,0)</f>
        <v>#VALUE!</v>
      </c>
      <c r="CG110" s="10" t="e">
        <f>MATCH(INDEX($BP$12:$BU$12,1,MATCH(BS110,$BP$15:$BU$15,0)),结果汇总!$AI$10:$AI$13,0)</f>
        <v>#VALUE!</v>
      </c>
      <c r="CH110" s="10" t="e">
        <f>MATCH(INDEX($BP$12:$BU$12,1,MATCH(BT110,$BP$15:$BU$15,0)),结果汇总!$AI$10:$AI$13,0)</f>
        <v>#VALUE!</v>
      </c>
      <c r="CI110" s="10" t="e">
        <f>MATCH(INDEX($BP$12:$BU$12,1,MATCH(BU110,$BP$15:$BU$15,0)),结果汇总!$AI$10:$AI$13,0)</f>
        <v>#VALUE!</v>
      </c>
      <c r="CK110" s="10">
        <f t="shared" si="132"/>
        <v>0</v>
      </c>
      <c r="CL110" s="10">
        <f t="shared" si="132"/>
        <v>0</v>
      </c>
      <c r="CM110" s="10">
        <f t="shared" si="132"/>
        <v>0</v>
      </c>
      <c r="CN110" s="10">
        <f t="shared" si="132"/>
        <v>0</v>
      </c>
      <c r="CO110" s="10" t="e">
        <f t="shared" si="133"/>
        <v>#DIV/0!</v>
      </c>
      <c r="CP110" s="10" t="e">
        <f t="shared" si="133"/>
        <v>#DIV/0!</v>
      </c>
      <c r="CQ110" s="10" t="e">
        <f t="shared" si="133"/>
        <v>#DIV/0!</v>
      </c>
      <c r="CR110" s="10" t="e">
        <f t="shared" si="133"/>
        <v>#DIV/0!</v>
      </c>
      <c r="CS110" s="10">
        <f t="shared" si="134"/>
        <v>0</v>
      </c>
      <c r="CT110" s="10">
        <f t="shared" si="134"/>
        <v>0</v>
      </c>
      <c r="CU110" s="10">
        <f t="shared" si="134"/>
        <v>0</v>
      </c>
      <c r="CV110" s="10">
        <f t="shared" si="134"/>
        <v>0</v>
      </c>
      <c r="CW110" s="10">
        <f t="shared" si="135"/>
        <v>0</v>
      </c>
      <c r="CX110" s="10">
        <f t="shared" si="135"/>
        <v>0</v>
      </c>
      <c r="CY110" s="10">
        <f t="shared" si="135"/>
        <v>0</v>
      </c>
      <c r="CZ110" s="10">
        <f t="shared" si="135"/>
        <v>0</v>
      </c>
    </row>
    <row r="111" spans="4:104" x14ac:dyDescent="0.15">
      <c r="D111" s="10">
        <v>96</v>
      </c>
      <c r="E111" s="10" t="e">
        <f t="shared" si="95"/>
        <v>#VALUE!</v>
      </c>
      <c r="F111" s="10" t="e">
        <f t="shared" si="79"/>
        <v>#VALUE!</v>
      </c>
      <c r="G111" s="10" t="e">
        <f t="shared" si="80"/>
        <v>#VALUE!</v>
      </c>
      <c r="H111" s="10" t="e">
        <f t="shared" si="96"/>
        <v>#VALUE!</v>
      </c>
      <c r="I111" s="10" t="e">
        <f t="shared" si="81"/>
        <v>#VALUE!</v>
      </c>
      <c r="J111" s="10" t="e">
        <f t="shared" si="97"/>
        <v>#VALUE!</v>
      </c>
      <c r="K111" s="10" t="e">
        <f t="shared" si="82"/>
        <v>#VALUE!</v>
      </c>
      <c r="L111" s="10" t="e">
        <f t="shared" si="83"/>
        <v>#VALUE!</v>
      </c>
      <c r="M111" s="10" t="e">
        <f t="shared" si="98"/>
        <v>#VALUE!</v>
      </c>
      <c r="O111" s="10" t="e">
        <f t="shared" si="99"/>
        <v>#VALUE!</v>
      </c>
      <c r="P111" s="10" t="e">
        <f t="shared" si="84"/>
        <v>#VALUE!</v>
      </c>
      <c r="Q111" s="10" t="e">
        <f t="shared" si="85"/>
        <v>#VALUE!</v>
      </c>
      <c r="R111" s="10" t="e">
        <f t="shared" si="100"/>
        <v>#VALUE!</v>
      </c>
      <c r="S111" s="10" t="e">
        <f t="shared" si="101"/>
        <v>#VALUE!</v>
      </c>
      <c r="T111" s="10" t="e">
        <f t="shared" si="136"/>
        <v>#VALUE!</v>
      </c>
      <c r="U111" s="10" t="e">
        <f t="shared" si="137"/>
        <v>#VALUE!</v>
      </c>
      <c r="V111" s="10" t="e">
        <f t="shared" si="86"/>
        <v>#VALUE!</v>
      </c>
      <c r="W111" s="10" t="e">
        <f t="shared" si="102"/>
        <v>#VALUE!</v>
      </c>
      <c r="Y111" s="10" t="e">
        <f t="shared" si="103"/>
        <v>#VALUE!</v>
      </c>
      <c r="Z111" s="11" t="e">
        <f t="shared" si="104"/>
        <v>#VALUE!</v>
      </c>
      <c r="AA111" s="10" t="e">
        <f t="shared" si="87"/>
        <v>#VALUE!</v>
      </c>
      <c r="AB111" s="10" t="e">
        <f t="shared" si="105"/>
        <v>#VALUE!</v>
      </c>
      <c r="AC111" s="10" t="e">
        <f t="shared" si="106"/>
        <v>#VALUE!</v>
      </c>
      <c r="AD111" s="10" t="e">
        <f t="shared" si="138"/>
        <v>#VALUE!</v>
      </c>
      <c r="AE111" s="10" t="e">
        <f t="shared" si="139"/>
        <v>#VALUE!</v>
      </c>
      <c r="AF111" s="10" t="e">
        <f t="shared" si="88"/>
        <v>#VALUE!</v>
      </c>
      <c r="AG111" s="10" t="e">
        <f t="shared" si="107"/>
        <v>#VALUE!</v>
      </c>
      <c r="AI111" s="13"/>
      <c r="AK111" s="10" t="e">
        <f t="shared" si="108"/>
        <v>#VALUE!</v>
      </c>
      <c r="AL111" s="10" t="e">
        <f t="shared" si="140"/>
        <v>#VALUE!</v>
      </c>
      <c r="AM111" s="10" t="e">
        <f t="shared" si="89"/>
        <v>#VALUE!</v>
      </c>
      <c r="AN111" s="10" t="e">
        <f t="shared" si="109"/>
        <v>#VALUE!</v>
      </c>
      <c r="AO111" s="10" t="e">
        <f t="shared" si="110"/>
        <v>#VALUE!</v>
      </c>
      <c r="AP111" s="10" t="e">
        <f t="shared" si="111"/>
        <v>#VALUE!</v>
      </c>
      <c r="AQ111" s="10" t="e">
        <f t="shared" si="141"/>
        <v>#VALUE!</v>
      </c>
      <c r="AR111" s="10" t="e">
        <f t="shared" si="90"/>
        <v>#VALUE!</v>
      </c>
      <c r="AS111" s="10" t="e">
        <f t="shared" si="142"/>
        <v>#VALUE!</v>
      </c>
      <c r="AU111" s="10" t="e">
        <f t="shared" si="112"/>
        <v>#VALUE!</v>
      </c>
      <c r="AV111" s="10" t="e">
        <f t="shared" si="143"/>
        <v>#VALUE!</v>
      </c>
      <c r="AW111" s="10" t="e">
        <f t="shared" si="91"/>
        <v>#VALUE!</v>
      </c>
      <c r="AX111" s="10" t="e">
        <f t="shared" si="113"/>
        <v>#VALUE!</v>
      </c>
      <c r="AY111" s="10" t="e">
        <f t="shared" si="114"/>
        <v>#VALUE!</v>
      </c>
      <c r="AZ111" s="10" t="e">
        <f t="shared" si="115"/>
        <v>#VALUE!</v>
      </c>
      <c r="BA111" s="10" t="e">
        <f t="shared" si="144"/>
        <v>#VALUE!</v>
      </c>
      <c r="BB111" s="10" t="e">
        <f t="shared" si="92"/>
        <v>#VALUE!</v>
      </c>
      <c r="BC111" s="10" t="e">
        <f t="shared" si="145"/>
        <v>#VALUE!</v>
      </c>
      <c r="BE111" s="10" t="e">
        <f t="shared" si="116"/>
        <v>#VALUE!</v>
      </c>
      <c r="BF111" s="10" t="e">
        <f t="shared" si="146"/>
        <v>#VALUE!</v>
      </c>
      <c r="BG111" s="10" t="e">
        <f t="shared" si="93"/>
        <v>#VALUE!</v>
      </c>
      <c r="BH111" s="10" t="e">
        <f t="shared" si="117"/>
        <v>#VALUE!</v>
      </c>
      <c r="BI111" s="10" t="e">
        <f t="shared" si="118"/>
        <v>#VALUE!</v>
      </c>
      <c r="BJ111" s="10" t="e">
        <f t="shared" si="119"/>
        <v>#VALUE!</v>
      </c>
      <c r="BK111" s="10" t="e">
        <f t="shared" si="147"/>
        <v>#VALUE!</v>
      </c>
      <c r="BL111" s="10" t="e">
        <f t="shared" si="94"/>
        <v>#VALUE!</v>
      </c>
      <c r="BM111" s="10" t="e">
        <f t="shared" si="148"/>
        <v>#VALUE!</v>
      </c>
      <c r="BP111" s="10" t="e">
        <f t="shared" si="120"/>
        <v>#VALUE!</v>
      </c>
      <c r="BQ111" s="10" t="e">
        <f t="shared" si="121"/>
        <v>#VALUE!</v>
      </c>
      <c r="BR111" s="10" t="e">
        <f t="shared" si="122"/>
        <v>#VALUE!</v>
      </c>
      <c r="BS111" s="10" t="e">
        <f t="shared" si="123"/>
        <v>#VALUE!</v>
      </c>
      <c r="BT111" s="10" t="e">
        <f t="shared" si="124"/>
        <v>#VALUE!</v>
      </c>
      <c r="BU111" s="10" t="e">
        <f t="shared" si="125"/>
        <v>#VALUE!</v>
      </c>
      <c r="BW111" s="10" t="e">
        <f t="shared" si="126"/>
        <v>#VALUE!</v>
      </c>
      <c r="BX111" s="10" t="e">
        <f t="shared" si="127"/>
        <v>#VALUE!</v>
      </c>
      <c r="BY111" s="10" t="e">
        <f t="shared" si="128"/>
        <v>#VALUE!</v>
      </c>
      <c r="BZ111" s="10" t="e">
        <f t="shared" si="129"/>
        <v>#VALUE!</v>
      </c>
      <c r="CA111" s="10" t="e">
        <f t="shared" si="130"/>
        <v>#VALUE!</v>
      </c>
      <c r="CB111" s="10" t="e">
        <f t="shared" si="131"/>
        <v>#VALUE!</v>
      </c>
      <c r="CD111" s="10" t="e">
        <f>MATCH(INDEX($BP$12:$BU$12,1,MATCH(BP111,$BP$15:$BU$15,0)),结果汇总!$AI$10:$AI$13,0)</f>
        <v>#VALUE!</v>
      </c>
      <c r="CE111" s="10" t="e">
        <f>MATCH(INDEX($BP$12:$BU$12,1,MATCH(BQ111,$BP$15:$BU$15,0)),结果汇总!$AI$10:$AI$13,0)</f>
        <v>#VALUE!</v>
      </c>
      <c r="CF111" s="10" t="e">
        <f>MATCH(INDEX($BP$12:$BU$12,1,MATCH(BR111,$BP$15:$BU$15,0)),结果汇总!$AI$10:$AI$13,0)</f>
        <v>#VALUE!</v>
      </c>
      <c r="CG111" s="10" t="e">
        <f>MATCH(INDEX($BP$12:$BU$12,1,MATCH(BS111,$BP$15:$BU$15,0)),结果汇总!$AI$10:$AI$13,0)</f>
        <v>#VALUE!</v>
      </c>
      <c r="CH111" s="10" t="e">
        <f>MATCH(INDEX($BP$12:$BU$12,1,MATCH(BT111,$BP$15:$BU$15,0)),结果汇总!$AI$10:$AI$13,0)</f>
        <v>#VALUE!</v>
      </c>
      <c r="CI111" s="10" t="e">
        <f>MATCH(INDEX($BP$12:$BU$12,1,MATCH(BU111,$BP$15:$BU$15,0)),结果汇总!$AI$10:$AI$13,0)</f>
        <v>#VALUE!</v>
      </c>
      <c r="CK111" s="10">
        <f t="shared" si="132"/>
        <v>0</v>
      </c>
      <c r="CL111" s="10">
        <f t="shared" si="132"/>
        <v>0</v>
      </c>
      <c r="CM111" s="10">
        <f t="shared" si="132"/>
        <v>0</v>
      </c>
      <c r="CN111" s="10">
        <f t="shared" si="132"/>
        <v>0</v>
      </c>
      <c r="CO111" s="10" t="e">
        <f t="shared" si="133"/>
        <v>#DIV/0!</v>
      </c>
      <c r="CP111" s="10" t="e">
        <f t="shared" si="133"/>
        <v>#DIV/0!</v>
      </c>
      <c r="CQ111" s="10" t="e">
        <f t="shared" si="133"/>
        <v>#DIV/0!</v>
      </c>
      <c r="CR111" s="10" t="e">
        <f t="shared" si="133"/>
        <v>#DIV/0!</v>
      </c>
      <c r="CS111" s="10">
        <f t="shared" si="134"/>
        <v>0</v>
      </c>
      <c r="CT111" s="10">
        <f t="shared" si="134"/>
        <v>0</v>
      </c>
      <c r="CU111" s="10">
        <f t="shared" si="134"/>
        <v>0</v>
      </c>
      <c r="CV111" s="10">
        <f t="shared" si="134"/>
        <v>0</v>
      </c>
      <c r="CW111" s="10">
        <f t="shared" si="135"/>
        <v>0</v>
      </c>
      <c r="CX111" s="10">
        <f t="shared" si="135"/>
        <v>0</v>
      </c>
      <c r="CY111" s="10">
        <f t="shared" si="135"/>
        <v>0</v>
      </c>
      <c r="CZ111" s="10">
        <f t="shared" si="135"/>
        <v>0</v>
      </c>
    </row>
    <row r="112" spans="4:104" x14ac:dyDescent="0.15">
      <c r="D112" s="10">
        <v>97</v>
      </c>
      <c r="E112" s="10" t="e">
        <f t="shared" si="95"/>
        <v>#VALUE!</v>
      </c>
      <c r="F112" s="10" t="e">
        <f t="shared" si="79"/>
        <v>#VALUE!</v>
      </c>
      <c r="G112" s="10" t="e">
        <f t="shared" si="80"/>
        <v>#VALUE!</v>
      </c>
      <c r="H112" s="10" t="e">
        <f t="shared" si="96"/>
        <v>#VALUE!</v>
      </c>
      <c r="I112" s="10" t="e">
        <f t="shared" si="81"/>
        <v>#VALUE!</v>
      </c>
      <c r="J112" s="10" t="e">
        <f t="shared" si="97"/>
        <v>#VALUE!</v>
      </c>
      <c r="K112" s="10" t="e">
        <f t="shared" si="82"/>
        <v>#VALUE!</v>
      </c>
      <c r="L112" s="10" t="e">
        <f t="shared" si="83"/>
        <v>#VALUE!</v>
      </c>
      <c r="M112" s="10" t="e">
        <f t="shared" si="98"/>
        <v>#VALUE!</v>
      </c>
      <c r="O112" s="10" t="e">
        <f t="shared" si="99"/>
        <v>#VALUE!</v>
      </c>
      <c r="P112" s="10" t="e">
        <f t="shared" si="84"/>
        <v>#VALUE!</v>
      </c>
      <c r="Q112" s="10" t="e">
        <f t="shared" si="85"/>
        <v>#VALUE!</v>
      </c>
      <c r="R112" s="10" t="e">
        <f t="shared" si="100"/>
        <v>#VALUE!</v>
      </c>
      <c r="S112" s="10" t="e">
        <f t="shared" si="101"/>
        <v>#VALUE!</v>
      </c>
      <c r="T112" s="10" t="e">
        <f t="shared" si="136"/>
        <v>#VALUE!</v>
      </c>
      <c r="U112" s="10" t="e">
        <f t="shared" si="137"/>
        <v>#VALUE!</v>
      </c>
      <c r="V112" s="10" t="e">
        <f t="shared" si="86"/>
        <v>#VALUE!</v>
      </c>
      <c r="W112" s="10" t="e">
        <f t="shared" si="102"/>
        <v>#VALUE!</v>
      </c>
      <c r="Y112" s="10" t="e">
        <f t="shared" si="103"/>
        <v>#VALUE!</v>
      </c>
      <c r="Z112" s="11" t="e">
        <f t="shared" si="104"/>
        <v>#VALUE!</v>
      </c>
      <c r="AA112" s="10" t="e">
        <f t="shared" si="87"/>
        <v>#VALUE!</v>
      </c>
      <c r="AB112" s="10" t="e">
        <f t="shared" si="105"/>
        <v>#VALUE!</v>
      </c>
      <c r="AC112" s="10" t="e">
        <f t="shared" si="106"/>
        <v>#VALUE!</v>
      </c>
      <c r="AD112" s="10" t="e">
        <f t="shared" si="138"/>
        <v>#VALUE!</v>
      </c>
      <c r="AE112" s="10" t="e">
        <f t="shared" si="139"/>
        <v>#VALUE!</v>
      </c>
      <c r="AF112" s="10" t="e">
        <f t="shared" si="88"/>
        <v>#VALUE!</v>
      </c>
      <c r="AG112" s="10" t="e">
        <f t="shared" si="107"/>
        <v>#VALUE!</v>
      </c>
      <c r="AI112" s="13"/>
      <c r="AK112" s="10" t="e">
        <f t="shared" si="108"/>
        <v>#VALUE!</v>
      </c>
      <c r="AL112" s="10" t="e">
        <f t="shared" si="140"/>
        <v>#VALUE!</v>
      </c>
      <c r="AM112" s="10" t="e">
        <f t="shared" si="89"/>
        <v>#VALUE!</v>
      </c>
      <c r="AN112" s="10" t="e">
        <f t="shared" si="109"/>
        <v>#VALUE!</v>
      </c>
      <c r="AO112" s="10" t="e">
        <f t="shared" si="110"/>
        <v>#VALUE!</v>
      </c>
      <c r="AP112" s="10" t="e">
        <f t="shared" si="111"/>
        <v>#VALUE!</v>
      </c>
      <c r="AQ112" s="10" t="e">
        <f t="shared" si="141"/>
        <v>#VALUE!</v>
      </c>
      <c r="AR112" s="10" t="e">
        <f t="shared" si="90"/>
        <v>#VALUE!</v>
      </c>
      <c r="AS112" s="10" t="e">
        <f t="shared" si="142"/>
        <v>#VALUE!</v>
      </c>
      <c r="AU112" s="10" t="e">
        <f t="shared" si="112"/>
        <v>#VALUE!</v>
      </c>
      <c r="AV112" s="10" t="e">
        <f t="shared" si="143"/>
        <v>#VALUE!</v>
      </c>
      <c r="AW112" s="10" t="e">
        <f t="shared" si="91"/>
        <v>#VALUE!</v>
      </c>
      <c r="AX112" s="10" t="e">
        <f t="shared" si="113"/>
        <v>#VALUE!</v>
      </c>
      <c r="AY112" s="10" t="e">
        <f t="shared" si="114"/>
        <v>#VALUE!</v>
      </c>
      <c r="AZ112" s="10" t="e">
        <f t="shared" si="115"/>
        <v>#VALUE!</v>
      </c>
      <c r="BA112" s="10" t="e">
        <f t="shared" si="144"/>
        <v>#VALUE!</v>
      </c>
      <c r="BB112" s="10" t="e">
        <f t="shared" si="92"/>
        <v>#VALUE!</v>
      </c>
      <c r="BC112" s="10" t="e">
        <f t="shared" si="145"/>
        <v>#VALUE!</v>
      </c>
      <c r="BE112" s="10" t="e">
        <f t="shared" si="116"/>
        <v>#VALUE!</v>
      </c>
      <c r="BF112" s="10" t="e">
        <f t="shared" si="146"/>
        <v>#VALUE!</v>
      </c>
      <c r="BG112" s="10" t="e">
        <f t="shared" si="93"/>
        <v>#VALUE!</v>
      </c>
      <c r="BH112" s="10" t="e">
        <f t="shared" si="117"/>
        <v>#VALUE!</v>
      </c>
      <c r="BI112" s="10" t="e">
        <f t="shared" si="118"/>
        <v>#VALUE!</v>
      </c>
      <c r="BJ112" s="10" t="e">
        <f t="shared" si="119"/>
        <v>#VALUE!</v>
      </c>
      <c r="BK112" s="10" t="e">
        <f t="shared" si="147"/>
        <v>#VALUE!</v>
      </c>
      <c r="BL112" s="10" t="e">
        <f t="shared" si="94"/>
        <v>#VALUE!</v>
      </c>
      <c r="BM112" s="10" t="e">
        <f t="shared" si="148"/>
        <v>#VALUE!</v>
      </c>
      <c r="BP112" s="10" t="e">
        <f t="shared" si="120"/>
        <v>#VALUE!</v>
      </c>
      <c r="BQ112" s="10" t="e">
        <f t="shared" si="121"/>
        <v>#VALUE!</v>
      </c>
      <c r="BR112" s="10" t="e">
        <f t="shared" si="122"/>
        <v>#VALUE!</v>
      </c>
      <c r="BS112" s="10" t="e">
        <f t="shared" si="123"/>
        <v>#VALUE!</v>
      </c>
      <c r="BT112" s="10" t="e">
        <f t="shared" si="124"/>
        <v>#VALUE!</v>
      </c>
      <c r="BU112" s="10" t="e">
        <f t="shared" si="125"/>
        <v>#VALUE!</v>
      </c>
      <c r="BW112" s="10" t="e">
        <f t="shared" si="126"/>
        <v>#VALUE!</v>
      </c>
      <c r="BX112" s="10" t="e">
        <f t="shared" si="127"/>
        <v>#VALUE!</v>
      </c>
      <c r="BY112" s="10" t="e">
        <f t="shared" si="128"/>
        <v>#VALUE!</v>
      </c>
      <c r="BZ112" s="10" t="e">
        <f t="shared" si="129"/>
        <v>#VALUE!</v>
      </c>
      <c r="CA112" s="10" t="e">
        <f t="shared" si="130"/>
        <v>#VALUE!</v>
      </c>
      <c r="CB112" s="10" t="e">
        <f t="shared" si="131"/>
        <v>#VALUE!</v>
      </c>
      <c r="CD112" s="10" t="e">
        <f>MATCH(INDEX($BP$12:$BU$12,1,MATCH(BP112,$BP$15:$BU$15,0)),结果汇总!$AI$10:$AI$13,0)</f>
        <v>#VALUE!</v>
      </c>
      <c r="CE112" s="10" t="e">
        <f>MATCH(INDEX($BP$12:$BU$12,1,MATCH(BQ112,$BP$15:$BU$15,0)),结果汇总!$AI$10:$AI$13,0)</f>
        <v>#VALUE!</v>
      </c>
      <c r="CF112" s="10" t="e">
        <f>MATCH(INDEX($BP$12:$BU$12,1,MATCH(BR112,$BP$15:$BU$15,0)),结果汇总!$AI$10:$AI$13,0)</f>
        <v>#VALUE!</v>
      </c>
      <c r="CG112" s="10" t="e">
        <f>MATCH(INDEX($BP$12:$BU$12,1,MATCH(BS112,$BP$15:$BU$15,0)),结果汇总!$AI$10:$AI$13,0)</f>
        <v>#VALUE!</v>
      </c>
      <c r="CH112" s="10" t="e">
        <f>MATCH(INDEX($BP$12:$BU$12,1,MATCH(BT112,$BP$15:$BU$15,0)),结果汇总!$AI$10:$AI$13,0)</f>
        <v>#VALUE!</v>
      </c>
      <c r="CI112" s="10" t="e">
        <f>MATCH(INDEX($BP$12:$BU$12,1,MATCH(BU112,$BP$15:$BU$15,0)),结果汇总!$AI$10:$AI$13,0)</f>
        <v>#VALUE!</v>
      </c>
      <c r="CK112" s="10">
        <f t="shared" si="132"/>
        <v>0</v>
      </c>
      <c r="CL112" s="10">
        <f t="shared" si="132"/>
        <v>0</v>
      </c>
      <c r="CM112" s="10">
        <f t="shared" si="132"/>
        <v>0</v>
      </c>
      <c r="CN112" s="10">
        <f t="shared" si="132"/>
        <v>0</v>
      </c>
      <c r="CO112" s="10" t="e">
        <f t="shared" si="133"/>
        <v>#DIV/0!</v>
      </c>
      <c r="CP112" s="10" t="e">
        <f t="shared" si="133"/>
        <v>#DIV/0!</v>
      </c>
      <c r="CQ112" s="10" t="e">
        <f t="shared" si="133"/>
        <v>#DIV/0!</v>
      </c>
      <c r="CR112" s="10" t="e">
        <f t="shared" si="133"/>
        <v>#DIV/0!</v>
      </c>
      <c r="CS112" s="10">
        <f t="shared" si="134"/>
        <v>0</v>
      </c>
      <c r="CT112" s="10">
        <f t="shared" si="134"/>
        <v>0</v>
      </c>
      <c r="CU112" s="10">
        <f t="shared" si="134"/>
        <v>0</v>
      </c>
      <c r="CV112" s="10">
        <f t="shared" si="134"/>
        <v>0</v>
      </c>
      <c r="CW112" s="10">
        <f t="shared" si="135"/>
        <v>0</v>
      </c>
      <c r="CX112" s="10">
        <f t="shared" si="135"/>
        <v>0</v>
      </c>
      <c r="CY112" s="10">
        <f t="shared" si="135"/>
        <v>0</v>
      </c>
      <c r="CZ112" s="10">
        <f t="shared" si="135"/>
        <v>0</v>
      </c>
    </row>
    <row r="113" spans="4:104" x14ac:dyDescent="0.15">
      <c r="D113" s="10">
        <v>98</v>
      </c>
      <c r="E113" s="10" t="e">
        <f t="shared" si="95"/>
        <v>#VALUE!</v>
      </c>
      <c r="F113" s="10" t="e">
        <f t="shared" si="79"/>
        <v>#VALUE!</v>
      </c>
      <c r="G113" s="10" t="e">
        <f t="shared" si="80"/>
        <v>#VALUE!</v>
      </c>
      <c r="H113" s="10" t="e">
        <f t="shared" si="96"/>
        <v>#VALUE!</v>
      </c>
      <c r="I113" s="10" t="e">
        <f t="shared" si="81"/>
        <v>#VALUE!</v>
      </c>
      <c r="J113" s="10" t="e">
        <f t="shared" si="97"/>
        <v>#VALUE!</v>
      </c>
      <c r="K113" s="10" t="e">
        <f t="shared" si="82"/>
        <v>#VALUE!</v>
      </c>
      <c r="L113" s="10" t="e">
        <f t="shared" si="83"/>
        <v>#VALUE!</v>
      </c>
      <c r="M113" s="10" t="e">
        <f t="shared" si="98"/>
        <v>#VALUE!</v>
      </c>
      <c r="O113" s="10" t="e">
        <f t="shared" si="99"/>
        <v>#VALUE!</v>
      </c>
      <c r="P113" s="10" t="e">
        <f t="shared" si="84"/>
        <v>#VALUE!</v>
      </c>
      <c r="Q113" s="10" t="e">
        <f t="shared" si="85"/>
        <v>#VALUE!</v>
      </c>
      <c r="R113" s="10" t="e">
        <f t="shared" si="100"/>
        <v>#VALUE!</v>
      </c>
      <c r="S113" s="10" t="e">
        <f t="shared" si="101"/>
        <v>#VALUE!</v>
      </c>
      <c r="T113" s="10" t="e">
        <f t="shared" si="136"/>
        <v>#VALUE!</v>
      </c>
      <c r="U113" s="10" t="e">
        <f t="shared" si="137"/>
        <v>#VALUE!</v>
      </c>
      <c r="V113" s="10" t="e">
        <f t="shared" si="86"/>
        <v>#VALUE!</v>
      </c>
      <c r="W113" s="10" t="e">
        <f t="shared" si="102"/>
        <v>#VALUE!</v>
      </c>
      <c r="Y113" s="10" t="e">
        <f t="shared" si="103"/>
        <v>#VALUE!</v>
      </c>
      <c r="Z113" s="11" t="e">
        <f t="shared" si="104"/>
        <v>#VALUE!</v>
      </c>
      <c r="AA113" s="10" t="e">
        <f t="shared" si="87"/>
        <v>#VALUE!</v>
      </c>
      <c r="AB113" s="10" t="e">
        <f t="shared" si="105"/>
        <v>#VALUE!</v>
      </c>
      <c r="AC113" s="10" t="e">
        <f t="shared" si="106"/>
        <v>#VALUE!</v>
      </c>
      <c r="AD113" s="10" t="e">
        <f t="shared" si="138"/>
        <v>#VALUE!</v>
      </c>
      <c r="AE113" s="10" t="e">
        <f t="shared" si="139"/>
        <v>#VALUE!</v>
      </c>
      <c r="AF113" s="10" t="e">
        <f t="shared" si="88"/>
        <v>#VALUE!</v>
      </c>
      <c r="AG113" s="10" t="e">
        <f t="shared" si="107"/>
        <v>#VALUE!</v>
      </c>
      <c r="AI113" s="13"/>
      <c r="AK113" s="10" t="e">
        <f t="shared" si="108"/>
        <v>#VALUE!</v>
      </c>
      <c r="AL113" s="10" t="e">
        <f t="shared" si="140"/>
        <v>#VALUE!</v>
      </c>
      <c r="AM113" s="10" t="e">
        <f t="shared" si="89"/>
        <v>#VALUE!</v>
      </c>
      <c r="AN113" s="10" t="e">
        <f t="shared" si="109"/>
        <v>#VALUE!</v>
      </c>
      <c r="AO113" s="10" t="e">
        <f t="shared" si="110"/>
        <v>#VALUE!</v>
      </c>
      <c r="AP113" s="10" t="e">
        <f t="shared" si="111"/>
        <v>#VALUE!</v>
      </c>
      <c r="AQ113" s="10" t="e">
        <f t="shared" si="141"/>
        <v>#VALUE!</v>
      </c>
      <c r="AR113" s="10" t="e">
        <f t="shared" si="90"/>
        <v>#VALUE!</v>
      </c>
      <c r="AS113" s="10" t="e">
        <f t="shared" si="142"/>
        <v>#VALUE!</v>
      </c>
      <c r="AU113" s="10" t="e">
        <f t="shared" si="112"/>
        <v>#VALUE!</v>
      </c>
      <c r="AV113" s="10" t="e">
        <f t="shared" si="143"/>
        <v>#VALUE!</v>
      </c>
      <c r="AW113" s="10" t="e">
        <f t="shared" si="91"/>
        <v>#VALUE!</v>
      </c>
      <c r="AX113" s="10" t="e">
        <f t="shared" si="113"/>
        <v>#VALUE!</v>
      </c>
      <c r="AY113" s="10" t="e">
        <f t="shared" si="114"/>
        <v>#VALUE!</v>
      </c>
      <c r="AZ113" s="10" t="e">
        <f t="shared" si="115"/>
        <v>#VALUE!</v>
      </c>
      <c r="BA113" s="10" t="e">
        <f t="shared" si="144"/>
        <v>#VALUE!</v>
      </c>
      <c r="BB113" s="10" t="e">
        <f t="shared" si="92"/>
        <v>#VALUE!</v>
      </c>
      <c r="BC113" s="10" t="e">
        <f t="shared" si="145"/>
        <v>#VALUE!</v>
      </c>
      <c r="BE113" s="10" t="e">
        <f t="shared" si="116"/>
        <v>#VALUE!</v>
      </c>
      <c r="BF113" s="10" t="e">
        <f t="shared" si="146"/>
        <v>#VALUE!</v>
      </c>
      <c r="BG113" s="10" t="e">
        <f t="shared" si="93"/>
        <v>#VALUE!</v>
      </c>
      <c r="BH113" s="10" t="e">
        <f t="shared" si="117"/>
        <v>#VALUE!</v>
      </c>
      <c r="BI113" s="10" t="e">
        <f t="shared" si="118"/>
        <v>#VALUE!</v>
      </c>
      <c r="BJ113" s="10" t="e">
        <f t="shared" si="119"/>
        <v>#VALUE!</v>
      </c>
      <c r="BK113" s="10" t="e">
        <f t="shared" si="147"/>
        <v>#VALUE!</v>
      </c>
      <c r="BL113" s="10" t="e">
        <f t="shared" si="94"/>
        <v>#VALUE!</v>
      </c>
      <c r="BM113" s="10" t="e">
        <f t="shared" si="148"/>
        <v>#VALUE!</v>
      </c>
      <c r="BP113" s="10" t="e">
        <f t="shared" si="120"/>
        <v>#VALUE!</v>
      </c>
      <c r="BQ113" s="10" t="e">
        <f t="shared" si="121"/>
        <v>#VALUE!</v>
      </c>
      <c r="BR113" s="10" t="e">
        <f t="shared" si="122"/>
        <v>#VALUE!</v>
      </c>
      <c r="BS113" s="10" t="e">
        <f t="shared" si="123"/>
        <v>#VALUE!</v>
      </c>
      <c r="BT113" s="10" t="e">
        <f t="shared" si="124"/>
        <v>#VALUE!</v>
      </c>
      <c r="BU113" s="10" t="e">
        <f t="shared" si="125"/>
        <v>#VALUE!</v>
      </c>
      <c r="BW113" s="10" t="e">
        <f t="shared" si="126"/>
        <v>#VALUE!</v>
      </c>
      <c r="BX113" s="10" t="e">
        <f t="shared" si="127"/>
        <v>#VALUE!</v>
      </c>
      <c r="BY113" s="10" t="e">
        <f t="shared" si="128"/>
        <v>#VALUE!</v>
      </c>
      <c r="BZ113" s="10" t="e">
        <f t="shared" si="129"/>
        <v>#VALUE!</v>
      </c>
      <c r="CA113" s="10" t="e">
        <f t="shared" si="130"/>
        <v>#VALUE!</v>
      </c>
      <c r="CB113" s="10" t="e">
        <f t="shared" si="131"/>
        <v>#VALUE!</v>
      </c>
      <c r="CD113" s="10" t="e">
        <f>MATCH(INDEX($BP$12:$BU$12,1,MATCH(BP113,$BP$15:$BU$15,0)),结果汇总!$AI$10:$AI$13,0)</f>
        <v>#VALUE!</v>
      </c>
      <c r="CE113" s="10" t="e">
        <f>MATCH(INDEX($BP$12:$BU$12,1,MATCH(BQ113,$BP$15:$BU$15,0)),结果汇总!$AI$10:$AI$13,0)</f>
        <v>#VALUE!</v>
      </c>
      <c r="CF113" s="10" t="e">
        <f>MATCH(INDEX($BP$12:$BU$12,1,MATCH(BR113,$BP$15:$BU$15,0)),结果汇总!$AI$10:$AI$13,0)</f>
        <v>#VALUE!</v>
      </c>
      <c r="CG113" s="10" t="e">
        <f>MATCH(INDEX($BP$12:$BU$12,1,MATCH(BS113,$BP$15:$BU$15,0)),结果汇总!$AI$10:$AI$13,0)</f>
        <v>#VALUE!</v>
      </c>
      <c r="CH113" s="10" t="e">
        <f>MATCH(INDEX($BP$12:$BU$12,1,MATCH(BT113,$BP$15:$BU$15,0)),结果汇总!$AI$10:$AI$13,0)</f>
        <v>#VALUE!</v>
      </c>
      <c r="CI113" s="10" t="e">
        <f>MATCH(INDEX($BP$12:$BU$12,1,MATCH(BU113,$BP$15:$BU$15,0)),结果汇总!$AI$10:$AI$13,0)</f>
        <v>#VALUE!</v>
      </c>
      <c r="CK113" s="10">
        <f t="shared" ref="CK113:CN135" si="149">COUNTIFS($CD113:$CI113,CK$15,$CD$15:$CI$15,$CK$14)/COUNTIFS($CD$15:$CI$15,$CK$14)</f>
        <v>0</v>
      </c>
      <c r="CL113" s="10">
        <f t="shared" si="149"/>
        <v>0</v>
      </c>
      <c r="CM113" s="10">
        <f t="shared" si="149"/>
        <v>0</v>
      </c>
      <c r="CN113" s="10">
        <f t="shared" si="149"/>
        <v>0</v>
      </c>
      <c r="CO113" s="10" t="e">
        <f t="shared" ref="CO113:CR135" si="150">COUNTIFS($CD113:$CI113,CO$15,$CD$15:$CI$15,$CO$14)/COUNTIFS($CD$15:$CI$15,$CO$14)</f>
        <v>#DIV/0!</v>
      </c>
      <c r="CP113" s="10" t="e">
        <f t="shared" si="150"/>
        <v>#DIV/0!</v>
      </c>
      <c r="CQ113" s="10" t="e">
        <f t="shared" si="150"/>
        <v>#DIV/0!</v>
      </c>
      <c r="CR113" s="10" t="e">
        <f t="shared" si="150"/>
        <v>#DIV/0!</v>
      </c>
      <c r="CS113" s="10">
        <f t="shared" ref="CS113:CV135" si="151">COUNTIFS($CD113:$CI113,CS$15,$CD$15:$CI$15,$CS$14)/COUNTIFS($CD$15:$CI$15,$CS$14)</f>
        <v>0</v>
      </c>
      <c r="CT113" s="10">
        <f t="shared" si="151"/>
        <v>0</v>
      </c>
      <c r="CU113" s="10">
        <f t="shared" si="151"/>
        <v>0</v>
      </c>
      <c r="CV113" s="10">
        <f t="shared" si="151"/>
        <v>0</v>
      </c>
      <c r="CW113" s="10">
        <f t="shared" ref="CW113:CZ135" si="152">COUNTIFS($CD113:$CI113,CW$15,$CD$15:$CI$15,$CW$14)/COUNTIFS($CD$15:$CI$15,$CW$14)</f>
        <v>0</v>
      </c>
      <c r="CX113" s="10">
        <f t="shared" si="152"/>
        <v>0</v>
      </c>
      <c r="CY113" s="10">
        <f t="shared" si="152"/>
        <v>0</v>
      </c>
      <c r="CZ113" s="10">
        <f t="shared" si="152"/>
        <v>0</v>
      </c>
    </row>
    <row r="114" spans="4:104" x14ac:dyDescent="0.15">
      <c r="D114" s="10">
        <v>99</v>
      </c>
      <c r="E114" s="10" t="e">
        <f t="shared" si="95"/>
        <v>#VALUE!</v>
      </c>
      <c r="F114" s="10" t="e">
        <f t="shared" si="79"/>
        <v>#VALUE!</v>
      </c>
      <c r="G114" s="10" t="e">
        <f t="shared" si="80"/>
        <v>#VALUE!</v>
      </c>
      <c r="H114" s="10" t="e">
        <f t="shared" si="96"/>
        <v>#VALUE!</v>
      </c>
      <c r="I114" s="10" t="e">
        <f t="shared" si="81"/>
        <v>#VALUE!</v>
      </c>
      <c r="J114" s="10" t="e">
        <f t="shared" si="97"/>
        <v>#VALUE!</v>
      </c>
      <c r="K114" s="10" t="e">
        <f t="shared" si="82"/>
        <v>#VALUE!</v>
      </c>
      <c r="L114" s="10" t="e">
        <f t="shared" si="83"/>
        <v>#VALUE!</v>
      </c>
      <c r="M114" s="10" t="e">
        <f t="shared" si="98"/>
        <v>#VALUE!</v>
      </c>
      <c r="O114" s="10" t="e">
        <f t="shared" si="99"/>
        <v>#VALUE!</v>
      </c>
      <c r="P114" s="10" t="e">
        <f t="shared" si="84"/>
        <v>#VALUE!</v>
      </c>
      <c r="Q114" s="10" t="e">
        <f t="shared" si="85"/>
        <v>#VALUE!</v>
      </c>
      <c r="R114" s="10" t="e">
        <f t="shared" si="100"/>
        <v>#VALUE!</v>
      </c>
      <c r="S114" s="10" t="e">
        <f t="shared" si="101"/>
        <v>#VALUE!</v>
      </c>
      <c r="T114" s="10" t="e">
        <f t="shared" si="136"/>
        <v>#VALUE!</v>
      </c>
      <c r="U114" s="10" t="e">
        <f t="shared" si="137"/>
        <v>#VALUE!</v>
      </c>
      <c r="V114" s="10" t="e">
        <f t="shared" si="86"/>
        <v>#VALUE!</v>
      </c>
      <c r="W114" s="10" t="e">
        <f t="shared" si="102"/>
        <v>#VALUE!</v>
      </c>
      <c r="Y114" s="10" t="e">
        <f t="shared" si="103"/>
        <v>#VALUE!</v>
      </c>
      <c r="Z114" s="11" t="e">
        <f t="shared" si="104"/>
        <v>#VALUE!</v>
      </c>
      <c r="AA114" s="10" t="e">
        <f t="shared" si="87"/>
        <v>#VALUE!</v>
      </c>
      <c r="AB114" s="10" t="e">
        <f t="shared" si="105"/>
        <v>#VALUE!</v>
      </c>
      <c r="AC114" s="10" t="e">
        <f t="shared" si="106"/>
        <v>#VALUE!</v>
      </c>
      <c r="AD114" s="10" t="e">
        <f t="shared" si="138"/>
        <v>#VALUE!</v>
      </c>
      <c r="AE114" s="10" t="e">
        <f t="shared" si="139"/>
        <v>#VALUE!</v>
      </c>
      <c r="AF114" s="10" t="e">
        <f t="shared" si="88"/>
        <v>#VALUE!</v>
      </c>
      <c r="AG114" s="10" t="e">
        <f t="shared" si="107"/>
        <v>#VALUE!</v>
      </c>
      <c r="AI114" s="13"/>
      <c r="AK114" s="10" t="e">
        <f t="shared" si="108"/>
        <v>#VALUE!</v>
      </c>
      <c r="AL114" s="10" t="e">
        <f t="shared" si="140"/>
        <v>#VALUE!</v>
      </c>
      <c r="AM114" s="10" t="e">
        <f t="shared" si="89"/>
        <v>#VALUE!</v>
      </c>
      <c r="AN114" s="10" t="e">
        <f t="shared" si="109"/>
        <v>#VALUE!</v>
      </c>
      <c r="AO114" s="10" t="e">
        <f t="shared" si="110"/>
        <v>#VALUE!</v>
      </c>
      <c r="AP114" s="10" t="e">
        <f t="shared" si="111"/>
        <v>#VALUE!</v>
      </c>
      <c r="AQ114" s="10" t="e">
        <f t="shared" si="141"/>
        <v>#VALUE!</v>
      </c>
      <c r="AR114" s="10" t="e">
        <f t="shared" si="90"/>
        <v>#VALUE!</v>
      </c>
      <c r="AS114" s="10" t="e">
        <f t="shared" si="142"/>
        <v>#VALUE!</v>
      </c>
      <c r="AU114" s="10" t="e">
        <f t="shared" si="112"/>
        <v>#VALUE!</v>
      </c>
      <c r="AV114" s="10" t="e">
        <f t="shared" si="143"/>
        <v>#VALUE!</v>
      </c>
      <c r="AW114" s="10" t="e">
        <f t="shared" si="91"/>
        <v>#VALUE!</v>
      </c>
      <c r="AX114" s="10" t="e">
        <f t="shared" si="113"/>
        <v>#VALUE!</v>
      </c>
      <c r="AY114" s="10" t="e">
        <f t="shared" si="114"/>
        <v>#VALUE!</v>
      </c>
      <c r="AZ114" s="10" t="e">
        <f t="shared" si="115"/>
        <v>#VALUE!</v>
      </c>
      <c r="BA114" s="10" t="e">
        <f t="shared" si="144"/>
        <v>#VALUE!</v>
      </c>
      <c r="BB114" s="10" t="e">
        <f t="shared" si="92"/>
        <v>#VALUE!</v>
      </c>
      <c r="BC114" s="10" t="e">
        <f t="shared" si="145"/>
        <v>#VALUE!</v>
      </c>
      <c r="BE114" s="10" t="e">
        <f t="shared" si="116"/>
        <v>#VALUE!</v>
      </c>
      <c r="BF114" s="10" t="e">
        <f t="shared" si="146"/>
        <v>#VALUE!</v>
      </c>
      <c r="BG114" s="10" t="e">
        <f t="shared" si="93"/>
        <v>#VALUE!</v>
      </c>
      <c r="BH114" s="10" t="e">
        <f t="shared" si="117"/>
        <v>#VALUE!</v>
      </c>
      <c r="BI114" s="10" t="e">
        <f t="shared" si="118"/>
        <v>#VALUE!</v>
      </c>
      <c r="BJ114" s="10" t="e">
        <f t="shared" si="119"/>
        <v>#VALUE!</v>
      </c>
      <c r="BK114" s="10" t="e">
        <f t="shared" si="147"/>
        <v>#VALUE!</v>
      </c>
      <c r="BL114" s="10" t="e">
        <f t="shared" si="94"/>
        <v>#VALUE!</v>
      </c>
      <c r="BM114" s="10" t="e">
        <f t="shared" si="148"/>
        <v>#VALUE!</v>
      </c>
      <c r="BP114" s="10" t="e">
        <f t="shared" si="120"/>
        <v>#VALUE!</v>
      </c>
      <c r="BQ114" s="10" t="e">
        <f t="shared" si="121"/>
        <v>#VALUE!</v>
      </c>
      <c r="BR114" s="10" t="e">
        <f t="shared" si="122"/>
        <v>#VALUE!</v>
      </c>
      <c r="BS114" s="10" t="e">
        <f t="shared" si="123"/>
        <v>#VALUE!</v>
      </c>
      <c r="BT114" s="10" t="e">
        <f t="shared" si="124"/>
        <v>#VALUE!</v>
      </c>
      <c r="BU114" s="10" t="e">
        <f t="shared" si="125"/>
        <v>#VALUE!</v>
      </c>
      <c r="BW114" s="10" t="e">
        <f t="shared" si="126"/>
        <v>#VALUE!</v>
      </c>
      <c r="BX114" s="10" t="e">
        <f t="shared" si="127"/>
        <v>#VALUE!</v>
      </c>
      <c r="BY114" s="10" t="e">
        <f t="shared" si="128"/>
        <v>#VALUE!</v>
      </c>
      <c r="BZ114" s="10" t="e">
        <f t="shared" si="129"/>
        <v>#VALUE!</v>
      </c>
      <c r="CA114" s="10" t="e">
        <f t="shared" si="130"/>
        <v>#VALUE!</v>
      </c>
      <c r="CB114" s="10" t="e">
        <f t="shared" si="131"/>
        <v>#VALUE!</v>
      </c>
      <c r="CD114" s="10" t="e">
        <f>MATCH(INDEX($BP$12:$BU$12,1,MATCH(BP114,$BP$15:$BU$15,0)),结果汇总!$AI$10:$AI$13,0)</f>
        <v>#VALUE!</v>
      </c>
      <c r="CE114" s="10" t="e">
        <f>MATCH(INDEX($BP$12:$BU$12,1,MATCH(BQ114,$BP$15:$BU$15,0)),结果汇总!$AI$10:$AI$13,0)</f>
        <v>#VALUE!</v>
      </c>
      <c r="CF114" s="10" t="e">
        <f>MATCH(INDEX($BP$12:$BU$12,1,MATCH(BR114,$BP$15:$BU$15,0)),结果汇总!$AI$10:$AI$13,0)</f>
        <v>#VALUE!</v>
      </c>
      <c r="CG114" s="10" t="e">
        <f>MATCH(INDEX($BP$12:$BU$12,1,MATCH(BS114,$BP$15:$BU$15,0)),结果汇总!$AI$10:$AI$13,0)</f>
        <v>#VALUE!</v>
      </c>
      <c r="CH114" s="10" t="e">
        <f>MATCH(INDEX($BP$12:$BU$12,1,MATCH(BT114,$BP$15:$BU$15,0)),结果汇总!$AI$10:$AI$13,0)</f>
        <v>#VALUE!</v>
      </c>
      <c r="CI114" s="10" t="e">
        <f>MATCH(INDEX($BP$12:$BU$12,1,MATCH(BU114,$BP$15:$BU$15,0)),结果汇总!$AI$10:$AI$13,0)</f>
        <v>#VALUE!</v>
      </c>
      <c r="CK114" s="10">
        <f t="shared" si="149"/>
        <v>0</v>
      </c>
      <c r="CL114" s="10">
        <f t="shared" si="149"/>
        <v>0</v>
      </c>
      <c r="CM114" s="10">
        <f t="shared" si="149"/>
        <v>0</v>
      </c>
      <c r="CN114" s="10">
        <f t="shared" si="149"/>
        <v>0</v>
      </c>
      <c r="CO114" s="10" t="e">
        <f t="shared" si="150"/>
        <v>#DIV/0!</v>
      </c>
      <c r="CP114" s="10" t="e">
        <f t="shared" si="150"/>
        <v>#DIV/0!</v>
      </c>
      <c r="CQ114" s="10" t="e">
        <f t="shared" si="150"/>
        <v>#DIV/0!</v>
      </c>
      <c r="CR114" s="10" t="e">
        <f t="shared" si="150"/>
        <v>#DIV/0!</v>
      </c>
      <c r="CS114" s="10">
        <f t="shared" si="151"/>
        <v>0</v>
      </c>
      <c r="CT114" s="10">
        <f t="shared" si="151"/>
        <v>0</v>
      </c>
      <c r="CU114" s="10">
        <f t="shared" si="151"/>
        <v>0</v>
      </c>
      <c r="CV114" s="10">
        <f t="shared" si="151"/>
        <v>0</v>
      </c>
      <c r="CW114" s="10">
        <f t="shared" si="152"/>
        <v>0</v>
      </c>
      <c r="CX114" s="10">
        <f t="shared" si="152"/>
        <v>0</v>
      </c>
      <c r="CY114" s="10">
        <f t="shared" si="152"/>
        <v>0</v>
      </c>
      <c r="CZ114" s="10">
        <f t="shared" si="152"/>
        <v>0</v>
      </c>
    </row>
    <row r="115" spans="4:104" x14ac:dyDescent="0.15">
      <c r="D115" s="10">
        <v>100</v>
      </c>
      <c r="E115" s="10" t="e">
        <f t="shared" si="95"/>
        <v>#VALUE!</v>
      </c>
      <c r="F115" s="10" t="e">
        <f t="shared" si="79"/>
        <v>#VALUE!</v>
      </c>
      <c r="G115" s="10" t="e">
        <f t="shared" si="80"/>
        <v>#VALUE!</v>
      </c>
      <c r="H115" s="10" t="e">
        <f t="shared" si="96"/>
        <v>#VALUE!</v>
      </c>
      <c r="I115" s="10" t="e">
        <f t="shared" si="81"/>
        <v>#VALUE!</v>
      </c>
      <c r="J115" s="10" t="e">
        <f t="shared" si="97"/>
        <v>#VALUE!</v>
      </c>
      <c r="K115" s="10" t="e">
        <f t="shared" si="82"/>
        <v>#VALUE!</v>
      </c>
      <c r="L115" s="10" t="e">
        <f t="shared" si="83"/>
        <v>#VALUE!</v>
      </c>
      <c r="M115" s="10" t="e">
        <f t="shared" si="98"/>
        <v>#VALUE!</v>
      </c>
      <c r="O115" s="10" t="e">
        <f t="shared" si="99"/>
        <v>#VALUE!</v>
      </c>
      <c r="P115" s="10" t="e">
        <f t="shared" si="84"/>
        <v>#VALUE!</v>
      </c>
      <c r="Q115" s="10" t="e">
        <f t="shared" si="85"/>
        <v>#VALUE!</v>
      </c>
      <c r="R115" s="10" t="e">
        <f t="shared" si="100"/>
        <v>#VALUE!</v>
      </c>
      <c r="S115" s="10" t="e">
        <f t="shared" si="101"/>
        <v>#VALUE!</v>
      </c>
      <c r="T115" s="10" t="e">
        <f t="shared" si="136"/>
        <v>#VALUE!</v>
      </c>
      <c r="U115" s="10" t="e">
        <f t="shared" si="137"/>
        <v>#VALUE!</v>
      </c>
      <c r="V115" s="10" t="e">
        <f t="shared" si="86"/>
        <v>#VALUE!</v>
      </c>
      <c r="W115" s="10" t="e">
        <f t="shared" si="102"/>
        <v>#VALUE!</v>
      </c>
      <c r="Y115" s="10" t="e">
        <f t="shared" si="103"/>
        <v>#VALUE!</v>
      </c>
      <c r="Z115" s="11" t="e">
        <f t="shared" si="104"/>
        <v>#VALUE!</v>
      </c>
      <c r="AA115" s="10" t="e">
        <f t="shared" si="87"/>
        <v>#VALUE!</v>
      </c>
      <c r="AB115" s="10" t="e">
        <f t="shared" si="105"/>
        <v>#VALUE!</v>
      </c>
      <c r="AC115" s="10" t="e">
        <f t="shared" si="106"/>
        <v>#VALUE!</v>
      </c>
      <c r="AD115" s="10" t="e">
        <f t="shared" si="138"/>
        <v>#VALUE!</v>
      </c>
      <c r="AE115" s="10" t="e">
        <f t="shared" si="139"/>
        <v>#VALUE!</v>
      </c>
      <c r="AF115" s="10" t="e">
        <f t="shared" si="88"/>
        <v>#VALUE!</v>
      </c>
      <c r="AG115" s="10" t="e">
        <f t="shared" si="107"/>
        <v>#VALUE!</v>
      </c>
      <c r="AI115" s="13"/>
      <c r="AK115" s="10" t="e">
        <f t="shared" si="108"/>
        <v>#VALUE!</v>
      </c>
      <c r="AL115" s="10" t="e">
        <f t="shared" si="140"/>
        <v>#VALUE!</v>
      </c>
      <c r="AM115" s="10" t="e">
        <f t="shared" si="89"/>
        <v>#VALUE!</v>
      </c>
      <c r="AN115" s="10" t="e">
        <f t="shared" si="109"/>
        <v>#VALUE!</v>
      </c>
      <c r="AO115" s="10" t="e">
        <f t="shared" si="110"/>
        <v>#VALUE!</v>
      </c>
      <c r="AP115" s="10" t="e">
        <f t="shared" si="111"/>
        <v>#VALUE!</v>
      </c>
      <c r="AQ115" s="10" t="e">
        <f t="shared" si="141"/>
        <v>#VALUE!</v>
      </c>
      <c r="AR115" s="10" t="e">
        <f t="shared" si="90"/>
        <v>#VALUE!</v>
      </c>
      <c r="AS115" s="10" t="e">
        <f t="shared" si="142"/>
        <v>#VALUE!</v>
      </c>
      <c r="AU115" s="10" t="e">
        <f t="shared" si="112"/>
        <v>#VALUE!</v>
      </c>
      <c r="AV115" s="10" t="e">
        <f t="shared" si="143"/>
        <v>#VALUE!</v>
      </c>
      <c r="AW115" s="10" t="e">
        <f t="shared" si="91"/>
        <v>#VALUE!</v>
      </c>
      <c r="AX115" s="10" t="e">
        <f t="shared" si="113"/>
        <v>#VALUE!</v>
      </c>
      <c r="AY115" s="10" t="e">
        <f t="shared" si="114"/>
        <v>#VALUE!</v>
      </c>
      <c r="AZ115" s="10" t="e">
        <f t="shared" si="115"/>
        <v>#VALUE!</v>
      </c>
      <c r="BA115" s="10" t="e">
        <f t="shared" si="144"/>
        <v>#VALUE!</v>
      </c>
      <c r="BB115" s="10" t="e">
        <f t="shared" si="92"/>
        <v>#VALUE!</v>
      </c>
      <c r="BC115" s="10" t="e">
        <f t="shared" si="145"/>
        <v>#VALUE!</v>
      </c>
      <c r="BE115" s="10" t="e">
        <f t="shared" si="116"/>
        <v>#VALUE!</v>
      </c>
      <c r="BF115" s="10" t="e">
        <f t="shared" si="146"/>
        <v>#VALUE!</v>
      </c>
      <c r="BG115" s="10" t="e">
        <f t="shared" si="93"/>
        <v>#VALUE!</v>
      </c>
      <c r="BH115" s="10" t="e">
        <f t="shared" si="117"/>
        <v>#VALUE!</v>
      </c>
      <c r="BI115" s="10" t="e">
        <f t="shared" si="118"/>
        <v>#VALUE!</v>
      </c>
      <c r="BJ115" s="10" t="e">
        <f t="shared" si="119"/>
        <v>#VALUE!</v>
      </c>
      <c r="BK115" s="10" t="e">
        <f t="shared" si="147"/>
        <v>#VALUE!</v>
      </c>
      <c r="BL115" s="10" t="e">
        <f t="shared" si="94"/>
        <v>#VALUE!</v>
      </c>
      <c r="BM115" s="10" t="e">
        <f t="shared" si="148"/>
        <v>#VALUE!</v>
      </c>
      <c r="BP115" s="10" t="e">
        <f t="shared" si="120"/>
        <v>#VALUE!</v>
      </c>
      <c r="BQ115" s="10" t="e">
        <f t="shared" si="121"/>
        <v>#VALUE!</v>
      </c>
      <c r="BR115" s="10" t="e">
        <f t="shared" si="122"/>
        <v>#VALUE!</v>
      </c>
      <c r="BS115" s="10" t="e">
        <f t="shared" si="123"/>
        <v>#VALUE!</v>
      </c>
      <c r="BT115" s="10" t="e">
        <f t="shared" si="124"/>
        <v>#VALUE!</v>
      </c>
      <c r="BU115" s="10" t="e">
        <f t="shared" si="125"/>
        <v>#VALUE!</v>
      </c>
      <c r="BW115" s="10" t="e">
        <f t="shared" si="126"/>
        <v>#VALUE!</v>
      </c>
      <c r="BX115" s="10" t="e">
        <f t="shared" si="127"/>
        <v>#VALUE!</v>
      </c>
      <c r="BY115" s="10" t="e">
        <f t="shared" si="128"/>
        <v>#VALUE!</v>
      </c>
      <c r="BZ115" s="10" t="e">
        <f t="shared" si="129"/>
        <v>#VALUE!</v>
      </c>
      <c r="CA115" s="10" t="e">
        <f t="shared" si="130"/>
        <v>#VALUE!</v>
      </c>
      <c r="CB115" s="10" t="e">
        <f t="shared" si="131"/>
        <v>#VALUE!</v>
      </c>
      <c r="CD115" s="10" t="e">
        <f>MATCH(INDEX($BP$12:$BU$12,1,MATCH(BP115,$BP$15:$BU$15,0)),结果汇总!$AI$10:$AI$13,0)</f>
        <v>#VALUE!</v>
      </c>
      <c r="CE115" s="10" t="e">
        <f>MATCH(INDEX($BP$12:$BU$12,1,MATCH(BQ115,$BP$15:$BU$15,0)),结果汇总!$AI$10:$AI$13,0)</f>
        <v>#VALUE!</v>
      </c>
      <c r="CF115" s="10" t="e">
        <f>MATCH(INDEX($BP$12:$BU$12,1,MATCH(BR115,$BP$15:$BU$15,0)),结果汇总!$AI$10:$AI$13,0)</f>
        <v>#VALUE!</v>
      </c>
      <c r="CG115" s="10" t="e">
        <f>MATCH(INDEX($BP$12:$BU$12,1,MATCH(BS115,$BP$15:$BU$15,0)),结果汇总!$AI$10:$AI$13,0)</f>
        <v>#VALUE!</v>
      </c>
      <c r="CH115" s="10" t="e">
        <f>MATCH(INDEX($BP$12:$BU$12,1,MATCH(BT115,$BP$15:$BU$15,0)),结果汇总!$AI$10:$AI$13,0)</f>
        <v>#VALUE!</v>
      </c>
      <c r="CI115" s="10" t="e">
        <f>MATCH(INDEX($BP$12:$BU$12,1,MATCH(BU115,$BP$15:$BU$15,0)),结果汇总!$AI$10:$AI$13,0)</f>
        <v>#VALUE!</v>
      </c>
      <c r="CK115" s="10">
        <f t="shared" si="149"/>
        <v>0</v>
      </c>
      <c r="CL115" s="10">
        <f t="shared" si="149"/>
        <v>0</v>
      </c>
      <c r="CM115" s="10">
        <f t="shared" si="149"/>
        <v>0</v>
      </c>
      <c r="CN115" s="10">
        <f t="shared" si="149"/>
        <v>0</v>
      </c>
      <c r="CO115" s="10" t="e">
        <f t="shared" si="150"/>
        <v>#DIV/0!</v>
      </c>
      <c r="CP115" s="10" t="e">
        <f t="shared" si="150"/>
        <v>#DIV/0!</v>
      </c>
      <c r="CQ115" s="10" t="e">
        <f t="shared" si="150"/>
        <v>#DIV/0!</v>
      </c>
      <c r="CR115" s="10" t="e">
        <f t="shared" si="150"/>
        <v>#DIV/0!</v>
      </c>
      <c r="CS115" s="10">
        <f t="shared" si="151"/>
        <v>0</v>
      </c>
      <c r="CT115" s="10">
        <f t="shared" si="151"/>
        <v>0</v>
      </c>
      <c r="CU115" s="10">
        <f t="shared" si="151"/>
        <v>0</v>
      </c>
      <c r="CV115" s="10">
        <f t="shared" si="151"/>
        <v>0</v>
      </c>
      <c r="CW115" s="10">
        <f t="shared" si="152"/>
        <v>0</v>
      </c>
      <c r="CX115" s="10">
        <f t="shared" si="152"/>
        <v>0</v>
      </c>
      <c r="CY115" s="10">
        <f t="shared" si="152"/>
        <v>0</v>
      </c>
      <c r="CZ115" s="10">
        <f t="shared" si="152"/>
        <v>0</v>
      </c>
    </row>
    <row r="116" spans="4:104" x14ac:dyDescent="0.15">
      <c r="D116" s="10">
        <v>101</v>
      </c>
      <c r="E116" s="10" t="e">
        <f t="shared" si="95"/>
        <v>#VALUE!</v>
      </c>
      <c r="F116" s="10" t="e">
        <f t="shared" si="79"/>
        <v>#VALUE!</v>
      </c>
      <c r="G116" s="10" t="e">
        <f t="shared" si="80"/>
        <v>#VALUE!</v>
      </c>
      <c r="H116" s="10" t="e">
        <f t="shared" si="96"/>
        <v>#VALUE!</v>
      </c>
      <c r="I116" s="10" t="e">
        <f t="shared" si="81"/>
        <v>#VALUE!</v>
      </c>
      <c r="J116" s="10" t="e">
        <f t="shared" si="97"/>
        <v>#VALUE!</v>
      </c>
      <c r="K116" s="10" t="e">
        <f t="shared" si="82"/>
        <v>#VALUE!</v>
      </c>
      <c r="L116" s="10" t="e">
        <f t="shared" si="83"/>
        <v>#VALUE!</v>
      </c>
      <c r="M116" s="10" t="e">
        <f t="shared" si="98"/>
        <v>#VALUE!</v>
      </c>
      <c r="O116" s="10" t="e">
        <f t="shared" si="99"/>
        <v>#VALUE!</v>
      </c>
      <c r="P116" s="10" t="e">
        <f t="shared" si="84"/>
        <v>#VALUE!</v>
      </c>
      <c r="Q116" s="10" t="e">
        <f t="shared" si="85"/>
        <v>#VALUE!</v>
      </c>
      <c r="R116" s="10" t="e">
        <f t="shared" si="100"/>
        <v>#VALUE!</v>
      </c>
      <c r="S116" s="10" t="e">
        <f t="shared" si="101"/>
        <v>#VALUE!</v>
      </c>
      <c r="T116" s="10" t="e">
        <f t="shared" si="136"/>
        <v>#VALUE!</v>
      </c>
      <c r="U116" s="10" t="e">
        <f t="shared" si="137"/>
        <v>#VALUE!</v>
      </c>
      <c r="V116" s="10" t="e">
        <f t="shared" si="86"/>
        <v>#VALUE!</v>
      </c>
      <c r="W116" s="10" t="e">
        <f t="shared" si="102"/>
        <v>#VALUE!</v>
      </c>
      <c r="Y116" s="10" t="e">
        <f t="shared" si="103"/>
        <v>#VALUE!</v>
      </c>
      <c r="Z116" s="11" t="e">
        <f t="shared" si="104"/>
        <v>#VALUE!</v>
      </c>
      <c r="AA116" s="10" t="e">
        <f t="shared" si="87"/>
        <v>#VALUE!</v>
      </c>
      <c r="AB116" s="10" t="e">
        <f t="shared" si="105"/>
        <v>#VALUE!</v>
      </c>
      <c r="AC116" s="10" t="e">
        <f t="shared" si="106"/>
        <v>#VALUE!</v>
      </c>
      <c r="AD116" s="10" t="e">
        <f t="shared" si="138"/>
        <v>#VALUE!</v>
      </c>
      <c r="AE116" s="10" t="e">
        <f t="shared" si="139"/>
        <v>#VALUE!</v>
      </c>
      <c r="AF116" s="10" t="e">
        <f t="shared" si="88"/>
        <v>#VALUE!</v>
      </c>
      <c r="AG116" s="10" t="e">
        <f t="shared" si="107"/>
        <v>#VALUE!</v>
      </c>
      <c r="AI116" s="13"/>
      <c r="AK116" s="10" t="e">
        <f t="shared" si="108"/>
        <v>#VALUE!</v>
      </c>
      <c r="AL116" s="10" t="e">
        <f t="shared" si="140"/>
        <v>#VALUE!</v>
      </c>
      <c r="AM116" s="10" t="e">
        <f t="shared" si="89"/>
        <v>#VALUE!</v>
      </c>
      <c r="AN116" s="10" t="e">
        <f t="shared" si="109"/>
        <v>#VALUE!</v>
      </c>
      <c r="AO116" s="10" t="e">
        <f t="shared" si="110"/>
        <v>#VALUE!</v>
      </c>
      <c r="AP116" s="10" t="e">
        <f t="shared" si="111"/>
        <v>#VALUE!</v>
      </c>
      <c r="AQ116" s="10" t="e">
        <f t="shared" si="141"/>
        <v>#VALUE!</v>
      </c>
      <c r="AR116" s="10" t="e">
        <f t="shared" si="90"/>
        <v>#VALUE!</v>
      </c>
      <c r="AS116" s="10" t="e">
        <f t="shared" si="142"/>
        <v>#VALUE!</v>
      </c>
      <c r="AU116" s="10" t="e">
        <f t="shared" si="112"/>
        <v>#VALUE!</v>
      </c>
      <c r="AV116" s="10" t="e">
        <f t="shared" si="143"/>
        <v>#VALUE!</v>
      </c>
      <c r="AW116" s="10" t="e">
        <f t="shared" si="91"/>
        <v>#VALUE!</v>
      </c>
      <c r="AX116" s="10" t="e">
        <f t="shared" si="113"/>
        <v>#VALUE!</v>
      </c>
      <c r="AY116" s="10" t="e">
        <f t="shared" si="114"/>
        <v>#VALUE!</v>
      </c>
      <c r="AZ116" s="10" t="e">
        <f t="shared" si="115"/>
        <v>#VALUE!</v>
      </c>
      <c r="BA116" s="10" t="e">
        <f t="shared" si="144"/>
        <v>#VALUE!</v>
      </c>
      <c r="BB116" s="10" t="e">
        <f t="shared" si="92"/>
        <v>#VALUE!</v>
      </c>
      <c r="BC116" s="10" t="e">
        <f t="shared" si="145"/>
        <v>#VALUE!</v>
      </c>
      <c r="BE116" s="10" t="e">
        <f t="shared" si="116"/>
        <v>#VALUE!</v>
      </c>
      <c r="BF116" s="10" t="e">
        <f t="shared" si="146"/>
        <v>#VALUE!</v>
      </c>
      <c r="BG116" s="10" t="e">
        <f t="shared" si="93"/>
        <v>#VALUE!</v>
      </c>
      <c r="BH116" s="10" t="e">
        <f t="shared" si="117"/>
        <v>#VALUE!</v>
      </c>
      <c r="BI116" s="10" t="e">
        <f t="shared" si="118"/>
        <v>#VALUE!</v>
      </c>
      <c r="BJ116" s="10" t="e">
        <f t="shared" si="119"/>
        <v>#VALUE!</v>
      </c>
      <c r="BK116" s="10" t="e">
        <f t="shared" si="147"/>
        <v>#VALUE!</v>
      </c>
      <c r="BL116" s="10" t="e">
        <f t="shared" si="94"/>
        <v>#VALUE!</v>
      </c>
      <c r="BM116" s="10" t="e">
        <f t="shared" si="148"/>
        <v>#VALUE!</v>
      </c>
      <c r="BP116" s="10" t="e">
        <f t="shared" si="120"/>
        <v>#VALUE!</v>
      </c>
      <c r="BQ116" s="10" t="e">
        <f t="shared" si="121"/>
        <v>#VALUE!</v>
      </c>
      <c r="BR116" s="10" t="e">
        <f t="shared" si="122"/>
        <v>#VALUE!</v>
      </c>
      <c r="BS116" s="10" t="e">
        <f t="shared" si="123"/>
        <v>#VALUE!</v>
      </c>
      <c r="BT116" s="10" t="e">
        <f t="shared" si="124"/>
        <v>#VALUE!</v>
      </c>
      <c r="BU116" s="10" t="e">
        <f t="shared" si="125"/>
        <v>#VALUE!</v>
      </c>
      <c r="BW116" s="10" t="e">
        <f t="shared" si="126"/>
        <v>#VALUE!</v>
      </c>
      <c r="BX116" s="10" t="e">
        <f t="shared" si="127"/>
        <v>#VALUE!</v>
      </c>
      <c r="BY116" s="10" t="e">
        <f t="shared" si="128"/>
        <v>#VALUE!</v>
      </c>
      <c r="BZ116" s="10" t="e">
        <f t="shared" si="129"/>
        <v>#VALUE!</v>
      </c>
      <c r="CA116" s="10" t="e">
        <f t="shared" si="130"/>
        <v>#VALUE!</v>
      </c>
      <c r="CB116" s="10" t="e">
        <f t="shared" si="131"/>
        <v>#VALUE!</v>
      </c>
      <c r="CD116" s="10" t="e">
        <f>MATCH(INDEX($BP$12:$BU$12,1,MATCH(BP116,$BP$15:$BU$15,0)),结果汇总!$AI$10:$AI$13,0)</f>
        <v>#VALUE!</v>
      </c>
      <c r="CE116" s="10" t="e">
        <f>MATCH(INDEX($BP$12:$BU$12,1,MATCH(BQ116,$BP$15:$BU$15,0)),结果汇总!$AI$10:$AI$13,0)</f>
        <v>#VALUE!</v>
      </c>
      <c r="CF116" s="10" t="e">
        <f>MATCH(INDEX($BP$12:$BU$12,1,MATCH(BR116,$BP$15:$BU$15,0)),结果汇总!$AI$10:$AI$13,0)</f>
        <v>#VALUE!</v>
      </c>
      <c r="CG116" s="10" t="e">
        <f>MATCH(INDEX($BP$12:$BU$12,1,MATCH(BS116,$BP$15:$BU$15,0)),结果汇总!$AI$10:$AI$13,0)</f>
        <v>#VALUE!</v>
      </c>
      <c r="CH116" s="10" t="e">
        <f>MATCH(INDEX($BP$12:$BU$12,1,MATCH(BT116,$BP$15:$BU$15,0)),结果汇总!$AI$10:$AI$13,0)</f>
        <v>#VALUE!</v>
      </c>
      <c r="CI116" s="10" t="e">
        <f>MATCH(INDEX($BP$12:$BU$12,1,MATCH(BU116,$BP$15:$BU$15,0)),结果汇总!$AI$10:$AI$13,0)</f>
        <v>#VALUE!</v>
      </c>
      <c r="CK116" s="10">
        <f t="shared" si="149"/>
        <v>0</v>
      </c>
      <c r="CL116" s="10">
        <f t="shared" si="149"/>
        <v>0</v>
      </c>
      <c r="CM116" s="10">
        <f t="shared" si="149"/>
        <v>0</v>
      </c>
      <c r="CN116" s="10">
        <f t="shared" si="149"/>
        <v>0</v>
      </c>
      <c r="CO116" s="10" t="e">
        <f t="shared" si="150"/>
        <v>#DIV/0!</v>
      </c>
      <c r="CP116" s="10" t="e">
        <f t="shared" si="150"/>
        <v>#DIV/0!</v>
      </c>
      <c r="CQ116" s="10" t="e">
        <f t="shared" si="150"/>
        <v>#DIV/0!</v>
      </c>
      <c r="CR116" s="10" t="e">
        <f t="shared" si="150"/>
        <v>#DIV/0!</v>
      </c>
      <c r="CS116" s="10">
        <f t="shared" si="151"/>
        <v>0</v>
      </c>
      <c r="CT116" s="10">
        <f t="shared" si="151"/>
        <v>0</v>
      </c>
      <c r="CU116" s="10">
        <f t="shared" si="151"/>
        <v>0</v>
      </c>
      <c r="CV116" s="10">
        <f t="shared" si="151"/>
        <v>0</v>
      </c>
      <c r="CW116" s="10">
        <f t="shared" si="152"/>
        <v>0</v>
      </c>
      <c r="CX116" s="10">
        <f t="shared" si="152"/>
        <v>0</v>
      </c>
      <c r="CY116" s="10">
        <f t="shared" si="152"/>
        <v>0</v>
      </c>
      <c r="CZ116" s="10">
        <f t="shared" si="152"/>
        <v>0</v>
      </c>
    </row>
    <row r="117" spans="4:104" x14ac:dyDescent="0.15">
      <c r="D117" s="10">
        <v>102</v>
      </c>
      <c r="E117" s="10" t="e">
        <f t="shared" si="95"/>
        <v>#VALUE!</v>
      </c>
      <c r="F117" s="10" t="e">
        <f t="shared" si="79"/>
        <v>#VALUE!</v>
      </c>
      <c r="G117" s="10" t="e">
        <f t="shared" si="80"/>
        <v>#VALUE!</v>
      </c>
      <c r="H117" s="10" t="e">
        <f t="shared" si="96"/>
        <v>#VALUE!</v>
      </c>
      <c r="I117" s="10" t="e">
        <f t="shared" si="81"/>
        <v>#VALUE!</v>
      </c>
      <c r="J117" s="10" t="e">
        <f t="shared" si="97"/>
        <v>#VALUE!</v>
      </c>
      <c r="K117" s="10" t="e">
        <f t="shared" si="82"/>
        <v>#VALUE!</v>
      </c>
      <c r="L117" s="10" t="e">
        <f t="shared" si="83"/>
        <v>#VALUE!</v>
      </c>
      <c r="M117" s="10" t="e">
        <f t="shared" si="98"/>
        <v>#VALUE!</v>
      </c>
      <c r="O117" s="10" t="e">
        <f t="shared" si="99"/>
        <v>#VALUE!</v>
      </c>
      <c r="P117" s="10" t="e">
        <f t="shared" si="84"/>
        <v>#VALUE!</v>
      </c>
      <c r="Q117" s="10" t="e">
        <f t="shared" si="85"/>
        <v>#VALUE!</v>
      </c>
      <c r="R117" s="10" t="e">
        <f t="shared" si="100"/>
        <v>#VALUE!</v>
      </c>
      <c r="S117" s="10" t="e">
        <f t="shared" si="101"/>
        <v>#VALUE!</v>
      </c>
      <c r="T117" s="10" t="e">
        <f t="shared" si="136"/>
        <v>#VALUE!</v>
      </c>
      <c r="U117" s="10" t="e">
        <f t="shared" si="137"/>
        <v>#VALUE!</v>
      </c>
      <c r="V117" s="10" t="e">
        <f t="shared" si="86"/>
        <v>#VALUE!</v>
      </c>
      <c r="W117" s="10" t="e">
        <f t="shared" si="102"/>
        <v>#VALUE!</v>
      </c>
      <c r="Y117" s="10" t="e">
        <f t="shared" si="103"/>
        <v>#VALUE!</v>
      </c>
      <c r="Z117" s="11" t="e">
        <f t="shared" si="104"/>
        <v>#VALUE!</v>
      </c>
      <c r="AA117" s="10" t="e">
        <f t="shared" si="87"/>
        <v>#VALUE!</v>
      </c>
      <c r="AB117" s="10" t="e">
        <f t="shared" si="105"/>
        <v>#VALUE!</v>
      </c>
      <c r="AC117" s="10" t="e">
        <f t="shared" si="106"/>
        <v>#VALUE!</v>
      </c>
      <c r="AD117" s="10" t="e">
        <f t="shared" si="138"/>
        <v>#VALUE!</v>
      </c>
      <c r="AE117" s="10" t="e">
        <f t="shared" si="139"/>
        <v>#VALUE!</v>
      </c>
      <c r="AF117" s="10" t="e">
        <f t="shared" si="88"/>
        <v>#VALUE!</v>
      </c>
      <c r="AG117" s="10" t="e">
        <f t="shared" si="107"/>
        <v>#VALUE!</v>
      </c>
      <c r="AI117" s="13"/>
      <c r="AK117" s="10" t="e">
        <f t="shared" si="108"/>
        <v>#VALUE!</v>
      </c>
      <c r="AL117" s="10" t="e">
        <f t="shared" si="140"/>
        <v>#VALUE!</v>
      </c>
      <c r="AM117" s="10" t="e">
        <f t="shared" si="89"/>
        <v>#VALUE!</v>
      </c>
      <c r="AN117" s="10" t="e">
        <f t="shared" si="109"/>
        <v>#VALUE!</v>
      </c>
      <c r="AO117" s="10" t="e">
        <f t="shared" si="110"/>
        <v>#VALUE!</v>
      </c>
      <c r="AP117" s="10" t="e">
        <f t="shared" si="111"/>
        <v>#VALUE!</v>
      </c>
      <c r="AQ117" s="10" t="e">
        <f t="shared" si="141"/>
        <v>#VALUE!</v>
      </c>
      <c r="AR117" s="10" t="e">
        <f t="shared" si="90"/>
        <v>#VALUE!</v>
      </c>
      <c r="AS117" s="10" t="e">
        <f t="shared" si="142"/>
        <v>#VALUE!</v>
      </c>
      <c r="AU117" s="10" t="e">
        <f t="shared" si="112"/>
        <v>#VALUE!</v>
      </c>
      <c r="AV117" s="10" t="e">
        <f t="shared" si="143"/>
        <v>#VALUE!</v>
      </c>
      <c r="AW117" s="10" t="e">
        <f t="shared" si="91"/>
        <v>#VALUE!</v>
      </c>
      <c r="AX117" s="10" t="e">
        <f t="shared" si="113"/>
        <v>#VALUE!</v>
      </c>
      <c r="AY117" s="10" t="e">
        <f t="shared" si="114"/>
        <v>#VALUE!</v>
      </c>
      <c r="AZ117" s="10" t="e">
        <f t="shared" si="115"/>
        <v>#VALUE!</v>
      </c>
      <c r="BA117" s="10" t="e">
        <f t="shared" si="144"/>
        <v>#VALUE!</v>
      </c>
      <c r="BB117" s="10" t="e">
        <f t="shared" si="92"/>
        <v>#VALUE!</v>
      </c>
      <c r="BC117" s="10" t="e">
        <f t="shared" si="145"/>
        <v>#VALUE!</v>
      </c>
      <c r="BE117" s="10" t="e">
        <f t="shared" si="116"/>
        <v>#VALUE!</v>
      </c>
      <c r="BF117" s="10" t="e">
        <f t="shared" si="146"/>
        <v>#VALUE!</v>
      </c>
      <c r="BG117" s="10" t="e">
        <f t="shared" si="93"/>
        <v>#VALUE!</v>
      </c>
      <c r="BH117" s="10" t="e">
        <f t="shared" si="117"/>
        <v>#VALUE!</v>
      </c>
      <c r="BI117" s="10" t="e">
        <f t="shared" si="118"/>
        <v>#VALUE!</v>
      </c>
      <c r="BJ117" s="10" t="e">
        <f t="shared" si="119"/>
        <v>#VALUE!</v>
      </c>
      <c r="BK117" s="10" t="e">
        <f t="shared" si="147"/>
        <v>#VALUE!</v>
      </c>
      <c r="BL117" s="10" t="e">
        <f t="shared" si="94"/>
        <v>#VALUE!</v>
      </c>
      <c r="BM117" s="10" t="e">
        <f t="shared" si="148"/>
        <v>#VALUE!</v>
      </c>
      <c r="BP117" s="10" t="e">
        <f t="shared" si="120"/>
        <v>#VALUE!</v>
      </c>
      <c r="BQ117" s="10" t="e">
        <f t="shared" si="121"/>
        <v>#VALUE!</v>
      </c>
      <c r="BR117" s="10" t="e">
        <f t="shared" si="122"/>
        <v>#VALUE!</v>
      </c>
      <c r="BS117" s="10" t="e">
        <f t="shared" si="123"/>
        <v>#VALUE!</v>
      </c>
      <c r="BT117" s="10" t="e">
        <f t="shared" si="124"/>
        <v>#VALUE!</v>
      </c>
      <c r="BU117" s="10" t="e">
        <f t="shared" si="125"/>
        <v>#VALUE!</v>
      </c>
      <c r="BW117" s="10" t="e">
        <f t="shared" si="126"/>
        <v>#VALUE!</v>
      </c>
      <c r="BX117" s="10" t="e">
        <f t="shared" si="127"/>
        <v>#VALUE!</v>
      </c>
      <c r="BY117" s="10" t="e">
        <f t="shared" si="128"/>
        <v>#VALUE!</v>
      </c>
      <c r="BZ117" s="10" t="e">
        <f t="shared" si="129"/>
        <v>#VALUE!</v>
      </c>
      <c r="CA117" s="10" t="e">
        <f t="shared" si="130"/>
        <v>#VALUE!</v>
      </c>
      <c r="CB117" s="10" t="e">
        <f t="shared" si="131"/>
        <v>#VALUE!</v>
      </c>
      <c r="CD117" s="10" t="e">
        <f>MATCH(INDEX($BP$12:$BU$12,1,MATCH(BP117,$BP$15:$BU$15,0)),结果汇总!$AI$10:$AI$13,0)</f>
        <v>#VALUE!</v>
      </c>
      <c r="CE117" s="10" t="e">
        <f>MATCH(INDEX($BP$12:$BU$12,1,MATCH(BQ117,$BP$15:$BU$15,0)),结果汇总!$AI$10:$AI$13,0)</f>
        <v>#VALUE!</v>
      </c>
      <c r="CF117" s="10" t="e">
        <f>MATCH(INDEX($BP$12:$BU$12,1,MATCH(BR117,$BP$15:$BU$15,0)),结果汇总!$AI$10:$AI$13,0)</f>
        <v>#VALUE!</v>
      </c>
      <c r="CG117" s="10" t="e">
        <f>MATCH(INDEX($BP$12:$BU$12,1,MATCH(BS117,$BP$15:$BU$15,0)),结果汇总!$AI$10:$AI$13,0)</f>
        <v>#VALUE!</v>
      </c>
      <c r="CH117" s="10" t="e">
        <f>MATCH(INDEX($BP$12:$BU$12,1,MATCH(BT117,$BP$15:$BU$15,0)),结果汇总!$AI$10:$AI$13,0)</f>
        <v>#VALUE!</v>
      </c>
      <c r="CI117" s="10" t="e">
        <f>MATCH(INDEX($BP$12:$BU$12,1,MATCH(BU117,$BP$15:$BU$15,0)),结果汇总!$AI$10:$AI$13,0)</f>
        <v>#VALUE!</v>
      </c>
      <c r="CK117" s="10">
        <f t="shared" si="149"/>
        <v>0</v>
      </c>
      <c r="CL117" s="10">
        <f t="shared" si="149"/>
        <v>0</v>
      </c>
      <c r="CM117" s="10">
        <f t="shared" si="149"/>
        <v>0</v>
      </c>
      <c r="CN117" s="10">
        <f t="shared" si="149"/>
        <v>0</v>
      </c>
      <c r="CO117" s="10" t="e">
        <f t="shared" si="150"/>
        <v>#DIV/0!</v>
      </c>
      <c r="CP117" s="10" t="e">
        <f t="shared" si="150"/>
        <v>#DIV/0!</v>
      </c>
      <c r="CQ117" s="10" t="e">
        <f t="shared" si="150"/>
        <v>#DIV/0!</v>
      </c>
      <c r="CR117" s="10" t="e">
        <f t="shared" si="150"/>
        <v>#DIV/0!</v>
      </c>
      <c r="CS117" s="10">
        <f t="shared" si="151"/>
        <v>0</v>
      </c>
      <c r="CT117" s="10">
        <f t="shared" si="151"/>
        <v>0</v>
      </c>
      <c r="CU117" s="10">
        <f t="shared" si="151"/>
        <v>0</v>
      </c>
      <c r="CV117" s="10">
        <f t="shared" si="151"/>
        <v>0</v>
      </c>
      <c r="CW117" s="10">
        <f t="shared" si="152"/>
        <v>0</v>
      </c>
      <c r="CX117" s="10">
        <f t="shared" si="152"/>
        <v>0</v>
      </c>
      <c r="CY117" s="10">
        <f t="shared" si="152"/>
        <v>0</v>
      </c>
      <c r="CZ117" s="10">
        <f t="shared" si="152"/>
        <v>0</v>
      </c>
    </row>
    <row r="118" spans="4:104" x14ac:dyDescent="0.15">
      <c r="D118" s="10">
        <v>103</v>
      </c>
      <c r="E118" s="10" t="e">
        <f t="shared" si="95"/>
        <v>#VALUE!</v>
      </c>
      <c r="F118" s="10" t="e">
        <f t="shared" si="79"/>
        <v>#VALUE!</v>
      </c>
      <c r="G118" s="10" t="e">
        <f t="shared" si="80"/>
        <v>#VALUE!</v>
      </c>
      <c r="H118" s="10" t="e">
        <f t="shared" si="96"/>
        <v>#VALUE!</v>
      </c>
      <c r="I118" s="10" t="e">
        <f t="shared" si="81"/>
        <v>#VALUE!</v>
      </c>
      <c r="J118" s="10" t="e">
        <f t="shared" si="97"/>
        <v>#VALUE!</v>
      </c>
      <c r="K118" s="10" t="e">
        <f t="shared" si="82"/>
        <v>#VALUE!</v>
      </c>
      <c r="L118" s="10" t="e">
        <f t="shared" si="83"/>
        <v>#VALUE!</v>
      </c>
      <c r="M118" s="10" t="e">
        <f t="shared" si="98"/>
        <v>#VALUE!</v>
      </c>
      <c r="O118" s="10" t="e">
        <f t="shared" si="99"/>
        <v>#VALUE!</v>
      </c>
      <c r="P118" s="10" t="e">
        <f t="shared" si="84"/>
        <v>#VALUE!</v>
      </c>
      <c r="Q118" s="10" t="e">
        <f t="shared" si="85"/>
        <v>#VALUE!</v>
      </c>
      <c r="R118" s="10" t="e">
        <f t="shared" si="100"/>
        <v>#VALUE!</v>
      </c>
      <c r="S118" s="10" t="e">
        <f t="shared" si="101"/>
        <v>#VALUE!</v>
      </c>
      <c r="T118" s="10" t="e">
        <f t="shared" si="136"/>
        <v>#VALUE!</v>
      </c>
      <c r="U118" s="10" t="e">
        <f t="shared" si="137"/>
        <v>#VALUE!</v>
      </c>
      <c r="V118" s="10" t="e">
        <f t="shared" si="86"/>
        <v>#VALUE!</v>
      </c>
      <c r="W118" s="10" t="e">
        <f t="shared" si="102"/>
        <v>#VALUE!</v>
      </c>
      <c r="Y118" s="10" t="e">
        <f t="shared" si="103"/>
        <v>#VALUE!</v>
      </c>
      <c r="Z118" s="11" t="e">
        <f t="shared" si="104"/>
        <v>#VALUE!</v>
      </c>
      <c r="AA118" s="10" t="e">
        <f t="shared" si="87"/>
        <v>#VALUE!</v>
      </c>
      <c r="AB118" s="10" t="e">
        <f t="shared" si="105"/>
        <v>#VALUE!</v>
      </c>
      <c r="AC118" s="10" t="e">
        <f t="shared" si="106"/>
        <v>#VALUE!</v>
      </c>
      <c r="AD118" s="10" t="e">
        <f t="shared" si="138"/>
        <v>#VALUE!</v>
      </c>
      <c r="AE118" s="10" t="e">
        <f t="shared" si="139"/>
        <v>#VALUE!</v>
      </c>
      <c r="AF118" s="10" t="e">
        <f t="shared" si="88"/>
        <v>#VALUE!</v>
      </c>
      <c r="AG118" s="10" t="e">
        <f t="shared" si="107"/>
        <v>#VALUE!</v>
      </c>
      <c r="AI118" s="13"/>
      <c r="AK118" s="10" t="e">
        <f t="shared" si="108"/>
        <v>#VALUE!</v>
      </c>
      <c r="AL118" s="10" t="e">
        <f t="shared" si="140"/>
        <v>#VALUE!</v>
      </c>
      <c r="AM118" s="10" t="e">
        <f t="shared" si="89"/>
        <v>#VALUE!</v>
      </c>
      <c r="AN118" s="10" t="e">
        <f t="shared" si="109"/>
        <v>#VALUE!</v>
      </c>
      <c r="AO118" s="10" t="e">
        <f t="shared" si="110"/>
        <v>#VALUE!</v>
      </c>
      <c r="AP118" s="10" t="e">
        <f t="shared" si="111"/>
        <v>#VALUE!</v>
      </c>
      <c r="AQ118" s="10" t="e">
        <f t="shared" si="141"/>
        <v>#VALUE!</v>
      </c>
      <c r="AR118" s="10" t="e">
        <f t="shared" si="90"/>
        <v>#VALUE!</v>
      </c>
      <c r="AS118" s="10" t="e">
        <f t="shared" si="142"/>
        <v>#VALUE!</v>
      </c>
      <c r="AU118" s="10" t="e">
        <f t="shared" si="112"/>
        <v>#VALUE!</v>
      </c>
      <c r="AV118" s="10" t="e">
        <f t="shared" si="143"/>
        <v>#VALUE!</v>
      </c>
      <c r="AW118" s="10" t="e">
        <f t="shared" si="91"/>
        <v>#VALUE!</v>
      </c>
      <c r="AX118" s="10" t="e">
        <f t="shared" si="113"/>
        <v>#VALUE!</v>
      </c>
      <c r="AY118" s="10" t="e">
        <f t="shared" si="114"/>
        <v>#VALUE!</v>
      </c>
      <c r="AZ118" s="10" t="e">
        <f t="shared" si="115"/>
        <v>#VALUE!</v>
      </c>
      <c r="BA118" s="10" t="e">
        <f t="shared" si="144"/>
        <v>#VALUE!</v>
      </c>
      <c r="BB118" s="10" t="e">
        <f t="shared" si="92"/>
        <v>#VALUE!</v>
      </c>
      <c r="BC118" s="10" t="e">
        <f t="shared" si="145"/>
        <v>#VALUE!</v>
      </c>
      <c r="BE118" s="10" t="e">
        <f t="shared" si="116"/>
        <v>#VALUE!</v>
      </c>
      <c r="BF118" s="10" t="e">
        <f t="shared" si="146"/>
        <v>#VALUE!</v>
      </c>
      <c r="BG118" s="10" t="e">
        <f t="shared" si="93"/>
        <v>#VALUE!</v>
      </c>
      <c r="BH118" s="10" t="e">
        <f t="shared" si="117"/>
        <v>#VALUE!</v>
      </c>
      <c r="BI118" s="10" t="e">
        <f t="shared" si="118"/>
        <v>#VALUE!</v>
      </c>
      <c r="BJ118" s="10" t="e">
        <f t="shared" si="119"/>
        <v>#VALUE!</v>
      </c>
      <c r="BK118" s="10" t="e">
        <f t="shared" si="147"/>
        <v>#VALUE!</v>
      </c>
      <c r="BL118" s="10" t="e">
        <f t="shared" si="94"/>
        <v>#VALUE!</v>
      </c>
      <c r="BM118" s="10" t="e">
        <f t="shared" si="148"/>
        <v>#VALUE!</v>
      </c>
      <c r="BP118" s="10" t="e">
        <f t="shared" si="120"/>
        <v>#VALUE!</v>
      </c>
      <c r="BQ118" s="10" t="e">
        <f t="shared" si="121"/>
        <v>#VALUE!</v>
      </c>
      <c r="BR118" s="10" t="e">
        <f t="shared" si="122"/>
        <v>#VALUE!</v>
      </c>
      <c r="BS118" s="10" t="e">
        <f t="shared" si="123"/>
        <v>#VALUE!</v>
      </c>
      <c r="BT118" s="10" t="e">
        <f t="shared" si="124"/>
        <v>#VALUE!</v>
      </c>
      <c r="BU118" s="10" t="e">
        <f t="shared" si="125"/>
        <v>#VALUE!</v>
      </c>
      <c r="BW118" s="10" t="e">
        <f t="shared" si="126"/>
        <v>#VALUE!</v>
      </c>
      <c r="BX118" s="10" t="e">
        <f t="shared" si="127"/>
        <v>#VALUE!</v>
      </c>
      <c r="BY118" s="10" t="e">
        <f t="shared" si="128"/>
        <v>#VALUE!</v>
      </c>
      <c r="BZ118" s="10" t="e">
        <f t="shared" si="129"/>
        <v>#VALUE!</v>
      </c>
      <c r="CA118" s="10" t="e">
        <f t="shared" si="130"/>
        <v>#VALUE!</v>
      </c>
      <c r="CB118" s="10" t="e">
        <f t="shared" si="131"/>
        <v>#VALUE!</v>
      </c>
      <c r="CD118" s="10" t="e">
        <f>MATCH(INDEX($BP$12:$BU$12,1,MATCH(BP118,$BP$15:$BU$15,0)),结果汇总!$AI$10:$AI$13,0)</f>
        <v>#VALUE!</v>
      </c>
      <c r="CE118" s="10" t="e">
        <f>MATCH(INDEX($BP$12:$BU$12,1,MATCH(BQ118,$BP$15:$BU$15,0)),结果汇总!$AI$10:$AI$13,0)</f>
        <v>#VALUE!</v>
      </c>
      <c r="CF118" s="10" t="e">
        <f>MATCH(INDEX($BP$12:$BU$12,1,MATCH(BR118,$BP$15:$BU$15,0)),结果汇总!$AI$10:$AI$13,0)</f>
        <v>#VALUE!</v>
      </c>
      <c r="CG118" s="10" t="e">
        <f>MATCH(INDEX($BP$12:$BU$12,1,MATCH(BS118,$BP$15:$BU$15,0)),结果汇总!$AI$10:$AI$13,0)</f>
        <v>#VALUE!</v>
      </c>
      <c r="CH118" s="10" t="e">
        <f>MATCH(INDEX($BP$12:$BU$12,1,MATCH(BT118,$BP$15:$BU$15,0)),结果汇总!$AI$10:$AI$13,0)</f>
        <v>#VALUE!</v>
      </c>
      <c r="CI118" s="10" t="e">
        <f>MATCH(INDEX($BP$12:$BU$12,1,MATCH(BU118,$BP$15:$BU$15,0)),结果汇总!$AI$10:$AI$13,0)</f>
        <v>#VALUE!</v>
      </c>
      <c r="CK118" s="10">
        <f t="shared" si="149"/>
        <v>0</v>
      </c>
      <c r="CL118" s="10">
        <f t="shared" si="149"/>
        <v>0</v>
      </c>
      <c r="CM118" s="10">
        <f t="shared" si="149"/>
        <v>0</v>
      </c>
      <c r="CN118" s="10">
        <f t="shared" si="149"/>
        <v>0</v>
      </c>
      <c r="CO118" s="10" t="e">
        <f t="shared" si="150"/>
        <v>#DIV/0!</v>
      </c>
      <c r="CP118" s="10" t="e">
        <f t="shared" si="150"/>
        <v>#DIV/0!</v>
      </c>
      <c r="CQ118" s="10" t="e">
        <f t="shared" si="150"/>
        <v>#DIV/0!</v>
      </c>
      <c r="CR118" s="10" t="e">
        <f t="shared" si="150"/>
        <v>#DIV/0!</v>
      </c>
      <c r="CS118" s="10">
        <f t="shared" si="151"/>
        <v>0</v>
      </c>
      <c r="CT118" s="10">
        <f t="shared" si="151"/>
        <v>0</v>
      </c>
      <c r="CU118" s="10">
        <f t="shared" si="151"/>
        <v>0</v>
      </c>
      <c r="CV118" s="10">
        <f t="shared" si="151"/>
        <v>0</v>
      </c>
      <c r="CW118" s="10">
        <f t="shared" si="152"/>
        <v>0</v>
      </c>
      <c r="CX118" s="10">
        <f t="shared" si="152"/>
        <v>0</v>
      </c>
      <c r="CY118" s="10">
        <f t="shared" si="152"/>
        <v>0</v>
      </c>
      <c r="CZ118" s="10">
        <f t="shared" si="152"/>
        <v>0</v>
      </c>
    </row>
    <row r="119" spans="4:104" x14ac:dyDescent="0.15">
      <c r="D119" s="10">
        <v>104</v>
      </c>
      <c r="E119" s="10" t="e">
        <f t="shared" si="95"/>
        <v>#VALUE!</v>
      </c>
      <c r="F119" s="10" t="e">
        <f t="shared" si="79"/>
        <v>#VALUE!</v>
      </c>
      <c r="G119" s="10" t="e">
        <f t="shared" si="80"/>
        <v>#VALUE!</v>
      </c>
      <c r="H119" s="10" t="e">
        <f t="shared" si="96"/>
        <v>#VALUE!</v>
      </c>
      <c r="I119" s="10" t="e">
        <f t="shared" si="81"/>
        <v>#VALUE!</v>
      </c>
      <c r="J119" s="10" t="e">
        <f t="shared" si="97"/>
        <v>#VALUE!</v>
      </c>
      <c r="K119" s="10" t="e">
        <f t="shared" si="82"/>
        <v>#VALUE!</v>
      </c>
      <c r="L119" s="10" t="e">
        <f t="shared" si="83"/>
        <v>#VALUE!</v>
      </c>
      <c r="M119" s="10" t="e">
        <f t="shared" si="98"/>
        <v>#VALUE!</v>
      </c>
      <c r="O119" s="10" t="e">
        <f t="shared" si="99"/>
        <v>#VALUE!</v>
      </c>
      <c r="P119" s="10" t="e">
        <f t="shared" si="84"/>
        <v>#VALUE!</v>
      </c>
      <c r="Q119" s="10" t="e">
        <f t="shared" si="85"/>
        <v>#VALUE!</v>
      </c>
      <c r="R119" s="10" t="e">
        <f t="shared" si="100"/>
        <v>#VALUE!</v>
      </c>
      <c r="S119" s="10" t="e">
        <f t="shared" si="101"/>
        <v>#VALUE!</v>
      </c>
      <c r="T119" s="10" t="e">
        <f t="shared" si="136"/>
        <v>#VALUE!</v>
      </c>
      <c r="U119" s="10" t="e">
        <f t="shared" si="137"/>
        <v>#VALUE!</v>
      </c>
      <c r="V119" s="10" t="e">
        <f t="shared" si="86"/>
        <v>#VALUE!</v>
      </c>
      <c r="W119" s="10" t="e">
        <f t="shared" si="102"/>
        <v>#VALUE!</v>
      </c>
      <c r="Y119" s="10" t="e">
        <f t="shared" si="103"/>
        <v>#VALUE!</v>
      </c>
      <c r="Z119" s="11" t="e">
        <f t="shared" si="104"/>
        <v>#VALUE!</v>
      </c>
      <c r="AA119" s="10" t="e">
        <f t="shared" si="87"/>
        <v>#VALUE!</v>
      </c>
      <c r="AB119" s="10" t="e">
        <f t="shared" si="105"/>
        <v>#VALUE!</v>
      </c>
      <c r="AC119" s="10" t="e">
        <f t="shared" si="106"/>
        <v>#VALUE!</v>
      </c>
      <c r="AD119" s="10" t="e">
        <f t="shared" si="138"/>
        <v>#VALUE!</v>
      </c>
      <c r="AE119" s="10" t="e">
        <f t="shared" si="139"/>
        <v>#VALUE!</v>
      </c>
      <c r="AF119" s="10" t="e">
        <f t="shared" si="88"/>
        <v>#VALUE!</v>
      </c>
      <c r="AG119" s="10" t="e">
        <f t="shared" si="107"/>
        <v>#VALUE!</v>
      </c>
      <c r="AI119" s="13"/>
      <c r="AK119" s="10" t="e">
        <f t="shared" si="108"/>
        <v>#VALUE!</v>
      </c>
      <c r="AL119" s="10" t="e">
        <f t="shared" si="140"/>
        <v>#VALUE!</v>
      </c>
      <c r="AM119" s="10" t="e">
        <f t="shared" si="89"/>
        <v>#VALUE!</v>
      </c>
      <c r="AN119" s="10" t="e">
        <f t="shared" si="109"/>
        <v>#VALUE!</v>
      </c>
      <c r="AO119" s="10" t="e">
        <f t="shared" si="110"/>
        <v>#VALUE!</v>
      </c>
      <c r="AP119" s="10" t="e">
        <f t="shared" si="111"/>
        <v>#VALUE!</v>
      </c>
      <c r="AQ119" s="10" t="e">
        <f t="shared" si="141"/>
        <v>#VALUE!</v>
      </c>
      <c r="AR119" s="10" t="e">
        <f t="shared" si="90"/>
        <v>#VALUE!</v>
      </c>
      <c r="AS119" s="10" t="e">
        <f t="shared" si="142"/>
        <v>#VALUE!</v>
      </c>
      <c r="AU119" s="10" t="e">
        <f t="shared" si="112"/>
        <v>#VALUE!</v>
      </c>
      <c r="AV119" s="10" t="e">
        <f t="shared" si="143"/>
        <v>#VALUE!</v>
      </c>
      <c r="AW119" s="10" t="e">
        <f t="shared" si="91"/>
        <v>#VALUE!</v>
      </c>
      <c r="AX119" s="10" t="e">
        <f t="shared" si="113"/>
        <v>#VALUE!</v>
      </c>
      <c r="AY119" s="10" t="e">
        <f t="shared" si="114"/>
        <v>#VALUE!</v>
      </c>
      <c r="AZ119" s="10" t="e">
        <f t="shared" si="115"/>
        <v>#VALUE!</v>
      </c>
      <c r="BA119" s="10" t="e">
        <f t="shared" si="144"/>
        <v>#VALUE!</v>
      </c>
      <c r="BB119" s="10" t="e">
        <f t="shared" si="92"/>
        <v>#VALUE!</v>
      </c>
      <c r="BC119" s="10" t="e">
        <f t="shared" si="145"/>
        <v>#VALUE!</v>
      </c>
      <c r="BE119" s="10" t="e">
        <f t="shared" si="116"/>
        <v>#VALUE!</v>
      </c>
      <c r="BF119" s="10" t="e">
        <f t="shared" si="146"/>
        <v>#VALUE!</v>
      </c>
      <c r="BG119" s="10" t="e">
        <f t="shared" si="93"/>
        <v>#VALUE!</v>
      </c>
      <c r="BH119" s="10" t="e">
        <f t="shared" si="117"/>
        <v>#VALUE!</v>
      </c>
      <c r="BI119" s="10" t="e">
        <f t="shared" si="118"/>
        <v>#VALUE!</v>
      </c>
      <c r="BJ119" s="10" t="e">
        <f t="shared" si="119"/>
        <v>#VALUE!</v>
      </c>
      <c r="BK119" s="10" t="e">
        <f t="shared" si="147"/>
        <v>#VALUE!</v>
      </c>
      <c r="BL119" s="10" t="e">
        <f t="shared" si="94"/>
        <v>#VALUE!</v>
      </c>
      <c r="BM119" s="10" t="e">
        <f t="shared" si="148"/>
        <v>#VALUE!</v>
      </c>
      <c r="BP119" s="10" t="e">
        <f t="shared" si="120"/>
        <v>#VALUE!</v>
      </c>
      <c r="BQ119" s="10" t="e">
        <f t="shared" si="121"/>
        <v>#VALUE!</v>
      </c>
      <c r="BR119" s="10" t="e">
        <f t="shared" si="122"/>
        <v>#VALUE!</v>
      </c>
      <c r="BS119" s="10" t="e">
        <f t="shared" si="123"/>
        <v>#VALUE!</v>
      </c>
      <c r="BT119" s="10" t="e">
        <f t="shared" si="124"/>
        <v>#VALUE!</v>
      </c>
      <c r="BU119" s="10" t="e">
        <f t="shared" si="125"/>
        <v>#VALUE!</v>
      </c>
      <c r="BW119" s="10" t="e">
        <f t="shared" si="126"/>
        <v>#VALUE!</v>
      </c>
      <c r="BX119" s="10" t="e">
        <f t="shared" si="127"/>
        <v>#VALUE!</v>
      </c>
      <c r="BY119" s="10" t="e">
        <f t="shared" si="128"/>
        <v>#VALUE!</v>
      </c>
      <c r="BZ119" s="10" t="e">
        <f t="shared" si="129"/>
        <v>#VALUE!</v>
      </c>
      <c r="CA119" s="10" t="e">
        <f t="shared" si="130"/>
        <v>#VALUE!</v>
      </c>
      <c r="CB119" s="10" t="e">
        <f t="shared" si="131"/>
        <v>#VALUE!</v>
      </c>
      <c r="CD119" s="10" t="e">
        <f>MATCH(INDEX($BP$12:$BU$12,1,MATCH(BP119,$BP$15:$BU$15,0)),结果汇总!$AI$10:$AI$13,0)</f>
        <v>#VALUE!</v>
      </c>
      <c r="CE119" s="10" t="e">
        <f>MATCH(INDEX($BP$12:$BU$12,1,MATCH(BQ119,$BP$15:$BU$15,0)),结果汇总!$AI$10:$AI$13,0)</f>
        <v>#VALUE!</v>
      </c>
      <c r="CF119" s="10" t="e">
        <f>MATCH(INDEX($BP$12:$BU$12,1,MATCH(BR119,$BP$15:$BU$15,0)),结果汇总!$AI$10:$AI$13,0)</f>
        <v>#VALUE!</v>
      </c>
      <c r="CG119" s="10" t="e">
        <f>MATCH(INDEX($BP$12:$BU$12,1,MATCH(BS119,$BP$15:$BU$15,0)),结果汇总!$AI$10:$AI$13,0)</f>
        <v>#VALUE!</v>
      </c>
      <c r="CH119" s="10" t="e">
        <f>MATCH(INDEX($BP$12:$BU$12,1,MATCH(BT119,$BP$15:$BU$15,0)),结果汇总!$AI$10:$AI$13,0)</f>
        <v>#VALUE!</v>
      </c>
      <c r="CI119" s="10" t="e">
        <f>MATCH(INDEX($BP$12:$BU$12,1,MATCH(BU119,$BP$15:$BU$15,0)),结果汇总!$AI$10:$AI$13,0)</f>
        <v>#VALUE!</v>
      </c>
      <c r="CK119" s="10">
        <f t="shared" si="149"/>
        <v>0</v>
      </c>
      <c r="CL119" s="10">
        <f t="shared" si="149"/>
        <v>0</v>
      </c>
      <c r="CM119" s="10">
        <f t="shared" si="149"/>
        <v>0</v>
      </c>
      <c r="CN119" s="10">
        <f t="shared" si="149"/>
        <v>0</v>
      </c>
      <c r="CO119" s="10" t="e">
        <f t="shared" si="150"/>
        <v>#DIV/0!</v>
      </c>
      <c r="CP119" s="10" t="e">
        <f t="shared" si="150"/>
        <v>#DIV/0!</v>
      </c>
      <c r="CQ119" s="10" t="e">
        <f t="shared" si="150"/>
        <v>#DIV/0!</v>
      </c>
      <c r="CR119" s="10" t="e">
        <f t="shared" si="150"/>
        <v>#DIV/0!</v>
      </c>
      <c r="CS119" s="10">
        <f t="shared" si="151"/>
        <v>0</v>
      </c>
      <c r="CT119" s="10">
        <f t="shared" si="151"/>
        <v>0</v>
      </c>
      <c r="CU119" s="10">
        <f t="shared" si="151"/>
        <v>0</v>
      </c>
      <c r="CV119" s="10">
        <f t="shared" si="151"/>
        <v>0</v>
      </c>
      <c r="CW119" s="10">
        <f t="shared" si="152"/>
        <v>0</v>
      </c>
      <c r="CX119" s="10">
        <f t="shared" si="152"/>
        <v>0</v>
      </c>
      <c r="CY119" s="10">
        <f t="shared" si="152"/>
        <v>0</v>
      </c>
      <c r="CZ119" s="10">
        <f t="shared" si="152"/>
        <v>0</v>
      </c>
    </row>
    <row r="120" spans="4:104" x14ac:dyDescent="0.15">
      <c r="D120" s="10">
        <v>105</v>
      </c>
      <c r="E120" s="10" t="e">
        <f t="shared" si="95"/>
        <v>#VALUE!</v>
      </c>
      <c r="F120" s="10" t="e">
        <f t="shared" si="79"/>
        <v>#VALUE!</v>
      </c>
      <c r="G120" s="10" t="e">
        <f t="shared" si="80"/>
        <v>#VALUE!</v>
      </c>
      <c r="H120" s="10" t="e">
        <f t="shared" si="96"/>
        <v>#VALUE!</v>
      </c>
      <c r="I120" s="10" t="e">
        <f t="shared" si="81"/>
        <v>#VALUE!</v>
      </c>
      <c r="J120" s="10" t="e">
        <f t="shared" si="97"/>
        <v>#VALUE!</v>
      </c>
      <c r="K120" s="10" t="e">
        <f t="shared" si="82"/>
        <v>#VALUE!</v>
      </c>
      <c r="L120" s="10" t="e">
        <f t="shared" si="83"/>
        <v>#VALUE!</v>
      </c>
      <c r="M120" s="10" t="e">
        <f t="shared" si="98"/>
        <v>#VALUE!</v>
      </c>
      <c r="O120" s="10" t="e">
        <f t="shared" si="99"/>
        <v>#VALUE!</v>
      </c>
      <c r="P120" s="10" t="e">
        <f t="shared" si="84"/>
        <v>#VALUE!</v>
      </c>
      <c r="Q120" s="10" t="e">
        <f t="shared" si="85"/>
        <v>#VALUE!</v>
      </c>
      <c r="R120" s="10" t="e">
        <f t="shared" si="100"/>
        <v>#VALUE!</v>
      </c>
      <c r="S120" s="10" t="e">
        <f t="shared" si="101"/>
        <v>#VALUE!</v>
      </c>
      <c r="T120" s="10" t="e">
        <f t="shared" si="136"/>
        <v>#VALUE!</v>
      </c>
      <c r="U120" s="10" t="e">
        <f t="shared" si="137"/>
        <v>#VALUE!</v>
      </c>
      <c r="V120" s="10" t="e">
        <f t="shared" si="86"/>
        <v>#VALUE!</v>
      </c>
      <c r="W120" s="10" t="e">
        <f t="shared" si="102"/>
        <v>#VALUE!</v>
      </c>
      <c r="Y120" s="10" t="e">
        <f t="shared" si="103"/>
        <v>#VALUE!</v>
      </c>
      <c r="Z120" s="11" t="e">
        <f t="shared" si="104"/>
        <v>#VALUE!</v>
      </c>
      <c r="AA120" s="10" t="e">
        <f t="shared" si="87"/>
        <v>#VALUE!</v>
      </c>
      <c r="AB120" s="10" t="e">
        <f t="shared" si="105"/>
        <v>#VALUE!</v>
      </c>
      <c r="AC120" s="10" t="e">
        <f t="shared" si="106"/>
        <v>#VALUE!</v>
      </c>
      <c r="AD120" s="10" t="e">
        <f t="shared" si="138"/>
        <v>#VALUE!</v>
      </c>
      <c r="AE120" s="10" t="e">
        <f t="shared" si="139"/>
        <v>#VALUE!</v>
      </c>
      <c r="AF120" s="10" t="e">
        <f t="shared" si="88"/>
        <v>#VALUE!</v>
      </c>
      <c r="AG120" s="10" t="e">
        <f t="shared" si="107"/>
        <v>#VALUE!</v>
      </c>
      <c r="AI120" s="13"/>
      <c r="AK120" s="10" t="e">
        <f t="shared" si="108"/>
        <v>#VALUE!</v>
      </c>
      <c r="AL120" s="10" t="e">
        <f t="shared" si="140"/>
        <v>#VALUE!</v>
      </c>
      <c r="AM120" s="10" t="e">
        <f t="shared" si="89"/>
        <v>#VALUE!</v>
      </c>
      <c r="AN120" s="10" t="e">
        <f t="shared" si="109"/>
        <v>#VALUE!</v>
      </c>
      <c r="AO120" s="10" t="e">
        <f t="shared" si="110"/>
        <v>#VALUE!</v>
      </c>
      <c r="AP120" s="10" t="e">
        <f t="shared" si="111"/>
        <v>#VALUE!</v>
      </c>
      <c r="AQ120" s="10" t="e">
        <f t="shared" si="141"/>
        <v>#VALUE!</v>
      </c>
      <c r="AR120" s="10" t="e">
        <f t="shared" si="90"/>
        <v>#VALUE!</v>
      </c>
      <c r="AS120" s="10" t="e">
        <f t="shared" si="142"/>
        <v>#VALUE!</v>
      </c>
      <c r="AU120" s="10" t="e">
        <f t="shared" si="112"/>
        <v>#VALUE!</v>
      </c>
      <c r="AV120" s="10" t="e">
        <f t="shared" si="143"/>
        <v>#VALUE!</v>
      </c>
      <c r="AW120" s="10" t="e">
        <f t="shared" si="91"/>
        <v>#VALUE!</v>
      </c>
      <c r="AX120" s="10" t="e">
        <f t="shared" si="113"/>
        <v>#VALUE!</v>
      </c>
      <c r="AY120" s="10" t="e">
        <f t="shared" si="114"/>
        <v>#VALUE!</v>
      </c>
      <c r="AZ120" s="10" t="e">
        <f t="shared" si="115"/>
        <v>#VALUE!</v>
      </c>
      <c r="BA120" s="10" t="e">
        <f t="shared" si="144"/>
        <v>#VALUE!</v>
      </c>
      <c r="BB120" s="10" t="e">
        <f t="shared" si="92"/>
        <v>#VALUE!</v>
      </c>
      <c r="BC120" s="10" t="e">
        <f t="shared" si="145"/>
        <v>#VALUE!</v>
      </c>
      <c r="BE120" s="10" t="e">
        <f t="shared" si="116"/>
        <v>#VALUE!</v>
      </c>
      <c r="BF120" s="10" t="e">
        <f t="shared" si="146"/>
        <v>#VALUE!</v>
      </c>
      <c r="BG120" s="10" t="e">
        <f t="shared" si="93"/>
        <v>#VALUE!</v>
      </c>
      <c r="BH120" s="10" t="e">
        <f t="shared" si="117"/>
        <v>#VALUE!</v>
      </c>
      <c r="BI120" s="10" t="e">
        <f t="shared" si="118"/>
        <v>#VALUE!</v>
      </c>
      <c r="BJ120" s="10" t="e">
        <f t="shared" si="119"/>
        <v>#VALUE!</v>
      </c>
      <c r="BK120" s="10" t="e">
        <f t="shared" si="147"/>
        <v>#VALUE!</v>
      </c>
      <c r="BL120" s="10" t="e">
        <f t="shared" si="94"/>
        <v>#VALUE!</v>
      </c>
      <c r="BM120" s="10" t="e">
        <f t="shared" si="148"/>
        <v>#VALUE!</v>
      </c>
      <c r="BP120" s="10" t="e">
        <f t="shared" si="120"/>
        <v>#VALUE!</v>
      </c>
      <c r="BQ120" s="10" t="e">
        <f t="shared" si="121"/>
        <v>#VALUE!</v>
      </c>
      <c r="BR120" s="10" t="e">
        <f t="shared" si="122"/>
        <v>#VALUE!</v>
      </c>
      <c r="BS120" s="10" t="e">
        <f t="shared" si="123"/>
        <v>#VALUE!</v>
      </c>
      <c r="BT120" s="10" t="e">
        <f t="shared" si="124"/>
        <v>#VALUE!</v>
      </c>
      <c r="BU120" s="10" t="e">
        <f t="shared" si="125"/>
        <v>#VALUE!</v>
      </c>
      <c r="BW120" s="10" t="e">
        <f t="shared" si="126"/>
        <v>#VALUE!</v>
      </c>
      <c r="BX120" s="10" t="e">
        <f t="shared" si="127"/>
        <v>#VALUE!</v>
      </c>
      <c r="BY120" s="10" t="e">
        <f t="shared" si="128"/>
        <v>#VALUE!</v>
      </c>
      <c r="BZ120" s="10" t="e">
        <f t="shared" si="129"/>
        <v>#VALUE!</v>
      </c>
      <c r="CA120" s="10" t="e">
        <f t="shared" si="130"/>
        <v>#VALUE!</v>
      </c>
      <c r="CB120" s="10" t="e">
        <f t="shared" si="131"/>
        <v>#VALUE!</v>
      </c>
      <c r="CD120" s="10" t="e">
        <f>MATCH(INDEX($BP$12:$BU$12,1,MATCH(BP120,$BP$15:$BU$15,0)),结果汇总!$AI$10:$AI$13,0)</f>
        <v>#VALUE!</v>
      </c>
      <c r="CE120" s="10" t="e">
        <f>MATCH(INDEX($BP$12:$BU$12,1,MATCH(BQ120,$BP$15:$BU$15,0)),结果汇总!$AI$10:$AI$13,0)</f>
        <v>#VALUE!</v>
      </c>
      <c r="CF120" s="10" t="e">
        <f>MATCH(INDEX($BP$12:$BU$12,1,MATCH(BR120,$BP$15:$BU$15,0)),结果汇总!$AI$10:$AI$13,0)</f>
        <v>#VALUE!</v>
      </c>
      <c r="CG120" s="10" t="e">
        <f>MATCH(INDEX($BP$12:$BU$12,1,MATCH(BS120,$BP$15:$BU$15,0)),结果汇总!$AI$10:$AI$13,0)</f>
        <v>#VALUE!</v>
      </c>
      <c r="CH120" s="10" t="e">
        <f>MATCH(INDEX($BP$12:$BU$12,1,MATCH(BT120,$BP$15:$BU$15,0)),结果汇总!$AI$10:$AI$13,0)</f>
        <v>#VALUE!</v>
      </c>
      <c r="CI120" s="10" t="e">
        <f>MATCH(INDEX($BP$12:$BU$12,1,MATCH(BU120,$BP$15:$BU$15,0)),结果汇总!$AI$10:$AI$13,0)</f>
        <v>#VALUE!</v>
      </c>
      <c r="CK120" s="10">
        <f t="shared" si="149"/>
        <v>0</v>
      </c>
      <c r="CL120" s="10">
        <f t="shared" si="149"/>
        <v>0</v>
      </c>
      <c r="CM120" s="10">
        <f t="shared" si="149"/>
        <v>0</v>
      </c>
      <c r="CN120" s="10">
        <f t="shared" si="149"/>
        <v>0</v>
      </c>
      <c r="CO120" s="10" t="e">
        <f t="shared" si="150"/>
        <v>#DIV/0!</v>
      </c>
      <c r="CP120" s="10" t="e">
        <f t="shared" si="150"/>
        <v>#DIV/0!</v>
      </c>
      <c r="CQ120" s="10" t="e">
        <f t="shared" si="150"/>
        <v>#DIV/0!</v>
      </c>
      <c r="CR120" s="10" t="e">
        <f t="shared" si="150"/>
        <v>#DIV/0!</v>
      </c>
      <c r="CS120" s="10">
        <f t="shared" si="151"/>
        <v>0</v>
      </c>
      <c r="CT120" s="10">
        <f t="shared" si="151"/>
        <v>0</v>
      </c>
      <c r="CU120" s="10">
        <f t="shared" si="151"/>
        <v>0</v>
      </c>
      <c r="CV120" s="10">
        <f t="shared" si="151"/>
        <v>0</v>
      </c>
      <c r="CW120" s="10">
        <f t="shared" si="152"/>
        <v>0</v>
      </c>
      <c r="CX120" s="10">
        <f t="shared" si="152"/>
        <v>0</v>
      </c>
      <c r="CY120" s="10">
        <f t="shared" si="152"/>
        <v>0</v>
      </c>
      <c r="CZ120" s="10">
        <f t="shared" si="152"/>
        <v>0</v>
      </c>
    </row>
    <row r="121" spans="4:104" x14ac:dyDescent="0.15">
      <c r="D121" s="10">
        <v>106</v>
      </c>
      <c r="E121" s="10" t="e">
        <f t="shared" si="95"/>
        <v>#VALUE!</v>
      </c>
      <c r="F121" s="10" t="e">
        <f t="shared" si="79"/>
        <v>#VALUE!</v>
      </c>
      <c r="G121" s="10" t="e">
        <f t="shared" si="80"/>
        <v>#VALUE!</v>
      </c>
      <c r="H121" s="10" t="e">
        <f t="shared" si="96"/>
        <v>#VALUE!</v>
      </c>
      <c r="I121" s="10" t="e">
        <f t="shared" si="81"/>
        <v>#VALUE!</v>
      </c>
      <c r="J121" s="10" t="e">
        <f t="shared" si="97"/>
        <v>#VALUE!</v>
      </c>
      <c r="K121" s="10" t="e">
        <f t="shared" si="82"/>
        <v>#VALUE!</v>
      </c>
      <c r="L121" s="10" t="e">
        <f t="shared" si="83"/>
        <v>#VALUE!</v>
      </c>
      <c r="M121" s="10" t="e">
        <f t="shared" si="98"/>
        <v>#VALUE!</v>
      </c>
      <c r="O121" s="10" t="e">
        <f t="shared" si="99"/>
        <v>#VALUE!</v>
      </c>
      <c r="P121" s="10" t="e">
        <f t="shared" si="84"/>
        <v>#VALUE!</v>
      </c>
      <c r="Q121" s="10" t="e">
        <f t="shared" si="85"/>
        <v>#VALUE!</v>
      </c>
      <c r="R121" s="10" t="e">
        <f t="shared" si="100"/>
        <v>#VALUE!</v>
      </c>
      <c r="S121" s="10" t="e">
        <f t="shared" si="101"/>
        <v>#VALUE!</v>
      </c>
      <c r="T121" s="10" t="e">
        <f t="shared" si="136"/>
        <v>#VALUE!</v>
      </c>
      <c r="U121" s="10" t="e">
        <f t="shared" si="137"/>
        <v>#VALUE!</v>
      </c>
      <c r="V121" s="10" t="e">
        <f t="shared" si="86"/>
        <v>#VALUE!</v>
      </c>
      <c r="W121" s="10" t="e">
        <f t="shared" si="102"/>
        <v>#VALUE!</v>
      </c>
      <c r="Y121" s="10" t="e">
        <f t="shared" si="103"/>
        <v>#VALUE!</v>
      </c>
      <c r="Z121" s="11" t="e">
        <f t="shared" si="104"/>
        <v>#VALUE!</v>
      </c>
      <c r="AA121" s="10" t="e">
        <f t="shared" si="87"/>
        <v>#VALUE!</v>
      </c>
      <c r="AB121" s="10" t="e">
        <f t="shared" si="105"/>
        <v>#VALUE!</v>
      </c>
      <c r="AC121" s="10" t="e">
        <f t="shared" si="106"/>
        <v>#VALUE!</v>
      </c>
      <c r="AD121" s="10" t="e">
        <f t="shared" si="138"/>
        <v>#VALUE!</v>
      </c>
      <c r="AE121" s="10" t="e">
        <f t="shared" si="139"/>
        <v>#VALUE!</v>
      </c>
      <c r="AF121" s="10" t="e">
        <f t="shared" si="88"/>
        <v>#VALUE!</v>
      </c>
      <c r="AG121" s="10" t="e">
        <f t="shared" si="107"/>
        <v>#VALUE!</v>
      </c>
      <c r="AI121" s="13"/>
      <c r="AK121" s="10" t="e">
        <f t="shared" si="108"/>
        <v>#VALUE!</v>
      </c>
      <c r="AL121" s="10" t="e">
        <f t="shared" si="140"/>
        <v>#VALUE!</v>
      </c>
      <c r="AM121" s="10" t="e">
        <f t="shared" si="89"/>
        <v>#VALUE!</v>
      </c>
      <c r="AN121" s="10" t="e">
        <f t="shared" si="109"/>
        <v>#VALUE!</v>
      </c>
      <c r="AO121" s="10" t="e">
        <f t="shared" si="110"/>
        <v>#VALUE!</v>
      </c>
      <c r="AP121" s="10" t="e">
        <f t="shared" si="111"/>
        <v>#VALUE!</v>
      </c>
      <c r="AQ121" s="10" t="e">
        <f t="shared" si="141"/>
        <v>#VALUE!</v>
      </c>
      <c r="AR121" s="10" t="e">
        <f t="shared" si="90"/>
        <v>#VALUE!</v>
      </c>
      <c r="AS121" s="10" t="e">
        <f t="shared" si="142"/>
        <v>#VALUE!</v>
      </c>
      <c r="AU121" s="10" t="e">
        <f t="shared" si="112"/>
        <v>#VALUE!</v>
      </c>
      <c r="AV121" s="10" t="e">
        <f t="shared" si="143"/>
        <v>#VALUE!</v>
      </c>
      <c r="AW121" s="10" t="e">
        <f t="shared" si="91"/>
        <v>#VALUE!</v>
      </c>
      <c r="AX121" s="10" t="e">
        <f t="shared" si="113"/>
        <v>#VALUE!</v>
      </c>
      <c r="AY121" s="10" t="e">
        <f t="shared" si="114"/>
        <v>#VALUE!</v>
      </c>
      <c r="AZ121" s="10" t="e">
        <f t="shared" si="115"/>
        <v>#VALUE!</v>
      </c>
      <c r="BA121" s="10" t="e">
        <f t="shared" si="144"/>
        <v>#VALUE!</v>
      </c>
      <c r="BB121" s="10" t="e">
        <f t="shared" si="92"/>
        <v>#VALUE!</v>
      </c>
      <c r="BC121" s="10" t="e">
        <f t="shared" si="145"/>
        <v>#VALUE!</v>
      </c>
      <c r="BE121" s="10" t="e">
        <f t="shared" si="116"/>
        <v>#VALUE!</v>
      </c>
      <c r="BF121" s="10" t="e">
        <f t="shared" si="146"/>
        <v>#VALUE!</v>
      </c>
      <c r="BG121" s="10" t="e">
        <f t="shared" si="93"/>
        <v>#VALUE!</v>
      </c>
      <c r="BH121" s="10" t="e">
        <f t="shared" si="117"/>
        <v>#VALUE!</v>
      </c>
      <c r="BI121" s="10" t="e">
        <f t="shared" si="118"/>
        <v>#VALUE!</v>
      </c>
      <c r="BJ121" s="10" t="e">
        <f t="shared" si="119"/>
        <v>#VALUE!</v>
      </c>
      <c r="BK121" s="10" t="e">
        <f t="shared" si="147"/>
        <v>#VALUE!</v>
      </c>
      <c r="BL121" s="10" t="e">
        <f t="shared" si="94"/>
        <v>#VALUE!</v>
      </c>
      <c r="BM121" s="10" t="e">
        <f t="shared" si="148"/>
        <v>#VALUE!</v>
      </c>
      <c r="BP121" s="10" t="e">
        <f t="shared" si="120"/>
        <v>#VALUE!</v>
      </c>
      <c r="BQ121" s="10" t="e">
        <f t="shared" si="121"/>
        <v>#VALUE!</v>
      </c>
      <c r="BR121" s="10" t="e">
        <f t="shared" si="122"/>
        <v>#VALUE!</v>
      </c>
      <c r="BS121" s="10" t="e">
        <f t="shared" si="123"/>
        <v>#VALUE!</v>
      </c>
      <c r="BT121" s="10" t="e">
        <f t="shared" si="124"/>
        <v>#VALUE!</v>
      </c>
      <c r="BU121" s="10" t="e">
        <f t="shared" si="125"/>
        <v>#VALUE!</v>
      </c>
      <c r="BW121" s="10" t="e">
        <f t="shared" si="126"/>
        <v>#VALUE!</v>
      </c>
      <c r="BX121" s="10" t="e">
        <f t="shared" si="127"/>
        <v>#VALUE!</v>
      </c>
      <c r="BY121" s="10" t="e">
        <f t="shared" si="128"/>
        <v>#VALUE!</v>
      </c>
      <c r="BZ121" s="10" t="e">
        <f t="shared" si="129"/>
        <v>#VALUE!</v>
      </c>
      <c r="CA121" s="10" t="e">
        <f t="shared" si="130"/>
        <v>#VALUE!</v>
      </c>
      <c r="CB121" s="10" t="e">
        <f t="shared" si="131"/>
        <v>#VALUE!</v>
      </c>
      <c r="CD121" s="10" t="e">
        <f>MATCH(INDEX($BP$12:$BU$12,1,MATCH(BP121,$BP$15:$BU$15,0)),结果汇总!$AI$10:$AI$13,0)</f>
        <v>#VALUE!</v>
      </c>
      <c r="CE121" s="10" t="e">
        <f>MATCH(INDEX($BP$12:$BU$12,1,MATCH(BQ121,$BP$15:$BU$15,0)),结果汇总!$AI$10:$AI$13,0)</f>
        <v>#VALUE!</v>
      </c>
      <c r="CF121" s="10" t="e">
        <f>MATCH(INDEX($BP$12:$BU$12,1,MATCH(BR121,$BP$15:$BU$15,0)),结果汇总!$AI$10:$AI$13,0)</f>
        <v>#VALUE!</v>
      </c>
      <c r="CG121" s="10" t="e">
        <f>MATCH(INDEX($BP$12:$BU$12,1,MATCH(BS121,$BP$15:$BU$15,0)),结果汇总!$AI$10:$AI$13,0)</f>
        <v>#VALUE!</v>
      </c>
      <c r="CH121" s="10" t="e">
        <f>MATCH(INDEX($BP$12:$BU$12,1,MATCH(BT121,$BP$15:$BU$15,0)),结果汇总!$AI$10:$AI$13,0)</f>
        <v>#VALUE!</v>
      </c>
      <c r="CI121" s="10" t="e">
        <f>MATCH(INDEX($BP$12:$BU$12,1,MATCH(BU121,$BP$15:$BU$15,0)),结果汇总!$AI$10:$AI$13,0)</f>
        <v>#VALUE!</v>
      </c>
      <c r="CK121" s="10">
        <f t="shared" si="149"/>
        <v>0</v>
      </c>
      <c r="CL121" s="10">
        <f t="shared" si="149"/>
        <v>0</v>
      </c>
      <c r="CM121" s="10">
        <f t="shared" si="149"/>
        <v>0</v>
      </c>
      <c r="CN121" s="10">
        <f t="shared" si="149"/>
        <v>0</v>
      </c>
      <c r="CO121" s="10" t="e">
        <f t="shared" si="150"/>
        <v>#DIV/0!</v>
      </c>
      <c r="CP121" s="10" t="e">
        <f t="shared" si="150"/>
        <v>#DIV/0!</v>
      </c>
      <c r="CQ121" s="10" t="e">
        <f t="shared" si="150"/>
        <v>#DIV/0!</v>
      </c>
      <c r="CR121" s="10" t="e">
        <f t="shared" si="150"/>
        <v>#DIV/0!</v>
      </c>
      <c r="CS121" s="10">
        <f t="shared" si="151"/>
        <v>0</v>
      </c>
      <c r="CT121" s="10">
        <f t="shared" si="151"/>
        <v>0</v>
      </c>
      <c r="CU121" s="10">
        <f t="shared" si="151"/>
        <v>0</v>
      </c>
      <c r="CV121" s="10">
        <f t="shared" si="151"/>
        <v>0</v>
      </c>
      <c r="CW121" s="10">
        <f t="shared" si="152"/>
        <v>0</v>
      </c>
      <c r="CX121" s="10">
        <f t="shared" si="152"/>
        <v>0</v>
      </c>
      <c r="CY121" s="10">
        <f t="shared" si="152"/>
        <v>0</v>
      </c>
      <c r="CZ121" s="10">
        <f t="shared" si="152"/>
        <v>0</v>
      </c>
    </row>
    <row r="122" spans="4:104" x14ac:dyDescent="0.15">
      <c r="D122" s="10">
        <v>107</v>
      </c>
      <c r="E122" s="10" t="e">
        <f t="shared" si="95"/>
        <v>#VALUE!</v>
      </c>
      <c r="F122" s="10" t="e">
        <f t="shared" si="79"/>
        <v>#VALUE!</v>
      </c>
      <c r="G122" s="10" t="e">
        <f t="shared" si="80"/>
        <v>#VALUE!</v>
      </c>
      <c r="H122" s="10" t="e">
        <f t="shared" si="96"/>
        <v>#VALUE!</v>
      </c>
      <c r="I122" s="10" t="e">
        <f t="shared" si="81"/>
        <v>#VALUE!</v>
      </c>
      <c r="J122" s="10" t="e">
        <f t="shared" si="97"/>
        <v>#VALUE!</v>
      </c>
      <c r="K122" s="10" t="e">
        <f t="shared" si="82"/>
        <v>#VALUE!</v>
      </c>
      <c r="L122" s="10" t="e">
        <f t="shared" si="83"/>
        <v>#VALUE!</v>
      </c>
      <c r="M122" s="10" t="e">
        <f t="shared" si="98"/>
        <v>#VALUE!</v>
      </c>
      <c r="O122" s="10" t="e">
        <f t="shared" si="99"/>
        <v>#VALUE!</v>
      </c>
      <c r="P122" s="10" t="e">
        <f t="shared" si="84"/>
        <v>#VALUE!</v>
      </c>
      <c r="Q122" s="10" t="e">
        <f t="shared" si="85"/>
        <v>#VALUE!</v>
      </c>
      <c r="R122" s="10" t="e">
        <f t="shared" si="100"/>
        <v>#VALUE!</v>
      </c>
      <c r="S122" s="10" t="e">
        <f t="shared" si="101"/>
        <v>#VALUE!</v>
      </c>
      <c r="T122" s="10" t="e">
        <f t="shared" si="136"/>
        <v>#VALUE!</v>
      </c>
      <c r="U122" s="10" t="e">
        <f t="shared" si="137"/>
        <v>#VALUE!</v>
      </c>
      <c r="V122" s="10" t="e">
        <f t="shared" si="86"/>
        <v>#VALUE!</v>
      </c>
      <c r="W122" s="10" t="e">
        <f t="shared" si="102"/>
        <v>#VALUE!</v>
      </c>
      <c r="Y122" s="10" t="e">
        <f t="shared" si="103"/>
        <v>#VALUE!</v>
      </c>
      <c r="Z122" s="11" t="e">
        <f t="shared" si="104"/>
        <v>#VALUE!</v>
      </c>
      <c r="AA122" s="10" t="e">
        <f t="shared" si="87"/>
        <v>#VALUE!</v>
      </c>
      <c r="AB122" s="10" t="e">
        <f t="shared" si="105"/>
        <v>#VALUE!</v>
      </c>
      <c r="AC122" s="10" t="e">
        <f t="shared" si="106"/>
        <v>#VALUE!</v>
      </c>
      <c r="AD122" s="10" t="e">
        <f t="shared" si="138"/>
        <v>#VALUE!</v>
      </c>
      <c r="AE122" s="10" t="e">
        <f t="shared" si="139"/>
        <v>#VALUE!</v>
      </c>
      <c r="AF122" s="10" t="e">
        <f t="shared" si="88"/>
        <v>#VALUE!</v>
      </c>
      <c r="AG122" s="10" t="e">
        <f t="shared" si="107"/>
        <v>#VALUE!</v>
      </c>
      <c r="AI122" s="13"/>
      <c r="AK122" s="10" t="e">
        <f t="shared" si="108"/>
        <v>#VALUE!</v>
      </c>
      <c r="AL122" s="10" t="e">
        <f t="shared" si="140"/>
        <v>#VALUE!</v>
      </c>
      <c r="AM122" s="10" t="e">
        <f t="shared" si="89"/>
        <v>#VALUE!</v>
      </c>
      <c r="AN122" s="10" t="e">
        <f t="shared" si="109"/>
        <v>#VALUE!</v>
      </c>
      <c r="AO122" s="10" t="e">
        <f t="shared" si="110"/>
        <v>#VALUE!</v>
      </c>
      <c r="AP122" s="10" t="e">
        <f t="shared" si="111"/>
        <v>#VALUE!</v>
      </c>
      <c r="AQ122" s="10" t="e">
        <f t="shared" si="141"/>
        <v>#VALUE!</v>
      </c>
      <c r="AR122" s="10" t="e">
        <f t="shared" si="90"/>
        <v>#VALUE!</v>
      </c>
      <c r="AS122" s="10" t="e">
        <f t="shared" si="142"/>
        <v>#VALUE!</v>
      </c>
      <c r="AU122" s="10" t="e">
        <f t="shared" si="112"/>
        <v>#VALUE!</v>
      </c>
      <c r="AV122" s="10" t="e">
        <f t="shared" si="143"/>
        <v>#VALUE!</v>
      </c>
      <c r="AW122" s="10" t="e">
        <f t="shared" si="91"/>
        <v>#VALUE!</v>
      </c>
      <c r="AX122" s="10" t="e">
        <f t="shared" si="113"/>
        <v>#VALUE!</v>
      </c>
      <c r="AY122" s="10" t="e">
        <f t="shared" si="114"/>
        <v>#VALUE!</v>
      </c>
      <c r="AZ122" s="10" t="e">
        <f t="shared" si="115"/>
        <v>#VALUE!</v>
      </c>
      <c r="BA122" s="10" t="e">
        <f t="shared" si="144"/>
        <v>#VALUE!</v>
      </c>
      <c r="BB122" s="10" t="e">
        <f t="shared" si="92"/>
        <v>#VALUE!</v>
      </c>
      <c r="BC122" s="10" t="e">
        <f t="shared" si="145"/>
        <v>#VALUE!</v>
      </c>
      <c r="BE122" s="10" t="e">
        <f t="shared" si="116"/>
        <v>#VALUE!</v>
      </c>
      <c r="BF122" s="10" t="e">
        <f t="shared" si="146"/>
        <v>#VALUE!</v>
      </c>
      <c r="BG122" s="10" t="e">
        <f t="shared" si="93"/>
        <v>#VALUE!</v>
      </c>
      <c r="BH122" s="10" t="e">
        <f t="shared" si="117"/>
        <v>#VALUE!</v>
      </c>
      <c r="BI122" s="10" t="e">
        <f t="shared" si="118"/>
        <v>#VALUE!</v>
      </c>
      <c r="BJ122" s="10" t="e">
        <f t="shared" si="119"/>
        <v>#VALUE!</v>
      </c>
      <c r="BK122" s="10" t="e">
        <f t="shared" si="147"/>
        <v>#VALUE!</v>
      </c>
      <c r="BL122" s="10" t="e">
        <f t="shared" si="94"/>
        <v>#VALUE!</v>
      </c>
      <c r="BM122" s="10" t="e">
        <f t="shared" si="148"/>
        <v>#VALUE!</v>
      </c>
      <c r="BP122" s="10" t="e">
        <f t="shared" si="120"/>
        <v>#VALUE!</v>
      </c>
      <c r="BQ122" s="10" t="e">
        <f t="shared" si="121"/>
        <v>#VALUE!</v>
      </c>
      <c r="BR122" s="10" t="e">
        <f t="shared" si="122"/>
        <v>#VALUE!</v>
      </c>
      <c r="BS122" s="10" t="e">
        <f t="shared" si="123"/>
        <v>#VALUE!</v>
      </c>
      <c r="BT122" s="10" t="e">
        <f t="shared" si="124"/>
        <v>#VALUE!</v>
      </c>
      <c r="BU122" s="10" t="e">
        <f t="shared" si="125"/>
        <v>#VALUE!</v>
      </c>
      <c r="BW122" s="10" t="e">
        <f t="shared" si="126"/>
        <v>#VALUE!</v>
      </c>
      <c r="BX122" s="10" t="e">
        <f t="shared" si="127"/>
        <v>#VALUE!</v>
      </c>
      <c r="BY122" s="10" t="e">
        <f t="shared" si="128"/>
        <v>#VALUE!</v>
      </c>
      <c r="BZ122" s="10" t="e">
        <f t="shared" si="129"/>
        <v>#VALUE!</v>
      </c>
      <c r="CA122" s="10" t="e">
        <f t="shared" si="130"/>
        <v>#VALUE!</v>
      </c>
      <c r="CB122" s="10" t="e">
        <f t="shared" si="131"/>
        <v>#VALUE!</v>
      </c>
      <c r="CD122" s="10" t="e">
        <f>MATCH(INDEX($BP$12:$BU$12,1,MATCH(BP122,$BP$15:$BU$15,0)),结果汇总!$AI$10:$AI$13,0)</f>
        <v>#VALUE!</v>
      </c>
      <c r="CE122" s="10" t="e">
        <f>MATCH(INDEX($BP$12:$BU$12,1,MATCH(BQ122,$BP$15:$BU$15,0)),结果汇总!$AI$10:$AI$13,0)</f>
        <v>#VALUE!</v>
      </c>
      <c r="CF122" s="10" t="e">
        <f>MATCH(INDEX($BP$12:$BU$12,1,MATCH(BR122,$BP$15:$BU$15,0)),结果汇总!$AI$10:$AI$13,0)</f>
        <v>#VALUE!</v>
      </c>
      <c r="CG122" s="10" t="e">
        <f>MATCH(INDEX($BP$12:$BU$12,1,MATCH(BS122,$BP$15:$BU$15,0)),结果汇总!$AI$10:$AI$13,0)</f>
        <v>#VALUE!</v>
      </c>
      <c r="CH122" s="10" t="e">
        <f>MATCH(INDEX($BP$12:$BU$12,1,MATCH(BT122,$BP$15:$BU$15,0)),结果汇总!$AI$10:$AI$13,0)</f>
        <v>#VALUE!</v>
      </c>
      <c r="CI122" s="10" t="e">
        <f>MATCH(INDEX($BP$12:$BU$12,1,MATCH(BU122,$BP$15:$BU$15,0)),结果汇总!$AI$10:$AI$13,0)</f>
        <v>#VALUE!</v>
      </c>
      <c r="CK122" s="10">
        <f t="shared" si="149"/>
        <v>0</v>
      </c>
      <c r="CL122" s="10">
        <f t="shared" si="149"/>
        <v>0</v>
      </c>
      <c r="CM122" s="10">
        <f t="shared" si="149"/>
        <v>0</v>
      </c>
      <c r="CN122" s="10">
        <f t="shared" si="149"/>
        <v>0</v>
      </c>
      <c r="CO122" s="10" t="e">
        <f t="shared" si="150"/>
        <v>#DIV/0!</v>
      </c>
      <c r="CP122" s="10" t="e">
        <f t="shared" si="150"/>
        <v>#DIV/0!</v>
      </c>
      <c r="CQ122" s="10" t="e">
        <f t="shared" si="150"/>
        <v>#DIV/0!</v>
      </c>
      <c r="CR122" s="10" t="e">
        <f t="shared" si="150"/>
        <v>#DIV/0!</v>
      </c>
      <c r="CS122" s="10">
        <f t="shared" si="151"/>
        <v>0</v>
      </c>
      <c r="CT122" s="10">
        <f t="shared" si="151"/>
        <v>0</v>
      </c>
      <c r="CU122" s="10">
        <f t="shared" si="151"/>
        <v>0</v>
      </c>
      <c r="CV122" s="10">
        <f t="shared" si="151"/>
        <v>0</v>
      </c>
      <c r="CW122" s="10">
        <f t="shared" si="152"/>
        <v>0</v>
      </c>
      <c r="CX122" s="10">
        <f t="shared" si="152"/>
        <v>0</v>
      </c>
      <c r="CY122" s="10">
        <f t="shared" si="152"/>
        <v>0</v>
      </c>
      <c r="CZ122" s="10">
        <f t="shared" si="152"/>
        <v>0</v>
      </c>
    </row>
    <row r="123" spans="4:104" x14ac:dyDescent="0.15">
      <c r="D123" s="10">
        <v>108</v>
      </c>
      <c r="E123" s="10" t="e">
        <f t="shared" si="95"/>
        <v>#VALUE!</v>
      </c>
      <c r="F123" s="10" t="e">
        <f t="shared" si="79"/>
        <v>#VALUE!</v>
      </c>
      <c r="G123" s="10" t="e">
        <f t="shared" si="80"/>
        <v>#VALUE!</v>
      </c>
      <c r="H123" s="10" t="e">
        <f t="shared" si="96"/>
        <v>#VALUE!</v>
      </c>
      <c r="I123" s="10" t="e">
        <f t="shared" si="81"/>
        <v>#VALUE!</v>
      </c>
      <c r="J123" s="10" t="e">
        <f t="shared" si="97"/>
        <v>#VALUE!</v>
      </c>
      <c r="K123" s="10" t="e">
        <f t="shared" si="82"/>
        <v>#VALUE!</v>
      </c>
      <c r="L123" s="10" t="e">
        <f t="shared" si="83"/>
        <v>#VALUE!</v>
      </c>
      <c r="M123" s="10" t="e">
        <f t="shared" si="98"/>
        <v>#VALUE!</v>
      </c>
      <c r="O123" s="10" t="e">
        <f t="shared" si="99"/>
        <v>#VALUE!</v>
      </c>
      <c r="P123" s="10" t="e">
        <f t="shared" si="84"/>
        <v>#VALUE!</v>
      </c>
      <c r="Q123" s="10" t="e">
        <f t="shared" si="85"/>
        <v>#VALUE!</v>
      </c>
      <c r="R123" s="10" t="e">
        <f t="shared" si="100"/>
        <v>#VALUE!</v>
      </c>
      <c r="S123" s="10" t="e">
        <f t="shared" si="101"/>
        <v>#VALUE!</v>
      </c>
      <c r="T123" s="10" t="e">
        <f t="shared" si="136"/>
        <v>#VALUE!</v>
      </c>
      <c r="U123" s="10" t="e">
        <f t="shared" si="137"/>
        <v>#VALUE!</v>
      </c>
      <c r="V123" s="10" t="e">
        <f t="shared" si="86"/>
        <v>#VALUE!</v>
      </c>
      <c r="W123" s="10" t="e">
        <f t="shared" si="102"/>
        <v>#VALUE!</v>
      </c>
      <c r="Y123" s="10" t="e">
        <f t="shared" si="103"/>
        <v>#VALUE!</v>
      </c>
      <c r="Z123" s="11" t="e">
        <f t="shared" si="104"/>
        <v>#VALUE!</v>
      </c>
      <c r="AA123" s="10" t="e">
        <f t="shared" si="87"/>
        <v>#VALUE!</v>
      </c>
      <c r="AB123" s="10" t="e">
        <f t="shared" si="105"/>
        <v>#VALUE!</v>
      </c>
      <c r="AC123" s="10" t="e">
        <f t="shared" si="106"/>
        <v>#VALUE!</v>
      </c>
      <c r="AD123" s="10" t="e">
        <f t="shared" si="138"/>
        <v>#VALUE!</v>
      </c>
      <c r="AE123" s="10" t="e">
        <f t="shared" si="139"/>
        <v>#VALUE!</v>
      </c>
      <c r="AF123" s="10" t="e">
        <f t="shared" si="88"/>
        <v>#VALUE!</v>
      </c>
      <c r="AG123" s="10" t="e">
        <f t="shared" si="107"/>
        <v>#VALUE!</v>
      </c>
      <c r="AI123" s="13"/>
      <c r="AK123" s="10" t="e">
        <f t="shared" si="108"/>
        <v>#VALUE!</v>
      </c>
      <c r="AL123" s="10" t="e">
        <f t="shared" si="140"/>
        <v>#VALUE!</v>
      </c>
      <c r="AM123" s="10" t="e">
        <f t="shared" si="89"/>
        <v>#VALUE!</v>
      </c>
      <c r="AN123" s="10" t="e">
        <f t="shared" si="109"/>
        <v>#VALUE!</v>
      </c>
      <c r="AO123" s="10" t="e">
        <f t="shared" si="110"/>
        <v>#VALUE!</v>
      </c>
      <c r="AP123" s="10" t="e">
        <f t="shared" si="111"/>
        <v>#VALUE!</v>
      </c>
      <c r="AQ123" s="10" t="e">
        <f t="shared" si="141"/>
        <v>#VALUE!</v>
      </c>
      <c r="AR123" s="10" t="e">
        <f t="shared" si="90"/>
        <v>#VALUE!</v>
      </c>
      <c r="AS123" s="10" t="e">
        <f t="shared" si="142"/>
        <v>#VALUE!</v>
      </c>
      <c r="AU123" s="10" t="e">
        <f t="shared" si="112"/>
        <v>#VALUE!</v>
      </c>
      <c r="AV123" s="10" t="e">
        <f t="shared" si="143"/>
        <v>#VALUE!</v>
      </c>
      <c r="AW123" s="10" t="e">
        <f t="shared" si="91"/>
        <v>#VALUE!</v>
      </c>
      <c r="AX123" s="10" t="e">
        <f t="shared" si="113"/>
        <v>#VALUE!</v>
      </c>
      <c r="AY123" s="10" t="e">
        <f t="shared" si="114"/>
        <v>#VALUE!</v>
      </c>
      <c r="AZ123" s="10" t="e">
        <f t="shared" si="115"/>
        <v>#VALUE!</v>
      </c>
      <c r="BA123" s="10" t="e">
        <f t="shared" si="144"/>
        <v>#VALUE!</v>
      </c>
      <c r="BB123" s="10" t="e">
        <f t="shared" si="92"/>
        <v>#VALUE!</v>
      </c>
      <c r="BC123" s="10" t="e">
        <f t="shared" si="145"/>
        <v>#VALUE!</v>
      </c>
      <c r="BE123" s="10" t="e">
        <f t="shared" si="116"/>
        <v>#VALUE!</v>
      </c>
      <c r="BF123" s="10" t="e">
        <f t="shared" si="146"/>
        <v>#VALUE!</v>
      </c>
      <c r="BG123" s="10" t="e">
        <f t="shared" si="93"/>
        <v>#VALUE!</v>
      </c>
      <c r="BH123" s="10" t="e">
        <f t="shared" si="117"/>
        <v>#VALUE!</v>
      </c>
      <c r="BI123" s="10" t="e">
        <f t="shared" si="118"/>
        <v>#VALUE!</v>
      </c>
      <c r="BJ123" s="10" t="e">
        <f t="shared" si="119"/>
        <v>#VALUE!</v>
      </c>
      <c r="BK123" s="10" t="e">
        <f t="shared" si="147"/>
        <v>#VALUE!</v>
      </c>
      <c r="BL123" s="10" t="e">
        <f t="shared" si="94"/>
        <v>#VALUE!</v>
      </c>
      <c r="BM123" s="10" t="e">
        <f t="shared" si="148"/>
        <v>#VALUE!</v>
      </c>
      <c r="BP123" s="10" t="e">
        <f t="shared" si="120"/>
        <v>#VALUE!</v>
      </c>
      <c r="BQ123" s="10" t="e">
        <f t="shared" si="121"/>
        <v>#VALUE!</v>
      </c>
      <c r="BR123" s="10" t="e">
        <f t="shared" si="122"/>
        <v>#VALUE!</v>
      </c>
      <c r="BS123" s="10" t="e">
        <f t="shared" si="123"/>
        <v>#VALUE!</v>
      </c>
      <c r="BT123" s="10" t="e">
        <f t="shared" si="124"/>
        <v>#VALUE!</v>
      </c>
      <c r="BU123" s="10" t="e">
        <f t="shared" si="125"/>
        <v>#VALUE!</v>
      </c>
      <c r="BW123" s="10" t="e">
        <f t="shared" si="126"/>
        <v>#VALUE!</v>
      </c>
      <c r="BX123" s="10" t="e">
        <f t="shared" si="127"/>
        <v>#VALUE!</v>
      </c>
      <c r="BY123" s="10" t="e">
        <f t="shared" si="128"/>
        <v>#VALUE!</v>
      </c>
      <c r="BZ123" s="10" t="e">
        <f t="shared" si="129"/>
        <v>#VALUE!</v>
      </c>
      <c r="CA123" s="10" t="e">
        <f t="shared" si="130"/>
        <v>#VALUE!</v>
      </c>
      <c r="CB123" s="10" t="e">
        <f t="shared" si="131"/>
        <v>#VALUE!</v>
      </c>
      <c r="CD123" s="10" t="e">
        <f>MATCH(INDEX($BP$12:$BU$12,1,MATCH(BP123,$BP$15:$BU$15,0)),结果汇总!$AI$10:$AI$13,0)</f>
        <v>#VALUE!</v>
      </c>
      <c r="CE123" s="10" t="e">
        <f>MATCH(INDEX($BP$12:$BU$12,1,MATCH(BQ123,$BP$15:$BU$15,0)),结果汇总!$AI$10:$AI$13,0)</f>
        <v>#VALUE!</v>
      </c>
      <c r="CF123" s="10" t="e">
        <f>MATCH(INDEX($BP$12:$BU$12,1,MATCH(BR123,$BP$15:$BU$15,0)),结果汇总!$AI$10:$AI$13,0)</f>
        <v>#VALUE!</v>
      </c>
      <c r="CG123" s="10" t="e">
        <f>MATCH(INDEX($BP$12:$BU$12,1,MATCH(BS123,$BP$15:$BU$15,0)),结果汇总!$AI$10:$AI$13,0)</f>
        <v>#VALUE!</v>
      </c>
      <c r="CH123" s="10" t="e">
        <f>MATCH(INDEX($BP$12:$BU$12,1,MATCH(BT123,$BP$15:$BU$15,0)),结果汇总!$AI$10:$AI$13,0)</f>
        <v>#VALUE!</v>
      </c>
      <c r="CI123" s="10" t="e">
        <f>MATCH(INDEX($BP$12:$BU$12,1,MATCH(BU123,$BP$15:$BU$15,0)),结果汇总!$AI$10:$AI$13,0)</f>
        <v>#VALUE!</v>
      </c>
      <c r="CK123" s="10">
        <f t="shared" si="149"/>
        <v>0</v>
      </c>
      <c r="CL123" s="10">
        <f t="shared" si="149"/>
        <v>0</v>
      </c>
      <c r="CM123" s="10">
        <f t="shared" si="149"/>
        <v>0</v>
      </c>
      <c r="CN123" s="10">
        <f t="shared" si="149"/>
        <v>0</v>
      </c>
      <c r="CO123" s="10" t="e">
        <f t="shared" si="150"/>
        <v>#DIV/0!</v>
      </c>
      <c r="CP123" s="10" t="e">
        <f t="shared" si="150"/>
        <v>#DIV/0!</v>
      </c>
      <c r="CQ123" s="10" t="e">
        <f t="shared" si="150"/>
        <v>#DIV/0!</v>
      </c>
      <c r="CR123" s="10" t="e">
        <f t="shared" si="150"/>
        <v>#DIV/0!</v>
      </c>
      <c r="CS123" s="10">
        <f t="shared" si="151"/>
        <v>0</v>
      </c>
      <c r="CT123" s="10">
        <f t="shared" si="151"/>
        <v>0</v>
      </c>
      <c r="CU123" s="10">
        <f t="shared" si="151"/>
        <v>0</v>
      </c>
      <c r="CV123" s="10">
        <f t="shared" si="151"/>
        <v>0</v>
      </c>
      <c r="CW123" s="10">
        <f t="shared" si="152"/>
        <v>0</v>
      </c>
      <c r="CX123" s="10">
        <f t="shared" si="152"/>
        <v>0</v>
      </c>
      <c r="CY123" s="10">
        <f t="shared" si="152"/>
        <v>0</v>
      </c>
      <c r="CZ123" s="10">
        <f t="shared" si="152"/>
        <v>0</v>
      </c>
    </row>
    <row r="124" spans="4:104" x14ac:dyDescent="0.15">
      <c r="D124" s="10">
        <v>109</v>
      </c>
      <c r="E124" s="10" t="e">
        <f t="shared" si="95"/>
        <v>#VALUE!</v>
      </c>
      <c r="F124" s="10" t="e">
        <f t="shared" si="79"/>
        <v>#VALUE!</v>
      </c>
      <c r="G124" s="10" t="e">
        <f t="shared" si="80"/>
        <v>#VALUE!</v>
      </c>
      <c r="H124" s="10" t="e">
        <f t="shared" si="96"/>
        <v>#VALUE!</v>
      </c>
      <c r="I124" s="10" t="e">
        <f t="shared" si="81"/>
        <v>#VALUE!</v>
      </c>
      <c r="J124" s="10" t="e">
        <f t="shared" si="97"/>
        <v>#VALUE!</v>
      </c>
      <c r="K124" s="10" t="e">
        <f t="shared" si="82"/>
        <v>#VALUE!</v>
      </c>
      <c r="L124" s="10" t="e">
        <f t="shared" si="83"/>
        <v>#VALUE!</v>
      </c>
      <c r="M124" s="10" t="e">
        <f t="shared" si="98"/>
        <v>#VALUE!</v>
      </c>
      <c r="O124" s="10" t="e">
        <f t="shared" si="99"/>
        <v>#VALUE!</v>
      </c>
      <c r="P124" s="10" t="e">
        <f t="shared" si="84"/>
        <v>#VALUE!</v>
      </c>
      <c r="Q124" s="10" t="e">
        <f t="shared" si="85"/>
        <v>#VALUE!</v>
      </c>
      <c r="R124" s="10" t="e">
        <f t="shared" si="100"/>
        <v>#VALUE!</v>
      </c>
      <c r="S124" s="10" t="e">
        <f t="shared" si="101"/>
        <v>#VALUE!</v>
      </c>
      <c r="T124" s="10" t="e">
        <f t="shared" si="136"/>
        <v>#VALUE!</v>
      </c>
      <c r="U124" s="10" t="e">
        <f t="shared" si="137"/>
        <v>#VALUE!</v>
      </c>
      <c r="V124" s="10" t="e">
        <f t="shared" si="86"/>
        <v>#VALUE!</v>
      </c>
      <c r="W124" s="10" t="e">
        <f t="shared" si="102"/>
        <v>#VALUE!</v>
      </c>
      <c r="Y124" s="10" t="e">
        <f t="shared" si="103"/>
        <v>#VALUE!</v>
      </c>
      <c r="Z124" s="11" t="e">
        <f t="shared" si="104"/>
        <v>#VALUE!</v>
      </c>
      <c r="AA124" s="10" t="e">
        <f t="shared" si="87"/>
        <v>#VALUE!</v>
      </c>
      <c r="AB124" s="10" t="e">
        <f t="shared" si="105"/>
        <v>#VALUE!</v>
      </c>
      <c r="AC124" s="10" t="e">
        <f t="shared" si="106"/>
        <v>#VALUE!</v>
      </c>
      <c r="AD124" s="10" t="e">
        <f t="shared" si="138"/>
        <v>#VALUE!</v>
      </c>
      <c r="AE124" s="10" t="e">
        <f t="shared" si="139"/>
        <v>#VALUE!</v>
      </c>
      <c r="AF124" s="10" t="e">
        <f t="shared" si="88"/>
        <v>#VALUE!</v>
      </c>
      <c r="AG124" s="10" t="e">
        <f t="shared" si="107"/>
        <v>#VALUE!</v>
      </c>
      <c r="AI124" s="13"/>
      <c r="AK124" s="10" t="e">
        <f t="shared" si="108"/>
        <v>#VALUE!</v>
      </c>
      <c r="AL124" s="10" t="e">
        <f t="shared" si="140"/>
        <v>#VALUE!</v>
      </c>
      <c r="AM124" s="10" t="e">
        <f t="shared" si="89"/>
        <v>#VALUE!</v>
      </c>
      <c r="AN124" s="10" t="e">
        <f t="shared" si="109"/>
        <v>#VALUE!</v>
      </c>
      <c r="AO124" s="10" t="e">
        <f t="shared" si="110"/>
        <v>#VALUE!</v>
      </c>
      <c r="AP124" s="10" t="e">
        <f t="shared" si="111"/>
        <v>#VALUE!</v>
      </c>
      <c r="AQ124" s="10" t="e">
        <f t="shared" si="141"/>
        <v>#VALUE!</v>
      </c>
      <c r="AR124" s="10" t="e">
        <f t="shared" si="90"/>
        <v>#VALUE!</v>
      </c>
      <c r="AS124" s="10" t="e">
        <f t="shared" si="142"/>
        <v>#VALUE!</v>
      </c>
      <c r="AU124" s="10" t="e">
        <f t="shared" si="112"/>
        <v>#VALUE!</v>
      </c>
      <c r="AV124" s="10" t="e">
        <f t="shared" si="143"/>
        <v>#VALUE!</v>
      </c>
      <c r="AW124" s="10" t="e">
        <f t="shared" si="91"/>
        <v>#VALUE!</v>
      </c>
      <c r="AX124" s="10" t="e">
        <f t="shared" si="113"/>
        <v>#VALUE!</v>
      </c>
      <c r="AY124" s="10" t="e">
        <f t="shared" si="114"/>
        <v>#VALUE!</v>
      </c>
      <c r="AZ124" s="10" t="e">
        <f t="shared" si="115"/>
        <v>#VALUE!</v>
      </c>
      <c r="BA124" s="10" t="e">
        <f t="shared" si="144"/>
        <v>#VALUE!</v>
      </c>
      <c r="BB124" s="10" t="e">
        <f t="shared" si="92"/>
        <v>#VALUE!</v>
      </c>
      <c r="BC124" s="10" t="e">
        <f t="shared" si="145"/>
        <v>#VALUE!</v>
      </c>
      <c r="BE124" s="10" t="e">
        <f t="shared" si="116"/>
        <v>#VALUE!</v>
      </c>
      <c r="BF124" s="10" t="e">
        <f t="shared" si="146"/>
        <v>#VALUE!</v>
      </c>
      <c r="BG124" s="10" t="e">
        <f t="shared" si="93"/>
        <v>#VALUE!</v>
      </c>
      <c r="BH124" s="10" t="e">
        <f t="shared" si="117"/>
        <v>#VALUE!</v>
      </c>
      <c r="BI124" s="10" t="e">
        <f t="shared" si="118"/>
        <v>#VALUE!</v>
      </c>
      <c r="BJ124" s="10" t="e">
        <f t="shared" si="119"/>
        <v>#VALUE!</v>
      </c>
      <c r="BK124" s="10" t="e">
        <f t="shared" si="147"/>
        <v>#VALUE!</v>
      </c>
      <c r="BL124" s="10" t="e">
        <f t="shared" si="94"/>
        <v>#VALUE!</v>
      </c>
      <c r="BM124" s="10" t="e">
        <f t="shared" si="148"/>
        <v>#VALUE!</v>
      </c>
      <c r="BP124" s="10" t="e">
        <f t="shared" si="120"/>
        <v>#VALUE!</v>
      </c>
      <c r="BQ124" s="10" t="e">
        <f t="shared" si="121"/>
        <v>#VALUE!</v>
      </c>
      <c r="BR124" s="10" t="e">
        <f t="shared" si="122"/>
        <v>#VALUE!</v>
      </c>
      <c r="BS124" s="10" t="e">
        <f t="shared" si="123"/>
        <v>#VALUE!</v>
      </c>
      <c r="BT124" s="10" t="e">
        <f t="shared" si="124"/>
        <v>#VALUE!</v>
      </c>
      <c r="BU124" s="10" t="e">
        <f t="shared" si="125"/>
        <v>#VALUE!</v>
      </c>
      <c r="BW124" s="10" t="e">
        <f t="shared" si="126"/>
        <v>#VALUE!</v>
      </c>
      <c r="BX124" s="10" t="e">
        <f t="shared" si="127"/>
        <v>#VALUE!</v>
      </c>
      <c r="BY124" s="10" t="e">
        <f t="shared" si="128"/>
        <v>#VALUE!</v>
      </c>
      <c r="BZ124" s="10" t="e">
        <f t="shared" si="129"/>
        <v>#VALUE!</v>
      </c>
      <c r="CA124" s="10" t="e">
        <f t="shared" si="130"/>
        <v>#VALUE!</v>
      </c>
      <c r="CB124" s="10" t="e">
        <f t="shared" si="131"/>
        <v>#VALUE!</v>
      </c>
      <c r="CD124" s="10" t="e">
        <f>MATCH(INDEX($BP$12:$BU$12,1,MATCH(BP124,$BP$15:$BU$15,0)),结果汇总!$AI$10:$AI$13,0)</f>
        <v>#VALUE!</v>
      </c>
      <c r="CE124" s="10" t="e">
        <f>MATCH(INDEX($BP$12:$BU$12,1,MATCH(BQ124,$BP$15:$BU$15,0)),结果汇总!$AI$10:$AI$13,0)</f>
        <v>#VALUE!</v>
      </c>
      <c r="CF124" s="10" t="e">
        <f>MATCH(INDEX($BP$12:$BU$12,1,MATCH(BR124,$BP$15:$BU$15,0)),结果汇总!$AI$10:$AI$13,0)</f>
        <v>#VALUE!</v>
      </c>
      <c r="CG124" s="10" t="e">
        <f>MATCH(INDEX($BP$12:$BU$12,1,MATCH(BS124,$BP$15:$BU$15,0)),结果汇总!$AI$10:$AI$13,0)</f>
        <v>#VALUE!</v>
      </c>
      <c r="CH124" s="10" t="e">
        <f>MATCH(INDEX($BP$12:$BU$12,1,MATCH(BT124,$BP$15:$BU$15,0)),结果汇总!$AI$10:$AI$13,0)</f>
        <v>#VALUE!</v>
      </c>
      <c r="CI124" s="10" t="e">
        <f>MATCH(INDEX($BP$12:$BU$12,1,MATCH(BU124,$BP$15:$BU$15,0)),结果汇总!$AI$10:$AI$13,0)</f>
        <v>#VALUE!</v>
      </c>
      <c r="CK124" s="10">
        <f t="shared" si="149"/>
        <v>0</v>
      </c>
      <c r="CL124" s="10">
        <f t="shared" si="149"/>
        <v>0</v>
      </c>
      <c r="CM124" s="10">
        <f t="shared" si="149"/>
        <v>0</v>
      </c>
      <c r="CN124" s="10">
        <f t="shared" si="149"/>
        <v>0</v>
      </c>
      <c r="CO124" s="10" t="e">
        <f t="shared" si="150"/>
        <v>#DIV/0!</v>
      </c>
      <c r="CP124" s="10" t="e">
        <f t="shared" si="150"/>
        <v>#DIV/0!</v>
      </c>
      <c r="CQ124" s="10" t="e">
        <f t="shared" si="150"/>
        <v>#DIV/0!</v>
      </c>
      <c r="CR124" s="10" t="e">
        <f t="shared" si="150"/>
        <v>#DIV/0!</v>
      </c>
      <c r="CS124" s="10">
        <f t="shared" si="151"/>
        <v>0</v>
      </c>
      <c r="CT124" s="10">
        <f t="shared" si="151"/>
        <v>0</v>
      </c>
      <c r="CU124" s="10">
        <f t="shared" si="151"/>
        <v>0</v>
      </c>
      <c r="CV124" s="10">
        <f t="shared" si="151"/>
        <v>0</v>
      </c>
      <c r="CW124" s="10">
        <f t="shared" si="152"/>
        <v>0</v>
      </c>
      <c r="CX124" s="10">
        <f t="shared" si="152"/>
        <v>0</v>
      </c>
      <c r="CY124" s="10">
        <f t="shared" si="152"/>
        <v>0</v>
      </c>
      <c r="CZ124" s="10">
        <f t="shared" si="152"/>
        <v>0</v>
      </c>
    </row>
    <row r="125" spans="4:104" x14ac:dyDescent="0.15">
      <c r="D125" s="10">
        <v>110</v>
      </c>
      <c r="E125" s="10" t="e">
        <f t="shared" si="95"/>
        <v>#VALUE!</v>
      </c>
      <c r="F125" s="10" t="e">
        <f t="shared" si="79"/>
        <v>#VALUE!</v>
      </c>
      <c r="G125" s="10" t="e">
        <f t="shared" si="80"/>
        <v>#VALUE!</v>
      </c>
      <c r="H125" s="10" t="e">
        <f t="shared" si="96"/>
        <v>#VALUE!</v>
      </c>
      <c r="I125" s="10" t="e">
        <f t="shared" si="81"/>
        <v>#VALUE!</v>
      </c>
      <c r="J125" s="10" t="e">
        <f t="shared" si="97"/>
        <v>#VALUE!</v>
      </c>
      <c r="K125" s="10" t="e">
        <f t="shared" si="82"/>
        <v>#VALUE!</v>
      </c>
      <c r="L125" s="10" t="e">
        <f t="shared" si="83"/>
        <v>#VALUE!</v>
      </c>
      <c r="M125" s="10" t="e">
        <f t="shared" si="98"/>
        <v>#VALUE!</v>
      </c>
      <c r="O125" s="10" t="e">
        <f t="shared" si="99"/>
        <v>#VALUE!</v>
      </c>
      <c r="P125" s="10" t="e">
        <f t="shared" si="84"/>
        <v>#VALUE!</v>
      </c>
      <c r="Q125" s="10" t="e">
        <f t="shared" si="85"/>
        <v>#VALUE!</v>
      </c>
      <c r="R125" s="10" t="e">
        <f t="shared" si="100"/>
        <v>#VALUE!</v>
      </c>
      <c r="S125" s="10" t="e">
        <f t="shared" si="101"/>
        <v>#VALUE!</v>
      </c>
      <c r="T125" s="10" t="e">
        <f t="shared" si="136"/>
        <v>#VALUE!</v>
      </c>
      <c r="U125" s="10" t="e">
        <f t="shared" si="137"/>
        <v>#VALUE!</v>
      </c>
      <c r="V125" s="10" t="e">
        <f t="shared" si="86"/>
        <v>#VALUE!</v>
      </c>
      <c r="W125" s="10" t="e">
        <f t="shared" si="102"/>
        <v>#VALUE!</v>
      </c>
      <c r="Y125" s="10" t="e">
        <f t="shared" si="103"/>
        <v>#VALUE!</v>
      </c>
      <c r="Z125" s="11" t="e">
        <f t="shared" si="104"/>
        <v>#VALUE!</v>
      </c>
      <c r="AA125" s="10" t="e">
        <f t="shared" si="87"/>
        <v>#VALUE!</v>
      </c>
      <c r="AB125" s="10" t="e">
        <f t="shared" si="105"/>
        <v>#VALUE!</v>
      </c>
      <c r="AC125" s="10" t="e">
        <f t="shared" si="106"/>
        <v>#VALUE!</v>
      </c>
      <c r="AD125" s="10" t="e">
        <f t="shared" si="138"/>
        <v>#VALUE!</v>
      </c>
      <c r="AE125" s="10" t="e">
        <f t="shared" si="139"/>
        <v>#VALUE!</v>
      </c>
      <c r="AF125" s="10" t="e">
        <f t="shared" si="88"/>
        <v>#VALUE!</v>
      </c>
      <c r="AG125" s="10" t="e">
        <f t="shared" si="107"/>
        <v>#VALUE!</v>
      </c>
      <c r="AI125" s="13"/>
      <c r="AK125" s="10" t="e">
        <f t="shared" si="108"/>
        <v>#VALUE!</v>
      </c>
      <c r="AL125" s="10" t="e">
        <f t="shared" si="140"/>
        <v>#VALUE!</v>
      </c>
      <c r="AM125" s="10" t="e">
        <f t="shared" si="89"/>
        <v>#VALUE!</v>
      </c>
      <c r="AN125" s="10" t="e">
        <f t="shared" si="109"/>
        <v>#VALUE!</v>
      </c>
      <c r="AO125" s="10" t="e">
        <f t="shared" si="110"/>
        <v>#VALUE!</v>
      </c>
      <c r="AP125" s="10" t="e">
        <f t="shared" si="111"/>
        <v>#VALUE!</v>
      </c>
      <c r="AQ125" s="10" t="e">
        <f t="shared" si="141"/>
        <v>#VALUE!</v>
      </c>
      <c r="AR125" s="10" t="e">
        <f t="shared" si="90"/>
        <v>#VALUE!</v>
      </c>
      <c r="AS125" s="10" t="e">
        <f t="shared" si="142"/>
        <v>#VALUE!</v>
      </c>
      <c r="AU125" s="10" t="e">
        <f t="shared" si="112"/>
        <v>#VALUE!</v>
      </c>
      <c r="AV125" s="10" t="e">
        <f t="shared" si="143"/>
        <v>#VALUE!</v>
      </c>
      <c r="AW125" s="10" t="e">
        <f t="shared" si="91"/>
        <v>#VALUE!</v>
      </c>
      <c r="AX125" s="10" t="e">
        <f t="shared" si="113"/>
        <v>#VALUE!</v>
      </c>
      <c r="AY125" s="10" t="e">
        <f t="shared" si="114"/>
        <v>#VALUE!</v>
      </c>
      <c r="AZ125" s="10" t="e">
        <f t="shared" si="115"/>
        <v>#VALUE!</v>
      </c>
      <c r="BA125" s="10" t="e">
        <f t="shared" si="144"/>
        <v>#VALUE!</v>
      </c>
      <c r="BB125" s="10" t="e">
        <f t="shared" si="92"/>
        <v>#VALUE!</v>
      </c>
      <c r="BC125" s="10" t="e">
        <f t="shared" si="145"/>
        <v>#VALUE!</v>
      </c>
      <c r="BE125" s="10" t="e">
        <f t="shared" si="116"/>
        <v>#VALUE!</v>
      </c>
      <c r="BF125" s="10" t="e">
        <f t="shared" si="146"/>
        <v>#VALUE!</v>
      </c>
      <c r="BG125" s="10" t="e">
        <f t="shared" si="93"/>
        <v>#VALUE!</v>
      </c>
      <c r="BH125" s="10" t="e">
        <f t="shared" si="117"/>
        <v>#VALUE!</v>
      </c>
      <c r="BI125" s="10" t="e">
        <f t="shared" si="118"/>
        <v>#VALUE!</v>
      </c>
      <c r="BJ125" s="10" t="e">
        <f t="shared" si="119"/>
        <v>#VALUE!</v>
      </c>
      <c r="BK125" s="10" t="e">
        <f t="shared" si="147"/>
        <v>#VALUE!</v>
      </c>
      <c r="BL125" s="10" t="e">
        <f t="shared" si="94"/>
        <v>#VALUE!</v>
      </c>
      <c r="BM125" s="10" t="e">
        <f t="shared" si="148"/>
        <v>#VALUE!</v>
      </c>
      <c r="BP125" s="10" t="e">
        <f t="shared" si="120"/>
        <v>#VALUE!</v>
      </c>
      <c r="BQ125" s="10" t="e">
        <f t="shared" si="121"/>
        <v>#VALUE!</v>
      </c>
      <c r="BR125" s="10" t="e">
        <f t="shared" si="122"/>
        <v>#VALUE!</v>
      </c>
      <c r="BS125" s="10" t="e">
        <f t="shared" si="123"/>
        <v>#VALUE!</v>
      </c>
      <c r="BT125" s="10" t="e">
        <f t="shared" si="124"/>
        <v>#VALUE!</v>
      </c>
      <c r="BU125" s="10" t="e">
        <f t="shared" si="125"/>
        <v>#VALUE!</v>
      </c>
      <c r="BW125" s="10" t="e">
        <f t="shared" si="126"/>
        <v>#VALUE!</v>
      </c>
      <c r="BX125" s="10" t="e">
        <f t="shared" si="127"/>
        <v>#VALUE!</v>
      </c>
      <c r="BY125" s="10" t="e">
        <f t="shared" si="128"/>
        <v>#VALUE!</v>
      </c>
      <c r="BZ125" s="10" t="e">
        <f t="shared" si="129"/>
        <v>#VALUE!</v>
      </c>
      <c r="CA125" s="10" t="e">
        <f t="shared" si="130"/>
        <v>#VALUE!</v>
      </c>
      <c r="CB125" s="10" t="e">
        <f t="shared" si="131"/>
        <v>#VALUE!</v>
      </c>
      <c r="CD125" s="10" t="e">
        <f>MATCH(INDEX($BP$12:$BU$12,1,MATCH(BP125,$BP$15:$BU$15,0)),结果汇总!$AI$10:$AI$13,0)</f>
        <v>#VALUE!</v>
      </c>
      <c r="CE125" s="10" t="e">
        <f>MATCH(INDEX($BP$12:$BU$12,1,MATCH(BQ125,$BP$15:$BU$15,0)),结果汇总!$AI$10:$AI$13,0)</f>
        <v>#VALUE!</v>
      </c>
      <c r="CF125" s="10" t="e">
        <f>MATCH(INDEX($BP$12:$BU$12,1,MATCH(BR125,$BP$15:$BU$15,0)),结果汇总!$AI$10:$AI$13,0)</f>
        <v>#VALUE!</v>
      </c>
      <c r="CG125" s="10" t="e">
        <f>MATCH(INDEX($BP$12:$BU$12,1,MATCH(BS125,$BP$15:$BU$15,0)),结果汇总!$AI$10:$AI$13,0)</f>
        <v>#VALUE!</v>
      </c>
      <c r="CH125" s="10" t="e">
        <f>MATCH(INDEX($BP$12:$BU$12,1,MATCH(BT125,$BP$15:$BU$15,0)),结果汇总!$AI$10:$AI$13,0)</f>
        <v>#VALUE!</v>
      </c>
      <c r="CI125" s="10" t="e">
        <f>MATCH(INDEX($BP$12:$BU$12,1,MATCH(BU125,$BP$15:$BU$15,0)),结果汇总!$AI$10:$AI$13,0)</f>
        <v>#VALUE!</v>
      </c>
      <c r="CK125" s="10">
        <f t="shared" si="149"/>
        <v>0</v>
      </c>
      <c r="CL125" s="10">
        <f t="shared" si="149"/>
        <v>0</v>
      </c>
      <c r="CM125" s="10">
        <f t="shared" si="149"/>
        <v>0</v>
      </c>
      <c r="CN125" s="10">
        <f t="shared" si="149"/>
        <v>0</v>
      </c>
      <c r="CO125" s="10" t="e">
        <f t="shared" si="150"/>
        <v>#DIV/0!</v>
      </c>
      <c r="CP125" s="10" t="e">
        <f t="shared" si="150"/>
        <v>#DIV/0!</v>
      </c>
      <c r="CQ125" s="10" t="e">
        <f t="shared" si="150"/>
        <v>#DIV/0!</v>
      </c>
      <c r="CR125" s="10" t="e">
        <f t="shared" si="150"/>
        <v>#DIV/0!</v>
      </c>
      <c r="CS125" s="10">
        <f t="shared" si="151"/>
        <v>0</v>
      </c>
      <c r="CT125" s="10">
        <f t="shared" si="151"/>
        <v>0</v>
      </c>
      <c r="CU125" s="10">
        <f t="shared" si="151"/>
        <v>0</v>
      </c>
      <c r="CV125" s="10">
        <f t="shared" si="151"/>
        <v>0</v>
      </c>
      <c r="CW125" s="10">
        <f t="shared" si="152"/>
        <v>0</v>
      </c>
      <c r="CX125" s="10">
        <f t="shared" si="152"/>
        <v>0</v>
      </c>
      <c r="CY125" s="10">
        <f t="shared" si="152"/>
        <v>0</v>
      </c>
      <c r="CZ125" s="10">
        <f t="shared" si="152"/>
        <v>0</v>
      </c>
    </row>
    <row r="126" spans="4:104" x14ac:dyDescent="0.15">
      <c r="D126" s="10">
        <v>111</v>
      </c>
      <c r="E126" s="10" t="e">
        <f t="shared" si="95"/>
        <v>#VALUE!</v>
      </c>
      <c r="F126" s="10" t="e">
        <f t="shared" si="79"/>
        <v>#VALUE!</v>
      </c>
      <c r="G126" s="10" t="e">
        <f t="shared" si="80"/>
        <v>#VALUE!</v>
      </c>
      <c r="H126" s="10" t="e">
        <f t="shared" si="96"/>
        <v>#VALUE!</v>
      </c>
      <c r="I126" s="10" t="e">
        <f t="shared" si="81"/>
        <v>#VALUE!</v>
      </c>
      <c r="J126" s="10" t="e">
        <f t="shared" si="97"/>
        <v>#VALUE!</v>
      </c>
      <c r="K126" s="10" t="e">
        <f t="shared" si="82"/>
        <v>#VALUE!</v>
      </c>
      <c r="L126" s="10" t="e">
        <f t="shared" si="83"/>
        <v>#VALUE!</v>
      </c>
      <c r="M126" s="10" t="e">
        <f t="shared" si="98"/>
        <v>#VALUE!</v>
      </c>
      <c r="O126" s="10" t="e">
        <f t="shared" si="99"/>
        <v>#VALUE!</v>
      </c>
      <c r="P126" s="10" t="e">
        <f t="shared" si="84"/>
        <v>#VALUE!</v>
      </c>
      <c r="Q126" s="10" t="e">
        <f t="shared" si="85"/>
        <v>#VALUE!</v>
      </c>
      <c r="R126" s="10" t="e">
        <f t="shared" si="100"/>
        <v>#VALUE!</v>
      </c>
      <c r="S126" s="10" t="e">
        <f t="shared" si="101"/>
        <v>#VALUE!</v>
      </c>
      <c r="T126" s="10" t="e">
        <f t="shared" si="136"/>
        <v>#VALUE!</v>
      </c>
      <c r="U126" s="10" t="e">
        <f t="shared" si="137"/>
        <v>#VALUE!</v>
      </c>
      <c r="V126" s="10" t="e">
        <f t="shared" si="86"/>
        <v>#VALUE!</v>
      </c>
      <c r="W126" s="10" t="e">
        <f t="shared" si="102"/>
        <v>#VALUE!</v>
      </c>
      <c r="Y126" s="10" t="e">
        <f t="shared" si="103"/>
        <v>#VALUE!</v>
      </c>
      <c r="Z126" s="11" t="e">
        <f t="shared" si="104"/>
        <v>#VALUE!</v>
      </c>
      <c r="AA126" s="10" t="e">
        <f t="shared" si="87"/>
        <v>#VALUE!</v>
      </c>
      <c r="AB126" s="10" t="e">
        <f t="shared" si="105"/>
        <v>#VALUE!</v>
      </c>
      <c r="AC126" s="10" t="e">
        <f t="shared" si="106"/>
        <v>#VALUE!</v>
      </c>
      <c r="AD126" s="10" t="e">
        <f t="shared" si="138"/>
        <v>#VALUE!</v>
      </c>
      <c r="AE126" s="10" t="e">
        <f t="shared" si="139"/>
        <v>#VALUE!</v>
      </c>
      <c r="AF126" s="10" t="e">
        <f t="shared" si="88"/>
        <v>#VALUE!</v>
      </c>
      <c r="AG126" s="10" t="e">
        <f t="shared" si="107"/>
        <v>#VALUE!</v>
      </c>
      <c r="AI126" s="13"/>
      <c r="AK126" s="10" t="e">
        <f t="shared" si="108"/>
        <v>#VALUE!</v>
      </c>
      <c r="AL126" s="10" t="e">
        <f t="shared" si="140"/>
        <v>#VALUE!</v>
      </c>
      <c r="AM126" s="10" t="e">
        <f t="shared" si="89"/>
        <v>#VALUE!</v>
      </c>
      <c r="AN126" s="10" t="e">
        <f t="shared" si="109"/>
        <v>#VALUE!</v>
      </c>
      <c r="AO126" s="10" t="e">
        <f t="shared" si="110"/>
        <v>#VALUE!</v>
      </c>
      <c r="AP126" s="10" t="e">
        <f t="shared" si="111"/>
        <v>#VALUE!</v>
      </c>
      <c r="AQ126" s="10" t="e">
        <f t="shared" si="141"/>
        <v>#VALUE!</v>
      </c>
      <c r="AR126" s="10" t="e">
        <f t="shared" si="90"/>
        <v>#VALUE!</v>
      </c>
      <c r="AS126" s="10" t="e">
        <f t="shared" si="142"/>
        <v>#VALUE!</v>
      </c>
      <c r="AU126" s="10" t="e">
        <f t="shared" si="112"/>
        <v>#VALUE!</v>
      </c>
      <c r="AV126" s="10" t="e">
        <f t="shared" si="143"/>
        <v>#VALUE!</v>
      </c>
      <c r="AW126" s="10" t="e">
        <f t="shared" si="91"/>
        <v>#VALUE!</v>
      </c>
      <c r="AX126" s="10" t="e">
        <f t="shared" si="113"/>
        <v>#VALUE!</v>
      </c>
      <c r="AY126" s="10" t="e">
        <f t="shared" si="114"/>
        <v>#VALUE!</v>
      </c>
      <c r="AZ126" s="10" t="e">
        <f t="shared" si="115"/>
        <v>#VALUE!</v>
      </c>
      <c r="BA126" s="10" t="e">
        <f t="shared" si="144"/>
        <v>#VALUE!</v>
      </c>
      <c r="BB126" s="10" t="e">
        <f t="shared" si="92"/>
        <v>#VALUE!</v>
      </c>
      <c r="BC126" s="10" t="e">
        <f t="shared" si="145"/>
        <v>#VALUE!</v>
      </c>
      <c r="BE126" s="10" t="e">
        <f t="shared" si="116"/>
        <v>#VALUE!</v>
      </c>
      <c r="BF126" s="10" t="e">
        <f t="shared" si="146"/>
        <v>#VALUE!</v>
      </c>
      <c r="BG126" s="10" t="e">
        <f t="shared" si="93"/>
        <v>#VALUE!</v>
      </c>
      <c r="BH126" s="10" t="e">
        <f t="shared" si="117"/>
        <v>#VALUE!</v>
      </c>
      <c r="BI126" s="10" t="e">
        <f t="shared" si="118"/>
        <v>#VALUE!</v>
      </c>
      <c r="BJ126" s="10" t="e">
        <f t="shared" si="119"/>
        <v>#VALUE!</v>
      </c>
      <c r="BK126" s="10" t="e">
        <f t="shared" si="147"/>
        <v>#VALUE!</v>
      </c>
      <c r="BL126" s="10" t="e">
        <f t="shared" si="94"/>
        <v>#VALUE!</v>
      </c>
      <c r="BM126" s="10" t="e">
        <f t="shared" si="148"/>
        <v>#VALUE!</v>
      </c>
      <c r="BP126" s="10" t="e">
        <f t="shared" si="120"/>
        <v>#VALUE!</v>
      </c>
      <c r="BQ126" s="10" t="e">
        <f t="shared" si="121"/>
        <v>#VALUE!</v>
      </c>
      <c r="BR126" s="10" t="e">
        <f t="shared" si="122"/>
        <v>#VALUE!</v>
      </c>
      <c r="BS126" s="10" t="e">
        <f t="shared" si="123"/>
        <v>#VALUE!</v>
      </c>
      <c r="BT126" s="10" t="e">
        <f t="shared" si="124"/>
        <v>#VALUE!</v>
      </c>
      <c r="BU126" s="10" t="e">
        <f t="shared" si="125"/>
        <v>#VALUE!</v>
      </c>
      <c r="BW126" s="10" t="e">
        <f t="shared" si="126"/>
        <v>#VALUE!</v>
      </c>
      <c r="BX126" s="10" t="e">
        <f t="shared" si="127"/>
        <v>#VALUE!</v>
      </c>
      <c r="BY126" s="10" t="e">
        <f t="shared" si="128"/>
        <v>#VALUE!</v>
      </c>
      <c r="BZ126" s="10" t="e">
        <f t="shared" si="129"/>
        <v>#VALUE!</v>
      </c>
      <c r="CA126" s="10" t="e">
        <f t="shared" si="130"/>
        <v>#VALUE!</v>
      </c>
      <c r="CB126" s="10" t="e">
        <f t="shared" si="131"/>
        <v>#VALUE!</v>
      </c>
      <c r="CD126" s="10" t="e">
        <f>MATCH(INDEX($BP$12:$BU$12,1,MATCH(BP126,$BP$15:$BU$15,0)),结果汇总!$AI$10:$AI$13,0)</f>
        <v>#VALUE!</v>
      </c>
      <c r="CE126" s="10" t="e">
        <f>MATCH(INDEX($BP$12:$BU$12,1,MATCH(BQ126,$BP$15:$BU$15,0)),结果汇总!$AI$10:$AI$13,0)</f>
        <v>#VALUE!</v>
      </c>
      <c r="CF126" s="10" t="e">
        <f>MATCH(INDEX($BP$12:$BU$12,1,MATCH(BR126,$BP$15:$BU$15,0)),结果汇总!$AI$10:$AI$13,0)</f>
        <v>#VALUE!</v>
      </c>
      <c r="CG126" s="10" t="e">
        <f>MATCH(INDEX($BP$12:$BU$12,1,MATCH(BS126,$BP$15:$BU$15,0)),结果汇总!$AI$10:$AI$13,0)</f>
        <v>#VALUE!</v>
      </c>
      <c r="CH126" s="10" t="e">
        <f>MATCH(INDEX($BP$12:$BU$12,1,MATCH(BT126,$BP$15:$BU$15,0)),结果汇总!$AI$10:$AI$13,0)</f>
        <v>#VALUE!</v>
      </c>
      <c r="CI126" s="10" t="e">
        <f>MATCH(INDEX($BP$12:$BU$12,1,MATCH(BU126,$BP$15:$BU$15,0)),结果汇总!$AI$10:$AI$13,0)</f>
        <v>#VALUE!</v>
      </c>
      <c r="CK126" s="10">
        <f t="shared" si="149"/>
        <v>0</v>
      </c>
      <c r="CL126" s="10">
        <f t="shared" si="149"/>
        <v>0</v>
      </c>
      <c r="CM126" s="10">
        <f t="shared" si="149"/>
        <v>0</v>
      </c>
      <c r="CN126" s="10">
        <f t="shared" si="149"/>
        <v>0</v>
      </c>
      <c r="CO126" s="10" t="e">
        <f t="shared" si="150"/>
        <v>#DIV/0!</v>
      </c>
      <c r="CP126" s="10" t="e">
        <f t="shared" si="150"/>
        <v>#DIV/0!</v>
      </c>
      <c r="CQ126" s="10" t="e">
        <f t="shared" si="150"/>
        <v>#DIV/0!</v>
      </c>
      <c r="CR126" s="10" t="e">
        <f t="shared" si="150"/>
        <v>#DIV/0!</v>
      </c>
      <c r="CS126" s="10">
        <f t="shared" si="151"/>
        <v>0</v>
      </c>
      <c r="CT126" s="10">
        <f t="shared" si="151"/>
        <v>0</v>
      </c>
      <c r="CU126" s="10">
        <f t="shared" si="151"/>
        <v>0</v>
      </c>
      <c r="CV126" s="10">
        <f t="shared" si="151"/>
        <v>0</v>
      </c>
      <c r="CW126" s="10">
        <f t="shared" si="152"/>
        <v>0</v>
      </c>
      <c r="CX126" s="10">
        <f t="shared" si="152"/>
        <v>0</v>
      </c>
      <c r="CY126" s="10">
        <f t="shared" si="152"/>
        <v>0</v>
      </c>
      <c r="CZ126" s="10">
        <f t="shared" si="152"/>
        <v>0</v>
      </c>
    </row>
    <row r="127" spans="4:104" x14ac:dyDescent="0.15">
      <c r="D127" s="10">
        <v>112</v>
      </c>
      <c r="E127" s="10" t="e">
        <f t="shared" si="95"/>
        <v>#VALUE!</v>
      </c>
      <c r="F127" s="10" t="e">
        <f t="shared" si="79"/>
        <v>#VALUE!</v>
      </c>
      <c r="G127" s="10" t="e">
        <f t="shared" si="80"/>
        <v>#VALUE!</v>
      </c>
      <c r="H127" s="10" t="e">
        <f t="shared" si="96"/>
        <v>#VALUE!</v>
      </c>
      <c r="I127" s="10" t="e">
        <f t="shared" si="81"/>
        <v>#VALUE!</v>
      </c>
      <c r="J127" s="10" t="e">
        <f t="shared" si="97"/>
        <v>#VALUE!</v>
      </c>
      <c r="K127" s="10" t="e">
        <f t="shared" si="82"/>
        <v>#VALUE!</v>
      </c>
      <c r="L127" s="10" t="e">
        <f t="shared" si="83"/>
        <v>#VALUE!</v>
      </c>
      <c r="M127" s="10" t="e">
        <f t="shared" si="98"/>
        <v>#VALUE!</v>
      </c>
      <c r="O127" s="10" t="e">
        <f t="shared" si="99"/>
        <v>#VALUE!</v>
      </c>
      <c r="P127" s="10" t="e">
        <f t="shared" si="84"/>
        <v>#VALUE!</v>
      </c>
      <c r="Q127" s="10" t="e">
        <f t="shared" si="85"/>
        <v>#VALUE!</v>
      </c>
      <c r="R127" s="10" t="e">
        <f t="shared" si="100"/>
        <v>#VALUE!</v>
      </c>
      <c r="S127" s="10" t="e">
        <f t="shared" si="101"/>
        <v>#VALUE!</v>
      </c>
      <c r="T127" s="10" t="e">
        <f t="shared" si="136"/>
        <v>#VALUE!</v>
      </c>
      <c r="U127" s="10" t="e">
        <f t="shared" si="137"/>
        <v>#VALUE!</v>
      </c>
      <c r="V127" s="10" t="e">
        <f t="shared" si="86"/>
        <v>#VALUE!</v>
      </c>
      <c r="W127" s="10" t="e">
        <f t="shared" si="102"/>
        <v>#VALUE!</v>
      </c>
      <c r="Y127" s="10" t="e">
        <f t="shared" si="103"/>
        <v>#VALUE!</v>
      </c>
      <c r="Z127" s="11" t="e">
        <f t="shared" si="104"/>
        <v>#VALUE!</v>
      </c>
      <c r="AA127" s="10" t="e">
        <f t="shared" si="87"/>
        <v>#VALUE!</v>
      </c>
      <c r="AB127" s="10" t="e">
        <f t="shared" si="105"/>
        <v>#VALUE!</v>
      </c>
      <c r="AC127" s="10" t="e">
        <f t="shared" si="106"/>
        <v>#VALUE!</v>
      </c>
      <c r="AD127" s="10" t="e">
        <f t="shared" si="138"/>
        <v>#VALUE!</v>
      </c>
      <c r="AE127" s="10" t="e">
        <f t="shared" si="139"/>
        <v>#VALUE!</v>
      </c>
      <c r="AF127" s="10" t="e">
        <f t="shared" si="88"/>
        <v>#VALUE!</v>
      </c>
      <c r="AG127" s="10" t="e">
        <f t="shared" si="107"/>
        <v>#VALUE!</v>
      </c>
      <c r="AI127" s="13"/>
      <c r="AK127" s="10" t="e">
        <f t="shared" si="108"/>
        <v>#VALUE!</v>
      </c>
      <c r="AL127" s="10" t="e">
        <f t="shared" si="140"/>
        <v>#VALUE!</v>
      </c>
      <c r="AM127" s="10" t="e">
        <f t="shared" si="89"/>
        <v>#VALUE!</v>
      </c>
      <c r="AN127" s="10" t="e">
        <f t="shared" si="109"/>
        <v>#VALUE!</v>
      </c>
      <c r="AO127" s="10" t="e">
        <f t="shared" si="110"/>
        <v>#VALUE!</v>
      </c>
      <c r="AP127" s="10" t="e">
        <f t="shared" si="111"/>
        <v>#VALUE!</v>
      </c>
      <c r="AQ127" s="10" t="e">
        <f t="shared" si="141"/>
        <v>#VALUE!</v>
      </c>
      <c r="AR127" s="10" t="e">
        <f t="shared" si="90"/>
        <v>#VALUE!</v>
      </c>
      <c r="AS127" s="10" t="e">
        <f t="shared" si="142"/>
        <v>#VALUE!</v>
      </c>
      <c r="AU127" s="10" t="e">
        <f t="shared" si="112"/>
        <v>#VALUE!</v>
      </c>
      <c r="AV127" s="10" t="e">
        <f t="shared" si="143"/>
        <v>#VALUE!</v>
      </c>
      <c r="AW127" s="10" t="e">
        <f t="shared" si="91"/>
        <v>#VALUE!</v>
      </c>
      <c r="AX127" s="10" t="e">
        <f t="shared" si="113"/>
        <v>#VALUE!</v>
      </c>
      <c r="AY127" s="10" t="e">
        <f t="shared" si="114"/>
        <v>#VALUE!</v>
      </c>
      <c r="AZ127" s="10" t="e">
        <f t="shared" si="115"/>
        <v>#VALUE!</v>
      </c>
      <c r="BA127" s="10" t="e">
        <f t="shared" si="144"/>
        <v>#VALUE!</v>
      </c>
      <c r="BB127" s="10" t="e">
        <f t="shared" si="92"/>
        <v>#VALUE!</v>
      </c>
      <c r="BC127" s="10" t="e">
        <f t="shared" si="145"/>
        <v>#VALUE!</v>
      </c>
      <c r="BE127" s="10" t="e">
        <f t="shared" si="116"/>
        <v>#VALUE!</v>
      </c>
      <c r="BF127" s="10" t="e">
        <f t="shared" si="146"/>
        <v>#VALUE!</v>
      </c>
      <c r="BG127" s="10" t="e">
        <f t="shared" si="93"/>
        <v>#VALUE!</v>
      </c>
      <c r="BH127" s="10" t="e">
        <f t="shared" si="117"/>
        <v>#VALUE!</v>
      </c>
      <c r="BI127" s="10" t="e">
        <f t="shared" si="118"/>
        <v>#VALUE!</v>
      </c>
      <c r="BJ127" s="10" t="e">
        <f t="shared" si="119"/>
        <v>#VALUE!</v>
      </c>
      <c r="BK127" s="10" t="e">
        <f t="shared" si="147"/>
        <v>#VALUE!</v>
      </c>
      <c r="BL127" s="10" t="e">
        <f t="shared" si="94"/>
        <v>#VALUE!</v>
      </c>
      <c r="BM127" s="10" t="e">
        <f t="shared" si="148"/>
        <v>#VALUE!</v>
      </c>
      <c r="BP127" s="10" t="e">
        <f t="shared" si="120"/>
        <v>#VALUE!</v>
      </c>
      <c r="BQ127" s="10" t="e">
        <f t="shared" si="121"/>
        <v>#VALUE!</v>
      </c>
      <c r="BR127" s="10" t="e">
        <f t="shared" si="122"/>
        <v>#VALUE!</v>
      </c>
      <c r="BS127" s="10" t="e">
        <f t="shared" si="123"/>
        <v>#VALUE!</v>
      </c>
      <c r="BT127" s="10" t="e">
        <f t="shared" si="124"/>
        <v>#VALUE!</v>
      </c>
      <c r="BU127" s="10" t="e">
        <f t="shared" si="125"/>
        <v>#VALUE!</v>
      </c>
      <c r="BW127" s="10" t="e">
        <f t="shared" si="126"/>
        <v>#VALUE!</v>
      </c>
      <c r="BX127" s="10" t="e">
        <f t="shared" si="127"/>
        <v>#VALUE!</v>
      </c>
      <c r="BY127" s="10" t="e">
        <f t="shared" si="128"/>
        <v>#VALUE!</v>
      </c>
      <c r="BZ127" s="10" t="e">
        <f t="shared" si="129"/>
        <v>#VALUE!</v>
      </c>
      <c r="CA127" s="10" t="e">
        <f t="shared" si="130"/>
        <v>#VALUE!</v>
      </c>
      <c r="CB127" s="10" t="e">
        <f t="shared" si="131"/>
        <v>#VALUE!</v>
      </c>
      <c r="CD127" s="10" t="e">
        <f>MATCH(INDEX($BP$12:$BU$12,1,MATCH(BP127,$BP$15:$BU$15,0)),结果汇总!$AI$10:$AI$13,0)</f>
        <v>#VALUE!</v>
      </c>
      <c r="CE127" s="10" t="e">
        <f>MATCH(INDEX($BP$12:$BU$12,1,MATCH(BQ127,$BP$15:$BU$15,0)),结果汇总!$AI$10:$AI$13,0)</f>
        <v>#VALUE!</v>
      </c>
      <c r="CF127" s="10" t="e">
        <f>MATCH(INDEX($BP$12:$BU$12,1,MATCH(BR127,$BP$15:$BU$15,0)),结果汇总!$AI$10:$AI$13,0)</f>
        <v>#VALUE!</v>
      </c>
      <c r="CG127" s="10" t="e">
        <f>MATCH(INDEX($BP$12:$BU$12,1,MATCH(BS127,$BP$15:$BU$15,0)),结果汇总!$AI$10:$AI$13,0)</f>
        <v>#VALUE!</v>
      </c>
      <c r="CH127" s="10" t="e">
        <f>MATCH(INDEX($BP$12:$BU$12,1,MATCH(BT127,$BP$15:$BU$15,0)),结果汇总!$AI$10:$AI$13,0)</f>
        <v>#VALUE!</v>
      </c>
      <c r="CI127" s="10" t="e">
        <f>MATCH(INDEX($BP$12:$BU$12,1,MATCH(BU127,$BP$15:$BU$15,0)),结果汇总!$AI$10:$AI$13,0)</f>
        <v>#VALUE!</v>
      </c>
      <c r="CK127" s="10">
        <f t="shared" si="149"/>
        <v>0</v>
      </c>
      <c r="CL127" s="10">
        <f t="shared" si="149"/>
        <v>0</v>
      </c>
      <c r="CM127" s="10">
        <f t="shared" si="149"/>
        <v>0</v>
      </c>
      <c r="CN127" s="10">
        <f t="shared" si="149"/>
        <v>0</v>
      </c>
      <c r="CO127" s="10" t="e">
        <f t="shared" si="150"/>
        <v>#DIV/0!</v>
      </c>
      <c r="CP127" s="10" t="e">
        <f t="shared" si="150"/>
        <v>#DIV/0!</v>
      </c>
      <c r="CQ127" s="10" t="e">
        <f t="shared" si="150"/>
        <v>#DIV/0!</v>
      </c>
      <c r="CR127" s="10" t="e">
        <f t="shared" si="150"/>
        <v>#DIV/0!</v>
      </c>
      <c r="CS127" s="10">
        <f t="shared" si="151"/>
        <v>0</v>
      </c>
      <c r="CT127" s="10">
        <f t="shared" si="151"/>
        <v>0</v>
      </c>
      <c r="CU127" s="10">
        <f t="shared" si="151"/>
        <v>0</v>
      </c>
      <c r="CV127" s="10">
        <f t="shared" si="151"/>
        <v>0</v>
      </c>
      <c r="CW127" s="10">
        <f t="shared" si="152"/>
        <v>0</v>
      </c>
      <c r="CX127" s="10">
        <f t="shared" si="152"/>
        <v>0</v>
      </c>
      <c r="CY127" s="10">
        <f t="shared" si="152"/>
        <v>0</v>
      </c>
      <c r="CZ127" s="10">
        <f t="shared" si="152"/>
        <v>0</v>
      </c>
    </row>
    <row r="128" spans="4:104" x14ac:dyDescent="0.15">
      <c r="D128" s="10">
        <v>113</v>
      </c>
      <c r="E128" s="10" t="e">
        <f t="shared" si="95"/>
        <v>#VALUE!</v>
      </c>
      <c r="F128" s="10" t="e">
        <f t="shared" si="79"/>
        <v>#VALUE!</v>
      </c>
      <c r="G128" s="10" t="e">
        <f t="shared" si="80"/>
        <v>#VALUE!</v>
      </c>
      <c r="H128" s="10" t="e">
        <f t="shared" si="96"/>
        <v>#VALUE!</v>
      </c>
      <c r="I128" s="10" t="e">
        <f t="shared" si="81"/>
        <v>#VALUE!</v>
      </c>
      <c r="J128" s="10" t="e">
        <f t="shared" si="97"/>
        <v>#VALUE!</v>
      </c>
      <c r="K128" s="10" t="e">
        <f t="shared" si="82"/>
        <v>#VALUE!</v>
      </c>
      <c r="L128" s="10" t="e">
        <f t="shared" si="83"/>
        <v>#VALUE!</v>
      </c>
      <c r="M128" s="10" t="e">
        <f t="shared" si="98"/>
        <v>#VALUE!</v>
      </c>
      <c r="O128" s="10" t="e">
        <f t="shared" si="99"/>
        <v>#VALUE!</v>
      </c>
      <c r="P128" s="10" t="e">
        <f t="shared" si="84"/>
        <v>#VALUE!</v>
      </c>
      <c r="Q128" s="10" t="e">
        <f t="shared" si="85"/>
        <v>#VALUE!</v>
      </c>
      <c r="R128" s="10" t="e">
        <f t="shared" si="100"/>
        <v>#VALUE!</v>
      </c>
      <c r="S128" s="10" t="e">
        <f t="shared" si="101"/>
        <v>#VALUE!</v>
      </c>
      <c r="T128" s="10" t="e">
        <f t="shared" si="136"/>
        <v>#VALUE!</v>
      </c>
      <c r="U128" s="10" t="e">
        <f t="shared" si="137"/>
        <v>#VALUE!</v>
      </c>
      <c r="V128" s="10" t="e">
        <f t="shared" si="86"/>
        <v>#VALUE!</v>
      </c>
      <c r="W128" s="10" t="e">
        <f t="shared" si="102"/>
        <v>#VALUE!</v>
      </c>
      <c r="Y128" s="10" t="e">
        <f t="shared" si="103"/>
        <v>#VALUE!</v>
      </c>
      <c r="Z128" s="11" t="e">
        <f t="shared" si="104"/>
        <v>#VALUE!</v>
      </c>
      <c r="AA128" s="10" t="e">
        <f t="shared" si="87"/>
        <v>#VALUE!</v>
      </c>
      <c r="AB128" s="10" t="e">
        <f t="shared" si="105"/>
        <v>#VALUE!</v>
      </c>
      <c r="AC128" s="10" t="e">
        <f t="shared" si="106"/>
        <v>#VALUE!</v>
      </c>
      <c r="AD128" s="10" t="e">
        <f t="shared" si="138"/>
        <v>#VALUE!</v>
      </c>
      <c r="AE128" s="10" t="e">
        <f t="shared" si="139"/>
        <v>#VALUE!</v>
      </c>
      <c r="AF128" s="10" t="e">
        <f t="shared" si="88"/>
        <v>#VALUE!</v>
      </c>
      <c r="AG128" s="10" t="e">
        <f t="shared" si="107"/>
        <v>#VALUE!</v>
      </c>
      <c r="AI128" s="13"/>
      <c r="AK128" s="10" t="e">
        <f t="shared" si="108"/>
        <v>#VALUE!</v>
      </c>
      <c r="AL128" s="10" t="e">
        <f t="shared" si="140"/>
        <v>#VALUE!</v>
      </c>
      <c r="AM128" s="10" t="e">
        <f t="shared" si="89"/>
        <v>#VALUE!</v>
      </c>
      <c r="AN128" s="10" t="e">
        <f t="shared" si="109"/>
        <v>#VALUE!</v>
      </c>
      <c r="AO128" s="10" t="e">
        <f t="shared" si="110"/>
        <v>#VALUE!</v>
      </c>
      <c r="AP128" s="10" t="e">
        <f t="shared" si="111"/>
        <v>#VALUE!</v>
      </c>
      <c r="AQ128" s="10" t="e">
        <f t="shared" si="141"/>
        <v>#VALUE!</v>
      </c>
      <c r="AR128" s="10" t="e">
        <f t="shared" si="90"/>
        <v>#VALUE!</v>
      </c>
      <c r="AS128" s="10" t="e">
        <f t="shared" si="142"/>
        <v>#VALUE!</v>
      </c>
      <c r="AU128" s="10" t="e">
        <f t="shared" si="112"/>
        <v>#VALUE!</v>
      </c>
      <c r="AV128" s="10" t="e">
        <f t="shared" si="143"/>
        <v>#VALUE!</v>
      </c>
      <c r="AW128" s="10" t="e">
        <f t="shared" si="91"/>
        <v>#VALUE!</v>
      </c>
      <c r="AX128" s="10" t="e">
        <f t="shared" si="113"/>
        <v>#VALUE!</v>
      </c>
      <c r="AY128" s="10" t="e">
        <f t="shared" si="114"/>
        <v>#VALUE!</v>
      </c>
      <c r="AZ128" s="10" t="e">
        <f t="shared" si="115"/>
        <v>#VALUE!</v>
      </c>
      <c r="BA128" s="10" t="e">
        <f t="shared" si="144"/>
        <v>#VALUE!</v>
      </c>
      <c r="BB128" s="10" t="e">
        <f t="shared" si="92"/>
        <v>#VALUE!</v>
      </c>
      <c r="BC128" s="10" t="e">
        <f t="shared" si="145"/>
        <v>#VALUE!</v>
      </c>
      <c r="BE128" s="10" t="e">
        <f t="shared" si="116"/>
        <v>#VALUE!</v>
      </c>
      <c r="BF128" s="10" t="e">
        <f t="shared" si="146"/>
        <v>#VALUE!</v>
      </c>
      <c r="BG128" s="10" t="e">
        <f t="shared" si="93"/>
        <v>#VALUE!</v>
      </c>
      <c r="BH128" s="10" t="e">
        <f t="shared" si="117"/>
        <v>#VALUE!</v>
      </c>
      <c r="BI128" s="10" t="e">
        <f t="shared" si="118"/>
        <v>#VALUE!</v>
      </c>
      <c r="BJ128" s="10" t="e">
        <f t="shared" si="119"/>
        <v>#VALUE!</v>
      </c>
      <c r="BK128" s="10" t="e">
        <f t="shared" si="147"/>
        <v>#VALUE!</v>
      </c>
      <c r="BL128" s="10" t="e">
        <f t="shared" si="94"/>
        <v>#VALUE!</v>
      </c>
      <c r="BM128" s="10" t="e">
        <f t="shared" si="148"/>
        <v>#VALUE!</v>
      </c>
      <c r="BP128" s="10" t="e">
        <f t="shared" si="120"/>
        <v>#VALUE!</v>
      </c>
      <c r="BQ128" s="10" t="e">
        <f t="shared" si="121"/>
        <v>#VALUE!</v>
      </c>
      <c r="BR128" s="10" t="e">
        <f t="shared" si="122"/>
        <v>#VALUE!</v>
      </c>
      <c r="BS128" s="10" t="e">
        <f t="shared" si="123"/>
        <v>#VALUE!</v>
      </c>
      <c r="BT128" s="10" t="e">
        <f t="shared" si="124"/>
        <v>#VALUE!</v>
      </c>
      <c r="BU128" s="10" t="e">
        <f t="shared" si="125"/>
        <v>#VALUE!</v>
      </c>
      <c r="BW128" s="10" t="e">
        <f t="shared" si="126"/>
        <v>#VALUE!</v>
      </c>
      <c r="BX128" s="10" t="e">
        <f t="shared" si="127"/>
        <v>#VALUE!</v>
      </c>
      <c r="BY128" s="10" t="e">
        <f t="shared" si="128"/>
        <v>#VALUE!</v>
      </c>
      <c r="BZ128" s="10" t="e">
        <f t="shared" si="129"/>
        <v>#VALUE!</v>
      </c>
      <c r="CA128" s="10" t="e">
        <f t="shared" si="130"/>
        <v>#VALUE!</v>
      </c>
      <c r="CB128" s="10" t="e">
        <f t="shared" si="131"/>
        <v>#VALUE!</v>
      </c>
      <c r="CD128" s="10" t="e">
        <f>MATCH(INDEX($BP$12:$BU$12,1,MATCH(BP128,$BP$15:$BU$15,0)),结果汇总!$AI$10:$AI$13,0)</f>
        <v>#VALUE!</v>
      </c>
      <c r="CE128" s="10" t="e">
        <f>MATCH(INDEX($BP$12:$BU$12,1,MATCH(BQ128,$BP$15:$BU$15,0)),结果汇总!$AI$10:$AI$13,0)</f>
        <v>#VALUE!</v>
      </c>
      <c r="CF128" s="10" t="e">
        <f>MATCH(INDEX($BP$12:$BU$12,1,MATCH(BR128,$BP$15:$BU$15,0)),结果汇总!$AI$10:$AI$13,0)</f>
        <v>#VALUE!</v>
      </c>
      <c r="CG128" s="10" t="e">
        <f>MATCH(INDEX($BP$12:$BU$12,1,MATCH(BS128,$BP$15:$BU$15,0)),结果汇总!$AI$10:$AI$13,0)</f>
        <v>#VALUE!</v>
      </c>
      <c r="CH128" s="10" t="e">
        <f>MATCH(INDEX($BP$12:$BU$12,1,MATCH(BT128,$BP$15:$BU$15,0)),结果汇总!$AI$10:$AI$13,0)</f>
        <v>#VALUE!</v>
      </c>
      <c r="CI128" s="10" t="e">
        <f>MATCH(INDEX($BP$12:$BU$12,1,MATCH(BU128,$BP$15:$BU$15,0)),结果汇总!$AI$10:$AI$13,0)</f>
        <v>#VALUE!</v>
      </c>
      <c r="CK128" s="10">
        <f t="shared" si="149"/>
        <v>0</v>
      </c>
      <c r="CL128" s="10">
        <f t="shared" si="149"/>
        <v>0</v>
      </c>
      <c r="CM128" s="10">
        <f t="shared" si="149"/>
        <v>0</v>
      </c>
      <c r="CN128" s="10">
        <f t="shared" si="149"/>
        <v>0</v>
      </c>
      <c r="CO128" s="10" t="e">
        <f t="shared" si="150"/>
        <v>#DIV/0!</v>
      </c>
      <c r="CP128" s="10" t="e">
        <f t="shared" si="150"/>
        <v>#DIV/0!</v>
      </c>
      <c r="CQ128" s="10" t="e">
        <f t="shared" si="150"/>
        <v>#DIV/0!</v>
      </c>
      <c r="CR128" s="10" t="e">
        <f t="shared" si="150"/>
        <v>#DIV/0!</v>
      </c>
      <c r="CS128" s="10">
        <f t="shared" si="151"/>
        <v>0</v>
      </c>
      <c r="CT128" s="10">
        <f t="shared" si="151"/>
        <v>0</v>
      </c>
      <c r="CU128" s="10">
        <f t="shared" si="151"/>
        <v>0</v>
      </c>
      <c r="CV128" s="10">
        <f t="shared" si="151"/>
        <v>0</v>
      </c>
      <c r="CW128" s="10">
        <f t="shared" si="152"/>
        <v>0</v>
      </c>
      <c r="CX128" s="10">
        <f t="shared" si="152"/>
        <v>0</v>
      </c>
      <c r="CY128" s="10">
        <f t="shared" si="152"/>
        <v>0</v>
      </c>
      <c r="CZ128" s="10">
        <f t="shared" si="152"/>
        <v>0</v>
      </c>
    </row>
    <row r="129" spans="4:104" x14ac:dyDescent="0.15">
      <c r="D129" s="10">
        <v>114</v>
      </c>
      <c r="E129" s="10" t="e">
        <f t="shared" si="95"/>
        <v>#VALUE!</v>
      </c>
      <c r="F129" s="10" t="e">
        <f t="shared" si="79"/>
        <v>#VALUE!</v>
      </c>
      <c r="G129" s="10" t="e">
        <f t="shared" si="80"/>
        <v>#VALUE!</v>
      </c>
      <c r="H129" s="10" t="e">
        <f t="shared" si="96"/>
        <v>#VALUE!</v>
      </c>
      <c r="I129" s="10" t="e">
        <f t="shared" si="81"/>
        <v>#VALUE!</v>
      </c>
      <c r="J129" s="10" t="e">
        <f t="shared" si="97"/>
        <v>#VALUE!</v>
      </c>
      <c r="K129" s="10" t="e">
        <f t="shared" si="82"/>
        <v>#VALUE!</v>
      </c>
      <c r="L129" s="10" t="e">
        <f t="shared" si="83"/>
        <v>#VALUE!</v>
      </c>
      <c r="M129" s="10" t="e">
        <f t="shared" si="98"/>
        <v>#VALUE!</v>
      </c>
      <c r="O129" s="10" t="e">
        <f t="shared" si="99"/>
        <v>#VALUE!</v>
      </c>
      <c r="P129" s="10" t="e">
        <f t="shared" si="84"/>
        <v>#VALUE!</v>
      </c>
      <c r="Q129" s="10" t="e">
        <f t="shared" si="85"/>
        <v>#VALUE!</v>
      </c>
      <c r="R129" s="10" t="e">
        <f t="shared" si="100"/>
        <v>#VALUE!</v>
      </c>
      <c r="S129" s="10" t="e">
        <f t="shared" si="101"/>
        <v>#VALUE!</v>
      </c>
      <c r="T129" s="10" t="e">
        <f t="shared" si="136"/>
        <v>#VALUE!</v>
      </c>
      <c r="U129" s="10" t="e">
        <f t="shared" si="137"/>
        <v>#VALUE!</v>
      </c>
      <c r="V129" s="10" t="e">
        <f t="shared" si="86"/>
        <v>#VALUE!</v>
      </c>
      <c r="W129" s="10" t="e">
        <f t="shared" si="102"/>
        <v>#VALUE!</v>
      </c>
      <c r="Y129" s="10" t="e">
        <f t="shared" si="103"/>
        <v>#VALUE!</v>
      </c>
      <c r="Z129" s="11" t="e">
        <f t="shared" si="104"/>
        <v>#VALUE!</v>
      </c>
      <c r="AA129" s="10" t="e">
        <f t="shared" si="87"/>
        <v>#VALUE!</v>
      </c>
      <c r="AB129" s="10" t="e">
        <f t="shared" si="105"/>
        <v>#VALUE!</v>
      </c>
      <c r="AC129" s="10" t="e">
        <f t="shared" si="106"/>
        <v>#VALUE!</v>
      </c>
      <c r="AD129" s="10" t="e">
        <f t="shared" si="138"/>
        <v>#VALUE!</v>
      </c>
      <c r="AE129" s="10" t="e">
        <f t="shared" si="139"/>
        <v>#VALUE!</v>
      </c>
      <c r="AF129" s="10" t="e">
        <f t="shared" si="88"/>
        <v>#VALUE!</v>
      </c>
      <c r="AG129" s="10" t="e">
        <f t="shared" si="107"/>
        <v>#VALUE!</v>
      </c>
      <c r="AI129" s="13"/>
      <c r="AK129" s="10" t="e">
        <f t="shared" si="108"/>
        <v>#VALUE!</v>
      </c>
      <c r="AL129" s="10" t="e">
        <f t="shared" si="140"/>
        <v>#VALUE!</v>
      </c>
      <c r="AM129" s="10" t="e">
        <f t="shared" si="89"/>
        <v>#VALUE!</v>
      </c>
      <c r="AN129" s="10" t="e">
        <f t="shared" si="109"/>
        <v>#VALUE!</v>
      </c>
      <c r="AO129" s="10" t="e">
        <f t="shared" si="110"/>
        <v>#VALUE!</v>
      </c>
      <c r="AP129" s="10" t="e">
        <f t="shared" si="111"/>
        <v>#VALUE!</v>
      </c>
      <c r="AQ129" s="10" t="e">
        <f t="shared" si="141"/>
        <v>#VALUE!</v>
      </c>
      <c r="AR129" s="10" t="e">
        <f t="shared" si="90"/>
        <v>#VALUE!</v>
      </c>
      <c r="AS129" s="10" t="e">
        <f t="shared" si="142"/>
        <v>#VALUE!</v>
      </c>
      <c r="AU129" s="10" t="e">
        <f t="shared" si="112"/>
        <v>#VALUE!</v>
      </c>
      <c r="AV129" s="10" t="e">
        <f t="shared" si="143"/>
        <v>#VALUE!</v>
      </c>
      <c r="AW129" s="10" t="e">
        <f t="shared" si="91"/>
        <v>#VALUE!</v>
      </c>
      <c r="AX129" s="10" t="e">
        <f t="shared" si="113"/>
        <v>#VALUE!</v>
      </c>
      <c r="AY129" s="10" t="e">
        <f t="shared" si="114"/>
        <v>#VALUE!</v>
      </c>
      <c r="AZ129" s="10" t="e">
        <f t="shared" si="115"/>
        <v>#VALUE!</v>
      </c>
      <c r="BA129" s="10" t="e">
        <f t="shared" si="144"/>
        <v>#VALUE!</v>
      </c>
      <c r="BB129" s="10" t="e">
        <f t="shared" si="92"/>
        <v>#VALUE!</v>
      </c>
      <c r="BC129" s="10" t="e">
        <f t="shared" si="145"/>
        <v>#VALUE!</v>
      </c>
      <c r="BE129" s="10" t="e">
        <f t="shared" si="116"/>
        <v>#VALUE!</v>
      </c>
      <c r="BF129" s="10" t="e">
        <f t="shared" si="146"/>
        <v>#VALUE!</v>
      </c>
      <c r="BG129" s="10" t="e">
        <f t="shared" si="93"/>
        <v>#VALUE!</v>
      </c>
      <c r="BH129" s="10" t="e">
        <f t="shared" si="117"/>
        <v>#VALUE!</v>
      </c>
      <c r="BI129" s="10" t="e">
        <f t="shared" si="118"/>
        <v>#VALUE!</v>
      </c>
      <c r="BJ129" s="10" t="e">
        <f t="shared" si="119"/>
        <v>#VALUE!</v>
      </c>
      <c r="BK129" s="10" t="e">
        <f t="shared" si="147"/>
        <v>#VALUE!</v>
      </c>
      <c r="BL129" s="10" t="e">
        <f t="shared" si="94"/>
        <v>#VALUE!</v>
      </c>
      <c r="BM129" s="10" t="e">
        <f t="shared" si="148"/>
        <v>#VALUE!</v>
      </c>
      <c r="BP129" s="10" t="e">
        <f t="shared" si="120"/>
        <v>#VALUE!</v>
      </c>
      <c r="BQ129" s="10" t="e">
        <f t="shared" si="121"/>
        <v>#VALUE!</v>
      </c>
      <c r="BR129" s="10" t="e">
        <f t="shared" si="122"/>
        <v>#VALUE!</v>
      </c>
      <c r="BS129" s="10" t="e">
        <f t="shared" si="123"/>
        <v>#VALUE!</v>
      </c>
      <c r="BT129" s="10" t="e">
        <f t="shared" si="124"/>
        <v>#VALUE!</v>
      </c>
      <c r="BU129" s="10" t="e">
        <f t="shared" si="125"/>
        <v>#VALUE!</v>
      </c>
      <c r="BW129" s="10" t="e">
        <f t="shared" si="126"/>
        <v>#VALUE!</v>
      </c>
      <c r="BX129" s="10" t="e">
        <f t="shared" si="127"/>
        <v>#VALUE!</v>
      </c>
      <c r="BY129" s="10" t="e">
        <f t="shared" si="128"/>
        <v>#VALUE!</v>
      </c>
      <c r="BZ129" s="10" t="e">
        <f t="shared" si="129"/>
        <v>#VALUE!</v>
      </c>
      <c r="CA129" s="10" t="e">
        <f t="shared" si="130"/>
        <v>#VALUE!</v>
      </c>
      <c r="CB129" s="10" t="e">
        <f t="shared" si="131"/>
        <v>#VALUE!</v>
      </c>
      <c r="CD129" s="10" t="e">
        <f>MATCH(INDEX($BP$12:$BU$12,1,MATCH(BP129,$BP$15:$BU$15,0)),结果汇总!$AI$10:$AI$13,0)</f>
        <v>#VALUE!</v>
      </c>
      <c r="CE129" s="10" t="e">
        <f>MATCH(INDEX($BP$12:$BU$12,1,MATCH(BQ129,$BP$15:$BU$15,0)),结果汇总!$AI$10:$AI$13,0)</f>
        <v>#VALUE!</v>
      </c>
      <c r="CF129" s="10" t="e">
        <f>MATCH(INDEX($BP$12:$BU$12,1,MATCH(BR129,$BP$15:$BU$15,0)),结果汇总!$AI$10:$AI$13,0)</f>
        <v>#VALUE!</v>
      </c>
      <c r="CG129" s="10" t="e">
        <f>MATCH(INDEX($BP$12:$BU$12,1,MATCH(BS129,$BP$15:$BU$15,0)),结果汇总!$AI$10:$AI$13,0)</f>
        <v>#VALUE!</v>
      </c>
      <c r="CH129" s="10" t="e">
        <f>MATCH(INDEX($BP$12:$BU$12,1,MATCH(BT129,$BP$15:$BU$15,0)),结果汇总!$AI$10:$AI$13,0)</f>
        <v>#VALUE!</v>
      </c>
      <c r="CI129" s="10" t="e">
        <f>MATCH(INDEX($BP$12:$BU$12,1,MATCH(BU129,$BP$15:$BU$15,0)),结果汇总!$AI$10:$AI$13,0)</f>
        <v>#VALUE!</v>
      </c>
      <c r="CK129" s="10">
        <f t="shared" si="149"/>
        <v>0</v>
      </c>
      <c r="CL129" s="10">
        <f t="shared" si="149"/>
        <v>0</v>
      </c>
      <c r="CM129" s="10">
        <f t="shared" si="149"/>
        <v>0</v>
      </c>
      <c r="CN129" s="10">
        <f t="shared" si="149"/>
        <v>0</v>
      </c>
      <c r="CO129" s="10" t="e">
        <f t="shared" si="150"/>
        <v>#DIV/0!</v>
      </c>
      <c r="CP129" s="10" t="e">
        <f t="shared" si="150"/>
        <v>#DIV/0!</v>
      </c>
      <c r="CQ129" s="10" t="e">
        <f t="shared" si="150"/>
        <v>#DIV/0!</v>
      </c>
      <c r="CR129" s="10" t="e">
        <f t="shared" si="150"/>
        <v>#DIV/0!</v>
      </c>
      <c r="CS129" s="10">
        <f t="shared" si="151"/>
        <v>0</v>
      </c>
      <c r="CT129" s="10">
        <f t="shared" si="151"/>
        <v>0</v>
      </c>
      <c r="CU129" s="10">
        <f t="shared" si="151"/>
        <v>0</v>
      </c>
      <c r="CV129" s="10">
        <f t="shared" si="151"/>
        <v>0</v>
      </c>
      <c r="CW129" s="10">
        <f t="shared" si="152"/>
        <v>0</v>
      </c>
      <c r="CX129" s="10">
        <f t="shared" si="152"/>
        <v>0</v>
      </c>
      <c r="CY129" s="10">
        <f t="shared" si="152"/>
        <v>0</v>
      </c>
      <c r="CZ129" s="10">
        <f t="shared" si="152"/>
        <v>0</v>
      </c>
    </row>
    <row r="130" spans="4:104" x14ac:dyDescent="0.15">
      <c r="D130" s="10">
        <v>115</v>
      </c>
      <c r="E130" s="10" t="e">
        <f t="shared" si="95"/>
        <v>#VALUE!</v>
      </c>
      <c r="F130" s="10" t="e">
        <f t="shared" si="79"/>
        <v>#VALUE!</v>
      </c>
      <c r="G130" s="10" t="e">
        <f t="shared" si="80"/>
        <v>#VALUE!</v>
      </c>
      <c r="H130" s="10" t="e">
        <f t="shared" si="96"/>
        <v>#VALUE!</v>
      </c>
      <c r="I130" s="10" t="e">
        <f t="shared" si="81"/>
        <v>#VALUE!</v>
      </c>
      <c r="J130" s="10" t="e">
        <f t="shared" si="97"/>
        <v>#VALUE!</v>
      </c>
      <c r="K130" s="10" t="e">
        <f t="shared" si="82"/>
        <v>#VALUE!</v>
      </c>
      <c r="L130" s="10" t="e">
        <f t="shared" si="83"/>
        <v>#VALUE!</v>
      </c>
      <c r="M130" s="10" t="e">
        <f t="shared" si="98"/>
        <v>#VALUE!</v>
      </c>
      <c r="O130" s="10" t="e">
        <f t="shared" si="99"/>
        <v>#VALUE!</v>
      </c>
      <c r="P130" s="10" t="e">
        <f t="shared" si="84"/>
        <v>#VALUE!</v>
      </c>
      <c r="Q130" s="10" t="e">
        <f t="shared" si="85"/>
        <v>#VALUE!</v>
      </c>
      <c r="R130" s="10" t="e">
        <f t="shared" si="100"/>
        <v>#VALUE!</v>
      </c>
      <c r="S130" s="10" t="e">
        <f t="shared" si="101"/>
        <v>#VALUE!</v>
      </c>
      <c r="T130" s="10" t="e">
        <f t="shared" si="136"/>
        <v>#VALUE!</v>
      </c>
      <c r="U130" s="10" t="e">
        <f t="shared" si="137"/>
        <v>#VALUE!</v>
      </c>
      <c r="V130" s="10" t="e">
        <f t="shared" si="86"/>
        <v>#VALUE!</v>
      </c>
      <c r="W130" s="10" t="e">
        <f t="shared" si="102"/>
        <v>#VALUE!</v>
      </c>
      <c r="Y130" s="10" t="e">
        <f t="shared" si="103"/>
        <v>#VALUE!</v>
      </c>
      <c r="Z130" s="11" t="e">
        <f t="shared" si="104"/>
        <v>#VALUE!</v>
      </c>
      <c r="AA130" s="10" t="e">
        <f t="shared" si="87"/>
        <v>#VALUE!</v>
      </c>
      <c r="AB130" s="10" t="e">
        <f t="shared" si="105"/>
        <v>#VALUE!</v>
      </c>
      <c r="AC130" s="10" t="e">
        <f t="shared" si="106"/>
        <v>#VALUE!</v>
      </c>
      <c r="AD130" s="10" t="e">
        <f t="shared" si="138"/>
        <v>#VALUE!</v>
      </c>
      <c r="AE130" s="10" t="e">
        <f t="shared" si="139"/>
        <v>#VALUE!</v>
      </c>
      <c r="AF130" s="10" t="e">
        <f t="shared" si="88"/>
        <v>#VALUE!</v>
      </c>
      <c r="AG130" s="10" t="e">
        <f t="shared" si="107"/>
        <v>#VALUE!</v>
      </c>
      <c r="AI130" s="13"/>
      <c r="AK130" s="10" t="e">
        <f t="shared" si="108"/>
        <v>#VALUE!</v>
      </c>
      <c r="AL130" s="10" t="e">
        <f t="shared" si="140"/>
        <v>#VALUE!</v>
      </c>
      <c r="AM130" s="10" t="e">
        <f t="shared" si="89"/>
        <v>#VALUE!</v>
      </c>
      <c r="AN130" s="10" t="e">
        <f t="shared" si="109"/>
        <v>#VALUE!</v>
      </c>
      <c r="AO130" s="10" t="e">
        <f t="shared" si="110"/>
        <v>#VALUE!</v>
      </c>
      <c r="AP130" s="10" t="e">
        <f t="shared" si="111"/>
        <v>#VALUE!</v>
      </c>
      <c r="AQ130" s="10" t="e">
        <f t="shared" si="141"/>
        <v>#VALUE!</v>
      </c>
      <c r="AR130" s="10" t="e">
        <f t="shared" si="90"/>
        <v>#VALUE!</v>
      </c>
      <c r="AS130" s="10" t="e">
        <f t="shared" si="142"/>
        <v>#VALUE!</v>
      </c>
      <c r="AU130" s="10" t="e">
        <f t="shared" si="112"/>
        <v>#VALUE!</v>
      </c>
      <c r="AV130" s="10" t="e">
        <f t="shared" si="143"/>
        <v>#VALUE!</v>
      </c>
      <c r="AW130" s="10" t="e">
        <f t="shared" si="91"/>
        <v>#VALUE!</v>
      </c>
      <c r="AX130" s="10" t="e">
        <f t="shared" si="113"/>
        <v>#VALUE!</v>
      </c>
      <c r="AY130" s="10" t="e">
        <f t="shared" si="114"/>
        <v>#VALUE!</v>
      </c>
      <c r="AZ130" s="10" t="e">
        <f t="shared" si="115"/>
        <v>#VALUE!</v>
      </c>
      <c r="BA130" s="10" t="e">
        <f t="shared" si="144"/>
        <v>#VALUE!</v>
      </c>
      <c r="BB130" s="10" t="e">
        <f t="shared" si="92"/>
        <v>#VALUE!</v>
      </c>
      <c r="BC130" s="10" t="e">
        <f t="shared" si="145"/>
        <v>#VALUE!</v>
      </c>
      <c r="BE130" s="10" t="e">
        <f t="shared" si="116"/>
        <v>#VALUE!</v>
      </c>
      <c r="BF130" s="10" t="e">
        <f t="shared" si="146"/>
        <v>#VALUE!</v>
      </c>
      <c r="BG130" s="10" t="e">
        <f t="shared" si="93"/>
        <v>#VALUE!</v>
      </c>
      <c r="BH130" s="10" t="e">
        <f t="shared" si="117"/>
        <v>#VALUE!</v>
      </c>
      <c r="BI130" s="10" t="e">
        <f t="shared" si="118"/>
        <v>#VALUE!</v>
      </c>
      <c r="BJ130" s="10" t="e">
        <f t="shared" si="119"/>
        <v>#VALUE!</v>
      </c>
      <c r="BK130" s="10" t="e">
        <f t="shared" si="147"/>
        <v>#VALUE!</v>
      </c>
      <c r="BL130" s="10" t="e">
        <f t="shared" si="94"/>
        <v>#VALUE!</v>
      </c>
      <c r="BM130" s="10" t="e">
        <f t="shared" si="148"/>
        <v>#VALUE!</v>
      </c>
      <c r="BP130" s="10" t="e">
        <f t="shared" si="120"/>
        <v>#VALUE!</v>
      </c>
      <c r="BQ130" s="10" t="e">
        <f t="shared" si="121"/>
        <v>#VALUE!</v>
      </c>
      <c r="BR130" s="10" t="e">
        <f t="shared" si="122"/>
        <v>#VALUE!</v>
      </c>
      <c r="BS130" s="10" t="e">
        <f t="shared" si="123"/>
        <v>#VALUE!</v>
      </c>
      <c r="BT130" s="10" t="e">
        <f t="shared" si="124"/>
        <v>#VALUE!</v>
      </c>
      <c r="BU130" s="10" t="e">
        <f t="shared" si="125"/>
        <v>#VALUE!</v>
      </c>
      <c r="BW130" s="10" t="e">
        <f t="shared" si="126"/>
        <v>#VALUE!</v>
      </c>
      <c r="BX130" s="10" t="e">
        <f t="shared" si="127"/>
        <v>#VALUE!</v>
      </c>
      <c r="BY130" s="10" t="e">
        <f t="shared" si="128"/>
        <v>#VALUE!</v>
      </c>
      <c r="BZ130" s="10" t="e">
        <f t="shared" si="129"/>
        <v>#VALUE!</v>
      </c>
      <c r="CA130" s="10" t="e">
        <f t="shared" si="130"/>
        <v>#VALUE!</v>
      </c>
      <c r="CB130" s="10" t="e">
        <f t="shared" si="131"/>
        <v>#VALUE!</v>
      </c>
      <c r="CD130" s="10" t="e">
        <f>MATCH(INDEX($BP$12:$BU$12,1,MATCH(BP130,$BP$15:$BU$15,0)),结果汇总!$AI$10:$AI$13,0)</f>
        <v>#VALUE!</v>
      </c>
      <c r="CE130" s="10" t="e">
        <f>MATCH(INDEX($BP$12:$BU$12,1,MATCH(BQ130,$BP$15:$BU$15,0)),结果汇总!$AI$10:$AI$13,0)</f>
        <v>#VALUE!</v>
      </c>
      <c r="CF130" s="10" t="e">
        <f>MATCH(INDEX($BP$12:$BU$12,1,MATCH(BR130,$BP$15:$BU$15,0)),结果汇总!$AI$10:$AI$13,0)</f>
        <v>#VALUE!</v>
      </c>
      <c r="CG130" s="10" t="e">
        <f>MATCH(INDEX($BP$12:$BU$12,1,MATCH(BS130,$BP$15:$BU$15,0)),结果汇总!$AI$10:$AI$13,0)</f>
        <v>#VALUE!</v>
      </c>
      <c r="CH130" s="10" t="e">
        <f>MATCH(INDEX($BP$12:$BU$12,1,MATCH(BT130,$BP$15:$BU$15,0)),结果汇总!$AI$10:$AI$13,0)</f>
        <v>#VALUE!</v>
      </c>
      <c r="CI130" s="10" t="e">
        <f>MATCH(INDEX($BP$12:$BU$12,1,MATCH(BU130,$BP$15:$BU$15,0)),结果汇总!$AI$10:$AI$13,0)</f>
        <v>#VALUE!</v>
      </c>
      <c r="CK130" s="10">
        <f t="shared" si="149"/>
        <v>0</v>
      </c>
      <c r="CL130" s="10">
        <f t="shared" si="149"/>
        <v>0</v>
      </c>
      <c r="CM130" s="10">
        <f t="shared" si="149"/>
        <v>0</v>
      </c>
      <c r="CN130" s="10">
        <f t="shared" si="149"/>
        <v>0</v>
      </c>
      <c r="CO130" s="10" t="e">
        <f t="shared" si="150"/>
        <v>#DIV/0!</v>
      </c>
      <c r="CP130" s="10" t="e">
        <f t="shared" si="150"/>
        <v>#DIV/0!</v>
      </c>
      <c r="CQ130" s="10" t="e">
        <f t="shared" si="150"/>
        <v>#DIV/0!</v>
      </c>
      <c r="CR130" s="10" t="e">
        <f t="shared" si="150"/>
        <v>#DIV/0!</v>
      </c>
      <c r="CS130" s="10">
        <f t="shared" si="151"/>
        <v>0</v>
      </c>
      <c r="CT130" s="10">
        <f t="shared" si="151"/>
        <v>0</v>
      </c>
      <c r="CU130" s="10">
        <f t="shared" si="151"/>
        <v>0</v>
      </c>
      <c r="CV130" s="10">
        <f t="shared" si="151"/>
        <v>0</v>
      </c>
      <c r="CW130" s="10">
        <f t="shared" si="152"/>
        <v>0</v>
      </c>
      <c r="CX130" s="10">
        <f t="shared" si="152"/>
        <v>0</v>
      </c>
      <c r="CY130" s="10">
        <f t="shared" si="152"/>
        <v>0</v>
      </c>
      <c r="CZ130" s="10">
        <f t="shared" si="152"/>
        <v>0</v>
      </c>
    </row>
    <row r="131" spans="4:104" x14ac:dyDescent="0.15">
      <c r="D131" s="10">
        <v>116</v>
      </c>
      <c r="E131" s="10" t="e">
        <f t="shared" si="95"/>
        <v>#VALUE!</v>
      </c>
      <c r="F131" s="10" t="e">
        <f t="shared" si="79"/>
        <v>#VALUE!</v>
      </c>
      <c r="G131" s="10" t="e">
        <f t="shared" si="80"/>
        <v>#VALUE!</v>
      </c>
      <c r="H131" s="10" t="e">
        <f t="shared" si="96"/>
        <v>#VALUE!</v>
      </c>
      <c r="I131" s="10" t="e">
        <f t="shared" si="81"/>
        <v>#VALUE!</v>
      </c>
      <c r="J131" s="10" t="e">
        <f t="shared" si="97"/>
        <v>#VALUE!</v>
      </c>
      <c r="K131" s="10" t="e">
        <f t="shared" si="82"/>
        <v>#VALUE!</v>
      </c>
      <c r="L131" s="10" t="e">
        <f t="shared" si="83"/>
        <v>#VALUE!</v>
      </c>
      <c r="M131" s="10" t="e">
        <f t="shared" si="98"/>
        <v>#VALUE!</v>
      </c>
      <c r="O131" s="10" t="e">
        <f t="shared" si="99"/>
        <v>#VALUE!</v>
      </c>
      <c r="P131" s="10" t="e">
        <f t="shared" si="84"/>
        <v>#VALUE!</v>
      </c>
      <c r="Q131" s="10" t="e">
        <f t="shared" si="85"/>
        <v>#VALUE!</v>
      </c>
      <c r="R131" s="10" t="e">
        <f t="shared" si="100"/>
        <v>#VALUE!</v>
      </c>
      <c r="S131" s="10" t="e">
        <f t="shared" si="101"/>
        <v>#VALUE!</v>
      </c>
      <c r="T131" s="10" t="e">
        <f t="shared" si="136"/>
        <v>#VALUE!</v>
      </c>
      <c r="U131" s="10" t="e">
        <f t="shared" si="137"/>
        <v>#VALUE!</v>
      </c>
      <c r="V131" s="10" t="e">
        <f t="shared" si="86"/>
        <v>#VALUE!</v>
      </c>
      <c r="W131" s="10" t="e">
        <f t="shared" si="102"/>
        <v>#VALUE!</v>
      </c>
      <c r="Y131" s="10" t="e">
        <f t="shared" si="103"/>
        <v>#VALUE!</v>
      </c>
      <c r="Z131" s="11" t="e">
        <f t="shared" si="104"/>
        <v>#VALUE!</v>
      </c>
      <c r="AA131" s="10" t="e">
        <f t="shared" si="87"/>
        <v>#VALUE!</v>
      </c>
      <c r="AB131" s="10" t="e">
        <f t="shared" si="105"/>
        <v>#VALUE!</v>
      </c>
      <c r="AC131" s="10" t="e">
        <f t="shared" si="106"/>
        <v>#VALUE!</v>
      </c>
      <c r="AD131" s="10" t="e">
        <f t="shared" si="138"/>
        <v>#VALUE!</v>
      </c>
      <c r="AE131" s="10" t="e">
        <f t="shared" si="139"/>
        <v>#VALUE!</v>
      </c>
      <c r="AF131" s="10" t="e">
        <f t="shared" si="88"/>
        <v>#VALUE!</v>
      </c>
      <c r="AG131" s="10" t="e">
        <f t="shared" si="107"/>
        <v>#VALUE!</v>
      </c>
      <c r="AI131" s="13"/>
      <c r="AK131" s="10" t="e">
        <f t="shared" si="108"/>
        <v>#VALUE!</v>
      </c>
      <c r="AL131" s="10" t="e">
        <f t="shared" si="140"/>
        <v>#VALUE!</v>
      </c>
      <c r="AM131" s="10" t="e">
        <f t="shared" si="89"/>
        <v>#VALUE!</v>
      </c>
      <c r="AN131" s="10" t="e">
        <f t="shared" si="109"/>
        <v>#VALUE!</v>
      </c>
      <c r="AO131" s="10" t="e">
        <f t="shared" si="110"/>
        <v>#VALUE!</v>
      </c>
      <c r="AP131" s="10" t="e">
        <f t="shared" si="111"/>
        <v>#VALUE!</v>
      </c>
      <c r="AQ131" s="10" t="e">
        <f t="shared" si="141"/>
        <v>#VALUE!</v>
      </c>
      <c r="AR131" s="10" t="e">
        <f t="shared" si="90"/>
        <v>#VALUE!</v>
      </c>
      <c r="AS131" s="10" t="e">
        <f t="shared" si="142"/>
        <v>#VALUE!</v>
      </c>
      <c r="AU131" s="10" t="e">
        <f t="shared" si="112"/>
        <v>#VALUE!</v>
      </c>
      <c r="AV131" s="10" t="e">
        <f t="shared" si="143"/>
        <v>#VALUE!</v>
      </c>
      <c r="AW131" s="10" t="e">
        <f t="shared" si="91"/>
        <v>#VALUE!</v>
      </c>
      <c r="AX131" s="10" t="e">
        <f t="shared" si="113"/>
        <v>#VALUE!</v>
      </c>
      <c r="AY131" s="10" t="e">
        <f t="shared" si="114"/>
        <v>#VALUE!</v>
      </c>
      <c r="AZ131" s="10" t="e">
        <f t="shared" si="115"/>
        <v>#VALUE!</v>
      </c>
      <c r="BA131" s="10" t="e">
        <f t="shared" si="144"/>
        <v>#VALUE!</v>
      </c>
      <c r="BB131" s="10" t="e">
        <f t="shared" si="92"/>
        <v>#VALUE!</v>
      </c>
      <c r="BC131" s="10" t="e">
        <f t="shared" si="145"/>
        <v>#VALUE!</v>
      </c>
      <c r="BE131" s="10" t="e">
        <f t="shared" si="116"/>
        <v>#VALUE!</v>
      </c>
      <c r="BF131" s="10" t="e">
        <f t="shared" si="146"/>
        <v>#VALUE!</v>
      </c>
      <c r="BG131" s="10" t="e">
        <f t="shared" si="93"/>
        <v>#VALUE!</v>
      </c>
      <c r="BH131" s="10" t="e">
        <f t="shared" si="117"/>
        <v>#VALUE!</v>
      </c>
      <c r="BI131" s="10" t="e">
        <f t="shared" si="118"/>
        <v>#VALUE!</v>
      </c>
      <c r="BJ131" s="10" t="e">
        <f t="shared" si="119"/>
        <v>#VALUE!</v>
      </c>
      <c r="BK131" s="10" t="e">
        <f t="shared" si="147"/>
        <v>#VALUE!</v>
      </c>
      <c r="BL131" s="10" t="e">
        <f t="shared" si="94"/>
        <v>#VALUE!</v>
      </c>
      <c r="BM131" s="10" t="e">
        <f t="shared" si="148"/>
        <v>#VALUE!</v>
      </c>
      <c r="BP131" s="10" t="e">
        <f t="shared" si="120"/>
        <v>#VALUE!</v>
      </c>
      <c r="BQ131" s="10" t="e">
        <f t="shared" si="121"/>
        <v>#VALUE!</v>
      </c>
      <c r="BR131" s="10" t="e">
        <f t="shared" si="122"/>
        <v>#VALUE!</v>
      </c>
      <c r="BS131" s="10" t="e">
        <f t="shared" si="123"/>
        <v>#VALUE!</v>
      </c>
      <c r="BT131" s="10" t="e">
        <f t="shared" si="124"/>
        <v>#VALUE!</v>
      </c>
      <c r="BU131" s="10" t="e">
        <f t="shared" si="125"/>
        <v>#VALUE!</v>
      </c>
      <c r="BW131" s="10" t="e">
        <f t="shared" si="126"/>
        <v>#VALUE!</v>
      </c>
      <c r="BX131" s="10" t="e">
        <f t="shared" si="127"/>
        <v>#VALUE!</v>
      </c>
      <c r="BY131" s="10" t="e">
        <f t="shared" si="128"/>
        <v>#VALUE!</v>
      </c>
      <c r="BZ131" s="10" t="e">
        <f t="shared" si="129"/>
        <v>#VALUE!</v>
      </c>
      <c r="CA131" s="10" t="e">
        <f t="shared" si="130"/>
        <v>#VALUE!</v>
      </c>
      <c r="CB131" s="10" t="e">
        <f t="shared" si="131"/>
        <v>#VALUE!</v>
      </c>
      <c r="CD131" s="10" t="e">
        <f>MATCH(INDEX($BP$12:$BU$12,1,MATCH(BP131,$BP$15:$BU$15,0)),结果汇总!$AI$10:$AI$13,0)</f>
        <v>#VALUE!</v>
      </c>
      <c r="CE131" s="10" t="e">
        <f>MATCH(INDEX($BP$12:$BU$12,1,MATCH(BQ131,$BP$15:$BU$15,0)),结果汇总!$AI$10:$AI$13,0)</f>
        <v>#VALUE!</v>
      </c>
      <c r="CF131" s="10" t="e">
        <f>MATCH(INDEX($BP$12:$BU$12,1,MATCH(BR131,$BP$15:$BU$15,0)),结果汇总!$AI$10:$AI$13,0)</f>
        <v>#VALUE!</v>
      </c>
      <c r="CG131" s="10" t="e">
        <f>MATCH(INDEX($BP$12:$BU$12,1,MATCH(BS131,$BP$15:$BU$15,0)),结果汇总!$AI$10:$AI$13,0)</f>
        <v>#VALUE!</v>
      </c>
      <c r="CH131" s="10" t="e">
        <f>MATCH(INDEX($BP$12:$BU$12,1,MATCH(BT131,$BP$15:$BU$15,0)),结果汇总!$AI$10:$AI$13,0)</f>
        <v>#VALUE!</v>
      </c>
      <c r="CI131" s="10" t="e">
        <f>MATCH(INDEX($BP$12:$BU$12,1,MATCH(BU131,$BP$15:$BU$15,0)),结果汇总!$AI$10:$AI$13,0)</f>
        <v>#VALUE!</v>
      </c>
      <c r="CK131" s="10">
        <f t="shared" si="149"/>
        <v>0</v>
      </c>
      <c r="CL131" s="10">
        <f t="shared" si="149"/>
        <v>0</v>
      </c>
      <c r="CM131" s="10">
        <f t="shared" si="149"/>
        <v>0</v>
      </c>
      <c r="CN131" s="10">
        <f t="shared" si="149"/>
        <v>0</v>
      </c>
      <c r="CO131" s="10" t="e">
        <f t="shared" si="150"/>
        <v>#DIV/0!</v>
      </c>
      <c r="CP131" s="10" t="e">
        <f t="shared" si="150"/>
        <v>#DIV/0!</v>
      </c>
      <c r="CQ131" s="10" t="e">
        <f t="shared" si="150"/>
        <v>#DIV/0!</v>
      </c>
      <c r="CR131" s="10" t="e">
        <f t="shared" si="150"/>
        <v>#DIV/0!</v>
      </c>
      <c r="CS131" s="10">
        <f t="shared" si="151"/>
        <v>0</v>
      </c>
      <c r="CT131" s="10">
        <f t="shared" si="151"/>
        <v>0</v>
      </c>
      <c r="CU131" s="10">
        <f t="shared" si="151"/>
        <v>0</v>
      </c>
      <c r="CV131" s="10">
        <f t="shared" si="151"/>
        <v>0</v>
      </c>
      <c r="CW131" s="10">
        <f t="shared" si="152"/>
        <v>0</v>
      </c>
      <c r="CX131" s="10">
        <f t="shared" si="152"/>
        <v>0</v>
      </c>
      <c r="CY131" s="10">
        <f t="shared" si="152"/>
        <v>0</v>
      </c>
      <c r="CZ131" s="10">
        <f t="shared" si="152"/>
        <v>0</v>
      </c>
    </row>
    <row r="132" spans="4:104" x14ac:dyDescent="0.15">
      <c r="D132" s="10">
        <v>117</v>
      </c>
      <c r="E132" s="10" t="e">
        <f t="shared" si="95"/>
        <v>#VALUE!</v>
      </c>
      <c r="F132" s="10" t="e">
        <f t="shared" si="79"/>
        <v>#VALUE!</v>
      </c>
      <c r="G132" s="10" t="e">
        <f t="shared" si="80"/>
        <v>#VALUE!</v>
      </c>
      <c r="H132" s="10" t="e">
        <f t="shared" si="96"/>
        <v>#VALUE!</v>
      </c>
      <c r="I132" s="10" t="e">
        <f t="shared" si="81"/>
        <v>#VALUE!</v>
      </c>
      <c r="J132" s="10" t="e">
        <f t="shared" si="97"/>
        <v>#VALUE!</v>
      </c>
      <c r="K132" s="10" t="e">
        <f t="shared" si="82"/>
        <v>#VALUE!</v>
      </c>
      <c r="L132" s="10" t="e">
        <f t="shared" si="83"/>
        <v>#VALUE!</v>
      </c>
      <c r="M132" s="10" t="e">
        <f t="shared" si="98"/>
        <v>#VALUE!</v>
      </c>
      <c r="O132" s="10" t="e">
        <f t="shared" si="99"/>
        <v>#VALUE!</v>
      </c>
      <c r="P132" s="10" t="e">
        <f t="shared" si="84"/>
        <v>#VALUE!</v>
      </c>
      <c r="Q132" s="10" t="e">
        <f t="shared" si="85"/>
        <v>#VALUE!</v>
      </c>
      <c r="R132" s="10" t="e">
        <f t="shared" si="100"/>
        <v>#VALUE!</v>
      </c>
      <c r="S132" s="10" t="e">
        <f t="shared" si="101"/>
        <v>#VALUE!</v>
      </c>
      <c r="T132" s="10" t="e">
        <f t="shared" si="136"/>
        <v>#VALUE!</v>
      </c>
      <c r="U132" s="10" t="e">
        <f t="shared" si="137"/>
        <v>#VALUE!</v>
      </c>
      <c r="V132" s="10" t="e">
        <f t="shared" si="86"/>
        <v>#VALUE!</v>
      </c>
      <c r="W132" s="10" t="e">
        <f t="shared" si="102"/>
        <v>#VALUE!</v>
      </c>
      <c r="Y132" s="10" t="e">
        <f t="shared" si="103"/>
        <v>#VALUE!</v>
      </c>
      <c r="Z132" s="11" t="e">
        <f t="shared" si="104"/>
        <v>#VALUE!</v>
      </c>
      <c r="AA132" s="10" t="e">
        <f t="shared" si="87"/>
        <v>#VALUE!</v>
      </c>
      <c r="AB132" s="10" t="e">
        <f t="shared" si="105"/>
        <v>#VALUE!</v>
      </c>
      <c r="AC132" s="10" t="e">
        <f t="shared" si="106"/>
        <v>#VALUE!</v>
      </c>
      <c r="AD132" s="10" t="e">
        <f t="shared" si="138"/>
        <v>#VALUE!</v>
      </c>
      <c r="AE132" s="10" t="e">
        <f t="shared" si="139"/>
        <v>#VALUE!</v>
      </c>
      <c r="AF132" s="10" t="e">
        <f t="shared" si="88"/>
        <v>#VALUE!</v>
      </c>
      <c r="AG132" s="10" t="e">
        <f t="shared" si="107"/>
        <v>#VALUE!</v>
      </c>
      <c r="AI132" s="13"/>
      <c r="AK132" s="10" t="e">
        <f t="shared" si="108"/>
        <v>#VALUE!</v>
      </c>
      <c r="AL132" s="10" t="e">
        <f t="shared" si="140"/>
        <v>#VALUE!</v>
      </c>
      <c r="AM132" s="10" t="e">
        <f t="shared" si="89"/>
        <v>#VALUE!</v>
      </c>
      <c r="AN132" s="10" t="e">
        <f t="shared" si="109"/>
        <v>#VALUE!</v>
      </c>
      <c r="AO132" s="10" t="e">
        <f t="shared" si="110"/>
        <v>#VALUE!</v>
      </c>
      <c r="AP132" s="10" t="e">
        <f t="shared" si="111"/>
        <v>#VALUE!</v>
      </c>
      <c r="AQ132" s="10" t="e">
        <f t="shared" si="141"/>
        <v>#VALUE!</v>
      </c>
      <c r="AR132" s="10" t="e">
        <f t="shared" si="90"/>
        <v>#VALUE!</v>
      </c>
      <c r="AS132" s="10" t="e">
        <f t="shared" si="142"/>
        <v>#VALUE!</v>
      </c>
      <c r="AU132" s="10" t="e">
        <f t="shared" si="112"/>
        <v>#VALUE!</v>
      </c>
      <c r="AV132" s="10" t="e">
        <f t="shared" si="143"/>
        <v>#VALUE!</v>
      </c>
      <c r="AW132" s="10" t="e">
        <f t="shared" si="91"/>
        <v>#VALUE!</v>
      </c>
      <c r="AX132" s="10" t="e">
        <f t="shared" si="113"/>
        <v>#VALUE!</v>
      </c>
      <c r="AY132" s="10" t="e">
        <f t="shared" si="114"/>
        <v>#VALUE!</v>
      </c>
      <c r="AZ132" s="10" t="e">
        <f t="shared" si="115"/>
        <v>#VALUE!</v>
      </c>
      <c r="BA132" s="10" t="e">
        <f t="shared" si="144"/>
        <v>#VALUE!</v>
      </c>
      <c r="BB132" s="10" t="e">
        <f t="shared" si="92"/>
        <v>#VALUE!</v>
      </c>
      <c r="BC132" s="10" t="e">
        <f t="shared" si="145"/>
        <v>#VALUE!</v>
      </c>
      <c r="BE132" s="10" t="e">
        <f t="shared" si="116"/>
        <v>#VALUE!</v>
      </c>
      <c r="BF132" s="10" t="e">
        <f t="shared" si="146"/>
        <v>#VALUE!</v>
      </c>
      <c r="BG132" s="10" t="e">
        <f t="shared" si="93"/>
        <v>#VALUE!</v>
      </c>
      <c r="BH132" s="10" t="e">
        <f t="shared" si="117"/>
        <v>#VALUE!</v>
      </c>
      <c r="BI132" s="10" t="e">
        <f t="shared" si="118"/>
        <v>#VALUE!</v>
      </c>
      <c r="BJ132" s="10" t="e">
        <f t="shared" si="119"/>
        <v>#VALUE!</v>
      </c>
      <c r="BK132" s="10" t="e">
        <f t="shared" si="147"/>
        <v>#VALUE!</v>
      </c>
      <c r="BL132" s="10" t="e">
        <f t="shared" si="94"/>
        <v>#VALUE!</v>
      </c>
      <c r="BM132" s="10" t="e">
        <f t="shared" si="148"/>
        <v>#VALUE!</v>
      </c>
      <c r="BP132" s="10" t="e">
        <f t="shared" si="120"/>
        <v>#VALUE!</v>
      </c>
      <c r="BQ132" s="10" t="e">
        <f t="shared" si="121"/>
        <v>#VALUE!</v>
      </c>
      <c r="BR132" s="10" t="e">
        <f t="shared" si="122"/>
        <v>#VALUE!</v>
      </c>
      <c r="BS132" s="10" t="e">
        <f t="shared" si="123"/>
        <v>#VALUE!</v>
      </c>
      <c r="BT132" s="10" t="e">
        <f t="shared" si="124"/>
        <v>#VALUE!</v>
      </c>
      <c r="BU132" s="10" t="e">
        <f t="shared" si="125"/>
        <v>#VALUE!</v>
      </c>
      <c r="BW132" s="10" t="e">
        <f t="shared" si="126"/>
        <v>#VALUE!</v>
      </c>
      <c r="BX132" s="10" t="e">
        <f t="shared" si="127"/>
        <v>#VALUE!</v>
      </c>
      <c r="BY132" s="10" t="e">
        <f t="shared" si="128"/>
        <v>#VALUE!</v>
      </c>
      <c r="BZ132" s="10" t="e">
        <f t="shared" si="129"/>
        <v>#VALUE!</v>
      </c>
      <c r="CA132" s="10" t="e">
        <f t="shared" si="130"/>
        <v>#VALUE!</v>
      </c>
      <c r="CB132" s="10" t="e">
        <f t="shared" si="131"/>
        <v>#VALUE!</v>
      </c>
      <c r="CD132" s="10" t="e">
        <f>MATCH(INDEX($BP$12:$BU$12,1,MATCH(BP132,$BP$15:$BU$15,0)),结果汇总!$AI$10:$AI$13,0)</f>
        <v>#VALUE!</v>
      </c>
      <c r="CE132" s="10" t="e">
        <f>MATCH(INDEX($BP$12:$BU$12,1,MATCH(BQ132,$BP$15:$BU$15,0)),结果汇总!$AI$10:$AI$13,0)</f>
        <v>#VALUE!</v>
      </c>
      <c r="CF132" s="10" t="e">
        <f>MATCH(INDEX($BP$12:$BU$12,1,MATCH(BR132,$BP$15:$BU$15,0)),结果汇总!$AI$10:$AI$13,0)</f>
        <v>#VALUE!</v>
      </c>
      <c r="CG132" s="10" t="e">
        <f>MATCH(INDEX($BP$12:$BU$12,1,MATCH(BS132,$BP$15:$BU$15,0)),结果汇总!$AI$10:$AI$13,0)</f>
        <v>#VALUE!</v>
      </c>
      <c r="CH132" s="10" t="e">
        <f>MATCH(INDEX($BP$12:$BU$12,1,MATCH(BT132,$BP$15:$BU$15,0)),结果汇总!$AI$10:$AI$13,0)</f>
        <v>#VALUE!</v>
      </c>
      <c r="CI132" s="10" t="e">
        <f>MATCH(INDEX($BP$12:$BU$12,1,MATCH(BU132,$BP$15:$BU$15,0)),结果汇总!$AI$10:$AI$13,0)</f>
        <v>#VALUE!</v>
      </c>
      <c r="CK132" s="10">
        <f t="shared" si="149"/>
        <v>0</v>
      </c>
      <c r="CL132" s="10">
        <f t="shared" si="149"/>
        <v>0</v>
      </c>
      <c r="CM132" s="10">
        <f t="shared" si="149"/>
        <v>0</v>
      </c>
      <c r="CN132" s="10">
        <f t="shared" si="149"/>
        <v>0</v>
      </c>
      <c r="CO132" s="10" t="e">
        <f t="shared" si="150"/>
        <v>#DIV/0!</v>
      </c>
      <c r="CP132" s="10" t="e">
        <f t="shared" si="150"/>
        <v>#DIV/0!</v>
      </c>
      <c r="CQ132" s="10" t="e">
        <f t="shared" si="150"/>
        <v>#DIV/0!</v>
      </c>
      <c r="CR132" s="10" t="e">
        <f t="shared" si="150"/>
        <v>#DIV/0!</v>
      </c>
      <c r="CS132" s="10">
        <f t="shared" si="151"/>
        <v>0</v>
      </c>
      <c r="CT132" s="10">
        <f t="shared" si="151"/>
        <v>0</v>
      </c>
      <c r="CU132" s="10">
        <f t="shared" si="151"/>
        <v>0</v>
      </c>
      <c r="CV132" s="10">
        <f t="shared" si="151"/>
        <v>0</v>
      </c>
      <c r="CW132" s="10">
        <f t="shared" si="152"/>
        <v>0</v>
      </c>
      <c r="CX132" s="10">
        <f t="shared" si="152"/>
        <v>0</v>
      </c>
      <c r="CY132" s="10">
        <f t="shared" si="152"/>
        <v>0</v>
      </c>
      <c r="CZ132" s="10">
        <f t="shared" si="152"/>
        <v>0</v>
      </c>
    </row>
    <row r="133" spans="4:104" x14ac:dyDescent="0.15">
      <c r="D133" s="10">
        <v>118</v>
      </c>
      <c r="E133" s="10" t="e">
        <f t="shared" si="95"/>
        <v>#VALUE!</v>
      </c>
      <c r="F133" s="10" t="e">
        <f t="shared" si="79"/>
        <v>#VALUE!</v>
      </c>
      <c r="G133" s="10" t="e">
        <f t="shared" si="80"/>
        <v>#VALUE!</v>
      </c>
      <c r="H133" s="10" t="e">
        <f t="shared" si="96"/>
        <v>#VALUE!</v>
      </c>
      <c r="I133" s="10" t="e">
        <f t="shared" si="81"/>
        <v>#VALUE!</v>
      </c>
      <c r="J133" s="10" t="e">
        <f t="shared" si="97"/>
        <v>#VALUE!</v>
      </c>
      <c r="K133" s="10" t="e">
        <f t="shared" si="82"/>
        <v>#VALUE!</v>
      </c>
      <c r="L133" s="10" t="e">
        <f t="shared" si="83"/>
        <v>#VALUE!</v>
      </c>
      <c r="M133" s="10" t="e">
        <f t="shared" si="98"/>
        <v>#VALUE!</v>
      </c>
      <c r="O133" s="10" t="e">
        <f t="shared" si="99"/>
        <v>#VALUE!</v>
      </c>
      <c r="P133" s="10" t="e">
        <f t="shared" si="84"/>
        <v>#VALUE!</v>
      </c>
      <c r="Q133" s="10" t="e">
        <f t="shared" si="85"/>
        <v>#VALUE!</v>
      </c>
      <c r="R133" s="10" t="e">
        <f t="shared" si="100"/>
        <v>#VALUE!</v>
      </c>
      <c r="S133" s="10" t="e">
        <f t="shared" si="101"/>
        <v>#VALUE!</v>
      </c>
      <c r="T133" s="10" t="e">
        <f t="shared" si="136"/>
        <v>#VALUE!</v>
      </c>
      <c r="U133" s="10" t="e">
        <f t="shared" si="137"/>
        <v>#VALUE!</v>
      </c>
      <c r="V133" s="10" t="e">
        <f t="shared" si="86"/>
        <v>#VALUE!</v>
      </c>
      <c r="W133" s="10" t="e">
        <f t="shared" si="102"/>
        <v>#VALUE!</v>
      </c>
      <c r="Y133" s="10" t="e">
        <f t="shared" si="103"/>
        <v>#VALUE!</v>
      </c>
      <c r="Z133" s="11" t="e">
        <f t="shared" si="104"/>
        <v>#VALUE!</v>
      </c>
      <c r="AA133" s="10" t="e">
        <f t="shared" si="87"/>
        <v>#VALUE!</v>
      </c>
      <c r="AB133" s="10" t="e">
        <f t="shared" si="105"/>
        <v>#VALUE!</v>
      </c>
      <c r="AC133" s="10" t="e">
        <f t="shared" si="106"/>
        <v>#VALUE!</v>
      </c>
      <c r="AD133" s="10" t="e">
        <f t="shared" si="138"/>
        <v>#VALUE!</v>
      </c>
      <c r="AE133" s="10" t="e">
        <f t="shared" si="139"/>
        <v>#VALUE!</v>
      </c>
      <c r="AF133" s="10" t="e">
        <f t="shared" si="88"/>
        <v>#VALUE!</v>
      </c>
      <c r="AG133" s="10" t="e">
        <f t="shared" si="107"/>
        <v>#VALUE!</v>
      </c>
      <c r="AI133" s="13"/>
      <c r="AK133" s="10" t="e">
        <f t="shared" si="108"/>
        <v>#VALUE!</v>
      </c>
      <c r="AL133" s="10" t="e">
        <f t="shared" si="140"/>
        <v>#VALUE!</v>
      </c>
      <c r="AM133" s="10" t="e">
        <f t="shared" si="89"/>
        <v>#VALUE!</v>
      </c>
      <c r="AN133" s="10" t="e">
        <f t="shared" si="109"/>
        <v>#VALUE!</v>
      </c>
      <c r="AO133" s="10" t="e">
        <f t="shared" si="110"/>
        <v>#VALUE!</v>
      </c>
      <c r="AP133" s="10" t="e">
        <f t="shared" si="111"/>
        <v>#VALUE!</v>
      </c>
      <c r="AQ133" s="10" t="e">
        <f t="shared" si="141"/>
        <v>#VALUE!</v>
      </c>
      <c r="AR133" s="10" t="e">
        <f t="shared" si="90"/>
        <v>#VALUE!</v>
      </c>
      <c r="AS133" s="10" t="e">
        <f t="shared" si="142"/>
        <v>#VALUE!</v>
      </c>
      <c r="AU133" s="10" t="e">
        <f t="shared" si="112"/>
        <v>#VALUE!</v>
      </c>
      <c r="AV133" s="10" t="e">
        <f t="shared" si="143"/>
        <v>#VALUE!</v>
      </c>
      <c r="AW133" s="10" t="e">
        <f t="shared" si="91"/>
        <v>#VALUE!</v>
      </c>
      <c r="AX133" s="10" t="e">
        <f t="shared" si="113"/>
        <v>#VALUE!</v>
      </c>
      <c r="AY133" s="10" t="e">
        <f t="shared" si="114"/>
        <v>#VALUE!</v>
      </c>
      <c r="AZ133" s="10" t="e">
        <f t="shared" si="115"/>
        <v>#VALUE!</v>
      </c>
      <c r="BA133" s="10" t="e">
        <f t="shared" si="144"/>
        <v>#VALUE!</v>
      </c>
      <c r="BB133" s="10" t="e">
        <f t="shared" si="92"/>
        <v>#VALUE!</v>
      </c>
      <c r="BC133" s="10" t="e">
        <f t="shared" si="145"/>
        <v>#VALUE!</v>
      </c>
      <c r="BE133" s="10" t="e">
        <f t="shared" si="116"/>
        <v>#VALUE!</v>
      </c>
      <c r="BF133" s="10" t="e">
        <f t="shared" si="146"/>
        <v>#VALUE!</v>
      </c>
      <c r="BG133" s="10" t="e">
        <f t="shared" si="93"/>
        <v>#VALUE!</v>
      </c>
      <c r="BH133" s="10" t="e">
        <f t="shared" si="117"/>
        <v>#VALUE!</v>
      </c>
      <c r="BI133" s="10" t="e">
        <f t="shared" si="118"/>
        <v>#VALUE!</v>
      </c>
      <c r="BJ133" s="10" t="e">
        <f t="shared" si="119"/>
        <v>#VALUE!</v>
      </c>
      <c r="BK133" s="10" t="e">
        <f t="shared" si="147"/>
        <v>#VALUE!</v>
      </c>
      <c r="BL133" s="10" t="e">
        <f t="shared" si="94"/>
        <v>#VALUE!</v>
      </c>
      <c r="BM133" s="10" t="e">
        <f t="shared" si="148"/>
        <v>#VALUE!</v>
      </c>
      <c r="BP133" s="10" t="e">
        <f t="shared" si="120"/>
        <v>#VALUE!</v>
      </c>
      <c r="BQ133" s="10" t="e">
        <f t="shared" si="121"/>
        <v>#VALUE!</v>
      </c>
      <c r="BR133" s="10" t="e">
        <f t="shared" si="122"/>
        <v>#VALUE!</v>
      </c>
      <c r="BS133" s="10" t="e">
        <f t="shared" si="123"/>
        <v>#VALUE!</v>
      </c>
      <c r="BT133" s="10" t="e">
        <f t="shared" si="124"/>
        <v>#VALUE!</v>
      </c>
      <c r="BU133" s="10" t="e">
        <f t="shared" si="125"/>
        <v>#VALUE!</v>
      </c>
      <c r="BW133" s="10" t="e">
        <f t="shared" si="126"/>
        <v>#VALUE!</v>
      </c>
      <c r="BX133" s="10" t="e">
        <f t="shared" si="127"/>
        <v>#VALUE!</v>
      </c>
      <c r="BY133" s="10" t="e">
        <f t="shared" si="128"/>
        <v>#VALUE!</v>
      </c>
      <c r="BZ133" s="10" t="e">
        <f t="shared" si="129"/>
        <v>#VALUE!</v>
      </c>
      <c r="CA133" s="10" t="e">
        <f t="shared" si="130"/>
        <v>#VALUE!</v>
      </c>
      <c r="CB133" s="10" t="e">
        <f t="shared" si="131"/>
        <v>#VALUE!</v>
      </c>
      <c r="CD133" s="10" t="e">
        <f>MATCH(INDEX($BP$12:$BU$12,1,MATCH(BP133,$BP$15:$BU$15,0)),结果汇总!$AI$10:$AI$13,0)</f>
        <v>#VALUE!</v>
      </c>
      <c r="CE133" s="10" t="e">
        <f>MATCH(INDEX($BP$12:$BU$12,1,MATCH(BQ133,$BP$15:$BU$15,0)),结果汇总!$AI$10:$AI$13,0)</f>
        <v>#VALUE!</v>
      </c>
      <c r="CF133" s="10" t="e">
        <f>MATCH(INDEX($BP$12:$BU$12,1,MATCH(BR133,$BP$15:$BU$15,0)),结果汇总!$AI$10:$AI$13,0)</f>
        <v>#VALUE!</v>
      </c>
      <c r="CG133" s="10" t="e">
        <f>MATCH(INDEX($BP$12:$BU$12,1,MATCH(BS133,$BP$15:$BU$15,0)),结果汇总!$AI$10:$AI$13,0)</f>
        <v>#VALUE!</v>
      </c>
      <c r="CH133" s="10" t="e">
        <f>MATCH(INDEX($BP$12:$BU$12,1,MATCH(BT133,$BP$15:$BU$15,0)),结果汇总!$AI$10:$AI$13,0)</f>
        <v>#VALUE!</v>
      </c>
      <c r="CI133" s="10" t="e">
        <f>MATCH(INDEX($BP$12:$BU$12,1,MATCH(BU133,$BP$15:$BU$15,0)),结果汇总!$AI$10:$AI$13,0)</f>
        <v>#VALUE!</v>
      </c>
      <c r="CK133" s="10">
        <f t="shared" si="149"/>
        <v>0</v>
      </c>
      <c r="CL133" s="10">
        <f t="shared" si="149"/>
        <v>0</v>
      </c>
      <c r="CM133" s="10">
        <f t="shared" si="149"/>
        <v>0</v>
      </c>
      <c r="CN133" s="10">
        <f t="shared" si="149"/>
        <v>0</v>
      </c>
      <c r="CO133" s="10" t="e">
        <f t="shared" si="150"/>
        <v>#DIV/0!</v>
      </c>
      <c r="CP133" s="10" t="e">
        <f t="shared" si="150"/>
        <v>#DIV/0!</v>
      </c>
      <c r="CQ133" s="10" t="e">
        <f t="shared" si="150"/>
        <v>#DIV/0!</v>
      </c>
      <c r="CR133" s="10" t="e">
        <f t="shared" si="150"/>
        <v>#DIV/0!</v>
      </c>
      <c r="CS133" s="10">
        <f t="shared" si="151"/>
        <v>0</v>
      </c>
      <c r="CT133" s="10">
        <f t="shared" si="151"/>
        <v>0</v>
      </c>
      <c r="CU133" s="10">
        <f t="shared" si="151"/>
        <v>0</v>
      </c>
      <c r="CV133" s="10">
        <f t="shared" si="151"/>
        <v>0</v>
      </c>
      <c r="CW133" s="10">
        <f t="shared" si="152"/>
        <v>0</v>
      </c>
      <c r="CX133" s="10">
        <f t="shared" si="152"/>
        <v>0</v>
      </c>
      <c r="CY133" s="10">
        <f t="shared" si="152"/>
        <v>0</v>
      </c>
      <c r="CZ133" s="10">
        <f t="shared" si="152"/>
        <v>0</v>
      </c>
    </row>
    <row r="134" spans="4:104" x14ac:dyDescent="0.15">
      <c r="D134" s="10">
        <v>119</v>
      </c>
      <c r="E134" s="10" t="e">
        <f t="shared" si="95"/>
        <v>#VALUE!</v>
      </c>
      <c r="F134" s="10" t="e">
        <f t="shared" si="79"/>
        <v>#VALUE!</v>
      </c>
      <c r="G134" s="10" t="e">
        <f t="shared" si="80"/>
        <v>#VALUE!</v>
      </c>
      <c r="H134" s="10" t="e">
        <f t="shared" si="96"/>
        <v>#VALUE!</v>
      </c>
      <c r="I134" s="10" t="e">
        <f t="shared" si="81"/>
        <v>#VALUE!</v>
      </c>
      <c r="J134" s="10" t="e">
        <f t="shared" si="97"/>
        <v>#VALUE!</v>
      </c>
      <c r="K134" s="10" t="e">
        <f t="shared" si="82"/>
        <v>#VALUE!</v>
      </c>
      <c r="L134" s="10" t="e">
        <f t="shared" si="83"/>
        <v>#VALUE!</v>
      </c>
      <c r="M134" s="10" t="e">
        <f t="shared" si="98"/>
        <v>#VALUE!</v>
      </c>
      <c r="O134" s="10" t="e">
        <f t="shared" si="99"/>
        <v>#VALUE!</v>
      </c>
      <c r="P134" s="10" t="e">
        <f t="shared" si="84"/>
        <v>#VALUE!</v>
      </c>
      <c r="Q134" s="10" t="e">
        <f t="shared" si="85"/>
        <v>#VALUE!</v>
      </c>
      <c r="R134" s="10" t="e">
        <f t="shared" si="100"/>
        <v>#VALUE!</v>
      </c>
      <c r="S134" s="10" t="e">
        <f t="shared" si="101"/>
        <v>#VALUE!</v>
      </c>
      <c r="T134" s="10" t="e">
        <f t="shared" si="136"/>
        <v>#VALUE!</v>
      </c>
      <c r="U134" s="10" t="e">
        <f t="shared" si="137"/>
        <v>#VALUE!</v>
      </c>
      <c r="V134" s="10" t="e">
        <f t="shared" si="86"/>
        <v>#VALUE!</v>
      </c>
      <c r="W134" s="10" t="e">
        <f t="shared" si="102"/>
        <v>#VALUE!</v>
      </c>
      <c r="Y134" s="10" t="e">
        <f t="shared" si="103"/>
        <v>#VALUE!</v>
      </c>
      <c r="Z134" s="11" t="e">
        <f t="shared" si="104"/>
        <v>#VALUE!</v>
      </c>
      <c r="AA134" s="10" t="e">
        <f t="shared" si="87"/>
        <v>#VALUE!</v>
      </c>
      <c r="AB134" s="10" t="e">
        <f t="shared" si="105"/>
        <v>#VALUE!</v>
      </c>
      <c r="AC134" s="10" t="e">
        <f t="shared" si="106"/>
        <v>#VALUE!</v>
      </c>
      <c r="AD134" s="10" t="e">
        <f t="shared" si="138"/>
        <v>#VALUE!</v>
      </c>
      <c r="AE134" s="10" t="e">
        <f t="shared" si="139"/>
        <v>#VALUE!</v>
      </c>
      <c r="AF134" s="10" t="e">
        <f t="shared" si="88"/>
        <v>#VALUE!</v>
      </c>
      <c r="AG134" s="10" t="e">
        <f t="shared" si="107"/>
        <v>#VALUE!</v>
      </c>
      <c r="AI134" s="13"/>
      <c r="AK134" s="10" t="e">
        <f t="shared" si="108"/>
        <v>#VALUE!</v>
      </c>
      <c r="AL134" s="10" t="e">
        <f t="shared" si="140"/>
        <v>#VALUE!</v>
      </c>
      <c r="AM134" s="10" t="e">
        <f t="shared" si="89"/>
        <v>#VALUE!</v>
      </c>
      <c r="AN134" s="10" t="e">
        <f t="shared" si="109"/>
        <v>#VALUE!</v>
      </c>
      <c r="AO134" s="10" t="e">
        <f t="shared" si="110"/>
        <v>#VALUE!</v>
      </c>
      <c r="AP134" s="10" t="e">
        <f t="shared" si="111"/>
        <v>#VALUE!</v>
      </c>
      <c r="AQ134" s="10" t="e">
        <f t="shared" si="141"/>
        <v>#VALUE!</v>
      </c>
      <c r="AR134" s="10" t="e">
        <f t="shared" si="90"/>
        <v>#VALUE!</v>
      </c>
      <c r="AS134" s="10" t="e">
        <f t="shared" si="142"/>
        <v>#VALUE!</v>
      </c>
      <c r="AU134" s="10" t="e">
        <f t="shared" si="112"/>
        <v>#VALUE!</v>
      </c>
      <c r="AV134" s="10" t="e">
        <f t="shared" si="143"/>
        <v>#VALUE!</v>
      </c>
      <c r="AW134" s="10" t="e">
        <f t="shared" si="91"/>
        <v>#VALUE!</v>
      </c>
      <c r="AX134" s="10" t="e">
        <f t="shared" si="113"/>
        <v>#VALUE!</v>
      </c>
      <c r="AY134" s="10" t="e">
        <f t="shared" si="114"/>
        <v>#VALUE!</v>
      </c>
      <c r="AZ134" s="10" t="e">
        <f t="shared" si="115"/>
        <v>#VALUE!</v>
      </c>
      <c r="BA134" s="10" t="e">
        <f t="shared" si="144"/>
        <v>#VALUE!</v>
      </c>
      <c r="BB134" s="10" t="e">
        <f t="shared" si="92"/>
        <v>#VALUE!</v>
      </c>
      <c r="BC134" s="10" t="e">
        <f t="shared" si="145"/>
        <v>#VALUE!</v>
      </c>
      <c r="BE134" s="10" t="e">
        <f t="shared" si="116"/>
        <v>#VALUE!</v>
      </c>
      <c r="BF134" s="10" t="e">
        <f t="shared" si="146"/>
        <v>#VALUE!</v>
      </c>
      <c r="BG134" s="10" t="e">
        <f t="shared" si="93"/>
        <v>#VALUE!</v>
      </c>
      <c r="BH134" s="10" t="e">
        <f t="shared" si="117"/>
        <v>#VALUE!</v>
      </c>
      <c r="BI134" s="10" t="e">
        <f t="shared" si="118"/>
        <v>#VALUE!</v>
      </c>
      <c r="BJ134" s="10" t="e">
        <f t="shared" si="119"/>
        <v>#VALUE!</v>
      </c>
      <c r="BK134" s="10" t="e">
        <f t="shared" si="147"/>
        <v>#VALUE!</v>
      </c>
      <c r="BL134" s="10" t="e">
        <f t="shared" si="94"/>
        <v>#VALUE!</v>
      </c>
      <c r="BM134" s="10" t="e">
        <f t="shared" si="148"/>
        <v>#VALUE!</v>
      </c>
      <c r="BP134" s="10" t="e">
        <f t="shared" si="120"/>
        <v>#VALUE!</v>
      </c>
      <c r="BQ134" s="10" t="e">
        <f t="shared" si="121"/>
        <v>#VALUE!</v>
      </c>
      <c r="BR134" s="10" t="e">
        <f t="shared" si="122"/>
        <v>#VALUE!</v>
      </c>
      <c r="BS134" s="10" t="e">
        <f t="shared" si="123"/>
        <v>#VALUE!</v>
      </c>
      <c r="BT134" s="10" t="e">
        <f t="shared" si="124"/>
        <v>#VALUE!</v>
      </c>
      <c r="BU134" s="10" t="e">
        <f t="shared" si="125"/>
        <v>#VALUE!</v>
      </c>
      <c r="BW134" s="10" t="e">
        <f t="shared" si="126"/>
        <v>#VALUE!</v>
      </c>
      <c r="BX134" s="10" t="e">
        <f t="shared" si="127"/>
        <v>#VALUE!</v>
      </c>
      <c r="BY134" s="10" t="e">
        <f t="shared" si="128"/>
        <v>#VALUE!</v>
      </c>
      <c r="BZ134" s="10" t="e">
        <f t="shared" si="129"/>
        <v>#VALUE!</v>
      </c>
      <c r="CA134" s="10" t="e">
        <f t="shared" si="130"/>
        <v>#VALUE!</v>
      </c>
      <c r="CB134" s="10" t="e">
        <f t="shared" si="131"/>
        <v>#VALUE!</v>
      </c>
      <c r="CD134" s="10" t="e">
        <f>MATCH(INDEX($BP$12:$BU$12,1,MATCH(BP134,$BP$15:$BU$15,0)),结果汇总!$AI$10:$AI$13,0)</f>
        <v>#VALUE!</v>
      </c>
      <c r="CE134" s="10" t="e">
        <f>MATCH(INDEX($BP$12:$BU$12,1,MATCH(BQ134,$BP$15:$BU$15,0)),结果汇总!$AI$10:$AI$13,0)</f>
        <v>#VALUE!</v>
      </c>
      <c r="CF134" s="10" t="e">
        <f>MATCH(INDEX($BP$12:$BU$12,1,MATCH(BR134,$BP$15:$BU$15,0)),结果汇总!$AI$10:$AI$13,0)</f>
        <v>#VALUE!</v>
      </c>
      <c r="CG134" s="10" t="e">
        <f>MATCH(INDEX($BP$12:$BU$12,1,MATCH(BS134,$BP$15:$BU$15,0)),结果汇总!$AI$10:$AI$13,0)</f>
        <v>#VALUE!</v>
      </c>
      <c r="CH134" s="10" t="e">
        <f>MATCH(INDEX($BP$12:$BU$12,1,MATCH(BT134,$BP$15:$BU$15,0)),结果汇总!$AI$10:$AI$13,0)</f>
        <v>#VALUE!</v>
      </c>
      <c r="CI134" s="10" t="e">
        <f>MATCH(INDEX($BP$12:$BU$12,1,MATCH(BU134,$BP$15:$BU$15,0)),结果汇总!$AI$10:$AI$13,0)</f>
        <v>#VALUE!</v>
      </c>
      <c r="CK134" s="10">
        <f t="shared" si="149"/>
        <v>0</v>
      </c>
      <c r="CL134" s="10">
        <f t="shared" si="149"/>
        <v>0</v>
      </c>
      <c r="CM134" s="10">
        <f t="shared" si="149"/>
        <v>0</v>
      </c>
      <c r="CN134" s="10">
        <f t="shared" si="149"/>
        <v>0</v>
      </c>
      <c r="CO134" s="10" t="e">
        <f t="shared" si="150"/>
        <v>#DIV/0!</v>
      </c>
      <c r="CP134" s="10" t="e">
        <f t="shared" si="150"/>
        <v>#DIV/0!</v>
      </c>
      <c r="CQ134" s="10" t="e">
        <f t="shared" si="150"/>
        <v>#DIV/0!</v>
      </c>
      <c r="CR134" s="10" t="e">
        <f t="shared" si="150"/>
        <v>#DIV/0!</v>
      </c>
      <c r="CS134" s="10">
        <f t="shared" si="151"/>
        <v>0</v>
      </c>
      <c r="CT134" s="10">
        <f t="shared" si="151"/>
        <v>0</v>
      </c>
      <c r="CU134" s="10">
        <f t="shared" si="151"/>
        <v>0</v>
      </c>
      <c r="CV134" s="10">
        <f t="shared" si="151"/>
        <v>0</v>
      </c>
      <c r="CW134" s="10">
        <f t="shared" si="152"/>
        <v>0</v>
      </c>
      <c r="CX134" s="10">
        <f t="shared" si="152"/>
        <v>0</v>
      </c>
      <c r="CY134" s="10">
        <f t="shared" si="152"/>
        <v>0</v>
      </c>
      <c r="CZ134" s="10">
        <f t="shared" si="152"/>
        <v>0</v>
      </c>
    </row>
    <row r="135" spans="4:104" x14ac:dyDescent="0.15">
      <c r="D135" s="10">
        <v>120</v>
      </c>
      <c r="E135" s="10" t="e">
        <f t="shared" si="95"/>
        <v>#VALUE!</v>
      </c>
      <c r="F135" s="10" t="e">
        <f t="shared" si="79"/>
        <v>#VALUE!</v>
      </c>
      <c r="G135" s="10" t="e">
        <f t="shared" si="80"/>
        <v>#VALUE!</v>
      </c>
      <c r="H135" s="10" t="e">
        <f t="shared" si="96"/>
        <v>#VALUE!</v>
      </c>
      <c r="I135" s="10" t="e">
        <f t="shared" si="81"/>
        <v>#VALUE!</v>
      </c>
      <c r="J135" s="10" t="e">
        <f t="shared" si="97"/>
        <v>#VALUE!</v>
      </c>
      <c r="K135" s="10" t="e">
        <f t="shared" si="82"/>
        <v>#VALUE!</v>
      </c>
      <c r="L135" s="10" t="e">
        <f t="shared" si="83"/>
        <v>#VALUE!</v>
      </c>
      <c r="M135" s="10" t="e">
        <f t="shared" si="98"/>
        <v>#VALUE!</v>
      </c>
      <c r="O135" s="10" t="e">
        <f t="shared" si="99"/>
        <v>#VALUE!</v>
      </c>
      <c r="P135" s="10" t="e">
        <f t="shared" si="84"/>
        <v>#VALUE!</v>
      </c>
      <c r="Q135" s="10" t="e">
        <f t="shared" si="85"/>
        <v>#VALUE!</v>
      </c>
      <c r="R135" s="10" t="e">
        <f t="shared" si="100"/>
        <v>#VALUE!</v>
      </c>
      <c r="S135" s="10" t="e">
        <f t="shared" si="101"/>
        <v>#VALUE!</v>
      </c>
      <c r="T135" s="10" t="e">
        <f t="shared" si="136"/>
        <v>#VALUE!</v>
      </c>
      <c r="U135" s="10" t="e">
        <f t="shared" si="137"/>
        <v>#VALUE!</v>
      </c>
      <c r="V135" s="10" t="e">
        <f t="shared" si="86"/>
        <v>#VALUE!</v>
      </c>
      <c r="W135" s="10" t="e">
        <f t="shared" si="102"/>
        <v>#VALUE!</v>
      </c>
      <c r="Y135" s="10" t="e">
        <f t="shared" si="103"/>
        <v>#VALUE!</v>
      </c>
      <c r="Z135" s="11" t="e">
        <f t="shared" si="104"/>
        <v>#VALUE!</v>
      </c>
      <c r="AA135" s="10" t="e">
        <f t="shared" si="87"/>
        <v>#VALUE!</v>
      </c>
      <c r="AB135" s="10" t="e">
        <f t="shared" si="105"/>
        <v>#VALUE!</v>
      </c>
      <c r="AC135" s="10" t="e">
        <f t="shared" si="106"/>
        <v>#VALUE!</v>
      </c>
      <c r="AD135" s="10" t="e">
        <f t="shared" si="138"/>
        <v>#VALUE!</v>
      </c>
      <c r="AE135" s="10" t="e">
        <f t="shared" si="139"/>
        <v>#VALUE!</v>
      </c>
      <c r="AF135" s="10" t="e">
        <f t="shared" si="88"/>
        <v>#VALUE!</v>
      </c>
      <c r="AG135" s="10" t="e">
        <f t="shared" si="107"/>
        <v>#VALUE!</v>
      </c>
      <c r="AI135" s="13"/>
      <c r="AK135" s="10" t="e">
        <f t="shared" si="108"/>
        <v>#VALUE!</v>
      </c>
      <c r="AL135" s="10" t="e">
        <f t="shared" si="140"/>
        <v>#VALUE!</v>
      </c>
      <c r="AM135" s="10" t="e">
        <f t="shared" si="89"/>
        <v>#VALUE!</v>
      </c>
      <c r="AN135" s="10" t="e">
        <f t="shared" si="109"/>
        <v>#VALUE!</v>
      </c>
      <c r="AO135" s="10" t="e">
        <f t="shared" si="110"/>
        <v>#VALUE!</v>
      </c>
      <c r="AP135" s="10" t="e">
        <f t="shared" si="111"/>
        <v>#VALUE!</v>
      </c>
      <c r="AQ135" s="10" t="e">
        <f t="shared" si="141"/>
        <v>#VALUE!</v>
      </c>
      <c r="AR135" s="10" t="e">
        <f t="shared" si="90"/>
        <v>#VALUE!</v>
      </c>
      <c r="AS135" s="10" t="e">
        <f t="shared" si="142"/>
        <v>#VALUE!</v>
      </c>
      <c r="AU135" s="10" t="e">
        <f t="shared" si="112"/>
        <v>#VALUE!</v>
      </c>
      <c r="AV135" s="10" t="e">
        <f t="shared" si="143"/>
        <v>#VALUE!</v>
      </c>
      <c r="AW135" s="10" t="e">
        <f t="shared" si="91"/>
        <v>#VALUE!</v>
      </c>
      <c r="AX135" s="10" t="e">
        <f t="shared" si="113"/>
        <v>#VALUE!</v>
      </c>
      <c r="AY135" s="10" t="e">
        <f t="shared" si="114"/>
        <v>#VALUE!</v>
      </c>
      <c r="AZ135" s="10" t="e">
        <f t="shared" si="115"/>
        <v>#VALUE!</v>
      </c>
      <c r="BA135" s="10" t="e">
        <f t="shared" si="144"/>
        <v>#VALUE!</v>
      </c>
      <c r="BB135" s="10" t="e">
        <f t="shared" si="92"/>
        <v>#VALUE!</v>
      </c>
      <c r="BC135" s="10" t="e">
        <f t="shared" si="145"/>
        <v>#VALUE!</v>
      </c>
      <c r="BE135" s="10" t="e">
        <f t="shared" si="116"/>
        <v>#VALUE!</v>
      </c>
      <c r="BF135" s="10" t="e">
        <f t="shared" si="146"/>
        <v>#VALUE!</v>
      </c>
      <c r="BG135" s="10" t="e">
        <f t="shared" si="93"/>
        <v>#VALUE!</v>
      </c>
      <c r="BH135" s="10" t="e">
        <f t="shared" si="117"/>
        <v>#VALUE!</v>
      </c>
      <c r="BI135" s="10" t="e">
        <f t="shared" si="118"/>
        <v>#VALUE!</v>
      </c>
      <c r="BJ135" s="10" t="e">
        <f t="shared" si="119"/>
        <v>#VALUE!</v>
      </c>
      <c r="BK135" s="10" t="e">
        <f t="shared" si="147"/>
        <v>#VALUE!</v>
      </c>
      <c r="BL135" s="10" t="e">
        <f t="shared" si="94"/>
        <v>#VALUE!</v>
      </c>
      <c r="BM135" s="10" t="e">
        <f t="shared" si="148"/>
        <v>#VALUE!</v>
      </c>
      <c r="BP135" s="10" t="e">
        <f t="shared" si="120"/>
        <v>#VALUE!</v>
      </c>
      <c r="BQ135" s="10" t="e">
        <f t="shared" si="121"/>
        <v>#VALUE!</v>
      </c>
      <c r="BR135" s="10" t="e">
        <f t="shared" si="122"/>
        <v>#VALUE!</v>
      </c>
      <c r="BS135" s="10" t="e">
        <f t="shared" si="123"/>
        <v>#VALUE!</v>
      </c>
      <c r="BT135" s="10" t="e">
        <f t="shared" si="124"/>
        <v>#VALUE!</v>
      </c>
      <c r="BU135" s="10" t="e">
        <f t="shared" si="125"/>
        <v>#VALUE!</v>
      </c>
      <c r="BW135" s="10" t="e">
        <f t="shared" si="126"/>
        <v>#VALUE!</v>
      </c>
      <c r="BX135" s="10" t="e">
        <f t="shared" si="127"/>
        <v>#VALUE!</v>
      </c>
      <c r="BY135" s="10" t="e">
        <f t="shared" si="128"/>
        <v>#VALUE!</v>
      </c>
      <c r="BZ135" s="10" t="e">
        <f t="shared" si="129"/>
        <v>#VALUE!</v>
      </c>
      <c r="CA135" s="10" t="e">
        <f t="shared" si="130"/>
        <v>#VALUE!</v>
      </c>
      <c r="CB135" s="10" t="e">
        <f t="shared" si="131"/>
        <v>#VALUE!</v>
      </c>
      <c r="CD135" s="10" t="e">
        <f>MATCH(INDEX($BP$12:$BU$12,1,MATCH(BP135,$BP$15:$BU$15,0)),结果汇总!$AI$10:$AI$13,0)</f>
        <v>#VALUE!</v>
      </c>
      <c r="CE135" s="10" t="e">
        <f>MATCH(INDEX($BP$12:$BU$12,1,MATCH(BQ135,$BP$15:$BU$15,0)),结果汇总!$AI$10:$AI$13,0)</f>
        <v>#VALUE!</v>
      </c>
      <c r="CF135" s="10" t="e">
        <f>MATCH(INDEX($BP$12:$BU$12,1,MATCH(BR135,$BP$15:$BU$15,0)),结果汇总!$AI$10:$AI$13,0)</f>
        <v>#VALUE!</v>
      </c>
      <c r="CG135" s="10" t="e">
        <f>MATCH(INDEX($BP$12:$BU$12,1,MATCH(BS135,$BP$15:$BU$15,0)),结果汇总!$AI$10:$AI$13,0)</f>
        <v>#VALUE!</v>
      </c>
      <c r="CH135" s="10" t="e">
        <f>MATCH(INDEX($BP$12:$BU$12,1,MATCH(BT135,$BP$15:$BU$15,0)),结果汇总!$AI$10:$AI$13,0)</f>
        <v>#VALUE!</v>
      </c>
      <c r="CI135" s="10" t="e">
        <f>MATCH(INDEX($BP$12:$BU$12,1,MATCH(BU135,$BP$15:$BU$15,0)),结果汇总!$AI$10:$AI$13,0)</f>
        <v>#VALUE!</v>
      </c>
      <c r="CK135" s="10">
        <f t="shared" si="149"/>
        <v>0</v>
      </c>
      <c r="CL135" s="10">
        <f t="shared" si="149"/>
        <v>0</v>
      </c>
      <c r="CM135" s="10">
        <f t="shared" si="149"/>
        <v>0</v>
      </c>
      <c r="CN135" s="10">
        <f t="shared" si="149"/>
        <v>0</v>
      </c>
      <c r="CO135" s="10" t="e">
        <f t="shared" si="150"/>
        <v>#DIV/0!</v>
      </c>
      <c r="CP135" s="10" t="e">
        <f t="shared" si="150"/>
        <v>#DIV/0!</v>
      </c>
      <c r="CQ135" s="10" t="e">
        <f t="shared" si="150"/>
        <v>#DIV/0!</v>
      </c>
      <c r="CR135" s="10" t="e">
        <f t="shared" si="150"/>
        <v>#DIV/0!</v>
      </c>
      <c r="CS135" s="10">
        <f t="shared" si="151"/>
        <v>0</v>
      </c>
      <c r="CT135" s="10">
        <f t="shared" si="151"/>
        <v>0</v>
      </c>
      <c r="CU135" s="10">
        <f t="shared" si="151"/>
        <v>0</v>
      </c>
      <c r="CV135" s="10">
        <f t="shared" si="151"/>
        <v>0</v>
      </c>
      <c r="CW135" s="10">
        <f t="shared" si="152"/>
        <v>0</v>
      </c>
      <c r="CX135" s="10">
        <f t="shared" si="152"/>
        <v>0</v>
      </c>
      <c r="CY135" s="10">
        <f t="shared" si="152"/>
        <v>0</v>
      </c>
      <c r="CZ135" s="10">
        <f t="shared" si="152"/>
        <v>0</v>
      </c>
    </row>
  </sheetData>
  <mergeCells count="6">
    <mergeCell ref="CW14:CZ14"/>
    <mergeCell ref="I2:I3"/>
    <mergeCell ref="O9:O10"/>
    <mergeCell ref="CK14:CN14"/>
    <mergeCell ref="CO14:CR14"/>
    <mergeCell ref="CS14:CV14"/>
  </mergeCells>
  <phoneticPr fontId="2" type="noConversion"/>
  <dataValidations count="1">
    <dataValidation type="list" allowBlank="1" showInputMessage="1" showErrorMessage="1" sqref="F2:H2" xr:uid="{00000000-0002-0000-0200-000000000000}">
      <formula1>$R$10:$R$13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结果汇总!$AI$10:$AI$13</xm:f>
          </x14:formula1>
          <xm:sqref>J2:L2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CZ135"/>
  <sheetViews>
    <sheetView topLeftCell="CB1" workbookViewId="0">
      <selection activeCell="CD1" sqref="CD1:CZ1048576"/>
    </sheetView>
  </sheetViews>
  <sheetFormatPr defaultColWidth="9" defaultRowHeight="11.25" x14ac:dyDescent="0.15"/>
  <cols>
    <col min="1" max="7" width="9" style="10"/>
    <col min="8" max="8" width="9.75" style="10" bestFit="1" customWidth="1"/>
    <col min="9" max="11" width="9.75" style="10" customWidth="1"/>
    <col min="12" max="12" width="9" style="10"/>
    <col min="13" max="13" width="9.75" style="10" bestFit="1" customWidth="1"/>
    <col min="14" max="14" width="9" style="10"/>
    <col min="15" max="16" width="9.75" style="10" customWidth="1"/>
    <col min="17" max="23" width="9" style="10" customWidth="1"/>
    <col min="24" max="24" width="9" style="10"/>
    <col min="25" max="25" width="9" style="10" customWidth="1"/>
    <col min="26" max="26" width="4.5" style="11" customWidth="1"/>
    <col min="27" max="27" width="9.75" style="10" customWidth="1"/>
    <col min="28" max="28" width="9" style="10" customWidth="1"/>
    <col min="29" max="29" width="9.75" style="10" customWidth="1"/>
    <col min="30" max="31" width="9" style="10" customWidth="1"/>
    <col min="32" max="32" width="9.75" style="10" customWidth="1"/>
    <col min="33" max="33" width="9" style="10" customWidth="1"/>
    <col min="34" max="35" width="9" style="10"/>
    <col min="36" max="36" width="9.75" style="10" bestFit="1" customWidth="1"/>
    <col min="37" max="38" width="9" style="10" customWidth="1"/>
    <col min="39" max="39" width="9.75" style="10" customWidth="1"/>
    <col min="40" max="42" width="9" style="10" customWidth="1"/>
    <col min="43" max="43" width="9.75" style="10" customWidth="1"/>
    <col min="44" max="45" width="9" style="10" customWidth="1"/>
    <col min="46" max="46" width="9.75" style="10" bestFit="1" customWidth="1"/>
    <col min="47" max="55" width="9" style="10" customWidth="1"/>
    <col min="56" max="56" width="9" style="10"/>
    <col min="57" max="65" width="9" style="10" customWidth="1"/>
    <col min="66" max="16384" width="9" style="10"/>
  </cols>
  <sheetData>
    <row r="1" spans="2:104" x14ac:dyDescent="0.15">
      <c r="F1" s="10">
        <v>5</v>
      </c>
      <c r="G1" s="10">
        <v>3</v>
      </c>
      <c r="H1" s="10">
        <v>1</v>
      </c>
      <c r="J1" s="10">
        <v>2</v>
      </c>
      <c r="K1" s="10">
        <v>4</v>
      </c>
      <c r="L1" s="10">
        <v>6</v>
      </c>
    </row>
    <row r="2" spans="2:104" x14ac:dyDescent="0.15">
      <c r="E2" s="10" t="s">
        <v>64</v>
      </c>
      <c r="F2" s="12" t="s">
        <v>67</v>
      </c>
      <c r="G2" s="12" t="s">
        <v>67</v>
      </c>
      <c r="H2" s="12" t="s">
        <v>55</v>
      </c>
      <c r="I2" s="33" t="s">
        <v>15</v>
      </c>
      <c r="J2" s="12" t="s">
        <v>55</v>
      </c>
      <c r="K2" s="12" t="s">
        <v>67</v>
      </c>
      <c r="L2" s="12" t="s">
        <v>67</v>
      </c>
      <c r="AI2" s="13"/>
    </row>
    <row r="3" spans="2:104" x14ac:dyDescent="0.15">
      <c r="E3" s="10" t="s">
        <v>63</v>
      </c>
      <c r="F3" s="12" t="str">
        <f>INDEX(结果汇总!$AI$14:$AI$17,MATCH(F2,结果汇总!$AI$10:$AI$13,0),1)</f>
        <v>弓将</v>
      </c>
      <c r="G3" s="12" t="str">
        <f>INDEX(结果汇总!$AI$14:$AI$17,MATCH(G2,结果汇总!$AI$10:$AI$13,0),1)</f>
        <v>弓将</v>
      </c>
      <c r="H3" s="12" t="str">
        <f>INDEX(结果汇总!$AI$14:$AI$17,MATCH(H2,结果汇总!$AI$10:$AI$13,0),1)</f>
        <v>步将</v>
      </c>
      <c r="I3" s="33"/>
      <c r="J3" s="12" t="str">
        <f>INDEX(结果汇总!$AI$14:$AI$17,MATCH(J2,结果汇总!$AI$10:$AI$13,0),1)</f>
        <v>步将</v>
      </c>
      <c r="K3" s="12" t="str">
        <f>INDEX(结果汇总!$AI$14:$AI$17,MATCH(K2,结果汇总!$AI$10:$AI$13,0),1)</f>
        <v>弓将</v>
      </c>
      <c r="L3" s="12" t="str">
        <f>INDEX(结果汇总!$AI$14:$AI$17,MATCH(L2,结果汇总!$AI$10:$AI$13,0),1)</f>
        <v>弓将</v>
      </c>
      <c r="AI3" s="13"/>
    </row>
    <row r="4" spans="2:104" x14ac:dyDescent="0.15">
      <c r="C4" s="10" t="s">
        <v>16</v>
      </c>
      <c r="D4" s="10" t="s">
        <v>17</v>
      </c>
      <c r="E4" s="10" t="s">
        <v>18</v>
      </c>
      <c r="F4" s="10" t="s">
        <v>19</v>
      </c>
      <c r="G4" s="10" t="s">
        <v>20</v>
      </c>
      <c r="J4" s="10" t="s">
        <v>17</v>
      </c>
      <c r="K4" s="10" t="s">
        <v>18</v>
      </c>
      <c r="L4" s="10" t="s">
        <v>19</v>
      </c>
      <c r="M4" s="10" t="s">
        <v>20</v>
      </c>
      <c r="AI4" s="13"/>
    </row>
    <row r="5" spans="2:104" x14ac:dyDescent="0.15">
      <c r="B5" s="10" t="s">
        <v>21</v>
      </c>
      <c r="C5" s="10" t="s">
        <v>2</v>
      </c>
      <c r="D5" s="14" t="str">
        <f>INDEX(结果汇总!$AL$10:$AL$13,MATCH($H$2,结果汇总!$AI$10:$AI$13,0))</f>
        <v>步兵</v>
      </c>
      <c r="E5" s="14">
        <f>INDEX(结果汇总!$AM$10:$AM$13,MATCH($H$2,结果汇总!$AI$10:$AI$13,0))</f>
        <v>324</v>
      </c>
      <c r="F5" s="10">
        <v>1000</v>
      </c>
      <c r="G5" s="14">
        <f>INDEX(结果汇总!$AN$10:$AN$13,MATCH($H$2,结果汇总!$AI$10:$AI$13,0))</f>
        <v>1</v>
      </c>
      <c r="H5" s="10" t="e">
        <f>D5*E5*F5^2/2</f>
        <v>#VALUE!</v>
      </c>
      <c r="I5" s="10" t="s">
        <v>22</v>
      </c>
      <c r="J5" s="14" t="str">
        <f>INDEX(结果汇总!$AL$10:$AL$13,MATCH(J2,结果汇总!$AI$10:$AI$13,0))</f>
        <v>步兵</v>
      </c>
      <c r="K5" s="14">
        <f>INDEX(结果汇总!$AM$10:$AM$13,MATCH(J2,结果汇总!$AI$10:$AI$13,0))</f>
        <v>324</v>
      </c>
      <c r="L5" s="10">
        <v>1000</v>
      </c>
      <c r="M5" s="14">
        <f>INDEX(结果汇总!$AN$10:$AN$13,MATCH(J2,结果汇总!$AI$10:$AI$13,0))</f>
        <v>1</v>
      </c>
      <c r="N5" s="10" t="e">
        <f>J5*K5*L5^2/2</f>
        <v>#VALUE!</v>
      </c>
      <c r="AI5" s="13"/>
    </row>
    <row r="6" spans="2:104" x14ac:dyDescent="0.15">
      <c r="C6" s="10" t="s">
        <v>23</v>
      </c>
      <c r="D6" s="14">
        <f>INDEX(结果汇总!$AL$14:$AL$17,MATCH($H$3,结果汇总!$AI$14:$AI$17,0))</f>
        <v>120000</v>
      </c>
      <c r="E6" s="14">
        <f>INDEX(结果汇总!$AM$14:$AM$17,MATCH($H$3,结果汇总!$AI$14:$AI$17,0))</f>
        <v>192000</v>
      </c>
      <c r="F6" s="10">
        <v>1</v>
      </c>
      <c r="G6" s="10">
        <v>1</v>
      </c>
      <c r="H6" s="10">
        <f>D6*E6</f>
        <v>23040000000</v>
      </c>
      <c r="I6" s="10" t="s">
        <v>24</v>
      </c>
      <c r="J6" s="14">
        <f>INDEX(结果汇总!$AL$14:$AL$17,MATCH(J3,结果汇总!$AI$14:$AI$17,0))</f>
        <v>120000</v>
      </c>
      <c r="K6" s="14">
        <f>INDEX(结果汇总!$AM$14:$AM$17,MATCH(J3,结果汇总!$AI$14:$AI$17,0))</f>
        <v>192000</v>
      </c>
      <c r="L6" s="10">
        <v>1</v>
      </c>
      <c r="M6" s="10">
        <v>1</v>
      </c>
      <c r="N6" s="10">
        <f>J6*K6</f>
        <v>23040000000</v>
      </c>
      <c r="AI6" s="13"/>
    </row>
    <row r="7" spans="2:104" x14ac:dyDescent="0.15">
      <c r="O7" s="10" t="s">
        <v>25</v>
      </c>
      <c r="P7" s="15">
        <f>结果汇总!AI3</f>
        <v>0.4</v>
      </c>
      <c r="AI7" s="13"/>
    </row>
    <row r="8" spans="2:104" x14ac:dyDescent="0.15">
      <c r="B8" s="10" t="s">
        <v>26</v>
      </c>
      <c r="C8" s="10" t="s">
        <v>27</v>
      </c>
      <c r="D8" s="14" t="str">
        <f>INDEX(结果汇总!$AL$10:$AL$13,MATCH(G2,结果汇总!$AI$10:$AI$13,0))</f>
        <v>弓兵</v>
      </c>
      <c r="E8" s="14">
        <f>INDEX(结果汇总!$AM$10:$AM$13,MATCH(G2,结果汇总!$AI$10:$AI$13,0))</f>
        <v>180</v>
      </c>
      <c r="F8" s="10">
        <v>1000</v>
      </c>
      <c r="G8" s="14">
        <f>INDEX(结果汇总!$AN$10:$AN$13,MATCH(G2,结果汇总!$AI$10:$AI$13,0))</f>
        <v>1</v>
      </c>
      <c r="H8" s="10" t="e">
        <f>D8*E8*F8^2/2</f>
        <v>#VALUE!</v>
      </c>
      <c r="I8" s="10" t="s">
        <v>28</v>
      </c>
      <c r="J8" s="14" t="str">
        <f>INDEX(结果汇总!$AL$10:$AL$13,MATCH(K2,结果汇总!$AI$10:$AI$13,0))</f>
        <v>弓兵</v>
      </c>
      <c r="K8" s="14">
        <f>INDEX(结果汇总!$AM$10:$AM$13,MATCH(K2,结果汇总!$AI$10:$AI$13,0))</f>
        <v>180</v>
      </c>
      <c r="L8" s="10">
        <v>1000</v>
      </c>
      <c r="M8" s="14">
        <f>INDEX(结果汇总!$AN$10:$AN$13,MATCH(K2,结果汇总!$AI$10:$AI$13,0))</f>
        <v>1</v>
      </c>
      <c r="N8" s="10" t="e">
        <f>J8*K8*L8^2/2</f>
        <v>#VALUE!</v>
      </c>
      <c r="O8" s="22" t="s">
        <v>51</v>
      </c>
      <c r="P8" s="23">
        <v>0</v>
      </c>
      <c r="AI8" s="13"/>
    </row>
    <row r="9" spans="2:104" x14ac:dyDescent="0.15">
      <c r="C9" s="10" t="s">
        <v>29</v>
      </c>
      <c r="D9" s="14">
        <f>INDEX(结果汇总!$AL$14:$AL$17,MATCH(G3,结果汇总!$AI$14:$AI$17,0))</f>
        <v>120000</v>
      </c>
      <c r="E9" s="14">
        <f>INDEX(结果汇总!$AM$14:$AM$17,MATCH(G3,结果汇总!$AI$14:$AI$17,0))</f>
        <v>192000</v>
      </c>
      <c r="F9" s="10">
        <v>1</v>
      </c>
      <c r="G9" s="10">
        <v>1</v>
      </c>
      <c r="H9" s="10">
        <f>D9*E9</f>
        <v>23040000000</v>
      </c>
      <c r="I9" s="10" t="s">
        <v>30</v>
      </c>
      <c r="J9" s="14">
        <f>INDEX(结果汇总!$AL$14:$AL$17,MATCH(K3,结果汇总!$AI$14:$AI$17,0))</f>
        <v>120000</v>
      </c>
      <c r="K9" s="14">
        <f>INDEX(结果汇总!$AM$14:$AM$17,MATCH(K3,结果汇总!$AI$14:$AI$17,0))</f>
        <v>192000</v>
      </c>
      <c r="L9" s="10">
        <v>1</v>
      </c>
      <c r="M9" s="10">
        <v>1</v>
      </c>
      <c r="N9" s="10">
        <f>J9*K9</f>
        <v>23040000000</v>
      </c>
      <c r="O9" s="32" t="s">
        <v>53</v>
      </c>
      <c r="P9" s="26" t="e">
        <f>MIN($E$16:$E$135)+MIN($O$16:$O$135)+MIN($Y$16:$Y$135)</f>
        <v>#VALUE!</v>
      </c>
      <c r="AI9" s="13"/>
    </row>
    <row r="10" spans="2:104" x14ac:dyDescent="0.15">
      <c r="O10" s="32"/>
      <c r="P10" s="26" t="e">
        <f>MIN($AK$16:$AK$135)+MIN($AU$16:$AU$135)+MIN($BE$16:$BE$135)</f>
        <v>#VALUE!</v>
      </c>
      <c r="AI10" s="13"/>
    </row>
    <row r="11" spans="2:104" x14ac:dyDescent="0.15">
      <c r="B11" s="10" t="s">
        <v>31</v>
      </c>
      <c r="C11" s="10" t="s">
        <v>32</v>
      </c>
      <c r="D11" s="14" t="str">
        <f>INDEX(结果汇总!$AL$10:$AL$13,MATCH(F2,结果汇总!$AI$10:$AI$13,0))</f>
        <v>弓兵</v>
      </c>
      <c r="E11" s="14">
        <f>INDEX(结果汇总!$AM$10:$AM$13,MATCH(F2,结果汇总!$AI$10:$AI$13,0))</f>
        <v>180</v>
      </c>
      <c r="F11" s="10">
        <v>1000</v>
      </c>
      <c r="G11" s="14">
        <f>INDEX(结果汇总!$AN$10:$AN$13,MATCH(F2,结果汇总!$AI$10:$AI$13,0))</f>
        <v>1</v>
      </c>
      <c r="H11" s="10" t="e">
        <f>D11*E11*F11^2/2</f>
        <v>#VALUE!</v>
      </c>
      <c r="I11" s="10" t="s">
        <v>33</v>
      </c>
      <c r="J11" s="14" t="str">
        <f>INDEX(结果汇总!$AL$10:$AL$13,MATCH(L2,结果汇总!$AI$10:$AI$13,0))</f>
        <v>弓兵</v>
      </c>
      <c r="K11" s="14">
        <f>INDEX(结果汇总!$AM$10:$AM$13,MATCH(L2,结果汇总!$AI$10:$AI$13,0))</f>
        <v>180</v>
      </c>
      <c r="L11" s="10">
        <v>1000</v>
      </c>
      <c r="M11" s="14">
        <f>INDEX(结果汇总!$AN$10:$AN$13,MATCH(L2,结果汇总!$AI$10:$AI$13,0))</f>
        <v>1</v>
      </c>
      <c r="N11" s="10" t="e">
        <f>J11*K11*L11^2/2</f>
        <v>#VALUE!</v>
      </c>
      <c r="AI11" s="13"/>
    </row>
    <row r="12" spans="2:104" x14ac:dyDescent="0.15">
      <c r="C12" s="10" t="s">
        <v>11</v>
      </c>
      <c r="D12" s="14">
        <f>INDEX(结果汇总!$AL$14:$AL$17,MATCH(F3,结果汇总!$AI$14:$AI$17,0))</f>
        <v>120000</v>
      </c>
      <c r="E12" s="14">
        <f>INDEX(结果汇总!$AM$14:$AM$17,MATCH(F3,结果汇总!$AI$14:$AI$17,0))</f>
        <v>192000</v>
      </c>
      <c r="F12" s="10">
        <v>1</v>
      </c>
      <c r="G12" s="10">
        <v>1</v>
      </c>
      <c r="H12" s="10">
        <f>D12*E12</f>
        <v>23040000000</v>
      </c>
      <c r="I12" s="10" t="s">
        <v>34</v>
      </c>
      <c r="J12" s="14">
        <f>INDEX(结果汇总!$AL$14:$AL$17,MATCH(L3,结果汇总!$AI$14:$AI$17,0))</f>
        <v>120000</v>
      </c>
      <c r="K12" s="14">
        <f>INDEX(结果汇总!$AM$14:$AM$17,MATCH(L3,结果汇总!$AI$14:$AI$17,0))</f>
        <v>192000</v>
      </c>
      <c r="L12" s="10">
        <v>1</v>
      </c>
      <c r="M12" s="10">
        <v>1</v>
      </c>
      <c r="N12" s="10">
        <f>J12*K12</f>
        <v>23040000000</v>
      </c>
      <c r="AI12" s="13"/>
      <c r="BO12" s="10" t="s">
        <v>46</v>
      </c>
      <c r="BP12" s="6" t="str">
        <f>F2</f>
        <v>弓驽兵</v>
      </c>
      <c r="BQ12" s="6" t="str">
        <f>G2</f>
        <v>弓驽兵</v>
      </c>
      <c r="BR12" s="6" t="str">
        <f>H2</f>
        <v>刀兵</v>
      </c>
      <c r="BS12" s="6" t="str">
        <f>J2</f>
        <v>刀兵</v>
      </c>
      <c r="BT12" s="6" t="str">
        <f>K2</f>
        <v>弓驽兵</v>
      </c>
      <c r="BU12" s="6" t="str">
        <f>L2</f>
        <v>弓驽兵</v>
      </c>
    </row>
    <row r="13" spans="2:104" x14ac:dyDescent="0.15">
      <c r="AI13" s="13"/>
      <c r="CK13" s="10" t="s">
        <v>78</v>
      </c>
    </row>
    <row r="14" spans="2:104" x14ac:dyDescent="0.15">
      <c r="E14" s="16" t="s">
        <v>36</v>
      </c>
      <c r="F14" s="16"/>
      <c r="G14" s="16"/>
      <c r="J14" s="16" t="s">
        <v>23</v>
      </c>
      <c r="K14" s="16"/>
      <c r="L14" s="16"/>
      <c r="O14" s="16" t="s">
        <v>27</v>
      </c>
      <c r="P14" s="16"/>
      <c r="Q14" s="16"/>
      <c r="T14" s="16" t="s">
        <v>29</v>
      </c>
      <c r="U14" s="16"/>
      <c r="V14" s="16"/>
      <c r="Y14" s="16" t="s">
        <v>32</v>
      </c>
      <c r="AA14" s="16"/>
      <c r="AD14" s="16" t="s">
        <v>11</v>
      </c>
      <c r="AE14" s="16"/>
      <c r="AF14" s="16"/>
      <c r="AI14" s="13"/>
      <c r="AK14" s="16" t="s">
        <v>22</v>
      </c>
      <c r="AL14" s="16"/>
      <c r="AM14" s="16"/>
      <c r="AP14" s="16" t="s">
        <v>24</v>
      </c>
      <c r="AQ14" s="16"/>
      <c r="AR14" s="16"/>
      <c r="AU14" s="16" t="s">
        <v>39</v>
      </c>
      <c r="AV14" s="16"/>
      <c r="AW14" s="16"/>
      <c r="AZ14" s="16" t="s">
        <v>30</v>
      </c>
      <c r="BA14" s="16"/>
      <c r="BB14" s="16"/>
      <c r="BE14" s="16" t="s">
        <v>33</v>
      </c>
      <c r="BF14" s="16"/>
      <c r="BG14" s="16"/>
      <c r="BJ14" s="16" t="s">
        <v>34</v>
      </c>
      <c r="BK14" s="16"/>
      <c r="BL14" s="16"/>
      <c r="BP14" s="18" t="s">
        <v>35</v>
      </c>
      <c r="BW14" s="10" t="s">
        <v>66</v>
      </c>
      <c r="CD14" s="10" t="s">
        <v>77</v>
      </c>
      <c r="CK14" s="31">
        <v>1</v>
      </c>
      <c r="CL14" s="31"/>
      <c r="CM14" s="31"/>
      <c r="CN14" s="31"/>
      <c r="CO14" s="31">
        <v>2</v>
      </c>
      <c r="CP14" s="31"/>
      <c r="CQ14" s="31"/>
      <c r="CR14" s="31"/>
      <c r="CS14" s="31">
        <v>3</v>
      </c>
      <c r="CT14" s="31"/>
      <c r="CU14" s="31"/>
      <c r="CV14" s="31"/>
      <c r="CW14" s="31">
        <v>4</v>
      </c>
      <c r="CX14" s="31"/>
      <c r="CY14" s="31"/>
      <c r="CZ14" s="31"/>
    </row>
    <row r="15" spans="2:104" x14ac:dyDescent="0.15">
      <c r="E15" s="10" t="s">
        <v>40</v>
      </c>
      <c r="F15" s="10" t="s">
        <v>41</v>
      </c>
      <c r="G15" s="10" t="s">
        <v>42</v>
      </c>
      <c r="H15" s="10" t="s">
        <v>43</v>
      </c>
      <c r="I15" s="10" t="s">
        <v>44</v>
      </c>
      <c r="J15" s="10" t="s">
        <v>65</v>
      </c>
      <c r="K15" s="10" t="s">
        <v>41</v>
      </c>
      <c r="L15" s="10" t="s">
        <v>42</v>
      </c>
      <c r="M15" s="10" t="s">
        <v>44</v>
      </c>
      <c r="O15" s="10" t="s">
        <v>45</v>
      </c>
      <c r="P15" s="10" t="s">
        <v>41</v>
      </c>
      <c r="Q15" s="10" t="s">
        <v>42</v>
      </c>
      <c r="R15" s="10" t="s">
        <v>43</v>
      </c>
      <c r="S15" s="10" t="s">
        <v>44</v>
      </c>
      <c r="T15" s="10" t="s">
        <v>65</v>
      </c>
      <c r="U15" s="10" t="s">
        <v>41</v>
      </c>
      <c r="V15" s="10" t="s">
        <v>42</v>
      </c>
      <c r="W15" s="10" t="s">
        <v>44</v>
      </c>
      <c r="Y15" s="10" t="s">
        <v>45</v>
      </c>
      <c r="Z15" s="11" t="s">
        <v>41</v>
      </c>
      <c r="AA15" s="10" t="s">
        <v>42</v>
      </c>
      <c r="AB15" s="10" t="s">
        <v>43</v>
      </c>
      <c r="AC15" s="10" t="s">
        <v>44</v>
      </c>
      <c r="AD15" s="10" t="s">
        <v>65</v>
      </c>
      <c r="AE15" s="10" t="s">
        <v>41</v>
      </c>
      <c r="AF15" s="10" t="s">
        <v>42</v>
      </c>
      <c r="AG15" s="10" t="s">
        <v>44</v>
      </c>
      <c r="AI15" s="13"/>
      <c r="AK15" s="10" t="s">
        <v>45</v>
      </c>
      <c r="AL15" s="10" t="s">
        <v>41</v>
      </c>
      <c r="AM15" s="10" t="s">
        <v>42</v>
      </c>
      <c r="AN15" s="10" t="s">
        <v>43</v>
      </c>
      <c r="AO15" s="10" t="s">
        <v>44</v>
      </c>
      <c r="AP15" s="10" t="s">
        <v>65</v>
      </c>
      <c r="AQ15" s="10" t="s">
        <v>41</v>
      </c>
      <c r="AR15" s="10" t="s">
        <v>42</v>
      </c>
      <c r="AS15" s="10" t="s">
        <v>44</v>
      </c>
      <c r="AU15" s="10" t="s">
        <v>45</v>
      </c>
      <c r="AV15" s="10" t="s">
        <v>41</v>
      </c>
      <c r="AW15" s="10" t="s">
        <v>42</v>
      </c>
      <c r="AX15" s="10" t="s">
        <v>43</v>
      </c>
      <c r="AY15" s="10" t="s">
        <v>44</v>
      </c>
      <c r="AZ15" s="10" t="s">
        <v>65</v>
      </c>
      <c r="BA15" s="10" t="s">
        <v>41</v>
      </c>
      <c r="BB15" s="10" t="s">
        <v>42</v>
      </c>
      <c r="BC15" s="10" t="s">
        <v>44</v>
      </c>
      <c r="BE15" s="10" t="s">
        <v>45</v>
      </c>
      <c r="BF15" s="10" t="s">
        <v>41</v>
      </c>
      <c r="BG15" s="10" t="s">
        <v>42</v>
      </c>
      <c r="BH15" s="10" t="s">
        <v>43</v>
      </c>
      <c r="BI15" s="10" t="s">
        <v>44</v>
      </c>
      <c r="BJ15" s="10" t="s">
        <v>65</v>
      </c>
      <c r="BK15" s="10" t="s">
        <v>41</v>
      </c>
      <c r="BL15" s="10" t="s">
        <v>42</v>
      </c>
      <c r="BM15" s="10" t="s">
        <v>44</v>
      </c>
      <c r="BP15" s="17">
        <v>5</v>
      </c>
      <c r="BQ15" s="17">
        <v>3</v>
      </c>
      <c r="BR15" s="17">
        <v>1</v>
      </c>
      <c r="BS15" s="17">
        <v>2</v>
      </c>
      <c r="BT15" s="17">
        <v>4</v>
      </c>
      <c r="BU15" s="17">
        <v>6</v>
      </c>
      <c r="BW15" s="17">
        <v>5</v>
      </c>
      <c r="BX15" s="17">
        <v>3</v>
      </c>
      <c r="BY15" s="17">
        <v>1</v>
      </c>
      <c r="BZ15" s="17">
        <v>2</v>
      </c>
      <c r="CA15" s="17">
        <v>4</v>
      </c>
      <c r="CB15" s="17">
        <v>6</v>
      </c>
      <c r="CD15" s="17">
        <f>MATCH(BP12,结果汇总!$AI$10:$AI$13,0)</f>
        <v>3</v>
      </c>
      <c r="CE15" s="17">
        <f>MATCH(BQ12,结果汇总!$AI$10:$AI$13,0)</f>
        <v>3</v>
      </c>
      <c r="CF15" s="17">
        <f>MATCH(BR12,结果汇总!$AI$10:$AI$13,0)</f>
        <v>1</v>
      </c>
      <c r="CG15" s="17">
        <f>MATCH(BS12,结果汇总!$AI$10:$AI$13,0)</f>
        <v>1</v>
      </c>
      <c r="CH15" s="17">
        <f>MATCH(BT12,结果汇总!$AI$10:$AI$13,0)</f>
        <v>3</v>
      </c>
      <c r="CI15" s="17">
        <f>MATCH(BU12,结果汇总!$AI$10:$AI$13,0)</f>
        <v>3</v>
      </c>
      <c r="CK15" s="10">
        <v>1</v>
      </c>
      <c r="CL15" s="10">
        <v>2</v>
      </c>
      <c r="CM15" s="10">
        <v>3</v>
      </c>
      <c r="CN15" s="10">
        <v>4</v>
      </c>
      <c r="CO15" s="10">
        <f>CK15</f>
        <v>1</v>
      </c>
      <c r="CP15" s="10">
        <f t="shared" ref="CP15:CZ15" si="0">CL15</f>
        <v>2</v>
      </c>
      <c r="CQ15" s="10">
        <f t="shared" si="0"/>
        <v>3</v>
      </c>
      <c r="CR15" s="10">
        <f t="shared" si="0"/>
        <v>4</v>
      </c>
      <c r="CS15" s="10">
        <f t="shared" si="0"/>
        <v>1</v>
      </c>
      <c r="CT15" s="10">
        <f t="shared" si="0"/>
        <v>2</v>
      </c>
      <c r="CU15" s="10">
        <f t="shared" si="0"/>
        <v>3</v>
      </c>
      <c r="CV15" s="10">
        <f t="shared" si="0"/>
        <v>4</v>
      </c>
      <c r="CW15" s="10">
        <f t="shared" si="0"/>
        <v>1</v>
      </c>
      <c r="CX15" s="10">
        <f t="shared" si="0"/>
        <v>2</v>
      </c>
      <c r="CY15" s="10">
        <f t="shared" si="0"/>
        <v>3</v>
      </c>
      <c r="CZ15" s="10">
        <f t="shared" si="0"/>
        <v>4</v>
      </c>
    </row>
    <row r="16" spans="2:104" x14ac:dyDescent="0.15">
      <c r="D16" s="10">
        <v>1</v>
      </c>
      <c r="E16" s="10">
        <f>F5</f>
        <v>1000</v>
      </c>
      <c r="F16" s="10">
        <f t="shared" ref="F16:F79" si="1">IF(E16=0,0,E16*$E$5)</f>
        <v>324000</v>
      </c>
      <c r="G16" s="10">
        <f t="shared" ref="G16:G79" si="2">F16*$P$7</f>
        <v>129600</v>
      </c>
      <c r="H16" s="10">
        <f>IF(E16=0,0,ROUNDUP(E16/$F$5*$G$5,0))</f>
        <v>1</v>
      </c>
      <c r="I16" s="10">
        <f t="shared" ref="I16:I79" si="3">IF(AND(J16=0,E16&lt;&gt;0),1,H16/(H16+$G$6))</f>
        <v>0.5</v>
      </c>
      <c r="J16" s="10">
        <f>$F$6</f>
        <v>1</v>
      </c>
      <c r="K16" s="10">
        <f t="shared" ref="K16:K79" si="4">IF(J16=0,0,ROUNDUP(J16,0)*$E$6)</f>
        <v>192000</v>
      </c>
      <c r="L16" s="10">
        <f t="shared" ref="L16:L79" si="5">K16*$P$7</f>
        <v>76800</v>
      </c>
      <c r="M16" s="10">
        <f>IF(J16=0,0,1-I16)</f>
        <v>0.5</v>
      </c>
      <c r="O16" s="10">
        <f>$F$8</f>
        <v>1000</v>
      </c>
      <c r="P16" s="10">
        <f t="shared" ref="P16:P79" si="6">IF(O16=0,0,O16*$E$8)</f>
        <v>180000</v>
      </c>
      <c r="Q16" s="10">
        <f t="shared" ref="Q16:Q79" si="7">P16*$P$7</f>
        <v>72000</v>
      </c>
      <c r="R16" s="10">
        <f>IF(O16=0,0,ROUNDUP(O16/$F$8*$G$8,0))</f>
        <v>1</v>
      </c>
      <c r="S16" s="10">
        <f>IF(AND(T16=0,O16&lt;&gt;0),1,R16/(R16+$G$9))</f>
        <v>0.5</v>
      </c>
      <c r="T16" s="10">
        <f>$F$9</f>
        <v>1</v>
      </c>
      <c r="U16" s="10">
        <f>IF(T16=0,0,ROUNDUP(T16,0)*$E$9)</f>
        <v>192000</v>
      </c>
      <c r="V16" s="10">
        <f t="shared" ref="V16:V79" si="8">U16*$P$7</f>
        <v>76800</v>
      </c>
      <c r="W16" s="10">
        <f>IF(T16=0,0,1-S16)</f>
        <v>0.5</v>
      </c>
      <c r="Y16" s="10">
        <f>$F$11</f>
        <v>1000</v>
      </c>
      <c r="Z16" s="11">
        <f>IF(Y16=0,0,Y16*$E$11)</f>
        <v>180000</v>
      </c>
      <c r="AA16" s="10">
        <f t="shared" ref="AA16:AA79" si="9">Z16*$P$7</f>
        <v>72000</v>
      </c>
      <c r="AB16" s="10">
        <f>IF(Y16=0,0,ROUNDUP(Y16/$F$11*$G$11,0))</f>
        <v>1</v>
      </c>
      <c r="AC16" s="10">
        <f>IF(AND(AD16=0,Y16&lt;&gt;0),1,AB16/(AB16+$G$12))</f>
        <v>0.5</v>
      </c>
      <c r="AD16" s="10">
        <f>$F$12</f>
        <v>1</v>
      </c>
      <c r="AE16" s="10">
        <f>IF(AD16=0,0,ROUNDUP(AD16,0)*$E$12)</f>
        <v>192000</v>
      </c>
      <c r="AF16" s="10">
        <f t="shared" ref="AF16:AF79" si="10">AE16*$P$7</f>
        <v>76800</v>
      </c>
      <c r="AG16" s="10">
        <f>IF(AD16=0,0,1-AC16)</f>
        <v>0.5</v>
      </c>
      <c r="AI16" s="13"/>
      <c r="AK16" s="10">
        <f>$L$5</f>
        <v>1000</v>
      </c>
      <c r="AL16" s="10">
        <f>IF(AK16=0,0,AK16*$K$5)</f>
        <v>324000</v>
      </c>
      <c r="AM16" s="10">
        <f t="shared" ref="AM16:AM79" si="11">AL16*$P$7</f>
        <v>129600</v>
      </c>
      <c r="AN16" s="10">
        <f>IF(AK16=0,0,ROUNDUP(AK16/$L$5*$M$5,0))</f>
        <v>1</v>
      </c>
      <c r="AO16" s="10">
        <f>IF(AND(AP16=0,AK16&lt;&gt;0),1,AN16/(AN16+$M$6))</f>
        <v>0.5</v>
      </c>
      <c r="AP16" s="10">
        <f>$L$6</f>
        <v>1</v>
      </c>
      <c r="AQ16" s="10">
        <f>IF(AP16=0,0,ROUNDUP(AP16,0)*$K$6)</f>
        <v>192000</v>
      </c>
      <c r="AR16" s="10">
        <f t="shared" ref="AR16:AR79" si="12">AQ16*$P$7</f>
        <v>76800</v>
      </c>
      <c r="AS16" s="10">
        <f>IF(AP16=0,0,1-AO16)</f>
        <v>0.5</v>
      </c>
      <c r="AU16" s="10">
        <f>$L$8</f>
        <v>1000</v>
      </c>
      <c r="AV16" s="10">
        <f>IF(AU16=0,0,AU16*$K$8)</f>
        <v>180000</v>
      </c>
      <c r="AW16" s="10">
        <f t="shared" ref="AW16:AW79" si="13">AV16*$P$7</f>
        <v>72000</v>
      </c>
      <c r="AX16" s="10">
        <f>IF(AU16=0,0,ROUNDUP(AU16/$L$8*$M$8,0))</f>
        <v>1</v>
      </c>
      <c r="AY16" s="10">
        <f>IF(AND(AZ16=0,AU16&lt;&gt;0),1,AX16/(AX16+$M$9))</f>
        <v>0.5</v>
      </c>
      <c r="AZ16" s="10">
        <f>$L$9</f>
        <v>1</v>
      </c>
      <c r="BA16" s="10">
        <f>IF(AZ16=0,0,ROUNDUP(AZ16,0)*$K$9)</f>
        <v>192000</v>
      </c>
      <c r="BB16" s="10">
        <f t="shared" ref="BB16:BB79" si="14">BA16*$P$7</f>
        <v>76800</v>
      </c>
      <c r="BC16" s="10">
        <f>IF(AZ16=0,0,1-AY16)</f>
        <v>0.5</v>
      </c>
      <c r="BE16" s="10">
        <f>$L$11</f>
        <v>1000</v>
      </c>
      <c r="BF16" s="10">
        <f>IF(BE16=0,0,BE16*$K$11)</f>
        <v>180000</v>
      </c>
      <c r="BG16" s="10">
        <f t="shared" ref="BG16:BG79" si="15">BF16*$P$7</f>
        <v>72000</v>
      </c>
      <c r="BH16" s="10">
        <f>IF(BE16=0,0,ROUNDUP(BE16/$L$11*$M$11,0))</f>
        <v>1</v>
      </c>
      <c r="BI16" s="10">
        <f>IF(AND(BJ16=0,BE16&lt;&gt;0),1,BH16/(BH16+$M$12))</f>
        <v>0.5</v>
      </c>
      <c r="BJ16" s="10">
        <f>$L$12</f>
        <v>1</v>
      </c>
      <c r="BK16" s="10">
        <f>IF(BJ16=0,0,ROUNDUP(BJ16,0)*$K$12)</f>
        <v>192000</v>
      </c>
      <c r="BL16" s="10">
        <f t="shared" ref="BL16:BL79" si="16">BK16*$P$7</f>
        <v>76800</v>
      </c>
      <c r="BM16" s="10">
        <f>IF(BJ16=0,0,1-BI16)</f>
        <v>0.5</v>
      </c>
      <c r="BP16" s="10">
        <f>IF(BZ16&gt;0,BS$15,IF(CA16&gt;0,BT$15,BU$15))</f>
        <v>2</v>
      </c>
      <c r="BQ16" s="10">
        <f>IF(BZ16&gt;0,BS$15,IF(CA16&gt;0,BT$15,BU$15))</f>
        <v>2</v>
      </c>
      <c r="BR16" s="10">
        <f>IF(BZ16&gt;0,BS$15,IF(CA16&gt;0,BT$15,BU$15))</f>
        <v>2</v>
      </c>
      <c r="BS16" s="10">
        <f>IF(BY16&gt;0,BR$15,IF(BX16&gt;0,BQ$15,BP$15))</f>
        <v>1</v>
      </c>
      <c r="BT16" s="10">
        <f>IF(BY16&gt;0,BR$15,IF(BX16&gt;0,BQ$15,BP$15))</f>
        <v>1</v>
      </c>
      <c r="BU16" s="10">
        <f>IF(BY16&gt;0,BR$15,IF(BX16&gt;0,BQ$15,BP$15))</f>
        <v>1</v>
      </c>
      <c r="BW16" s="10">
        <f>Y16+AD16*1000</f>
        <v>2000</v>
      </c>
      <c r="BX16" s="10">
        <f>O16+T16*1000</f>
        <v>2000</v>
      </c>
      <c r="BY16" s="10">
        <f>E16+J16*1000</f>
        <v>2000</v>
      </c>
      <c r="BZ16" s="10">
        <f>AK16+AP16*1000</f>
        <v>2000</v>
      </c>
      <c r="CA16" s="10">
        <f>AU16+AZ16*1000</f>
        <v>2000</v>
      </c>
      <c r="CB16" s="10">
        <f>BE16+BJ16*1000</f>
        <v>2000</v>
      </c>
      <c r="CD16" s="10">
        <f>MATCH(INDEX($BP$12:$BU$12,1,MATCH(BP16,$BP$15:$BU$15,0)),结果汇总!$AI$10:$AI$13,0)</f>
        <v>1</v>
      </c>
      <c r="CE16" s="10">
        <f>MATCH(INDEX($BP$12:$BU$12,1,MATCH(BQ16,$BP$15:$BU$15,0)),结果汇总!$AI$10:$AI$13,0)</f>
        <v>1</v>
      </c>
      <c r="CF16" s="10">
        <f>MATCH(INDEX($BP$12:$BU$12,1,MATCH(BR16,$BP$15:$BU$15,0)),结果汇总!$AI$10:$AI$13,0)</f>
        <v>1</v>
      </c>
      <c r="CG16" s="10">
        <f>MATCH(INDEX($BP$12:$BU$12,1,MATCH(BS16,$BP$15:$BU$15,0)),结果汇总!$AI$10:$AI$13,0)</f>
        <v>1</v>
      </c>
      <c r="CH16" s="10">
        <f>MATCH(INDEX($BP$12:$BU$12,1,MATCH(BT16,$BP$15:$BU$15,0)),结果汇总!$AI$10:$AI$13,0)</f>
        <v>1</v>
      </c>
      <c r="CI16" s="10">
        <f>MATCH(INDEX($BP$12:$BU$12,1,MATCH(BU16,$BP$15:$BU$15,0)),结果汇总!$AI$10:$AI$13,0)</f>
        <v>1</v>
      </c>
      <c r="CK16" s="10">
        <f>COUNTIFS($CD16:$CI16,CK$15,$CD$15:$CI$15,$CK$14)/COUNTIFS($CD$15:$CI$15,$CK$14)</f>
        <v>1</v>
      </c>
      <c r="CL16" s="10">
        <f t="shared" ref="CL16:CN31" si="17">COUNTIFS($CD16:$CI16,CL$15,$CD$15:$CI$15,$CK$14)/COUNTIFS($CD$15:$CI$15,$CK$14)</f>
        <v>0</v>
      </c>
      <c r="CM16" s="10">
        <f t="shared" si="17"/>
        <v>0</v>
      </c>
      <c r="CN16" s="10">
        <f t="shared" si="17"/>
        <v>0</v>
      </c>
      <c r="CO16" s="10" t="e">
        <f>COUNTIFS($CD16:$CI16,CO$15,$CD$15:$CI$15,$CO$14)/COUNTIFS($CD$15:$CI$15,$CO$14)</f>
        <v>#DIV/0!</v>
      </c>
      <c r="CP16" s="10" t="e">
        <f t="shared" ref="CP16:CR31" si="18">COUNTIFS($CD16:$CI16,CP$15,$CD$15:$CI$15,$CO$14)/COUNTIFS($CD$15:$CI$15,$CO$14)</f>
        <v>#DIV/0!</v>
      </c>
      <c r="CQ16" s="10" t="e">
        <f t="shared" si="18"/>
        <v>#DIV/0!</v>
      </c>
      <c r="CR16" s="10" t="e">
        <f t="shared" si="18"/>
        <v>#DIV/0!</v>
      </c>
      <c r="CS16" s="10">
        <f>COUNTIFS($CD16:$CI16,CS$15,$CD$15:$CI$15,$CS$14)/COUNTIFS($CD$15:$CI$15,$CS$14)</f>
        <v>1</v>
      </c>
      <c r="CT16" s="10">
        <f t="shared" ref="CT16:CV31" si="19">COUNTIFS($CD16:$CI16,CT$15,$CD$15:$CI$15,$CS$14)/COUNTIFS($CD$15:$CI$15,$CS$14)</f>
        <v>0</v>
      </c>
      <c r="CU16" s="10">
        <f t="shared" si="19"/>
        <v>0</v>
      </c>
      <c r="CV16" s="10">
        <f t="shared" si="19"/>
        <v>0</v>
      </c>
      <c r="CW16" s="10" t="e">
        <f>COUNTIFS($CD16:$CI16,CW$15,$CD$15:$CI$15,$CW$14)/COUNTIFS($CD$15:$CI$15,$CW$14)</f>
        <v>#DIV/0!</v>
      </c>
      <c r="CX16" s="10" t="e">
        <f t="shared" ref="CX16:CZ31" si="20">COUNTIFS($CD16:$CI16,CX$15,$CD$15:$CI$15,$CW$14)/COUNTIFS($CD$15:$CI$15,$CW$14)</f>
        <v>#DIV/0!</v>
      </c>
      <c r="CY16" s="10" t="e">
        <f t="shared" si="20"/>
        <v>#DIV/0!</v>
      </c>
      <c r="CZ16" s="10" t="e">
        <f t="shared" si="20"/>
        <v>#DIV/0!</v>
      </c>
    </row>
    <row r="17" spans="4:104" x14ac:dyDescent="0.15">
      <c r="D17" s="10">
        <v>2</v>
      </c>
      <c r="E17" s="10" t="e">
        <f t="shared" ref="E17:E80" si="21">IF(E16-((AL16+AM16+AQ16+AR16)*IF(BS16=1,1,0)+(AV16+AW16+BA16+BB16)*IF(BT16=1,1,0)+(BF16+BG16+BK16+BL16)*IF(BU16=1,1,0))*IF(J16=0,1,I16)/$D$5&lt;$E$16*$P$8,0,
E16-((AL16+AM16+AQ16+AR16)*IF(BS16=1,1,0)+(AV16+AW16+BA16+BB16)*IF(BT16=1,1,0)+(BF16+BG16+BK16+BL16)*IF(BU16=1,1,0))*IF(J16=0,1,I16)/$D$5)</f>
        <v>#VALUE!</v>
      </c>
      <c r="F17" s="10" t="e">
        <f t="shared" si="1"/>
        <v>#VALUE!</v>
      </c>
      <c r="G17" s="10" t="e">
        <f t="shared" si="2"/>
        <v>#VALUE!</v>
      </c>
      <c r="H17" s="10" t="e">
        <f t="shared" ref="H17:H80" si="22">IF(E17=0,0,ROUNDUP(E17/$F$5*$G$5,0))</f>
        <v>#VALUE!</v>
      </c>
      <c r="I17" s="10" t="e">
        <f t="shared" si="3"/>
        <v>#VALUE!</v>
      </c>
      <c r="J17" s="10">
        <f t="shared" ref="J17:J80" si="23">MAX(J16-((AL16+AM16+AQ16+AR16)*IF(BS16=1,1,0)+(AV16+AW16+BA16+BB16)*IF(BT16=1,1,0)+(BF16+BG16+BK16+BL16)*IF(BU16=1,1,0))*IF(E16=0,1,M16)/$D$6,0)</f>
        <v>0</v>
      </c>
      <c r="K17" s="10">
        <f t="shared" si="4"/>
        <v>0</v>
      </c>
      <c r="L17" s="10">
        <f t="shared" si="5"/>
        <v>0</v>
      </c>
      <c r="M17" s="10">
        <f t="shared" ref="M17:M80" si="24">IF(J17=0,0,1-I17)</f>
        <v>0</v>
      </c>
      <c r="O17" s="10" t="e">
        <f t="shared" ref="O17:O80" si="25">IF(O16-((AL16+AM16+AQ16+AR16)*IF(BS16=3,1,0)+(AV16+AW16+BA16+BB16)*IF(BT16=3,1,0)+(BF16+BG16+BK16+BL16)*IF(BU16=3,1,0))*IF(T16=0,1,S16)/$D$8&lt;$O$16*$P$8,0,
O16-((AL16+AM16+AQ16+AR16)*IF(BS16=3,1,0)+(AV16+AW16+BA16+BB16)*IF(BT16=3,1,0)+(BF16+BG16+BK16+BL16)*IF(BU16=3,1,0))*IF(T16=0,1,S16)/$D$8)</f>
        <v>#VALUE!</v>
      </c>
      <c r="P17" s="10" t="e">
        <f t="shared" si="6"/>
        <v>#VALUE!</v>
      </c>
      <c r="Q17" s="10" t="e">
        <f t="shared" si="7"/>
        <v>#VALUE!</v>
      </c>
      <c r="R17" s="10" t="e">
        <f t="shared" ref="R17:R80" si="26">IF(O17=0,0,ROUNDUP(O17/$F$8*$G$8,0))</f>
        <v>#VALUE!</v>
      </c>
      <c r="S17" s="10" t="e">
        <f t="shared" ref="S17:S80" si="27">IF(AND(T17=0,O17&lt;&gt;0),1,R17/(R17+$G$9))</f>
        <v>#VALUE!</v>
      </c>
      <c r="T17" s="10">
        <f>MAX(T16-((AL16+AM16+AQ16+AR16)*IF(BS16=3,1,0)+(AV16+AW16+BA16+BB16)*IF(BT16=3,1,0)+(BF16+BG16+BK16+BL16)*IF(BU16=3,1,0))*IF(O16=0,1,W16)/$D$9,0)</f>
        <v>1</v>
      </c>
      <c r="U17" s="10">
        <f>IF(T17=0,0,ROUNDUP(T17,0)*$E$9)</f>
        <v>192000</v>
      </c>
      <c r="V17" s="10">
        <f t="shared" si="8"/>
        <v>76800</v>
      </c>
      <c r="W17" s="10" t="e">
        <f t="shared" ref="W17:W80" si="28">IF(T17=0,0,1-S17)</f>
        <v>#VALUE!</v>
      </c>
      <c r="Y17" s="10" t="e">
        <f t="shared" ref="Y17:Y80" si="29">IF(Y16-((AL16+AM16+AQ16+AR16)*IF(BS16=5,1,0)+(AV16+AW16+BA16+BB16)*IF(BT16=5,1,0)+(BF16+BG16+BK16+BL16)*IF(BU16=5,1,0))*IF(AD16=0,1,AC16)/$D$11&lt;$Y$16*$P$8,0,
Y16-((AL16+AM16+AQ16+AR16)*IF(BS16=5,1,0)+(AV16+AW16+BA16+BB16)*IF(BT16=5,1,0)+(BF16+BG16+BK16+BL16)*IF(BU16=5,1,0))*IF(AD16=0,1,AC16)/$D$11)</f>
        <v>#VALUE!</v>
      </c>
      <c r="Z17" s="11" t="e">
        <f t="shared" ref="Z17:Z80" si="30">IF(Y17=0,0,Y17*$E$11)</f>
        <v>#VALUE!</v>
      </c>
      <c r="AA17" s="10" t="e">
        <f t="shared" si="9"/>
        <v>#VALUE!</v>
      </c>
      <c r="AB17" s="10" t="e">
        <f t="shared" ref="AB17:AB80" si="31">IF(Y17=0,0,ROUNDUP(Y17/$F$11*$G$11,0))</f>
        <v>#VALUE!</v>
      </c>
      <c r="AC17" s="10" t="e">
        <f t="shared" ref="AC17:AC80" si="32">IF(AND(AD17=0,Y17&lt;&gt;0),1,AB17/(AB17+$G$12))</f>
        <v>#VALUE!</v>
      </c>
      <c r="AD17" s="10">
        <f>MAX(AD16-((AL16+AM16+AQ16+AR16)*IF(BS16=5,1,0)+(AV16+AW16+BA16+BB16)*IF(BT16=5,1,0)+(BF16+BG16+BK16+BL16)*IF(BU16=5,1,0))*IF(Y16=0,1,AG16)/$D$12,0)</f>
        <v>1</v>
      </c>
      <c r="AE17" s="10">
        <f>IF(AD17=0,0,ROUNDUP(AD17,0)*$E$12)</f>
        <v>192000</v>
      </c>
      <c r="AF17" s="10">
        <f t="shared" si="10"/>
        <v>76800</v>
      </c>
      <c r="AG17" s="10" t="e">
        <f t="shared" ref="AG17:AG80" si="33">IF(AD17=0,0,1-AC17)</f>
        <v>#VALUE!</v>
      </c>
      <c r="AI17" s="13"/>
      <c r="AK17" s="10" t="e">
        <f t="shared" ref="AK17:AK80" si="34">IF(AK16-((F16+G16+K16+L16)*IF(BR16=2,1,0)+(P16+Q16+U16+V16)*IF(BQ16=2,1,0)+(Z16+AA16+AE16+AF16)*IF(BP16=2,1,0))*IF(AP16=0,1,AO16)/$J$5&lt;$AK$16*$P$8,0,
AK16-((F16+G16+K16+L16)*IF(BR16=2,1,0)+(P16+Q16+U16+V16)*IF(BQ16=2,1,0)+(Z16+AA16+AE16+AF16)*IF(BP16=2,1,0))*IF(AP16=0,1,AO16)/$J$5)</f>
        <v>#VALUE!</v>
      </c>
      <c r="AL17" s="10" t="e">
        <f>IF(AK17=0,0,AK17*$K$5)</f>
        <v>#VALUE!</v>
      </c>
      <c r="AM17" s="10" t="e">
        <f t="shared" si="11"/>
        <v>#VALUE!</v>
      </c>
      <c r="AN17" s="10" t="e">
        <f t="shared" ref="AN17:AN80" si="35">IF(AK17=0,0,ROUNDUP(AK17/$L$5*$M$5,0))</f>
        <v>#VALUE!</v>
      </c>
      <c r="AO17" s="10" t="e">
        <f t="shared" ref="AO17:AO80" si="36">IF(AND(AP17=0,AK17&lt;&gt;0),1,AN17/(AN17+$M$6))</f>
        <v>#VALUE!</v>
      </c>
      <c r="AP17" s="10">
        <f t="shared" ref="AP17:AP80" si="37">MAX(AP16-((F16+G16+K16+L16)*IF(BR16=2,1,0)+(P16+Q16+U16+V16)*IF(BQ16=2,1,0)+(Z16+AA16+AE16+AF16)*IF(BP16=2,1,0))*IF(AK16=0,1,AS16)/$J$6,0)</f>
        <v>0</v>
      </c>
      <c r="AQ17" s="10">
        <f>IF(AP17=0,0,ROUNDUP(AP17,0)*$K$6)</f>
        <v>0</v>
      </c>
      <c r="AR17" s="10">
        <f t="shared" si="12"/>
        <v>0</v>
      </c>
      <c r="AS17" s="10">
        <f>IF(AP17=0,0,1-AO17)</f>
        <v>0</v>
      </c>
      <c r="AU17" s="10" t="e">
        <f t="shared" ref="AU17:AU80" si="38">IF(AU16-((F16+G16+K16+L16)*IF(BR16=4,1,0)+(P16+Q16+U16+V16)*IF(BQ16=4,1,0)+(Z16+AA16+AE16+AF16)*IF(BP16=4,1,0))*IF(AZ16=0,1,AY16)/$J$8&lt;$AU$16*$P$8,0,
AU16-((F16+G16+K16+L16)*IF(BR16=4,1,0)+(P16+Q16+U16+V16)*IF(BQ16=4,1,0)+(Z16+AA16+AE16+AF16)*IF(BP16=4,1,0))*IF(AZ16=0,1,AY16)/$J$8)</f>
        <v>#VALUE!</v>
      </c>
      <c r="AV17" s="10" t="e">
        <f>IF(AU17=0,0,AU17*$K$8)</f>
        <v>#VALUE!</v>
      </c>
      <c r="AW17" s="10" t="e">
        <f t="shared" si="13"/>
        <v>#VALUE!</v>
      </c>
      <c r="AX17" s="10" t="e">
        <f t="shared" ref="AX17:AX80" si="39">IF(AU17=0,0,ROUNDUP(AU17/$L$8*$M$8,0))</f>
        <v>#VALUE!</v>
      </c>
      <c r="AY17" s="10" t="e">
        <f t="shared" ref="AY17:AY80" si="40">IF(AND(AZ17=0,AU17&lt;&gt;0),1,AX17/(AX17+$M$9))</f>
        <v>#VALUE!</v>
      </c>
      <c r="AZ17" s="10">
        <f t="shared" ref="AZ17:AZ80" si="41">MAX(AZ16-((F16+G16+K16+L16)*IF(BR16=4,1,0)+(P16+Q16+U16+V16)*IF(BQ16=4,1,0)+(Z16+AA16+AE16+AF16)*IF(BP16=4,1,0))*IF(AU16=0,1,BC16)/$J$9,0)</f>
        <v>1</v>
      </c>
      <c r="BA17" s="10">
        <f>IF(AZ17=0,0,ROUNDUP(AZ17,0)*$K$9)</f>
        <v>192000</v>
      </c>
      <c r="BB17" s="10">
        <f t="shared" si="14"/>
        <v>76800</v>
      </c>
      <c r="BC17" s="10" t="e">
        <f>IF(AZ17=0,0,1-AY17)</f>
        <v>#VALUE!</v>
      </c>
      <c r="BE17" s="10" t="e">
        <f t="shared" ref="BE17:BE80" si="42">IF(BE16-((F16+G16+K16+L16)*IF(BR16=6,1,0)+(P16+Q16+U16+V16)*IF(BQ16=6,1,0)+(Z16+AA16+AE16+AF16)*IF(BP16=6,1,0))*IF(BJ16=0,1,BI16)/$J$11&lt;$BE$16*$P$8,0,
BE16-((F16+G16+K16+L16)*IF(BR16=6,1,0)+(P16+Q16+U16+V16)*IF(BQ16=6,1,0)+(Z16+AA16+AE16+AF16)*IF(BP16=6,1,0))*IF(BJ16=0,1,BI16)/$J$11)</f>
        <v>#VALUE!</v>
      </c>
      <c r="BF17" s="10" t="e">
        <f>IF(BE17=0,0,BE17*$K$11)</f>
        <v>#VALUE!</v>
      </c>
      <c r="BG17" s="10" t="e">
        <f t="shared" si="15"/>
        <v>#VALUE!</v>
      </c>
      <c r="BH17" s="10" t="e">
        <f t="shared" ref="BH17:BH80" si="43">IF(BE17=0,0,ROUNDUP(BE17/$L$11*$M$11,0))</f>
        <v>#VALUE!</v>
      </c>
      <c r="BI17" s="10" t="e">
        <f t="shared" ref="BI17:BI80" si="44">IF(AND(BJ17=0,BE17&lt;&gt;0),1,BH17/(BH17+$M$12))</f>
        <v>#VALUE!</v>
      </c>
      <c r="BJ17" s="10">
        <f t="shared" ref="BJ17:BJ80" si="45">MAX(BJ16-((F16+G16+K16+L16)*IF(BR16=6,1,0)+(P16+Q16+U16+V16)*IF(BQ16=6,1,0)+(Z16+AA16+AE16+AF16)*IF(BP16=6,1,0))*IF(BE16=0,1,BM16)/$J$12,0)</f>
        <v>1</v>
      </c>
      <c r="BK17" s="10">
        <f>IF(BJ17=0,0,ROUNDUP(BJ17,0)*$K$12)</f>
        <v>192000</v>
      </c>
      <c r="BL17" s="10">
        <f t="shared" si="16"/>
        <v>76800</v>
      </c>
      <c r="BM17" s="10" t="e">
        <f>IF(BJ17=0,0,1-BI17)</f>
        <v>#VALUE!</v>
      </c>
      <c r="BP17" s="10" t="e">
        <f t="shared" ref="BP17:BP80" si="46">IF(BZ17&gt;0,BS$15,IF(CA17&gt;0,BT$15,BU$15))</f>
        <v>#VALUE!</v>
      </c>
      <c r="BQ17" s="10" t="e">
        <f t="shared" ref="BQ17:BQ80" si="47">IF(BZ17&gt;0,BS$15,IF(CA17&gt;0,BT$15,BU$15))</f>
        <v>#VALUE!</v>
      </c>
      <c r="BR17" s="10" t="e">
        <f t="shared" ref="BR17:BR80" si="48">IF(BZ17&gt;0,BS$15,IF(CA17&gt;0,BT$15,BU$15))</f>
        <v>#VALUE!</v>
      </c>
      <c r="BS17" s="10" t="e">
        <f t="shared" ref="BS17:BS80" si="49">IF(BY17&gt;0,BR$15,IF(BX17&gt;0,BQ$15,BP$15))</f>
        <v>#VALUE!</v>
      </c>
      <c r="BT17" s="10" t="e">
        <f t="shared" ref="BT17:BT80" si="50">IF(BY17&gt;0,BR$15,IF(BX17&gt;0,BQ$15,BP$15))</f>
        <v>#VALUE!</v>
      </c>
      <c r="BU17" s="10" t="e">
        <f t="shared" ref="BU17:BU80" si="51">IF(BY17&gt;0,BR$15,IF(BX17&gt;0,BQ$15,BP$15))</f>
        <v>#VALUE!</v>
      </c>
      <c r="BW17" s="10" t="e">
        <f t="shared" ref="BW17:BW80" si="52">Y17+AD17*1000</f>
        <v>#VALUE!</v>
      </c>
      <c r="BX17" s="10" t="e">
        <f t="shared" ref="BX17:BX80" si="53">O17+T17*1000</f>
        <v>#VALUE!</v>
      </c>
      <c r="BY17" s="10" t="e">
        <f t="shared" ref="BY17:BY80" si="54">E17+J17*1000</f>
        <v>#VALUE!</v>
      </c>
      <c r="BZ17" s="10" t="e">
        <f t="shared" ref="BZ17:BZ80" si="55">AK17+AP17*1000</f>
        <v>#VALUE!</v>
      </c>
      <c r="CA17" s="10" t="e">
        <f t="shared" ref="CA17:CA80" si="56">AU17+AZ17*1000</f>
        <v>#VALUE!</v>
      </c>
      <c r="CB17" s="10" t="e">
        <f t="shared" ref="CB17:CB80" si="57">BE17+BJ17*1000</f>
        <v>#VALUE!</v>
      </c>
      <c r="CD17" s="10" t="e">
        <f>MATCH(INDEX($BP$12:$BU$12,1,MATCH(BP17,$BP$15:$BU$15,0)),结果汇总!$AI$10:$AI$13,0)</f>
        <v>#VALUE!</v>
      </c>
      <c r="CE17" s="10" t="e">
        <f>MATCH(INDEX($BP$12:$BU$12,1,MATCH(BQ17,$BP$15:$BU$15,0)),结果汇总!$AI$10:$AI$13,0)</f>
        <v>#VALUE!</v>
      </c>
      <c r="CF17" s="10" t="e">
        <f>MATCH(INDEX($BP$12:$BU$12,1,MATCH(BR17,$BP$15:$BU$15,0)),结果汇总!$AI$10:$AI$13,0)</f>
        <v>#VALUE!</v>
      </c>
      <c r="CG17" s="10" t="e">
        <f>MATCH(INDEX($BP$12:$BU$12,1,MATCH(BS17,$BP$15:$BU$15,0)),结果汇总!$AI$10:$AI$13,0)</f>
        <v>#VALUE!</v>
      </c>
      <c r="CH17" s="10" t="e">
        <f>MATCH(INDEX($BP$12:$BU$12,1,MATCH(BT17,$BP$15:$BU$15,0)),结果汇总!$AI$10:$AI$13,0)</f>
        <v>#VALUE!</v>
      </c>
      <c r="CI17" s="10" t="e">
        <f>MATCH(INDEX($BP$12:$BU$12,1,MATCH(BU17,$BP$15:$BU$15,0)),结果汇总!$AI$10:$AI$13,0)</f>
        <v>#VALUE!</v>
      </c>
      <c r="CK17" s="10">
        <f t="shared" ref="CK17:CN48" si="58">COUNTIFS($CD17:$CI17,CK$15,$CD$15:$CI$15,$CK$14)/COUNTIFS($CD$15:$CI$15,$CK$14)</f>
        <v>0</v>
      </c>
      <c r="CL17" s="10">
        <f t="shared" si="17"/>
        <v>0</v>
      </c>
      <c r="CM17" s="10">
        <f t="shared" si="17"/>
        <v>0</v>
      </c>
      <c r="CN17" s="10">
        <f t="shared" si="17"/>
        <v>0</v>
      </c>
      <c r="CO17" s="10" t="e">
        <f t="shared" ref="CO17:CR48" si="59">COUNTIFS($CD17:$CI17,CO$15,$CD$15:$CI$15,$CO$14)/COUNTIFS($CD$15:$CI$15,$CO$14)</f>
        <v>#DIV/0!</v>
      </c>
      <c r="CP17" s="10" t="e">
        <f t="shared" si="18"/>
        <v>#DIV/0!</v>
      </c>
      <c r="CQ17" s="10" t="e">
        <f t="shared" si="18"/>
        <v>#DIV/0!</v>
      </c>
      <c r="CR17" s="10" t="e">
        <f t="shared" si="18"/>
        <v>#DIV/0!</v>
      </c>
      <c r="CS17" s="10">
        <f t="shared" ref="CS17:CV48" si="60">COUNTIFS($CD17:$CI17,CS$15,$CD$15:$CI$15,$CS$14)/COUNTIFS($CD$15:$CI$15,$CS$14)</f>
        <v>0</v>
      </c>
      <c r="CT17" s="10">
        <f t="shared" si="19"/>
        <v>0</v>
      </c>
      <c r="CU17" s="10">
        <f t="shared" si="19"/>
        <v>0</v>
      </c>
      <c r="CV17" s="10">
        <f t="shared" si="19"/>
        <v>0</v>
      </c>
      <c r="CW17" s="10" t="e">
        <f t="shared" ref="CW17:CZ48" si="61">COUNTIFS($CD17:$CI17,CW$15,$CD$15:$CI$15,$CW$14)/COUNTIFS($CD$15:$CI$15,$CW$14)</f>
        <v>#DIV/0!</v>
      </c>
      <c r="CX17" s="10" t="e">
        <f t="shared" si="20"/>
        <v>#DIV/0!</v>
      </c>
      <c r="CY17" s="10" t="e">
        <f t="shared" si="20"/>
        <v>#DIV/0!</v>
      </c>
      <c r="CZ17" s="10" t="e">
        <f t="shared" si="20"/>
        <v>#DIV/0!</v>
      </c>
    </row>
    <row r="18" spans="4:104" x14ac:dyDescent="0.15">
      <c r="D18" s="10">
        <v>3</v>
      </c>
      <c r="E18" s="10" t="e">
        <f t="shared" si="21"/>
        <v>#VALUE!</v>
      </c>
      <c r="F18" s="10" t="e">
        <f t="shared" si="1"/>
        <v>#VALUE!</v>
      </c>
      <c r="G18" s="10" t="e">
        <f t="shared" si="2"/>
        <v>#VALUE!</v>
      </c>
      <c r="H18" s="10" t="e">
        <f t="shared" si="22"/>
        <v>#VALUE!</v>
      </c>
      <c r="I18" s="10" t="e">
        <f t="shared" si="3"/>
        <v>#VALUE!</v>
      </c>
      <c r="J18" s="10" t="e">
        <f t="shared" si="23"/>
        <v>#VALUE!</v>
      </c>
      <c r="K18" s="10" t="e">
        <f t="shared" si="4"/>
        <v>#VALUE!</v>
      </c>
      <c r="L18" s="10" t="e">
        <f t="shared" si="5"/>
        <v>#VALUE!</v>
      </c>
      <c r="M18" s="10" t="e">
        <f t="shared" si="24"/>
        <v>#VALUE!</v>
      </c>
      <c r="O18" s="10" t="e">
        <f t="shared" si="25"/>
        <v>#VALUE!</v>
      </c>
      <c r="P18" s="10" t="e">
        <f t="shared" si="6"/>
        <v>#VALUE!</v>
      </c>
      <c r="Q18" s="10" t="e">
        <f t="shared" si="7"/>
        <v>#VALUE!</v>
      </c>
      <c r="R18" s="10" t="e">
        <f t="shared" si="26"/>
        <v>#VALUE!</v>
      </c>
      <c r="S18" s="10" t="e">
        <f t="shared" si="27"/>
        <v>#VALUE!</v>
      </c>
      <c r="T18" s="10" t="e">
        <f t="shared" ref="T18:T81" si="62">MAX(T17-((AL17+AM17+AQ17+AR17)*IF(BS17=3,1,0)+(AV17+AW17+BA17+BB17)*IF(BT17=3,1,0)+(BF17+BG17+BK17+BL17)*IF(BU17=3,1,0))*IF(O17=0,1,W17)/$D$9,0)</f>
        <v>#VALUE!</v>
      </c>
      <c r="U18" s="10" t="e">
        <f t="shared" ref="U18:U81" si="63">IF(T18=0,0,ROUNDUP(T18,0)*$E$9)</f>
        <v>#VALUE!</v>
      </c>
      <c r="V18" s="10" t="e">
        <f t="shared" si="8"/>
        <v>#VALUE!</v>
      </c>
      <c r="W18" s="10" t="e">
        <f t="shared" si="28"/>
        <v>#VALUE!</v>
      </c>
      <c r="Y18" s="10" t="e">
        <f t="shared" si="29"/>
        <v>#VALUE!</v>
      </c>
      <c r="Z18" s="11" t="e">
        <f t="shared" si="30"/>
        <v>#VALUE!</v>
      </c>
      <c r="AA18" s="10" t="e">
        <f t="shared" si="9"/>
        <v>#VALUE!</v>
      </c>
      <c r="AB18" s="10" t="e">
        <f t="shared" si="31"/>
        <v>#VALUE!</v>
      </c>
      <c r="AC18" s="10" t="e">
        <f t="shared" si="32"/>
        <v>#VALUE!</v>
      </c>
      <c r="AD18" s="10" t="e">
        <f t="shared" ref="AD18:AD81" si="64">MAX(AD17-((AL17+AM17+AQ17+AR17)*IF(BS17=5,1,0)+(AV17+AW17+BA17+BB17)*IF(BT17=5,1,0)+(BF17+BG17+BK17+BL17)*IF(BU17=5,1,0))*IF(Y17=0,1,AG17)/$D$12,0)</f>
        <v>#VALUE!</v>
      </c>
      <c r="AE18" s="10" t="e">
        <f t="shared" ref="AE18:AE81" si="65">IF(AD18=0,0,ROUNDUP(AD18,0)*$E$12)</f>
        <v>#VALUE!</v>
      </c>
      <c r="AF18" s="10" t="e">
        <f t="shared" si="10"/>
        <v>#VALUE!</v>
      </c>
      <c r="AG18" s="10" t="e">
        <f t="shared" si="33"/>
        <v>#VALUE!</v>
      </c>
      <c r="AI18" s="13"/>
      <c r="AK18" s="10" t="e">
        <f t="shared" si="34"/>
        <v>#VALUE!</v>
      </c>
      <c r="AL18" s="10" t="e">
        <f t="shared" ref="AL18:AL81" si="66">IF(AK18=0,0,AK18*$K$5)</f>
        <v>#VALUE!</v>
      </c>
      <c r="AM18" s="10" t="e">
        <f t="shared" si="11"/>
        <v>#VALUE!</v>
      </c>
      <c r="AN18" s="10" t="e">
        <f t="shared" si="35"/>
        <v>#VALUE!</v>
      </c>
      <c r="AO18" s="10" t="e">
        <f t="shared" si="36"/>
        <v>#VALUE!</v>
      </c>
      <c r="AP18" s="10" t="e">
        <f t="shared" si="37"/>
        <v>#VALUE!</v>
      </c>
      <c r="AQ18" s="10" t="e">
        <f t="shared" ref="AQ18:AQ81" si="67">IF(AP18=0,0,ROUNDUP(AP18,0)*$K$6)</f>
        <v>#VALUE!</v>
      </c>
      <c r="AR18" s="10" t="e">
        <f t="shared" si="12"/>
        <v>#VALUE!</v>
      </c>
      <c r="AS18" s="10" t="e">
        <f t="shared" ref="AS18:AS81" si="68">IF(AP18=0,0,1-AO18)</f>
        <v>#VALUE!</v>
      </c>
      <c r="AU18" s="10" t="e">
        <f t="shared" si="38"/>
        <v>#VALUE!</v>
      </c>
      <c r="AV18" s="10" t="e">
        <f t="shared" ref="AV18:AV81" si="69">IF(AU18=0,0,AU18*$K$8)</f>
        <v>#VALUE!</v>
      </c>
      <c r="AW18" s="10" t="e">
        <f t="shared" si="13"/>
        <v>#VALUE!</v>
      </c>
      <c r="AX18" s="10" t="e">
        <f t="shared" si="39"/>
        <v>#VALUE!</v>
      </c>
      <c r="AY18" s="10" t="e">
        <f t="shared" si="40"/>
        <v>#VALUE!</v>
      </c>
      <c r="AZ18" s="10" t="e">
        <f t="shared" si="41"/>
        <v>#VALUE!</v>
      </c>
      <c r="BA18" s="10" t="e">
        <f t="shared" ref="BA18:BA81" si="70">IF(AZ18=0,0,ROUNDUP(AZ18,0)*$K$9)</f>
        <v>#VALUE!</v>
      </c>
      <c r="BB18" s="10" t="e">
        <f t="shared" si="14"/>
        <v>#VALUE!</v>
      </c>
      <c r="BC18" s="10" t="e">
        <f t="shared" ref="BC18:BC81" si="71">IF(AZ18=0,0,1-AY18)</f>
        <v>#VALUE!</v>
      </c>
      <c r="BE18" s="10" t="e">
        <f t="shared" si="42"/>
        <v>#VALUE!</v>
      </c>
      <c r="BF18" s="10" t="e">
        <f t="shared" ref="BF18:BF81" si="72">IF(BE18=0,0,BE18*$K$11)</f>
        <v>#VALUE!</v>
      </c>
      <c r="BG18" s="10" t="e">
        <f t="shared" si="15"/>
        <v>#VALUE!</v>
      </c>
      <c r="BH18" s="10" t="e">
        <f t="shared" si="43"/>
        <v>#VALUE!</v>
      </c>
      <c r="BI18" s="10" t="e">
        <f t="shared" si="44"/>
        <v>#VALUE!</v>
      </c>
      <c r="BJ18" s="10" t="e">
        <f t="shared" si="45"/>
        <v>#VALUE!</v>
      </c>
      <c r="BK18" s="10" t="e">
        <f t="shared" ref="BK18:BK81" si="73">IF(BJ18=0,0,ROUNDUP(BJ18,0)*$K$12)</f>
        <v>#VALUE!</v>
      </c>
      <c r="BL18" s="10" t="e">
        <f t="shared" si="16"/>
        <v>#VALUE!</v>
      </c>
      <c r="BM18" s="10" t="e">
        <f t="shared" ref="BM18:BM81" si="74">IF(BJ18=0,0,1-BI18)</f>
        <v>#VALUE!</v>
      </c>
      <c r="BP18" s="10" t="e">
        <f t="shared" si="46"/>
        <v>#VALUE!</v>
      </c>
      <c r="BQ18" s="10" t="e">
        <f t="shared" si="47"/>
        <v>#VALUE!</v>
      </c>
      <c r="BR18" s="10" t="e">
        <f t="shared" si="48"/>
        <v>#VALUE!</v>
      </c>
      <c r="BS18" s="10" t="e">
        <f t="shared" si="49"/>
        <v>#VALUE!</v>
      </c>
      <c r="BT18" s="10" t="e">
        <f t="shared" si="50"/>
        <v>#VALUE!</v>
      </c>
      <c r="BU18" s="10" t="e">
        <f t="shared" si="51"/>
        <v>#VALUE!</v>
      </c>
      <c r="BW18" s="10" t="e">
        <f t="shared" si="52"/>
        <v>#VALUE!</v>
      </c>
      <c r="BX18" s="10" t="e">
        <f t="shared" si="53"/>
        <v>#VALUE!</v>
      </c>
      <c r="BY18" s="10" t="e">
        <f t="shared" si="54"/>
        <v>#VALUE!</v>
      </c>
      <c r="BZ18" s="10" t="e">
        <f t="shared" si="55"/>
        <v>#VALUE!</v>
      </c>
      <c r="CA18" s="10" t="e">
        <f t="shared" si="56"/>
        <v>#VALUE!</v>
      </c>
      <c r="CB18" s="10" t="e">
        <f t="shared" si="57"/>
        <v>#VALUE!</v>
      </c>
      <c r="CD18" s="10" t="e">
        <f>MATCH(INDEX($BP$12:$BU$12,1,MATCH(BP18,$BP$15:$BU$15,0)),结果汇总!$AI$10:$AI$13,0)</f>
        <v>#VALUE!</v>
      </c>
      <c r="CE18" s="10" t="e">
        <f>MATCH(INDEX($BP$12:$BU$12,1,MATCH(BQ18,$BP$15:$BU$15,0)),结果汇总!$AI$10:$AI$13,0)</f>
        <v>#VALUE!</v>
      </c>
      <c r="CF18" s="10" t="e">
        <f>MATCH(INDEX($BP$12:$BU$12,1,MATCH(BR18,$BP$15:$BU$15,0)),结果汇总!$AI$10:$AI$13,0)</f>
        <v>#VALUE!</v>
      </c>
      <c r="CG18" s="10" t="e">
        <f>MATCH(INDEX($BP$12:$BU$12,1,MATCH(BS18,$BP$15:$BU$15,0)),结果汇总!$AI$10:$AI$13,0)</f>
        <v>#VALUE!</v>
      </c>
      <c r="CH18" s="10" t="e">
        <f>MATCH(INDEX($BP$12:$BU$12,1,MATCH(BT18,$BP$15:$BU$15,0)),结果汇总!$AI$10:$AI$13,0)</f>
        <v>#VALUE!</v>
      </c>
      <c r="CI18" s="10" t="e">
        <f>MATCH(INDEX($BP$12:$BU$12,1,MATCH(BU18,$BP$15:$BU$15,0)),结果汇总!$AI$10:$AI$13,0)</f>
        <v>#VALUE!</v>
      </c>
      <c r="CK18" s="10">
        <f t="shared" si="58"/>
        <v>0</v>
      </c>
      <c r="CL18" s="10">
        <f t="shared" si="17"/>
        <v>0</v>
      </c>
      <c r="CM18" s="10">
        <f t="shared" si="17"/>
        <v>0</v>
      </c>
      <c r="CN18" s="10">
        <f t="shared" si="17"/>
        <v>0</v>
      </c>
      <c r="CO18" s="10" t="e">
        <f t="shared" si="59"/>
        <v>#DIV/0!</v>
      </c>
      <c r="CP18" s="10" t="e">
        <f t="shared" si="18"/>
        <v>#DIV/0!</v>
      </c>
      <c r="CQ18" s="10" t="e">
        <f t="shared" si="18"/>
        <v>#DIV/0!</v>
      </c>
      <c r="CR18" s="10" t="e">
        <f t="shared" si="18"/>
        <v>#DIV/0!</v>
      </c>
      <c r="CS18" s="10">
        <f t="shared" si="60"/>
        <v>0</v>
      </c>
      <c r="CT18" s="10">
        <f t="shared" si="19"/>
        <v>0</v>
      </c>
      <c r="CU18" s="10">
        <f t="shared" si="19"/>
        <v>0</v>
      </c>
      <c r="CV18" s="10">
        <f t="shared" si="19"/>
        <v>0</v>
      </c>
      <c r="CW18" s="10" t="e">
        <f t="shared" si="61"/>
        <v>#DIV/0!</v>
      </c>
      <c r="CX18" s="10" t="e">
        <f t="shared" si="20"/>
        <v>#DIV/0!</v>
      </c>
      <c r="CY18" s="10" t="e">
        <f t="shared" si="20"/>
        <v>#DIV/0!</v>
      </c>
      <c r="CZ18" s="10" t="e">
        <f t="shared" si="20"/>
        <v>#DIV/0!</v>
      </c>
    </row>
    <row r="19" spans="4:104" x14ac:dyDescent="0.15">
      <c r="D19" s="10">
        <v>4</v>
      </c>
      <c r="E19" s="10" t="e">
        <f t="shared" si="21"/>
        <v>#VALUE!</v>
      </c>
      <c r="F19" s="10" t="e">
        <f t="shared" si="1"/>
        <v>#VALUE!</v>
      </c>
      <c r="G19" s="10" t="e">
        <f t="shared" si="2"/>
        <v>#VALUE!</v>
      </c>
      <c r="H19" s="10" t="e">
        <f t="shared" si="22"/>
        <v>#VALUE!</v>
      </c>
      <c r="I19" s="10" t="e">
        <f t="shared" si="3"/>
        <v>#VALUE!</v>
      </c>
      <c r="J19" s="10" t="e">
        <f t="shared" si="23"/>
        <v>#VALUE!</v>
      </c>
      <c r="K19" s="10" t="e">
        <f t="shared" si="4"/>
        <v>#VALUE!</v>
      </c>
      <c r="L19" s="10" t="e">
        <f t="shared" si="5"/>
        <v>#VALUE!</v>
      </c>
      <c r="M19" s="10" t="e">
        <f t="shared" si="24"/>
        <v>#VALUE!</v>
      </c>
      <c r="O19" s="10" t="e">
        <f t="shared" si="25"/>
        <v>#VALUE!</v>
      </c>
      <c r="P19" s="10" t="e">
        <f t="shared" si="6"/>
        <v>#VALUE!</v>
      </c>
      <c r="Q19" s="10" t="e">
        <f t="shared" si="7"/>
        <v>#VALUE!</v>
      </c>
      <c r="R19" s="10" t="e">
        <f t="shared" si="26"/>
        <v>#VALUE!</v>
      </c>
      <c r="S19" s="10" t="e">
        <f t="shared" si="27"/>
        <v>#VALUE!</v>
      </c>
      <c r="T19" s="10" t="e">
        <f t="shared" si="62"/>
        <v>#VALUE!</v>
      </c>
      <c r="U19" s="10" t="e">
        <f t="shared" si="63"/>
        <v>#VALUE!</v>
      </c>
      <c r="V19" s="10" t="e">
        <f t="shared" si="8"/>
        <v>#VALUE!</v>
      </c>
      <c r="W19" s="10" t="e">
        <f t="shared" si="28"/>
        <v>#VALUE!</v>
      </c>
      <c r="Y19" s="10" t="e">
        <f t="shared" si="29"/>
        <v>#VALUE!</v>
      </c>
      <c r="Z19" s="11" t="e">
        <f t="shared" si="30"/>
        <v>#VALUE!</v>
      </c>
      <c r="AA19" s="10" t="e">
        <f t="shared" si="9"/>
        <v>#VALUE!</v>
      </c>
      <c r="AB19" s="10" t="e">
        <f t="shared" si="31"/>
        <v>#VALUE!</v>
      </c>
      <c r="AC19" s="10" t="e">
        <f t="shared" si="32"/>
        <v>#VALUE!</v>
      </c>
      <c r="AD19" s="10" t="e">
        <f t="shared" si="64"/>
        <v>#VALUE!</v>
      </c>
      <c r="AE19" s="10" t="e">
        <f t="shared" si="65"/>
        <v>#VALUE!</v>
      </c>
      <c r="AF19" s="10" t="e">
        <f t="shared" si="10"/>
        <v>#VALUE!</v>
      </c>
      <c r="AG19" s="10" t="e">
        <f t="shared" si="33"/>
        <v>#VALUE!</v>
      </c>
      <c r="AI19" s="13"/>
      <c r="AK19" s="10" t="e">
        <f t="shared" si="34"/>
        <v>#VALUE!</v>
      </c>
      <c r="AL19" s="10" t="e">
        <f t="shared" si="66"/>
        <v>#VALUE!</v>
      </c>
      <c r="AM19" s="10" t="e">
        <f t="shared" si="11"/>
        <v>#VALUE!</v>
      </c>
      <c r="AN19" s="10" t="e">
        <f t="shared" si="35"/>
        <v>#VALUE!</v>
      </c>
      <c r="AO19" s="10" t="e">
        <f t="shared" si="36"/>
        <v>#VALUE!</v>
      </c>
      <c r="AP19" s="10" t="e">
        <f t="shared" si="37"/>
        <v>#VALUE!</v>
      </c>
      <c r="AQ19" s="10" t="e">
        <f t="shared" si="67"/>
        <v>#VALUE!</v>
      </c>
      <c r="AR19" s="10" t="e">
        <f t="shared" si="12"/>
        <v>#VALUE!</v>
      </c>
      <c r="AS19" s="10" t="e">
        <f t="shared" si="68"/>
        <v>#VALUE!</v>
      </c>
      <c r="AU19" s="10" t="e">
        <f t="shared" si="38"/>
        <v>#VALUE!</v>
      </c>
      <c r="AV19" s="10" t="e">
        <f t="shared" si="69"/>
        <v>#VALUE!</v>
      </c>
      <c r="AW19" s="10" t="e">
        <f t="shared" si="13"/>
        <v>#VALUE!</v>
      </c>
      <c r="AX19" s="10" t="e">
        <f t="shared" si="39"/>
        <v>#VALUE!</v>
      </c>
      <c r="AY19" s="10" t="e">
        <f t="shared" si="40"/>
        <v>#VALUE!</v>
      </c>
      <c r="AZ19" s="10" t="e">
        <f t="shared" si="41"/>
        <v>#VALUE!</v>
      </c>
      <c r="BA19" s="10" t="e">
        <f t="shared" si="70"/>
        <v>#VALUE!</v>
      </c>
      <c r="BB19" s="10" t="e">
        <f t="shared" si="14"/>
        <v>#VALUE!</v>
      </c>
      <c r="BC19" s="10" t="e">
        <f t="shared" si="71"/>
        <v>#VALUE!</v>
      </c>
      <c r="BE19" s="10" t="e">
        <f t="shared" si="42"/>
        <v>#VALUE!</v>
      </c>
      <c r="BF19" s="10" t="e">
        <f t="shared" si="72"/>
        <v>#VALUE!</v>
      </c>
      <c r="BG19" s="10" t="e">
        <f t="shared" si="15"/>
        <v>#VALUE!</v>
      </c>
      <c r="BH19" s="10" t="e">
        <f t="shared" si="43"/>
        <v>#VALUE!</v>
      </c>
      <c r="BI19" s="10" t="e">
        <f t="shared" si="44"/>
        <v>#VALUE!</v>
      </c>
      <c r="BJ19" s="10" t="e">
        <f t="shared" si="45"/>
        <v>#VALUE!</v>
      </c>
      <c r="BK19" s="10" t="e">
        <f t="shared" si="73"/>
        <v>#VALUE!</v>
      </c>
      <c r="BL19" s="10" t="e">
        <f t="shared" si="16"/>
        <v>#VALUE!</v>
      </c>
      <c r="BM19" s="10" t="e">
        <f t="shared" si="74"/>
        <v>#VALUE!</v>
      </c>
      <c r="BP19" s="10" t="e">
        <f t="shared" si="46"/>
        <v>#VALUE!</v>
      </c>
      <c r="BQ19" s="10" t="e">
        <f t="shared" si="47"/>
        <v>#VALUE!</v>
      </c>
      <c r="BR19" s="10" t="e">
        <f t="shared" si="48"/>
        <v>#VALUE!</v>
      </c>
      <c r="BS19" s="10" t="e">
        <f t="shared" si="49"/>
        <v>#VALUE!</v>
      </c>
      <c r="BT19" s="10" t="e">
        <f t="shared" si="50"/>
        <v>#VALUE!</v>
      </c>
      <c r="BU19" s="10" t="e">
        <f t="shared" si="51"/>
        <v>#VALUE!</v>
      </c>
      <c r="BW19" s="10" t="e">
        <f t="shared" si="52"/>
        <v>#VALUE!</v>
      </c>
      <c r="BX19" s="10" t="e">
        <f t="shared" si="53"/>
        <v>#VALUE!</v>
      </c>
      <c r="BY19" s="10" t="e">
        <f t="shared" si="54"/>
        <v>#VALUE!</v>
      </c>
      <c r="BZ19" s="10" t="e">
        <f t="shared" si="55"/>
        <v>#VALUE!</v>
      </c>
      <c r="CA19" s="10" t="e">
        <f t="shared" si="56"/>
        <v>#VALUE!</v>
      </c>
      <c r="CB19" s="10" t="e">
        <f t="shared" si="57"/>
        <v>#VALUE!</v>
      </c>
      <c r="CD19" s="10" t="e">
        <f>MATCH(INDEX($BP$12:$BU$12,1,MATCH(BP19,$BP$15:$BU$15,0)),结果汇总!$AI$10:$AI$13,0)</f>
        <v>#VALUE!</v>
      </c>
      <c r="CE19" s="10" t="e">
        <f>MATCH(INDEX($BP$12:$BU$12,1,MATCH(BQ19,$BP$15:$BU$15,0)),结果汇总!$AI$10:$AI$13,0)</f>
        <v>#VALUE!</v>
      </c>
      <c r="CF19" s="10" t="e">
        <f>MATCH(INDEX($BP$12:$BU$12,1,MATCH(BR19,$BP$15:$BU$15,0)),结果汇总!$AI$10:$AI$13,0)</f>
        <v>#VALUE!</v>
      </c>
      <c r="CG19" s="10" t="e">
        <f>MATCH(INDEX($BP$12:$BU$12,1,MATCH(BS19,$BP$15:$BU$15,0)),结果汇总!$AI$10:$AI$13,0)</f>
        <v>#VALUE!</v>
      </c>
      <c r="CH19" s="10" t="e">
        <f>MATCH(INDEX($BP$12:$BU$12,1,MATCH(BT19,$BP$15:$BU$15,0)),结果汇总!$AI$10:$AI$13,0)</f>
        <v>#VALUE!</v>
      </c>
      <c r="CI19" s="10" t="e">
        <f>MATCH(INDEX($BP$12:$BU$12,1,MATCH(BU19,$BP$15:$BU$15,0)),结果汇总!$AI$10:$AI$13,0)</f>
        <v>#VALUE!</v>
      </c>
      <c r="CK19" s="10">
        <f t="shared" si="58"/>
        <v>0</v>
      </c>
      <c r="CL19" s="10">
        <f t="shared" si="17"/>
        <v>0</v>
      </c>
      <c r="CM19" s="10">
        <f t="shared" si="17"/>
        <v>0</v>
      </c>
      <c r="CN19" s="10">
        <f t="shared" si="17"/>
        <v>0</v>
      </c>
      <c r="CO19" s="10" t="e">
        <f t="shared" si="59"/>
        <v>#DIV/0!</v>
      </c>
      <c r="CP19" s="10" t="e">
        <f t="shared" si="18"/>
        <v>#DIV/0!</v>
      </c>
      <c r="CQ19" s="10" t="e">
        <f t="shared" si="18"/>
        <v>#DIV/0!</v>
      </c>
      <c r="CR19" s="10" t="e">
        <f t="shared" si="18"/>
        <v>#DIV/0!</v>
      </c>
      <c r="CS19" s="10">
        <f t="shared" si="60"/>
        <v>0</v>
      </c>
      <c r="CT19" s="10">
        <f t="shared" si="19"/>
        <v>0</v>
      </c>
      <c r="CU19" s="10">
        <f t="shared" si="19"/>
        <v>0</v>
      </c>
      <c r="CV19" s="10">
        <f t="shared" si="19"/>
        <v>0</v>
      </c>
      <c r="CW19" s="10" t="e">
        <f t="shared" si="61"/>
        <v>#DIV/0!</v>
      </c>
      <c r="CX19" s="10" t="e">
        <f t="shared" si="20"/>
        <v>#DIV/0!</v>
      </c>
      <c r="CY19" s="10" t="e">
        <f t="shared" si="20"/>
        <v>#DIV/0!</v>
      </c>
      <c r="CZ19" s="10" t="e">
        <f t="shared" si="20"/>
        <v>#DIV/0!</v>
      </c>
    </row>
    <row r="20" spans="4:104" x14ac:dyDescent="0.15">
      <c r="D20" s="10">
        <v>5</v>
      </c>
      <c r="E20" s="10" t="e">
        <f t="shared" si="21"/>
        <v>#VALUE!</v>
      </c>
      <c r="F20" s="10" t="e">
        <f t="shared" si="1"/>
        <v>#VALUE!</v>
      </c>
      <c r="G20" s="10" t="e">
        <f t="shared" si="2"/>
        <v>#VALUE!</v>
      </c>
      <c r="H20" s="10" t="e">
        <f t="shared" si="22"/>
        <v>#VALUE!</v>
      </c>
      <c r="I20" s="10" t="e">
        <f t="shared" si="3"/>
        <v>#VALUE!</v>
      </c>
      <c r="J20" s="10" t="e">
        <f t="shared" si="23"/>
        <v>#VALUE!</v>
      </c>
      <c r="K20" s="10" t="e">
        <f t="shared" si="4"/>
        <v>#VALUE!</v>
      </c>
      <c r="L20" s="10" t="e">
        <f t="shared" si="5"/>
        <v>#VALUE!</v>
      </c>
      <c r="M20" s="10" t="e">
        <f t="shared" si="24"/>
        <v>#VALUE!</v>
      </c>
      <c r="O20" s="10" t="e">
        <f t="shared" si="25"/>
        <v>#VALUE!</v>
      </c>
      <c r="P20" s="10" t="e">
        <f t="shared" si="6"/>
        <v>#VALUE!</v>
      </c>
      <c r="Q20" s="10" t="e">
        <f t="shared" si="7"/>
        <v>#VALUE!</v>
      </c>
      <c r="R20" s="10" t="e">
        <f t="shared" si="26"/>
        <v>#VALUE!</v>
      </c>
      <c r="S20" s="10" t="e">
        <f t="shared" si="27"/>
        <v>#VALUE!</v>
      </c>
      <c r="T20" s="10" t="e">
        <f t="shared" si="62"/>
        <v>#VALUE!</v>
      </c>
      <c r="U20" s="10" t="e">
        <f t="shared" si="63"/>
        <v>#VALUE!</v>
      </c>
      <c r="V20" s="10" t="e">
        <f t="shared" si="8"/>
        <v>#VALUE!</v>
      </c>
      <c r="W20" s="10" t="e">
        <f t="shared" si="28"/>
        <v>#VALUE!</v>
      </c>
      <c r="Y20" s="10" t="e">
        <f t="shared" si="29"/>
        <v>#VALUE!</v>
      </c>
      <c r="Z20" s="11" t="e">
        <f t="shared" si="30"/>
        <v>#VALUE!</v>
      </c>
      <c r="AA20" s="10" t="e">
        <f t="shared" si="9"/>
        <v>#VALUE!</v>
      </c>
      <c r="AB20" s="10" t="e">
        <f t="shared" si="31"/>
        <v>#VALUE!</v>
      </c>
      <c r="AC20" s="10" t="e">
        <f t="shared" si="32"/>
        <v>#VALUE!</v>
      </c>
      <c r="AD20" s="10" t="e">
        <f t="shared" si="64"/>
        <v>#VALUE!</v>
      </c>
      <c r="AE20" s="10" t="e">
        <f t="shared" si="65"/>
        <v>#VALUE!</v>
      </c>
      <c r="AF20" s="10" t="e">
        <f t="shared" si="10"/>
        <v>#VALUE!</v>
      </c>
      <c r="AG20" s="10" t="e">
        <f t="shared" si="33"/>
        <v>#VALUE!</v>
      </c>
      <c r="AI20" s="13"/>
      <c r="AK20" s="10" t="e">
        <f t="shared" si="34"/>
        <v>#VALUE!</v>
      </c>
      <c r="AL20" s="10" t="e">
        <f t="shared" si="66"/>
        <v>#VALUE!</v>
      </c>
      <c r="AM20" s="10" t="e">
        <f t="shared" si="11"/>
        <v>#VALUE!</v>
      </c>
      <c r="AN20" s="10" t="e">
        <f t="shared" si="35"/>
        <v>#VALUE!</v>
      </c>
      <c r="AO20" s="10" t="e">
        <f t="shared" si="36"/>
        <v>#VALUE!</v>
      </c>
      <c r="AP20" s="10" t="e">
        <f t="shared" si="37"/>
        <v>#VALUE!</v>
      </c>
      <c r="AQ20" s="10" t="e">
        <f t="shared" si="67"/>
        <v>#VALUE!</v>
      </c>
      <c r="AR20" s="10" t="e">
        <f t="shared" si="12"/>
        <v>#VALUE!</v>
      </c>
      <c r="AS20" s="10" t="e">
        <f t="shared" si="68"/>
        <v>#VALUE!</v>
      </c>
      <c r="AU20" s="10" t="e">
        <f t="shared" si="38"/>
        <v>#VALUE!</v>
      </c>
      <c r="AV20" s="10" t="e">
        <f t="shared" si="69"/>
        <v>#VALUE!</v>
      </c>
      <c r="AW20" s="10" t="e">
        <f t="shared" si="13"/>
        <v>#VALUE!</v>
      </c>
      <c r="AX20" s="10" t="e">
        <f t="shared" si="39"/>
        <v>#VALUE!</v>
      </c>
      <c r="AY20" s="10" t="e">
        <f t="shared" si="40"/>
        <v>#VALUE!</v>
      </c>
      <c r="AZ20" s="10" t="e">
        <f t="shared" si="41"/>
        <v>#VALUE!</v>
      </c>
      <c r="BA20" s="10" t="e">
        <f t="shared" si="70"/>
        <v>#VALUE!</v>
      </c>
      <c r="BB20" s="10" t="e">
        <f t="shared" si="14"/>
        <v>#VALUE!</v>
      </c>
      <c r="BC20" s="10" t="e">
        <f t="shared" si="71"/>
        <v>#VALUE!</v>
      </c>
      <c r="BE20" s="10" t="e">
        <f t="shared" si="42"/>
        <v>#VALUE!</v>
      </c>
      <c r="BF20" s="10" t="e">
        <f t="shared" si="72"/>
        <v>#VALUE!</v>
      </c>
      <c r="BG20" s="10" t="e">
        <f t="shared" si="15"/>
        <v>#VALUE!</v>
      </c>
      <c r="BH20" s="10" t="e">
        <f t="shared" si="43"/>
        <v>#VALUE!</v>
      </c>
      <c r="BI20" s="10" t="e">
        <f t="shared" si="44"/>
        <v>#VALUE!</v>
      </c>
      <c r="BJ20" s="10" t="e">
        <f t="shared" si="45"/>
        <v>#VALUE!</v>
      </c>
      <c r="BK20" s="10" t="e">
        <f t="shared" si="73"/>
        <v>#VALUE!</v>
      </c>
      <c r="BL20" s="10" t="e">
        <f t="shared" si="16"/>
        <v>#VALUE!</v>
      </c>
      <c r="BM20" s="10" t="e">
        <f t="shared" si="74"/>
        <v>#VALUE!</v>
      </c>
      <c r="BP20" s="10" t="e">
        <f t="shared" si="46"/>
        <v>#VALUE!</v>
      </c>
      <c r="BQ20" s="10" t="e">
        <f t="shared" si="47"/>
        <v>#VALUE!</v>
      </c>
      <c r="BR20" s="10" t="e">
        <f t="shared" si="48"/>
        <v>#VALUE!</v>
      </c>
      <c r="BS20" s="10" t="e">
        <f t="shared" si="49"/>
        <v>#VALUE!</v>
      </c>
      <c r="BT20" s="10" t="e">
        <f t="shared" si="50"/>
        <v>#VALUE!</v>
      </c>
      <c r="BU20" s="10" t="e">
        <f t="shared" si="51"/>
        <v>#VALUE!</v>
      </c>
      <c r="BW20" s="10" t="e">
        <f t="shared" si="52"/>
        <v>#VALUE!</v>
      </c>
      <c r="BX20" s="10" t="e">
        <f t="shared" si="53"/>
        <v>#VALUE!</v>
      </c>
      <c r="BY20" s="10" t="e">
        <f t="shared" si="54"/>
        <v>#VALUE!</v>
      </c>
      <c r="BZ20" s="10" t="e">
        <f t="shared" si="55"/>
        <v>#VALUE!</v>
      </c>
      <c r="CA20" s="10" t="e">
        <f t="shared" si="56"/>
        <v>#VALUE!</v>
      </c>
      <c r="CB20" s="10" t="e">
        <f t="shared" si="57"/>
        <v>#VALUE!</v>
      </c>
      <c r="CD20" s="10" t="e">
        <f>MATCH(INDEX($BP$12:$BU$12,1,MATCH(BP20,$BP$15:$BU$15,0)),结果汇总!$AI$10:$AI$13,0)</f>
        <v>#VALUE!</v>
      </c>
      <c r="CE20" s="10" t="e">
        <f>MATCH(INDEX($BP$12:$BU$12,1,MATCH(BQ20,$BP$15:$BU$15,0)),结果汇总!$AI$10:$AI$13,0)</f>
        <v>#VALUE!</v>
      </c>
      <c r="CF20" s="10" t="e">
        <f>MATCH(INDEX($BP$12:$BU$12,1,MATCH(BR20,$BP$15:$BU$15,0)),结果汇总!$AI$10:$AI$13,0)</f>
        <v>#VALUE!</v>
      </c>
      <c r="CG20" s="10" t="e">
        <f>MATCH(INDEX($BP$12:$BU$12,1,MATCH(BS20,$BP$15:$BU$15,0)),结果汇总!$AI$10:$AI$13,0)</f>
        <v>#VALUE!</v>
      </c>
      <c r="CH20" s="10" t="e">
        <f>MATCH(INDEX($BP$12:$BU$12,1,MATCH(BT20,$BP$15:$BU$15,0)),结果汇总!$AI$10:$AI$13,0)</f>
        <v>#VALUE!</v>
      </c>
      <c r="CI20" s="10" t="e">
        <f>MATCH(INDEX($BP$12:$BU$12,1,MATCH(BU20,$BP$15:$BU$15,0)),结果汇总!$AI$10:$AI$13,0)</f>
        <v>#VALUE!</v>
      </c>
      <c r="CK20" s="10">
        <f t="shared" si="58"/>
        <v>0</v>
      </c>
      <c r="CL20" s="10">
        <f t="shared" si="17"/>
        <v>0</v>
      </c>
      <c r="CM20" s="10">
        <f t="shared" si="17"/>
        <v>0</v>
      </c>
      <c r="CN20" s="10">
        <f t="shared" si="17"/>
        <v>0</v>
      </c>
      <c r="CO20" s="10" t="e">
        <f t="shared" si="59"/>
        <v>#DIV/0!</v>
      </c>
      <c r="CP20" s="10" t="e">
        <f t="shared" si="18"/>
        <v>#DIV/0!</v>
      </c>
      <c r="CQ20" s="10" t="e">
        <f t="shared" si="18"/>
        <v>#DIV/0!</v>
      </c>
      <c r="CR20" s="10" t="e">
        <f t="shared" si="18"/>
        <v>#DIV/0!</v>
      </c>
      <c r="CS20" s="10">
        <f t="shared" si="60"/>
        <v>0</v>
      </c>
      <c r="CT20" s="10">
        <f t="shared" si="19"/>
        <v>0</v>
      </c>
      <c r="CU20" s="10">
        <f t="shared" si="19"/>
        <v>0</v>
      </c>
      <c r="CV20" s="10">
        <f t="shared" si="19"/>
        <v>0</v>
      </c>
      <c r="CW20" s="10" t="e">
        <f t="shared" si="61"/>
        <v>#DIV/0!</v>
      </c>
      <c r="CX20" s="10" t="e">
        <f t="shared" si="20"/>
        <v>#DIV/0!</v>
      </c>
      <c r="CY20" s="10" t="e">
        <f t="shared" si="20"/>
        <v>#DIV/0!</v>
      </c>
      <c r="CZ20" s="10" t="e">
        <f t="shared" si="20"/>
        <v>#DIV/0!</v>
      </c>
    </row>
    <row r="21" spans="4:104" x14ac:dyDescent="0.15">
      <c r="D21" s="10">
        <v>6</v>
      </c>
      <c r="E21" s="10" t="e">
        <f t="shared" si="21"/>
        <v>#VALUE!</v>
      </c>
      <c r="F21" s="10" t="e">
        <f t="shared" si="1"/>
        <v>#VALUE!</v>
      </c>
      <c r="G21" s="10" t="e">
        <f t="shared" si="2"/>
        <v>#VALUE!</v>
      </c>
      <c r="H21" s="10" t="e">
        <f t="shared" si="22"/>
        <v>#VALUE!</v>
      </c>
      <c r="I21" s="10" t="e">
        <f t="shared" si="3"/>
        <v>#VALUE!</v>
      </c>
      <c r="J21" s="10" t="e">
        <f t="shared" si="23"/>
        <v>#VALUE!</v>
      </c>
      <c r="K21" s="10" t="e">
        <f t="shared" si="4"/>
        <v>#VALUE!</v>
      </c>
      <c r="L21" s="10" t="e">
        <f t="shared" si="5"/>
        <v>#VALUE!</v>
      </c>
      <c r="M21" s="10" t="e">
        <f t="shared" si="24"/>
        <v>#VALUE!</v>
      </c>
      <c r="O21" s="10" t="e">
        <f t="shared" si="25"/>
        <v>#VALUE!</v>
      </c>
      <c r="P21" s="10" t="e">
        <f t="shared" si="6"/>
        <v>#VALUE!</v>
      </c>
      <c r="Q21" s="10" t="e">
        <f t="shared" si="7"/>
        <v>#VALUE!</v>
      </c>
      <c r="R21" s="10" t="e">
        <f t="shared" si="26"/>
        <v>#VALUE!</v>
      </c>
      <c r="S21" s="10" t="e">
        <f t="shared" si="27"/>
        <v>#VALUE!</v>
      </c>
      <c r="T21" s="10" t="e">
        <f t="shared" si="62"/>
        <v>#VALUE!</v>
      </c>
      <c r="U21" s="10" t="e">
        <f t="shared" si="63"/>
        <v>#VALUE!</v>
      </c>
      <c r="V21" s="10" t="e">
        <f t="shared" si="8"/>
        <v>#VALUE!</v>
      </c>
      <c r="W21" s="10" t="e">
        <f t="shared" si="28"/>
        <v>#VALUE!</v>
      </c>
      <c r="Y21" s="10" t="e">
        <f t="shared" si="29"/>
        <v>#VALUE!</v>
      </c>
      <c r="Z21" s="11" t="e">
        <f t="shared" si="30"/>
        <v>#VALUE!</v>
      </c>
      <c r="AA21" s="10" t="e">
        <f t="shared" si="9"/>
        <v>#VALUE!</v>
      </c>
      <c r="AB21" s="10" t="e">
        <f t="shared" si="31"/>
        <v>#VALUE!</v>
      </c>
      <c r="AC21" s="10" t="e">
        <f t="shared" si="32"/>
        <v>#VALUE!</v>
      </c>
      <c r="AD21" s="10" t="e">
        <f t="shared" si="64"/>
        <v>#VALUE!</v>
      </c>
      <c r="AE21" s="10" t="e">
        <f t="shared" si="65"/>
        <v>#VALUE!</v>
      </c>
      <c r="AF21" s="10" t="e">
        <f t="shared" si="10"/>
        <v>#VALUE!</v>
      </c>
      <c r="AG21" s="10" t="e">
        <f t="shared" si="33"/>
        <v>#VALUE!</v>
      </c>
      <c r="AI21" s="13"/>
      <c r="AK21" s="10" t="e">
        <f t="shared" si="34"/>
        <v>#VALUE!</v>
      </c>
      <c r="AL21" s="10" t="e">
        <f t="shared" si="66"/>
        <v>#VALUE!</v>
      </c>
      <c r="AM21" s="10" t="e">
        <f t="shared" si="11"/>
        <v>#VALUE!</v>
      </c>
      <c r="AN21" s="10" t="e">
        <f t="shared" si="35"/>
        <v>#VALUE!</v>
      </c>
      <c r="AO21" s="10" t="e">
        <f t="shared" si="36"/>
        <v>#VALUE!</v>
      </c>
      <c r="AP21" s="10" t="e">
        <f t="shared" si="37"/>
        <v>#VALUE!</v>
      </c>
      <c r="AQ21" s="10" t="e">
        <f t="shared" si="67"/>
        <v>#VALUE!</v>
      </c>
      <c r="AR21" s="10" t="e">
        <f t="shared" si="12"/>
        <v>#VALUE!</v>
      </c>
      <c r="AS21" s="10" t="e">
        <f t="shared" si="68"/>
        <v>#VALUE!</v>
      </c>
      <c r="AU21" s="10" t="e">
        <f t="shared" si="38"/>
        <v>#VALUE!</v>
      </c>
      <c r="AV21" s="10" t="e">
        <f t="shared" si="69"/>
        <v>#VALUE!</v>
      </c>
      <c r="AW21" s="10" t="e">
        <f t="shared" si="13"/>
        <v>#VALUE!</v>
      </c>
      <c r="AX21" s="10" t="e">
        <f t="shared" si="39"/>
        <v>#VALUE!</v>
      </c>
      <c r="AY21" s="10" t="e">
        <f t="shared" si="40"/>
        <v>#VALUE!</v>
      </c>
      <c r="AZ21" s="10" t="e">
        <f t="shared" si="41"/>
        <v>#VALUE!</v>
      </c>
      <c r="BA21" s="10" t="e">
        <f t="shared" si="70"/>
        <v>#VALUE!</v>
      </c>
      <c r="BB21" s="10" t="e">
        <f t="shared" si="14"/>
        <v>#VALUE!</v>
      </c>
      <c r="BC21" s="10" t="e">
        <f t="shared" si="71"/>
        <v>#VALUE!</v>
      </c>
      <c r="BE21" s="10" t="e">
        <f t="shared" si="42"/>
        <v>#VALUE!</v>
      </c>
      <c r="BF21" s="10" t="e">
        <f t="shared" si="72"/>
        <v>#VALUE!</v>
      </c>
      <c r="BG21" s="10" t="e">
        <f t="shared" si="15"/>
        <v>#VALUE!</v>
      </c>
      <c r="BH21" s="10" t="e">
        <f t="shared" si="43"/>
        <v>#VALUE!</v>
      </c>
      <c r="BI21" s="10" t="e">
        <f t="shared" si="44"/>
        <v>#VALUE!</v>
      </c>
      <c r="BJ21" s="10" t="e">
        <f t="shared" si="45"/>
        <v>#VALUE!</v>
      </c>
      <c r="BK21" s="10" t="e">
        <f t="shared" si="73"/>
        <v>#VALUE!</v>
      </c>
      <c r="BL21" s="10" t="e">
        <f t="shared" si="16"/>
        <v>#VALUE!</v>
      </c>
      <c r="BM21" s="10" t="e">
        <f t="shared" si="74"/>
        <v>#VALUE!</v>
      </c>
      <c r="BP21" s="10" t="e">
        <f t="shared" si="46"/>
        <v>#VALUE!</v>
      </c>
      <c r="BQ21" s="10" t="e">
        <f t="shared" si="47"/>
        <v>#VALUE!</v>
      </c>
      <c r="BR21" s="10" t="e">
        <f t="shared" si="48"/>
        <v>#VALUE!</v>
      </c>
      <c r="BS21" s="10" t="e">
        <f t="shared" si="49"/>
        <v>#VALUE!</v>
      </c>
      <c r="BT21" s="10" t="e">
        <f t="shared" si="50"/>
        <v>#VALUE!</v>
      </c>
      <c r="BU21" s="10" t="e">
        <f t="shared" si="51"/>
        <v>#VALUE!</v>
      </c>
      <c r="BW21" s="10" t="e">
        <f t="shared" si="52"/>
        <v>#VALUE!</v>
      </c>
      <c r="BX21" s="10" t="e">
        <f t="shared" si="53"/>
        <v>#VALUE!</v>
      </c>
      <c r="BY21" s="10" t="e">
        <f t="shared" si="54"/>
        <v>#VALUE!</v>
      </c>
      <c r="BZ21" s="10" t="e">
        <f t="shared" si="55"/>
        <v>#VALUE!</v>
      </c>
      <c r="CA21" s="10" t="e">
        <f t="shared" si="56"/>
        <v>#VALUE!</v>
      </c>
      <c r="CB21" s="10" t="e">
        <f t="shared" si="57"/>
        <v>#VALUE!</v>
      </c>
      <c r="CD21" s="10" t="e">
        <f>MATCH(INDEX($BP$12:$BU$12,1,MATCH(BP21,$BP$15:$BU$15,0)),结果汇总!$AI$10:$AI$13,0)</f>
        <v>#VALUE!</v>
      </c>
      <c r="CE21" s="10" t="e">
        <f>MATCH(INDEX($BP$12:$BU$12,1,MATCH(BQ21,$BP$15:$BU$15,0)),结果汇总!$AI$10:$AI$13,0)</f>
        <v>#VALUE!</v>
      </c>
      <c r="CF21" s="10" t="e">
        <f>MATCH(INDEX($BP$12:$BU$12,1,MATCH(BR21,$BP$15:$BU$15,0)),结果汇总!$AI$10:$AI$13,0)</f>
        <v>#VALUE!</v>
      </c>
      <c r="CG21" s="10" t="e">
        <f>MATCH(INDEX($BP$12:$BU$12,1,MATCH(BS21,$BP$15:$BU$15,0)),结果汇总!$AI$10:$AI$13,0)</f>
        <v>#VALUE!</v>
      </c>
      <c r="CH21" s="10" t="e">
        <f>MATCH(INDEX($BP$12:$BU$12,1,MATCH(BT21,$BP$15:$BU$15,0)),结果汇总!$AI$10:$AI$13,0)</f>
        <v>#VALUE!</v>
      </c>
      <c r="CI21" s="10" t="e">
        <f>MATCH(INDEX($BP$12:$BU$12,1,MATCH(BU21,$BP$15:$BU$15,0)),结果汇总!$AI$10:$AI$13,0)</f>
        <v>#VALUE!</v>
      </c>
      <c r="CK21" s="10">
        <f t="shared" si="58"/>
        <v>0</v>
      </c>
      <c r="CL21" s="10">
        <f t="shared" si="17"/>
        <v>0</v>
      </c>
      <c r="CM21" s="10">
        <f t="shared" si="17"/>
        <v>0</v>
      </c>
      <c r="CN21" s="10">
        <f t="shared" si="17"/>
        <v>0</v>
      </c>
      <c r="CO21" s="10" t="e">
        <f t="shared" si="59"/>
        <v>#DIV/0!</v>
      </c>
      <c r="CP21" s="10" t="e">
        <f t="shared" si="18"/>
        <v>#DIV/0!</v>
      </c>
      <c r="CQ21" s="10" t="e">
        <f t="shared" si="18"/>
        <v>#DIV/0!</v>
      </c>
      <c r="CR21" s="10" t="e">
        <f t="shared" si="18"/>
        <v>#DIV/0!</v>
      </c>
      <c r="CS21" s="10">
        <f t="shared" si="60"/>
        <v>0</v>
      </c>
      <c r="CT21" s="10">
        <f t="shared" si="19"/>
        <v>0</v>
      </c>
      <c r="CU21" s="10">
        <f t="shared" si="19"/>
        <v>0</v>
      </c>
      <c r="CV21" s="10">
        <f t="shared" si="19"/>
        <v>0</v>
      </c>
      <c r="CW21" s="10" t="e">
        <f t="shared" si="61"/>
        <v>#DIV/0!</v>
      </c>
      <c r="CX21" s="10" t="e">
        <f t="shared" si="20"/>
        <v>#DIV/0!</v>
      </c>
      <c r="CY21" s="10" t="e">
        <f t="shared" si="20"/>
        <v>#DIV/0!</v>
      </c>
      <c r="CZ21" s="10" t="e">
        <f t="shared" si="20"/>
        <v>#DIV/0!</v>
      </c>
    </row>
    <row r="22" spans="4:104" x14ac:dyDescent="0.15">
      <c r="D22" s="10">
        <v>7</v>
      </c>
      <c r="E22" s="10" t="e">
        <f t="shared" si="21"/>
        <v>#VALUE!</v>
      </c>
      <c r="F22" s="10" t="e">
        <f t="shared" si="1"/>
        <v>#VALUE!</v>
      </c>
      <c r="G22" s="10" t="e">
        <f t="shared" si="2"/>
        <v>#VALUE!</v>
      </c>
      <c r="H22" s="10" t="e">
        <f t="shared" si="22"/>
        <v>#VALUE!</v>
      </c>
      <c r="I22" s="10" t="e">
        <f t="shared" si="3"/>
        <v>#VALUE!</v>
      </c>
      <c r="J22" s="10" t="e">
        <f t="shared" si="23"/>
        <v>#VALUE!</v>
      </c>
      <c r="K22" s="10" t="e">
        <f t="shared" si="4"/>
        <v>#VALUE!</v>
      </c>
      <c r="L22" s="10" t="e">
        <f t="shared" si="5"/>
        <v>#VALUE!</v>
      </c>
      <c r="M22" s="10" t="e">
        <f t="shared" si="24"/>
        <v>#VALUE!</v>
      </c>
      <c r="O22" s="10" t="e">
        <f t="shared" si="25"/>
        <v>#VALUE!</v>
      </c>
      <c r="P22" s="10" t="e">
        <f t="shared" si="6"/>
        <v>#VALUE!</v>
      </c>
      <c r="Q22" s="10" t="e">
        <f t="shared" si="7"/>
        <v>#VALUE!</v>
      </c>
      <c r="R22" s="10" t="e">
        <f t="shared" si="26"/>
        <v>#VALUE!</v>
      </c>
      <c r="S22" s="10" t="e">
        <f t="shared" si="27"/>
        <v>#VALUE!</v>
      </c>
      <c r="T22" s="10" t="e">
        <f t="shared" si="62"/>
        <v>#VALUE!</v>
      </c>
      <c r="U22" s="10" t="e">
        <f t="shared" si="63"/>
        <v>#VALUE!</v>
      </c>
      <c r="V22" s="10" t="e">
        <f t="shared" si="8"/>
        <v>#VALUE!</v>
      </c>
      <c r="W22" s="10" t="e">
        <f t="shared" si="28"/>
        <v>#VALUE!</v>
      </c>
      <c r="Y22" s="10" t="e">
        <f t="shared" si="29"/>
        <v>#VALUE!</v>
      </c>
      <c r="Z22" s="11" t="e">
        <f t="shared" si="30"/>
        <v>#VALUE!</v>
      </c>
      <c r="AA22" s="10" t="e">
        <f t="shared" si="9"/>
        <v>#VALUE!</v>
      </c>
      <c r="AB22" s="10" t="e">
        <f t="shared" si="31"/>
        <v>#VALUE!</v>
      </c>
      <c r="AC22" s="10" t="e">
        <f t="shared" si="32"/>
        <v>#VALUE!</v>
      </c>
      <c r="AD22" s="10" t="e">
        <f t="shared" si="64"/>
        <v>#VALUE!</v>
      </c>
      <c r="AE22" s="10" t="e">
        <f t="shared" si="65"/>
        <v>#VALUE!</v>
      </c>
      <c r="AF22" s="10" t="e">
        <f t="shared" si="10"/>
        <v>#VALUE!</v>
      </c>
      <c r="AG22" s="10" t="e">
        <f t="shared" si="33"/>
        <v>#VALUE!</v>
      </c>
      <c r="AI22" s="13"/>
      <c r="AK22" s="10" t="e">
        <f t="shared" si="34"/>
        <v>#VALUE!</v>
      </c>
      <c r="AL22" s="10" t="e">
        <f t="shared" si="66"/>
        <v>#VALUE!</v>
      </c>
      <c r="AM22" s="10" t="e">
        <f t="shared" si="11"/>
        <v>#VALUE!</v>
      </c>
      <c r="AN22" s="10" t="e">
        <f t="shared" si="35"/>
        <v>#VALUE!</v>
      </c>
      <c r="AO22" s="10" t="e">
        <f t="shared" si="36"/>
        <v>#VALUE!</v>
      </c>
      <c r="AP22" s="10" t="e">
        <f t="shared" si="37"/>
        <v>#VALUE!</v>
      </c>
      <c r="AQ22" s="10" t="e">
        <f t="shared" si="67"/>
        <v>#VALUE!</v>
      </c>
      <c r="AR22" s="10" t="e">
        <f t="shared" si="12"/>
        <v>#VALUE!</v>
      </c>
      <c r="AS22" s="10" t="e">
        <f t="shared" si="68"/>
        <v>#VALUE!</v>
      </c>
      <c r="AU22" s="10" t="e">
        <f t="shared" si="38"/>
        <v>#VALUE!</v>
      </c>
      <c r="AV22" s="10" t="e">
        <f t="shared" si="69"/>
        <v>#VALUE!</v>
      </c>
      <c r="AW22" s="10" t="e">
        <f t="shared" si="13"/>
        <v>#VALUE!</v>
      </c>
      <c r="AX22" s="10" t="e">
        <f t="shared" si="39"/>
        <v>#VALUE!</v>
      </c>
      <c r="AY22" s="10" t="e">
        <f t="shared" si="40"/>
        <v>#VALUE!</v>
      </c>
      <c r="AZ22" s="10" t="e">
        <f t="shared" si="41"/>
        <v>#VALUE!</v>
      </c>
      <c r="BA22" s="10" t="e">
        <f t="shared" si="70"/>
        <v>#VALUE!</v>
      </c>
      <c r="BB22" s="10" t="e">
        <f t="shared" si="14"/>
        <v>#VALUE!</v>
      </c>
      <c r="BC22" s="10" t="e">
        <f t="shared" si="71"/>
        <v>#VALUE!</v>
      </c>
      <c r="BE22" s="10" t="e">
        <f t="shared" si="42"/>
        <v>#VALUE!</v>
      </c>
      <c r="BF22" s="10" t="e">
        <f t="shared" si="72"/>
        <v>#VALUE!</v>
      </c>
      <c r="BG22" s="10" t="e">
        <f t="shared" si="15"/>
        <v>#VALUE!</v>
      </c>
      <c r="BH22" s="10" t="e">
        <f t="shared" si="43"/>
        <v>#VALUE!</v>
      </c>
      <c r="BI22" s="10" t="e">
        <f t="shared" si="44"/>
        <v>#VALUE!</v>
      </c>
      <c r="BJ22" s="10" t="e">
        <f t="shared" si="45"/>
        <v>#VALUE!</v>
      </c>
      <c r="BK22" s="10" t="e">
        <f t="shared" si="73"/>
        <v>#VALUE!</v>
      </c>
      <c r="BL22" s="10" t="e">
        <f t="shared" si="16"/>
        <v>#VALUE!</v>
      </c>
      <c r="BM22" s="10" t="e">
        <f t="shared" si="74"/>
        <v>#VALUE!</v>
      </c>
      <c r="BP22" s="10" t="e">
        <f t="shared" si="46"/>
        <v>#VALUE!</v>
      </c>
      <c r="BQ22" s="10" t="e">
        <f t="shared" si="47"/>
        <v>#VALUE!</v>
      </c>
      <c r="BR22" s="10" t="e">
        <f t="shared" si="48"/>
        <v>#VALUE!</v>
      </c>
      <c r="BS22" s="10" t="e">
        <f t="shared" si="49"/>
        <v>#VALUE!</v>
      </c>
      <c r="BT22" s="10" t="e">
        <f t="shared" si="50"/>
        <v>#VALUE!</v>
      </c>
      <c r="BU22" s="10" t="e">
        <f t="shared" si="51"/>
        <v>#VALUE!</v>
      </c>
      <c r="BW22" s="10" t="e">
        <f t="shared" si="52"/>
        <v>#VALUE!</v>
      </c>
      <c r="BX22" s="10" t="e">
        <f t="shared" si="53"/>
        <v>#VALUE!</v>
      </c>
      <c r="BY22" s="10" t="e">
        <f t="shared" si="54"/>
        <v>#VALUE!</v>
      </c>
      <c r="BZ22" s="10" t="e">
        <f t="shared" si="55"/>
        <v>#VALUE!</v>
      </c>
      <c r="CA22" s="10" t="e">
        <f t="shared" si="56"/>
        <v>#VALUE!</v>
      </c>
      <c r="CB22" s="10" t="e">
        <f t="shared" si="57"/>
        <v>#VALUE!</v>
      </c>
      <c r="CD22" s="10" t="e">
        <f>MATCH(INDEX($BP$12:$BU$12,1,MATCH(BP22,$BP$15:$BU$15,0)),结果汇总!$AI$10:$AI$13,0)</f>
        <v>#VALUE!</v>
      </c>
      <c r="CE22" s="10" t="e">
        <f>MATCH(INDEX($BP$12:$BU$12,1,MATCH(BQ22,$BP$15:$BU$15,0)),结果汇总!$AI$10:$AI$13,0)</f>
        <v>#VALUE!</v>
      </c>
      <c r="CF22" s="10" t="e">
        <f>MATCH(INDEX($BP$12:$BU$12,1,MATCH(BR22,$BP$15:$BU$15,0)),结果汇总!$AI$10:$AI$13,0)</f>
        <v>#VALUE!</v>
      </c>
      <c r="CG22" s="10" t="e">
        <f>MATCH(INDEX($BP$12:$BU$12,1,MATCH(BS22,$BP$15:$BU$15,0)),结果汇总!$AI$10:$AI$13,0)</f>
        <v>#VALUE!</v>
      </c>
      <c r="CH22" s="10" t="e">
        <f>MATCH(INDEX($BP$12:$BU$12,1,MATCH(BT22,$BP$15:$BU$15,0)),结果汇总!$AI$10:$AI$13,0)</f>
        <v>#VALUE!</v>
      </c>
      <c r="CI22" s="10" t="e">
        <f>MATCH(INDEX($BP$12:$BU$12,1,MATCH(BU22,$BP$15:$BU$15,0)),结果汇总!$AI$10:$AI$13,0)</f>
        <v>#VALUE!</v>
      </c>
      <c r="CK22" s="10">
        <f t="shared" si="58"/>
        <v>0</v>
      </c>
      <c r="CL22" s="10">
        <f t="shared" si="17"/>
        <v>0</v>
      </c>
      <c r="CM22" s="10">
        <f t="shared" si="17"/>
        <v>0</v>
      </c>
      <c r="CN22" s="10">
        <f t="shared" si="17"/>
        <v>0</v>
      </c>
      <c r="CO22" s="10" t="e">
        <f t="shared" si="59"/>
        <v>#DIV/0!</v>
      </c>
      <c r="CP22" s="10" t="e">
        <f t="shared" si="18"/>
        <v>#DIV/0!</v>
      </c>
      <c r="CQ22" s="10" t="e">
        <f t="shared" si="18"/>
        <v>#DIV/0!</v>
      </c>
      <c r="CR22" s="10" t="e">
        <f t="shared" si="18"/>
        <v>#DIV/0!</v>
      </c>
      <c r="CS22" s="10">
        <f t="shared" si="60"/>
        <v>0</v>
      </c>
      <c r="CT22" s="10">
        <f t="shared" si="19"/>
        <v>0</v>
      </c>
      <c r="CU22" s="10">
        <f t="shared" si="19"/>
        <v>0</v>
      </c>
      <c r="CV22" s="10">
        <f t="shared" si="19"/>
        <v>0</v>
      </c>
      <c r="CW22" s="10" t="e">
        <f t="shared" si="61"/>
        <v>#DIV/0!</v>
      </c>
      <c r="CX22" s="10" t="e">
        <f t="shared" si="20"/>
        <v>#DIV/0!</v>
      </c>
      <c r="CY22" s="10" t="e">
        <f t="shared" si="20"/>
        <v>#DIV/0!</v>
      </c>
      <c r="CZ22" s="10" t="e">
        <f t="shared" si="20"/>
        <v>#DIV/0!</v>
      </c>
    </row>
    <row r="23" spans="4:104" x14ac:dyDescent="0.15">
      <c r="D23" s="10">
        <v>8</v>
      </c>
      <c r="E23" s="10" t="e">
        <f t="shared" si="21"/>
        <v>#VALUE!</v>
      </c>
      <c r="F23" s="10" t="e">
        <f t="shared" si="1"/>
        <v>#VALUE!</v>
      </c>
      <c r="G23" s="10" t="e">
        <f t="shared" si="2"/>
        <v>#VALUE!</v>
      </c>
      <c r="H23" s="10" t="e">
        <f t="shared" si="22"/>
        <v>#VALUE!</v>
      </c>
      <c r="I23" s="10" t="e">
        <f t="shared" si="3"/>
        <v>#VALUE!</v>
      </c>
      <c r="J23" s="10" t="e">
        <f t="shared" si="23"/>
        <v>#VALUE!</v>
      </c>
      <c r="K23" s="10" t="e">
        <f t="shared" si="4"/>
        <v>#VALUE!</v>
      </c>
      <c r="L23" s="10" t="e">
        <f t="shared" si="5"/>
        <v>#VALUE!</v>
      </c>
      <c r="M23" s="10" t="e">
        <f t="shared" si="24"/>
        <v>#VALUE!</v>
      </c>
      <c r="O23" s="10" t="e">
        <f t="shared" si="25"/>
        <v>#VALUE!</v>
      </c>
      <c r="P23" s="10" t="e">
        <f t="shared" si="6"/>
        <v>#VALUE!</v>
      </c>
      <c r="Q23" s="10" t="e">
        <f t="shared" si="7"/>
        <v>#VALUE!</v>
      </c>
      <c r="R23" s="10" t="e">
        <f t="shared" si="26"/>
        <v>#VALUE!</v>
      </c>
      <c r="S23" s="10" t="e">
        <f t="shared" si="27"/>
        <v>#VALUE!</v>
      </c>
      <c r="T23" s="10" t="e">
        <f t="shared" si="62"/>
        <v>#VALUE!</v>
      </c>
      <c r="U23" s="10" t="e">
        <f t="shared" si="63"/>
        <v>#VALUE!</v>
      </c>
      <c r="V23" s="10" t="e">
        <f t="shared" si="8"/>
        <v>#VALUE!</v>
      </c>
      <c r="W23" s="10" t="e">
        <f t="shared" si="28"/>
        <v>#VALUE!</v>
      </c>
      <c r="Y23" s="10" t="e">
        <f t="shared" si="29"/>
        <v>#VALUE!</v>
      </c>
      <c r="Z23" s="11" t="e">
        <f t="shared" si="30"/>
        <v>#VALUE!</v>
      </c>
      <c r="AA23" s="10" t="e">
        <f t="shared" si="9"/>
        <v>#VALUE!</v>
      </c>
      <c r="AB23" s="10" t="e">
        <f t="shared" si="31"/>
        <v>#VALUE!</v>
      </c>
      <c r="AC23" s="10" t="e">
        <f t="shared" si="32"/>
        <v>#VALUE!</v>
      </c>
      <c r="AD23" s="10" t="e">
        <f t="shared" si="64"/>
        <v>#VALUE!</v>
      </c>
      <c r="AE23" s="10" t="e">
        <f t="shared" si="65"/>
        <v>#VALUE!</v>
      </c>
      <c r="AF23" s="10" t="e">
        <f t="shared" si="10"/>
        <v>#VALUE!</v>
      </c>
      <c r="AG23" s="10" t="e">
        <f t="shared" si="33"/>
        <v>#VALUE!</v>
      </c>
      <c r="AI23" s="13"/>
      <c r="AK23" s="10" t="e">
        <f t="shared" si="34"/>
        <v>#VALUE!</v>
      </c>
      <c r="AL23" s="10" t="e">
        <f t="shared" si="66"/>
        <v>#VALUE!</v>
      </c>
      <c r="AM23" s="10" t="e">
        <f t="shared" si="11"/>
        <v>#VALUE!</v>
      </c>
      <c r="AN23" s="10" t="e">
        <f t="shared" si="35"/>
        <v>#VALUE!</v>
      </c>
      <c r="AO23" s="10" t="e">
        <f t="shared" si="36"/>
        <v>#VALUE!</v>
      </c>
      <c r="AP23" s="10" t="e">
        <f t="shared" si="37"/>
        <v>#VALUE!</v>
      </c>
      <c r="AQ23" s="10" t="e">
        <f t="shared" si="67"/>
        <v>#VALUE!</v>
      </c>
      <c r="AR23" s="10" t="e">
        <f t="shared" si="12"/>
        <v>#VALUE!</v>
      </c>
      <c r="AS23" s="10" t="e">
        <f t="shared" si="68"/>
        <v>#VALUE!</v>
      </c>
      <c r="AU23" s="10" t="e">
        <f t="shared" si="38"/>
        <v>#VALUE!</v>
      </c>
      <c r="AV23" s="10" t="e">
        <f t="shared" si="69"/>
        <v>#VALUE!</v>
      </c>
      <c r="AW23" s="10" t="e">
        <f t="shared" si="13"/>
        <v>#VALUE!</v>
      </c>
      <c r="AX23" s="10" t="e">
        <f t="shared" si="39"/>
        <v>#VALUE!</v>
      </c>
      <c r="AY23" s="10" t="e">
        <f t="shared" si="40"/>
        <v>#VALUE!</v>
      </c>
      <c r="AZ23" s="10" t="e">
        <f t="shared" si="41"/>
        <v>#VALUE!</v>
      </c>
      <c r="BA23" s="10" t="e">
        <f t="shared" si="70"/>
        <v>#VALUE!</v>
      </c>
      <c r="BB23" s="10" t="e">
        <f t="shared" si="14"/>
        <v>#VALUE!</v>
      </c>
      <c r="BC23" s="10" t="e">
        <f t="shared" si="71"/>
        <v>#VALUE!</v>
      </c>
      <c r="BE23" s="10" t="e">
        <f t="shared" si="42"/>
        <v>#VALUE!</v>
      </c>
      <c r="BF23" s="10" t="e">
        <f t="shared" si="72"/>
        <v>#VALUE!</v>
      </c>
      <c r="BG23" s="10" t="e">
        <f t="shared" si="15"/>
        <v>#VALUE!</v>
      </c>
      <c r="BH23" s="10" t="e">
        <f t="shared" si="43"/>
        <v>#VALUE!</v>
      </c>
      <c r="BI23" s="10" t="e">
        <f t="shared" si="44"/>
        <v>#VALUE!</v>
      </c>
      <c r="BJ23" s="10" t="e">
        <f t="shared" si="45"/>
        <v>#VALUE!</v>
      </c>
      <c r="BK23" s="10" t="e">
        <f t="shared" si="73"/>
        <v>#VALUE!</v>
      </c>
      <c r="BL23" s="10" t="e">
        <f t="shared" si="16"/>
        <v>#VALUE!</v>
      </c>
      <c r="BM23" s="10" t="e">
        <f t="shared" si="74"/>
        <v>#VALUE!</v>
      </c>
      <c r="BP23" s="10" t="e">
        <f t="shared" si="46"/>
        <v>#VALUE!</v>
      </c>
      <c r="BQ23" s="10" t="e">
        <f t="shared" si="47"/>
        <v>#VALUE!</v>
      </c>
      <c r="BR23" s="10" t="e">
        <f t="shared" si="48"/>
        <v>#VALUE!</v>
      </c>
      <c r="BS23" s="10" t="e">
        <f t="shared" si="49"/>
        <v>#VALUE!</v>
      </c>
      <c r="BT23" s="10" t="e">
        <f t="shared" si="50"/>
        <v>#VALUE!</v>
      </c>
      <c r="BU23" s="10" t="e">
        <f t="shared" si="51"/>
        <v>#VALUE!</v>
      </c>
      <c r="BW23" s="10" t="e">
        <f t="shared" si="52"/>
        <v>#VALUE!</v>
      </c>
      <c r="BX23" s="10" t="e">
        <f t="shared" si="53"/>
        <v>#VALUE!</v>
      </c>
      <c r="BY23" s="10" t="e">
        <f t="shared" si="54"/>
        <v>#VALUE!</v>
      </c>
      <c r="BZ23" s="10" t="e">
        <f t="shared" si="55"/>
        <v>#VALUE!</v>
      </c>
      <c r="CA23" s="10" t="e">
        <f t="shared" si="56"/>
        <v>#VALUE!</v>
      </c>
      <c r="CB23" s="10" t="e">
        <f t="shared" si="57"/>
        <v>#VALUE!</v>
      </c>
      <c r="CD23" s="10" t="e">
        <f>MATCH(INDEX($BP$12:$BU$12,1,MATCH(BP23,$BP$15:$BU$15,0)),结果汇总!$AI$10:$AI$13,0)</f>
        <v>#VALUE!</v>
      </c>
      <c r="CE23" s="10" t="e">
        <f>MATCH(INDEX($BP$12:$BU$12,1,MATCH(BQ23,$BP$15:$BU$15,0)),结果汇总!$AI$10:$AI$13,0)</f>
        <v>#VALUE!</v>
      </c>
      <c r="CF23" s="10" t="e">
        <f>MATCH(INDEX($BP$12:$BU$12,1,MATCH(BR23,$BP$15:$BU$15,0)),结果汇总!$AI$10:$AI$13,0)</f>
        <v>#VALUE!</v>
      </c>
      <c r="CG23" s="10" t="e">
        <f>MATCH(INDEX($BP$12:$BU$12,1,MATCH(BS23,$BP$15:$BU$15,0)),结果汇总!$AI$10:$AI$13,0)</f>
        <v>#VALUE!</v>
      </c>
      <c r="CH23" s="10" t="e">
        <f>MATCH(INDEX($BP$12:$BU$12,1,MATCH(BT23,$BP$15:$BU$15,0)),结果汇总!$AI$10:$AI$13,0)</f>
        <v>#VALUE!</v>
      </c>
      <c r="CI23" s="10" t="e">
        <f>MATCH(INDEX($BP$12:$BU$12,1,MATCH(BU23,$BP$15:$BU$15,0)),结果汇总!$AI$10:$AI$13,0)</f>
        <v>#VALUE!</v>
      </c>
      <c r="CK23" s="10">
        <f t="shared" si="58"/>
        <v>0</v>
      </c>
      <c r="CL23" s="10">
        <f t="shared" si="17"/>
        <v>0</v>
      </c>
      <c r="CM23" s="10">
        <f t="shared" si="17"/>
        <v>0</v>
      </c>
      <c r="CN23" s="10">
        <f t="shared" si="17"/>
        <v>0</v>
      </c>
      <c r="CO23" s="10" t="e">
        <f t="shared" si="59"/>
        <v>#DIV/0!</v>
      </c>
      <c r="CP23" s="10" t="e">
        <f t="shared" si="18"/>
        <v>#DIV/0!</v>
      </c>
      <c r="CQ23" s="10" t="e">
        <f t="shared" si="18"/>
        <v>#DIV/0!</v>
      </c>
      <c r="CR23" s="10" t="e">
        <f t="shared" si="18"/>
        <v>#DIV/0!</v>
      </c>
      <c r="CS23" s="10">
        <f t="shared" si="60"/>
        <v>0</v>
      </c>
      <c r="CT23" s="10">
        <f t="shared" si="19"/>
        <v>0</v>
      </c>
      <c r="CU23" s="10">
        <f t="shared" si="19"/>
        <v>0</v>
      </c>
      <c r="CV23" s="10">
        <f t="shared" si="19"/>
        <v>0</v>
      </c>
      <c r="CW23" s="10" t="e">
        <f t="shared" si="61"/>
        <v>#DIV/0!</v>
      </c>
      <c r="CX23" s="10" t="e">
        <f t="shared" si="20"/>
        <v>#DIV/0!</v>
      </c>
      <c r="CY23" s="10" t="e">
        <f t="shared" si="20"/>
        <v>#DIV/0!</v>
      </c>
      <c r="CZ23" s="10" t="e">
        <f t="shared" si="20"/>
        <v>#DIV/0!</v>
      </c>
    </row>
    <row r="24" spans="4:104" x14ac:dyDescent="0.15">
      <c r="D24" s="10">
        <v>9</v>
      </c>
      <c r="E24" s="10" t="e">
        <f t="shared" si="21"/>
        <v>#VALUE!</v>
      </c>
      <c r="F24" s="10" t="e">
        <f t="shared" si="1"/>
        <v>#VALUE!</v>
      </c>
      <c r="G24" s="10" t="e">
        <f t="shared" si="2"/>
        <v>#VALUE!</v>
      </c>
      <c r="H24" s="10" t="e">
        <f t="shared" si="22"/>
        <v>#VALUE!</v>
      </c>
      <c r="I24" s="10" t="e">
        <f t="shared" si="3"/>
        <v>#VALUE!</v>
      </c>
      <c r="J24" s="10" t="e">
        <f t="shared" si="23"/>
        <v>#VALUE!</v>
      </c>
      <c r="K24" s="10" t="e">
        <f t="shared" si="4"/>
        <v>#VALUE!</v>
      </c>
      <c r="L24" s="10" t="e">
        <f t="shared" si="5"/>
        <v>#VALUE!</v>
      </c>
      <c r="M24" s="10" t="e">
        <f t="shared" si="24"/>
        <v>#VALUE!</v>
      </c>
      <c r="O24" s="10" t="e">
        <f t="shared" si="25"/>
        <v>#VALUE!</v>
      </c>
      <c r="P24" s="10" t="e">
        <f t="shared" si="6"/>
        <v>#VALUE!</v>
      </c>
      <c r="Q24" s="10" t="e">
        <f t="shared" si="7"/>
        <v>#VALUE!</v>
      </c>
      <c r="R24" s="10" t="e">
        <f t="shared" si="26"/>
        <v>#VALUE!</v>
      </c>
      <c r="S24" s="10" t="e">
        <f t="shared" si="27"/>
        <v>#VALUE!</v>
      </c>
      <c r="T24" s="10" t="e">
        <f t="shared" si="62"/>
        <v>#VALUE!</v>
      </c>
      <c r="U24" s="10" t="e">
        <f t="shared" si="63"/>
        <v>#VALUE!</v>
      </c>
      <c r="V24" s="10" t="e">
        <f t="shared" si="8"/>
        <v>#VALUE!</v>
      </c>
      <c r="W24" s="10" t="e">
        <f t="shared" si="28"/>
        <v>#VALUE!</v>
      </c>
      <c r="Y24" s="10" t="e">
        <f t="shared" si="29"/>
        <v>#VALUE!</v>
      </c>
      <c r="Z24" s="11" t="e">
        <f t="shared" si="30"/>
        <v>#VALUE!</v>
      </c>
      <c r="AA24" s="10" t="e">
        <f t="shared" si="9"/>
        <v>#VALUE!</v>
      </c>
      <c r="AB24" s="10" t="e">
        <f t="shared" si="31"/>
        <v>#VALUE!</v>
      </c>
      <c r="AC24" s="10" t="e">
        <f t="shared" si="32"/>
        <v>#VALUE!</v>
      </c>
      <c r="AD24" s="10" t="e">
        <f t="shared" si="64"/>
        <v>#VALUE!</v>
      </c>
      <c r="AE24" s="10" t="e">
        <f t="shared" si="65"/>
        <v>#VALUE!</v>
      </c>
      <c r="AF24" s="10" t="e">
        <f t="shared" si="10"/>
        <v>#VALUE!</v>
      </c>
      <c r="AG24" s="10" t="e">
        <f t="shared" si="33"/>
        <v>#VALUE!</v>
      </c>
      <c r="AI24" s="13"/>
      <c r="AK24" s="10" t="e">
        <f t="shared" si="34"/>
        <v>#VALUE!</v>
      </c>
      <c r="AL24" s="10" t="e">
        <f t="shared" si="66"/>
        <v>#VALUE!</v>
      </c>
      <c r="AM24" s="10" t="e">
        <f t="shared" si="11"/>
        <v>#VALUE!</v>
      </c>
      <c r="AN24" s="10" t="e">
        <f t="shared" si="35"/>
        <v>#VALUE!</v>
      </c>
      <c r="AO24" s="10" t="e">
        <f t="shared" si="36"/>
        <v>#VALUE!</v>
      </c>
      <c r="AP24" s="10" t="e">
        <f t="shared" si="37"/>
        <v>#VALUE!</v>
      </c>
      <c r="AQ24" s="10" t="e">
        <f t="shared" si="67"/>
        <v>#VALUE!</v>
      </c>
      <c r="AR24" s="10" t="e">
        <f t="shared" si="12"/>
        <v>#VALUE!</v>
      </c>
      <c r="AS24" s="10" t="e">
        <f t="shared" si="68"/>
        <v>#VALUE!</v>
      </c>
      <c r="AU24" s="10" t="e">
        <f t="shared" si="38"/>
        <v>#VALUE!</v>
      </c>
      <c r="AV24" s="10" t="e">
        <f t="shared" si="69"/>
        <v>#VALUE!</v>
      </c>
      <c r="AW24" s="10" t="e">
        <f t="shared" si="13"/>
        <v>#VALUE!</v>
      </c>
      <c r="AX24" s="10" t="e">
        <f t="shared" si="39"/>
        <v>#VALUE!</v>
      </c>
      <c r="AY24" s="10" t="e">
        <f t="shared" si="40"/>
        <v>#VALUE!</v>
      </c>
      <c r="AZ24" s="10" t="e">
        <f t="shared" si="41"/>
        <v>#VALUE!</v>
      </c>
      <c r="BA24" s="10" t="e">
        <f t="shared" si="70"/>
        <v>#VALUE!</v>
      </c>
      <c r="BB24" s="10" t="e">
        <f t="shared" si="14"/>
        <v>#VALUE!</v>
      </c>
      <c r="BC24" s="10" t="e">
        <f t="shared" si="71"/>
        <v>#VALUE!</v>
      </c>
      <c r="BE24" s="10" t="e">
        <f t="shared" si="42"/>
        <v>#VALUE!</v>
      </c>
      <c r="BF24" s="10" t="e">
        <f t="shared" si="72"/>
        <v>#VALUE!</v>
      </c>
      <c r="BG24" s="10" t="e">
        <f t="shared" si="15"/>
        <v>#VALUE!</v>
      </c>
      <c r="BH24" s="10" t="e">
        <f t="shared" si="43"/>
        <v>#VALUE!</v>
      </c>
      <c r="BI24" s="10" t="e">
        <f t="shared" si="44"/>
        <v>#VALUE!</v>
      </c>
      <c r="BJ24" s="10" t="e">
        <f t="shared" si="45"/>
        <v>#VALUE!</v>
      </c>
      <c r="BK24" s="10" t="e">
        <f t="shared" si="73"/>
        <v>#VALUE!</v>
      </c>
      <c r="BL24" s="10" t="e">
        <f t="shared" si="16"/>
        <v>#VALUE!</v>
      </c>
      <c r="BM24" s="10" t="e">
        <f t="shared" si="74"/>
        <v>#VALUE!</v>
      </c>
      <c r="BP24" s="10" t="e">
        <f t="shared" si="46"/>
        <v>#VALUE!</v>
      </c>
      <c r="BQ24" s="10" t="e">
        <f t="shared" si="47"/>
        <v>#VALUE!</v>
      </c>
      <c r="BR24" s="10" t="e">
        <f t="shared" si="48"/>
        <v>#VALUE!</v>
      </c>
      <c r="BS24" s="10" t="e">
        <f t="shared" si="49"/>
        <v>#VALUE!</v>
      </c>
      <c r="BT24" s="10" t="e">
        <f t="shared" si="50"/>
        <v>#VALUE!</v>
      </c>
      <c r="BU24" s="10" t="e">
        <f t="shared" si="51"/>
        <v>#VALUE!</v>
      </c>
      <c r="BW24" s="10" t="e">
        <f t="shared" si="52"/>
        <v>#VALUE!</v>
      </c>
      <c r="BX24" s="10" t="e">
        <f t="shared" si="53"/>
        <v>#VALUE!</v>
      </c>
      <c r="BY24" s="10" t="e">
        <f t="shared" si="54"/>
        <v>#VALUE!</v>
      </c>
      <c r="BZ24" s="10" t="e">
        <f t="shared" si="55"/>
        <v>#VALUE!</v>
      </c>
      <c r="CA24" s="10" t="e">
        <f t="shared" si="56"/>
        <v>#VALUE!</v>
      </c>
      <c r="CB24" s="10" t="e">
        <f t="shared" si="57"/>
        <v>#VALUE!</v>
      </c>
      <c r="CD24" s="10" t="e">
        <f>MATCH(INDEX($BP$12:$BU$12,1,MATCH(BP24,$BP$15:$BU$15,0)),结果汇总!$AI$10:$AI$13,0)</f>
        <v>#VALUE!</v>
      </c>
      <c r="CE24" s="10" t="e">
        <f>MATCH(INDEX($BP$12:$BU$12,1,MATCH(BQ24,$BP$15:$BU$15,0)),结果汇总!$AI$10:$AI$13,0)</f>
        <v>#VALUE!</v>
      </c>
      <c r="CF24" s="10" t="e">
        <f>MATCH(INDEX($BP$12:$BU$12,1,MATCH(BR24,$BP$15:$BU$15,0)),结果汇总!$AI$10:$AI$13,0)</f>
        <v>#VALUE!</v>
      </c>
      <c r="CG24" s="10" t="e">
        <f>MATCH(INDEX($BP$12:$BU$12,1,MATCH(BS24,$BP$15:$BU$15,0)),结果汇总!$AI$10:$AI$13,0)</f>
        <v>#VALUE!</v>
      </c>
      <c r="CH24" s="10" t="e">
        <f>MATCH(INDEX($BP$12:$BU$12,1,MATCH(BT24,$BP$15:$BU$15,0)),结果汇总!$AI$10:$AI$13,0)</f>
        <v>#VALUE!</v>
      </c>
      <c r="CI24" s="10" t="e">
        <f>MATCH(INDEX($BP$12:$BU$12,1,MATCH(BU24,$BP$15:$BU$15,0)),结果汇总!$AI$10:$AI$13,0)</f>
        <v>#VALUE!</v>
      </c>
      <c r="CK24" s="10">
        <f t="shared" si="58"/>
        <v>0</v>
      </c>
      <c r="CL24" s="10">
        <f t="shared" si="17"/>
        <v>0</v>
      </c>
      <c r="CM24" s="10">
        <f t="shared" si="17"/>
        <v>0</v>
      </c>
      <c r="CN24" s="10">
        <f t="shared" si="17"/>
        <v>0</v>
      </c>
      <c r="CO24" s="10" t="e">
        <f t="shared" si="59"/>
        <v>#DIV/0!</v>
      </c>
      <c r="CP24" s="10" t="e">
        <f t="shared" si="18"/>
        <v>#DIV/0!</v>
      </c>
      <c r="CQ24" s="10" t="e">
        <f t="shared" si="18"/>
        <v>#DIV/0!</v>
      </c>
      <c r="CR24" s="10" t="e">
        <f t="shared" si="18"/>
        <v>#DIV/0!</v>
      </c>
      <c r="CS24" s="10">
        <f t="shared" si="60"/>
        <v>0</v>
      </c>
      <c r="CT24" s="10">
        <f t="shared" si="19"/>
        <v>0</v>
      </c>
      <c r="CU24" s="10">
        <f t="shared" si="19"/>
        <v>0</v>
      </c>
      <c r="CV24" s="10">
        <f t="shared" si="19"/>
        <v>0</v>
      </c>
      <c r="CW24" s="10" t="e">
        <f t="shared" si="61"/>
        <v>#DIV/0!</v>
      </c>
      <c r="CX24" s="10" t="e">
        <f t="shared" si="20"/>
        <v>#DIV/0!</v>
      </c>
      <c r="CY24" s="10" t="e">
        <f t="shared" si="20"/>
        <v>#DIV/0!</v>
      </c>
      <c r="CZ24" s="10" t="e">
        <f t="shared" si="20"/>
        <v>#DIV/0!</v>
      </c>
    </row>
    <row r="25" spans="4:104" x14ac:dyDescent="0.15">
      <c r="D25" s="10">
        <v>10</v>
      </c>
      <c r="E25" s="10" t="e">
        <f t="shared" si="21"/>
        <v>#VALUE!</v>
      </c>
      <c r="F25" s="10" t="e">
        <f t="shared" si="1"/>
        <v>#VALUE!</v>
      </c>
      <c r="G25" s="10" t="e">
        <f t="shared" si="2"/>
        <v>#VALUE!</v>
      </c>
      <c r="H25" s="10" t="e">
        <f t="shared" si="22"/>
        <v>#VALUE!</v>
      </c>
      <c r="I25" s="10" t="e">
        <f t="shared" si="3"/>
        <v>#VALUE!</v>
      </c>
      <c r="J25" s="10" t="e">
        <f t="shared" si="23"/>
        <v>#VALUE!</v>
      </c>
      <c r="K25" s="10" t="e">
        <f t="shared" si="4"/>
        <v>#VALUE!</v>
      </c>
      <c r="L25" s="10" t="e">
        <f t="shared" si="5"/>
        <v>#VALUE!</v>
      </c>
      <c r="M25" s="10" t="e">
        <f t="shared" si="24"/>
        <v>#VALUE!</v>
      </c>
      <c r="O25" s="10" t="e">
        <f t="shared" si="25"/>
        <v>#VALUE!</v>
      </c>
      <c r="P25" s="10" t="e">
        <f t="shared" si="6"/>
        <v>#VALUE!</v>
      </c>
      <c r="Q25" s="10" t="e">
        <f t="shared" si="7"/>
        <v>#VALUE!</v>
      </c>
      <c r="R25" s="10" t="e">
        <f t="shared" si="26"/>
        <v>#VALUE!</v>
      </c>
      <c r="S25" s="10" t="e">
        <f t="shared" si="27"/>
        <v>#VALUE!</v>
      </c>
      <c r="T25" s="10" t="e">
        <f t="shared" si="62"/>
        <v>#VALUE!</v>
      </c>
      <c r="U25" s="10" t="e">
        <f t="shared" si="63"/>
        <v>#VALUE!</v>
      </c>
      <c r="V25" s="10" t="e">
        <f t="shared" si="8"/>
        <v>#VALUE!</v>
      </c>
      <c r="W25" s="10" t="e">
        <f t="shared" si="28"/>
        <v>#VALUE!</v>
      </c>
      <c r="Y25" s="10" t="e">
        <f t="shared" si="29"/>
        <v>#VALUE!</v>
      </c>
      <c r="Z25" s="11" t="e">
        <f t="shared" si="30"/>
        <v>#VALUE!</v>
      </c>
      <c r="AA25" s="10" t="e">
        <f t="shared" si="9"/>
        <v>#VALUE!</v>
      </c>
      <c r="AB25" s="10" t="e">
        <f t="shared" si="31"/>
        <v>#VALUE!</v>
      </c>
      <c r="AC25" s="10" t="e">
        <f t="shared" si="32"/>
        <v>#VALUE!</v>
      </c>
      <c r="AD25" s="10" t="e">
        <f t="shared" si="64"/>
        <v>#VALUE!</v>
      </c>
      <c r="AE25" s="10" t="e">
        <f t="shared" si="65"/>
        <v>#VALUE!</v>
      </c>
      <c r="AF25" s="10" t="e">
        <f t="shared" si="10"/>
        <v>#VALUE!</v>
      </c>
      <c r="AG25" s="10" t="e">
        <f t="shared" si="33"/>
        <v>#VALUE!</v>
      </c>
      <c r="AI25" s="13"/>
      <c r="AK25" s="10" t="e">
        <f t="shared" si="34"/>
        <v>#VALUE!</v>
      </c>
      <c r="AL25" s="10" t="e">
        <f t="shared" si="66"/>
        <v>#VALUE!</v>
      </c>
      <c r="AM25" s="10" t="e">
        <f t="shared" si="11"/>
        <v>#VALUE!</v>
      </c>
      <c r="AN25" s="10" t="e">
        <f t="shared" si="35"/>
        <v>#VALUE!</v>
      </c>
      <c r="AO25" s="10" t="e">
        <f t="shared" si="36"/>
        <v>#VALUE!</v>
      </c>
      <c r="AP25" s="10" t="e">
        <f t="shared" si="37"/>
        <v>#VALUE!</v>
      </c>
      <c r="AQ25" s="10" t="e">
        <f t="shared" si="67"/>
        <v>#VALUE!</v>
      </c>
      <c r="AR25" s="10" t="e">
        <f t="shared" si="12"/>
        <v>#VALUE!</v>
      </c>
      <c r="AS25" s="10" t="e">
        <f t="shared" si="68"/>
        <v>#VALUE!</v>
      </c>
      <c r="AU25" s="10" t="e">
        <f t="shared" si="38"/>
        <v>#VALUE!</v>
      </c>
      <c r="AV25" s="10" t="e">
        <f t="shared" si="69"/>
        <v>#VALUE!</v>
      </c>
      <c r="AW25" s="10" t="e">
        <f t="shared" si="13"/>
        <v>#VALUE!</v>
      </c>
      <c r="AX25" s="10" t="e">
        <f t="shared" si="39"/>
        <v>#VALUE!</v>
      </c>
      <c r="AY25" s="10" t="e">
        <f t="shared" si="40"/>
        <v>#VALUE!</v>
      </c>
      <c r="AZ25" s="10" t="e">
        <f t="shared" si="41"/>
        <v>#VALUE!</v>
      </c>
      <c r="BA25" s="10" t="e">
        <f t="shared" si="70"/>
        <v>#VALUE!</v>
      </c>
      <c r="BB25" s="10" t="e">
        <f t="shared" si="14"/>
        <v>#VALUE!</v>
      </c>
      <c r="BC25" s="10" t="e">
        <f t="shared" si="71"/>
        <v>#VALUE!</v>
      </c>
      <c r="BE25" s="10" t="e">
        <f t="shared" si="42"/>
        <v>#VALUE!</v>
      </c>
      <c r="BF25" s="10" t="e">
        <f t="shared" si="72"/>
        <v>#VALUE!</v>
      </c>
      <c r="BG25" s="10" t="e">
        <f t="shared" si="15"/>
        <v>#VALUE!</v>
      </c>
      <c r="BH25" s="10" t="e">
        <f t="shared" si="43"/>
        <v>#VALUE!</v>
      </c>
      <c r="BI25" s="10" t="e">
        <f t="shared" si="44"/>
        <v>#VALUE!</v>
      </c>
      <c r="BJ25" s="10" t="e">
        <f t="shared" si="45"/>
        <v>#VALUE!</v>
      </c>
      <c r="BK25" s="10" t="e">
        <f t="shared" si="73"/>
        <v>#VALUE!</v>
      </c>
      <c r="BL25" s="10" t="e">
        <f t="shared" si="16"/>
        <v>#VALUE!</v>
      </c>
      <c r="BM25" s="10" t="e">
        <f t="shared" si="74"/>
        <v>#VALUE!</v>
      </c>
      <c r="BP25" s="10" t="e">
        <f t="shared" si="46"/>
        <v>#VALUE!</v>
      </c>
      <c r="BQ25" s="10" t="e">
        <f t="shared" si="47"/>
        <v>#VALUE!</v>
      </c>
      <c r="BR25" s="10" t="e">
        <f t="shared" si="48"/>
        <v>#VALUE!</v>
      </c>
      <c r="BS25" s="10" t="e">
        <f t="shared" si="49"/>
        <v>#VALUE!</v>
      </c>
      <c r="BT25" s="10" t="e">
        <f t="shared" si="50"/>
        <v>#VALUE!</v>
      </c>
      <c r="BU25" s="10" t="e">
        <f t="shared" si="51"/>
        <v>#VALUE!</v>
      </c>
      <c r="BW25" s="10" t="e">
        <f t="shared" si="52"/>
        <v>#VALUE!</v>
      </c>
      <c r="BX25" s="10" t="e">
        <f t="shared" si="53"/>
        <v>#VALUE!</v>
      </c>
      <c r="BY25" s="10" t="e">
        <f t="shared" si="54"/>
        <v>#VALUE!</v>
      </c>
      <c r="BZ25" s="10" t="e">
        <f t="shared" si="55"/>
        <v>#VALUE!</v>
      </c>
      <c r="CA25" s="10" t="e">
        <f t="shared" si="56"/>
        <v>#VALUE!</v>
      </c>
      <c r="CB25" s="10" t="e">
        <f t="shared" si="57"/>
        <v>#VALUE!</v>
      </c>
      <c r="CD25" s="10" t="e">
        <f>MATCH(INDEX($BP$12:$BU$12,1,MATCH(BP25,$BP$15:$BU$15,0)),结果汇总!$AI$10:$AI$13,0)</f>
        <v>#VALUE!</v>
      </c>
      <c r="CE25" s="10" t="e">
        <f>MATCH(INDEX($BP$12:$BU$12,1,MATCH(BQ25,$BP$15:$BU$15,0)),结果汇总!$AI$10:$AI$13,0)</f>
        <v>#VALUE!</v>
      </c>
      <c r="CF25" s="10" t="e">
        <f>MATCH(INDEX($BP$12:$BU$12,1,MATCH(BR25,$BP$15:$BU$15,0)),结果汇总!$AI$10:$AI$13,0)</f>
        <v>#VALUE!</v>
      </c>
      <c r="CG25" s="10" t="e">
        <f>MATCH(INDEX($BP$12:$BU$12,1,MATCH(BS25,$BP$15:$BU$15,0)),结果汇总!$AI$10:$AI$13,0)</f>
        <v>#VALUE!</v>
      </c>
      <c r="CH25" s="10" t="e">
        <f>MATCH(INDEX($BP$12:$BU$12,1,MATCH(BT25,$BP$15:$BU$15,0)),结果汇总!$AI$10:$AI$13,0)</f>
        <v>#VALUE!</v>
      </c>
      <c r="CI25" s="10" t="e">
        <f>MATCH(INDEX($BP$12:$BU$12,1,MATCH(BU25,$BP$15:$BU$15,0)),结果汇总!$AI$10:$AI$13,0)</f>
        <v>#VALUE!</v>
      </c>
      <c r="CK25" s="10">
        <f t="shared" si="58"/>
        <v>0</v>
      </c>
      <c r="CL25" s="10">
        <f t="shared" si="17"/>
        <v>0</v>
      </c>
      <c r="CM25" s="10">
        <f t="shared" si="17"/>
        <v>0</v>
      </c>
      <c r="CN25" s="10">
        <f t="shared" si="17"/>
        <v>0</v>
      </c>
      <c r="CO25" s="10" t="e">
        <f t="shared" si="59"/>
        <v>#DIV/0!</v>
      </c>
      <c r="CP25" s="10" t="e">
        <f t="shared" si="18"/>
        <v>#DIV/0!</v>
      </c>
      <c r="CQ25" s="10" t="e">
        <f t="shared" si="18"/>
        <v>#DIV/0!</v>
      </c>
      <c r="CR25" s="10" t="e">
        <f t="shared" si="18"/>
        <v>#DIV/0!</v>
      </c>
      <c r="CS25" s="10">
        <f t="shared" si="60"/>
        <v>0</v>
      </c>
      <c r="CT25" s="10">
        <f t="shared" si="19"/>
        <v>0</v>
      </c>
      <c r="CU25" s="10">
        <f t="shared" si="19"/>
        <v>0</v>
      </c>
      <c r="CV25" s="10">
        <f t="shared" si="19"/>
        <v>0</v>
      </c>
      <c r="CW25" s="10" t="e">
        <f t="shared" si="61"/>
        <v>#DIV/0!</v>
      </c>
      <c r="CX25" s="10" t="e">
        <f t="shared" si="20"/>
        <v>#DIV/0!</v>
      </c>
      <c r="CY25" s="10" t="e">
        <f t="shared" si="20"/>
        <v>#DIV/0!</v>
      </c>
      <c r="CZ25" s="10" t="e">
        <f t="shared" si="20"/>
        <v>#DIV/0!</v>
      </c>
    </row>
    <row r="26" spans="4:104" x14ac:dyDescent="0.15">
      <c r="D26" s="10">
        <v>11</v>
      </c>
      <c r="E26" s="10" t="e">
        <f t="shared" si="21"/>
        <v>#VALUE!</v>
      </c>
      <c r="F26" s="10" t="e">
        <f t="shared" si="1"/>
        <v>#VALUE!</v>
      </c>
      <c r="G26" s="10" t="e">
        <f t="shared" si="2"/>
        <v>#VALUE!</v>
      </c>
      <c r="H26" s="10" t="e">
        <f t="shared" si="22"/>
        <v>#VALUE!</v>
      </c>
      <c r="I26" s="10" t="e">
        <f t="shared" si="3"/>
        <v>#VALUE!</v>
      </c>
      <c r="J26" s="10" t="e">
        <f t="shared" si="23"/>
        <v>#VALUE!</v>
      </c>
      <c r="K26" s="10" t="e">
        <f t="shared" si="4"/>
        <v>#VALUE!</v>
      </c>
      <c r="L26" s="10" t="e">
        <f t="shared" si="5"/>
        <v>#VALUE!</v>
      </c>
      <c r="M26" s="10" t="e">
        <f t="shared" si="24"/>
        <v>#VALUE!</v>
      </c>
      <c r="O26" s="10" t="e">
        <f t="shared" si="25"/>
        <v>#VALUE!</v>
      </c>
      <c r="P26" s="10" t="e">
        <f t="shared" si="6"/>
        <v>#VALUE!</v>
      </c>
      <c r="Q26" s="10" t="e">
        <f t="shared" si="7"/>
        <v>#VALUE!</v>
      </c>
      <c r="R26" s="10" t="e">
        <f t="shared" si="26"/>
        <v>#VALUE!</v>
      </c>
      <c r="S26" s="10" t="e">
        <f t="shared" si="27"/>
        <v>#VALUE!</v>
      </c>
      <c r="T26" s="10" t="e">
        <f t="shared" si="62"/>
        <v>#VALUE!</v>
      </c>
      <c r="U26" s="10" t="e">
        <f t="shared" si="63"/>
        <v>#VALUE!</v>
      </c>
      <c r="V26" s="10" t="e">
        <f t="shared" si="8"/>
        <v>#VALUE!</v>
      </c>
      <c r="W26" s="10" t="e">
        <f t="shared" si="28"/>
        <v>#VALUE!</v>
      </c>
      <c r="Y26" s="10" t="e">
        <f t="shared" si="29"/>
        <v>#VALUE!</v>
      </c>
      <c r="Z26" s="11" t="e">
        <f t="shared" si="30"/>
        <v>#VALUE!</v>
      </c>
      <c r="AA26" s="10" t="e">
        <f t="shared" si="9"/>
        <v>#VALUE!</v>
      </c>
      <c r="AB26" s="10" t="e">
        <f t="shared" si="31"/>
        <v>#VALUE!</v>
      </c>
      <c r="AC26" s="10" t="e">
        <f t="shared" si="32"/>
        <v>#VALUE!</v>
      </c>
      <c r="AD26" s="10" t="e">
        <f t="shared" si="64"/>
        <v>#VALUE!</v>
      </c>
      <c r="AE26" s="10" t="e">
        <f t="shared" si="65"/>
        <v>#VALUE!</v>
      </c>
      <c r="AF26" s="10" t="e">
        <f t="shared" si="10"/>
        <v>#VALUE!</v>
      </c>
      <c r="AG26" s="10" t="e">
        <f t="shared" si="33"/>
        <v>#VALUE!</v>
      </c>
      <c r="AI26" s="13"/>
      <c r="AK26" s="10" t="e">
        <f t="shared" si="34"/>
        <v>#VALUE!</v>
      </c>
      <c r="AL26" s="10" t="e">
        <f t="shared" si="66"/>
        <v>#VALUE!</v>
      </c>
      <c r="AM26" s="10" t="e">
        <f t="shared" si="11"/>
        <v>#VALUE!</v>
      </c>
      <c r="AN26" s="10" t="e">
        <f t="shared" si="35"/>
        <v>#VALUE!</v>
      </c>
      <c r="AO26" s="10" t="e">
        <f t="shared" si="36"/>
        <v>#VALUE!</v>
      </c>
      <c r="AP26" s="10" t="e">
        <f t="shared" si="37"/>
        <v>#VALUE!</v>
      </c>
      <c r="AQ26" s="10" t="e">
        <f t="shared" si="67"/>
        <v>#VALUE!</v>
      </c>
      <c r="AR26" s="10" t="e">
        <f t="shared" si="12"/>
        <v>#VALUE!</v>
      </c>
      <c r="AS26" s="10" t="e">
        <f t="shared" si="68"/>
        <v>#VALUE!</v>
      </c>
      <c r="AU26" s="10" t="e">
        <f t="shared" si="38"/>
        <v>#VALUE!</v>
      </c>
      <c r="AV26" s="10" t="e">
        <f t="shared" si="69"/>
        <v>#VALUE!</v>
      </c>
      <c r="AW26" s="10" t="e">
        <f t="shared" si="13"/>
        <v>#VALUE!</v>
      </c>
      <c r="AX26" s="10" t="e">
        <f t="shared" si="39"/>
        <v>#VALUE!</v>
      </c>
      <c r="AY26" s="10" t="e">
        <f t="shared" si="40"/>
        <v>#VALUE!</v>
      </c>
      <c r="AZ26" s="10" t="e">
        <f t="shared" si="41"/>
        <v>#VALUE!</v>
      </c>
      <c r="BA26" s="10" t="e">
        <f t="shared" si="70"/>
        <v>#VALUE!</v>
      </c>
      <c r="BB26" s="10" t="e">
        <f t="shared" si="14"/>
        <v>#VALUE!</v>
      </c>
      <c r="BC26" s="10" t="e">
        <f t="shared" si="71"/>
        <v>#VALUE!</v>
      </c>
      <c r="BE26" s="10" t="e">
        <f t="shared" si="42"/>
        <v>#VALUE!</v>
      </c>
      <c r="BF26" s="10" t="e">
        <f t="shared" si="72"/>
        <v>#VALUE!</v>
      </c>
      <c r="BG26" s="10" t="e">
        <f t="shared" si="15"/>
        <v>#VALUE!</v>
      </c>
      <c r="BH26" s="10" t="e">
        <f t="shared" si="43"/>
        <v>#VALUE!</v>
      </c>
      <c r="BI26" s="10" t="e">
        <f t="shared" si="44"/>
        <v>#VALUE!</v>
      </c>
      <c r="BJ26" s="10" t="e">
        <f t="shared" si="45"/>
        <v>#VALUE!</v>
      </c>
      <c r="BK26" s="10" t="e">
        <f t="shared" si="73"/>
        <v>#VALUE!</v>
      </c>
      <c r="BL26" s="10" t="e">
        <f t="shared" si="16"/>
        <v>#VALUE!</v>
      </c>
      <c r="BM26" s="10" t="e">
        <f t="shared" si="74"/>
        <v>#VALUE!</v>
      </c>
      <c r="BP26" s="10" t="e">
        <f t="shared" si="46"/>
        <v>#VALUE!</v>
      </c>
      <c r="BQ26" s="10" t="e">
        <f t="shared" si="47"/>
        <v>#VALUE!</v>
      </c>
      <c r="BR26" s="10" t="e">
        <f t="shared" si="48"/>
        <v>#VALUE!</v>
      </c>
      <c r="BS26" s="10" t="e">
        <f t="shared" si="49"/>
        <v>#VALUE!</v>
      </c>
      <c r="BT26" s="10" t="e">
        <f t="shared" si="50"/>
        <v>#VALUE!</v>
      </c>
      <c r="BU26" s="10" t="e">
        <f t="shared" si="51"/>
        <v>#VALUE!</v>
      </c>
      <c r="BW26" s="10" t="e">
        <f t="shared" si="52"/>
        <v>#VALUE!</v>
      </c>
      <c r="BX26" s="10" t="e">
        <f t="shared" si="53"/>
        <v>#VALUE!</v>
      </c>
      <c r="BY26" s="10" t="e">
        <f t="shared" si="54"/>
        <v>#VALUE!</v>
      </c>
      <c r="BZ26" s="10" t="e">
        <f t="shared" si="55"/>
        <v>#VALUE!</v>
      </c>
      <c r="CA26" s="10" t="e">
        <f t="shared" si="56"/>
        <v>#VALUE!</v>
      </c>
      <c r="CB26" s="10" t="e">
        <f t="shared" si="57"/>
        <v>#VALUE!</v>
      </c>
      <c r="CD26" s="10" t="e">
        <f>MATCH(INDEX($BP$12:$BU$12,1,MATCH(BP26,$BP$15:$BU$15,0)),结果汇总!$AI$10:$AI$13,0)</f>
        <v>#VALUE!</v>
      </c>
      <c r="CE26" s="10" t="e">
        <f>MATCH(INDEX($BP$12:$BU$12,1,MATCH(BQ26,$BP$15:$BU$15,0)),结果汇总!$AI$10:$AI$13,0)</f>
        <v>#VALUE!</v>
      </c>
      <c r="CF26" s="10" t="e">
        <f>MATCH(INDEX($BP$12:$BU$12,1,MATCH(BR26,$BP$15:$BU$15,0)),结果汇总!$AI$10:$AI$13,0)</f>
        <v>#VALUE!</v>
      </c>
      <c r="CG26" s="10" t="e">
        <f>MATCH(INDEX($BP$12:$BU$12,1,MATCH(BS26,$BP$15:$BU$15,0)),结果汇总!$AI$10:$AI$13,0)</f>
        <v>#VALUE!</v>
      </c>
      <c r="CH26" s="10" t="e">
        <f>MATCH(INDEX($BP$12:$BU$12,1,MATCH(BT26,$BP$15:$BU$15,0)),结果汇总!$AI$10:$AI$13,0)</f>
        <v>#VALUE!</v>
      </c>
      <c r="CI26" s="10" t="e">
        <f>MATCH(INDEX($BP$12:$BU$12,1,MATCH(BU26,$BP$15:$BU$15,0)),结果汇总!$AI$10:$AI$13,0)</f>
        <v>#VALUE!</v>
      </c>
      <c r="CK26" s="10">
        <f t="shared" si="58"/>
        <v>0</v>
      </c>
      <c r="CL26" s="10">
        <f t="shared" si="17"/>
        <v>0</v>
      </c>
      <c r="CM26" s="10">
        <f t="shared" si="17"/>
        <v>0</v>
      </c>
      <c r="CN26" s="10">
        <f t="shared" si="17"/>
        <v>0</v>
      </c>
      <c r="CO26" s="10" t="e">
        <f t="shared" si="59"/>
        <v>#DIV/0!</v>
      </c>
      <c r="CP26" s="10" t="e">
        <f t="shared" si="18"/>
        <v>#DIV/0!</v>
      </c>
      <c r="CQ26" s="10" t="e">
        <f t="shared" si="18"/>
        <v>#DIV/0!</v>
      </c>
      <c r="CR26" s="10" t="e">
        <f t="shared" si="18"/>
        <v>#DIV/0!</v>
      </c>
      <c r="CS26" s="10">
        <f t="shared" si="60"/>
        <v>0</v>
      </c>
      <c r="CT26" s="10">
        <f t="shared" si="19"/>
        <v>0</v>
      </c>
      <c r="CU26" s="10">
        <f t="shared" si="19"/>
        <v>0</v>
      </c>
      <c r="CV26" s="10">
        <f t="shared" si="19"/>
        <v>0</v>
      </c>
      <c r="CW26" s="10" t="e">
        <f t="shared" si="61"/>
        <v>#DIV/0!</v>
      </c>
      <c r="CX26" s="10" t="e">
        <f t="shared" si="20"/>
        <v>#DIV/0!</v>
      </c>
      <c r="CY26" s="10" t="e">
        <f t="shared" si="20"/>
        <v>#DIV/0!</v>
      </c>
      <c r="CZ26" s="10" t="e">
        <f t="shared" si="20"/>
        <v>#DIV/0!</v>
      </c>
    </row>
    <row r="27" spans="4:104" x14ac:dyDescent="0.15">
      <c r="D27" s="10">
        <v>12</v>
      </c>
      <c r="E27" s="10" t="e">
        <f t="shared" si="21"/>
        <v>#VALUE!</v>
      </c>
      <c r="F27" s="10" t="e">
        <f t="shared" si="1"/>
        <v>#VALUE!</v>
      </c>
      <c r="G27" s="10" t="e">
        <f t="shared" si="2"/>
        <v>#VALUE!</v>
      </c>
      <c r="H27" s="10" t="e">
        <f t="shared" si="22"/>
        <v>#VALUE!</v>
      </c>
      <c r="I27" s="10" t="e">
        <f t="shared" si="3"/>
        <v>#VALUE!</v>
      </c>
      <c r="J27" s="10" t="e">
        <f t="shared" si="23"/>
        <v>#VALUE!</v>
      </c>
      <c r="K27" s="10" t="e">
        <f t="shared" si="4"/>
        <v>#VALUE!</v>
      </c>
      <c r="L27" s="10" t="e">
        <f t="shared" si="5"/>
        <v>#VALUE!</v>
      </c>
      <c r="M27" s="10" t="e">
        <f t="shared" si="24"/>
        <v>#VALUE!</v>
      </c>
      <c r="O27" s="10" t="e">
        <f t="shared" si="25"/>
        <v>#VALUE!</v>
      </c>
      <c r="P27" s="10" t="e">
        <f t="shared" si="6"/>
        <v>#VALUE!</v>
      </c>
      <c r="Q27" s="10" t="e">
        <f t="shared" si="7"/>
        <v>#VALUE!</v>
      </c>
      <c r="R27" s="10" t="e">
        <f t="shared" si="26"/>
        <v>#VALUE!</v>
      </c>
      <c r="S27" s="10" t="e">
        <f t="shared" si="27"/>
        <v>#VALUE!</v>
      </c>
      <c r="T27" s="10" t="e">
        <f t="shared" si="62"/>
        <v>#VALUE!</v>
      </c>
      <c r="U27" s="10" t="e">
        <f t="shared" si="63"/>
        <v>#VALUE!</v>
      </c>
      <c r="V27" s="10" t="e">
        <f t="shared" si="8"/>
        <v>#VALUE!</v>
      </c>
      <c r="W27" s="10" t="e">
        <f t="shared" si="28"/>
        <v>#VALUE!</v>
      </c>
      <c r="Y27" s="10" t="e">
        <f t="shared" si="29"/>
        <v>#VALUE!</v>
      </c>
      <c r="Z27" s="11" t="e">
        <f t="shared" si="30"/>
        <v>#VALUE!</v>
      </c>
      <c r="AA27" s="10" t="e">
        <f t="shared" si="9"/>
        <v>#VALUE!</v>
      </c>
      <c r="AB27" s="10" t="e">
        <f t="shared" si="31"/>
        <v>#VALUE!</v>
      </c>
      <c r="AC27" s="10" t="e">
        <f t="shared" si="32"/>
        <v>#VALUE!</v>
      </c>
      <c r="AD27" s="10" t="e">
        <f t="shared" si="64"/>
        <v>#VALUE!</v>
      </c>
      <c r="AE27" s="10" t="e">
        <f t="shared" si="65"/>
        <v>#VALUE!</v>
      </c>
      <c r="AF27" s="10" t="e">
        <f t="shared" si="10"/>
        <v>#VALUE!</v>
      </c>
      <c r="AG27" s="10" t="e">
        <f t="shared" si="33"/>
        <v>#VALUE!</v>
      </c>
      <c r="AI27" s="13"/>
      <c r="AK27" s="10" t="e">
        <f t="shared" si="34"/>
        <v>#VALUE!</v>
      </c>
      <c r="AL27" s="10" t="e">
        <f t="shared" si="66"/>
        <v>#VALUE!</v>
      </c>
      <c r="AM27" s="10" t="e">
        <f t="shared" si="11"/>
        <v>#VALUE!</v>
      </c>
      <c r="AN27" s="10" t="e">
        <f t="shared" si="35"/>
        <v>#VALUE!</v>
      </c>
      <c r="AO27" s="10" t="e">
        <f t="shared" si="36"/>
        <v>#VALUE!</v>
      </c>
      <c r="AP27" s="10" t="e">
        <f t="shared" si="37"/>
        <v>#VALUE!</v>
      </c>
      <c r="AQ27" s="10" t="e">
        <f t="shared" si="67"/>
        <v>#VALUE!</v>
      </c>
      <c r="AR27" s="10" t="e">
        <f t="shared" si="12"/>
        <v>#VALUE!</v>
      </c>
      <c r="AS27" s="10" t="e">
        <f t="shared" si="68"/>
        <v>#VALUE!</v>
      </c>
      <c r="AU27" s="10" t="e">
        <f t="shared" si="38"/>
        <v>#VALUE!</v>
      </c>
      <c r="AV27" s="10" t="e">
        <f t="shared" si="69"/>
        <v>#VALUE!</v>
      </c>
      <c r="AW27" s="10" t="e">
        <f t="shared" si="13"/>
        <v>#VALUE!</v>
      </c>
      <c r="AX27" s="10" t="e">
        <f t="shared" si="39"/>
        <v>#VALUE!</v>
      </c>
      <c r="AY27" s="10" t="e">
        <f t="shared" si="40"/>
        <v>#VALUE!</v>
      </c>
      <c r="AZ27" s="10" t="e">
        <f t="shared" si="41"/>
        <v>#VALUE!</v>
      </c>
      <c r="BA27" s="10" t="e">
        <f t="shared" si="70"/>
        <v>#VALUE!</v>
      </c>
      <c r="BB27" s="10" t="e">
        <f t="shared" si="14"/>
        <v>#VALUE!</v>
      </c>
      <c r="BC27" s="10" t="e">
        <f t="shared" si="71"/>
        <v>#VALUE!</v>
      </c>
      <c r="BE27" s="10" t="e">
        <f t="shared" si="42"/>
        <v>#VALUE!</v>
      </c>
      <c r="BF27" s="10" t="e">
        <f t="shared" si="72"/>
        <v>#VALUE!</v>
      </c>
      <c r="BG27" s="10" t="e">
        <f t="shared" si="15"/>
        <v>#VALUE!</v>
      </c>
      <c r="BH27" s="10" t="e">
        <f t="shared" si="43"/>
        <v>#VALUE!</v>
      </c>
      <c r="BI27" s="10" t="e">
        <f t="shared" si="44"/>
        <v>#VALUE!</v>
      </c>
      <c r="BJ27" s="10" t="e">
        <f t="shared" si="45"/>
        <v>#VALUE!</v>
      </c>
      <c r="BK27" s="10" t="e">
        <f t="shared" si="73"/>
        <v>#VALUE!</v>
      </c>
      <c r="BL27" s="10" t="e">
        <f t="shared" si="16"/>
        <v>#VALUE!</v>
      </c>
      <c r="BM27" s="10" t="e">
        <f t="shared" si="74"/>
        <v>#VALUE!</v>
      </c>
      <c r="BP27" s="10" t="e">
        <f t="shared" si="46"/>
        <v>#VALUE!</v>
      </c>
      <c r="BQ27" s="10" t="e">
        <f t="shared" si="47"/>
        <v>#VALUE!</v>
      </c>
      <c r="BR27" s="10" t="e">
        <f t="shared" si="48"/>
        <v>#VALUE!</v>
      </c>
      <c r="BS27" s="10" t="e">
        <f t="shared" si="49"/>
        <v>#VALUE!</v>
      </c>
      <c r="BT27" s="10" t="e">
        <f t="shared" si="50"/>
        <v>#VALUE!</v>
      </c>
      <c r="BU27" s="10" t="e">
        <f t="shared" si="51"/>
        <v>#VALUE!</v>
      </c>
      <c r="BW27" s="10" t="e">
        <f t="shared" si="52"/>
        <v>#VALUE!</v>
      </c>
      <c r="BX27" s="10" t="e">
        <f t="shared" si="53"/>
        <v>#VALUE!</v>
      </c>
      <c r="BY27" s="10" t="e">
        <f t="shared" si="54"/>
        <v>#VALUE!</v>
      </c>
      <c r="BZ27" s="10" t="e">
        <f t="shared" si="55"/>
        <v>#VALUE!</v>
      </c>
      <c r="CA27" s="10" t="e">
        <f t="shared" si="56"/>
        <v>#VALUE!</v>
      </c>
      <c r="CB27" s="10" t="e">
        <f t="shared" si="57"/>
        <v>#VALUE!</v>
      </c>
      <c r="CD27" s="10" t="e">
        <f>MATCH(INDEX($BP$12:$BU$12,1,MATCH(BP27,$BP$15:$BU$15,0)),结果汇总!$AI$10:$AI$13,0)</f>
        <v>#VALUE!</v>
      </c>
      <c r="CE27" s="10" t="e">
        <f>MATCH(INDEX($BP$12:$BU$12,1,MATCH(BQ27,$BP$15:$BU$15,0)),结果汇总!$AI$10:$AI$13,0)</f>
        <v>#VALUE!</v>
      </c>
      <c r="CF27" s="10" t="e">
        <f>MATCH(INDEX($BP$12:$BU$12,1,MATCH(BR27,$BP$15:$BU$15,0)),结果汇总!$AI$10:$AI$13,0)</f>
        <v>#VALUE!</v>
      </c>
      <c r="CG27" s="10" t="e">
        <f>MATCH(INDEX($BP$12:$BU$12,1,MATCH(BS27,$BP$15:$BU$15,0)),结果汇总!$AI$10:$AI$13,0)</f>
        <v>#VALUE!</v>
      </c>
      <c r="CH27" s="10" t="e">
        <f>MATCH(INDEX($BP$12:$BU$12,1,MATCH(BT27,$BP$15:$BU$15,0)),结果汇总!$AI$10:$AI$13,0)</f>
        <v>#VALUE!</v>
      </c>
      <c r="CI27" s="10" t="e">
        <f>MATCH(INDEX($BP$12:$BU$12,1,MATCH(BU27,$BP$15:$BU$15,0)),结果汇总!$AI$10:$AI$13,0)</f>
        <v>#VALUE!</v>
      </c>
      <c r="CK27" s="10">
        <f t="shared" si="58"/>
        <v>0</v>
      </c>
      <c r="CL27" s="10">
        <f t="shared" si="17"/>
        <v>0</v>
      </c>
      <c r="CM27" s="10">
        <f t="shared" si="17"/>
        <v>0</v>
      </c>
      <c r="CN27" s="10">
        <f t="shared" si="17"/>
        <v>0</v>
      </c>
      <c r="CO27" s="10" t="e">
        <f t="shared" si="59"/>
        <v>#DIV/0!</v>
      </c>
      <c r="CP27" s="10" t="e">
        <f t="shared" si="18"/>
        <v>#DIV/0!</v>
      </c>
      <c r="CQ27" s="10" t="e">
        <f t="shared" si="18"/>
        <v>#DIV/0!</v>
      </c>
      <c r="CR27" s="10" t="e">
        <f t="shared" si="18"/>
        <v>#DIV/0!</v>
      </c>
      <c r="CS27" s="10">
        <f t="shared" si="60"/>
        <v>0</v>
      </c>
      <c r="CT27" s="10">
        <f t="shared" si="19"/>
        <v>0</v>
      </c>
      <c r="CU27" s="10">
        <f t="shared" si="19"/>
        <v>0</v>
      </c>
      <c r="CV27" s="10">
        <f t="shared" si="19"/>
        <v>0</v>
      </c>
      <c r="CW27" s="10" t="e">
        <f t="shared" si="61"/>
        <v>#DIV/0!</v>
      </c>
      <c r="CX27" s="10" t="e">
        <f t="shared" si="20"/>
        <v>#DIV/0!</v>
      </c>
      <c r="CY27" s="10" t="e">
        <f t="shared" si="20"/>
        <v>#DIV/0!</v>
      </c>
      <c r="CZ27" s="10" t="e">
        <f t="shared" si="20"/>
        <v>#DIV/0!</v>
      </c>
    </row>
    <row r="28" spans="4:104" x14ac:dyDescent="0.15">
      <c r="D28" s="10">
        <v>13</v>
      </c>
      <c r="E28" s="10" t="e">
        <f t="shared" si="21"/>
        <v>#VALUE!</v>
      </c>
      <c r="F28" s="10" t="e">
        <f t="shared" si="1"/>
        <v>#VALUE!</v>
      </c>
      <c r="G28" s="10" t="e">
        <f t="shared" si="2"/>
        <v>#VALUE!</v>
      </c>
      <c r="H28" s="10" t="e">
        <f t="shared" si="22"/>
        <v>#VALUE!</v>
      </c>
      <c r="I28" s="10" t="e">
        <f t="shared" si="3"/>
        <v>#VALUE!</v>
      </c>
      <c r="J28" s="10" t="e">
        <f t="shared" si="23"/>
        <v>#VALUE!</v>
      </c>
      <c r="K28" s="10" t="e">
        <f t="shared" si="4"/>
        <v>#VALUE!</v>
      </c>
      <c r="L28" s="10" t="e">
        <f t="shared" si="5"/>
        <v>#VALUE!</v>
      </c>
      <c r="M28" s="10" t="e">
        <f t="shared" si="24"/>
        <v>#VALUE!</v>
      </c>
      <c r="O28" s="10" t="e">
        <f t="shared" si="25"/>
        <v>#VALUE!</v>
      </c>
      <c r="P28" s="10" t="e">
        <f t="shared" si="6"/>
        <v>#VALUE!</v>
      </c>
      <c r="Q28" s="10" t="e">
        <f t="shared" si="7"/>
        <v>#VALUE!</v>
      </c>
      <c r="R28" s="10" t="e">
        <f t="shared" si="26"/>
        <v>#VALUE!</v>
      </c>
      <c r="S28" s="10" t="e">
        <f t="shared" si="27"/>
        <v>#VALUE!</v>
      </c>
      <c r="T28" s="10" t="e">
        <f t="shared" si="62"/>
        <v>#VALUE!</v>
      </c>
      <c r="U28" s="10" t="e">
        <f t="shared" si="63"/>
        <v>#VALUE!</v>
      </c>
      <c r="V28" s="10" t="e">
        <f t="shared" si="8"/>
        <v>#VALUE!</v>
      </c>
      <c r="W28" s="10" t="e">
        <f t="shared" si="28"/>
        <v>#VALUE!</v>
      </c>
      <c r="Y28" s="10" t="e">
        <f t="shared" si="29"/>
        <v>#VALUE!</v>
      </c>
      <c r="Z28" s="11" t="e">
        <f t="shared" si="30"/>
        <v>#VALUE!</v>
      </c>
      <c r="AA28" s="10" t="e">
        <f t="shared" si="9"/>
        <v>#VALUE!</v>
      </c>
      <c r="AB28" s="10" t="e">
        <f t="shared" si="31"/>
        <v>#VALUE!</v>
      </c>
      <c r="AC28" s="10" t="e">
        <f t="shared" si="32"/>
        <v>#VALUE!</v>
      </c>
      <c r="AD28" s="10" t="e">
        <f t="shared" si="64"/>
        <v>#VALUE!</v>
      </c>
      <c r="AE28" s="10" t="e">
        <f t="shared" si="65"/>
        <v>#VALUE!</v>
      </c>
      <c r="AF28" s="10" t="e">
        <f t="shared" si="10"/>
        <v>#VALUE!</v>
      </c>
      <c r="AG28" s="10" t="e">
        <f t="shared" si="33"/>
        <v>#VALUE!</v>
      </c>
      <c r="AI28" s="13"/>
      <c r="AK28" s="10" t="e">
        <f t="shared" si="34"/>
        <v>#VALUE!</v>
      </c>
      <c r="AL28" s="10" t="e">
        <f t="shared" si="66"/>
        <v>#VALUE!</v>
      </c>
      <c r="AM28" s="10" t="e">
        <f t="shared" si="11"/>
        <v>#VALUE!</v>
      </c>
      <c r="AN28" s="10" t="e">
        <f t="shared" si="35"/>
        <v>#VALUE!</v>
      </c>
      <c r="AO28" s="10" t="e">
        <f t="shared" si="36"/>
        <v>#VALUE!</v>
      </c>
      <c r="AP28" s="10" t="e">
        <f t="shared" si="37"/>
        <v>#VALUE!</v>
      </c>
      <c r="AQ28" s="10" t="e">
        <f t="shared" si="67"/>
        <v>#VALUE!</v>
      </c>
      <c r="AR28" s="10" t="e">
        <f t="shared" si="12"/>
        <v>#VALUE!</v>
      </c>
      <c r="AS28" s="10" t="e">
        <f t="shared" si="68"/>
        <v>#VALUE!</v>
      </c>
      <c r="AU28" s="10" t="e">
        <f t="shared" si="38"/>
        <v>#VALUE!</v>
      </c>
      <c r="AV28" s="10" t="e">
        <f t="shared" si="69"/>
        <v>#VALUE!</v>
      </c>
      <c r="AW28" s="10" t="e">
        <f t="shared" si="13"/>
        <v>#VALUE!</v>
      </c>
      <c r="AX28" s="10" t="e">
        <f t="shared" si="39"/>
        <v>#VALUE!</v>
      </c>
      <c r="AY28" s="10" t="e">
        <f t="shared" si="40"/>
        <v>#VALUE!</v>
      </c>
      <c r="AZ28" s="10" t="e">
        <f t="shared" si="41"/>
        <v>#VALUE!</v>
      </c>
      <c r="BA28" s="10" t="e">
        <f t="shared" si="70"/>
        <v>#VALUE!</v>
      </c>
      <c r="BB28" s="10" t="e">
        <f t="shared" si="14"/>
        <v>#VALUE!</v>
      </c>
      <c r="BC28" s="10" t="e">
        <f t="shared" si="71"/>
        <v>#VALUE!</v>
      </c>
      <c r="BE28" s="10" t="e">
        <f t="shared" si="42"/>
        <v>#VALUE!</v>
      </c>
      <c r="BF28" s="10" t="e">
        <f t="shared" si="72"/>
        <v>#VALUE!</v>
      </c>
      <c r="BG28" s="10" t="e">
        <f t="shared" si="15"/>
        <v>#VALUE!</v>
      </c>
      <c r="BH28" s="10" t="e">
        <f t="shared" si="43"/>
        <v>#VALUE!</v>
      </c>
      <c r="BI28" s="10" t="e">
        <f t="shared" si="44"/>
        <v>#VALUE!</v>
      </c>
      <c r="BJ28" s="10" t="e">
        <f t="shared" si="45"/>
        <v>#VALUE!</v>
      </c>
      <c r="BK28" s="10" t="e">
        <f t="shared" si="73"/>
        <v>#VALUE!</v>
      </c>
      <c r="BL28" s="10" t="e">
        <f t="shared" si="16"/>
        <v>#VALUE!</v>
      </c>
      <c r="BM28" s="10" t="e">
        <f t="shared" si="74"/>
        <v>#VALUE!</v>
      </c>
      <c r="BP28" s="10" t="e">
        <f t="shared" si="46"/>
        <v>#VALUE!</v>
      </c>
      <c r="BQ28" s="10" t="e">
        <f t="shared" si="47"/>
        <v>#VALUE!</v>
      </c>
      <c r="BR28" s="10" t="e">
        <f t="shared" si="48"/>
        <v>#VALUE!</v>
      </c>
      <c r="BS28" s="10" t="e">
        <f t="shared" si="49"/>
        <v>#VALUE!</v>
      </c>
      <c r="BT28" s="10" t="e">
        <f t="shared" si="50"/>
        <v>#VALUE!</v>
      </c>
      <c r="BU28" s="10" t="e">
        <f t="shared" si="51"/>
        <v>#VALUE!</v>
      </c>
      <c r="BW28" s="10" t="e">
        <f t="shared" si="52"/>
        <v>#VALUE!</v>
      </c>
      <c r="BX28" s="10" t="e">
        <f t="shared" si="53"/>
        <v>#VALUE!</v>
      </c>
      <c r="BY28" s="10" t="e">
        <f t="shared" si="54"/>
        <v>#VALUE!</v>
      </c>
      <c r="BZ28" s="10" t="e">
        <f t="shared" si="55"/>
        <v>#VALUE!</v>
      </c>
      <c r="CA28" s="10" t="e">
        <f t="shared" si="56"/>
        <v>#VALUE!</v>
      </c>
      <c r="CB28" s="10" t="e">
        <f t="shared" si="57"/>
        <v>#VALUE!</v>
      </c>
      <c r="CD28" s="10" t="e">
        <f>MATCH(INDEX($BP$12:$BU$12,1,MATCH(BP28,$BP$15:$BU$15,0)),结果汇总!$AI$10:$AI$13,0)</f>
        <v>#VALUE!</v>
      </c>
      <c r="CE28" s="10" t="e">
        <f>MATCH(INDEX($BP$12:$BU$12,1,MATCH(BQ28,$BP$15:$BU$15,0)),结果汇总!$AI$10:$AI$13,0)</f>
        <v>#VALUE!</v>
      </c>
      <c r="CF28" s="10" t="e">
        <f>MATCH(INDEX($BP$12:$BU$12,1,MATCH(BR28,$BP$15:$BU$15,0)),结果汇总!$AI$10:$AI$13,0)</f>
        <v>#VALUE!</v>
      </c>
      <c r="CG28" s="10" t="e">
        <f>MATCH(INDEX($BP$12:$BU$12,1,MATCH(BS28,$BP$15:$BU$15,0)),结果汇总!$AI$10:$AI$13,0)</f>
        <v>#VALUE!</v>
      </c>
      <c r="CH28" s="10" t="e">
        <f>MATCH(INDEX($BP$12:$BU$12,1,MATCH(BT28,$BP$15:$BU$15,0)),结果汇总!$AI$10:$AI$13,0)</f>
        <v>#VALUE!</v>
      </c>
      <c r="CI28" s="10" t="e">
        <f>MATCH(INDEX($BP$12:$BU$12,1,MATCH(BU28,$BP$15:$BU$15,0)),结果汇总!$AI$10:$AI$13,0)</f>
        <v>#VALUE!</v>
      </c>
      <c r="CK28" s="10">
        <f t="shared" si="58"/>
        <v>0</v>
      </c>
      <c r="CL28" s="10">
        <f t="shared" si="17"/>
        <v>0</v>
      </c>
      <c r="CM28" s="10">
        <f t="shared" si="17"/>
        <v>0</v>
      </c>
      <c r="CN28" s="10">
        <f t="shared" si="17"/>
        <v>0</v>
      </c>
      <c r="CO28" s="10" t="e">
        <f t="shared" si="59"/>
        <v>#DIV/0!</v>
      </c>
      <c r="CP28" s="10" t="e">
        <f t="shared" si="18"/>
        <v>#DIV/0!</v>
      </c>
      <c r="CQ28" s="10" t="e">
        <f t="shared" si="18"/>
        <v>#DIV/0!</v>
      </c>
      <c r="CR28" s="10" t="e">
        <f t="shared" si="18"/>
        <v>#DIV/0!</v>
      </c>
      <c r="CS28" s="10">
        <f t="shared" si="60"/>
        <v>0</v>
      </c>
      <c r="CT28" s="10">
        <f t="shared" si="19"/>
        <v>0</v>
      </c>
      <c r="CU28" s="10">
        <f t="shared" si="19"/>
        <v>0</v>
      </c>
      <c r="CV28" s="10">
        <f t="shared" si="19"/>
        <v>0</v>
      </c>
      <c r="CW28" s="10" t="e">
        <f t="shared" si="61"/>
        <v>#DIV/0!</v>
      </c>
      <c r="CX28" s="10" t="e">
        <f t="shared" si="20"/>
        <v>#DIV/0!</v>
      </c>
      <c r="CY28" s="10" t="e">
        <f t="shared" si="20"/>
        <v>#DIV/0!</v>
      </c>
      <c r="CZ28" s="10" t="e">
        <f t="shared" si="20"/>
        <v>#DIV/0!</v>
      </c>
    </row>
    <row r="29" spans="4:104" x14ac:dyDescent="0.15">
      <c r="D29" s="10">
        <v>14</v>
      </c>
      <c r="E29" s="10" t="e">
        <f t="shared" si="21"/>
        <v>#VALUE!</v>
      </c>
      <c r="F29" s="10" t="e">
        <f t="shared" si="1"/>
        <v>#VALUE!</v>
      </c>
      <c r="G29" s="10" t="e">
        <f t="shared" si="2"/>
        <v>#VALUE!</v>
      </c>
      <c r="H29" s="10" t="e">
        <f t="shared" si="22"/>
        <v>#VALUE!</v>
      </c>
      <c r="I29" s="10" t="e">
        <f t="shared" si="3"/>
        <v>#VALUE!</v>
      </c>
      <c r="J29" s="10" t="e">
        <f t="shared" si="23"/>
        <v>#VALUE!</v>
      </c>
      <c r="K29" s="10" t="e">
        <f t="shared" si="4"/>
        <v>#VALUE!</v>
      </c>
      <c r="L29" s="10" t="e">
        <f t="shared" si="5"/>
        <v>#VALUE!</v>
      </c>
      <c r="M29" s="10" t="e">
        <f t="shared" si="24"/>
        <v>#VALUE!</v>
      </c>
      <c r="O29" s="10" t="e">
        <f t="shared" si="25"/>
        <v>#VALUE!</v>
      </c>
      <c r="P29" s="10" t="e">
        <f t="shared" si="6"/>
        <v>#VALUE!</v>
      </c>
      <c r="Q29" s="10" t="e">
        <f t="shared" si="7"/>
        <v>#VALUE!</v>
      </c>
      <c r="R29" s="10" t="e">
        <f t="shared" si="26"/>
        <v>#VALUE!</v>
      </c>
      <c r="S29" s="10" t="e">
        <f t="shared" si="27"/>
        <v>#VALUE!</v>
      </c>
      <c r="T29" s="10" t="e">
        <f t="shared" si="62"/>
        <v>#VALUE!</v>
      </c>
      <c r="U29" s="10" t="e">
        <f t="shared" si="63"/>
        <v>#VALUE!</v>
      </c>
      <c r="V29" s="10" t="e">
        <f t="shared" si="8"/>
        <v>#VALUE!</v>
      </c>
      <c r="W29" s="10" t="e">
        <f t="shared" si="28"/>
        <v>#VALUE!</v>
      </c>
      <c r="Y29" s="10" t="e">
        <f t="shared" si="29"/>
        <v>#VALUE!</v>
      </c>
      <c r="Z29" s="11" t="e">
        <f t="shared" si="30"/>
        <v>#VALUE!</v>
      </c>
      <c r="AA29" s="10" t="e">
        <f t="shared" si="9"/>
        <v>#VALUE!</v>
      </c>
      <c r="AB29" s="10" t="e">
        <f t="shared" si="31"/>
        <v>#VALUE!</v>
      </c>
      <c r="AC29" s="10" t="e">
        <f t="shared" si="32"/>
        <v>#VALUE!</v>
      </c>
      <c r="AD29" s="10" t="e">
        <f t="shared" si="64"/>
        <v>#VALUE!</v>
      </c>
      <c r="AE29" s="10" t="e">
        <f t="shared" si="65"/>
        <v>#VALUE!</v>
      </c>
      <c r="AF29" s="10" t="e">
        <f t="shared" si="10"/>
        <v>#VALUE!</v>
      </c>
      <c r="AG29" s="10" t="e">
        <f t="shared" si="33"/>
        <v>#VALUE!</v>
      </c>
      <c r="AI29" s="13"/>
      <c r="AK29" s="10" t="e">
        <f t="shared" si="34"/>
        <v>#VALUE!</v>
      </c>
      <c r="AL29" s="10" t="e">
        <f t="shared" si="66"/>
        <v>#VALUE!</v>
      </c>
      <c r="AM29" s="10" t="e">
        <f t="shared" si="11"/>
        <v>#VALUE!</v>
      </c>
      <c r="AN29" s="10" t="e">
        <f t="shared" si="35"/>
        <v>#VALUE!</v>
      </c>
      <c r="AO29" s="10" t="e">
        <f t="shared" si="36"/>
        <v>#VALUE!</v>
      </c>
      <c r="AP29" s="10" t="e">
        <f t="shared" si="37"/>
        <v>#VALUE!</v>
      </c>
      <c r="AQ29" s="10" t="e">
        <f t="shared" si="67"/>
        <v>#VALUE!</v>
      </c>
      <c r="AR29" s="10" t="e">
        <f t="shared" si="12"/>
        <v>#VALUE!</v>
      </c>
      <c r="AS29" s="10" t="e">
        <f t="shared" si="68"/>
        <v>#VALUE!</v>
      </c>
      <c r="AU29" s="10" t="e">
        <f t="shared" si="38"/>
        <v>#VALUE!</v>
      </c>
      <c r="AV29" s="10" t="e">
        <f t="shared" si="69"/>
        <v>#VALUE!</v>
      </c>
      <c r="AW29" s="10" t="e">
        <f t="shared" si="13"/>
        <v>#VALUE!</v>
      </c>
      <c r="AX29" s="10" t="e">
        <f t="shared" si="39"/>
        <v>#VALUE!</v>
      </c>
      <c r="AY29" s="10" t="e">
        <f t="shared" si="40"/>
        <v>#VALUE!</v>
      </c>
      <c r="AZ29" s="10" t="e">
        <f t="shared" si="41"/>
        <v>#VALUE!</v>
      </c>
      <c r="BA29" s="10" t="e">
        <f t="shared" si="70"/>
        <v>#VALUE!</v>
      </c>
      <c r="BB29" s="10" t="e">
        <f t="shared" si="14"/>
        <v>#VALUE!</v>
      </c>
      <c r="BC29" s="10" t="e">
        <f t="shared" si="71"/>
        <v>#VALUE!</v>
      </c>
      <c r="BE29" s="10" t="e">
        <f t="shared" si="42"/>
        <v>#VALUE!</v>
      </c>
      <c r="BF29" s="10" t="e">
        <f t="shared" si="72"/>
        <v>#VALUE!</v>
      </c>
      <c r="BG29" s="10" t="e">
        <f t="shared" si="15"/>
        <v>#VALUE!</v>
      </c>
      <c r="BH29" s="10" t="e">
        <f t="shared" si="43"/>
        <v>#VALUE!</v>
      </c>
      <c r="BI29" s="10" t="e">
        <f t="shared" si="44"/>
        <v>#VALUE!</v>
      </c>
      <c r="BJ29" s="10" t="e">
        <f t="shared" si="45"/>
        <v>#VALUE!</v>
      </c>
      <c r="BK29" s="10" t="e">
        <f t="shared" si="73"/>
        <v>#VALUE!</v>
      </c>
      <c r="BL29" s="10" t="e">
        <f t="shared" si="16"/>
        <v>#VALUE!</v>
      </c>
      <c r="BM29" s="10" t="e">
        <f t="shared" si="74"/>
        <v>#VALUE!</v>
      </c>
      <c r="BP29" s="10" t="e">
        <f t="shared" si="46"/>
        <v>#VALUE!</v>
      </c>
      <c r="BQ29" s="10" t="e">
        <f t="shared" si="47"/>
        <v>#VALUE!</v>
      </c>
      <c r="BR29" s="10" t="e">
        <f t="shared" si="48"/>
        <v>#VALUE!</v>
      </c>
      <c r="BS29" s="10" t="e">
        <f t="shared" si="49"/>
        <v>#VALUE!</v>
      </c>
      <c r="BT29" s="10" t="e">
        <f t="shared" si="50"/>
        <v>#VALUE!</v>
      </c>
      <c r="BU29" s="10" t="e">
        <f t="shared" si="51"/>
        <v>#VALUE!</v>
      </c>
      <c r="BW29" s="10" t="e">
        <f t="shared" si="52"/>
        <v>#VALUE!</v>
      </c>
      <c r="BX29" s="10" t="e">
        <f t="shared" si="53"/>
        <v>#VALUE!</v>
      </c>
      <c r="BY29" s="10" t="e">
        <f t="shared" si="54"/>
        <v>#VALUE!</v>
      </c>
      <c r="BZ29" s="10" t="e">
        <f t="shared" si="55"/>
        <v>#VALUE!</v>
      </c>
      <c r="CA29" s="10" t="e">
        <f t="shared" si="56"/>
        <v>#VALUE!</v>
      </c>
      <c r="CB29" s="10" t="e">
        <f t="shared" si="57"/>
        <v>#VALUE!</v>
      </c>
      <c r="CD29" s="10" t="e">
        <f>MATCH(INDEX($BP$12:$BU$12,1,MATCH(BP29,$BP$15:$BU$15,0)),结果汇总!$AI$10:$AI$13,0)</f>
        <v>#VALUE!</v>
      </c>
      <c r="CE29" s="10" t="e">
        <f>MATCH(INDEX($BP$12:$BU$12,1,MATCH(BQ29,$BP$15:$BU$15,0)),结果汇总!$AI$10:$AI$13,0)</f>
        <v>#VALUE!</v>
      </c>
      <c r="CF29" s="10" t="e">
        <f>MATCH(INDEX($BP$12:$BU$12,1,MATCH(BR29,$BP$15:$BU$15,0)),结果汇总!$AI$10:$AI$13,0)</f>
        <v>#VALUE!</v>
      </c>
      <c r="CG29" s="10" t="e">
        <f>MATCH(INDEX($BP$12:$BU$12,1,MATCH(BS29,$BP$15:$BU$15,0)),结果汇总!$AI$10:$AI$13,0)</f>
        <v>#VALUE!</v>
      </c>
      <c r="CH29" s="10" t="e">
        <f>MATCH(INDEX($BP$12:$BU$12,1,MATCH(BT29,$BP$15:$BU$15,0)),结果汇总!$AI$10:$AI$13,0)</f>
        <v>#VALUE!</v>
      </c>
      <c r="CI29" s="10" t="e">
        <f>MATCH(INDEX($BP$12:$BU$12,1,MATCH(BU29,$BP$15:$BU$15,0)),结果汇总!$AI$10:$AI$13,0)</f>
        <v>#VALUE!</v>
      </c>
      <c r="CK29" s="10">
        <f t="shared" si="58"/>
        <v>0</v>
      </c>
      <c r="CL29" s="10">
        <f t="shared" si="17"/>
        <v>0</v>
      </c>
      <c r="CM29" s="10">
        <f t="shared" si="17"/>
        <v>0</v>
      </c>
      <c r="CN29" s="10">
        <f t="shared" si="17"/>
        <v>0</v>
      </c>
      <c r="CO29" s="10" t="e">
        <f t="shared" si="59"/>
        <v>#DIV/0!</v>
      </c>
      <c r="CP29" s="10" t="e">
        <f t="shared" si="18"/>
        <v>#DIV/0!</v>
      </c>
      <c r="CQ29" s="10" t="e">
        <f t="shared" si="18"/>
        <v>#DIV/0!</v>
      </c>
      <c r="CR29" s="10" t="e">
        <f t="shared" si="18"/>
        <v>#DIV/0!</v>
      </c>
      <c r="CS29" s="10">
        <f t="shared" si="60"/>
        <v>0</v>
      </c>
      <c r="CT29" s="10">
        <f t="shared" si="19"/>
        <v>0</v>
      </c>
      <c r="CU29" s="10">
        <f t="shared" si="19"/>
        <v>0</v>
      </c>
      <c r="CV29" s="10">
        <f t="shared" si="19"/>
        <v>0</v>
      </c>
      <c r="CW29" s="10" t="e">
        <f t="shared" si="61"/>
        <v>#DIV/0!</v>
      </c>
      <c r="CX29" s="10" t="e">
        <f t="shared" si="20"/>
        <v>#DIV/0!</v>
      </c>
      <c r="CY29" s="10" t="e">
        <f t="shared" si="20"/>
        <v>#DIV/0!</v>
      </c>
      <c r="CZ29" s="10" t="e">
        <f t="shared" si="20"/>
        <v>#DIV/0!</v>
      </c>
    </row>
    <row r="30" spans="4:104" x14ac:dyDescent="0.15">
      <c r="D30" s="10">
        <v>15</v>
      </c>
      <c r="E30" s="10" t="e">
        <f t="shared" si="21"/>
        <v>#VALUE!</v>
      </c>
      <c r="F30" s="10" t="e">
        <f t="shared" si="1"/>
        <v>#VALUE!</v>
      </c>
      <c r="G30" s="10" t="e">
        <f t="shared" si="2"/>
        <v>#VALUE!</v>
      </c>
      <c r="H30" s="10" t="e">
        <f t="shared" si="22"/>
        <v>#VALUE!</v>
      </c>
      <c r="I30" s="10" t="e">
        <f t="shared" si="3"/>
        <v>#VALUE!</v>
      </c>
      <c r="J30" s="10" t="e">
        <f t="shared" si="23"/>
        <v>#VALUE!</v>
      </c>
      <c r="K30" s="10" t="e">
        <f t="shared" si="4"/>
        <v>#VALUE!</v>
      </c>
      <c r="L30" s="10" t="e">
        <f t="shared" si="5"/>
        <v>#VALUE!</v>
      </c>
      <c r="M30" s="10" t="e">
        <f t="shared" si="24"/>
        <v>#VALUE!</v>
      </c>
      <c r="O30" s="10" t="e">
        <f t="shared" si="25"/>
        <v>#VALUE!</v>
      </c>
      <c r="P30" s="10" t="e">
        <f t="shared" si="6"/>
        <v>#VALUE!</v>
      </c>
      <c r="Q30" s="10" t="e">
        <f t="shared" si="7"/>
        <v>#VALUE!</v>
      </c>
      <c r="R30" s="10" t="e">
        <f t="shared" si="26"/>
        <v>#VALUE!</v>
      </c>
      <c r="S30" s="10" t="e">
        <f t="shared" si="27"/>
        <v>#VALUE!</v>
      </c>
      <c r="T30" s="10" t="e">
        <f t="shared" si="62"/>
        <v>#VALUE!</v>
      </c>
      <c r="U30" s="10" t="e">
        <f t="shared" si="63"/>
        <v>#VALUE!</v>
      </c>
      <c r="V30" s="10" t="e">
        <f t="shared" si="8"/>
        <v>#VALUE!</v>
      </c>
      <c r="W30" s="10" t="e">
        <f t="shared" si="28"/>
        <v>#VALUE!</v>
      </c>
      <c r="Y30" s="10" t="e">
        <f t="shared" si="29"/>
        <v>#VALUE!</v>
      </c>
      <c r="Z30" s="11" t="e">
        <f t="shared" si="30"/>
        <v>#VALUE!</v>
      </c>
      <c r="AA30" s="10" t="e">
        <f t="shared" si="9"/>
        <v>#VALUE!</v>
      </c>
      <c r="AB30" s="10" t="e">
        <f t="shared" si="31"/>
        <v>#VALUE!</v>
      </c>
      <c r="AC30" s="10" t="e">
        <f t="shared" si="32"/>
        <v>#VALUE!</v>
      </c>
      <c r="AD30" s="10" t="e">
        <f t="shared" si="64"/>
        <v>#VALUE!</v>
      </c>
      <c r="AE30" s="10" t="e">
        <f t="shared" si="65"/>
        <v>#VALUE!</v>
      </c>
      <c r="AF30" s="10" t="e">
        <f t="shared" si="10"/>
        <v>#VALUE!</v>
      </c>
      <c r="AG30" s="10" t="e">
        <f t="shared" si="33"/>
        <v>#VALUE!</v>
      </c>
      <c r="AI30" s="13"/>
      <c r="AK30" s="10" t="e">
        <f t="shared" si="34"/>
        <v>#VALUE!</v>
      </c>
      <c r="AL30" s="10" t="e">
        <f t="shared" si="66"/>
        <v>#VALUE!</v>
      </c>
      <c r="AM30" s="10" t="e">
        <f t="shared" si="11"/>
        <v>#VALUE!</v>
      </c>
      <c r="AN30" s="10" t="e">
        <f t="shared" si="35"/>
        <v>#VALUE!</v>
      </c>
      <c r="AO30" s="10" t="e">
        <f t="shared" si="36"/>
        <v>#VALUE!</v>
      </c>
      <c r="AP30" s="10" t="e">
        <f t="shared" si="37"/>
        <v>#VALUE!</v>
      </c>
      <c r="AQ30" s="10" t="e">
        <f t="shared" si="67"/>
        <v>#VALUE!</v>
      </c>
      <c r="AR30" s="10" t="e">
        <f t="shared" si="12"/>
        <v>#VALUE!</v>
      </c>
      <c r="AS30" s="10" t="e">
        <f t="shared" si="68"/>
        <v>#VALUE!</v>
      </c>
      <c r="AU30" s="10" t="e">
        <f t="shared" si="38"/>
        <v>#VALUE!</v>
      </c>
      <c r="AV30" s="10" t="e">
        <f t="shared" si="69"/>
        <v>#VALUE!</v>
      </c>
      <c r="AW30" s="10" t="e">
        <f t="shared" si="13"/>
        <v>#VALUE!</v>
      </c>
      <c r="AX30" s="10" t="e">
        <f t="shared" si="39"/>
        <v>#VALUE!</v>
      </c>
      <c r="AY30" s="10" t="e">
        <f t="shared" si="40"/>
        <v>#VALUE!</v>
      </c>
      <c r="AZ30" s="10" t="e">
        <f t="shared" si="41"/>
        <v>#VALUE!</v>
      </c>
      <c r="BA30" s="10" t="e">
        <f t="shared" si="70"/>
        <v>#VALUE!</v>
      </c>
      <c r="BB30" s="10" t="e">
        <f t="shared" si="14"/>
        <v>#VALUE!</v>
      </c>
      <c r="BC30" s="10" t="e">
        <f t="shared" si="71"/>
        <v>#VALUE!</v>
      </c>
      <c r="BE30" s="10" t="e">
        <f t="shared" si="42"/>
        <v>#VALUE!</v>
      </c>
      <c r="BF30" s="10" t="e">
        <f t="shared" si="72"/>
        <v>#VALUE!</v>
      </c>
      <c r="BG30" s="10" t="e">
        <f t="shared" si="15"/>
        <v>#VALUE!</v>
      </c>
      <c r="BH30" s="10" t="e">
        <f t="shared" si="43"/>
        <v>#VALUE!</v>
      </c>
      <c r="BI30" s="10" t="e">
        <f t="shared" si="44"/>
        <v>#VALUE!</v>
      </c>
      <c r="BJ30" s="10" t="e">
        <f t="shared" si="45"/>
        <v>#VALUE!</v>
      </c>
      <c r="BK30" s="10" t="e">
        <f t="shared" si="73"/>
        <v>#VALUE!</v>
      </c>
      <c r="BL30" s="10" t="e">
        <f t="shared" si="16"/>
        <v>#VALUE!</v>
      </c>
      <c r="BM30" s="10" t="e">
        <f t="shared" si="74"/>
        <v>#VALUE!</v>
      </c>
      <c r="BP30" s="10" t="e">
        <f t="shared" si="46"/>
        <v>#VALUE!</v>
      </c>
      <c r="BQ30" s="10" t="e">
        <f t="shared" si="47"/>
        <v>#VALUE!</v>
      </c>
      <c r="BR30" s="10" t="e">
        <f t="shared" si="48"/>
        <v>#VALUE!</v>
      </c>
      <c r="BS30" s="10" t="e">
        <f t="shared" si="49"/>
        <v>#VALUE!</v>
      </c>
      <c r="BT30" s="10" t="e">
        <f t="shared" si="50"/>
        <v>#VALUE!</v>
      </c>
      <c r="BU30" s="10" t="e">
        <f t="shared" si="51"/>
        <v>#VALUE!</v>
      </c>
      <c r="BW30" s="10" t="e">
        <f t="shared" si="52"/>
        <v>#VALUE!</v>
      </c>
      <c r="BX30" s="10" t="e">
        <f t="shared" si="53"/>
        <v>#VALUE!</v>
      </c>
      <c r="BY30" s="10" t="e">
        <f t="shared" si="54"/>
        <v>#VALUE!</v>
      </c>
      <c r="BZ30" s="10" t="e">
        <f t="shared" si="55"/>
        <v>#VALUE!</v>
      </c>
      <c r="CA30" s="10" t="e">
        <f t="shared" si="56"/>
        <v>#VALUE!</v>
      </c>
      <c r="CB30" s="10" t="e">
        <f t="shared" si="57"/>
        <v>#VALUE!</v>
      </c>
      <c r="CD30" s="10" t="e">
        <f>MATCH(INDEX($BP$12:$BU$12,1,MATCH(BP30,$BP$15:$BU$15,0)),结果汇总!$AI$10:$AI$13,0)</f>
        <v>#VALUE!</v>
      </c>
      <c r="CE30" s="10" t="e">
        <f>MATCH(INDEX($BP$12:$BU$12,1,MATCH(BQ30,$BP$15:$BU$15,0)),结果汇总!$AI$10:$AI$13,0)</f>
        <v>#VALUE!</v>
      </c>
      <c r="CF30" s="10" t="e">
        <f>MATCH(INDEX($BP$12:$BU$12,1,MATCH(BR30,$BP$15:$BU$15,0)),结果汇总!$AI$10:$AI$13,0)</f>
        <v>#VALUE!</v>
      </c>
      <c r="CG30" s="10" t="e">
        <f>MATCH(INDEX($BP$12:$BU$12,1,MATCH(BS30,$BP$15:$BU$15,0)),结果汇总!$AI$10:$AI$13,0)</f>
        <v>#VALUE!</v>
      </c>
      <c r="CH30" s="10" t="e">
        <f>MATCH(INDEX($BP$12:$BU$12,1,MATCH(BT30,$BP$15:$BU$15,0)),结果汇总!$AI$10:$AI$13,0)</f>
        <v>#VALUE!</v>
      </c>
      <c r="CI30" s="10" t="e">
        <f>MATCH(INDEX($BP$12:$BU$12,1,MATCH(BU30,$BP$15:$BU$15,0)),结果汇总!$AI$10:$AI$13,0)</f>
        <v>#VALUE!</v>
      </c>
      <c r="CK30" s="10">
        <f t="shared" si="58"/>
        <v>0</v>
      </c>
      <c r="CL30" s="10">
        <f t="shared" si="17"/>
        <v>0</v>
      </c>
      <c r="CM30" s="10">
        <f t="shared" si="17"/>
        <v>0</v>
      </c>
      <c r="CN30" s="10">
        <f t="shared" si="17"/>
        <v>0</v>
      </c>
      <c r="CO30" s="10" t="e">
        <f t="shared" si="59"/>
        <v>#DIV/0!</v>
      </c>
      <c r="CP30" s="10" t="e">
        <f t="shared" si="18"/>
        <v>#DIV/0!</v>
      </c>
      <c r="CQ30" s="10" t="e">
        <f t="shared" si="18"/>
        <v>#DIV/0!</v>
      </c>
      <c r="CR30" s="10" t="e">
        <f t="shared" si="18"/>
        <v>#DIV/0!</v>
      </c>
      <c r="CS30" s="10">
        <f t="shared" si="60"/>
        <v>0</v>
      </c>
      <c r="CT30" s="10">
        <f t="shared" si="19"/>
        <v>0</v>
      </c>
      <c r="CU30" s="10">
        <f t="shared" si="19"/>
        <v>0</v>
      </c>
      <c r="CV30" s="10">
        <f t="shared" si="19"/>
        <v>0</v>
      </c>
      <c r="CW30" s="10" t="e">
        <f t="shared" si="61"/>
        <v>#DIV/0!</v>
      </c>
      <c r="CX30" s="10" t="e">
        <f t="shared" si="20"/>
        <v>#DIV/0!</v>
      </c>
      <c r="CY30" s="10" t="e">
        <f t="shared" si="20"/>
        <v>#DIV/0!</v>
      </c>
      <c r="CZ30" s="10" t="e">
        <f t="shared" si="20"/>
        <v>#DIV/0!</v>
      </c>
    </row>
    <row r="31" spans="4:104" x14ac:dyDescent="0.15">
      <c r="D31" s="10">
        <v>16</v>
      </c>
      <c r="E31" s="10" t="e">
        <f t="shared" si="21"/>
        <v>#VALUE!</v>
      </c>
      <c r="F31" s="10" t="e">
        <f t="shared" si="1"/>
        <v>#VALUE!</v>
      </c>
      <c r="G31" s="10" t="e">
        <f t="shared" si="2"/>
        <v>#VALUE!</v>
      </c>
      <c r="H31" s="10" t="e">
        <f t="shared" si="22"/>
        <v>#VALUE!</v>
      </c>
      <c r="I31" s="10" t="e">
        <f t="shared" si="3"/>
        <v>#VALUE!</v>
      </c>
      <c r="J31" s="10" t="e">
        <f t="shared" si="23"/>
        <v>#VALUE!</v>
      </c>
      <c r="K31" s="10" t="e">
        <f t="shared" si="4"/>
        <v>#VALUE!</v>
      </c>
      <c r="L31" s="10" t="e">
        <f t="shared" si="5"/>
        <v>#VALUE!</v>
      </c>
      <c r="M31" s="10" t="e">
        <f t="shared" si="24"/>
        <v>#VALUE!</v>
      </c>
      <c r="O31" s="10" t="e">
        <f t="shared" si="25"/>
        <v>#VALUE!</v>
      </c>
      <c r="P31" s="10" t="e">
        <f t="shared" si="6"/>
        <v>#VALUE!</v>
      </c>
      <c r="Q31" s="10" t="e">
        <f t="shared" si="7"/>
        <v>#VALUE!</v>
      </c>
      <c r="R31" s="10" t="e">
        <f t="shared" si="26"/>
        <v>#VALUE!</v>
      </c>
      <c r="S31" s="10" t="e">
        <f t="shared" si="27"/>
        <v>#VALUE!</v>
      </c>
      <c r="T31" s="10" t="e">
        <f t="shared" si="62"/>
        <v>#VALUE!</v>
      </c>
      <c r="U31" s="10" t="e">
        <f t="shared" si="63"/>
        <v>#VALUE!</v>
      </c>
      <c r="V31" s="10" t="e">
        <f t="shared" si="8"/>
        <v>#VALUE!</v>
      </c>
      <c r="W31" s="10" t="e">
        <f t="shared" si="28"/>
        <v>#VALUE!</v>
      </c>
      <c r="Y31" s="10" t="e">
        <f t="shared" si="29"/>
        <v>#VALUE!</v>
      </c>
      <c r="Z31" s="11" t="e">
        <f t="shared" si="30"/>
        <v>#VALUE!</v>
      </c>
      <c r="AA31" s="10" t="e">
        <f t="shared" si="9"/>
        <v>#VALUE!</v>
      </c>
      <c r="AB31" s="10" t="e">
        <f t="shared" si="31"/>
        <v>#VALUE!</v>
      </c>
      <c r="AC31" s="10" t="e">
        <f t="shared" si="32"/>
        <v>#VALUE!</v>
      </c>
      <c r="AD31" s="10" t="e">
        <f t="shared" si="64"/>
        <v>#VALUE!</v>
      </c>
      <c r="AE31" s="10" t="e">
        <f t="shared" si="65"/>
        <v>#VALUE!</v>
      </c>
      <c r="AF31" s="10" t="e">
        <f t="shared" si="10"/>
        <v>#VALUE!</v>
      </c>
      <c r="AG31" s="10" t="e">
        <f t="shared" si="33"/>
        <v>#VALUE!</v>
      </c>
      <c r="AI31" s="13"/>
      <c r="AK31" s="10" t="e">
        <f t="shared" si="34"/>
        <v>#VALUE!</v>
      </c>
      <c r="AL31" s="10" t="e">
        <f t="shared" si="66"/>
        <v>#VALUE!</v>
      </c>
      <c r="AM31" s="10" t="e">
        <f t="shared" si="11"/>
        <v>#VALUE!</v>
      </c>
      <c r="AN31" s="10" t="e">
        <f t="shared" si="35"/>
        <v>#VALUE!</v>
      </c>
      <c r="AO31" s="10" t="e">
        <f t="shared" si="36"/>
        <v>#VALUE!</v>
      </c>
      <c r="AP31" s="10" t="e">
        <f t="shared" si="37"/>
        <v>#VALUE!</v>
      </c>
      <c r="AQ31" s="10" t="e">
        <f t="shared" si="67"/>
        <v>#VALUE!</v>
      </c>
      <c r="AR31" s="10" t="e">
        <f t="shared" si="12"/>
        <v>#VALUE!</v>
      </c>
      <c r="AS31" s="10" t="e">
        <f t="shared" si="68"/>
        <v>#VALUE!</v>
      </c>
      <c r="AU31" s="10" t="e">
        <f t="shared" si="38"/>
        <v>#VALUE!</v>
      </c>
      <c r="AV31" s="10" t="e">
        <f t="shared" si="69"/>
        <v>#VALUE!</v>
      </c>
      <c r="AW31" s="10" t="e">
        <f t="shared" si="13"/>
        <v>#VALUE!</v>
      </c>
      <c r="AX31" s="10" t="e">
        <f t="shared" si="39"/>
        <v>#VALUE!</v>
      </c>
      <c r="AY31" s="10" t="e">
        <f t="shared" si="40"/>
        <v>#VALUE!</v>
      </c>
      <c r="AZ31" s="10" t="e">
        <f t="shared" si="41"/>
        <v>#VALUE!</v>
      </c>
      <c r="BA31" s="10" t="e">
        <f t="shared" si="70"/>
        <v>#VALUE!</v>
      </c>
      <c r="BB31" s="10" t="e">
        <f t="shared" si="14"/>
        <v>#VALUE!</v>
      </c>
      <c r="BC31" s="10" t="e">
        <f t="shared" si="71"/>
        <v>#VALUE!</v>
      </c>
      <c r="BE31" s="10" t="e">
        <f t="shared" si="42"/>
        <v>#VALUE!</v>
      </c>
      <c r="BF31" s="10" t="e">
        <f t="shared" si="72"/>
        <v>#VALUE!</v>
      </c>
      <c r="BG31" s="10" t="e">
        <f t="shared" si="15"/>
        <v>#VALUE!</v>
      </c>
      <c r="BH31" s="10" t="e">
        <f t="shared" si="43"/>
        <v>#VALUE!</v>
      </c>
      <c r="BI31" s="10" t="e">
        <f t="shared" si="44"/>
        <v>#VALUE!</v>
      </c>
      <c r="BJ31" s="10" t="e">
        <f t="shared" si="45"/>
        <v>#VALUE!</v>
      </c>
      <c r="BK31" s="10" t="e">
        <f t="shared" si="73"/>
        <v>#VALUE!</v>
      </c>
      <c r="BL31" s="10" t="e">
        <f t="shared" si="16"/>
        <v>#VALUE!</v>
      </c>
      <c r="BM31" s="10" t="e">
        <f t="shared" si="74"/>
        <v>#VALUE!</v>
      </c>
      <c r="BP31" s="10" t="e">
        <f t="shared" si="46"/>
        <v>#VALUE!</v>
      </c>
      <c r="BQ31" s="10" t="e">
        <f t="shared" si="47"/>
        <v>#VALUE!</v>
      </c>
      <c r="BR31" s="10" t="e">
        <f t="shared" si="48"/>
        <v>#VALUE!</v>
      </c>
      <c r="BS31" s="10" t="e">
        <f t="shared" si="49"/>
        <v>#VALUE!</v>
      </c>
      <c r="BT31" s="10" t="e">
        <f t="shared" si="50"/>
        <v>#VALUE!</v>
      </c>
      <c r="BU31" s="10" t="e">
        <f t="shared" si="51"/>
        <v>#VALUE!</v>
      </c>
      <c r="BW31" s="10" t="e">
        <f t="shared" si="52"/>
        <v>#VALUE!</v>
      </c>
      <c r="BX31" s="10" t="e">
        <f t="shared" si="53"/>
        <v>#VALUE!</v>
      </c>
      <c r="BY31" s="10" t="e">
        <f t="shared" si="54"/>
        <v>#VALUE!</v>
      </c>
      <c r="BZ31" s="10" t="e">
        <f t="shared" si="55"/>
        <v>#VALUE!</v>
      </c>
      <c r="CA31" s="10" t="e">
        <f t="shared" si="56"/>
        <v>#VALUE!</v>
      </c>
      <c r="CB31" s="10" t="e">
        <f t="shared" si="57"/>
        <v>#VALUE!</v>
      </c>
      <c r="CD31" s="10" t="e">
        <f>MATCH(INDEX($BP$12:$BU$12,1,MATCH(BP31,$BP$15:$BU$15,0)),结果汇总!$AI$10:$AI$13,0)</f>
        <v>#VALUE!</v>
      </c>
      <c r="CE31" s="10" t="e">
        <f>MATCH(INDEX($BP$12:$BU$12,1,MATCH(BQ31,$BP$15:$BU$15,0)),结果汇总!$AI$10:$AI$13,0)</f>
        <v>#VALUE!</v>
      </c>
      <c r="CF31" s="10" t="e">
        <f>MATCH(INDEX($BP$12:$BU$12,1,MATCH(BR31,$BP$15:$BU$15,0)),结果汇总!$AI$10:$AI$13,0)</f>
        <v>#VALUE!</v>
      </c>
      <c r="CG31" s="10" t="e">
        <f>MATCH(INDEX($BP$12:$BU$12,1,MATCH(BS31,$BP$15:$BU$15,0)),结果汇总!$AI$10:$AI$13,0)</f>
        <v>#VALUE!</v>
      </c>
      <c r="CH31" s="10" t="e">
        <f>MATCH(INDEX($BP$12:$BU$12,1,MATCH(BT31,$BP$15:$BU$15,0)),结果汇总!$AI$10:$AI$13,0)</f>
        <v>#VALUE!</v>
      </c>
      <c r="CI31" s="10" t="e">
        <f>MATCH(INDEX($BP$12:$BU$12,1,MATCH(BU31,$BP$15:$BU$15,0)),结果汇总!$AI$10:$AI$13,0)</f>
        <v>#VALUE!</v>
      </c>
      <c r="CK31" s="10">
        <f t="shared" si="58"/>
        <v>0</v>
      </c>
      <c r="CL31" s="10">
        <f t="shared" si="17"/>
        <v>0</v>
      </c>
      <c r="CM31" s="10">
        <f t="shared" si="17"/>
        <v>0</v>
      </c>
      <c r="CN31" s="10">
        <f t="shared" si="17"/>
        <v>0</v>
      </c>
      <c r="CO31" s="10" t="e">
        <f t="shared" si="59"/>
        <v>#DIV/0!</v>
      </c>
      <c r="CP31" s="10" t="e">
        <f t="shared" si="18"/>
        <v>#DIV/0!</v>
      </c>
      <c r="CQ31" s="10" t="e">
        <f t="shared" si="18"/>
        <v>#DIV/0!</v>
      </c>
      <c r="CR31" s="10" t="e">
        <f t="shared" si="18"/>
        <v>#DIV/0!</v>
      </c>
      <c r="CS31" s="10">
        <f t="shared" si="60"/>
        <v>0</v>
      </c>
      <c r="CT31" s="10">
        <f t="shared" si="19"/>
        <v>0</v>
      </c>
      <c r="CU31" s="10">
        <f t="shared" si="19"/>
        <v>0</v>
      </c>
      <c r="CV31" s="10">
        <f t="shared" si="19"/>
        <v>0</v>
      </c>
      <c r="CW31" s="10" t="e">
        <f t="shared" si="61"/>
        <v>#DIV/0!</v>
      </c>
      <c r="CX31" s="10" t="e">
        <f t="shared" si="20"/>
        <v>#DIV/0!</v>
      </c>
      <c r="CY31" s="10" t="e">
        <f t="shared" si="20"/>
        <v>#DIV/0!</v>
      </c>
      <c r="CZ31" s="10" t="e">
        <f t="shared" si="20"/>
        <v>#DIV/0!</v>
      </c>
    </row>
    <row r="32" spans="4:104" x14ac:dyDescent="0.15">
      <c r="D32" s="10">
        <v>17</v>
      </c>
      <c r="E32" s="10" t="e">
        <f t="shared" si="21"/>
        <v>#VALUE!</v>
      </c>
      <c r="F32" s="10" t="e">
        <f t="shared" si="1"/>
        <v>#VALUE!</v>
      </c>
      <c r="G32" s="10" t="e">
        <f t="shared" si="2"/>
        <v>#VALUE!</v>
      </c>
      <c r="H32" s="10" t="e">
        <f t="shared" si="22"/>
        <v>#VALUE!</v>
      </c>
      <c r="I32" s="10" t="e">
        <f t="shared" si="3"/>
        <v>#VALUE!</v>
      </c>
      <c r="J32" s="10" t="e">
        <f t="shared" si="23"/>
        <v>#VALUE!</v>
      </c>
      <c r="K32" s="10" t="e">
        <f t="shared" si="4"/>
        <v>#VALUE!</v>
      </c>
      <c r="L32" s="10" t="e">
        <f t="shared" si="5"/>
        <v>#VALUE!</v>
      </c>
      <c r="M32" s="10" t="e">
        <f t="shared" si="24"/>
        <v>#VALUE!</v>
      </c>
      <c r="O32" s="10" t="e">
        <f t="shared" si="25"/>
        <v>#VALUE!</v>
      </c>
      <c r="P32" s="10" t="e">
        <f t="shared" si="6"/>
        <v>#VALUE!</v>
      </c>
      <c r="Q32" s="10" t="e">
        <f t="shared" si="7"/>
        <v>#VALUE!</v>
      </c>
      <c r="R32" s="10" t="e">
        <f t="shared" si="26"/>
        <v>#VALUE!</v>
      </c>
      <c r="S32" s="10" t="e">
        <f t="shared" si="27"/>
        <v>#VALUE!</v>
      </c>
      <c r="T32" s="10" t="e">
        <f t="shared" si="62"/>
        <v>#VALUE!</v>
      </c>
      <c r="U32" s="10" t="e">
        <f t="shared" si="63"/>
        <v>#VALUE!</v>
      </c>
      <c r="V32" s="10" t="e">
        <f t="shared" si="8"/>
        <v>#VALUE!</v>
      </c>
      <c r="W32" s="10" t="e">
        <f t="shared" si="28"/>
        <v>#VALUE!</v>
      </c>
      <c r="Y32" s="10" t="e">
        <f t="shared" si="29"/>
        <v>#VALUE!</v>
      </c>
      <c r="Z32" s="11" t="e">
        <f t="shared" si="30"/>
        <v>#VALUE!</v>
      </c>
      <c r="AA32" s="10" t="e">
        <f t="shared" si="9"/>
        <v>#VALUE!</v>
      </c>
      <c r="AB32" s="10" t="e">
        <f t="shared" si="31"/>
        <v>#VALUE!</v>
      </c>
      <c r="AC32" s="10" t="e">
        <f t="shared" si="32"/>
        <v>#VALUE!</v>
      </c>
      <c r="AD32" s="10" t="e">
        <f t="shared" si="64"/>
        <v>#VALUE!</v>
      </c>
      <c r="AE32" s="10" t="e">
        <f t="shared" si="65"/>
        <v>#VALUE!</v>
      </c>
      <c r="AF32" s="10" t="e">
        <f t="shared" si="10"/>
        <v>#VALUE!</v>
      </c>
      <c r="AG32" s="10" t="e">
        <f t="shared" si="33"/>
        <v>#VALUE!</v>
      </c>
      <c r="AI32" s="13"/>
      <c r="AK32" s="10" t="e">
        <f t="shared" si="34"/>
        <v>#VALUE!</v>
      </c>
      <c r="AL32" s="10" t="e">
        <f t="shared" si="66"/>
        <v>#VALUE!</v>
      </c>
      <c r="AM32" s="10" t="e">
        <f t="shared" si="11"/>
        <v>#VALUE!</v>
      </c>
      <c r="AN32" s="10" t="e">
        <f t="shared" si="35"/>
        <v>#VALUE!</v>
      </c>
      <c r="AO32" s="10" t="e">
        <f t="shared" si="36"/>
        <v>#VALUE!</v>
      </c>
      <c r="AP32" s="10" t="e">
        <f t="shared" si="37"/>
        <v>#VALUE!</v>
      </c>
      <c r="AQ32" s="10" t="e">
        <f t="shared" si="67"/>
        <v>#VALUE!</v>
      </c>
      <c r="AR32" s="10" t="e">
        <f t="shared" si="12"/>
        <v>#VALUE!</v>
      </c>
      <c r="AS32" s="10" t="e">
        <f t="shared" si="68"/>
        <v>#VALUE!</v>
      </c>
      <c r="AU32" s="10" t="e">
        <f t="shared" si="38"/>
        <v>#VALUE!</v>
      </c>
      <c r="AV32" s="10" t="e">
        <f t="shared" si="69"/>
        <v>#VALUE!</v>
      </c>
      <c r="AW32" s="10" t="e">
        <f t="shared" si="13"/>
        <v>#VALUE!</v>
      </c>
      <c r="AX32" s="10" t="e">
        <f t="shared" si="39"/>
        <v>#VALUE!</v>
      </c>
      <c r="AY32" s="10" t="e">
        <f t="shared" si="40"/>
        <v>#VALUE!</v>
      </c>
      <c r="AZ32" s="10" t="e">
        <f t="shared" si="41"/>
        <v>#VALUE!</v>
      </c>
      <c r="BA32" s="10" t="e">
        <f t="shared" si="70"/>
        <v>#VALUE!</v>
      </c>
      <c r="BB32" s="10" t="e">
        <f t="shared" si="14"/>
        <v>#VALUE!</v>
      </c>
      <c r="BC32" s="10" t="e">
        <f t="shared" si="71"/>
        <v>#VALUE!</v>
      </c>
      <c r="BE32" s="10" t="e">
        <f t="shared" si="42"/>
        <v>#VALUE!</v>
      </c>
      <c r="BF32" s="10" t="e">
        <f t="shared" si="72"/>
        <v>#VALUE!</v>
      </c>
      <c r="BG32" s="10" t="e">
        <f t="shared" si="15"/>
        <v>#VALUE!</v>
      </c>
      <c r="BH32" s="10" t="e">
        <f t="shared" si="43"/>
        <v>#VALUE!</v>
      </c>
      <c r="BI32" s="10" t="e">
        <f t="shared" si="44"/>
        <v>#VALUE!</v>
      </c>
      <c r="BJ32" s="10" t="e">
        <f t="shared" si="45"/>
        <v>#VALUE!</v>
      </c>
      <c r="BK32" s="10" t="e">
        <f t="shared" si="73"/>
        <v>#VALUE!</v>
      </c>
      <c r="BL32" s="10" t="e">
        <f t="shared" si="16"/>
        <v>#VALUE!</v>
      </c>
      <c r="BM32" s="10" t="e">
        <f t="shared" si="74"/>
        <v>#VALUE!</v>
      </c>
      <c r="BP32" s="10" t="e">
        <f t="shared" si="46"/>
        <v>#VALUE!</v>
      </c>
      <c r="BQ32" s="10" t="e">
        <f t="shared" si="47"/>
        <v>#VALUE!</v>
      </c>
      <c r="BR32" s="10" t="e">
        <f t="shared" si="48"/>
        <v>#VALUE!</v>
      </c>
      <c r="BS32" s="10" t="e">
        <f t="shared" si="49"/>
        <v>#VALUE!</v>
      </c>
      <c r="BT32" s="10" t="e">
        <f t="shared" si="50"/>
        <v>#VALUE!</v>
      </c>
      <c r="BU32" s="10" t="e">
        <f t="shared" si="51"/>
        <v>#VALUE!</v>
      </c>
      <c r="BW32" s="10" t="e">
        <f t="shared" si="52"/>
        <v>#VALUE!</v>
      </c>
      <c r="BX32" s="10" t="e">
        <f t="shared" si="53"/>
        <v>#VALUE!</v>
      </c>
      <c r="BY32" s="10" t="e">
        <f t="shared" si="54"/>
        <v>#VALUE!</v>
      </c>
      <c r="BZ32" s="10" t="e">
        <f t="shared" si="55"/>
        <v>#VALUE!</v>
      </c>
      <c r="CA32" s="10" t="e">
        <f t="shared" si="56"/>
        <v>#VALUE!</v>
      </c>
      <c r="CB32" s="10" t="e">
        <f t="shared" si="57"/>
        <v>#VALUE!</v>
      </c>
      <c r="CD32" s="10" t="e">
        <f>MATCH(INDEX($BP$12:$BU$12,1,MATCH(BP32,$BP$15:$BU$15,0)),结果汇总!$AI$10:$AI$13,0)</f>
        <v>#VALUE!</v>
      </c>
      <c r="CE32" s="10" t="e">
        <f>MATCH(INDEX($BP$12:$BU$12,1,MATCH(BQ32,$BP$15:$BU$15,0)),结果汇总!$AI$10:$AI$13,0)</f>
        <v>#VALUE!</v>
      </c>
      <c r="CF32" s="10" t="e">
        <f>MATCH(INDEX($BP$12:$BU$12,1,MATCH(BR32,$BP$15:$BU$15,0)),结果汇总!$AI$10:$AI$13,0)</f>
        <v>#VALUE!</v>
      </c>
      <c r="CG32" s="10" t="e">
        <f>MATCH(INDEX($BP$12:$BU$12,1,MATCH(BS32,$BP$15:$BU$15,0)),结果汇总!$AI$10:$AI$13,0)</f>
        <v>#VALUE!</v>
      </c>
      <c r="CH32" s="10" t="e">
        <f>MATCH(INDEX($BP$12:$BU$12,1,MATCH(BT32,$BP$15:$BU$15,0)),结果汇总!$AI$10:$AI$13,0)</f>
        <v>#VALUE!</v>
      </c>
      <c r="CI32" s="10" t="e">
        <f>MATCH(INDEX($BP$12:$BU$12,1,MATCH(BU32,$BP$15:$BU$15,0)),结果汇总!$AI$10:$AI$13,0)</f>
        <v>#VALUE!</v>
      </c>
      <c r="CK32" s="10">
        <f t="shared" si="58"/>
        <v>0</v>
      </c>
      <c r="CL32" s="10">
        <f t="shared" si="58"/>
        <v>0</v>
      </c>
      <c r="CM32" s="10">
        <f t="shared" si="58"/>
        <v>0</v>
      </c>
      <c r="CN32" s="10">
        <f t="shared" si="58"/>
        <v>0</v>
      </c>
      <c r="CO32" s="10" t="e">
        <f t="shared" si="59"/>
        <v>#DIV/0!</v>
      </c>
      <c r="CP32" s="10" t="e">
        <f t="shared" si="59"/>
        <v>#DIV/0!</v>
      </c>
      <c r="CQ32" s="10" t="e">
        <f t="shared" si="59"/>
        <v>#DIV/0!</v>
      </c>
      <c r="CR32" s="10" t="e">
        <f t="shared" si="59"/>
        <v>#DIV/0!</v>
      </c>
      <c r="CS32" s="10">
        <f t="shared" si="60"/>
        <v>0</v>
      </c>
      <c r="CT32" s="10">
        <f t="shared" si="60"/>
        <v>0</v>
      </c>
      <c r="CU32" s="10">
        <f t="shared" si="60"/>
        <v>0</v>
      </c>
      <c r="CV32" s="10">
        <f t="shared" si="60"/>
        <v>0</v>
      </c>
      <c r="CW32" s="10" t="e">
        <f t="shared" si="61"/>
        <v>#DIV/0!</v>
      </c>
      <c r="CX32" s="10" t="e">
        <f t="shared" si="61"/>
        <v>#DIV/0!</v>
      </c>
      <c r="CY32" s="10" t="e">
        <f t="shared" si="61"/>
        <v>#DIV/0!</v>
      </c>
      <c r="CZ32" s="10" t="e">
        <f t="shared" si="61"/>
        <v>#DIV/0!</v>
      </c>
    </row>
    <row r="33" spans="4:104" x14ac:dyDescent="0.15">
      <c r="D33" s="10">
        <v>18</v>
      </c>
      <c r="E33" s="10" t="e">
        <f t="shared" si="21"/>
        <v>#VALUE!</v>
      </c>
      <c r="F33" s="10" t="e">
        <f t="shared" si="1"/>
        <v>#VALUE!</v>
      </c>
      <c r="G33" s="10" t="e">
        <f t="shared" si="2"/>
        <v>#VALUE!</v>
      </c>
      <c r="H33" s="10" t="e">
        <f t="shared" si="22"/>
        <v>#VALUE!</v>
      </c>
      <c r="I33" s="10" t="e">
        <f t="shared" si="3"/>
        <v>#VALUE!</v>
      </c>
      <c r="J33" s="10" t="e">
        <f t="shared" si="23"/>
        <v>#VALUE!</v>
      </c>
      <c r="K33" s="10" t="e">
        <f t="shared" si="4"/>
        <v>#VALUE!</v>
      </c>
      <c r="L33" s="10" t="e">
        <f t="shared" si="5"/>
        <v>#VALUE!</v>
      </c>
      <c r="M33" s="10" t="e">
        <f t="shared" si="24"/>
        <v>#VALUE!</v>
      </c>
      <c r="O33" s="10" t="e">
        <f t="shared" si="25"/>
        <v>#VALUE!</v>
      </c>
      <c r="P33" s="10" t="e">
        <f t="shared" si="6"/>
        <v>#VALUE!</v>
      </c>
      <c r="Q33" s="10" t="e">
        <f t="shared" si="7"/>
        <v>#VALUE!</v>
      </c>
      <c r="R33" s="10" t="e">
        <f t="shared" si="26"/>
        <v>#VALUE!</v>
      </c>
      <c r="S33" s="10" t="e">
        <f t="shared" si="27"/>
        <v>#VALUE!</v>
      </c>
      <c r="T33" s="10" t="e">
        <f t="shared" si="62"/>
        <v>#VALUE!</v>
      </c>
      <c r="U33" s="10" t="e">
        <f t="shared" si="63"/>
        <v>#VALUE!</v>
      </c>
      <c r="V33" s="10" t="e">
        <f t="shared" si="8"/>
        <v>#VALUE!</v>
      </c>
      <c r="W33" s="10" t="e">
        <f t="shared" si="28"/>
        <v>#VALUE!</v>
      </c>
      <c r="Y33" s="10" t="e">
        <f t="shared" si="29"/>
        <v>#VALUE!</v>
      </c>
      <c r="Z33" s="11" t="e">
        <f t="shared" si="30"/>
        <v>#VALUE!</v>
      </c>
      <c r="AA33" s="10" t="e">
        <f t="shared" si="9"/>
        <v>#VALUE!</v>
      </c>
      <c r="AB33" s="10" t="e">
        <f t="shared" si="31"/>
        <v>#VALUE!</v>
      </c>
      <c r="AC33" s="10" t="e">
        <f t="shared" si="32"/>
        <v>#VALUE!</v>
      </c>
      <c r="AD33" s="10" t="e">
        <f t="shared" si="64"/>
        <v>#VALUE!</v>
      </c>
      <c r="AE33" s="10" t="e">
        <f t="shared" si="65"/>
        <v>#VALUE!</v>
      </c>
      <c r="AF33" s="10" t="e">
        <f t="shared" si="10"/>
        <v>#VALUE!</v>
      </c>
      <c r="AG33" s="10" t="e">
        <f t="shared" si="33"/>
        <v>#VALUE!</v>
      </c>
      <c r="AI33" s="13"/>
      <c r="AK33" s="10" t="e">
        <f t="shared" si="34"/>
        <v>#VALUE!</v>
      </c>
      <c r="AL33" s="10" t="e">
        <f t="shared" si="66"/>
        <v>#VALUE!</v>
      </c>
      <c r="AM33" s="10" t="e">
        <f t="shared" si="11"/>
        <v>#VALUE!</v>
      </c>
      <c r="AN33" s="10" t="e">
        <f t="shared" si="35"/>
        <v>#VALUE!</v>
      </c>
      <c r="AO33" s="10" t="e">
        <f t="shared" si="36"/>
        <v>#VALUE!</v>
      </c>
      <c r="AP33" s="10" t="e">
        <f t="shared" si="37"/>
        <v>#VALUE!</v>
      </c>
      <c r="AQ33" s="10" t="e">
        <f t="shared" si="67"/>
        <v>#VALUE!</v>
      </c>
      <c r="AR33" s="10" t="e">
        <f t="shared" si="12"/>
        <v>#VALUE!</v>
      </c>
      <c r="AS33" s="10" t="e">
        <f t="shared" si="68"/>
        <v>#VALUE!</v>
      </c>
      <c r="AU33" s="10" t="e">
        <f t="shared" si="38"/>
        <v>#VALUE!</v>
      </c>
      <c r="AV33" s="10" t="e">
        <f t="shared" si="69"/>
        <v>#VALUE!</v>
      </c>
      <c r="AW33" s="10" t="e">
        <f t="shared" si="13"/>
        <v>#VALUE!</v>
      </c>
      <c r="AX33" s="10" t="e">
        <f t="shared" si="39"/>
        <v>#VALUE!</v>
      </c>
      <c r="AY33" s="10" t="e">
        <f t="shared" si="40"/>
        <v>#VALUE!</v>
      </c>
      <c r="AZ33" s="10" t="e">
        <f t="shared" si="41"/>
        <v>#VALUE!</v>
      </c>
      <c r="BA33" s="10" t="e">
        <f t="shared" si="70"/>
        <v>#VALUE!</v>
      </c>
      <c r="BB33" s="10" t="e">
        <f t="shared" si="14"/>
        <v>#VALUE!</v>
      </c>
      <c r="BC33" s="10" t="e">
        <f t="shared" si="71"/>
        <v>#VALUE!</v>
      </c>
      <c r="BE33" s="10" t="e">
        <f t="shared" si="42"/>
        <v>#VALUE!</v>
      </c>
      <c r="BF33" s="10" t="e">
        <f t="shared" si="72"/>
        <v>#VALUE!</v>
      </c>
      <c r="BG33" s="10" t="e">
        <f t="shared" si="15"/>
        <v>#VALUE!</v>
      </c>
      <c r="BH33" s="10" t="e">
        <f t="shared" si="43"/>
        <v>#VALUE!</v>
      </c>
      <c r="BI33" s="10" t="e">
        <f t="shared" si="44"/>
        <v>#VALUE!</v>
      </c>
      <c r="BJ33" s="10" t="e">
        <f t="shared" si="45"/>
        <v>#VALUE!</v>
      </c>
      <c r="BK33" s="10" t="e">
        <f t="shared" si="73"/>
        <v>#VALUE!</v>
      </c>
      <c r="BL33" s="10" t="e">
        <f t="shared" si="16"/>
        <v>#VALUE!</v>
      </c>
      <c r="BM33" s="10" t="e">
        <f t="shared" si="74"/>
        <v>#VALUE!</v>
      </c>
      <c r="BP33" s="10" t="e">
        <f t="shared" si="46"/>
        <v>#VALUE!</v>
      </c>
      <c r="BQ33" s="10" t="e">
        <f t="shared" si="47"/>
        <v>#VALUE!</v>
      </c>
      <c r="BR33" s="10" t="e">
        <f t="shared" si="48"/>
        <v>#VALUE!</v>
      </c>
      <c r="BS33" s="10" t="e">
        <f t="shared" si="49"/>
        <v>#VALUE!</v>
      </c>
      <c r="BT33" s="10" t="e">
        <f t="shared" si="50"/>
        <v>#VALUE!</v>
      </c>
      <c r="BU33" s="10" t="e">
        <f t="shared" si="51"/>
        <v>#VALUE!</v>
      </c>
      <c r="BW33" s="10" t="e">
        <f t="shared" si="52"/>
        <v>#VALUE!</v>
      </c>
      <c r="BX33" s="10" t="e">
        <f t="shared" si="53"/>
        <v>#VALUE!</v>
      </c>
      <c r="BY33" s="10" t="e">
        <f t="shared" si="54"/>
        <v>#VALUE!</v>
      </c>
      <c r="BZ33" s="10" t="e">
        <f t="shared" si="55"/>
        <v>#VALUE!</v>
      </c>
      <c r="CA33" s="10" t="e">
        <f t="shared" si="56"/>
        <v>#VALUE!</v>
      </c>
      <c r="CB33" s="10" t="e">
        <f t="shared" si="57"/>
        <v>#VALUE!</v>
      </c>
      <c r="CD33" s="10" t="e">
        <f>MATCH(INDEX($BP$12:$BU$12,1,MATCH(BP33,$BP$15:$BU$15,0)),结果汇总!$AI$10:$AI$13,0)</f>
        <v>#VALUE!</v>
      </c>
      <c r="CE33" s="10" t="e">
        <f>MATCH(INDEX($BP$12:$BU$12,1,MATCH(BQ33,$BP$15:$BU$15,0)),结果汇总!$AI$10:$AI$13,0)</f>
        <v>#VALUE!</v>
      </c>
      <c r="CF33" s="10" t="e">
        <f>MATCH(INDEX($BP$12:$BU$12,1,MATCH(BR33,$BP$15:$BU$15,0)),结果汇总!$AI$10:$AI$13,0)</f>
        <v>#VALUE!</v>
      </c>
      <c r="CG33" s="10" t="e">
        <f>MATCH(INDEX($BP$12:$BU$12,1,MATCH(BS33,$BP$15:$BU$15,0)),结果汇总!$AI$10:$AI$13,0)</f>
        <v>#VALUE!</v>
      </c>
      <c r="CH33" s="10" t="e">
        <f>MATCH(INDEX($BP$12:$BU$12,1,MATCH(BT33,$BP$15:$BU$15,0)),结果汇总!$AI$10:$AI$13,0)</f>
        <v>#VALUE!</v>
      </c>
      <c r="CI33" s="10" t="e">
        <f>MATCH(INDEX($BP$12:$BU$12,1,MATCH(BU33,$BP$15:$BU$15,0)),结果汇总!$AI$10:$AI$13,0)</f>
        <v>#VALUE!</v>
      </c>
      <c r="CK33" s="10">
        <f t="shared" si="58"/>
        <v>0</v>
      </c>
      <c r="CL33" s="10">
        <f t="shared" si="58"/>
        <v>0</v>
      </c>
      <c r="CM33" s="10">
        <f t="shared" si="58"/>
        <v>0</v>
      </c>
      <c r="CN33" s="10">
        <f t="shared" si="58"/>
        <v>0</v>
      </c>
      <c r="CO33" s="10" t="e">
        <f t="shared" si="59"/>
        <v>#DIV/0!</v>
      </c>
      <c r="CP33" s="10" t="e">
        <f t="shared" si="59"/>
        <v>#DIV/0!</v>
      </c>
      <c r="CQ33" s="10" t="e">
        <f t="shared" si="59"/>
        <v>#DIV/0!</v>
      </c>
      <c r="CR33" s="10" t="e">
        <f t="shared" si="59"/>
        <v>#DIV/0!</v>
      </c>
      <c r="CS33" s="10">
        <f t="shared" si="60"/>
        <v>0</v>
      </c>
      <c r="CT33" s="10">
        <f t="shared" si="60"/>
        <v>0</v>
      </c>
      <c r="CU33" s="10">
        <f t="shared" si="60"/>
        <v>0</v>
      </c>
      <c r="CV33" s="10">
        <f t="shared" si="60"/>
        <v>0</v>
      </c>
      <c r="CW33" s="10" t="e">
        <f t="shared" si="61"/>
        <v>#DIV/0!</v>
      </c>
      <c r="CX33" s="10" t="e">
        <f t="shared" si="61"/>
        <v>#DIV/0!</v>
      </c>
      <c r="CY33" s="10" t="e">
        <f t="shared" si="61"/>
        <v>#DIV/0!</v>
      </c>
      <c r="CZ33" s="10" t="e">
        <f t="shared" si="61"/>
        <v>#DIV/0!</v>
      </c>
    </row>
    <row r="34" spans="4:104" x14ac:dyDescent="0.15">
      <c r="D34" s="10">
        <v>19</v>
      </c>
      <c r="E34" s="10" t="e">
        <f t="shared" si="21"/>
        <v>#VALUE!</v>
      </c>
      <c r="F34" s="10" t="e">
        <f t="shared" si="1"/>
        <v>#VALUE!</v>
      </c>
      <c r="G34" s="10" t="e">
        <f t="shared" si="2"/>
        <v>#VALUE!</v>
      </c>
      <c r="H34" s="10" t="e">
        <f t="shared" si="22"/>
        <v>#VALUE!</v>
      </c>
      <c r="I34" s="10" t="e">
        <f t="shared" si="3"/>
        <v>#VALUE!</v>
      </c>
      <c r="J34" s="10" t="e">
        <f t="shared" si="23"/>
        <v>#VALUE!</v>
      </c>
      <c r="K34" s="10" t="e">
        <f t="shared" si="4"/>
        <v>#VALUE!</v>
      </c>
      <c r="L34" s="10" t="e">
        <f t="shared" si="5"/>
        <v>#VALUE!</v>
      </c>
      <c r="M34" s="10" t="e">
        <f t="shared" si="24"/>
        <v>#VALUE!</v>
      </c>
      <c r="O34" s="10" t="e">
        <f t="shared" si="25"/>
        <v>#VALUE!</v>
      </c>
      <c r="P34" s="10" t="e">
        <f t="shared" si="6"/>
        <v>#VALUE!</v>
      </c>
      <c r="Q34" s="10" t="e">
        <f t="shared" si="7"/>
        <v>#VALUE!</v>
      </c>
      <c r="R34" s="10" t="e">
        <f t="shared" si="26"/>
        <v>#VALUE!</v>
      </c>
      <c r="S34" s="10" t="e">
        <f t="shared" si="27"/>
        <v>#VALUE!</v>
      </c>
      <c r="T34" s="10" t="e">
        <f t="shared" si="62"/>
        <v>#VALUE!</v>
      </c>
      <c r="U34" s="10" t="e">
        <f t="shared" si="63"/>
        <v>#VALUE!</v>
      </c>
      <c r="V34" s="10" t="e">
        <f t="shared" si="8"/>
        <v>#VALUE!</v>
      </c>
      <c r="W34" s="10" t="e">
        <f t="shared" si="28"/>
        <v>#VALUE!</v>
      </c>
      <c r="Y34" s="10" t="e">
        <f t="shared" si="29"/>
        <v>#VALUE!</v>
      </c>
      <c r="Z34" s="11" t="e">
        <f t="shared" si="30"/>
        <v>#VALUE!</v>
      </c>
      <c r="AA34" s="10" t="e">
        <f t="shared" si="9"/>
        <v>#VALUE!</v>
      </c>
      <c r="AB34" s="10" t="e">
        <f t="shared" si="31"/>
        <v>#VALUE!</v>
      </c>
      <c r="AC34" s="10" t="e">
        <f t="shared" si="32"/>
        <v>#VALUE!</v>
      </c>
      <c r="AD34" s="10" t="e">
        <f t="shared" si="64"/>
        <v>#VALUE!</v>
      </c>
      <c r="AE34" s="10" t="e">
        <f t="shared" si="65"/>
        <v>#VALUE!</v>
      </c>
      <c r="AF34" s="10" t="e">
        <f t="shared" si="10"/>
        <v>#VALUE!</v>
      </c>
      <c r="AG34" s="10" t="e">
        <f t="shared" si="33"/>
        <v>#VALUE!</v>
      </c>
      <c r="AI34" s="13"/>
      <c r="AK34" s="10" t="e">
        <f t="shared" si="34"/>
        <v>#VALUE!</v>
      </c>
      <c r="AL34" s="10" t="e">
        <f t="shared" si="66"/>
        <v>#VALUE!</v>
      </c>
      <c r="AM34" s="10" t="e">
        <f t="shared" si="11"/>
        <v>#VALUE!</v>
      </c>
      <c r="AN34" s="10" t="e">
        <f t="shared" si="35"/>
        <v>#VALUE!</v>
      </c>
      <c r="AO34" s="10" t="e">
        <f t="shared" si="36"/>
        <v>#VALUE!</v>
      </c>
      <c r="AP34" s="10" t="e">
        <f t="shared" si="37"/>
        <v>#VALUE!</v>
      </c>
      <c r="AQ34" s="10" t="e">
        <f t="shared" si="67"/>
        <v>#VALUE!</v>
      </c>
      <c r="AR34" s="10" t="e">
        <f t="shared" si="12"/>
        <v>#VALUE!</v>
      </c>
      <c r="AS34" s="10" t="e">
        <f t="shared" si="68"/>
        <v>#VALUE!</v>
      </c>
      <c r="AU34" s="10" t="e">
        <f t="shared" si="38"/>
        <v>#VALUE!</v>
      </c>
      <c r="AV34" s="10" t="e">
        <f t="shared" si="69"/>
        <v>#VALUE!</v>
      </c>
      <c r="AW34" s="10" t="e">
        <f t="shared" si="13"/>
        <v>#VALUE!</v>
      </c>
      <c r="AX34" s="10" t="e">
        <f t="shared" si="39"/>
        <v>#VALUE!</v>
      </c>
      <c r="AY34" s="10" t="e">
        <f t="shared" si="40"/>
        <v>#VALUE!</v>
      </c>
      <c r="AZ34" s="10" t="e">
        <f t="shared" si="41"/>
        <v>#VALUE!</v>
      </c>
      <c r="BA34" s="10" t="e">
        <f t="shared" si="70"/>
        <v>#VALUE!</v>
      </c>
      <c r="BB34" s="10" t="e">
        <f t="shared" si="14"/>
        <v>#VALUE!</v>
      </c>
      <c r="BC34" s="10" t="e">
        <f t="shared" si="71"/>
        <v>#VALUE!</v>
      </c>
      <c r="BE34" s="10" t="e">
        <f t="shared" si="42"/>
        <v>#VALUE!</v>
      </c>
      <c r="BF34" s="10" t="e">
        <f t="shared" si="72"/>
        <v>#VALUE!</v>
      </c>
      <c r="BG34" s="10" t="e">
        <f t="shared" si="15"/>
        <v>#VALUE!</v>
      </c>
      <c r="BH34" s="10" t="e">
        <f t="shared" si="43"/>
        <v>#VALUE!</v>
      </c>
      <c r="BI34" s="10" t="e">
        <f t="shared" si="44"/>
        <v>#VALUE!</v>
      </c>
      <c r="BJ34" s="10" t="e">
        <f t="shared" si="45"/>
        <v>#VALUE!</v>
      </c>
      <c r="BK34" s="10" t="e">
        <f t="shared" si="73"/>
        <v>#VALUE!</v>
      </c>
      <c r="BL34" s="10" t="e">
        <f t="shared" si="16"/>
        <v>#VALUE!</v>
      </c>
      <c r="BM34" s="10" t="e">
        <f t="shared" si="74"/>
        <v>#VALUE!</v>
      </c>
      <c r="BP34" s="10" t="e">
        <f t="shared" si="46"/>
        <v>#VALUE!</v>
      </c>
      <c r="BQ34" s="10" t="e">
        <f t="shared" si="47"/>
        <v>#VALUE!</v>
      </c>
      <c r="BR34" s="10" t="e">
        <f t="shared" si="48"/>
        <v>#VALUE!</v>
      </c>
      <c r="BS34" s="10" t="e">
        <f t="shared" si="49"/>
        <v>#VALUE!</v>
      </c>
      <c r="BT34" s="10" t="e">
        <f t="shared" si="50"/>
        <v>#VALUE!</v>
      </c>
      <c r="BU34" s="10" t="e">
        <f t="shared" si="51"/>
        <v>#VALUE!</v>
      </c>
      <c r="BW34" s="10" t="e">
        <f t="shared" si="52"/>
        <v>#VALUE!</v>
      </c>
      <c r="BX34" s="10" t="e">
        <f t="shared" si="53"/>
        <v>#VALUE!</v>
      </c>
      <c r="BY34" s="10" t="e">
        <f t="shared" si="54"/>
        <v>#VALUE!</v>
      </c>
      <c r="BZ34" s="10" t="e">
        <f t="shared" si="55"/>
        <v>#VALUE!</v>
      </c>
      <c r="CA34" s="10" t="e">
        <f t="shared" si="56"/>
        <v>#VALUE!</v>
      </c>
      <c r="CB34" s="10" t="e">
        <f t="shared" si="57"/>
        <v>#VALUE!</v>
      </c>
      <c r="CD34" s="10" t="e">
        <f>MATCH(INDEX($BP$12:$BU$12,1,MATCH(BP34,$BP$15:$BU$15,0)),结果汇总!$AI$10:$AI$13,0)</f>
        <v>#VALUE!</v>
      </c>
      <c r="CE34" s="10" t="e">
        <f>MATCH(INDEX($BP$12:$BU$12,1,MATCH(BQ34,$BP$15:$BU$15,0)),结果汇总!$AI$10:$AI$13,0)</f>
        <v>#VALUE!</v>
      </c>
      <c r="CF34" s="10" t="e">
        <f>MATCH(INDEX($BP$12:$BU$12,1,MATCH(BR34,$BP$15:$BU$15,0)),结果汇总!$AI$10:$AI$13,0)</f>
        <v>#VALUE!</v>
      </c>
      <c r="CG34" s="10" t="e">
        <f>MATCH(INDEX($BP$12:$BU$12,1,MATCH(BS34,$BP$15:$BU$15,0)),结果汇总!$AI$10:$AI$13,0)</f>
        <v>#VALUE!</v>
      </c>
      <c r="CH34" s="10" t="e">
        <f>MATCH(INDEX($BP$12:$BU$12,1,MATCH(BT34,$BP$15:$BU$15,0)),结果汇总!$AI$10:$AI$13,0)</f>
        <v>#VALUE!</v>
      </c>
      <c r="CI34" s="10" t="e">
        <f>MATCH(INDEX($BP$12:$BU$12,1,MATCH(BU34,$BP$15:$BU$15,0)),结果汇总!$AI$10:$AI$13,0)</f>
        <v>#VALUE!</v>
      </c>
      <c r="CK34" s="10">
        <f t="shared" si="58"/>
        <v>0</v>
      </c>
      <c r="CL34" s="10">
        <f t="shared" si="58"/>
        <v>0</v>
      </c>
      <c r="CM34" s="10">
        <f t="shared" si="58"/>
        <v>0</v>
      </c>
      <c r="CN34" s="10">
        <f t="shared" si="58"/>
        <v>0</v>
      </c>
      <c r="CO34" s="10" t="e">
        <f t="shared" si="59"/>
        <v>#DIV/0!</v>
      </c>
      <c r="CP34" s="10" t="e">
        <f t="shared" si="59"/>
        <v>#DIV/0!</v>
      </c>
      <c r="CQ34" s="10" t="e">
        <f t="shared" si="59"/>
        <v>#DIV/0!</v>
      </c>
      <c r="CR34" s="10" t="e">
        <f t="shared" si="59"/>
        <v>#DIV/0!</v>
      </c>
      <c r="CS34" s="10">
        <f t="shared" si="60"/>
        <v>0</v>
      </c>
      <c r="CT34" s="10">
        <f t="shared" si="60"/>
        <v>0</v>
      </c>
      <c r="CU34" s="10">
        <f t="shared" si="60"/>
        <v>0</v>
      </c>
      <c r="CV34" s="10">
        <f t="shared" si="60"/>
        <v>0</v>
      </c>
      <c r="CW34" s="10" t="e">
        <f t="shared" si="61"/>
        <v>#DIV/0!</v>
      </c>
      <c r="CX34" s="10" t="e">
        <f t="shared" si="61"/>
        <v>#DIV/0!</v>
      </c>
      <c r="CY34" s="10" t="e">
        <f t="shared" si="61"/>
        <v>#DIV/0!</v>
      </c>
      <c r="CZ34" s="10" t="e">
        <f t="shared" si="61"/>
        <v>#DIV/0!</v>
      </c>
    </row>
    <row r="35" spans="4:104" x14ac:dyDescent="0.15">
      <c r="D35" s="10">
        <v>20</v>
      </c>
      <c r="E35" s="10" t="e">
        <f t="shared" si="21"/>
        <v>#VALUE!</v>
      </c>
      <c r="F35" s="10" t="e">
        <f t="shared" si="1"/>
        <v>#VALUE!</v>
      </c>
      <c r="G35" s="10" t="e">
        <f t="shared" si="2"/>
        <v>#VALUE!</v>
      </c>
      <c r="H35" s="10" t="e">
        <f t="shared" si="22"/>
        <v>#VALUE!</v>
      </c>
      <c r="I35" s="10" t="e">
        <f t="shared" si="3"/>
        <v>#VALUE!</v>
      </c>
      <c r="J35" s="10" t="e">
        <f t="shared" si="23"/>
        <v>#VALUE!</v>
      </c>
      <c r="K35" s="10" t="e">
        <f t="shared" si="4"/>
        <v>#VALUE!</v>
      </c>
      <c r="L35" s="10" t="e">
        <f t="shared" si="5"/>
        <v>#VALUE!</v>
      </c>
      <c r="M35" s="10" t="e">
        <f t="shared" si="24"/>
        <v>#VALUE!</v>
      </c>
      <c r="O35" s="10" t="e">
        <f t="shared" si="25"/>
        <v>#VALUE!</v>
      </c>
      <c r="P35" s="10" t="e">
        <f t="shared" si="6"/>
        <v>#VALUE!</v>
      </c>
      <c r="Q35" s="10" t="e">
        <f t="shared" si="7"/>
        <v>#VALUE!</v>
      </c>
      <c r="R35" s="10" t="e">
        <f t="shared" si="26"/>
        <v>#VALUE!</v>
      </c>
      <c r="S35" s="10" t="e">
        <f t="shared" si="27"/>
        <v>#VALUE!</v>
      </c>
      <c r="T35" s="10" t="e">
        <f t="shared" si="62"/>
        <v>#VALUE!</v>
      </c>
      <c r="U35" s="10" t="e">
        <f t="shared" si="63"/>
        <v>#VALUE!</v>
      </c>
      <c r="V35" s="10" t="e">
        <f t="shared" si="8"/>
        <v>#VALUE!</v>
      </c>
      <c r="W35" s="10" t="e">
        <f t="shared" si="28"/>
        <v>#VALUE!</v>
      </c>
      <c r="Y35" s="10" t="e">
        <f t="shared" si="29"/>
        <v>#VALUE!</v>
      </c>
      <c r="Z35" s="11" t="e">
        <f t="shared" si="30"/>
        <v>#VALUE!</v>
      </c>
      <c r="AA35" s="10" t="e">
        <f t="shared" si="9"/>
        <v>#VALUE!</v>
      </c>
      <c r="AB35" s="10" t="e">
        <f t="shared" si="31"/>
        <v>#VALUE!</v>
      </c>
      <c r="AC35" s="10" t="e">
        <f t="shared" si="32"/>
        <v>#VALUE!</v>
      </c>
      <c r="AD35" s="10" t="e">
        <f t="shared" si="64"/>
        <v>#VALUE!</v>
      </c>
      <c r="AE35" s="10" t="e">
        <f t="shared" si="65"/>
        <v>#VALUE!</v>
      </c>
      <c r="AF35" s="10" t="e">
        <f t="shared" si="10"/>
        <v>#VALUE!</v>
      </c>
      <c r="AG35" s="10" t="e">
        <f t="shared" si="33"/>
        <v>#VALUE!</v>
      </c>
      <c r="AI35" s="13"/>
      <c r="AK35" s="10" t="e">
        <f t="shared" si="34"/>
        <v>#VALUE!</v>
      </c>
      <c r="AL35" s="10" t="e">
        <f t="shared" si="66"/>
        <v>#VALUE!</v>
      </c>
      <c r="AM35" s="10" t="e">
        <f t="shared" si="11"/>
        <v>#VALUE!</v>
      </c>
      <c r="AN35" s="10" t="e">
        <f t="shared" si="35"/>
        <v>#VALUE!</v>
      </c>
      <c r="AO35" s="10" t="e">
        <f t="shared" si="36"/>
        <v>#VALUE!</v>
      </c>
      <c r="AP35" s="10" t="e">
        <f t="shared" si="37"/>
        <v>#VALUE!</v>
      </c>
      <c r="AQ35" s="10" t="e">
        <f t="shared" si="67"/>
        <v>#VALUE!</v>
      </c>
      <c r="AR35" s="10" t="e">
        <f t="shared" si="12"/>
        <v>#VALUE!</v>
      </c>
      <c r="AS35" s="10" t="e">
        <f t="shared" si="68"/>
        <v>#VALUE!</v>
      </c>
      <c r="AU35" s="10" t="e">
        <f t="shared" si="38"/>
        <v>#VALUE!</v>
      </c>
      <c r="AV35" s="10" t="e">
        <f t="shared" si="69"/>
        <v>#VALUE!</v>
      </c>
      <c r="AW35" s="10" t="e">
        <f t="shared" si="13"/>
        <v>#VALUE!</v>
      </c>
      <c r="AX35" s="10" t="e">
        <f t="shared" si="39"/>
        <v>#VALUE!</v>
      </c>
      <c r="AY35" s="10" t="e">
        <f t="shared" si="40"/>
        <v>#VALUE!</v>
      </c>
      <c r="AZ35" s="10" t="e">
        <f t="shared" si="41"/>
        <v>#VALUE!</v>
      </c>
      <c r="BA35" s="10" t="e">
        <f t="shared" si="70"/>
        <v>#VALUE!</v>
      </c>
      <c r="BB35" s="10" t="e">
        <f t="shared" si="14"/>
        <v>#VALUE!</v>
      </c>
      <c r="BC35" s="10" t="e">
        <f t="shared" si="71"/>
        <v>#VALUE!</v>
      </c>
      <c r="BE35" s="10" t="e">
        <f t="shared" si="42"/>
        <v>#VALUE!</v>
      </c>
      <c r="BF35" s="10" t="e">
        <f t="shared" si="72"/>
        <v>#VALUE!</v>
      </c>
      <c r="BG35" s="10" t="e">
        <f t="shared" si="15"/>
        <v>#VALUE!</v>
      </c>
      <c r="BH35" s="10" t="e">
        <f t="shared" si="43"/>
        <v>#VALUE!</v>
      </c>
      <c r="BI35" s="10" t="e">
        <f t="shared" si="44"/>
        <v>#VALUE!</v>
      </c>
      <c r="BJ35" s="10" t="e">
        <f t="shared" si="45"/>
        <v>#VALUE!</v>
      </c>
      <c r="BK35" s="10" t="e">
        <f t="shared" si="73"/>
        <v>#VALUE!</v>
      </c>
      <c r="BL35" s="10" t="e">
        <f t="shared" si="16"/>
        <v>#VALUE!</v>
      </c>
      <c r="BM35" s="10" t="e">
        <f t="shared" si="74"/>
        <v>#VALUE!</v>
      </c>
      <c r="BP35" s="10" t="e">
        <f t="shared" si="46"/>
        <v>#VALUE!</v>
      </c>
      <c r="BQ35" s="10" t="e">
        <f t="shared" si="47"/>
        <v>#VALUE!</v>
      </c>
      <c r="BR35" s="10" t="e">
        <f t="shared" si="48"/>
        <v>#VALUE!</v>
      </c>
      <c r="BS35" s="10" t="e">
        <f t="shared" si="49"/>
        <v>#VALUE!</v>
      </c>
      <c r="BT35" s="10" t="e">
        <f t="shared" si="50"/>
        <v>#VALUE!</v>
      </c>
      <c r="BU35" s="10" t="e">
        <f t="shared" si="51"/>
        <v>#VALUE!</v>
      </c>
      <c r="BW35" s="10" t="e">
        <f t="shared" si="52"/>
        <v>#VALUE!</v>
      </c>
      <c r="BX35" s="10" t="e">
        <f t="shared" si="53"/>
        <v>#VALUE!</v>
      </c>
      <c r="BY35" s="10" t="e">
        <f t="shared" si="54"/>
        <v>#VALUE!</v>
      </c>
      <c r="BZ35" s="10" t="e">
        <f t="shared" si="55"/>
        <v>#VALUE!</v>
      </c>
      <c r="CA35" s="10" t="e">
        <f t="shared" si="56"/>
        <v>#VALUE!</v>
      </c>
      <c r="CB35" s="10" t="e">
        <f t="shared" si="57"/>
        <v>#VALUE!</v>
      </c>
      <c r="CD35" s="10" t="e">
        <f>MATCH(INDEX($BP$12:$BU$12,1,MATCH(BP35,$BP$15:$BU$15,0)),结果汇总!$AI$10:$AI$13,0)</f>
        <v>#VALUE!</v>
      </c>
      <c r="CE35" s="10" t="e">
        <f>MATCH(INDEX($BP$12:$BU$12,1,MATCH(BQ35,$BP$15:$BU$15,0)),结果汇总!$AI$10:$AI$13,0)</f>
        <v>#VALUE!</v>
      </c>
      <c r="CF35" s="10" t="e">
        <f>MATCH(INDEX($BP$12:$BU$12,1,MATCH(BR35,$BP$15:$BU$15,0)),结果汇总!$AI$10:$AI$13,0)</f>
        <v>#VALUE!</v>
      </c>
      <c r="CG35" s="10" t="e">
        <f>MATCH(INDEX($BP$12:$BU$12,1,MATCH(BS35,$BP$15:$BU$15,0)),结果汇总!$AI$10:$AI$13,0)</f>
        <v>#VALUE!</v>
      </c>
      <c r="CH35" s="10" t="e">
        <f>MATCH(INDEX($BP$12:$BU$12,1,MATCH(BT35,$BP$15:$BU$15,0)),结果汇总!$AI$10:$AI$13,0)</f>
        <v>#VALUE!</v>
      </c>
      <c r="CI35" s="10" t="e">
        <f>MATCH(INDEX($BP$12:$BU$12,1,MATCH(BU35,$BP$15:$BU$15,0)),结果汇总!$AI$10:$AI$13,0)</f>
        <v>#VALUE!</v>
      </c>
      <c r="CK35" s="10">
        <f t="shared" si="58"/>
        <v>0</v>
      </c>
      <c r="CL35" s="10">
        <f t="shared" si="58"/>
        <v>0</v>
      </c>
      <c r="CM35" s="10">
        <f t="shared" si="58"/>
        <v>0</v>
      </c>
      <c r="CN35" s="10">
        <f t="shared" si="58"/>
        <v>0</v>
      </c>
      <c r="CO35" s="10" t="e">
        <f t="shared" si="59"/>
        <v>#DIV/0!</v>
      </c>
      <c r="CP35" s="10" t="e">
        <f t="shared" si="59"/>
        <v>#DIV/0!</v>
      </c>
      <c r="CQ35" s="10" t="e">
        <f t="shared" si="59"/>
        <v>#DIV/0!</v>
      </c>
      <c r="CR35" s="10" t="e">
        <f t="shared" si="59"/>
        <v>#DIV/0!</v>
      </c>
      <c r="CS35" s="10">
        <f t="shared" si="60"/>
        <v>0</v>
      </c>
      <c r="CT35" s="10">
        <f t="shared" si="60"/>
        <v>0</v>
      </c>
      <c r="CU35" s="10">
        <f t="shared" si="60"/>
        <v>0</v>
      </c>
      <c r="CV35" s="10">
        <f t="shared" si="60"/>
        <v>0</v>
      </c>
      <c r="CW35" s="10" t="e">
        <f t="shared" si="61"/>
        <v>#DIV/0!</v>
      </c>
      <c r="CX35" s="10" t="e">
        <f t="shared" si="61"/>
        <v>#DIV/0!</v>
      </c>
      <c r="CY35" s="10" t="e">
        <f t="shared" si="61"/>
        <v>#DIV/0!</v>
      </c>
      <c r="CZ35" s="10" t="e">
        <f t="shared" si="61"/>
        <v>#DIV/0!</v>
      </c>
    </row>
    <row r="36" spans="4:104" x14ac:dyDescent="0.15">
      <c r="D36" s="10">
        <v>21</v>
      </c>
      <c r="E36" s="10" t="e">
        <f t="shared" si="21"/>
        <v>#VALUE!</v>
      </c>
      <c r="F36" s="10" t="e">
        <f t="shared" si="1"/>
        <v>#VALUE!</v>
      </c>
      <c r="G36" s="10" t="e">
        <f t="shared" si="2"/>
        <v>#VALUE!</v>
      </c>
      <c r="H36" s="10" t="e">
        <f t="shared" si="22"/>
        <v>#VALUE!</v>
      </c>
      <c r="I36" s="10" t="e">
        <f t="shared" si="3"/>
        <v>#VALUE!</v>
      </c>
      <c r="J36" s="10" t="e">
        <f t="shared" si="23"/>
        <v>#VALUE!</v>
      </c>
      <c r="K36" s="10" t="e">
        <f t="shared" si="4"/>
        <v>#VALUE!</v>
      </c>
      <c r="L36" s="10" t="e">
        <f t="shared" si="5"/>
        <v>#VALUE!</v>
      </c>
      <c r="M36" s="10" t="e">
        <f t="shared" si="24"/>
        <v>#VALUE!</v>
      </c>
      <c r="O36" s="10" t="e">
        <f t="shared" si="25"/>
        <v>#VALUE!</v>
      </c>
      <c r="P36" s="10" t="e">
        <f t="shared" si="6"/>
        <v>#VALUE!</v>
      </c>
      <c r="Q36" s="10" t="e">
        <f t="shared" si="7"/>
        <v>#VALUE!</v>
      </c>
      <c r="R36" s="10" t="e">
        <f t="shared" si="26"/>
        <v>#VALUE!</v>
      </c>
      <c r="S36" s="10" t="e">
        <f t="shared" si="27"/>
        <v>#VALUE!</v>
      </c>
      <c r="T36" s="10" t="e">
        <f t="shared" si="62"/>
        <v>#VALUE!</v>
      </c>
      <c r="U36" s="10" t="e">
        <f t="shared" si="63"/>
        <v>#VALUE!</v>
      </c>
      <c r="V36" s="10" t="e">
        <f t="shared" si="8"/>
        <v>#VALUE!</v>
      </c>
      <c r="W36" s="10" t="e">
        <f t="shared" si="28"/>
        <v>#VALUE!</v>
      </c>
      <c r="Y36" s="10" t="e">
        <f t="shared" si="29"/>
        <v>#VALUE!</v>
      </c>
      <c r="Z36" s="11" t="e">
        <f t="shared" si="30"/>
        <v>#VALUE!</v>
      </c>
      <c r="AA36" s="10" t="e">
        <f t="shared" si="9"/>
        <v>#VALUE!</v>
      </c>
      <c r="AB36" s="10" t="e">
        <f t="shared" si="31"/>
        <v>#VALUE!</v>
      </c>
      <c r="AC36" s="10" t="e">
        <f t="shared" si="32"/>
        <v>#VALUE!</v>
      </c>
      <c r="AD36" s="10" t="e">
        <f t="shared" si="64"/>
        <v>#VALUE!</v>
      </c>
      <c r="AE36" s="10" t="e">
        <f t="shared" si="65"/>
        <v>#VALUE!</v>
      </c>
      <c r="AF36" s="10" t="e">
        <f t="shared" si="10"/>
        <v>#VALUE!</v>
      </c>
      <c r="AG36" s="10" t="e">
        <f t="shared" si="33"/>
        <v>#VALUE!</v>
      </c>
      <c r="AI36" s="13"/>
      <c r="AK36" s="10" t="e">
        <f t="shared" si="34"/>
        <v>#VALUE!</v>
      </c>
      <c r="AL36" s="10" t="e">
        <f t="shared" si="66"/>
        <v>#VALUE!</v>
      </c>
      <c r="AM36" s="10" t="e">
        <f t="shared" si="11"/>
        <v>#VALUE!</v>
      </c>
      <c r="AN36" s="10" t="e">
        <f t="shared" si="35"/>
        <v>#VALUE!</v>
      </c>
      <c r="AO36" s="10" t="e">
        <f t="shared" si="36"/>
        <v>#VALUE!</v>
      </c>
      <c r="AP36" s="10" t="e">
        <f t="shared" si="37"/>
        <v>#VALUE!</v>
      </c>
      <c r="AQ36" s="10" t="e">
        <f t="shared" si="67"/>
        <v>#VALUE!</v>
      </c>
      <c r="AR36" s="10" t="e">
        <f t="shared" si="12"/>
        <v>#VALUE!</v>
      </c>
      <c r="AS36" s="10" t="e">
        <f t="shared" si="68"/>
        <v>#VALUE!</v>
      </c>
      <c r="AU36" s="10" t="e">
        <f t="shared" si="38"/>
        <v>#VALUE!</v>
      </c>
      <c r="AV36" s="10" t="e">
        <f t="shared" si="69"/>
        <v>#VALUE!</v>
      </c>
      <c r="AW36" s="10" t="e">
        <f t="shared" si="13"/>
        <v>#VALUE!</v>
      </c>
      <c r="AX36" s="10" t="e">
        <f t="shared" si="39"/>
        <v>#VALUE!</v>
      </c>
      <c r="AY36" s="10" t="e">
        <f t="shared" si="40"/>
        <v>#VALUE!</v>
      </c>
      <c r="AZ36" s="10" t="e">
        <f t="shared" si="41"/>
        <v>#VALUE!</v>
      </c>
      <c r="BA36" s="10" t="e">
        <f t="shared" si="70"/>
        <v>#VALUE!</v>
      </c>
      <c r="BB36" s="10" t="e">
        <f t="shared" si="14"/>
        <v>#VALUE!</v>
      </c>
      <c r="BC36" s="10" t="e">
        <f t="shared" si="71"/>
        <v>#VALUE!</v>
      </c>
      <c r="BE36" s="10" t="e">
        <f t="shared" si="42"/>
        <v>#VALUE!</v>
      </c>
      <c r="BF36" s="10" t="e">
        <f t="shared" si="72"/>
        <v>#VALUE!</v>
      </c>
      <c r="BG36" s="10" t="e">
        <f t="shared" si="15"/>
        <v>#VALUE!</v>
      </c>
      <c r="BH36" s="10" t="e">
        <f t="shared" si="43"/>
        <v>#VALUE!</v>
      </c>
      <c r="BI36" s="10" t="e">
        <f t="shared" si="44"/>
        <v>#VALUE!</v>
      </c>
      <c r="BJ36" s="10" t="e">
        <f t="shared" si="45"/>
        <v>#VALUE!</v>
      </c>
      <c r="BK36" s="10" t="e">
        <f t="shared" si="73"/>
        <v>#VALUE!</v>
      </c>
      <c r="BL36" s="10" t="e">
        <f t="shared" si="16"/>
        <v>#VALUE!</v>
      </c>
      <c r="BM36" s="10" t="e">
        <f t="shared" si="74"/>
        <v>#VALUE!</v>
      </c>
      <c r="BP36" s="10" t="e">
        <f t="shared" si="46"/>
        <v>#VALUE!</v>
      </c>
      <c r="BQ36" s="10" t="e">
        <f t="shared" si="47"/>
        <v>#VALUE!</v>
      </c>
      <c r="BR36" s="10" t="e">
        <f t="shared" si="48"/>
        <v>#VALUE!</v>
      </c>
      <c r="BS36" s="10" t="e">
        <f t="shared" si="49"/>
        <v>#VALUE!</v>
      </c>
      <c r="BT36" s="10" t="e">
        <f t="shared" si="50"/>
        <v>#VALUE!</v>
      </c>
      <c r="BU36" s="10" t="e">
        <f t="shared" si="51"/>
        <v>#VALUE!</v>
      </c>
      <c r="BW36" s="10" t="e">
        <f t="shared" si="52"/>
        <v>#VALUE!</v>
      </c>
      <c r="BX36" s="10" t="e">
        <f t="shared" si="53"/>
        <v>#VALUE!</v>
      </c>
      <c r="BY36" s="10" t="e">
        <f t="shared" si="54"/>
        <v>#VALUE!</v>
      </c>
      <c r="BZ36" s="10" t="e">
        <f t="shared" si="55"/>
        <v>#VALUE!</v>
      </c>
      <c r="CA36" s="10" t="e">
        <f t="shared" si="56"/>
        <v>#VALUE!</v>
      </c>
      <c r="CB36" s="10" t="e">
        <f t="shared" si="57"/>
        <v>#VALUE!</v>
      </c>
      <c r="CD36" s="10" t="e">
        <f>MATCH(INDEX($BP$12:$BU$12,1,MATCH(BP36,$BP$15:$BU$15,0)),结果汇总!$AI$10:$AI$13,0)</f>
        <v>#VALUE!</v>
      </c>
      <c r="CE36" s="10" t="e">
        <f>MATCH(INDEX($BP$12:$BU$12,1,MATCH(BQ36,$BP$15:$BU$15,0)),结果汇总!$AI$10:$AI$13,0)</f>
        <v>#VALUE!</v>
      </c>
      <c r="CF36" s="10" t="e">
        <f>MATCH(INDEX($BP$12:$BU$12,1,MATCH(BR36,$BP$15:$BU$15,0)),结果汇总!$AI$10:$AI$13,0)</f>
        <v>#VALUE!</v>
      </c>
      <c r="CG36" s="10" t="e">
        <f>MATCH(INDEX($BP$12:$BU$12,1,MATCH(BS36,$BP$15:$BU$15,0)),结果汇总!$AI$10:$AI$13,0)</f>
        <v>#VALUE!</v>
      </c>
      <c r="CH36" s="10" t="e">
        <f>MATCH(INDEX($BP$12:$BU$12,1,MATCH(BT36,$BP$15:$BU$15,0)),结果汇总!$AI$10:$AI$13,0)</f>
        <v>#VALUE!</v>
      </c>
      <c r="CI36" s="10" t="e">
        <f>MATCH(INDEX($BP$12:$BU$12,1,MATCH(BU36,$BP$15:$BU$15,0)),结果汇总!$AI$10:$AI$13,0)</f>
        <v>#VALUE!</v>
      </c>
      <c r="CK36" s="10">
        <f t="shared" si="58"/>
        <v>0</v>
      </c>
      <c r="CL36" s="10">
        <f t="shared" si="58"/>
        <v>0</v>
      </c>
      <c r="CM36" s="10">
        <f t="shared" si="58"/>
        <v>0</v>
      </c>
      <c r="CN36" s="10">
        <f t="shared" si="58"/>
        <v>0</v>
      </c>
      <c r="CO36" s="10" t="e">
        <f t="shared" si="59"/>
        <v>#DIV/0!</v>
      </c>
      <c r="CP36" s="10" t="e">
        <f t="shared" si="59"/>
        <v>#DIV/0!</v>
      </c>
      <c r="CQ36" s="10" t="e">
        <f t="shared" si="59"/>
        <v>#DIV/0!</v>
      </c>
      <c r="CR36" s="10" t="e">
        <f t="shared" si="59"/>
        <v>#DIV/0!</v>
      </c>
      <c r="CS36" s="10">
        <f t="shared" si="60"/>
        <v>0</v>
      </c>
      <c r="CT36" s="10">
        <f t="shared" si="60"/>
        <v>0</v>
      </c>
      <c r="CU36" s="10">
        <f t="shared" si="60"/>
        <v>0</v>
      </c>
      <c r="CV36" s="10">
        <f t="shared" si="60"/>
        <v>0</v>
      </c>
      <c r="CW36" s="10" t="e">
        <f t="shared" si="61"/>
        <v>#DIV/0!</v>
      </c>
      <c r="CX36" s="10" t="e">
        <f t="shared" si="61"/>
        <v>#DIV/0!</v>
      </c>
      <c r="CY36" s="10" t="e">
        <f t="shared" si="61"/>
        <v>#DIV/0!</v>
      </c>
      <c r="CZ36" s="10" t="e">
        <f t="shared" si="61"/>
        <v>#DIV/0!</v>
      </c>
    </row>
    <row r="37" spans="4:104" x14ac:dyDescent="0.15">
      <c r="D37" s="10">
        <v>22</v>
      </c>
      <c r="E37" s="10" t="e">
        <f t="shared" si="21"/>
        <v>#VALUE!</v>
      </c>
      <c r="F37" s="10" t="e">
        <f t="shared" si="1"/>
        <v>#VALUE!</v>
      </c>
      <c r="G37" s="10" t="e">
        <f t="shared" si="2"/>
        <v>#VALUE!</v>
      </c>
      <c r="H37" s="10" t="e">
        <f t="shared" si="22"/>
        <v>#VALUE!</v>
      </c>
      <c r="I37" s="10" t="e">
        <f t="shared" si="3"/>
        <v>#VALUE!</v>
      </c>
      <c r="J37" s="10" t="e">
        <f t="shared" si="23"/>
        <v>#VALUE!</v>
      </c>
      <c r="K37" s="10" t="e">
        <f t="shared" si="4"/>
        <v>#VALUE!</v>
      </c>
      <c r="L37" s="10" t="e">
        <f t="shared" si="5"/>
        <v>#VALUE!</v>
      </c>
      <c r="M37" s="10" t="e">
        <f t="shared" si="24"/>
        <v>#VALUE!</v>
      </c>
      <c r="O37" s="10" t="e">
        <f t="shared" si="25"/>
        <v>#VALUE!</v>
      </c>
      <c r="P37" s="10" t="e">
        <f t="shared" si="6"/>
        <v>#VALUE!</v>
      </c>
      <c r="Q37" s="10" t="e">
        <f t="shared" si="7"/>
        <v>#VALUE!</v>
      </c>
      <c r="R37" s="10" t="e">
        <f t="shared" si="26"/>
        <v>#VALUE!</v>
      </c>
      <c r="S37" s="10" t="e">
        <f t="shared" si="27"/>
        <v>#VALUE!</v>
      </c>
      <c r="T37" s="10" t="e">
        <f t="shared" si="62"/>
        <v>#VALUE!</v>
      </c>
      <c r="U37" s="10" t="e">
        <f t="shared" si="63"/>
        <v>#VALUE!</v>
      </c>
      <c r="V37" s="10" t="e">
        <f t="shared" si="8"/>
        <v>#VALUE!</v>
      </c>
      <c r="W37" s="10" t="e">
        <f t="shared" si="28"/>
        <v>#VALUE!</v>
      </c>
      <c r="Y37" s="10" t="e">
        <f t="shared" si="29"/>
        <v>#VALUE!</v>
      </c>
      <c r="Z37" s="11" t="e">
        <f t="shared" si="30"/>
        <v>#VALUE!</v>
      </c>
      <c r="AA37" s="10" t="e">
        <f t="shared" si="9"/>
        <v>#VALUE!</v>
      </c>
      <c r="AB37" s="10" t="e">
        <f t="shared" si="31"/>
        <v>#VALUE!</v>
      </c>
      <c r="AC37" s="10" t="e">
        <f t="shared" si="32"/>
        <v>#VALUE!</v>
      </c>
      <c r="AD37" s="10" t="e">
        <f t="shared" si="64"/>
        <v>#VALUE!</v>
      </c>
      <c r="AE37" s="10" t="e">
        <f t="shared" si="65"/>
        <v>#VALUE!</v>
      </c>
      <c r="AF37" s="10" t="e">
        <f t="shared" si="10"/>
        <v>#VALUE!</v>
      </c>
      <c r="AG37" s="10" t="e">
        <f t="shared" si="33"/>
        <v>#VALUE!</v>
      </c>
      <c r="AI37" s="13"/>
      <c r="AK37" s="10" t="e">
        <f t="shared" si="34"/>
        <v>#VALUE!</v>
      </c>
      <c r="AL37" s="10" t="e">
        <f t="shared" si="66"/>
        <v>#VALUE!</v>
      </c>
      <c r="AM37" s="10" t="e">
        <f t="shared" si="11"/>
        <v>#VALUE!</v>
      </c>
      <c r="AN37" s="10" t="e">
        <f t="shared" si="35"/>
        <v>#VALUE!</v>
      </c>
      <c r="AO37" s="10" t="e">
        <f t="shared" si="36"/>
        <v>#VALUE!</v>
      </c>
      <c r="AP37" s="10" t="e">
        <f t="shared" si="37"/>
        <v>#VALUE!</v>
      </c>
      <c r="AQ37" s="10" t="e">
        <f t="shared" si="67"/>
        <v>#VALUE!</v>
      </c>
      <c r="AR37" s="10" t="e">
        <f t="shared" si="12"/>
        <v>#VALUE!</v>
      </c>
      <c r="AS37" s="10" t="e">
        <f t="shared" si="68"/>
        <v>#VALUE!</v>
      </c>
      <c r="AU37" s="10" t="e">
        <f t="shared" si="38"/>
        <v>#VALUE!</v>
      </c>
      <c r="AV37" s="10" t="e">
        <f t="shared" si="69"/>
        <v>#VALUE!</v>
      </c>
      <c r="AW37" s="10" t="e">
        <f t="shared" si="13"/>
        <v>#VALUE!</v>
      </c>
      <c r="AX37" s="10" t="e">
        <f t="shared" si="39"/>
        <v>#VALUE!</v>
      </c>
      <c r="AY37" s="10" t="e">
        <f t="shared" si="40"/>
        <v>#VALUE!</v>
      </c>
      <c r="AZ37" s="10" t="e">
        <f t="shared" si="41"/>
        <v>#VALUE!</v>
      </c>
      <c r="BA37" s="10" t="e">
        <f t="shared" si="70"/>
        <v>#VALUE!</v>
      </c>
      <c r="BB37" s="10" t="e">
        <f t="shared" si="14"/>
        <v>#VALUE!</v>
      </c>
      <c r="BC37" s="10" t="e">
        <f t="shared" si="71"/>
        <v>#VALUE!</v>
      </c>
      <c r="BE37" s="10" t="e">
        <f t="shared" si="42"/>
        <v>#VALUE!</v>
      </c>
      <c r="BF37" s="10" t="e">
        <f t="shared" si="72"/>
        <v>#VALUE!</v>
      </c>
      <c r="BG37" s="10" t="e">
        <f t="shared" si="15"/>
        <v>#VALUE!</v>
      </c>
      <c r="BH37" s="10" t="e">
        <f t="shared" si="43"/>
        <v>#VALUE!</v>
      </c>
      <c r="BI37" s="10" t="e">
        <f t="shared" si="44"/>
        <v>#VALUE!</v>
      </c>
      <c r="BJ37" s="10" t="e">
        <f t="shared" si="45"/>
        <v>#VALUE!</v>
      </c>
      <c r="BK37" s="10" t="e">
        <f t="shared" si="73"/>
        <v>#VALUE!</v>
      </c>
      <c r="BL37" s="10" t="e">
        <f t="shared" si="16"/>
        <v>#VALUE!</v>
      </c>
      <c r="BM37" s="10" t="e">
        <f t="shared" si="74"/>
        <v>#VALUE!</v>
      </c>
      <c r="BP37" s="10" t="e">
        <f t="shared" si="46"/>
        <v>#VALUE!</v>
      </c>
      <c r="BQ37" s="10" t="e">
        <f t="shared" si="47"/>
        <v>#VALUE!</v>
      </c>
      <c r="BR37" s="10" t="e">
        <f t="shared" si="48"/>
        <v>#VALUE!</v>
      </c>
      <c r="BS37" s="10" t="e">
        <f t="shared" si="49"/>
        <v>#VALUE!</v>
      </c>
      <c r="BT37" s="10" t="e">
        <f t="shared" si="50"/>
        <v>#VALUE!</v>
      </c>
      <c r="BU37" s="10" t="e">
        <f t="shared" si="51"/>
        <v>#VALUE!</v>
      </c>
      <c r="BW37" s="10" t="e">
        <f t="shared" si="52"/>
        <v>#VALUE!</v>
      </c>
      <c r="BX37" s="10" t="e">
        <f t="shared" si="53"/>
        <v>#VALUE!</v>
      </c>
      <c r="BY37" s="10" t="e">
        <f t="shared" si="54"/>
        <v>#VALUE!</v>
      </c>
      <c r="BZ37" s="10" t="e">
        <f t="shared" si="55"/>
        <v>#VALUE!</v>
      </c>
      <c r="CA37" s="10" t="e">
        <f t="shared" si="56"/>
        <v>#VALUE!</v>
      </c>
      <c r="CB37" s="10" t="e">
        <f t="shared" si="57"/>
        <v>#VALUE!</v>
      </c>
      <c r="CD37" s="10" t="e">
        <f>MATCH(INDEX($BP$12:$BU$12,1,MATCH(BP37,$BP$15:$BU$15,0)),结果汇总!$AI$10:$AI$13,0)</f>
        <v>#VALUE!</v>
      </c>
      <c r="CE37" s="10" t="e">
        <f>MATCH(INDEX($BP$12:$BU$12,1,MATCH(BQ37,$BP$15:$BU$15,0)),结果汇总!$AI$10:$AI$13,0)</f>
        <v>#VALUE!</v>
      </c>
      <c r="CF37" s="10" t="e">
        <f>MATCH(INDEX($BP$12:$BU$12,1,MATCH(BR37,$BP$15:$BU$15,0)),结果汇总!$AI$10:$AI$13,0)</f>
        <v>#VALUE!</v>
      </c>
      <c r="CG37" s="10" t="e">
        <f>MATCH(INDEX($BP$12:$BU$12,1,MATCH(BS37,$BP$15:$BU$15,0)),结果汇总!$AI$10:$AI$13,0)</f>
        <v>#VALUE!</v>
      </c>
      <c r="CH37" s="10" t="e">
        <f>MATCH(INDEX($BP$12:$BU$12,1,MATCH(BT37,$BP$15:$BU$15,0)),结果汇总!$AI$10:$AI$13,0)</f>
        <v>#VALUE!</v>
      </c>
      <c r="CI37" s="10" t="e">
        <f>MATCH(INDEX($BP$12:$BU$12,1,MATCH(BU37,$BP$15:$BU$15,0)),结果汇总!$AI$10:$AI$13,0)</f>
        <v>#VALUE!</v>
      </c>
      <c r="CK37" s="10">
        <f t="shared" si="58"/>
        <v>0</v>
      </c>
      <c r="CL37" s="10">
        <f t="shared" si="58"/>
        <v>0</v>
      </c>
      <c r="CM37" s="10">
        <f t="shared" si="58"/>
        <v>0</v>
      </c>
      <c r="CN37" s="10">
        <f t="shared" si="58"/>
        <v>0</v>
      </c>
      <c r="CO37" s="10" t="e">
        <f t="shared" si="59"/>
        <v>#DIV/0!</v>
      </c>
      <c r="CP37" s="10" t="e">
        <f t="shared" si="59"/>
        <v>#DIV/0!</v>
      </c>
      <c r="CQ37" s="10" t="e">
        <f t="shared" si="59"/>
        <v>#DIV/0!</v>
      </c>
      <c r="CR37" s="10" t="e">
        <f t="shared" si="59"/>
        <v>#DIV/0!</v>
      </c>
      <c r="CS37" s="10">
        <f t="shared" si="60"/>
        <v>0</v>
      </c>
      <c r="CT37" s="10">
        <f t="shared" si="60"/>
        <v>0</v>
      </c>
      <c r="CU37" s="10">
        <f t="shared" si="60"/>
        <v>0</v>
      </c>
      <c r="CV37" s="10">
        <f t="shared" si="60"/>
        <v>0</v>
      </c>
      <c r="CW37" s="10" t="e">
        <f t="shared" si="61"/>
        <v>#DIV/0!</v>
      </c>
      <c r="CX37" s="10" t="e">
        <f t="shared" si="61"/>
        <v>#DIV/0!</v>
      </c>
      <c r="CY37" s="10" t="e">
        <f t="shared" si="61"/>
        <v>#DIV/0!</v>
      </c>
      <c r="CZ37" s="10" t="e">
        <f t="shared" si="61"/>
        <v>#DIV/0!</v>
      </c>
    </row>
    <row r="38" spans="4:104" x14ac:dyDescent="0.15">
      <c r="D38" s="10">
        <v>23</v>
      </c>
      <c r="E38" s="10" t="e">
        <f t="shared" si="21"/>
        <v>#VALUE!</v>
      </c>
      <c r="F38" s="10" t="e">
        <f t="shared" si="1"/>
        <v>#VALUE!</v>
      </c>
      <c r="G38" s="10" t="e">
        <f t="shared" si="2"/>
        <v>#VALUE!</v>
      </c>
      <c r="H38" s="10" t="e">
        <f t="shared" si="22"/>
        <v>#VALUE!</v>
      </c>
      <c r="I38" s="10" t="e">
        <f t="shared" si="3"/>
        <v>#VALUE!</v>
      </c>
      <c r="J38" s="10" t="e">
        <f t="shared" si="23"/>
        <v>#VALUE!</v>
      </c>
      <c r="K38" s="10" t="e">
        <f t="shared" si="4"/>
        <v>#VALUE!</v>
      </c>
      <c r="L38" s="10" t="e">
        <f t="shared" si="5"/>
        <v>#VALUE!</v>
      </c>
      <c r="M38" s="10" t="e">
        <f t="shared" si="24"/>
        <v>#VALUE!</v>
      </c>
      <c r="O38" s="10" t="e">
        <f t="shared" si="25"/>
        <v>#VALUE!</v>
      </c>
      <c r="P38" s="10" t="e">
        <f t="shared" si="6"/>
        <v>#VALUE!</v>
      </c>
      <c r="Q38" s="10" t="e">
        <f t="shared" si="7"/>
        <v>#VALUE!</v>
      </c>
      <c r="R38" s="10" t="e">
        <f t="shared" si="26"/>
        <v>#VALUE!</v>
      </c>
      <c r="S38" s="10" t="e">
        <f t="shared" si="27"/>
        <v>#VALUE!</v>
      </c>
      <c r="T38" s="10" t="e">
        <f t="shared" si="62"/>
        <v>#VALUE!</v>
      </c>
      <c r="U38" s="10" t="e">
        <f t="shared" si="63"/>
        <v>#VALUE!</v>
      </c>
      <c r="V38" s="10" t="e">
        <f t="shared" si="8"/>
        <v>#VALUE!</v>
      </c>
      <c r="W38" s="10" t="e">
        <f t="shared" si="28"/>
        <v>#VALUE!</v>
      </c>
      <c r="Y38" s="10" t="e">
        <f t="shared" si="29"/>
        <v>#VALUE!</v>
      </c>
      <c r="Z38" s="11" t="e">
        <f t="shared" si="30"/>
        <v>#VALUE!</v>
      </c>
      <c r="AA38" s="10" t="e">
        <f t="shared" si="9"/>
        <v>#VALUE!</v>
      </c>
      <c r="AB38" s="10" t="e">
        <f t="shared" si="31"/>
        <v>#VALUE!</v>
      </c>
      <c r="AC38" s="10" t="e">
        <f t="shared" si="32"/>
        <v>#VALUE!</v>
      </c>
      <c r="AD38" s="10" t="e">
        <f t="shared" si="64"/>
        <v>#VALUE!</v>
      </c>
      <c r="AE38" s="10" t="e">
        <f t="shared" si="65"/>
        <v>#VALUE!</v>
      </c>
      <c r="AF38" s="10" t="e">
        <f t="shared" si="10"/>
        <v>#VALUE!</v>
      </c>
      <c r="AG38" s="10" t="e">
        <f t="shared" si="33"/>
        <v>#VALUE!</v>
      </c>
      <c r="AI38" s="13"/>
      <c r="AK38" s="10" t="e">
        <f t="shared" si="34"/>
        <v>#VALUE!</v>
      </c>
      <c r="AL38" s="10" t="e">
        <f t="shared" si="66"/>
        <v>#VALUE!</v>
      </c>
      <c r="AM38" s="10" t="e">
        <f t="shared" si="11"/>
        <v>#VALUE!</v>
      </c>
      <c r="AN38" s="10" t="e">
        <f t="shared" si="35"/>
        <v>#VALUE!</v>
      </c>
      <c r="AO38" s="10" t="e">
        <f t="shared" si="36"/>
        <v>#VALUE!</v>
      </c>
      <c r="AP38" s="10" t="e">
        <f t="shared" si="37"/>
        <v>#VALUE!</v>
      </c>
      <c r="AQ38" s="10" t="e">
        <f t="shared" si="67"/>
        <v>#VALUE!</v>
      </c>
      <c r="AR38" s="10" t="e">
        <f t="shared" si="12"/>
        <v>#VALUE!</v>
      </c>
      <c r="AS38" s="10" t="e">
        <f t="shared" si="68"/>
        <v>#VALUE!</v>
      </c>
      <c r="AU38" s="10" t="e">
        <f t="shared" si="38"/>
        <v>#VALUE!</v>
      </c>
      <c r="AV38" s="10" t="e">
        <f t="shared" si="69"/>
        <v>#VALUE!</v>
      </c>
      <c r="AW38" s="10" t="e">
        <f t="shared" si="13"/>
        <v>#VALUE!</v>
      </c>
      <c r="AX38" s="10" t="e">
        <f t="shared" si="39"/>
        <v>#VALUE!</v>
      </c>
      <c r="AY38" s="10" t="e">
        <f t="shared" si="40"/>
        <v>#VALUE!</v>
      </c>
      <c r="AZ38" s="10" t="e">
        <f t="shared" si="41"/>
        <v>#VALUE!</v>
      </c>
      <c r="BA38" s="10" t="e">
        <f t="shared" si="70"/>
        <v>#VALUE!</v>
      </c>
      <c r="BB38" s="10" t="e">
        <f t="shared" si="14"/>
        <v>#VALUE!</v>
      </c>
      <c r="BC38" s="10" t="e">
        <f t="shared" si="71"/>
        <v>#VALUE!</v>
      </c>
      <c r="BE38" s="10" t="e">
        <f t="shared" si="42"/>
        <v>#VALUE!</v>
      </c>
      <c r="BF38" s="10" t="e">
        <f t="shared" si="72"/>
        <v>#VALUE!</v>
      </c>
      <c r="BG38" s="10" t="e">
        <f t="shared" si="15"/>
        <v>#VALUE!</v>
      </c>
      <c r="BH38" s="10" t="e">
        <f t="shared" si="43"/>
        <v>#VALUE!</v>
      </c>
      <c r="BI38" s="10" t="e">
        <f t="shared" si="44"/>
        <v>#VALUE!</v>
      </c>
      <c r="BJ38" s="10" t="e">
        <f t="shared" si="45"/>
        <v>#VALUE!</v>
      </c>
      <c r="BK38" s="10" t="e">
        <f t="shared" si="73"/>
        <v>#VALUE!</v>
      </c>
      <c r="BL38" s="10" t="e">
        <f t="shared" si="16"/>
        <v>#VALUE!</v>
      </c>
      <c r="BM38" s="10" t="e">
        <f t="shared" si="74"/>
        <v>#VALUE!</v>
      </c>
      <c r="BP38" s="10" t="e">
        <f t="shared" si="46"/>
        <v>#VALUE!</v>
      </c>
      <c r="BQ38" s="10" t="e">
        <f t="shared" si="47"/>
        <v>#VALUE!</v>
      </c>
      <c r="BR38" s="10" t="e">
        <f t="shared" si="48"/>
        <v>#VALUE!</v>
      </c>
      <c r="BS38" s="10" t="e">
        <f t="shared" si="49"/>
        <v>#VALUE!</v>
      </c>
      <c r="BT38" s="10" t="e">
        <f t="shared" si="50"/>
        <v>#VALUE!</v>
      </c>
      <c r="BU38" s="10" t="e">
        <f t="shared" si="51"/>
        <v>#VALUE!</v>
      </c>
      <c r="BW38" s="10" t="e">
        <f t="shared" si="52"/>
        <v>#VALUE!</v>
      </c>
      <c r="BX38" s="10" t="e">
        <f t="shared" si="53"/>
        <v>#VALUE!</v>
      </c>
      <c r="BY38" s="10" t="e">
        <f t="shared" si="54"/>
        <v>#VALUE!</v>
      </c>
      <c r="BZ38" s="10" t="e">
        <f t="shared" si="55"/>
        <v>#VALUE!</v>
      </c>
      <c r="CA38" s="10" t="e">
        <f t="shared" si="56"/>
        <v>#VALUE!</v>
      </c>
      <c r="CB38" s="10" t="e">
        <f t="shared" si="57"/>
        <v>#VALUE!</v>
      </c>
      <c r="CD38" s="10" t="e">
        <f>MATCH(INDEX($BP$12:$BU$12,1,MATCH(BP38,$BP$15:$BU$15,0)),结果汇总!$AI$10:$AI$13,0)</f>
        <v>#VALUE!</v>
      </c>
      <c r="CE38" s="10" t="e">
        <f>MATCH(INDEX($BP$12:$BU$12,1,MATCH(BQ38,$BP$15:$BU$15,0)),结果汇总!$AI$10:$AI$13,0)</f>
        <v>#VALUE!</v>
      </c>
      <c r="CF38" s="10" t="e">
        <f>MATCH(INDEX($BP$12:$BU$12,1,MATCH(BR38,$BP$15:$BU$15,0)),结果汇总!$AI$10:$AI$13,0)</f>
        <v>#VALUE!</v>
      </c>
      <c r="CG38" s="10" t="e">
        <f>MATCH(INDEX($BP$12:$BU$12,1,MATCH(BS38,$BP$15:$BU$15,0)),结果汇总!$AI$10:$AI$13,0)</f>
        <v>#VALUE!</v>
      </c>
      <c r="CH38" s="10" t="e">
        <f>MATCH(INDEX($BP$12:$BU$12,1,MATCH(BT38,$BP$15:$BU$15,0)),结果汇总!$AI$10:$AI$13,0)</f>
        <v>#VALUE!</v>
      </c>
      <c r="CI38" s="10" t="e">
        <f>MATCH(INDEX($BP$12:$BU$12,1,MATCH(BU38,$BP$15:$BU$15,0)),结果汇总!$AI$10:$AI$13,0)</f>
        <v>#VALUE!</v>
      </c>
      <c r="CK38" s="10">
        <f t="shared" si="58"/>
        <v>0</v>
      </c>
      <c r="CL38" s="10">
        <f t="shared" si="58"/>
        <v>0</v>
      </c>
      <c r="CM38" s="10">
        <f t="shared" si="58"/>
        <v>0</v>
      </c>
      <c r="CN38" s="10">
        <f t="shared" si="58"/>
        <v>0</v>
      </c>
      <c r="CO38" s="10" t="e">
        <f t="shared" si="59"/>
        <v>#DIV/0!</v>
      </c>
      <c r="CP38" s="10" t="e">
        <f t="shared" si="59"/>
        <v>#DIV/0!</v>
      </c>
      <c r="CQ38" s="10" t="e">
        <f t="shared" si="59"/>
        <v>#DIV/0!</v>
      </c>
      <c r="CR38" s="10" t="e">
        <f t="shared" si="59"/>
        <v>#DIV/0!</v>
      </c>
      <c r="CS38" s="10">
        <f t="shared" si="60"/>
        <v>0</v>
      </c>
      <c r="CT38" s="10">
        <f t="shared" si="60"/>
        <v>0</v>
      </c>
      <c r="CU38" s="10">
        <f t="shared" si="60"/>
        <v>0</v>
      </c>
      <c r="CV38" s="10">
        <f t="shared" si="60"/>
        <v>0</v>
      </c>
      <c r="CW38" s="10" t="e">
        <f t="shared" si="61"/>
        <v>#DIV/0!</v>
      </c>
      <c r="CX38" s="10" t="e">
        <f t="shared" si="61"/>
        <v>#DIV/0!</v>
      </c>
      <c r="CY38" s="10" t="e">
        <f t="shared" si="61"/>
        <v>#DIV/0!</v>
      </c>
      <c r="CZ38" s="10" t="e">
        <f t="shared" si="61"/>
        <v>#DIV/0!</v>
      </c>
    </row>
    <row r="39" spans="4:104" x14ac:dyDescent="0.15">
      <c r="D39" s="10">
        <v>24</v>
      </c>
      <c r="E39" s="10" t="e">
        <f t="shared" si="21"/>
        <v>#VALUE!</v>
      </c>
      <c r="F39" s="10" t="e">
        <f t="shared" si="1"/>
        <v>#VALUE!</v>
      </c>
      <c r="G39" s="10" t="e">
        <f t="shared" si="2"/>
        <v>#VALUE!</v>
      </c>
      <c r="H39" s="10" t="e">
        <f t="shared" si="22"/>
        <v>#VALUE!</v>
      </c>
      <c r="I39" s="10" t="e">
        <f t="shared" si="3"/>
        <v>#VALUE!</v>
      </c>
      <c r="J39" s="10" t="e">
        <f t="shared" si="23"/>
        <v>#VALUE!</v>
      </c>
      <c r="K39" s="10" t="e">
        <f t="shared" si="4"/>
        <v>#VALUE!</v>
      </c>
      <c r="L39" s="10" t="e">
        <f t="shared" si="5"/>
        <v>#VALUE!</v>
      </c>
      <c r="M39" s="10" t="e">
        <f t="shared" si="24"/>
        <v>#VALUE!</v>
      </c>
      <c r="O39" s="10" t="e">
        <f t="shared" si="25"/>
        <v>#VALUE!</v>
      </c>
      <c r="P39" s="10" t="e">
        <f t="shared" si="6"/>
        <v>#VALUE!</v>
      </c>
      <c r="Q39" s="10" t="e">
        <f t="shared" si="7"/>
        <v>#VALUE!</v>
      </c>
      <c r="R39" s="10" t="e">
        <f t="shared" si="26"/>
        <v>#VALUE!</v>
      </c>
      <c r="S39" s="10" t="e">
        <f t="shared" si="27"/>
        <v>#VALUE!</v>
      </c>
      <c r="T39" s="10" t="e">
        <f t="shared" si="62"/>
        <v>#VALUE!</v>
      </c>
      <c r="U39" s="10" t="e">
        <f t="shared" si="63"/>
        <v>#VALUE!</v>
      </c>
      <c r="V39" s="10" t="e">
        <f t="shared" si="8"/>
        <v>#VALUE!</v>
      </c>
      <c r="W39" s="10" t="e">
        <f t="shared" si="28"/>
        <v>#VALUE!</v>
      </c>
      <c r="Y39" s="10" t="e">
        <f t="shared" si="29"/>
        <v>#VALUE!</v>
      </c>
      <c r="Z39" s="11" t="e">
        <f t="shared" si="30"/>
        <v>#VALUE!</v>
      </c>
      <c r="AA39" s="10" t="e">
        <f t="shared" si="9"/>
        <v>#VALUE!</v>
      </c>
      <c r="AB39" s="10" t="e">
        <f t="shared" si="31"/>
        <v>#VALUE!</v>
      </c>
      <c r="AC39" s="10" t="e">
        <f t="shared" si="32"/>
        <v>#VALUE!</v>
      </c>
      <c r="AD39" s="10" t="e">
        <f t="shared" si="64"/>
        <v>#VALUE!</v>
      </c>
      <c r="AE39" s="10" t="e">
        <f t="shared" si="65"/>
        <v>#VALUE!</v>
      </c>
      <c r="AF39" s="10" t="e">
        <f t="shared" si="10"/>
        <v>#VALUE!</v>
      </c>
      <c r="AG39" s="10" t="e">
        <f t="shared" si="33"/>
        <v>#VALUE!</v>
      </c>
      <c r="AI39" s="13"/>
      <c r="AK39" s="10" t="e">
        <f t="shared" si="34"/>
        <v>#VALUE!</v>
      </c>
      <c r="AL39" s="10" t="e">
        <f t="shared" si="66"/>
        <v>#VALUE!</v>
      </c>
      <c r="AM39" s="10" t="e">
        <f t="shared" si="11"/>
        <v>#VALUE!</v>
      </c>
      <c r="AN39" s="10" t="e">
        <f t="shared" si="35"/>
        <v>#VALUE!</v>
      </c>
      <c r="AO39" s="10" t="e">
        <f t="shared" si="36"/>
        <v>#VALUE!</v>
      </c>
      <c r="AP39" s="10" t="e">
        <f t="shared" si="37"/>
        <v>#VALUE!</v>
      </c>
      <c r="AQ39" s="10" t="e">
        <f t="shared" si="67"/>
        <v>#VALUE!</v>
      </c>
      <c r="AR39" s="10" t="e">
        <f t="shared" si="12"/>
        <v>#VALUE!</v>
      </c>
      <c r="AS39" s="10" t="e">
        <f t="shared" si="68"/>
        <v>#VALUE!</v>
      </c>
      <c r="AU39" s="10" t="e">
        <f t="shared" si="38"/>
        <v>#VALUE!</v>
      </c>
      <c r="AV39" s="10" t="e">
        <f t="shared" si="69"/>
        <v>#VALUE!</v>
      </c>
      <c r="AW39" s="10" t="e">
        <f t="shared" si="13"/>
        <v>#VALUE!</v>
      </c>
      <c r="AX39" s="10" t="e">
        <f t="shared" si="39"/>
        <v>#VALUE!</v>
      </c>
      <c r="AY39" s="10" t="e">
        <f t="shared" si="40"/>
        <v>#VALUE!</v>
      </c>
      <c r="AZ39" s="10" t="e">
        <f t="shared" si="41"/>
        <v>#VALUE!</v>
      </c>
      <c r="BA39" s="10" t="e">
        <f t="shared" si="70"/>
        <v>#VALUE!</v>
      </c>
      <c r="BB39" s="10" t="e">
        <f t="shared" si="14"/>
        <v>#VALUE!</v>
      </c>
      <c r="BC39" s="10" t="e">
        <f t="shared" si="71"/>
        <v>#VALUE!</v>
      </c>
      <c r="BE39" s="10" t="e">
        <f t="shared" si="42"/>
        <v>#VALUE!</v>
      </c>
      <c r="BF39" s="10" t="e">
        <f t="shared" si="72"/>
        <v>#VALUE!</v>
      </c>
      <c r="BG39" s="10" t="e">
        <f t="shared" si="15"/>
        <v>#VALUE!</v>
      </c>
      <c r="BH39" s="10" t="e">
        <f t="shared" si="43"/>
        <v>#VALUE!</v>
      </c>
      <c r="BI39" s="10" t="e">
        <f t="shared" si="44"/>
        <v>#VALUE!</v>
      </c>
      <c r="BJ39" s="10" t="e">
        <f t="shared" si="45"/>
        <v>#VALUE!</v>
      </c>
      <c r="BK39" s="10" t="e">
        <f t="shared" si="73"/>
        <v>#VALUE!</v>
      </c>
      <c r="BL39" s="10" t="e">
        <f t="shared" si="16"/>
        <v>#VALUE!</v>
      </c>
      <c r="BM39" s="10" t="e">
        <f t="shared" si="74"/>
        <v>#VALUE!</v>
      </c>
      <c r="BP39" s="10" t="e">
        <f t="shared" si="46"/>
        <v>#VALUE!</v>
      </c>
      <c r="BQ39" s="10" t="e">
        <f t="shared" si="47"/>
        <v>#VALUE!</v>
      </c>
      <c r="BR39" s="10" t="e">
        <f t="shared" si="48"/>
        <v>#VALUE!</v>
      </c>
      <c r="BS39" s="10" t="e">
        <f t="shared" si="49"/>
        <v>#VALUE!</v>
      </c>
      <c r="BT39" s="10" t="e">
        <f t="shared" si="50"/>
        <v>#VALUE!</v>
      </c>
      <c r="BU39" s="10" t="e">
        <f t="shared" si="51"/>
        <v>#VALUE!</v>
      </c>
      <c r="BW39" s="10" t="e">
        <f t="shared" si="52"/>
        <v>#VALUE!</v>
      </c>
      <c r="BX39" s="10" t="e">
        <f t="shared" si="53"/>
        <v>#VALUE!</v>
      </c>
      <c r="BY39" s="10" t="e">
        <f t="shared" si="54"/>
        <v>#VALUE!</v>
      </c>
      <c r="BZ39" s="10" t="e">
        <f t="shared" si="55"/>
        <v>#VALUE!</v>
      </c>
      <c r="CA39" s="10" t="e">
        <f t="shared" si="56"/>
        <v>#VALUE!</v>
      </c>
      <c r="CB39" s="10" t="e">
        <f t="shared" si="57"/>
        <v>#VALUE!</v>
      </c>
      <c r="CD39" s="10" t="e">
        <f>MATCH(INDEX($BP$12:$BU$12,1,MATCH(BP39,$BP$15:$BU$15,0)),结果汇总!$AI$10:$AI$13,0)</f>
        <v>#VALUE!</v>
      </c>
      <c r="CE39" s="10" t="e">
        <f>MATCH(INDEX($BP$12:$BU$12,1,MATCH(BQ39,$BP$15:$BU$15,0)),结果汇总!$AI$10:$AI$13,0)</f>
        <v>#VALUE!</v>
      </c>
      <c r="CF39" s="10" t="e">
        <f>MATCH(INDEX($BP$12:$BU$12,1,MATCH(BR39,$BP$15:$BU$15,0)),结果汇总!$AI$10:$AI$13,0)</f>
        <v>#VALUE!</v>
      </c>
      <c r="CG39" s="10" t="e">
        <f>MATCH(INDEX($BP$12:$BU$12,1,MATCH(BS39,$BP$15:$BU$15,0)),结果汇总!$AI$10:$AI$13,0)</f>
        <v>#VALUE!</v>
      </c>
      <c r="CH39" s="10" t="e">
        <f>MATCH(INDEX($BP$12:$BU$12,1,MATCH(BT39,$BP$15:$BU$15,0)),结果汇总!$AI$10:$AI$13,0)</f>
        <v>#VALUE!</v>
      </c>
      <c r="CI39" s="10" t="e">
        <f>MATCH(INDEX($BP$12:$BU$12,1,MATCH(BU39,$BP$15:$BU$15,0)),结果汇总!$AI$10:$AI$13,0)</f>
        <v>#VALUE!</v>
      </c>
      <c r="CK39" s="10">
        <f t="shared" si="58"/>
        <v>0</v>
      </c>
      <c r="CL39" s="10">
        <f t="shared" si="58"/>
        <v>0</v>
      </c>
      <c r="CM39" s="10">
        <f t="shared" si="58"/>
        <v>0</v>
      </c>
      <c r="CN39" s="10">
        <f t="shared" si="58"/>
        <v>0</v>
      </c>
      <c r="CO39" s="10" t="e">
        <f t="shared" si="59"/>
        <v>#DIV/0!</v>
      </c>
      <c r="CP39" s="10" t="e">
        <f t="shared" si="59"/>
        <v>#DIV/0!</v>
      </c>
      <c r="CQ39" s="10" t="e">
        <f t="shared" si="59"/>
        <v>#DIV/0!</v>
      </c>
      <c r="CR39" s="10" t="e">
        <f t="shared" si="59"/>
        <v>#DIV/0!</v>
      </c>
      <c r="CS39" s="10">
        <f t="shared" si="60"/>
        <v>0</v>
      </c>
      <c r="CT39" s="10">
        <f t="shared" si="60"/>
        <v>0</v>
      </c>
      <c r="CU39" s="10">
        <f t="shared" si="60"/>
        <v>0</v>
      </c>
      <c r="CV39" s="10">
        <f t="shared" si="60"/>
        <v>0</v>
      </c>
      <c r="CW39" s="10" t="e">
        <f t="shared" si="61"/>
        <v>#DIV/0!</v>
      </c>
      <c r="CX39" s="10" t="e">
        <f t="shared" si="61"/>
        <v>#DIV/0!</v>
      </c>
      <c r="CY39" s="10" t="e">
        <f t="shared" si="61"/>
        <v>#DIV/0!</v>
      </c>
      <c r="CZ39" s="10" t="e">
        <f t="shared" si="61"/>
        <v>#DIV/0!</v>
      </c>
    </row>
    <row r="40" spans="4:104" x14ac:dyDescent="0.15">
      <c r="D40" s="10">
        <v>25</v>
      </c>
      <c r="E40" s="10" t="e">
        <f t="shared" si="21"/>
        <v>#VALUE!</v>
      </c>
      <c r="F40" s="10" t="e">
        <f t="shared" si="1"/>
        <v>#VALUE!</v>
      </c>
      <c r="G40" s="10" t="e">
        <f t="shared" si="2"/>
        <v>#VALUE!</v>
      </c>
      <c r="H40" s="10" t="e">
        <f t="shared" si="22"/>
        <v>#VALUE!</v>
      </c>
      <c r="I40" s="10" t="e">
        <f t="shared" si="3"/>
        <v>#VALUE!</v>
      </c>
      <c r="J40" s="10" t="e">
        <f t="shared" si="23"/>
        <v>#VALUE!</v>
      </c>
      <c r="K40" s="10" t="e">
        <f t="shared" si="4"/>
        <v>#VALUE!</v>
      </c>
      <c r="L40" s="10" t="e">
        <f t="shared" si="5"/>
        <v>#VALUE!</v>
      </c>
      <c r="M40" s="10" t="e">
        <f t="shared" si="24"/>
        <v>#VALUE!</v>
      </c>
      <c r="O40" s="10" t="e">
        <f t="shared" si="25"/>
        <v>#VALUE!</v>
      </c>
      <c r="P40" s="10" t="e">
        <f t="shared" si="6"/>
        <v>#VALUE!</v>
      </c>
      <c r="Q40" s="10" t="e">
        <f t="shared" si="7"/>
        <v>#VALUE!</v>
      </c>
      <c r="R40" s="10" t="e">
        <f t="shared" si="26"/>
        <v>#VALUE!</v>
      </c>
      <c r="S40" s="10" t="e">
        <f t="shared" si="27"/>
        <v>#VALUE!</v>
      </c>
      <c r="T40" s="10" t="e">
        <f t="shared" si="62"/>
        <v>#VALUE!</v>
      </c>
      <c r="U40" s="10" t="e">
        <f t="shared" si="63"/>
        <v>#VALUE!</v>
      </c>
      <c r="V40" s="10" t="e">
        <f t="shared" si="8"/>
        <v>#VALUE!</v>
      </c>
      <c r="W40" s="10" t="e">
        <f t="shared" si="28"/>
        <v>#VALUE!</v>
      </c>
      <c r="Y40" s="10" t="e">
        <f t="shared" si="29"/>
        <v>#VALUE!</v>
      </c>
      <c r="Z40" s="11" t="e">
        <f t="shared" si="30"/>
        <v>#VALUE!</v>
      </c>
      <c r="AA40" s="10" t="e">
        <f t="shared" si="9"/>
        <v>#VALUE!</v>
      </c>
      <c r="AB40" s="10" t="e">
        <f t="shared" si="31"/>
        <v>#VALUE!</v>
      </c>
      <c r="AC40" s="10" t="e">
        <f t="shared" si="32"/>
        <v>#VALUE!</v>
      </c>
      <c r="AD40" s="10" t="e">
        <f t="shared" si="64"/>
        <v>#VALUE!</v>
      </c>
      <c r="AE40" s="10" t="e">
        <f t="shared" si="65"/>
        <v>#VALUE!</v>
      </c>
      <c r="AF40" s="10" t="e">
        <f t="shared" si="10"/>
        <v>#VALUE!</v>
      </c>
      <c r="AG40" s="10" t="e">
        <f t="shared" si="33"/>
        <v>#VALUE!</v>
      </c>
      <c r="AI40" s="13"/>
      <c r="AK40" s="10" t="e">
        <f t="shared" si="34"/>
        <v>#VALUE!</v>
      </c>
      <c r="AL40" s="10" t="e">
        <f t="shared" si="66"/>
        <v>#VALUE!</v>
      </c>
      <c r="AM40" s="10" t="e">
        <f t="shared" si="11"/>
        <v>#VALUE!</v>
      </c>
      <c r="AN40" s="10" t="e">
        <f t="shared" si="35"/>
        <v>#VALUE!</v>
      </c>
      <c r="AO40" s="10" t="e">
        <f t="shared" si="36"/>
        <v>#VALUE!</v>
      </c>
      <c r="AP40" s="10" t="e">
        <f t="shared" si="37"/>
        <v>#VALUE!</v>
      </c>
      <c r="AQ40" s="10" t="e">
        <f t="shared" si="67"/>
        <v>#VALUE!</v>
      </c>
      <c r="AR40" s="10" t="e">
        <f t="shared" si="12"/>
        <v>#VALUE!</v>
      </c>
      <c r="AS40" s="10" t="e">
        <f t="shared" si="68"/>
        <v>#VALUE!</v>
      </c>
      <c r="AU40" s="10" t="e">
        <f t="shared" si="38"/>
        <v>#VALUE!</v>
      </c>
      <c r="AV40" s="10" t="e">
        <f t="shared" si="69"/>
        <v>#VALUE!</v>
      </c>
      <c r="AW40" s="10" t="e">
        <f t="shared" si="13"/>
        <v>#VALUE!</v>
      </c>
      <c r="AX40" s="10" t="e">
        <f t="shared" si="39"/>
        <v>#VALUE!</v>
      </c>
      <c r="AY40" s="10" t="e">
        <f t="shared" si="40"/>
        <v>#VALUE!</v>
      </c>
      <c r="AZ40" s="10" t="e">
        <f t="shared" si="41"/>
        <v>#VALUE!</v>
      </c>
      <c r="BA40" s="10" t="e">
        <f t="shared" si="70"/>
        <v>#VALUE!</v>
      </c>
      <c r="BB40" s="10" t="e">
        <f t="shared" si="14"/>
        <v>#VALUE!</v>
      </c>
      <c r="BC40" s="10" t="e">
        <f t="shared" si="71"/>
        <v>#VALUE!</v>
      </c>
      <c r="BE40" s="10" t="e">
        <f t="shared" si="42"/>
        <v>#VALUE!</v>
      </c>
      <c r="BF40" s="10" t="e">
        <f t="shared" si="72"/>
        <v>#VALUE!</v>
      </c>
      <c r="BG40" s="10" t="e">
        <f t="shared" si="15"/>
        <v>#VALUE!</v>
      </c>
      <c r="BH40" s="10" t="e">
        <f t="shared" si="43"/>
        <v>#VALUE!</v>
      </c>
      <c r="BI40" s="10" t="e">
        <f t="shared" si="44"/>
        <v>#VALUE!</v>
      </c>
      <c r="BJ40" s="10" t="e">
        <f t="shared" si="45"/>
        <v>#VALUE!</v>
      </c>
      <c r="BK40" s="10" t="e">
        <f t="shared" si="73"/>
        <v>#VALUE!</v>
      </c>
      <c r="BL40" s="10" t="e">
        <f t="shared" si="16"/>
        <v>#VALUE!</v>
      </c>
      <c r="BM40" s="10" t="e">
        <f t="shared" si="74"/>
        <v>#VALUE!</v>
      </c>
      <c r="BP40" s="10" t="e">
        <f t="shared" si="46"/>
        <v>#VALUE!</v>
      </c>
      <c r="BQ40" s="10" t="e">
        <f t="shared" si="47"/>
        <v>#VALUE!</v>
      </c>
      <c r="BR40" s="10" t="e">
        <f t="shared" si="48"/>
        <v>#VALUE!</v>
      </c>
      <c r="BS40" s="10" t="e">
        <f t="shared" si="49"/>
        <v>#VALUE!</v>
      </c>
      <c r="BT40" s="10" t="e">
        <f t="shared" si="50"/>
        <v>#VALUE!</v>
      </c>
      <c r="BU40" s="10" t="e">
        <f t="shared" si="51"/>
        <v>#VALUE!</v>
      </c>
      <c r="BW40" s="10" t="e">
        <f t="shared" si="52"/>
        <v>#VALUE!</v>
      </c>
      <c r="BX40" s="10" t="e">
        <f t="shared" si="53"/>
        <v>#VALUE!</v>
      </c>
      <c r="BY40" s="10" t="e">
        <f t="shared" si="54"/>
        <v>#VALUE!</v>
      </c>
      <c r="BZ40" s="10" t="e">
        <f t="shared" si="55"/>
        <v>#VALUE!</v>
      </c>
      <c r="CA40" s="10" t="e">
        <f t="shared" si="56"/>
        <v>#VALUE!</v>
      </c>
      <c r="CB40" s="10" t="e">
        <f t="shared" si="57"/>
        <v>#VALUE!</v>
      </c>
      <c r="CD40" s="10" t="e">
        <f>MATCH(INDEX($BP$12:$BU$12,1,MATCH(BP40,$BP$15:$BU$15,0)),结果汇总!$AI$10:$AI$13,0)</f>
        <v>#VALUE!</v>
      </c>
      <c r="CE40" s="10" t="e">
        <f>MATCH(INDEX($BP$12:$BU$12,1,MATCH(BQ40,$BP$15:$BU$15,0)),结果汇总!$AI$10:$AI$13,0)</f>
        <v>#VALUE!</v>
      </c>
      <c r="CF40" s="10" t="e">
        <f>MATCH(INDEX($BP$12:$BU$12,1,MATCH(BR40,$BP$15:$BU$15,0)),结果汇总!$AI$10:$AI$13,0)</f>
        <v>#VALUE!</v>
      </c>
      <c r="CG40" s="10" t="e">
        <f>MATCH(INDEX($BP$12:$BU$12,1,MATCH(BS40,$BP$15:$BU$15,0)),结果汇总!$AI$10:$AI$13,0)</f>
        <v>#VALUE!</v>
      </c>
      <c r="CH40" s="10" t="e">
        <f>MATCH(INDEX($BP$12:$BU$12,1,MATCH(BT40,$BP$15:$BU$15,0)),结果汇总!$AI$10:$AI$13,0)</f>
        <v>#VALUE!</v>
      </c>
      <c r="CI40" s="10" t="e">
        <f>MATCH(INDEX($BP$12:$BU$12,1,MATCH(BU40,$BP$15:$BU$15,0)),结果汇总!$AI$10:$AI$13,0)</f>
        <v>#VALUE!</v>
      </c>
      <c r="CK40" s="10">
        <f t="shared" si="58"/>
        <v>0</v>
      </c>
      <c r="CL40" s="10">
        <f t="shared" si="58"/>
        <v>0</v>
      </c>
      <c r="CM40" s="10">
        <f t="shared" si="58"/>
        <v>0</v>
      </c>
      <c r="CN40" s="10">
        <f t="shared" si="58"/>
        <v>0</v>
      </c>
      <c r="CO40" s="10" t="e">
        <f t="shared" si="59"/>
        <v>#DIV/0!</v>
      </c>
      <c r="CP40" s="10" t="e">
        <f t="shared" si="59"/>
        <v>#DIV/0!</v>
      </c>
      <c r="CQ40" s="10" t="e">
        <f t="shared" si="59"/>
        <v>#DIV/0!</v>
      </c>
      <c r="CR40" s="10" t="e">
        <f t="shared" si="59"/>
        <v>#DIV/0!</v>
      </c>
      <c r="CS40" s="10">
        <f t="shared" si="60"/>
        <v>0</v>
      </c>
      <c r="CT40" s="10">
        <f t="shared" si="60"/>
        <v>0</v>
      </c>
      <c r="CU40" s="10">
        <f t="shared" si="60"/>
        <v>0</v>
      </c>
      <c r="CV40" s="10">
        <f t="shared" si="60"/>
        <v>0</v>
      </c>
      <c r="CW40" s="10" t="e">
        <f t="shared" si="61"/>
        <v>#DIV/0!</v>
      </c>
      <c r="CX40" s="10" t="e">
        <f t="shared" si="61"/>
        <v>#DIV/0!</v>
      </c>
      <c r="CY40" s="10" t="e">
        <f t="shared" si="61"/>
        <v>#DIV/0!</v>
      </c>
      <c r="CZ40" s="10" t="e">
        <f t="shared" si="61"/>
        <v>#DIV/0!</v>
      </c>
    </row>
    <row r="41" spans="4:104" x14ac:dyDescent="0.15">
      <c r="D41" s="10">
        <v>26</v>
      </c>
      <c r="E41" s="10" t="e">
        <f t="shared" si="21"/>
        <v>#VALUE!</v>
      </c>
      <c r="F41" s="10" t="e">
        <f t="shared" si="1"/>
        <v>#VALUE!</v>
      </c>
      <c r="G41" s="10" t="e">
        <f t="shared" si="2"/>
        <v>#VALUE!</v>
      </c>
      <c r="H41" s="10" t="e">
        <f t="shared" si="22"/>
        <v>#VALUE!</v>
      </c>
      <c r="I41" s="10" t="e">
        <f t="shared" si="3"/>
        <v>#VALUE!</v>
      </c>
      <c r="J41" s="10" t="e">
        <f t="shared" si="23"/>
        <v>#VALUE!</v>
      </c>
      <c r="K41" s="10" t="e">
        <f t="shared" si="4"/>
        <v>#VALUE!</v>
      </c>
      <c r="L41" s="10" t="e">
        <f t="shared" si="5"/>
        <v>#VALUE!</v>
      </c>
      <c r="M41" s="10" t="e">
        <f t="shared" si="24"/>
        <v>#VALUE!</v>
      </c>
      <c r="O41" s="10" t="e">
        <f t="shared" si="25"/>
        <v>#VALUE!</v>
      </c>
      <c r="P41" s="10" t="e">
        <f t="shared" si="6"/>
        <v>#VALUE!</v>
      </c>
      <c r="Q41" s="10" t="e">
        <f t="shared" si="7"/>
        <v>#VALUE!</v>
      </c>
      <c r="R41" s="10" t="e">
        <f t="shared" si="26"/>
        <v>#VALUE!</v>
      </c>
      <c r="S41" s="10" t="e">
        <f t="shared" si="27"/>
        <v>#VALUE!</v>
      </c>
      <c r="T41" s="10" t="e">
        <f t="shared" si="62"/>
        <v>#VALUE!</v>
      </c>
      <c r="U41" s="10" t="e">
        <f t="shared" si="63"/>
        <v>#VALUE!</v>
      </c>
      <c r="V41" s="10" t="e">
        <f t="shared" si="8"/>
        <v>#VALUE!</v>
      </c>
      <c r="W41" s="10" t="e">
        <f t="shared" si="28"/>
        <v>#VALUE!</v>
      </c>
      <c r="Y41" s="10" t="e">
        <f t="shared" si="29"/>
        <v>#VALUE!</v>
      </c>
      <c r="Z41" s="11" t="e">
        <f t="shared" si="30"/>
        <v>#VALUE!</v>
      </c>
      <c r="AA41" s="10" t="e">
        <f t="shared" si="9"/>
        <v>#VALUE!</v>
      </c>
      <c r="AB41" s="10" t="e">
        <f t="shared" si="31"/>
        <v>#VALUE!</v>
      </c>
      <c r="AC41" s="10" t="e">
        <f t="shared" si="32"/>
        <v>#VALUE!</v>
      </c>
      <c r="AD41" s="10" t="e">
        <f t="shared" si="64"/>
        <v>#VALUE!</v>
      </c>
      <c r="AE41" s="10" t="e">
        <f t="shared" si="65"/>
        <v>#VALUE!</v>
      </c>
      <c r="AF41" s="10" t="e">
        <f t="shared" si="10"/>
        <v>#VALUE!</v>
      </c>
      <c r="AG41" s="10" t="e">
        <f t="shared" si="33"/>
        <v>#VALUE!</v>
      </c>
      <c r="AI41" s="13"/>
      <c r="AK41" s="10" t="e">
        <f t="shared" si="34"/>
        <v>#VALUE!</v>
      </c>
      <c r="AL41" s="10" t="e">
        <f t="shared" si="66"/>
        <v>#VALUE!</v>
      </c>
      <c r="AM41" s="10" t="e">
        <f t="shared" si="11"/>
        <v>#VALUE!</v>
      </c>
      <c r="AN41" s="10" t="e">
        <f t="shared" si="35"/>
        <v>#VALUE!</v>
      </c>
      <c r="AO41" s="10" t="e">
        <f t="shared" si="36"/>
        <v>#VALUE!</v>
      </c>
      <c r="AP41" s="10" t="e">
        <f t="shared" si="37"/>
        <v>#VALUE!</v>
      </c>
      <c r="AQ41" s="10" t="e">
        <f t="shared" si="67"/>
        <v>#VALUE!</v>
      </c>
      <c r="AR41" s="10" t="e">
        <f t="shared" si="12"/>
        <v>#VALUE!</v>
      </c>
      <c r="AS41" s="10" t="e">
        <f t="shared" si="68"/>
        <v>#VALUE!</v>
      </c>
      <c r="AU41" s="10" t="e">
        <f t="shared" si="38"/>
        <v>#VALUE!</v>
      </c>
      <c r="AV41" s="10" t="e">
        <f t="shared" si="69"/>
        <v>#VALUE!</v>
      </c>
      <c r="AW41" s="10" t="e">
        <f t="shared" si="13"/>
        <v>#VALUE!</v>
      </c>
      <c r="AX41" s="10" t="e">
        <f t="shared" si="39"/>
        <v>#VALUE!</v>
      </c>
      <c r="AY41" s="10" t="e">
        <f t="shared" si="40"/>
        <v>#VALUE!</v>
      </c>
      <c r="AZ41" s="10" t="e">
        <f t="shared" si="41"/>
        <v>#VALUE!</v>
      </c>
      <c r="BA41" s="10" t="e">
        <f t="shared" si="70"/>
        <v>#VALUE!</v>
      </c>
      <c r="BB41" s="10" t="e">
        <f t="shared" si="14"/>
        <v>#VALUE!</v>
      </c>
      <c r="BC41" s="10" t="e">
        <f t="shared" si="71"/>
        <v>#VALUE!</v>
      </c>
      <c r="BE41" s="10" t="e">
        <f t="shared" si="42"/>
        <v>#VALUE!</v>
      </c>
      <c r="BF41" s="10" t="e">
        <f t="shared" si="72"/>
        <v>#VALUE!</v>
      </c>
      <c r="BG41" s="10" t="e">
        <f t="shared" si="15"/>
        <v>#VALUE!</v>
      </c>
      <c r="BH41" s="10" t="e">
        <f t="shared" si="43"/>
        <v>#VALUE!</v>
      </c>
      <c r="BI41" s="10" t="e">
        <f t="shared" si="44"/>
        <v>#VALUE!</v>
      </c>
      <c r="BJ41" s="10" t="e">
        <f t="shared" si="45"/>
        <v>#VALUE!</v>
      </c>
      <c r="BK41" s="10" t="e">
        <f t="shared" si="73"/>
        <v>#VALUE!</v>
      </c>
      <c r="BL41" s="10" t="e">
        <f t="shared" si="16"/>
        <v>#VALUE!</v>
      </c>
      <c r="BM41" s="10" t="e">
        <f t="shared" si="74"/>
        <v>#VALUE!</v>
      </c>
      <c r="BP41" s="10" t="e">
        <f t="shared" si="46"/>
        <v>#VALUE!</v>
      </c>
      <c r="BQ41" s="10" t="e">
        <f t="shared" si="47"/>
        <v>#VALUE!</v>
      </c>
      <c r="BR41" s="10" t="e">
        <f t="shared" si="48"/>
        <v>#VALUE!</v>
      </c>
      <c r="BS41" s="10" t="e">
        <f t="shared" si="49"/>
        <v>#VALUE!</v>
      </c>
      <c r="BT41" s="10" t="e">
        <f t="shared" si="50"/>
        <v>#VALUE!</v>
      </c>
      <c r="BU41" s="10" t="e">
        <f t="shared" si="51"/>
        <v>#VALUE!</v>
      </c>
      <c r="BW41" s="10" t="e">
        <f t="shared" si="52"/>
        <v>#VALUE!</v>
      </c>
      <c r="BX41" s="10" t="e">
        <f t="shared" si="53"/>
        <v>#VALUE!</v>
      </c>
      <c r="BY41" s="10" t="e">
        <f t="shared" si="54"/>
        <v>#VALUE!</v>
      </c>
      <c r="BZ41" s="10" t="e">
        <f t="shared" si="55"/>
        <v>#VALUE!</v>
      </c>
      <c r="CA41" s="10" t="e">
        <f t="shared" si="56"/>
        <v>#VALUE!</v>
      </c>
      <c r="CB41" s="10" t="e">
        <f t="shared" si="57"/>
        <v>#VALUE!</v>
      </c>
      <c r="CD41" s="10" t="e">
        <f>MATCH(INDEX($BP$12:$BU$12,1,MATCH(BP41,$BP$15:$BU$15,0)),结果汇总!$AI$10:$AI$13,0)</f>
        <v>#VALUE!</v>
      </c>
      <c r="CE41" s="10" t="e">
        <f>MATCH(INDEX($BP$12:$BU$12,1,MATCH(BQ41,$BP$15:$BU$15,0)),结果汇总!$AI$10:$AI$13,0)</f>
        <v>#VALUE!</v>
      </c>
      <c r="CF41" s="10" t="e">
        <f>MATCH(INDEX($BP$12:$BU$12,1,MATCH(BR41,$BP$15:$BU$15,0)),结果汇总!$AI$10:$AI$13,0)</f>
        <v>#VALUE!</v>
      </c>
      <c r="CG41" s="10" t="e">
        <f>MATCH(INDEX($BP$12:$BU$12,1,MATCH(BS41,$BP$15:$BU$15,0)),结果汇总!$AI$10:$AI$13,0)</f>
        <v>#VALUE!</v>
      </c>
      <c r="CH41" s="10" t="e">
        <f>MATCH(INDEX($BP$12:$BU$12,1,MATCH(BT41,$BP$15:$BU$15,0)),结果汇总!$AI$10:$AI$13,0)</f>
        <v>#VALUE!</v>
      </c>
      <c r="CI41" s="10" t="e">
        <f>MATCH(INDEX($BP$12:$BU$12,1,MATCH(BU41,$BP$15:$BU$15,0)),结果汇总!$AI$10:$AI$13,0)</f>
        <v>#VALUE!</v>
      </c>
      <c r="CK41" s="10">
        <f t="shared" si="58"/>
        <v>0</v>
      </c>
      <c r="CL41" s="10">
        <f t="shared" si="58"/>
        <v>0</v>
      </c>
      <c r="CM41" s="10">
        <f t="shared" si="58"/>
        <v>0</v>
      </c>
      <c r="CN41" s="10">
        <f t="shared" si="58"/>
        <v>0</v>
      </c>
      <c r="CO41" s="10" t="e">
        <f t="shared" si="59"/>
        <v>#DIV/0!</v>
      </c>
      <c r="CP41" s="10" t="e">
        <f t="shared" si="59"/>
        <v>#DIV/0!</v>
      </c>
      <c r="CQ41" s="10" t="e">
        <f t="shared" si="59"/>
        <v>#DIV/0!</v>
      </c>
      <c r="CR41" s="10" t="e">
        <f t="shared" si="59"/>
        <v>#DIV/0!</v>
      </c>
      <c r="CS41" s="10">
        <f t="shared" si="60"/>
        <v>0</v>
      </c>
      <c r="CT41" s="10">
        <f t="shared" si="60"/>
        <v>0</v>
      </c>
      <c r="CU41" s="10">
        <f t="shared" si="60"/>
        <v>0</v>
      </c>
      <c r="CV41" s="10">
        <f t="shared" si="60"/>
        <v>0</v>
      </c>
      <c r="CW41" s="10" t="e">
        <f t="shared" si="61"/>
        <v>#DIV/0!</v>
      </c>
      <c r="CX41" s="10" t="e">
        <f t="shared" si="61"/>
        <v>#DIV/0!</v>
      </c>
      <c r="CY41" s="10" t="e">
        <f t="shared" si="61"/>
        <v>#DIV/0!</v>
      </c>
      <c r="CZ41" s="10" t="e">
        <f t="shared" si="61"/>
        <v>#DIV/0!</v>
      </c>
    </row>
    <row r="42" spans="4:104" x14ac:dyDescent="0.15">
      <c r="D42" s="10">
        <v>27</v>
      </c>
      <c r="E42" s="10" t="e">
        <f t="shared" si="21"/>
        <v>#VALUE!</v>
      </c>
      <c r="F42" s="10" t="e">
        <f t="shared" si="1"/>
        <v>#VALUE!</v>
      </c>
      <c r="G42" s="10" t="e">
        <f t="shared" si="2"/>
        <v>#VALUE!</v>
      </c>
      <c r="H42" s="10" t="e">
        <f t="shared" si="22"/>
        <v>#VALUE!</v>
      </c>
      <c r="I42" s="10" t="e">
        <f t="shared" si="3"/>
        <v>#VALUE!</v>
      </c>
      <c r="J42" s="10" t="e">
        <f t="shared" si="23"/>
        <v>#VALUE!</v>
      </c>
      <c r="K42" s="10" t="e">
        <f t="shared" si="4"/>
        <v>#VALUE!</v>
      </c>
      <c r="L42" s="10" t="e">
        <f t="shared" si="5"/>
        <v>#VALUE!</v>
      </c>
      <c r="M42" s="10" t="e">
        <f t="shared" si="24"/>
        <v>#VALUE!</v>
      </c>
      <c r="O42" s="10" t="e">
        <f t="shared" si="25"/>
        <v>#VALUE!</v>
      </c>
      <c r="P42" s="10" t="e">
        <f t="shared" si="6"/>
        <v>#VALUE!</v>
      </c>
      <c r="Q42" s="10" t="e">
        <f t="shared" si="7"/>
        <v>#VALUE!</v>
      </c>
      <c r="R42" s="10" t="e">
        <f t="shared" si="26"/>
        <v>#VALUE!</v>
      </c>
      <c r="S42" s="10" t="e">
        <f t="shared" si="27"/>
        <v>#VALUE!</v>
      </c>
      <c r="T42" s="10" t="e">
        <f t="shared" si="62"/>
        <v>#VALUE!</v>
      </c>
      <c r="U42" s="10" t="e">
        <f t="shared" si="63"/>
        <v>#VALUE!</v>
      </c>
      <c r="V42" s="10" t="e">
        <f t="shared" si="8"/>
        <v>#VALUE!</v>
      </c>
      <c r="W42" s="10" t="e">
        <f t="shared" si="28"/>
        <v>#VALUE!</v>
      </c>
      <c r="Y42" s="10" t="e">
        <f t="shared" si="29"/>
        <v>#VALUE!</v>
      </c>
      <c r="Z42" s="11" t="e">
        <f t="shared" si="30"/>
        <v>#VALUE!</v>
      </c>
      <c r="AA42" s="10" t="e">
        <f t="shared" si="9"/>
        <v>#VALUE!</v>
      </c>
      <c r="AB42" s="10" t="e">
        <f t="shared" si="31"/>
        <v>#VALUE!</v>
      </c>
      <c r="AC42" s="10" t="e">
        <f t="shared" si="32"/>
        <v>#VALUE!</v>
      </c>
      <c r="AD42" s="10" t="e">
        <f t="shared" si="64"/>
        <v>#VALUE!</v>
      </c>
      <c r="AE42" s="10" t="e">
        <f t="shared" si="65"/>
        <v>#VALUE!</v>
      </c>
      <c r="AF42" s="10" t="e">
        <f t="shared" si="10"/>
        <v>#VALUE!</v>
      </c>
      <c r="AG42" s="10" t="e">
        <f t="shared" si="33"/>
        <v>#VALUE!</v>
      </c>
      <c r="AI42" s="13"/>
      <c r="AK42" s="10" t="e">
        <f t="shared" si="34"/>
        <v>#VALUE!</v>
      </c>
      <c r="AL42" s="10" t="e">
        <f t="shared" si="66"/>
        <v>#VALUE!</v>
      </c>
      <c r="AM42" s="10" t="e">
        <f t="shared" si="11"/>
        <v>#VALUE!</v>
      </c>
      <c r="AN42" s="10" t="e">
        <f t="shared" si="35"/>
        <v>#VALUE!</v>
      </c>
      <c r="AO42" s="10" t="e">
        <f t="shared" si="36"/>
        <v>#VALUE!</v>
      </c>
      <c r="AP42" s="10" t="e">
        <f t="shared" si="37"/>
        <v>#VALUE!</v>
      </c>
      <c r="AQ42" s="10" t="e">
        <f t="shared" si="67"/>
        <v>#VALUE!</v>
      </c>
      <c r="AR42" s="10" t="e">
        <f t="shared" si="12"/>
        <v>#VALUE!</v>
      </c>
      <c r="AS42" s="10" t="e">
        <f t="shared" si="68"/>
        <v>#VALUE!</v>
      </c>
      <c r="AU42" s="10" t="e">
        <f t="shared" si="38"/>
        <v>#VALUE!</v>
      </c>
      <c r="AV42" s="10" t="e">
        <f t="shared" si="69"/>
        <v>#VALUE!</v>
      </c>
      <c r="AW42" s="10" t="e">
        <f t="shared" si="13"/>
        <v>#VALUE!</v>
      </c>
      <c r="AX42" s="10" t="e">
        <f t="shared" si="39"/>
        <v>#VALUE!</v>
      </c>
      <c r="AY42" s="10" t="e">
        <f t="shared" si="40"/>
        <v>#VALUE!</v>
      </c>
      <c r="AZ42" s="10" t="e">
        <f t="shared" si="41"/>
        <v>#VALUE!</v>
      </c>
      <c r="BA42" s="10" t="e">
        <f t="shared" si="70"/>
        <v>#VALUE!</v>
      </c>
      <c r="BB42" s="10" t="e">
        <f t="shared" si="14"/>
        <v>#VALUE!</v>
      </c>
      <c r="BC42" s="10" t="e">
        <f t="shared" si="71"/>
        <v>#VALUE!</v>
      </c>
      <c r="BE42" s="10" t="e">
        <f t="shared" si="42"/>
        <v>#VALUE!</v>
      </c>
      <c r="BF42" s="10" t="e">
        <f t="shared" si="72"/>
        <v>#VALUE!</v>
      </c>
      <c r="BG42" s="10" t="e">
        <f t="shared" si="15"/>
        <v>#VALUE!</v>
      </c>
      <c r="BH42" s="10" t="e">
        <f t="shared" si="43"/>
        <v>#VALUE!</v>
      </c>
      <c r="BI42" s="10" t="e">
        <f t="shared" si="44"/>
        <v>#VALUE!</v>
      </c>
      <c r="BJ42" s="10" t="e">
        <f t="shared" si="45"/>
        <v>#VALUE!</v>
      </c>
      <c r="BK42" s="10" t="e">
        <f t="shared" si="73"/>
        <v>#VALUE!</v>
      </c>
      <c r="BL42" s="10" t="e">
        <f t="shared" si="16"/>
        <v>#VALUE!</v>
      </c>
      <c r="BM42" s="10" t="e">
        <f t="shared" si="74"/>
        <v>#VALUE!</v>
      </c>
      <c r="BP42" s="10" t="e">
        <f t="shared" si="46"/>
        <v>#VALUE!</v>
      </c>
      <c r="BQ42" s="10" t="e">
        <f t="shared" si="47"/>
        <v>#VALUE!</v>
      </c>
      <c r="BR42" s="10" t="e">
        <f t="shared" si="48"/>
        <v>#VALUE!</v>
      </c>
      <c r="BS42" s="10" t="e">
        <f t="shared" si="49"/>
        <v>#VALUE!</v>
      </c>
      <c r="BT42" s="10" t="e">
        <f t="shared" si="50"/>
        <v>#VALUE!</v>
      </c>
      <c r="BU42" s="10" t="e">
        <f t="shared" si="51"/>
        <v>#VALUE!</v>
      </c>
      <c r="BW42" s="10" t="e">
        <f t="shared" si="52"/>
        <v>#VALUE!</v>
      </c>
      <c r="BX42" s="10" t="e">
        <f t="shared" si="53"/>
        <v>#VALUE!</v>
      </c>
      <c r="BY42" s="10" t="e">
        <f t="shared" si="54"/>
        <v>#VALUE!</v>
      </c>
      <c r="BZ42" s="10" t="e">
        <f t="shared" si="55"/>
        <v>#VALUE!</v>
      </c>
      <c r="CA42" s="10" t="e">
        <f t="shared" si="56"/>
        <v>#VALUE!</v>
      </c>
      <c r="CB42" s="10" t="e">
        <f t="shared" si="57"/>
        <v>#VALUE!</v>
      </c>
      <c r="CD42" s="10" t="e">
        <f>MATCH(INDEX($BP$12:$BU$12,1,MATCH(BP42,$BP$15:$BU$15,0)),结果汇总!$AI$10:$AI$13,0)</f>
        <v>#VALUE!</v>
      </c>
      <c r="CE42" s="10" t="e">
        <f>MATCH(INDEX($BP$12:$BU$12,1,MATCH(BQ42,$BP$15:$BU$15,0)),结果汇总!$AI$10:$AI$13,0)</f>
        <v>#VALUE!</v>
      </c>
      <c r="CF42" s="10" t="e">
        <f>MATCH(INDEX($BP$12:$BU$12,1,MATCH(BR42,$BP$15:$BU$15,0)),结果汇总!$AI$10:$AI$13,0)</f>
        <v>#VALUE!</v>
      </c>
      <c r="CG42" s="10" t="e">
        <f>MATCH(INDEX($BP$12:$BU$12,1,MATCH(BS42,$BP$15:$BU$15,0)),结果汇总!$AI$10:$AI$13,0)</f>
        <v>#VALUE!</v>
      </c>
      <c r="CH42" s="10" t="e">
        <f>MATCH(INDEX($BP$12:$BU$12,1,MATCH(BT42,$BP$15:$BU$15,0)),结果汇总!$AI$10:$AI$13,0)</f>
        <v>#VALUE!</v>
      </c>
      <c r="CI42" s="10" t="e">
        <f>MATCH(INDEX($BP$12:$BU$12,1,MATCH(BU42,$BP$15:$BU$15,0)),结果汇总!$AI$10:$AI$13,0)</f>
        <v>#VALUE!</v>
      </c>
      <c r="CK42" s="10">
        <f t="shared" si="58"/>
        <v>0</v>
      </c>
      <c r="CL42" s="10">
        <f t="shared" si="58"/>
        <v>0</v>
      </c>
      <c r="CM42" s="10">
        <f t="shared" si="58"/>
        <v>0</v>
      </c>
      <c r="CN42" s="10">
        <f t="shared" si="58"/>
        <v>0</v>
      </c>
      <c r="CO42" s="10" t="e">
        <f t="shared" si="59"/>
        <v>#DIV/0!</v>
      </c>
      <c r="CP42" s="10" t="e">
        <f t="shared" si="59"/>
        <v>#DIV/0!</v>
      </c>
      <c r="CQ42" s="10" t="e">
        <f t="shared" si="59"/>
        <v>#DIV/0!</v>
      </c>
      <c r="CR42" s="10" t="e">
        <f t="shared" si="59"/>
        <v>#DIV/0!</v>
      </c>
      <c r="CS42" s="10">
        <f t="shared" si="60"/>
        <v>0</v>
      </c>
      <c r="CT42" s="10">
        <f t="shared" si="60"/>
        <v>0</v>
      </c>
      <c r="CU42" s="10">
        <f t="shared" si="60"/>
        <v>0</v>
      </c>
      <c r="CV42" s="10">
        <f t="shared" si="60"/>
        <v>0</v>
      </c>
      <c r="CW42" s="10" t="e">
        <f t="shared" si="61"/>
        <v>#DIV/0!</v>
      </c>
      <c r="CX42" s="10" t="e">
        <f t="shared" si="61"/>
        <v>#DIV/0!</v>
      </c>
      <c r="CY42" s="10" t="e">
        <f t="shared" si="61"/>
        <v>#DIV/0!</v>
      </c>
      <c r="CZ42" s="10" t="e">
        <f t="shared" si="61"/>
        <v>#DIV/0!</v>
      </c>
    </row>
    <row r="43" spans="4:104" x14ac:dyDescent="0.15">
      <c r="D43" s="10">
        <v>28</v>
      </c>
      <c r="E43" s="10" t="e">
        <f t="shared" si="21"/>
        <v>#VALUE!</v>
      </c>
      <c r="F43" s="10" t="e">
        <f t="shared" si="1"/>
        <v>#VALUE!</v>
      </c>
      <c r="G43" s="10" t="e">
        <f t="shared" si="2"/>
        <v>#VALUE!</v>
      </c>
      <c r="H43" s="10" t="e">
        <f t="shared" si="22"/>
        <v>#VALUE!</v>
      </c>
      <c r="I43" s="10" t="e">
        <f t="shared" si="3"/>
        <v>#VALUE!</v>
      </c>
      <c r="J43" s="10" t="e">
        <f t="shared" si="23"/>
        <v>#VALUE!</v>
      </c>
      <c r="K43" s="10" t="e">
        <f t="shared" si="4"/>
        <v>#VALUE!</v>
      </c>
      <c r="L43" s="10" t="e">
        <f t="shared" si="5"/>
        <v>#VALUE!</v>
      </c>
      <c r="M43" s="10" t="e">
        <f t="shared" si="24"/>
        <v>#VALUE!</v>
      </c>
      <c r="O43" s="10" t="e">
        <f t="shared" si="25"/>
        <v>#VALUE!</v>
      </c>
      <c r="P43" s="10" t="e">
        <f t="shared" si="6"/>
        <v>#VALUE!</v>
      </c>
      <c r="Q43" s="10" t="e">
        <f t="shared" si="7"/>
        <v>#VALUE!</v>
      </c>
      <c r="R43" s="10" t="e">
        <f t="shared" si="26"/>
        <v>#VALUE!</v>
      </c>
      <c r="S43" s="10" t="e">
        <f t="shared" si="27"/>
        <v>#VALUE!</v>
      </c>
      <c r="T43" s="10" t="e">
        <f t="shared" si="62"/>
        <v>#VALUE!</v>
      </c>
      <c r="U43" s="10" t="e">
        <f t="shared" si="63"/>
        <v>#VALUE!</v>
      </c>
      <c r="V43" s="10" t="e">
        <f t="shared" si="8"/>
        <v>#VALUE!</v>
      </c>
      <c r="W43" s="10" t="e">
        <f t="shared" si="28"/>
        <v>#VALUE!</v>
      </c>
      <c r="Y43" s="10" t="e">
        <f t="shared" si="29"/>
        <v>#VALUE!</v>
      </c>
      <c r="Z43" s="11" t="e">
        <f t="shared" si="30"/>
        <v>#VALUE!</v>
      </c>
      <c r="AA43" s="10" t="e">
        <f t="shared" si="9"/>
        <v>#VALUE!</v>
      </c>
      <c r="AB43" s="10" t="e">
        <f t="shared" si="31"/>
        <v>#VALUE!</v>
      </c>
      <c r="AC43" s="10" t="e">
        <f t="shared" si="32"/>
        <v>#VALUE!</v>
      </c>
      <c r="AD43" s="10" t="e">
        <f t="shared" si="64"/>
        <v>#VALUE!</v>
      </c>
      <c r="AE43" s="10" t="e">
        <f t="shared" si="65"/>
        <v>#VALUE!</v>
      </c>
      <c r="AF43" s="10" t="e">
        <f t="shared" si="10"/>
        <v>#VALUE!</v>
      </c>
      <c r="AG43" s="10" t="e">
        <f t="shared" si="33"/>
        <v>#VALUE!</v>
      </c>
      <c r="AI43" s="13"/>
      <c r="AK43" s="10" t="e">
        <f t="shared" si="34"/>
        <v>#VALUE!</v>
      </c>
      <c r="AL43" s="10" t="e">
        <f t="shared" si="66"/>
        <v>#VALUE!</v>
      </c>
      <c r="AM43" s="10" t="e">
        <f t="shared" si="11"/>
        <v>#VALUE!</v>
      </c>
      <c r="AN43" s="10" t="e">
        <f t="shared" si="35"/>
        <v>#VALUE!</v>
      </c>
      <c r="AO43" s="10" t="e">
        <f t="shared" si="36"/>
        <v>#VALUE!</v>
      </c>
      <c r="AP43" s="10" t="e">
        <f t="shared" si="37"/>
        <v>#VALUE!</v>
      </c>
      <c r="AQ43" s="10" t="e">
        <f t="shared" si="67"/>
        <v>#VALUE!</v>
      </c>
      <c r="AR43" s="10" t="e">
        <f t="shared" si="12"/>
        <v>#VALUE!</v>
      </c>
      <c r="AS43" s="10" t="e">
        <f t="shared" si="68"/>
        <v>#VALUE!</v>
      </c>
      <c r="AU43" s="10" t="e">
        <f t="shared" si="38"/>
        <v>#VALUE!</v>
      </c>
      <c r="AV43" s="10" t="e">
        <f t="shared" si="69"/>
        <v>#VALUE!</v>
      </c>
      <c r="AW43" s="10" t="e">
        <f t="shared" si="13"/>
        <v>#VALUE!</v>
      </c>
      <c r="AX43" s="10" t="e">
        <f t="shared" si="39"/>
        <v>#VALUE!</v>
      </c>
      <c r="AY43" s="10" t="e">
        <f t="shared" si="40"/>
        <v>#VALUE!</v>
      </c>
      <c r="AZ43" s="10" t="e">
        <f t="shared" si="41"/>
        <v>#VALUE!</v>
      </c>
      <c r="BA43" s="10" t="e">
        <f t="shared" si="70"/>
        <v>#VALUE!</v>
      </c>
      <c r="BB43" s="10" t="e">
        <f t="shared" si="14"/>
        <v>#VALUE!</v>
      </c>
      <c r="BC43" s="10" t="e">
        <f t="shared" si="71"/>
        <v>#VALUE!</v>
      </c>
      <c r="BE43" s="10" t="e">
        <f t="shared" si="42"/>
        <v>#VALUE!</v>
      </c>
      <c r="BF43" s="10" t="e">
        <f t="shared" si="72"/>
        <v>#VALUE!</v>
      </c>
      <c r="BG43" s="10" t="e">
        <f t="shared" si="15"/>
        <v>#VALUE!</v>
      </c>
      <c r="BH43" s="10" t="e">
        <f t="shared" si="43"/>
        <v>#VALUE!</v>
      </c>
      <c r="BI43" s="10" t="e">
        <f t="shared" si="44"/>
        <v>#VALUE!</v>
      </c>
      <c r="BJ43" s="10" t="e">
        <f t="shared" si="45"/>
        <v>#VALUE!</v>
      </c>
      <c r="BK43" s="10" t="e">
        <f t="shared" si="73"/>
        <v>#VALUE!</v>
      </c>
      <c r="BL43" s="10" t="e">
        <f t="shared" si="16"/>
        <v>#VALUE!</v>
      </c>
      <c r="BM43" s="10" t="e">
        <f t="shared" si="74"/>
        <v>#VALUE!</v>
      </c>
      <c r="BP43" s="10" t="e">
        <f t="shared" si="46"/>
        <v>#VALUE!</v>
      </c>
      <c r="BQ43" s="10" t="e">
        <f t="shared" si="47"/>
        <v>#VALUE!</v>
      </c>
      <c r="BR43" s="10" t="e">
        <f t="shared" si="48"/>
        <v>#VALUE!</v>
      </c>
      <c r="BS43" s="10" t="e">
        <f t="shared" si="49"/>
        <v>#VALUE!</v>
      </c>
      <c r="BT43" s="10" t="e">
        <f t="shared" si="50"/>
        <v>#VALUE!</v>
      </c>
      <c r="BU43" s="10" t="e">
        <f t="shared" si="51"/>
        <v>#VALUE!</v>
      </c>
      <c r="BW43" s="10" t="e">
        <f t="shared" si="52"/>
        <v>#VALUE!</v>
      </c>
      <c r="BX43" s="10" t="e">
        <f t="shared" si="53"/>
        <v>#VALUE!</v>
      </c>
      <c r="BY43" s="10" t="e">
        <f t="shared" si="54"/>
        <v>#VALUE!</v>
      </c>
      <c r="BZ43" s="10" t="e">
        <f t="shared" si="55"/>
        <v>#VALUE!</v>
      </c>
      <c r="CA43" s="10" t="e">
        <f t="shared" si="56"/>
        <v>#VALUE!</v>
      </c>
      <c r="CB43" s="10" t="e">
        <f t="shared" si="57"/>
        <v>#VALUE!</v>
      </c>
      <c r="CD43" s="10" t="e">
        <f>MATCH(INDEX($BP$12:$BU$12,1,MATCH(BP43,$BP$15:$BU$15,0)),结果汇总!$AI$10:$AI$13,0)</f>
        <v>#VALUE!</v>
      </c>
      <c r="CE43" s="10" t="e">
        <f>MATCH(INDEX($BP$12:$BU$12,1,MATCH(BQ43,$BP$15:$BU$15,0)),结果汇总!$AI$10:$AI$13,0)</f>
        <v>#VALUE!</v>
      </c>
      <c r="CF43" s="10" t="e">
        <f>MATCH(INDEX($BP$12:$BU$12,1,MATCH(BR43,$BP$15:$BU$15,0)),结果汇总!$AI$10:$AI$13,0)</f>
        <v>#VALUE!</v>
      </c>
      <c r="CG43" s="10" t="e">
        <f>MATCH(INDEX($BP$12:$BU$12,1,MATCH(BS43,$BP$15:$BU$15,0)),结果汇总!$AI$10:$AI$13,0)</f>
        <v>#VALUE!</v>
      </c>
      <c r="CH43" s="10" t="e">
        <f>MATCH(INDEX($BP$12:$BU$12,1,MATCH(BT43,$BP$15:$BU$15,0)),结果汇总!$AI$10:$AI$13,0)</f>
        <v>#VALUE!</v>
      </c>
      <c r="CI43" s="10" t="e">
        <f>MATCH(INDEX($BP$12:$BU$12,1,MATCH(BU43,$BP$15:$BU$15,0)),结果汇总!$AI$10:$AI$13,0)</f>
        <v>#VALUE!</v>
      </c>
      <c r="CK43" s="10">
        <f t="shared" si="58"/>
        <v>0</v>
      </c>
      <c r="CL43" s="10">
        <f t="shared" si="58"/>
        <v>0</v>
      </c>
      <c r="CM43" s="10">
        <f t="shared" si="58"/>
        <v>0</v>
      </c>
      <c r="CN43" s="10">
        <f t="shared" si="58"/>
        <v>0</v>
      </c>
      <c r="CO43" s="10" t="e">
        <f t="shared" si="59"/>
        <v>#DIV/0!</v>
      </c>
      <c r="CP43" s="10" t="e">
        <f t="shared" si="59"/>
        <v>#DIV/0!</v>
      </c>
      <c r="CQ43" s="10" t="e">
        <f t="shared" si="59"/>
        <v>#DIV/0!</v>
      </c>
      <c r="CR43" s="10" t="e">
        <f t="shared" si="59"/>
        <v>#DIV/0!</v>
      </c>
      <c r="CS43" s="10">
        <f t="shared" si="60"/>
        <v>0</v>
      </c>
      <c r="CT43" s="10">
        <f t="shared" si="60"/>
        <v>0</v>
      </c>
      <c r="CU43" s="10">
        <f t="shared" si="60"/>
        <v>0</v>
      </c>
      <c r="CV43" s="10">
        <f t="shared" si="60"/>
        <v>0</v>
      </c>
      <c r="CW43" s="10" t="e">
        <f t="shared" si="61"/>
        <v>#DIV/0!</v>
      </c>
      <c r="CX43" s="10" t="e">
        <f t="shared" si="61"/>
        <v>#DIV/0!</v>
      </c>
      <c r="CY43" s="10" t="e">
        <f t="shared" si="61"/>
        <v>#DIV/0!</v>
      </c>
      <c r="CZ43" s="10" t="e">
        <f t="shared" si="61"/>
        <v>#DIV/0!</v>
      </c>
    </row>
    <row r="44" spans="4:104" x14ac:dyDescent="0.15">
      <c r="D44" s="10">
        <v>29</v>
      </c>
      <c r="E44" s="10" t="e">
        <f t="shared" si="21"/>
        <v>#VALUE!</v>
      </c>
      <c r="F44" s="10" t="e">
        <f t="shared" si="1"/>
        <v>#VALUE!</v>
      </c>
      <c r="G44" s="10" t="e">
        <f t="shared" si="2"/>
        <v>#VALUE!</v>
      </c>
      <c r="H44" s="10" t="e">
        <f t="shared" si="22"/>
        <v>#VALUE!</v>
      </c>
      <c r="I44" s="10" t="e">
        <f t="shared" si="3"/>
        <v>#VALUE!</v>
      </c>
      <c r="J44" s="10" t="e">
        <f t="shared" si="23"/>
        <v>#VALUE!</v>
      </c>
      <c r="K44" s="10" t="e">
        <f t="shared" si="4"/>
        <v>#VALUE!</v>
      </c>
      <c r="L44" s="10" t="e">
        <f t="shared" si="5"/>
        <v>#VALUE!</v>
      </c>
      <c r="M44" s="10" t="e">
        <f t="shared" si="24"/>
        <v>#VALUE!</v>
      </c>
      <c r="O44" s="10" t="e">
        <f t="shared" si="25"/>
        <v>#VALUE!</v>
      </c>
      <c r="P44" s="10" t="e">
        <f t="shared" si="6"/>
        <v>#VALUE!</v>
      </c>
      <c r="Q44" s="10" t="e">
        <f t="shared" si="7"/>
        <v>#VALUE!</v>
      </c>
      <c r="R44" s="10" t="e">
        <f t="shared" si="26"/>
        <v>#VALUE!</v>
      </c>
      <c r="S44" s="10" t="e">
        <f t="shared" si="27"/>
        <v>#VALUE!</v>
      </c>
      <c r="T44" s="10" t="e">
        <f t="shared" si="62"/>
        <v>#VALUE!</v>
      </c>
      <c r="U44" s="10" t="e">
        <f t="shared" si="63"/>
        <v>#VALUE!</v>
      </c>
      <c r="V44" s="10" t="e">
        <f t="shared" si="8"/>
        <v>#VALUE!</v>
      </c>
      <c r="W44" s="10" t="e">
        <f t="shared" si="28"/>
        <v>#VALUE!</v>
      </c>
      <c r="Y44" s="10" t="e">
        <f t="shared" si="29"/>
        <v>#VALUE!</v>
      </c>
      <c r="Z44" s="11" t="e">
        <f t="shared" si="30"/>
        <v>#VALUE!</v>
      </c>
      <c r="AA44" s="10" t="e">
        <f t="shared" si="9"/>
        <v>#VALUE!</v>
      </c>
      <c r="AB44" s="10" t="e">
        <f t="shared" si="31"/>
        <v>#VALUE!</v>
      </c>
      <c r="AC44" s="10" t="e">
        <f t="shared" si="32"/>
        <v>#VALUE!</v>
      </c>
      <c r="AD44" s="10" t="e">
        <f t="shared" si="64"/>
        <v>#VALUE!</v>
      </c>
      <c r="AE44" s="10" t="e">
        <f t="shared" si="65"/>
        <v>#VALUE!</v>
      </c>
      <c r="AF44" s="10" t="e">
        <f t="shared" si="10"/>
        <v>#VALUE!</v>
      </c>
      <c r="AG44" s="10" t="e">
        <f t="shared" si="33"/>
        <v>#VALUE!</v>
      </c>
      <c r="AI44" s="13"/>
      <c r="AK44" s="10" t="e">
        <f t="shared" si="34"/>
        <v>#VALUE!</v>
      </c>
      <c r="AL44" s="10" t="e">
        <f t="shared" si="66"/>
        <v>#VALUE!</v>
      </c>
      <c r="AM44" s="10" t="e">
        <f t="shared" si="11"/>
        <v>#VALUE!</v>
      </c>
      <c r="AN44" s="10" t="e">
        <f t="shared" si="35"/>
        <v>#VALUE!</v>
      </c>
      <c r="AO44" s="10" t="e">
        <f t="shared" si="36"/>
        <v>#VALUE!</v>
      </c>
      <c r="AP44" s="10" t="e">
        <f t="shared" si="37"/>
        <v>#VALUE!</v>
      </c>
      <c r="AQ44" s="10" t="e">
        <f t="shared" si="67"/>
        <v>#VALUE!</v>
      </c>
      <c r="AR44" s="10" t="e">
        <f t="shared" si="12"/>
        <v>#VALUE!</v>
      </c>
      <c r="AS44" s="10" t="e">
        <f t="shared" si="68"/>
        <v>#VALUE!</v>
      </c>
      <c r="AU44" s="10" t="e">
        <f t="shared" si="38"/>
        <v>#VALUE!</v>
      </c>
      <c r="AV44" s="10" t="e">
        <f t="shared" si="69"/>
        <v>#VALUE!</v>
      </c>
      <c r="AW44" s="10" t="e">
        <f t="shared" si="13"/>
        <v>#VALUE!</v>
      </c>
      <c r="AX44" s="10" t="e">
        <f t="shared" si="39"/>
        <v>#VALUE!</v>
      </c>
      <c r="AY44" s="10" t="e">
        <f t="shared" si="40"/>
        <v>#VALUE!</v>
      </c>
      <c r="AZ44" s="10" t="e">
        <f t="shared" si="41"/>
        <v>#VALUE!</v>
      </c>
      <c r="BA44" s="10" t="e">
        <f t="shared" si="70"/>
        <v>#VALUE!</v>
      </c>
      <c r="BB44" s="10" t="e">
        <f t="shared" si="14"/>
        <v>#VALUE!</v>
      </c>
      <c r="BC44" s="10" t="e">
        <f t="shared" si="71"/>
        <v>#VALUE!</v>
      </c>
      <c r="BE44" s="10" t="e">
        <f t="shared" si="42"/>
        <v>#VALUE!</v>
      </c>
      <c r="BF44" s="10" t="e">
        <f t="shared" si="72"/>
        <v>#VALUE!</v>
      </c>
      <c r="BG44" s="10" t="e">
        <f t="shared" si="15"/>
        <v>#VALUE!</v>
      </c>
      <c r="BH44" s="10" t="e">
        <f t="shared" si="43"/>
        <v>#VALUE!</v>
      </c>
      <c r="BI44" s="10" t="e">
        <f t="shared" si="44"/>
        <v>#VALUE!</v>
      </c>
      <c r="BJ44" s="10" t="e">
        <f t="shared" si="45"/>
        <v>#VALUE!</v>
      </c>
      <c r="BK44" s="10" t="e">
        <f t="shared" si="73"/>
        <v>#VALUE!</v>
      </c>
      <c r="BL44" s="10" t="e">
        <f t="shared" si="16"/>
        <v>#VALUE!</v>
      </c>
      <c r="BM44" s="10" t="e">
        <f t="shared" si="74"/>
        <v>#VALUE!</v>
      </c>
      <c r="BP44" s="10" t="e">
        <f t="shared" si="46"/>
        <v>#VALUE!</v>
      </c>
      <c r="BQ44" s="10" t="e">
        <f t="shared" si="47"/>
        <v>#VALUE!</v>
      </c>
      <c r="BR44" s="10" t="e">
        <f t="shared" si="48"/>
        <v>#VALUE!</v>
      </c>
      <c r="BS44" s="10" t="e">
        <f t="shared" si="49"/>
        <v>#VALUE!</v>
      </c>
      <c r="BT44" s="10" t="e">
        <f t="shared" si="50"/>
        <v>#VALUE!</v>
      </c>
      <c r="BU44" s="10" t="e">
        <f t="shared" si="51"/>
        <v>#VALUE!</v>
      </c>
      <c r="BW44" s="10" t="e">
        <f t="shared" si="52"/>
        <v>#VALUE!</v>
      </c>
      <c r="BX44" s="10" t="e">
        <f t="shared" si="53"/>
        <v>#VALUE!</v>
      </c>
      <c r="BY44" s="10" t="e">
        <f t="shared" si="54"/>
        <v>#VALUE!</v>
      </c>
      <c r="BZ44" s="10" t="e">
        <f t="shared" si="55"/>
        <v>#VALUE!</v>
      </c>
      <c r="CA44" s="10" t="e">
        <f t="shared" si="56"/>
        <v>#VALUE!</v>
      </c>
      <c r="CB44" s="10" t="e">
        <f t="shared" si="57"/>
        <v>#VALUE!</v>
      </c>
      <c r="CD44" s="10" t="e">
        <f>MATCH(INDEX($BP$12:$BU$12,1,MATCH(BP44,$BP$15:$BU$15,0)),结果汇总!$AI$10:$AI$13,0)</f>
        <v>#VALUE!</v>
      </c>
      <c r="CE44" s="10" t="e">
        <f>MATCH(INDEX($BP$12:$BU$12,1,MATCH(BQ44,$BP$15:$BU$15,0)),结果汇总!$AI$10:$AI$13,0)</f>
        <v>#VALUE!</v>
      </c>
      <c r="CF44" s="10" t="e">
        <f>MATCH(INDEX($BP$12:$BU$12,1,MATCH(BR44,$BP$15:$BU$15,0)),结果汇总!$AI$10:$AI$13,0)</f>
        <v>#VALUE!</v>
      </c>
      <c r="CG44" s="10" t="e">
        <f>MATCH(INDEX($BP$12:$BU$12,1,MATCH(BS44,$BP$15:$BU$15,0)),结果汇总!$AI$10:$AI$13,0)</f>
        <v>#VALUE!</v>
      </c>
      <c r="CH44" s="10" t="e">
        <f>MATCH(INDEX($BP$12:$BU$12,1,MATCH(BT44,$BP$15:$BU$15,0)),结果汇总!$AI$10:$AI$13,0)</f>
        <v>#VALUE!</v>
      </c>
      <c r="CI44" s="10" t="e">
        <f>MATCH(INDEX($BP$12:$BU$12,1,MATCH(BU44,$BP$15:$BU$15,0)),结果汇总!$AI$10:$AI$13,0)</f>
        <v>#VALUE!</v>
      </c>
      <c r="CK44" s="10">
        <f t="shared" si="58"/>
        <v>0</v>
      </c>
      <c r="CL44" s="10">
        <f t="shared" si="58"/>
        <v>0</v>
      </c>
      <c r="CM44" s="10">
        <f t="shared" si="58"/>
        <v>0</v>
      </c>
      <c r="CN44" s="10">
        <f t="shared" si="58"/>
        <v>0</v>
      </c>
      <c r="CO44" s="10" t="e">
        <f t="shared" si="59"/>
        <v>#DIV/0!</v>
      </c>
      <c r="CP44" s="10" t="e">
        <f t="shared" si="59"/>
        <v>#DIV/0!</v>
      </c>
      <c r="CQ44" s="10" t="e">
        <f t="shared" si="59"/>
        <v>#DIV/0!</v>
      </c>
      <c r="CR44" s="10" t="e">
        <f t="shared" si="59"/>
        <v>#DIV/0!</v>
      </c>
      <c r="CS44" s="10">
        <f t="shared" si="60"/>
        <v>0</v>
      </c>
      <c r="CT44" s="10">
        <f t="shared" si="60"/>
        <v>0</v>
      </c>
      <c r="CU44" s="10">
        <f t="shared" si="60"/>
        <v>0</v>
      </c>
      <c r="CV44" s="10">
        <f t="shared" si="60"/>
        <v>0</v>
      </c>
      <c r="CW44" s="10" t="e">
        <f t="shared" si="61"/>
        <v>#DIV/0!</v>
      </c>
      <c r="CX44" s="10" t="e">
        <f t="shared" si="61"/>
        <v>#DIV/0!</v>
      </c>
      <c r="CY44" s="10" t="e">
        <f t="shared" si="61"/>
        <v>#DIV/0!</v>
      </c>
      <c r="CZ44" s="10" t="e">
        <f t="shared" si="61"/>
        <v>#DIV/0!</v>
      </c>
    </row>
    <row r="45" spans="4:104" x14ac:dyDescent="0.15">
      <c r="D45" s="10">
        <v>30</v>
      </c>
      <c r="E45" s="10" t="e">
        <f t="shared" si="21"/>
        <v>#VALUE!</v>
      </c>
      <c r="F45" s="10" t="e">
        <f t="shared" si="1"/>
        <v>#VALUE!</v>
      </c>
      <c r="G45" s="10" t="e">
        <f t="shared" si="2"/>
        <v>#VALUE!</v>
      </c>
      <c r="H45" s="10" t="e">
        <f t="shared" si="22"/>
        <v>#VALUE!</v>
      </c>
      <c r="I45" s="10" t="e">
        <f t="shared" si="3"/>
        <v>#VALUE!</v>
      </c>
      <c r="J45" s="10" t="e">
        <f t="shared" si="23"/>
        <v>#VALUE!</v>
      </c>
      <c r="K45" s="10" t="e">
        <f t="shared" si="4"/>
        <v>#VALUE!</v>
      </c>
      <c r="L45" s="10" t="e">
        <f t="shared" si="5"/>
        <v>#VALUE!</v>
      </c>
      <c r="M45" s="10" t="e">
        <f t="shared" si="24"/>
        <v>#VALUE!</v>
      </c>
      <c r="O45" s="10" t="e">
        <f t="shared" si="25"/>
        <v>#VALUE!</v>
      </c>
      <c r="P45" s="10" t="e">
        <f t="shared" si="6"/>
        <v>#VALUE!</v>
      </c>
      <c r="Q45" s="10" t="e">
        <f t="shared" si="7"/>
        <v>#VALUE!</v>
      </c>
      <c r="R45" s="10" t="e">
        <f t="shared" si="26"/>
        <v>#VALUE!</v>
      </c>
      <c r="S45" s="10" t="e">
        <f t="shared" si="27"/>
        <v>#VALUE!</v>
      </c>
      <c r="T45" s="10" t="e">
        <f t="shared" si="62"/>
        <v>#VALUE!</v>
      </c>
      <c r="U45" s="10" t="e">
        <f t="shared" si="63"/>
        <v>#VALUE!</v>
      </c>
      <c r="V45" s="10" t="e">
        <f t="shared" si="8"/>
        <v>#VALUE!</v>
      </c>
      <c r="W45" s="10" t="e">
        <f t="shared" si="28"/>
        <v>#VALUE!</v>
      </c>
      <c r="Y45" s="10" t="e">
        <f t="shared" si="29"/>
        <v>#VALUE!</v>
      </c>
      <c r="Z45" s="11" t="e">
        <f t="shared" si="30"/>
        <v>#VALUE!</v>
      </c>
      <c r="AA45" s="10" t="e">
        <f t="shared" si="9"/>
        <v>#VALUE!</v>
      </c>
      <c r="AB45" s="10" t="e">
        <f t="shared" si="31"/>
        <v>#VALUE!</v>
      </c>
      <c r="AC45" s="10" t="e">
        <f t="shared" si="32"/>
        <v>#VALUE!</v>
      </c>
      <c r="AD45" s="10" t="e">
        <f t="shared" si="64"/>
        <v>#VALUE!</v>
      </c>
      <c r="AE45" s="10" t="e">
        <f t="shared" si="65"/>
        <v>#VALUE!</v>
      </c>
      <c r="AF45" s="10" t="e">
        <f t="shared" si="10"/>
        <v>#VALUE!</v>
      </c>
      <c r="AG45" s="10" t="e">
        <f t="shared" si="33"/>
        <v>#VALUE!</v>
      </c>
      <c r="AI45" s="13"/>
      <c r="AK45" s="10" t="e">
        <f t="shared" si="34"/>
        <v>#VALUE!</v>
      </c>
      <c r="AL45" s="10" t="e">
        <f t="shared" si="66"/>
        <v>#VALUE!</v>
      </c>
      <c r="AM45" s="10" t="e">
        <f t="shared" si="11"/>
        <v>#VALUE!</v>
      </c>
      <c r="AN45" s="10" t="e">
        <f t="shared" si="35"/>
        <v>#VALUE!</v>
      </c>
      <c r="AO45" s="10" t="e">
        <f t="shared" si="36"/>
        <v>#VALUE!</v>
      </c>
      <c r="AP45" s="10" t="e">
        <f t="shared" si="37"/>
        <v>#VALUE!</v>
      </c>
      <c r="AQ45" s="10" t="e">
        <f t="shared" si="67"/>
        <v>#VALUE!</v>
      </c>
      <c r="AR45" s="10" t="e">
        <f t="shared" si="12"/>
        <v>#VALUE!</v>
      </c>
      <c r="AS45" s="10" t="e">
        <f t="shared" si="68"/>
        <v>#VALUE!</v>
      </c>
      <c r="AU45" s="10" t="e">
        <f t="shared" si="38"/>
        <v>#VALUE!</v>
      </c>
      <c r="AV45" s="10" t="e">
        <f t="shared" si="69"/>
        <v>#VALUE!</v>
      </c>
      <c r="AW45" s="10" t="e">
        <f t="shared" si="13"/>
        <v>#VALUE!</v>
      </c>
      <c r="AX45" s="10" t="e">
        <f t="shared" si="39"/>
        <v>#VALUE!</v>
      </c>
      <c r="AY45" s="10" t="e">
        <f t="shared" si="40"/>
        <v>#VALUE!</v>
      </c>
      <c r="AZ45" s="10" t="e">
        <f t="shared" si="41"/>
        <v>#VALUE!</v>
      </c>
      <c r="BA45" s="10" t="e">
        <f t="shared" si="70"/>
        <v>#VALUE!</v>
      </c>
      <c r="BB45" s="10" t="e">
        <f t="shared" si="14"/>
        <v>#VALUE!</v>
      </c>
      <c r="BC45" s="10" t="e">
        <f t="shared" si="71"/>
        <v>#VALUE!</v>
      </c>
      <c r="BE45" s="10" t="e">
        <f t="shared" si="42"/>
        <v>#VALUE!</v>
      </c>
      <c r="BF45" s="10" t="e">
        <f t="shared" si="72"/>
        <v>#VALUE!</v>
      </c>
      <c r="BG45" s="10" t="e">
        <f t="shared" si="15"/>
        <v>#VALUE!</v>
      </c>
      <c r="BH45" s="10" t="e">
        <f t="shared" si="43"/>
        <v>#VALUE!</v>
      </c>
      <c r="BI45" s="10" t="e">
        <f t="shared" si="44"/>
        <v>#VALUE!</v>
      </c>
      <c r="BJ45" s="10" t="e">
        <f t="shared" si="45"/>
        <v>#VALUE!</v>
      </c>
      <c r="BK45" s="10" t="e">
        <f t="shared" si="73"/>
        <v>#VALUE!</v>
      </c>
      <c r="BL45" s="10" t="e">
        <f t="shared" si="16"/>
        <v>#VALUE!</v>
      </c>
      <c r="BM45" s="10" t="e">
        <f t="shared" si="74"/>
        <v>#VALUE!</v>
      </c>
      <c r="BP45" s="10" t="e">
        <f t="shared" si="46"/>
        <v>#VALUE!</v>
      </c>
      <c r="BQ45" s="10" t="e">
        <f t="shared" si="47"/>
        <v>#VALUE!</v>
      </c>
      <c r="BR45" s="10" t="e">
        <f t="shared" si="48"/>
        <v>#VALUE!</v>
      </c>
      <c r="BS45" s="10" t="e">
        <f t="shared" si="49"/>
        <v>#VALUE!</v>
      </c>
      <c r="BT45" s="10" t="e">
        <f t="shared" si="50"/>
        <v>#VALUE!</v>
      </c>
      <c r="BU45" s="10" t="e">
        <f t="shared" si="51"/>
        <v>#VALUE!</v>
      </c>
      <c r="BW45" s="10" t="e">
        <f t="shared" si="52"/>
        <v>#VALUE!</v>
      </c>
      <c r="BX45" s="10" t="e">
        <f t="shared" si="53"/>
        <v>#VALUE!</v>
      </c>
      <c r="BY45" s="10" t="e">
        <f t="shared" si="54"/>
        <v>#VALUE!</v>
      </c>
      <c r="BZ45" s="10" t="e">
        <f t="shared" si="55"/>
        <v>#VALUE!</v>
      </c>
      <c r="CA45" s="10" t="e">
        <f t="shared" si="56"/>
        <v>#VALUE!</v>
      </c>
      <c r="CB45" s="10" t="e">
        <f t="shared" si="57"/>
        <v>#VALUE!</v>
      </c>
      <c r="CD45" s="10" t="e">
        <f>MATCH(INDEX($BP$12:$BU$12,1,MATCH(BP45,$BP$15:$BU$15,0)),结果汇总!$AI$10:$AI$13,0)</f>
        <v>#VALUE!</v>
      </c>
      <c r="CE45" s="10" t="e">
        <f>MATCH(INDEX($BP$12:$BU$12,1,MATCH(BQ45,$BP$15:$BU$15,0)),结果汇总!$AI$10:$AI$13,0)</f>
        <v>#VALUE!</v>
      </c>
      <c r="CF45" s="10" t="e">
        <f>MATCH(INDEX($BP$12:$BU$12,1,MATCH(BR45,$BP$15:$BU$15,0)),结果汇总!$AI$10:$AI$13,0)</f>
        <v>#VALUE!</v>
      </c>
      <c r="CG45" s="10" t="e">
        <f>MATCH(INDEX($BP$12:$BU$12,1,MATCH(BS45,$BP$15:$BU$15,0)),结果汇总!$AI$10:$AI$13,0)</f>
        <v>#VALUE!</v>
      </c>
      <c r="CH45" s="10" t="e">
        <f>MATCH(INDEX($BP$12:$BU$12,1,MATCH(BT45,$BP$15:$BU$15,0)),结果汇总!$AI$10:$AI$13,0)</f>
        <v>#VALUE!</v>
      </c>
      <c r="CI45" s="10" t="e">
        <f>MATCH(INDEX($BP$12:$BU$12,1,MATCH(BU45,$BP$15:$BU$15,0)),结果汇总!$AI$10:$AI$13,0)</f>
        <v>#VALUE!</v>
      </c>
      <c r="CK45" s="10">
        <f t="shared" si="58"/>
        <v>0</v>
      </c>
      <c r="CL45" s="10">
        <f t="shared" si="58"/>
        <v>0</v>
      </c>
      <c r="CM45" s="10">
        <f t="shared" si="58"/>
        <v>0</v>
      </c>
      <c r="CN45" s="10">
        <f t="shared" si="58"/>
        <v>0</v>
      </c>
      <c r="CO45" s="10" t="e">
        <f t="shared" si="59"/>
        <v>#DIV/0!</v>
      </c>
      <c r="CP45" s="10" t="e">
        <f t="shared" si="59"/>
        <v>#DIV/0!</v>
      </c>
      <c r="CQ45" s="10" t="e">
        <f t="shared" si="59"/>
        <v>#DIV/0!</v>
      </c>
      <c r="CR45" s="10" t="e">
        <f t="shared" si="59"/>
        <v>#DIV/0!</v>
      </c>
      <c r="CS45" s="10">
        <f t="shared" si="60"/>
        <v>0</v>
      </c>
      <c r="CT45" s="10">
        <f t="shared" si="60"/>
        <v>0</v>
      </c>
      <c r="CU45" s="10">
        <f t="shared" si="60"/>
        <v>0</v>
      </c>
      <c r="CV45" s="10">
        <f t="shared" si="60"/>
        <v>0</v>
      </c>
      <c r="CW45" s="10" t="e">
        <f t="shared" si="61"/>
        <v>#DIV/0!</v>
      </c>
      <c r="CX45" s="10" t="e">
        <f t="shared" si="61"/>
        <v>#DIV/0!</v>
      </c>
      <c r="CY45" s="10" t="e">
        <f t="shared" si="61"/>
        <v>#DIV/0!</v>
      </c>
      <c r="CZ45" s="10" t="e">
        <f t="shared" si="61"/>
        <v>#DIV/0!</v>
      </c>
    </row>
    <row r="46" spans="4:104" x14ac:dyDescent="0.15">
      <c r="D46" s="10">
        <v>31</v>
      </c>
      <c r="E46" s="10" t="e">
        <f t="shared" si="21"/>
        <v>#VALUE!</v>
      </c>
      <c r="F46" s="10" t="e">
        <f t="shared" si="1"/>
        <v>#VALUE!</v>
      </c>
      <c r="G46" s="10" t="e">
        <f t="shared" si="2"/>
        <v>#VALUE!</v>
      </c>
      <c r="H46" s="10" t="e">
        <f t="shared" si="22"/>
        <v>#VALUE!</v>
      </c>
      <c r="I46" s="10" t="e">
        <f t="shared" si="3"/>
        <v>#VALUE!</v>
      </c>
      <c r="J46" s="10" t="e">
        <f t="shared" si="23"/>
        <v>#VALUE!</v>
      </c>
      <c r="K46" s="10" t="e">
        <f t="shared" si="4"/>
        <v>#VALUE!</v>
      </c>
      <c r="L46" s="10" t="e">
        <f t="shared" si="5"/>
        <v>#VALUE!</v>
      </c>
      <c r="M46" s="10" t="e">
        <f t="shared" si="24"/>
        <v>#VALUE!</v>
      </c>
      <c r="O46" s="10" t="e">
        <f t="shared" si="25"/>
        <v>#VALUE!</v>
      </c>
      <c r="P46" s="10" t="e">
        <f t="shared" si="6"/>
        <v>#VALUE!</v>
      </c>
      <c r="Q46" s="10" t="e">
        <f t="shared" si="7"/>
        <v>#VALUE!</v>
      </c>
      <c r="R46" s="10" t="e">
        <f t="shared" si="26"/>
        <v>#VALUE!</v>
      </c>
      <c r="S46" s="10" t="e">
        <f t="shared" si="27"/>
        <v>#VALUE!</v>
      </c>
      <c r="T46" s="10" t="e">
        <f t="shared" si="62"/>
        <v>#VALUE!</v>
      </c>
      <c r="U46" s="10" t="e">
        <f t="shared" si="63"/>
        <v>#VALUE!</v>
      </c>
      <c r="V46" s="10" t="e">
        <f t="shared" si="8"/>
        <v>#VALUE!</v>
      </c>
      <c r="W46" s="10" t="e">
        <f t="shared" si="28"/>
        <v>#VALUE!</v>
      </c>
      <c r="Y46" s="10" t="e">
        <f t="shared" si="29"/>
        <v>#VALUE!</v>
      </c>
      <c r="Z46" s="11" t="e">
        <f t="shared" si="30"/>
        <v>#VALUE!</v>
      </c>
      <c r="AA46" s="10" t="e">
        <f t="shared" si="9"/>
        <v>#VALUE!</v>
      </c>
      <c r="AB46" s="10" t="e">
        <f t="shared" si="31"/>
        <v>#VALUE!</v>
      </c>
      <c r="AC46" s="10" t="e">
        <f t="shared" si="32"/>
        <v>#VALUE!</v>
      </c>
      <c r="AD46" s="10" t="e">
        <f t="shared" si="64"/>
        <v>#VALUE!</v>
      </c>
      <c r="AE46" s="10" t="e">
        <f t="shared" si="65"/>
        <v>#VALUE!</v>
      </c>
      <c r="AF46" s="10" t="e">
        <f t="shared" si="10"/>
        <v>#VALUE!</v>
      </c>
      <c r="AG46" s="10" t="e">
        <f t="shared" si="33"/>
        <v>#VALUE!</v>
      </c>
      <c r="AI46" s="13"/>
      <c r="AK46" s="10" t="e">
        <f t="shared" si="34"/>
        <v>#VALUE!</v>
      </c>
      <c r="AL46" s="10" t="e">
        <f t="shared" si="66"/>
        <v>#VALUE!</v>
      </c>
      <c r="AM46" s="10" t="e">
        <f t="shared" si="11"/>
        <v>#VALUE!</v>
      </c>
      <c r="AN46" s="10" t="e">
        <f t="shared" si="35"/>
        <v>#VALUE!</v>
      </c>
      <c r="AO46" s="10" t="e">
        <f t="shared" si="36"/>
        <v>#VALUE!</v>
      </c>
      <c r="AP46" s="10" t="e">
        <f t="shared" si="37"/>
        <v>#VALUE!</v>
      </c>
      <c r="AQ46" s="10" t="e">
        <f t="shared" si="67"/>
        <v>#VALUE!</v>
      </c>
      <c r="AR46" s="10" t="e">
        <f t="shared" si="12"/>
        <v>#VALUE!</v>
      </c>
      <c r="AS46" s="10" t="e">
        <f t="shared" si="68"/>
        <v>#VALUE!</v>
      </c>
      <c r="AU46" s="10" t="e">
        <f t="shared" si="38"/>
        <v>#VALUE!</v>
      </c>
      <c r="AV46" s="10" t="e">
        <f t="shared" si="69"/>
        <v>#VALUE!</v>
      </c>
      <c r="AW46" s="10" t="e">
        <f t="shared" si="13"/>
        <v>#VALUE!</v>
      </c>
      <c r="AX46" s="10" t="e">
        <f t="shared" si="39"/>
        <v>#VALUE!</v>
      </c>
      <c r="AY46" s="10" t="e">
        <f t="shared" si="40"/>
        <v>#VALUE!</v>
      </c>
      <c r="AZ46" s="10" t="e">
        <f t="shared" si="41"/>
        <v>#VALUE!</v>
      </c>
      <c r="BA46" s="10" t="e">
        <f t="shared" si="70"/>
        <v>#VALUE!</v>
      </c>
      <c r="BB46" s="10" t="e">
        <f t="shared" si="14"/>
        <v>#VALUE!</v>
      </c>
      <c r="BC46" s="10" t="e">
        <f t="shared" si="71"/>
        <v>#VALUE!</v>
      </c>
      <c r="BE46" s="10" t="e">
        <f t="shared" si="42"/>
        <v>#VALUE!</v>
      </c>
      <c r="BF46" s="10" t="e">
        <f t="shared" si="72"/>
        <v>#VALUE!</v>
      </c>
      <c r="BG46" s="10" t="e">
        <f t="shared" si="15"/>
        <v>#VALUE!</v>
      </c>
      <c r="BH46" s="10" t="e">
        <f t="shared" si="43"/>
        <v>#VALUE!</v>
      </c>
      <c r="BI46" s="10" t="e">
        <f t="shared" si="44"/>
        <v>#VALUE!</v>
      </c>
      <c r="BJ46" s="10" t="e">
        <f t="shared" si="45"/>
        <v>#VALUE!</v>
      </c>
      <c r="BK46" s="10" t="e">
        <f t="shared" si="73"/>
        <v>#VALUE!</v>
      </c>
      <c r="BL46" s="10" t="e">
        <f t="shared" si="16"/>
        <v>#VALUE!</v>
      </c>
      <c r="BM46" s="10" t="e">
        <f t="shared" si="74"/>
        <v>#VALUE!</v>
      </c>
      <c r="BP46" s="10" t="e">
        <f t="shared" si="46"/>
        <v>#VALUE!</v>
      </c>
      <c r="BQ46" s="10" t="e">
        <f t="shared" si="47"/>
        <v>#VALUE!</v>
      </c>
      <c r="BR46" s="10" t="e">
        <f t="shared" si="48"/>
        <v>#VALUE!</v>
      </c>
      <c r="BS46" s="10" t="e">
        <f t="shared" si="49"/>
        <v>#VALUE!</v>
      </c>
      <c r="BT46" s="10" t="e">
        <f t="shared" si="50"/>
        <v>#VALUE!</v>
      </c>
      <c r="BU46" s="10" t="e">
        <f t="shared" si="51"/>
        <v>#VALUE!</v>
      </c>
      <c r="BW46" s="10" t="e">
        <f t="shared" si="52"/>
        <v>#VALUE!</v>
      </c>
      <c r="BX46" s="10" t="e">
        <f t="shared" si="53"/>
        <v>#VALUE!</v>
      </c>
      <c r="BY46" s="10" t="e">
        <f t="shared" si="54"/>
        <v>#VALUE!</v>
      </c>
      <c r="BZ46" s="10" t="e">
        <f t="shared" si="55"/>
        <v>#VALUE!</v>
      </c>
      <c r="CA46" s="10" t="e">
        <f t="shared" si="56"/>
        <v>#VALUE!</v>
      </c>
      <c r="CB46" s="10" t="e">
        <f t="shared" si="57"/>
        <v>#VALUE!</v>
      </c>
      <c r="CD46" s="10" t="e">
        <f>MATCH(INDEX($BP$12:$BU$12,1,MATCH(BP46,$BP$15:$BU$15,0)),结果汇总!$AI$10:$AI$13,0)</f>
        <v>#VALUE!</v>
      </c>
      <c r="CE46" s="10" t="e">
        <f>MATCH(INDEX($BP$12:$BU$12,1,MATCH(BQ46,$BP$15:$BU$15,0)),结果汇总!$AI$10:$AI$13,0)</f>
        <v>#VALUE!</v>
      </c>
      <c r="CF46" s="10" t="e">
        <f>MATCH(INDEX($BP$12:$BU$12,1,MATCH(BR46,$BP$15:$BU$15,0)),结果汇总!$AI$10:$AI$13,0)</f>
        <v>#VALUE!</v>
      </c>
      <c r="CG46" s="10" t="e">
        <f>MATCH(INDEX($BP$12:$BU$12,1,MATCH(BS46,$BP$15:$BU$15,0)),结果汇总!$AI$10:$AI$13,0)</f>
        <v>#VALUE!</v>
      </c>
      <c r="CH46" s="10" t="e">
        <f>MATCH(INDEX($BP$12:$BU$12,1,MATCH(BT46,$BP$15:$BU$15,0)),结果汇总!$AI$10:$AI$13,0)</f>
        <v>#VALUE!</v>
      </c>
      <c r="CI46" s="10" t="e">
        <f>MATCH(INDEX($BP$12:$BU$12,1,MATCH(BU46,$BP$15:$BU$15,0)),结果汇总!$AI$10:$AI$13,0)</f>
        <v>#VALUE!</v>
      </c>
      <c r="CK46" s="10">
        <f t="shared" si="58"/>
        <v>0</v>
      </c>
      <c r="CL46" s="10">
        <f t="shared" si="58"/>
        <v>0</v>
      </c>
      <c r="CM46" s="10">
        <f t="shared" si="58"/>
        <v>0</v>
      </c>
      <c r="CN46" s="10">
        <f t="shared" si="58"/>
        <v>0</v>
      </c>
      <c r="CO46" s="10" t="e">
        <f t="shared" si="59"/>
        <v>#DIV/0!</v>
      </c>
      <c r="CP46" s="10" t="e">
        <f t="shared" si="59"/>
        <v>#DIV/0!</v>
      </c>
      <c r="CQ46" s="10" t="e">
        <f t="shared" si="59"/>
        <v>#DIV/0!</v>
      </c>
      <c r="CR46" s="10" t="e">
        <f t="shared" si="59"/>
        <v>#DIV/0!</v>
      </c>
      <c r="CS46" s="10">
        <f t="shared" si="60"/>
        <v>0</v>
      </c>
      <c r="CT46" s="10">
        <f t="shared" si="60"/>
        <v>0</v>
      </c>
      <c r="CU46" s="10">
        <f t="shared" si="60"/>
        <v>0</v>
      </c>
      <c r="CV46" s="10">
        <f t="shared" si="60"/>
        <v>0</v>
      </c>
      <c r="CW46" s="10" t="e">
        <f t="shared" si="61"/>
        <v>#DIV/0!</v>
      </c>
      <c r="CX46" s="10" t="e">
        <f t="shared" si="61"/>
        <v>#DIV/0!</v>
      </c>
      <c r="CY46" s="10" t="e">
        <f t="shared" si="61"/>
        <v>#DIV/0!</v>
      </c>
      <c r="CZ46" s="10" t="e">
        <f t="shared" si="61"/>
        <v>#DIV/0!</v>
      </c>
    </row>
    <row r="47" spans="4:104" x14ac:dyDescent="0.15">
      <c r="D47" s="10">
        <v>32</v>
      </c>
      <c r="E47" s="10" t="e">
        <f t="shared" si="21"/>
        <v>#VALUE!</v>
      </c>
      <c r="F47" s="10" t="e">
        <f t="shared" si="1"/>
        <v>#VALUE!</v>
      </c>
      <c r="G47" s="10" t="e">
        <f t="shared" si="2"/>
        <v>#VALUE!</v>
      </c>
      <c r="H47" s="10" t="e">
        <f t="shared" si="22"/>
        <v>#VALUE!</v>
      </c>
      <c r="I47" s="10" t="e">
        <f t="shared" si="3"/>
        <v>#VALUE!</v>
      </c>
      <c r="J47" s="10" t="e">
        <f t="shared" si="23"/>
        <v>#VALUE!</v>
      </c>
      <c r="K47" s="10" t="e">
        <f t="shared" si="4"/>
        <v>#VALUE!</v>
      </c>
      <c r="L47" s="10" t="e">
        <f t="shared" si="5"/>
        <v>#VALUE!</v>
      </c>
      <c r="M47" s="10" t="e">
        <f t="shared" si="24"/>
        <v>#VALUE!</v>
      </c>
      <c r="O47" s="10" t="e">
        <f t="shared" si="25"/>
        <v>#VALUE!</v>
      </c>
      <c r="P47" s="10" t="e">
        <f t="shared" si="6"/>
        <v>#VALUE!</v>
      </c>
      <c r="Q47" s="10" t="e">
        <f t="shared" si="7"/>
        <v>#VALUE!</v>
      </c>
      <c r="R47" s="10" t="e">
        <f t="shared" si="26"/>
        <v>#VALUE!</v>
      </c>
      <c r="S47" s="10" t="e">
        <f t="shared" si="27"/>
        <v>#VALUE!</v>
      </c>
      <c r="T47" s="10" t="e">
        <f t="shared" si="62"/>
        <v>#VALUE!</v>
      </c>
      <c r="U47" s="10" t="e">
        <f t="shared" si="63"/>
        <v>#VALUE!</v>
      </c>
      <c r="V47" s="10" t="e">
        <f t="shared" si="8"/>
        <v>#VALUE!</v>
      </c>
      <c r="W47" s="10" t="e">
        <f t="shared" si="28"/>
        <v>#VALUE!</v>
      </c>
      <c r="Y47" s="10" t="e">
        <f t="shared" si="29"/>
        <v>#VALUE!</v>
      </c>
      <c r="Z47" s="11" t="e">
        <f t="shared" si="30"/>
        <v>#VALUE!</v>
      </c>
      <c r="AA47" s="10" t="e">
        <f t="shared" si="9"/>
        <v>#VALUE!</v>
      </c>
      <c r="AB47" s="10" t="e">
        <f t="shared" si="31"/>
        <v>#VALUE!</v>
      </c>
      <c r="AC47" s="10" t="e">
        <f t="shared" si="32"/>
        <v>#VALUE!</v>
      </c>
      <c r="AD47" s="10" t="e">
        <f t="shared" si="64"/>
        <v>#VALUE!</v>
      </c>
      <c r="AE47" s="10" t="e">
        <f t="shared" si="65"/>
        <v>#VALUE!</v>
      </c>
      <c r="AF47" s="10" t="e">
        <f t="shared" si="10"/>
        <v>#VALUE!</v>
      </c>
      <c r="AG47" s="10" t="e">
        <f t="shared" si="33"/>
        <v>#VALUE!</v>
      </c>
      <c r="AI47" s="13"/>
      <c r="AK47" s="10" t="e">
        <f t="shared" si="34"/>
        <v>#VALUE!</v>
      </c>
      <c r="AL47" s="10" t="e">
        <f t="shared" si="66"/>
        <v>#VALUE!</v>
      </c>
      <c r="AM47" s="10" t="e">
        <f t="shared" si="11"/>
        <v>#VALUE!</v>
      </c>
      <c r="AN47" s="10" t="e">
        <f t="shared" si="35"/>
        <v>#VALUE!</v>
      </c>
      <c r="AO47" s="10" t="e">
        <f t="shared" si="36"/>
        <v>#VALUE!</v>
      </c>
      <c r="AP47" s="10" t="e">
        <f t="shared" si="37"/>
        <v>#VALUE!</v>
      </c>
      <c r="AQ47" s="10" t="e">
        <f t="shared" si="67"/>
        <v>#VALUE!</v>
      </c>
      <c r="AR47" s="10" t="e">
        <f t="shared" si="12"/>
        <v>#VALUE!</v>
      </c>
      <c r="AS47" s="10" t="e">
        <f t="shared" si="68"/>
        <v>#VALUE!</v>
      </c>
      <c r="AU47" s="10" t="e">
        <f t="shared" si="38"/>
        <v>#VALUE!</v>
      </c>
      <c r="AV47" s="10" t="e">
        <f t="shared" si="69"/>
        <v>#VALUE!</v>
      </c>
      <c r="AW47" s="10" t="e">
        <f t="shared" si="13"/>
        <v>#VALUE!</v>
      </c>
      <c r="AX47" s="10" t="e">
        <f t="shared" si="39"/>
        <v>#VALUE!</v>
      </c>
      <c r="AY47" s="10" t="e">
        <f t="shared" si="40"/>
        <v>#VALUE!</v>
      </c>
      <c r="AZ47" s="10" t="e">
        <f t="shared" si="41"/>
        <v>#VALUE!</v>
      </c>
      <c r="BA47" s="10" t="e">
        <f t="shared" si="70"/>
        <v>#VALUE!</v>
      </c>
      <c r="BB47" s="10" t="e">
        <f t="shared" si="14"/>
        <v>#VALUE!</v>
      </c>
      <c r="BC47" s="10" t="e">
        <f t="shared" si="71"/>
        <v>#VALUE!</v>
      </c>
      <c r="BE47" s="10" t="e">
        <f t="shared" si="42"/>
        <v>#VALUE!</v>
      </c>
      <c r="BF47" s="10" t="e">
        <f t="shared" si="72"/>
        <v>#VALUE!</v>
      </c>
      <c r="BG47" s="10" t="e">
        <f t="shared" si="15"/>
        <v>#VALUE!</v>
      </c>
      <c r="BH47" s="10" t="e">
        <f t="shared" si="43"/>
        <v>#VALUE!</v>
      </c>
      <c r="BI47" s="10" t="e">
        <f t="shared" si="44"/>
        <v>#VALUE!</v>
      </c>
      <c r="BJ47" s="10" t="e">
        <f t="shared" si="45"/>
        <v>#VALUE!</v>
      </c>
      <c r="BK47" s="10" t="e">
        <f t="shared" si="73"/>
        <v>#VALUE!</v>
      </c>
      <c r="BL47" s="10" t="e">
        <f t="shared" si="16"/>
        <v>#VALUE!</v>
      </c>
      <c r="BM47" s="10" t="e">
        <f t="shared" si="74"/>
        <v>#VALUE!</v>
      </c>
      <c r="BP47" s="10" t="e">
        <f t="shared" si="46"/>
        <v>#VALUE!</v>
      </c>
      <c r="BQ47" s="10" t="e">
        <f t="shared" si="47"/>
        <v>#VALUE!</v>
      </c>
      <c r="BR47" s="10" t="e">
        <f t="shared" si="48"/>
        <v>#VALUE!</v>
      </c>
      <c r="BS47" s="10" t="e">
        <f t="shared" si="49"/>
        <v>#VALUE!</v>
      </c>
      <c r="BT47" s="10" t="e">
        <f t="shared" si="50"/>
        <v>#VALUE!</v>
      </c>
      <c r="BU47" s="10" t="e">
        <f t="shared" si="51"/>
        <v>#VALUE!</v>
      </c>
      <c r="BW47" s="10" t="e">
        <f t="shared" si="52"/>
        <v>#VALUE!</v>
      </c>
      <c r="BX47" s="10" t="e">
        <f t="shared" si="53"/>
        <v>#VALUE!</v>
      </c>
      <c r="BY47" s="10" t="e">
        <f t="shared" si="54"/>
        <v>#VALUE!</v>
      </c>
      <c r="BZ47" s="10" t="e">
        <f t="shared" si="55"/>
        <v>#VALUE!</v>
      </c>
      <c r="CA47" s="10" t="e">
        <f t="shared" si="56"/>
        <v>#VALUE!</v>
      </c>
      <c r="CB47" s="10" t="e">
        <f t="shared" si="57"/>
        <v>#VALUE!</v>
      </c>
      <c r="CD47" s="10" t="e">
        <f>MATCH(INDEX($BP$12:$BU$12,1,MATCH(BP47,$BP$15:$BU$15,0)),结果汇总!$AI$10:$AI$13,0)</f>
        <v>#VALUE!</v>
      </c>
      <c r="CE47" s="10" t="e">
        <f>MATCH(INDEX($BP$12:$BU$12,1,MATCH(BQ47,$BP$15:$BU$15,0)),结果汇总!$AI$10:$AI$13,0)</f>
        <v>#VALUE!</v>
      </c>
      <c r="CF47" s="10" t="e">
        <f>MATCH(INDEX($BP$12:$BU$12,1,MATCH(BR47,$BP$15:$BU$15,0)),结果汇总!$AI$10:$AI$13,0)</f>
        <v>#VALUE!</v>
      </c>
      <c r="CG47" s="10" t="e">
        <f>MATCH(INDEX($BP$12:$BU$12,1,MATCH(BS47,$BP$15:$BU$15,0)),结果汇总!$AI$10:$AI$13,0)</f>
        <v>#VALUE!</v>
      </c>
      <c r="CH47" s="10" t="e">
        <f>MATCH(INDEX($BP$12:$BU$12,1,MATCH(BT47,$BP$15:$BU$15,0)),结果汇总!$AI$10:$AI$13,0)</f>
        <v>#VALUE!</v>
      </c>
      <c r="CI47" s="10" t="e">
        <f>MATCH(INDEX($BP$12:$BU$12,1,MATCH(BU47,$BP$15:$BU$15,0)),结果汇总!$AI$10:$AI$13,0)</f>
        <v>#VALUE!</v>
      </c>
      <c r="CK47" s="10">
        <f t="shared" si="58"/>
        <v>0</v>
      </c>
      <c r="CL47" s="10">
        <f t="shared" si="58"/>
        <v>0</v>
      </c>
      <c r="CM47" s="10">
        <f t="shared" si="58"/>
        <v>0</v>
      </c>
      <c r="CN47" s="10">
        <f t="shared" si="58"/>
        <v>0</v>
      </c>
      <c r="CO47" s="10" t="e">
        <f t="shared" si="59"/>
        <v>#DIV/0!</v>
      </c>
      <c r="CP47" s="10" t="e">
        <f t="shared" si="59"/>
        <v>#DIV/0!</v>
      </c>
      <c r="CQ47" s="10" t="e">
        <f t="shared" si="59"/>
        <v>#DIV/0!</v>
      </c>
      <c r="CR47" s="10" t="e">
        <f t="shared" si="59"/>
        <v>#DIV/0!</v>
      </c>
      <c r="CS47" s="10">
        <f t="shared" si="60"/>
        <v>0</v>
      </c>
      <c r="CT47" s="10">
        <f t="shared" si="60"/>
        <v>0</v>
      </c>
      <c r="CU47" s="10">
        <f t="shared" si="60"/>
        <v>0</v>
      </c>
      <c r="CV47" s="10">
        <f t="shared" si="60"/>
        <v>0</v>
      </c>
      <c r="CW47" s="10" t="e">
        <f t="shared" si="61"/>
        <v>#DIV/0!</v>
      </c>
      <c r="CX47" s="10" t="e">
        <f t="shared" si="61"/>
        <v>#DIV/0!</v>
      </c>
      <c r="CY47" s="10" t="e">
        <f t="shared" si="61"/>
        <v>#DIV/0!</v>
      </c>
      <c r="CZ47" s="10" t="e">
        <f t="shared" si="61"/>
        <v>#DIV/0!</v>
      </c>
    </row>
    <row r="48" spans="4:104" x14ac:dyDescent="0.15">
      <c r="D48" s="10">
        <v>33</v>
      </c>
      <c r="E48" s="10" t="e">
        <f t="shared" si="21"/>
        <v>#VALUE!</v>
      </c>
      <c r="F48" s="10" t="e">
        <f t="shared" si="1"/>
        <v>#VALUE!</v>
      </c>
      <c r="G48" s="10" t="e">
        <f t="shared" si="2"/>
        <v>#VALUE!</v>
      </c>
      <c r="H48" s="10" t="e">
        <f t="shared" si="22"/>
        <v>#VALUE!</v>
      </c>
      <c r="I48" s="10" t="e">
        <f t="shared" si="3"/>
        <v>#VALUE!</v>
      </c>
      <c r="J48" s="10" t="e">
        <f t="shared" si="23"/>
        <v>#VALUE!</v>
      </c>
      <c r="K48" s="10" t="e">
        <f t="shared" si="4"/>
        <v>#VALUE!</v>
      </c>
      <c r="L48" s="10" t="e">
        <f t="shared" si="5"/>
        <v>#VALUE!</v>
      </c>
      <c r="M48" s="10" t="e">
        <f t="shared" si="24"/>
        <v>#VALUE!</v>
      </c>
      <c r="O48" s="10" t="e">
        <f t="shared" si="25"/>
        <v>#VALUE!</v>
      </c>
      <c r="P48" s="10" t="e">
        <f t="shared" si="6"/>
        <v>#VALUE!</v>
      </c>
      <c r="Q48" s="10" t="e">
        <f t="shared" si="7"/>
        <v>#VALUE!</v>
      </c>
      <c r="R48" s="10" t="e">
        <f t="shared" si="26"/>
        <v>#VALUE!</v>
      </c>
      <c r="S48" s="10" t="e">
        <f t="shared" si="27"/>
        <v>#VALUE!</v>
      </c>
      <c r="T48" s="10" t="e">
        <f t="shared" si="62"/>
        <v>#VALUE!</v>
      </c>
      <c r="U48" s="10" t="e">
        <f t="shared" si="63"/>
        <v>#VALUE!</v>
      </c>
      <c r="V48" s="10" t="e">
        <f t="shared" si="8"/>
        <v>#VALUE!</v>
      </c>
      <c r="W48" s="10" t="e">
        <f t="shared" si="28"/>
        <v>#VALUE!</v>
      </c>
      <c r="Y48" s="10" t="e">
        <f t="shared" si="29"/>
        <v>#VALUE!</v>
      </c>
      <c r="Z48" s="11" t="e">
        <f t="shared" si="30"/>
        <v>#VALUE!</v>
      </c>
      <c r="AA48" s="10" t="e">
        <f t="shared" si="9"/>
        <v>#VALUE!</v>
      </c>
      <c r="AB48" s="10" t="e">
        <f t="shared" si="31"/>
        <v>#VALUE!</v>
      </c>
      <c r="AC48" s="10" t="e">
        <f t="shared" si="32"/>
        <v>#VALUE!</v>
      </c>
      <c r="AD48" s="10" t="e">
        <f t="shared" si="64"/>
        <v>#VALUE!</v>
      </c>
      <c r="AE48" s="10" t="e">
        <f t="shared" si="65"/>
        <v>#VALUE!</v>
      </c>
      <c r="AF48" s="10" t="e">
        <f t="shared" si="10"/>
        <v>#VALUE!</v>
      </c>
      <c r="AG48" s="10" t="e">
        <f t="shared" si="33"/>
        <v>#VALUE!</v>
      </c>
      <c r="AI48" s="13"/>
      <c r="AK48" s="10" t="e">
        <f t="shared" si="34"/>
        <v>#VALUE!</v>
      </c>
      <c r="AL48" s="10" t="e">
        <f t="shared" si="66"/>
        <v>#VALUE!</v>
      </c>
      <c r="AM48" s="10" t="e">
        <f t="shared" si="11"/>
        <v>#VALUE!</v>
      </c>
      <c r="AN48" s="10" t="e">
        <f t="shared" si="35"/>
        <v>#VALUE!</v>
      </c>
      <c r="AO48" s="10" t="e">
        <f t="shared" si="36"/>
        <v>#VALUE!</v>
      </c>
      <c r="AP48" s="10" t="e">
        <f t="shared" si="37"/>
        <v>#VALUE!</v>
      </c>
      <c r="AQ48" s="10" t="e">
        <f t="shared" si="67"/>
        <v>#VALUE!</v>
      </c>
      <c r="AR48" s="10" t="e">
        <f t="shared" si="12"/>
        <v>#VALUE!</v>
      </c>
      <c r="AS48" s="10" t="e">
        <f t="shared" si="68"/>
        <v>#VALUE!</v>
      </c>
      <c r="AU48" s="10" t="e">
        <f t="shared" si="38"/>
        <v>#VALUE!</v>
      </c>
      <c r="AV48" s="10" t="e">
        <f t="shared" si="69"/>
        <v>#VALUE!</v>
      </c>
      <c r="AW48" s="10" t="e">
        <f t="shared" si="13"/>
        <v>#VALUE!</v>
      </c>
      <c r="AX48" s="10" t="e">
        <f t="shared" si="39"/>
        <v>#VALUE!</v>
      </c>
      <c r="AY48" s="10" t="e">
        <f t="shared" si="40"/>
        <v>#VALUE!</v>
      </c>
      <c r="AZ48" s="10" t="e">
        <f t="shared" si="41"/>
        <v>#VALUE!</v>
      </c>
      <c r="BA48" s="10" t="e">
        <f t="shared" si="70"/>
        <v>#VALUE!</v>
      </c>
      <c r="BB48" s="10" t="e">
        <f t="shared" si="14"/>
        <v>#VALUE!</v>
      </c>
      <c r="BC48" s="10" t="e">
        <f t="shared" si="71"/>
        <v>#VALUE!</v>
      </c>
      <c r="BE48" s="10" t="e">
        <f t="shared" si="42"/>
        <v>#VALUE!</v>
      </c>
      <c r="BF48" s="10" t="e">
        <f t="shared" si="72"/>
        <v>#VALUE!</v>
      </c>
      <c r="BG48" s="10" t="e">
        <f t="shared" si="15"/>
        <v>#VALUE!</v>
      </c>
      <c r="BH48" s="10" t="e">
        <f t="shared" si="43"/>
        <v>#VALUE!</v>
      </c>
      <c r="BI48" s="10" t="e">
        <f t="shared" si="44"/>
        <v>#VALUE!</v>
      </c>
      <c r="BJ48" s="10" t="e">
        <f t="shared" si="45"/>
        <v>#VALUE!</v>
      </c>
      <c r="BK48" s="10" t="e">
        <f t="shared" si="73"/>
        <v>#VALUE!</v>
      </c>
      <c r="BL48" s="10" t="e">
        <f t="shared" si="16"/>
        <v>#VALUE!</v>
      </c>
      <c r="BM48" s="10" t="e">
        <f t="shared" si="74"/>
        <v>#VALUE!</v>
      </c>
      <c r="BP48" s="10" t="e">
        <f t="shared" si="46"/>
        <v>#VALUE!</v>
      </c>
      <c r="BQ48" s="10" t="e">
        <f t="shared" si="47"/>
        <v>#VALUE!</v>
      </c>
      <c r="BR48" s="10" t="e">
        <f t="shared" si="48"/>
        <v>#VALUE!</v>
      </c>
      <c r="BS48" s="10" t="e">
        <f t="shared" si="49"/>
        <v>#VALUE!</v>
      </c>
      <c r="BT48" s="10" t="e">
        <f t="shared" si="50"/>
        <v>#VALUE!</v>
      </c>
      <c r="BU48" s="10" t="e">
        <f t="shared" si="51"/>
        <v>#VALUE!</v>
      </c>
      <c r="BW48" s="10" t="e">
        <f t="shared" si="52"/>
        <v>#VALUE!</v>
      </c>
      <c r="BX48" s="10" t="e">
        <f t="shared" si="53"/>
        <v>#VALUE!</v>
      </c>
      <c r="BY48" s="10" t="e">
        <f t="shared" si="54"/>
        <v>#VALUE!</v>
      </c>
      <c r="BZ48" s="10" t="e">
        <f t="shared" si="55"/>
        <v>#VALUE!</v>
      </c>
      <c r="CA48" s="10" t="e">
        <f t="shared" si="56"/>
        <v>#VALUE!</v>
      </c>
      <c r="CB48" s="10" t="e">
        <f t="shared" si="57"/>
        <v>#VALUE!</v>
      </c>
      <c r="CD48" s="10" t="e">
        <f>MATCH(INDEX($BP$12:$BU$12,1,MATCH(BP48,$BP$15:$BU$15,0)),结果汇总!$AI$10:$AI$13,0)</f>
        <v>#VALUE!</v>
      </c>
      <c r="CE48" s="10" t="e">
        <f>MATCH(INDEX($BP$12:$BU$12,1,MATCH(BQ48,$BP$15:$BU$15,0)),结果汇总!$AI$10:$AI$13,0)</f>
        <v>#VALUE!</v>
      </c>
      <c r="CF48" s="10" t="e">
        <f>MATCH(INDEX($BP$12:$BU$12,1,MATCH(BR48,$BP$15:$BU$15,0)),结果汇总!$AI$10:$AI$13,0)</f>
        <v>#VALUE!</v>
      </c>
      <c r="CG48" s="10" t="e">
        <f>MATCH(INDEX($BP$12:$BU$12,1,MATCH(BS48,$BP$15:$BU$15,0)),结果汇总!$AI$10:$AI$13,0)</f>
        <v>#VALUE!</v>
      </c>
      <c r="CH48" s="10" t="e">
        <f>MATCH(INDEX($BP$12:$BU$12,1,MATCH(BT48,$BP$15:$BU$15,0)),结果汇总!$AI$10:$AI$13,0)</f>
        <v>#VALUE!</v>
      </c>
      <c r="CI48" s="10" t="e">
        <f>MATCH(INDEX($BP$12:$BU$12,1,MATCH(BU48,$BP$15:$BU$15,0)),结果汇总!$AI$10:$AI$13,0)</f>
        <v>#VALUE!</v>
      </c>
      <c r="CK48" s="10">
        <f t="shared" si="58"/>
        <v>0</v>
      </c>
      <c r="CL48" s="10">
        <f t="shared" si="58"/>
        <v>0</v>
      </c>
      <c r="CM48" s="10">
        <f t="shared" si="58"/>
        <v>0</v>
      </c>
      <c r="CN48" s="10">
        <f t="shared" si="58"/>
        <v>0</v>
      </c>
      <c r="CO48" s="10" t="e">
        <f t="shared" si="59"/>
        <v>#DIV/0!</v>
      </c>
      <c r="CP48" s="10" t="e">
        <f t="shared" si="59"/>
        <v>#DIV/0!</v>
      </c>
      <c r="CQ48" s="10" t="e">
        <f t="shared" si="59"/>
        <v>#DIV/0!</v>
      </c>
      <c r="CR48" s="10" t="e">
        <f t="shared" si="59"/>
        <v>#DIV/0!</v>
      </c>
      <c r="CS48" s="10">
        <f t="shared" si="60"/>
        <v>0</v>
      </c>
      <c r="CT48" s="10">
        <f t="shared" si="60"/>
        <v>0</v>
      </c>
      <c r="CU48" s="10">
        <f t="shared" si="60"/>
        <v>0</v>
      </c>
      <c r="CV48" s="10">
        <f t="shared" si="60"/>
        <v>0</v>
      </c>
      <c r="CW48" s="10" t="e">
        <f t="shared" si="61"/>
        <v>#DIV/0!</v>
      </c>
      <c r="CX48" s="10" t="e">
        <f t="shared" si="61"/>
        <v>#DIV/0!</v>
      </c>
      <c r="CY48" s="10" t="e">
        <f t="shared" si="61"/>
        <v>#DIV/0!</v>
      </c>
      <c r="CZ48" s="10" t="e">
        <f t="shared" si="61"/>
        <v>#DIV/0!</v>
      </c>
    </row>
    <row r="49" spans="4:104" x14ac:dyDescent="0.15">
      <c r="D49" s="10">
        <v>34</v>
      </c>
      <c r="E49" s="10" t="e">
        <f t="shared" si="21"/>
        <v>#VALUE!</v>
      </c>
      <c r="F49" s="10" t="e">
        <f t="shared" si="1"/>
        <v>#VALUE!</v>
      </c>
      <c r="G49" s="10" t="e">
        <f t="shared" si="2"/>
        <v>#VALUE!</v>
      </c>
      <c r="H49" s="10" t="e">
        <f t="shared" si="22"/>
        <v>#VALUE!</v>
      </c>
      <c r="I49" s="10" t="e">
        <f t="shared" si="3"/>
        <v>#VALUE!</v>
      </c>
      <c r="J49" s="10" t="e">
        <f t="shared" si="23"/>
        <v>#VALUE!</v>
      </c>
      <c r="K49" s="10" t="e">
        <f t="shared" si="4"/>
        <v>#VALUE!</v>
      </c>
      <c r="L49" s="10" t="e">
        <f t="shared" si="5"/>
        <v>#VALUE!</v>
      </c>
      <c r="M49" s="10" t="e">
        <f t="shared" si="24"/>
        <v>#VALUE!</v>
      </c>
      <c r="O49" s="10" t="e">
        <f t="shared" si="25"/>
        <v>#VALUE!</v>
      </c>
      <c r="P49" s="10" t="e">
        <f t="shared" si="6"/>
        <v>#VALUE!</v>
      </c>
      <c r="Q49" s="10" t="e">
        <f t="shared" si="7"/>
        <v>#VALUE!</v>
      </c>
      <c r="R49" s="10" t="e">
        <f t="shared" si="26"/>
        <v>#VALUE!</v>
      </c>
      <c r="S49" s="10" t="e">
        <f t="shared" si="27"/>
        <v>#VALUE!</v>
      </c>
      <c r="T49" s="10" t="e">
        <f t="shared" si="62"/>
        <v>#VALUE!</v>
      </c>
      <c r="U49" s="10" t="e">
        <f t="shared" si="63"/>
        <v>#VALUE!</v>
      </c>
      <c r="V49" s="10" t="e">
        <f t="shared" si="8"/>
        <v>#VALUE!</v>
      </c>
      <c r="W49" s="10" t="e">
        <f t="shared" si="28"/>
        <v>#VALUE!</v>
      </c>
      <c r="Y49" s="10" t="e">
        <f t="shared" si="29"/>
        <v>#VALUE!</v>
      </c>
      <c r="Z49" s="11" t="e">
        <f t="shared" si="30"/>
        <v>#VALUE!</v>
      </c>
      <c r="AA49" s="10" t="e">
        <f t="shared" si="9"/>
        <v>#VALUE!</v>
      </c>
      <c r="AB49" s="10" t="e">
        <f t="shared" si="31"/>
        <v>#VALUE!</v>
      </c>
      <c r="AC49" s="10" t="e">
        <f t="shared" si="32"/>
        <v>#VALUE!</v>
      </c>
      <c r="AD49" s="10" t="e">
        <f t="shared" si="64"/>
        <v>#VALUE!</v>
      </c>
      <c r="AE49" s="10" t="e">
        <f t="shared" si="65"/>
        <v>#VALUE!</v>
      </c>
      <c r="AF49" s="10" t="e">
        <f t="shared" si="10"/>
        <v>#VALUE!</v>
      </c>
      <c r="AG49" s="10" t="e">
        <f t="shared" si="33"/>
        <v>#VALUE!</v>
      </c>
      <c r="AI49" s="13"/>
      <c r="AK49" s="10" t="e">
        <f t="shared" si="34"/>
        <v>#VALUE!</v>
      </c>
      <c r="AL49" s="10" t="e">
        <f t="shared" si="66"/>
        <v>#VALUE!</v>
      </c>
      <c r="AM49" s="10" t="e">
        <f t="shared" si="11"/>
        <v>#VALUE!</v>
      </c>
      <c r="AN49" s="10" t="e">
        <f t="shared" si="35"/>
        <v>#VALUE!</v>
      </c>
      <c r="AO49" s="10" t="e">
        <f t="shared" si="36"/>
        <v>#VALUE!</v>
      </c>
      <c r="AP49" s="10" t="e">
        <f t="shared" si="37"/>
        <v>#VALUE!</v>
      </c>
      <c r="AQ49" s="10" t="e">
        <f t="shared" si="67"/>
        <v>#VALUE!</v>
      </c>
      <c r="AR49" s="10" t="e">
        <f t="shared" si="12"/>
        <v>#VALUE!</v>
      </c>
      <c r="AS49" s="10" t="e">
        <f t="shared" si="68"/>
        <v>#VALUE!</v>
      </c>
      <c r="AU49" s="10" t="e">
        <f t="shared" si="38"/>
        <v>#VALUE!</v>
      </c>
      <c r="AV49" s="10" t="e">
        <f t="shared" si="69"/>
        <v>#VALUE!</v>
      </c>
      <c r="AW49" s="10" t="e">
        <f t="shared" si="13"/>
        <v>#VALUE!</v>
      </c>
      <c r="AX49" s="10" t="e">
        <f t="shared" si="39"/>
        <v>#VALUE!</v>
      </c>
      <c r="AY49" s="10" t="e">
        <f t="shared" si="40"/>
        <v>#VALUE!</v>
      </c>
      <c r="AZ49" s="10" t="e">
        <f t="shared" si="41"/>
        <v>#VALUE!</v>
      </c>
      <c r="BA49" s="10" t="e">
        <f t="shared" si="70"/>
        <v>#VALUE!</v>
      </c>
      <c r="BB49" s="10" t="e">
        <f t="shared" si="14"/>
        <v>#VALUE!</v>
      </c>
      <c r="BC49" s="10" t="e">
        <f t="shared" si="71"/>
        <v>#VALUE!</v>
      </c>
      <c r="BE49" s="10" t="e">
        <f t="shared" si="42"/>
        <v>#VALUE!</v>
      </c>
      <c r="BF49" s="10" t="e">
        <f t="shared" si="72"/>
        <v>#VALUE!</v>
      </c>
      <c r="BG49" s="10" t="e">
        <f t="shared" si="15"/>
        <v>#VALUE!</v>
      </c>
      <c r="BH49" s="10" t="e">
        <f t="shared" si="43"/>
        <v>#VALUE!</v>
      </c>
      <c r="BI49" s="10" t="e">
        <f t="shared" si="44"/>
        <v>#VALUE!</v>
      </c>
      <c r="BJ49" s="10" t="e">
        <f t="shared" si="45"/>
        <v>#VALUE!</v>
      </c>
      <c r="BK49" s="10" t="e">
        <f t="shared" si="73"/>
        <v>#VALUE!</v>
      </c>
      <c r="BL49" s="10" t="e">
        <f t="shared" si="16"/>
        <v>#VALUE!</v>
      </c>
      <c r="BM49" s="10" t="e">
        <f t="shared" si="74"/>
        <v>#VALUE!</v>
      </c>
      <c r="BP49" s="10" t="e">
        <f t="shared" si="46"/>
        <v>#VALUE!</v>
      </c>
      <c r="BQ49" s="10" t="e">
        <f t="shared" si="47"/>
        <v>#VALUE!</v>
      </c>
      <c r="BR49" s="10" t="e">
        <f t="shared" si="48"/>
        <v>#VALUE!</v>
      </c>
      <c r="BS49" s="10" t="e">
        <f t="shared" si="49"/>
        <v>#VALUE!</v>
      </c>
      <c r="BT49" s="10" t="e">
        <f t="shared" si="50"/>
        <v>#VALUE!</v>
      </c>
      <c r="BU49" s="10" t="e">
        <f t="shared" si="51"/>
        <v>#VALUE!</v>
      </c>
      <c r="BW49" s="10" t="e">
        <f t="shared" si="52"/>
        <v>#VALUE!</v>
      </c>
      <c r="BX49" s="10" t="e">
        <f t="shared" si="53"/>
        <v>#VALUE!</v>
      </c>
      <c r="BY49" s="10" t="e">
        <f t="shared" si="54"/>
        <v>#VALUE!</v>
      </c>
      <c r="BZ49" s="10" t="e">
        <f t="shared" si="55"/>
        <v>#VALUE!</v>
      </c>
      <c r="CA49" s="10" t="e">
        <f t="shared" si="56"/>
        <v>#VALUE!</v>
      </c>
      <c r="CB49" s="10" t="e">
        <f t="shared" si="57"/>
        <v>#VALUE!</v>
      </c>
      <c r="CD49" s="10" t="e">
        <f>MATCH(INDEX($BP$12:$BU$12,1,MATCH(BP49,$BP$15:$BU$15,0)),结果汇总!$AI$10:$AI$13,0)</f>
        <v>#VALUE!</v>
      </c>
      <c r="CE49" s="10" t="e">
        <f>MATCH(INDEX($BP$12:$BU$12,1,MATCH(BQ49,$BP$15:$BU$15,0)),结果汇总!$AI$10:$AI$13,0)</f>
        <v>#VALUE!</v>
      </c>
      <c r="CF49" s="10" t="e">
        <f>MATCH(INDEX($BP$12:$BU$12,1,MATCH(BR49,$BP$15:$BU$15,0)),结果汇总!$AI$10:$AI$13,0)</f>
        <v>#VALUE!</v>
      </c>
      <c r="CG49" s="10" t="e">
        <f>MATCH(INDEX($BP$12:$BU$12,1,MATCH(BS49,$BP$15:$BU$15,0)),结果汇总!$AI$10:$AI$13,0)</f>
        <v>#VALUE!</v>
      </c>
      <c r="CH49" s="10" t="e">
        <f>MATCH(INDEX($BP$12:$BU$12,1,MATCH(BT49,$BP$15:$BU$15,0)),结果汇总!$AI$10:$AI$13,0)</f>
        <v>#VALUE!</v>
      </c>
      <c r="CI49" s="10" t="e">
        <f>MATCH(INDEX($BP$12:$BU$12,1,MATCH(BU49,$BP$15:$BU$15,0)),结果汇总!$AI$10:$AI$13,0)</f>
        <v>#VALUE!</v>
      </c>
      <c r="CK49" s="10">
        <f t="shared" ref="CK49:CN80" si="75">COUNTIFS($CD49:$CI49,CK$15,$CD$15:$CI$15,$CK$14)/COUNTIFS($CD$15:$CI$15,$CK$14)</f>
        <v>0</v>
      </c>
      <c r="CL49" s="10">
        <f t="shared" si="75"/>
        <v>0</v>
      </c>
      <c r="CM49" s="10">
        <f t="shared" si="75"/>
        <v>0</v>
      </c>
      <c r="CN49" s="10">
        <f t="shared" si="75"/>
        <v>0</v>
      </c>
      <c r="CO49" s="10" t="e">
        <f t="shared" ref="CO49:CR80" si="76">COUNTIFS($CD49:$CI49,CO$15,$CD$15:$CI$15,$CO$14)/COUNTIFS($CD$15:$CI$15,$CO$14)</f>
        <v>#DIV/0!</v>
      </c>
      <c r="CP49" s="10" t="e">
        <f t="shared" si="76"/>
        <v>#DIV/0!</v>
      </c>
      <c r="CQ49" s="10" t="e">
        <f t="shared" si="76"/>
        <v>#DIV/0!</v>
      </c>
      <c r="CR49" s="10" t="e">
        <f t="shared" si="76"/>
        <v>#DIV/0!</v>
      </c>
      <c r="CS49" s="10">
        <f t="shared" ref="CS49:CV80" si="77">COUNTIFS($CD49:$CI49,CS$15,$CD$15:$CI$15,$CS$14)/COUNTIFS($CD$15:$CI$15,$CS$14)</f>
        <v>0</v>
      </c>
      <c r="CT49" s="10">
        <f t="shared" si="77"/>
        <v>0</v>
      </c>
      <c r="CU49" s="10">
        <f t="shared" si="77"/>
        <v>0</v>
      </c>
      <c r="CV49" s="10">
        <f t="shared" si="77"/>
        <v>0</v>
      </c>
      <c r="CW49" s="10" t="e">
        <f t="shared" ref="CW49:CZ80" si="78">COUNTIFS($CD49:$CI49,CW$15,$CD$15:$CI$15,$CW$14)/COUNTIFS($CD$15:$CI$15,$CW$14)</f>
        <v>#DIV/0!</v>
      </c>
      <c r="CX49" s="10" t="e">
        <f t="shared" si="78"/>
        <v>#DIV/0!</v>
      </c>
      <c r="CY49" s="10" t="e">
        <f t="shared" si="78"/>
        <v>#DIV/0!</v>
      </c>
      <c r="CZ49" s="10" t="e">
        <f t="shared" si="78"/>
        <v>#DIV/0!</v>
      </c>
    </row>
    <row r="50" spans="4:104" x14ac:dyDescent="0.15">
      <c r="D50" s="10">
        <v>35</v>
      </c>
      <c r="E50" s="10" t="e">
        <f t="shared" si="21"/>
        <v>#VALUE!</v>
      </c>
      <c r="F50" s="10" t="e">
        <f t="shared" si="1"/>
        <v>#VALUE!</v>
      </c>
      <c r="G50" s="10" t="e">
        <f t="shared" si="2"/>
        <v>#VALUE!</v>
      </c>
      <c r="H50" s="10" t="e">
        <f t="shared" si="22"/>
        <v>#VALUE!</v>
      </c>
      <c r="I50" s="10" t="e">
        <f t="shared" si="3"/>
        <v>#VALUE!</v>
      </c>
      <c r="J50" s="10" t="e">
        <f t="shared" si="23"/>
        <v>#VALUE!</v>
      </c>
      <c r="K50" s="10" t="e">
        <f t="shared" si="4"/>
        <v>#VALUE!</v>
      </c>
      <c r="L50" s="10" t="e">
        <f t="shared" si="5"/>
        <v>#VALUE!</v>
      </c>
      <c r="M50" s="10" t="e">
        <f t="shared" si="24"/>
        <v>#VALUE!</v>
      </c>
      <c r="O50" s="10" t="e">
        <f t="shared" si="25"/>
        <v>#VALUE!</v>
      </c>
      <c r="P50" s="10" t="e">
        <f t="shared" si="6"/>
        <v>#VALUE!</v>
      </c>
      <c r="Q50" s="10" t="e">
        <f t="shared" si="7"/>
        <v>#VALUE!</v>
      </c>
      <c r="R50" s="10" t="e">
        <f t="shared" si="26"/>
        <v>#VALUE!</v>
      </c>
      <c r="S50" s="10" t="e">
        <f t="shared" si="27"/>
        <v>#VALUE!</v>
      </c>
      <c r="T50" s="10" t="e">
        <f t="shared" si="62"/>
        <v>#VALUE!</v>
      </c>
      <c r="U50" s="10" t="e">
        <f t="shared" si="63"/>
        <v>#VALUE!</v>
      </c>
      <c r="V50" s="10" t="e">
        <f t="shared" si="8"/>
        <v>#VALUE!</v>
      </c>
      <c r="W50" s="10" t="e">
        <f t="shared" si="28"/>
        <v>#VALUE!</v>
      </c>
      <c r="Y50" s="10" t="e">
        <f t="shared" si="29"/>
        <v>#VALUE!</v>
      </c>
      <c r="Z50" s="11" t="e">
        <f t="shared" si="30"/>
        <v>#VALUE!</v>
      </c>
      <c r="AA50" s="10" t="e">
        <f t="shared" si="9"/>
        <v>#VALUE!</v>
      </c>
      <c r="AB50" s="10" t="e">
        <f t="shared" si="31"/>
        <v>#VALUE!</v>
      </c>
      <c r="AC50" s="10" t="e">
        <f t="shared" si="32"/>
        <v>#VALUE!</v>
      </c>
      <c r="AD50" s="10" t="e">
        <f t="shared" si="64"/>
        <v>#VALUE!</v>
      </c>
      <c r="AE50" s="10" t="e">
        <f t="shared" si="65"/>
        <v>#VALUE!</v>
      </c>
      <c r="AF50" s="10" t="e">
        <f t="shared" si="10"/>
        <v>#VALUE!</v>
      </c>
      <c r="AG50" s="10" t="e">
        <f t="shared" si="33"/>
        <v>#VALUE!</v>
      </c>
      <c r="AI50" s="13"/>
      <c r="AK50" s="10" t="e">
        <f t="shared" si="34"/>
        <v>#VALUE!</v>
      </c>
      <c r="AL50" s="10" t="e">
        <f t="shared" si="66"/>
        <v>#VALUE!</v>
      </c>
      <c r="AM50" s="10" t="e">
        <f t="shared" si="11"/>
        <v>#VALUE!</v>
      </c>
      <c r="AN50" s="10" t="e">
        <f t="shared" si="35"/>
        <v>#VALUE!</v>
      </c>
      <c r="AO50" s="10" t="e">
        <f t="shared" si="36"/>
        <v>#VALUE!</v>
      </c>
      <c r="AP50" s="10" t="e">
        <f t="shared" si="37"/>
        <v>#VALUE!</v>
      </c>
      <c r="AQ50" s="10" t="e">
        <f t="shared" si="67"/>
        <v>#VALUE!</v>
      </c>
      <c r="AR50" s="10" t="e">
        <f t="shared" si="12"/>
        <v>#VALUE!</v>
      </c>
      <c r="AS50" s="10" t="e">
        <f t="shared" si="68"/>
        <v>#VALUE!</v>
      </c>
      <c r="AU50" s="10" t="e">
        <f t="shared" si="38"/>
        <v>#VALUE!</v>
      </c>
      <c r="AV50" s="10" t="e">
        <f t="shared" si="69"/>
        <v>#VALUE!</v>
      </c>
      <c r="AW50" s="10" t="e">
        <f t="shared" si="13"/>
        <v>#VALUE!</v>
      </c>
      <c r="AX50" s="10" t="e">
        <f t="shared" si="39"/>
        <v>#VALUE!</v>
      </c>
      <c r="AY50" s="10" t="e">
        <f t="shared" si="40"/>
        <v>#VALUE!</v>
      </c>
      <c r="AZ50" s="10" t="e">
        <f t="shared" si="41"/>
        <v>#VALUE!</v>
      </c>
      <c r="BA50" s="10" t="e">
        <f t="shared" si="70"/>
        <v>#VALUE!</v>
      </c>
      <c r="BB50" s="10" t="e">
        <f t="shared" si="14"/>
        <v>#VALUE!</v>
      </c>
      <c r="BC50" s="10" t="e">
        <f t="shared" si="71"/>
        <v>#VALUE!</v>
      </c>
      <c r="BE50" s="10" t="e">
        <f t="shared" si="42"/>
        <v>#VALUE!</v>
      </c>
      <c r="BF50" s="10" t="e">
        <f t="shared" si="72"/>
        <v>#VALUE!</v>
      </c>
      <c r="BG50" s="10" t="e">
        <f t="shared" si="15"/>
        <v>#VALUE!</v>
      </c>
      <c r="BH50" s="10" t="e">
        <f t="shared" si="43"/>
        <v>#VALUE!</v>
      </c>
      <c r="BI50" s="10" t="e">
        <f t="shared" si="44"/>
        <v>#VALUE!</v>
      </c>
      <c r="BJ50" s="10" t="e">
        <f t="shared" si="45"/>
        <v>#VALUE!</v>
      </c>
      <c r="BK50" s="10" t="e">
        <f t="shared" si="73"/>
        <v>#VALUE!</v>
      </c>
      <c r="BL50" s="10" t="e">
        <f t="shared" si="16"/>
        <v>#VALUE!</v>
      </c>
      <c r="BM50" s="10" t="e">
        <f t="shared" si="74"/>
        <v>#VALUE!</v>
      </c>
      <c r="BP50" s="10" t="e">
        <f t="shared" si="46"/>
        <v>#VALUE!</v>
      </c>
      <c r="BQ50" s="10" t="e">
        <f t="shared" si="47"/>
        <v>#VALUE!</v>
      </c>
      <c r="BR50" s="10" t="e">
        <f t="shared" si="48"/>
        <v>#VALUE!</v>
      </c>
      <c r="BS50" s="10" t="e">
        <f t="shared" si="49"/>
        <v>#VALUE!</v>
      </c>
      <c r="BT50" s="10" t="e">
        <f t="shared" si="50"/>
        <v>#VALUE!</v>
      </c>
      <c r="BU50" s="10" t="e">
        <f t="shared" si="51"/>
        <v>#VALUE!</v>
      </c>
      <c r="BW50" s="10" t="e">
        <f t="shared" si="52"/>
        <v>#VALUE!</v>
      </c>
      <c r="BX50" s="10" t="e">
        <f t="shared" si="53"/>
        <v>#VALUE!</v>
      </c>
      <c r="BY50" s="10" t="e">
        <f t="shared" si="54"/>
        <v>#VALUE!</v>
      </c>
      <c r="BZ50" s="10" t="e">
        <f t="shared" si="55"/>
        <v>#VALUE!</v>
      </c>
      <c r="CA50" s="10" t="e">
        <f t="shared" si="56"/>
        <v>#VALUE!</v>
      </c>
      <c r="CB50" s="10" t="e">
        <f t="shared" si="57"/>
        <v>#VALUE!</v>
      </c>
      <c r="CD50" s="10" t="e">
        <f>MATCH(INDEX($BP$12:$BU$12,1,MATCH(BP50,$BP$15:$BU$15,0)),结果汇总!$AI$10:$AI$13,0)</f>
        <v>#VALUE!</v>
      </c>
      <c r="CE50" s="10" t="e">
        <f>MATCH(INDEX($BP$12:$BU$12,1,MATCH(BQ50,$BP$15:$BU$15,0)),结果汇总!$AI$10:$AI$13,0)</f>
        <v>#VALUE!</v>
      </c>
      <c r="CF50" s="10" t="e">
        <f>MATCH(INDEX($BP$12:$BU$12,1,MATCH(BR50,$BP$15:$BU$15,0)),结果汇总!$AI$10:$AI$13,0)</f>
        <v>#VALUE!</v>
      </c>
      <c r="CG50" s="10" t="e">
        <f>MATCH(INDEX($BP$12:$BU$12,1,MATCH(BS50,$BP$15:$BU$15,0)),结果汇总!$AI$10:$AI$13,0)</f>
        <v>#VALUE!</v>
      </c>
      <c r="CH50" s="10" t="e">
        <f>MATCH(INDEX($BP$12:$BU$12,1,MATCH(BT50,$BP$15:$BU$15,0)),结果汇总!$AI$10:$AI$13,0)</f>
        <v>#VALUE!</v>
      </c>
      <c r="CI50" s="10" t="e">
        <f>MATCH(INDEX($BP$12:$BU$12,1,MATCH(BU50,$BP$15:$BU$15,0)),结果汇总!$AI$10:$AI$13,0)</f>
        <v>#VALUE!</v>
      </c>
      <c r="CK50" s="10">
        <f t="shared" si="75"/>
        <v>0</v>
      </c>
      <c r="CL50" s="10">
        <f t="shared" si="75"/>
        <v>0</v>
      </c>
      <c r="CM50" s="10">
        <f t="shared" si="75"/>
        <v>0</v>
      </c>
      <c r="CN50" s="10">
        <f t="shared" si="75"/>
        <v>0</v>
      </c>
      <c r="CO50" s="10" t="e">
        <f t="shared" si="76"/>
        <v>#DIV/0!</v>
      </c>
      <c r="CP50" s="10" t="e">
        <f t="shared" si="76"/>
        <v>#DIV/0!</v>
      </c>
      <c r="CQ50" s="10" t="e">
        <f t="shared" si="76"/>
        <v>#DIV/0!</v>
      </c>
      <c r="CR50" s="10" t="e">
        <f t="shared" si="76"/>
        <v>#DIV/0!</v>
      </c>
      <c r="CS50" s="10">
        <f t="shared" si="77"/>
        <v>0</v>
      </c>
      <c r="CT50" s="10">
        <f t="shared" si="77"/>
        <v>0</v>
      </c>
      <c r="CU50" s="10">
        <f t="shared" si="77"/>
        <v>0</v>
      </c>
      <c r="CV50" s="10">
        <f t="shared" si="77"/>
        <v>0</v>
      </c>
      <c r="CW50" s="10" t="e">
        <f t="shared" si="78"/>
        <v>#DIV/0!</v>
      </c>
      <c r="CX50" s="10" t="e">
        <f t="shared" si="78"/>
        <v>#DIV/0!</v>
      </c>
      <c r="CY50" s="10" t="e">
        <f t="shared" si="78"/>
        <v>#DIV/0!</v>
      </c>
      <c r="CZ50" s="10" t="e">
        <f t="shared" si="78"/>
        <v>#DIV/0!</v>
      </c>
    </row>
    <row r="51" spans="4:104" x14ac:dyDescent="0.15">
      <c r="D51" s="10">
        <v>36</v>
      </c>
      <c r="E51" s="10" t="e">
        <f t="shared" si="21"/>
        <v>#VALUE!</v>
      </c>
      <c r="F51" s="10" t="e">
        <f t="shared" si="1"/>
        <v>#VALUE!</v>
      </c>
      <c r="G51" s="10" t="e">
        <f t="shared" si="2"/>
        <v>#VALUE!</v>
      </c>
      <c r="H51" s="10" t="e">
        <f t="shared" si="22"/>
        <v>#VALUE!</v>
      </c>
      <c r="I51" s="10" t="e">
        <f t="shared" si="3"/>
        <v>#VALUE!</v>
      </c>
      <c r="J51" s="10" t="e">
        <f t="shared" si="23"/>
        <v>#VALUE!</v>
      </c>
      <c r="K51" s="10" t="e">
        <f t="shared" si="4"/>
        <v>#VALUE!</v>
      </c>
      <c r="L51" s="10" t="e">
        <f t="shared" si="5"/>
        <v>#VALUE!</v>
      </c>
      <c r="M51" s="10" t="e">
        <f t="shared" si="24"/>
        <v>#VALUE!</v>
      </c>
      <c r="O51" s="10" t="e">
        <f t="shared" si="25"/>
        <v>#VALUE!</v>
      </c>
      <c r="P51" s="10" t="e">
        <f t="shared" si="6"/>
        <v>#VALUE!</v>
      </c>
      <c r="Q51" s="10" t="e">
        <f t="shared" si="7"/>
        <v>#VALUE!</v>
      </c>
      <c r="R51" s="10" t="e">
        <f t="shared" si="26"/>
        <v>#VALUE!</v>
      </c>
      <c r="S51" s="10" t="e">
        <f t="shared" si="27"/>
        <v>#VALUE!</v>
      </c>
      <c r="T51" s="10" t="e">
        <f t="shared" si="62"/>
        <v>#VALUE!</v>
      </c>
      <c r="U51" s="10" t="e">
        <f t="shared" si="63"/>
        <v>#VALUE!</v>
      </c>
      <c r="V51" s="10" t="e">
        <f t="shared" si="8"/>
        <v>#VALUE!</v>
      </c>
      <c r="W51" s="10" t="e">
        <f t="shared" si="28"/>
        <v>#VALUE!</v>
      </c>
      <c r="Y51" s="10" t="e">
        <f t="shared" si="29"/>
        <v>#VALUE!</v>
      </c>
      <c r="Z51" s="11" t="e">
        <f t="shared" si="30"/>
        <v>#VALUE!</v>
      </c>
      <c r="AA51" s="10" t="e">
        <f t="shared" si="9"/>
        <v>#VALUE!</v>
      </c>
      <c r="AB51" s="10" t="e">
        <f t="shared" si="31"/>
        <v>#VALUE!</v>
      </c>
      <c r="AC51" s="10" t="e">
        <f t="shared" si="32"/>
        <v>#VALUE!</v>
      </c>
      <c r="AD51" s="10" t="e">
        <f t="shared" si="64"/>
        <v>#VALUE!</v>
      </c>
      <c r="AE51" s="10" t="e">
        <f t="shared" si="65"/>
        <v>#VALUE!</v>
      </c>
      <c r="AF51" s="10" t="e">
        <f t="shared" si="10"/>
        <v>#VALUE!</v>
      </c>
      <c r="AG51" s="10" t="e">
        <f t="shared" si="33"/>
        <v>#VALUE!</v>
      </c>
      <c r="AI51" s="13"/>
      <c r="AK51" s="10" t="e">
        <f t="shared" si="34"/>
        <v>#VALUE!</v>
      </c>
      <c r="AL51" s="10" t="e">
        <f t="shared" si="66"/>
        <v>#VALUE!</v>
      </c>
      <c r="AM51" s="10" t="e">
        <f t="shared" si="11"/>
        <v>#VALUE!</v>
      </c>
      <c r="AN51" s="10" t="e">
        <f t="shared" si="35"/>
        <v>#VALUE!</v>
      </c>
      <c r="AO51" s="10" t="e">
        <f t="shared" si="36"/>
        <v>#VALUE!</v>
      </c>
      <c r="AP51" s="10" t="e">
        <f t="shared" si="37"/>
        <v>#VALUE!</v>
      </c>
      <c r="AQ51" s="10" t="e">
        <f t="shared" si="67"/>
        <v>#VALUE!</v>
      </c>
      <c r="AR51" s="10" t="e">
        <f t="shared" si="12"/>
        <v>#VALUE!</v>
      </c>
      <c r="AS51" s="10" t="e">
        <f t="shared" si="68"/>
        <v>#VALUE!</v>
      </c>
      <c r="AU51" s="10" t="e">
        <f t="shared" si="38"/>
        <v>#VALUE!</v>
      </c>
      <c r="AV51" s="10" t="e">
        <f t="shared" si="69"/>
        <v>#VALUE!</v>
      </c>
      <c r="AW51" s="10" t="e">
        <f t="shared" si="13"/>
        <v>#VALUE!</v>
      </c>
      <c r="AX51" s="10" t="e">
        <f t="shared" si="39"/>
        <v>#VALUE!</v>
      </c>
      <c r="AY51" s="10" t="e">
        <f t="shared" si="40"/>
        <v>#VALUE!</v>
      </c>
      <c r="AZ51" s="10" t="e">
        <f t="shared" si="41"/>
        <v>#VALUE!</v>
      </c>
      <c r="BA51" s="10" t="e">
        <f t="shared" si="70"/>
        <v>#VALUE!</v>
      </c>
      <c r="BB51" s="10" t="e">
        <f t="shared" si="14"/>
        <v>#VALUE!</v>
      </c>
      <c r="BC51" s="10" t="e">
        <f t="shared" si="71"/>
        <v>#VALUE!</v>
      </c>
      <c r="BE51" s="10" t="e">
        <f t="shared" si="42"/>
        <v>#VALUE!</v>
      </c>
      <c r="BF51" s="10" t="e">
        <f t="shared" si="72"/>
        <v>#VALUE!</v>
      </c>
      <c r="BG51" s="10" t="e">
        <f t="shared" si="15"/>
        <v>#VALUE!</v>
      </c>
      <c r="BH51" s="10" t="e">
        <f t="shared" si="43"/>
        <v>#VALUE!</v>
      </c>
      <c r="BI51" s="10" t="e">
        <f t="shared" si="44"/>
        <v>#VALUE!</v>
      </c>
      <c r="BJ51" s="10" t="e">
        <f t="shared" si="45"/>
        <v>#VALUE!</v>
      </c>
      <c r="BK51" s="10" t="e">
        <f t="shared" si="73"/>
        <v>#VALUE!</v>
      </c>
      <c r="BL51" s="10" t="e">
        <f t="shared" si="16"/>
        <v>#VALUE!</v>
      </c>
      <c r="BM51" s="10" t="e">
        <f t="shared" si="74"/>
        <v>#VALUE!</v>
      </c>
      <c r="BP51" s="10" t="e">
        <f t="shared" si="46"/>
        <v>#VALUE!</v>
      </c>
      <c r="BQ51" s="10" t="e">
        <f t="shared" si="47"/>
        <v>#VALUE!</v>
      </c>
      <c r="BR51" s="10" t="e">
        <f t="shared" si="48"/>
        <v>#VALUE!</v>
      </c>
      <c r="BS51" s="10" t="e">
        <f t="shared" si="49"/>
        <v>#VALUE!</v>
      </c>
      <c r="BT51" s="10" t="e">
        <f t="shared" si="50"/>
        <v>#VALUE!</v>
      </c>
      <c r="BU51" s="10" t="e">
        <f t="shared" si="51"/>
        <v>#VALUE!</v>
      </c>
      <c r="BW51" s="10" t="e">
        <f t="shared" si="52"/>
        <v>#VALUE!</v>
      </c>
      <c r="BX51" s="10" t="e">
        <f t="shared" si="53"/>
        <v>#VALUE!</v>
      </c>
      <c r="BY51" s="10" t="e">
        <f t="shared" si="54"/>
        <v>#VALUE!</v>
      </c>
      <c r="BZ51" s="10" t="e">
        <f t="shared" si="55"/>
        <v>#VALUE!</v>
      </c>
      <c r="CA51" s="10" t="e">
        <f t="shared" si="56"/>
        <v>#VALUE!</v>
      </c>
      <c r="CB51" s="10" t="e">
        <f t="shared" si="57"/>
        <v>#VALUE!</v>
      </c>
      <c r="CD51" s="10" t="e">
        <f>MATCH(INDEX($BP$12:$BU$12,1,MATCH(BP51,$BP$15:$BU$15,0)),结果汇总!$AI$10:$AI$13,0)</f>
        <v>#VALUE!</v>
      </c>
      <c r="CE51" s="10" t="e">
        <f>MATCH(INDEX($BP$12:$BU$12,1,MATCH(BQ51,$BP$15:$BU$15,0)),结果汇总!$AI$10:$AI$13,0)</f>
        <v>#VALUE!</v>
      </c>
      <c r="CF51" s="10" t="e">
        <f>MATCH(INDEX($BP$12:$BU$12,1,MATCH(BR51,$BP$15:$BU$15,0)),结果汇总!$AI$10:$AI$13,0)</f>
        <v>#VALUE!</v>
      </c>
      <c r="CG51" s="10" t="e">
        <f>MATCH(INDEX($BP$12:$BU$12,1,MATCH(BS51,$BP$15:$BU$15,0)),结果汇总!$AI$10:$AI$13,0)</f>
        <v>#VALUE!</v>
      </c>
      <c r="CH51" s="10" t="e">
        <f>MATCH(INDEX($BP$12:$BU$12,1,MATCH(BT51,$BP$15:$BU$15,0)),结果汇总!$AI$10:$AI$13,0)</f>
        <v>#VALUE!</v>
      </c>
      <c r="CI51" s="10" t="e">
        <f>MATCH(INDEX($BP$12:$BU$12,1,MATCH(BU51,$BP$15:$BU$15,0)),结果汇总!$AI$10:$AI$13,0)</f>
        <v>#VALUE!</v>
      </c>
      <c r="CK51" s="10">
        <f t="shared" si="75"/>
        <v>0</v>
      </c>
      <c r="CL51" s="10">
        <f t="shared" si="75"/>
        <v>0</v>
      </c>
      <c r="CM51" s="10">
        <f t="shared" si="75"/>
        <v>0</v>
      </c>
      <c r="CN51" s="10">
        <f t="shared" si="75"/>
        <v>0</v>
      </c>
      <c r="CO51" s="10" t="e">
        <f t="shared" si="76"/>
        <v>#DIV/0!</v>
      </c>
      <c r="CP51" s="10" t="e">
        <f t="shared" si="76"/>
        <v>#DIV/0!</v>
      </c>
      <c r="CQ51" s="10" t="e">
        <f t="shared" si="76"/>
        <v>#DIV/0!</v>
      </c>
      <c r="CR51" s="10" t="e">
        <f t="shared" si="76"/>
        <v>#DIV/0!</v>
      </c>
      <c r="CS51" s="10">
        <f t="shared" si="77"/>
        <v>0</v>
      </c>
      <c r="CT51" s="10">
        <f t="shared" si="77"/>
        <v>0</v>
      </c>
      <c r="CU51" s="10">
        <f t="shared" si="77"/>
        <v>0</v>
      </c>
      <c r="CV51" s="10">
        <f t="shared" si="77"/>
        <v>0</v>
      </c>
      <c r="CW51" s="10" t="e">
        <f t="shared" si="78"/>
        <v>#DIV/0!</v>
      </c>
      <c r="CX51" s="10" t="e">
        <f t="shared" si="78"/>
        <v>#DIV/0!</v>
      </c>
      <c r="CY51" s="10" t="e">
        <f t="shared" si="78"/>
        <v>#DIV/0!</v>
      </c>
      <c r="CZ51" s="10" t="e">
        <f t="shared" si="78"/>
        <v>#DIV/0!</v>
      </c>
    </row>
    <row r="52" spans="4:104" x14ac:dyDescent="0.15">
      <c r="D52" s="10">
        <v>37</v>
      </c>
      <c r="E52" s="10" t="e">
        <f t="shared" si="21"/>
        <v>#VALUE!</v>
      </c>
      <c r="F52" s="10" t="e">
        <f t="shared" si="1"/>
        <v>#VALUE!</v>
      </c>
      <c r="G52" s="10" t="e">
        <f t="shared" si="2"/>
        <v>#VALUE!</v>
      </c>
      <c r="H52" s="10" t="e">
        <f t="shared" si="22"/>
        <v>#VALUE!</v>
      </c>
      <c r="I52" s="10" t="e">
        <f t="shared" si="3"/>
        <v>#VALUE!</v>
      </c>
      <c r="J52" s="10" t="e">
        <f t="shared" si="23"/>
        <v>#VALUE!</v>
      </c>
      <c r="K52" s="10" t="e">
        <f t="shared" si="4"/>
        <v>#VALUE!</v>
      </c>
      <c r="L52" s="10" t="e">
        <f t="shared" si="5"/>
        <v>#VALUE!</v>
      </c>
      <c r="M52" s="10" t="e">
        <f t="shared" si="24"/>
        <v>#VALUE!</v>
      </c>
      <c r="O52" s="10" t="e">
        <f t="shared" si="25"/>
        <v>#VALUE!</v>
      </c>
      <c r="P52" s="10" t="e">
        <f t="shared" si="6"/>
        <v>#VALUE!</v>
      </c>
      <c r="Q52" s="10" t="e">
        <f t="shared" si="7"/>
        <v>#VALUE!</v>
      </c>
      <c r="R52" s="10" t="e">
        <f t="shared" si="26"/>
        <v>#VALUE!</v>
      </c>
      <c r="S52" s="10" t="e">
        <f t="shared" si="27"/>
        <v>#VALUE!</v>
      </c>
      <c r="T52" s="10" t="e">
        <f t="shared" si="62"/>
        <v>#VALUE!</v>
      </c>
      <c r="U52" s="10" t="e">
        <f t="shared" si="63"/>
        <v>#VALUE!</v>
      </c>
      <c r="V52" s="10" t="e">
        <f t="shared" si="8"/>
        <v>#VALUE!</v>
      </c>
      <c r="W52" s="10" t="e">
        <f t="shared" si="28"/>
        <v>#VALUE!</v>
      </c>
      <c r="Y52" s="10" t="e">
        <f t="shared" si="29"/>
        <v>#VALUE!</v>
      </c>
      <c r="Z52" s="11" t="e">
        <f t="shared" si="30"/>
        <v>#VALUE!</v>
      </c>
      <c r="AA52" s="10" t="e">
        <f t="shared" si="9"/>
        <v>#VALUE!</v>
      </c>
      <c r="AB52" s="10" t="e">
        <f t="shared" si="31"/>
        <v>#VALUE!</v>
      </c>
      <c r="AC52" s="10" t="e">
        <f t="shared" si="32"/>
        <v>#VALUE!</v>
      </c>
      <c r="AD52" s="10" t="e">
        <f t="shared" si="64"/>
        <v>#VALUE!</v>
      </c>
      <c r="AE52" s="10" t="e">
        <f t="shared" si="65"/>
        <v>#VALUE!</v>
      </c>
      <c r="AF52" s="10" t="e">
        <f t="shared" si="10"/>
        <v>#VALUE!</v>
      </c>
      <c r="AG52" s="10" t="e">
        <f t="shared" si="33"/>
        <v>#VALUE!</v>
      </c>
      <c r="AI52" s="13"/>
      <c r="AK52" s="10" t="e">
        <f t="shared" si="34"/>
        <v>#VALUE!</v>
      </c>
      <c r="AL52" s="10" t="e">
        <f t="shared" si="66"/>
        <v>#VALUE!</v>
      </c>
      <c r="AM52" s="10" t="e">
        <f t="shared" si="11"/>
        <v>#VALUE!</v>
      </c>
      <c r="AN52" s="10" t="e">
        <f t="shared" si="35"/>
        <v>#VALUE!</v>
      </c>
      <c r="AO52" s="10" t="e">
        <f t="shared" si="36"/>
        <v>#VALUE!</v>
      </c>
      <c r="AP52" s="10" t="e">
        <f t="shared" si="37"/>
        <v>#VALUE!</v>
      </c>
      <c r="AQ52" s="10" t="e">
        <f t="shared" si="67"/>
        <v>#VALUE!</v>
      </c>
      <c r="AR52" s="10" t="e">
        <f t="shared" si="12"/>
        <v>#VALUE!</v>
      </c>
      <c r="AS52" s="10" t="e">
        <f t="shared" si="68"/>
        <v>#VALUE!</v>
      </c>
      <c r="AU52" s="10" t="e">
        <f t="shared" si="38"/>
        <v>#VALUE!</v>
      </c>
      <c r="AV52" s="10" t="e">
        <f t="shared" si="69"/>
        <v>#VALUE!</v>
      </c>
      <c r="AW52" s="10" t="e">
        <f t="shared" si="13"/>
        <v>#VALUE!</v>
      </c>
      <c r="AX52" s="10" t="e">
        <f t="shared" si="39"/>
        <v>#VALUE!</v>
      </c>
      <c r="AY52" s="10" t="e">
        <f t="shared" si="40"/>
        <v>#VALUE!</v>
      </c>
      <c r="AZ52" s="10" t="e">
        <f t="shared" si="41"/>
        <v>#VALUE!</v>
      </c>
      <c r="BA52" s="10" t="e">
        <f t="shared" si="70"/>
        <v>#VALUE!</v>
      </c>
      <c r="BB52" s="10" t="e">
        <f t="shared" si="14"/>
        <v>#VALUE!</v>
      </c>
      <c r="BC52" s="10" t="e">
        <f t="shared" si="71"/>
        <v>#VALUE!</v>
      </c>
      <c r="BE52" s="10" t="e">
        <f t="shared" si="42"/>
        <v>#VALUE!</v>
      </c>
      <c r="BF52" s="10" t="e">
        <f t="shared" si="72"/>
        <v>#VALUE!</v>
      </c>
      <c r="BG52" s="10" t="e">
        <f t="shared" si="15"/>
        <v>#VALUE!</v>
      </c>
      <c r="BH52" s="10" t="e">
        <f t="shared" si="43"/>
        <v>#VALUE!</v>
      </c>
      <c r="BI52" s="10" t="e">
        <f t="shared" si="44"/>
        <v>#VALUE!</v>
      </c>
      <c r="BJ52" s="10" t="e">
        <f t="shared" si="45"/>
        <v>#VALUE!</v>
      </c>
      <c r="BK52" s="10" t="e">
        <f t="shared" si="73"/>
        <v>#VALUE!</v>
      </c>
      <c r="BL52" s="10" t="e">
        <f t="shared" si="16"/>
        <v>#VALUE!</v>
      </c>
      <c r="BM52" s="10" t="e">
        <f t="shared" si="74"/>
        <v>#VALUE!</v>
      </c>
      <c r="BP52" s="10" t="e">
        <f t="shared" si="46"/>
        <v>#VALUE!</v>
      </c>
      <c r="BQ52" s="10" t="e">
        <f t="shared" si="47"/>
        <v>#VALUE!</v>
      </c>
      <c r="BR52" s="10" t="e">
        <f t="shared" si="48"/>
        <v>#VALUE!</v>
      </c>
      <c r="BS52" s="10" t="e">
        <f t="shared" si="49"/>
        <v>#VALUE!</v>
      </c>
      <c r="BT52" s="10" t="e">
        <f t="shared" si="50"/>
        <v>#VALUE!</v>
      </c>
      <c r="BU52" s="10" t="e">
        <f t="shared" si="51"/>
        <v>#VALUE!</v>
      </c>
      <c r="BW52" s="10" t="e">
        <f t="shared" si="52"/>
        <v>#VALUE!</v>
      </c>
      <c r="BX52" s="10" t="e">
        <f t="shared" si="53"/>
        <v>#VALUE!</v>
      </c>
      <c r="BY52" s="10" t="e">
        <f t="shared" si="54"/>
        <v>#VALUE!</v>
      </c>
      <c r="BZ52" s="10" t="e">
        <f t="shared" si="55"/>
        <v>#VALUE!</v>
      </c>
      <c r="CA52" s="10" t="e">
        <f t="shared" si="56"/>
        <v>#VALUE!</v>
      </c>
      <c r="CB52" s="10" t="e">
        <f t="shared" si="57"/>
        <v>#VALUE!</v>
      </c>
      <c r="CD52" s="10" t="e">
        <f>MATCH(INDEX($BP$12:$BU$12,1,MATCH(BP52,$BP$15:$BU$15,0)),结果汇总!$AI$10:$AI$13,0)</f>
        <v>#VALUE!</v>
      </c>
      <c r="CE52" s="10" t="e">
        <f>MATCH(INDEX($BP$12:$BU$12,1,MATCH(BQ52,$BP$15:$BU$15,0)),结果汇总!$AI$10:$AI$13,0)</f>
        <v>#VALUE!</v>
      </c>
      <c r="CF52" s="10" t="e">
        <f>MATCH(INDEX($BP$12:$BU$12,1,MATCH(BR52,$BP$15:$BU$15,0)),结果汇总!$AI$10:$AI$13,0)</f>
        <v>#VALUE!</v>
      </c>
      <c r="CG52" s="10" t="e">
        <f>MATCH(INDEX($BP$12:$BU$12,1,MATCH(BS52,$BP$15:$BU$15,0)),结果汇总!$AI$10:$AI$13,0)</f>
        <v>#VALUE!</v>
      </c>
      <c r="CH52" s="10" t="e">
        <f>MATCH(INDEX($BP$12:$BU$12,1,MATCH(BT52,$BP$15:$BU$15,0)),结果汇总!$AI$10:$AI$13,0)</f>
        <v>#VALUE!</v>
      </c>
      <c r="CI52" s="10" t="e">
        <f>MATCH(INDEX($BP$12:$BU$12,1,MATCH(BU52,$BP$15:$BU$15,0)),结果汇总!$AI$10:$AI$13,0)</f>
        <v>#VALUE!</v>
      </c>
      <c r="CK52" s="10">
        <f t="shared" si="75"/>
        <v>0</v>
      </c>
      <c r="CL52" s="10">
        <f t="shared" si="75"/>
        <v>0</v>
      </c>
      <c r="CM52" s="10">
        <f t="shared" si="75"/>
        <v>0</v>
      </c>
      <c r="CN52" s="10">
        <f t="shared" si="75"/>
        <v>0</v>
      </c>
      <c r="CO52" s="10" t="e">
        <f t="shared" si="76"/>
        <v>#DIV/0!</v>
      </c>
      <c r="CP52" s="10" t="e">
        <f t="shared" si="76"/>
        <v>#DIV/0!</v>
      </c>
      <c r="CQ52" s="10" t="e">
        <f t="shared" si="76"/>
        <v>#DIV/0!</v>
      </c>
      <c r="CR52" s="10" t="e">
        <f t="shared" si="76"/>
        <v>#DIV/0!</v>
      </c>
      <c r="CS52" s="10">
        <f t="shared" si="77"/>
        <v>0</v>
      </c>
      <c r="CT52" s="10">
        <f t="shared" si="77"/>
        <v>0</v>
      </c>
      <c r="CU52" s="10">
        <f t="shared" si="77"/>
        <v>0</v>
      </c>
      <c r="CV52" s="10">
        <f t="shared" si="77"/>
        <v>0</v>
      </c>
      <c r="CW52" s="10" t="e">
        <f t="shared" si="78"/>
        <v>#DIV/0!</v>
      </c>
      <c r="CX52" s="10" t="e">
        <f t="shared" si="78"/>
        <v>#DIV/0!</v>
      </c>
      <c r="CY52" s="10" t="e">
        <f t="shared" si="78"/>
        <v>#DIV/0!</v>
      </c>
      <c r="CZ52" s="10" t="e">
        <f t="shared" si="78"/>
        <v>#DIV/0!</v>
      </c>
    </row>
    <row r="53" spans="4:104" x14ac:dyDescent="0.15">
      <c r="D53" s="10">
        <v>38</v>
      </c>
      <c r="E53" s="10" t="e">
        <f t="shared" si="21"/>
        <v>#VALUE!</v>
      </c>
      <c r="F53" s="10" t="e">
        <f t="shared" si="1"/>
        <v>#VALUE!</v>
      </c>
      <c r="G53" s="10" t="e">
        <f t="shared" si="2"/>
        <v>#VALUE!</v>
      </c>
      <c r="H53" s="10" t="e">
        <f t="shared" si="22"/>
        <v>#VALUE!</v>
      </c>
      <c r="I53" s="10" t="e">
        <f t="shared" si="3"/>
        <v>#VALUE!</v>
      </c>
      <c r="J53" s="10" t="e">
        <f t="shared" si="23"/>
        <v>#VALUE!</v>
      </c>
      <c r="K53" s="10" t="e">
        <f t="shared" si="4"/>
        <v>#VALUE!</v>
      </c>
      <c r="L53" s="10" t="e">
        <f t="shared" si="5"/>
        <v>#VALUE!</v>
      </c>
      <c r="M53" s="10" t="e">
        <f t="shared" si="24"/>
        <v>#VALUE!</v>
      </c>
      <c r="O53" s="10" t="e">
        <f t="shared" si="25"/>
        <v>#VALUE!</v>
      </c>
      <c r="P53" s="10" t="e">
        <f t="shared" si="6"/>
        <v>#VALUE!</v>
      </c>
      <c r="Q53" s="10" t="e">
        <f t="shared" si="7"/>
        <v>#VALUE!</v>
      </c>
      <c r="R53" s="10" t="e">
        <f t="shared" si="26"/>
        <v>#VALUE!</v>
      </c>
      <c r="S53" s="10" t="e">
        <f t="shared" si="27"/>
        <v>#VALUE!</v>
      </c>
      <c r="T53" s="10" t="e">
        <f t="shared" si="62"/>
        <v>#VALUE!</v>
      </c>
      <c r="U53" s="10" t="e">
        <f t="shared" si="63"/>
        <v>#VALUE!</v>
      </c>
      <c r="V53" s="10" t="e">
        <f t="shared" si="8"/>
        <v>#VALUE!</v>
      </c>
      <c r="W53" s="10" t="e">
        <f t="shared" si="28"/>
        <v>#VALUE!</v>
      </c>
      <c r="Y53" s="10" t="e">
        <f t="shared" si="29"/>
        <v>#VALUE!</v>
      </c>
      <c r="Z53" s="11" t="e">
        <f t="shared" si="30"/>
        <v>#VALUE!</v>
      </c>
      <c r="AA53" s="10" t="e">
        <f t="shared" si="9"/>
        <v>#VALUE!</v>
      </c>
      <c r="AB53" s="10" t="e">
        <f t="shared" si="31"/>
        <v>#VALUE!</v>
      </c>
      <c r="AC53" s="10" t="e">
        <f t="shared" si="32"/>
        <v>#VALUE!</v>
      </c>
      <c r="AD53" s="10" t="e">
        <f t="shared" si="64"/>
        <v>#VALUE!</v>
      </c>
      <c r="AE53" s="10" t="e">
        <f t="shared" si="65"/>
        <v>#VALUE!</v>
      </c>
      <c r="AF53" s="10" t="e">
        <f t="shared" si="10"/>
        <v>#VALUE!</v>
      </c>
      <c r="AG53" s="10" t="e">
        <f t="shared" si="33"/>
        <v>#VALUE!</v>
      </c>
      <c r="AI53" s="13"/>
      <c r="AK53" s="10" t="e">
        <f t="shared" si="34"/>
        <v>#VALUE!</v>
      </c>
      <c r="AL53" s="10" t="e">
        <f t="shared" si="66"/>
        <v>#VALUE!</v>
      </c>
      <c r="AM53" s="10" t="e">
        <f t="shared" si="11"/>
        <v>#VALUE!</v>
      </c>
      <c r="AN53" s="10" t="e">
        <f t="shared" si="35"/>
        <v>#VALUE!</v>
      </c>
      <c r="AO53" s="10" t="e">
        <f t="shared" si="36"/>
        <v>#VALUE!</v>
      </c>
      <c r="AP53" s="10" t="e">
        <f t="shared" si="37"/>
        <v>#VALUE!</v>
      </c>
      <c r="AQ53" s="10" t="e">
        <f t="shared" si="67"/>
        <v>#VALUE!</v>
      </c>
      <c r="AR53" s="10" t="e">
        <f t="shared" si="12"/>
        <v>#VALUE!</v>
      </c>
      <c r="AS53" s="10" t="e">
        <f t="shared" si="68"/>
        <v>#VALUE!</v>
      </c>
      <c r="AU53" s="10" t="e">
        <f t="shared" si="38"/>
        <v>#VALUE!</v>
      </c>
      <c r="AV53" s="10" t="e">
        <f t="shared" si="69"/>
        <v>#VALUE!</v>
      </c>
      <c r="AW53" s="10" t="e">
        <f t="shared" si="13"/>
        <v>#VALUE!</v>
      </c>
      <c r="AX53" s="10" t="e">
        <f t="shared" si="39"/>
        <v>#VALUE!</v>
      </c>
      <c r="AY53" s="10" t="e">
        <f t="shared" si="40"/>
        <v>#VALUE!</v>
      </c>
      <c r="AZ53" s="10" t="e">
        <f t="shared" si="41"/>
        <v>#VALUE!</v>
      </c>
      <c r="BA53" s="10" t="e">
        <f t="shared" si="70"/>
        <v>#VALUE!</v>
      </c>
      <c r="BB53" s="10" t="e">
        <f t="shared" si="14"/>
        <v>#VALUE!</v>
      </c>
      <c r="BC53" s="10" t="e">
        <f t="shared" si="71"/>
        <v>#VALUE!</v>
      </c>
      <c r="BE53" s="10" t="e">
        <f t="shared" si="42"/>
        <v>#VALUE!</v>
      </c>
      <c r="BF53" s="10" t="e">
        <f t="shared" si="72"/>
        <v>#VALUE!</v>
      </c>
      <c r="BG53" s="10" t="e">
        <f t="shared" si="15"/>
        <v>#VALUE!</v>
      </c>
      <c r="BH53" s="10" t="e">
        <f t="shared" si="43"/>
        <v>#VALUE!</v>
      </c>
      <c r="BI53" s="10" t="e">
        <f t="shared" si="44"/>
        <v>#VALUE!</v>
      </c>
      <c r="BJ53" s="10" t="e">
        <f t="shared" si="45"/>
        <v>#VALUE!</v>
      </c>
      <c r="BK53" s="10" t="e">
        <f t="shared" si="73"/>
        <v>#VALUE!</v>
      </c>
      <c r="BL53" s="10" t="e">
        <f t="shared" si="16"/>
        <v>#VALUE!</v>
      </c>
      <c r="BM53" s="10" t="e">
        <f t="shared" si="74"/>
        <v>#VALUE!</v>
      </c>
      <c r="BP53" s="10" t="e">
        <f t="shared" si="46"/>
        <v>#VALUE!</v>
      </c>
      <c r="BQ53" s="10" t="e">
        <f t="shared" si="47"/>
        <v>#VALUE!</v>
      </c>
      <c r="BR53" s="10" t="e">
        <f t="shared" si="48"/>
        <v>#VALUE!</v>
      </c>
      <c r="BS53" s="10" t="e">
        <f t="shared" si="49"/>
        <v>#VALUE!</v>
      </c>
      <c r="BT53" s="10" t="e">
        <f t="shared" si="50"/>
        <v>#VALUE!</v>
      </c>
      <c r="BU53" s="10" t="e">
        <f t="shared" si="51"/>
        <v>#VALUE!</v>
      </c>
      <c r="BW53" s="10" t="e">
        <f t="shared" si="52"/>
        <v>#VALUE!</v>
      </c>
      <c r="BX53" s="10" t="e">
        <f t="shared" si="53"/>
        <v>#VALUE!</v>
      </c>
      <c r="BY53" s="10" t="e">
        <f t="shared" si="54"/>
        <v>#VALUE!</v>
      </c>
      <c r="BZ53" s="10" t="e">
        <f t="shared" si="55"/>
        <v>#VALUE!</v>
      </c>
      <c r="CA53" s="10" t="e">
        <f t="shared" si="56"/>
        <v>#VALUE!</v>
      </c>
      <c r="CB53" s="10" t="e">
        <f t="shared" si="57"/>
        <v>#VALUE!</v>
      </c>
      <c r="CD53" s="10" t="e">
        <f>MATCH(INDEX($BP$12:$BU$12,1,MATCH(BP53,$BP$15:$BU$15,0)),结果汇总!$AI$10:$AI$13,0)</f>
        <v>#VALUE!</v>
      </c>
      <c r="CE53" s="10" t="e">
        <f>MATCH(INDEX($BP$12:$BU$12,1,MATCH(BQ53,$BP$15:$BU$15,0)),结果汇总!$AI$10:$AI$13,0)</f>
        <v>#VALUE!</v>
      </c>
      <c r="CF53" s="10" t="e">
        <f>MATCH(INDEX($BP$12:$BU$12,1,MATCH(BR53,$BP$15:$BU$15,0)),结果汇总!$AI$10:$AI$13,0)</f>
        <v>#VALUE!</v>
      </c>
      <c r="CG53" s="10" t="e">
        <f>MATCH(INDEX($BP$12:$BU$12,1,MATCH(BS53,$BP$15:$BU$15,0)),结果汇总!$AI$10:$AI$13,0)</f>
        <v>#VALUE!</v>
      </c>
      <c r="CH53" s="10" t="e">
        <f>MATCH(INDEX($BP$12:$BU$12,1,MATCH(BT53,$BP$15:$BU$15,0)),结果汇总!$AI$10:$AI$13,0)</f>
        <v>#VALUE!</v>
      </c>
      <c r="CI53" s="10" t="e">
        <f>MATCH(INDEX($BP$12:$BU$12,1,MATCH(BU53,$BP$15:$BU$15,0)),结果汇总!$AI$10:$AI$13,0)</f>
        <v>#VALUE!</v>
      </c>
      <c r="CK53" s="10">
        <f t="shared" si="75"/>
        <v>0</v>
      </c>
      <c r="CL53" s="10">
        <f t="shared" si="75"/>
        <v>0</v>
      </c>
      <c r="CM53" s="10">
        <f t="shared" si="75"/>
        <v>0</v>
      </c>
      <c r="CN53" s="10">
        <f t="shared" si="75"/>
        <v>0</v>
      </c>
      <c r="CO53" s="10" t="e">
        <f t="shared" si="76"/>
        <v>#DIV/0!</v>
      </c>
      <c r="CP53" s="10" t="e">
        <f t="shared" si="76"/>
        <v>#DIV/0!</v>
      </c>
      <c r="CQ53" s="10" t="e">
        <f t="shared" si="76"/>
        <v>#DIV/0!</v>
      </c>
      <c r="CR53" s="10" t="e">
        <f t="shared" si="76"/>
        <v>#DIV/0!</v>
      </c>
      <c r="CS53" s="10">
        <f t="shared" si="77"/>
        <v>0</v>
      </c>
      <c r="CT53" s="10">
        <f t="shared" si="77"/>
        <v>0</v>
      </c>
      <c r="CU53" s="10">
        <f t="shared" si="77"/>
        <v>0</v>
      </c>
      <c r="CV53" s="10">
        <f t="shared" si="77"/>
        <v>0</v>
      </c>
      <c r="CW53" s="10" t="e">
        <f t="shared" si="78"/>
        <v>#DIV/0!</v>
      </c>
      <c r="CX53" s="10" t="e">
        <f t="shared" si="78"/>
        <v>#DIV/0!</v>
      </c>
      <c r="CY53" s="10" t="e">
        <f t="shared" si="78"/>
        <v>#DIV/0!</v>
      </c>
      <c r="CZ53" s="10" t="e">
        <f t="shared" si="78"/>
        <v>#DIV/0!</v>
      </c>
    </row>
    <row r="54" spans="4:104" x14ac:dyDescent="0.15">
      <c r="D54" s="10">
        <v>39</v>
      </c>
      <c r="E54" s="10" t="e">
        <f t="shared" si="21"/>
        <v>#VALUE!</v>
      </c>
      <c r="F54" s="10" t="e">
        <f t="shared" si="1"/>
        <v>#VALUE!</v>
      </c>
      <c r="G54" s="10" t="e">
        <f t="shared" si="2"/>
        <v>#VALUE!</v>
      </c>
      <c r="H54" s="10" t="e">
        <f t="shared" si="22"/>
        <v>#VALUE!</v>
      </c>
      <c r="I54" s="10" t="e">
        <f t="shared" si="3"/>
        <v>#VALUE!</v>
      </c>
      <c r="J54" s="10" t="e">
        <f t="shared" si="23"/>
        <v>#VALUE!</v>
      </c>
      <c r="K54" s="10" t="e">
        <f t="shared" si="4"/>
        <v>#VALUE!</v>
      </c>
      <c r="L54" s="10" t="e">
        <f t="shared" si="5"/>
        <v>#VALUE!</v>
      </c>
      <c r="M54" s="10" t="e">
        <f t="shared" si="24"/>
        <v>#VALUE!</v>
      </c>
      <c r="O54" s="10" t="e">
        <f t="shared" si="25"/>
        <v>#VALUE!</v>
      </c>
      <c r="P54" s="10" t="e">
        <f t="shared" si="6"/>
        <v>#VALUE!</v>
      </c>
      <c r="Q54" s="10" t="e">
        <f t="shared" si="7"/>
        <v>#VALUE!</v>
      </c>
      <c r="R54" s="10" t="e">
        <f t="shared" si="26"/>
        <v>#VALUE!</v>
      </c>
      <c r="S54" s="10" t="e">
        <f t="shared" si="27"/>
        <v>#VALUE!</v>
      </c>
      <c r="T54" s="10" t="e">
        <f t="shared" si="62"/>
        <v>#VALUE!</v>
      </c>
      <c r="U54" s="10" t="e">
        <f t="shared" si="63"/>
        <v>#VALUE!</v>
      </c>
      <c r="V54" s="10" t="e">
        <f t="shared" si="8"/>
        <v>#VALUE!</v>
      </c>
      <c r="W54" s="10" t="e">
        <f t="shared" si="28"/>
        <v>#VALUE!</v>
      </c>
      <c r="Y54" s="10" t="e">
        <f t="shared" si="29"/>
        <v>#VALUE!</v>
      </c>
      <c r="Z54" s="11" t="e">
        <f t="shared" si="30"/>
        <v>#VALUE!</v>
      </c>
      <c r="AA54" s="10" t="e">
        <f t="shared" si="9"/>
        <v>#VALUE!</v>
      </c>
      <c r="AB54" s="10" t="e">
        <f t="shared" si="31"/>
        <v>#VALUE!</v>
      </c>
      <c r="AC54" s="10" t="e">
        <f t="shared" si="32"/>
        <v>#VALUE!</v>
      </c>
      <c r="AD54" s="10" t="e">
        <f t="shared" si="64"/>
        <v>#VALUE!</v>
      </c>
      <c r="AE54" s="10" t="e">
        <f t="shared" si="65"/>
        <v>#VALUE!</v>
      </c>
      <c r="AF54" s="10" t="e">
        <f t="shared" si="10"/>
        <v>#VALUE!</v>
      </c>
      <c r="AG54" s="10" t="e">
        <f t="shared" si="33"/>
        <v>#VALUE!</v>
      </c>
      <c r="AI54" s="13"/>
      <c r="AK54" s="10" t="e">
        <f t="shared" si="34"/>
        <v>#VALUE!</v>
      </c>
      <c r="AL54" s="10" t="e">
        <f t="shared" si="66"/>
        <v>#VALUE!</v>
      </c>
      <c r="AM54" s="10" t="e">
        <f t="shared" si="11"/>
        <v>#VALUE!</v>
      </c>
      <c r="AN54" s="10" t="e">
        <f t="shared" si="35"/>
        <v>#VALUE!</v>
      </c>
      <c r="AO54" s="10" t="e">
        <f t="shared" si="36"/>
        <v>#VALUE!</v>
      </c>
      <c r="AP54" s="10" t="e">
        <f t="shared" si="37"/>
        <v>#VALUE!</v>
      </c>
      <c r="AQ54" s="10" t="e">
        <f t="shared" si="67"/>
        <v>#VALUE!</v>
      </c>
      <c r="AR54" s="10" t="e">
        <f t="shared" si="12"/>
        <v>#VALUE!</v>
      </c>
      <c r="AS54" s="10" t="e">
        <f t="shared" si="68"/>
        <v>#VALUE!</v>
      </c>
      <c r="AU54" s="10" t="e">
        <f t="shared" si="38"/>
        <v>#VALUE!</v>
      </c>
      <c r="AV54" s="10" t="e">
        <f t="shared" si="69"/>
        <v>#VALUE!</v>
      </c>
      <c r="AW54" s="10" t="e">
        <f t="shared" si="13"/>
        <v>#VALUE!</v>
      </c>
      <c r="AX54" s="10" t="e">
        <f t="shared" si="39"/>
        <v>#VALUE!</v>
      </c>
      <c r="AY54" s="10" t="e">
        <f t="shared" si="40"/>
        <v>#VALUE!</v>
      </c>
      <c r="AZ54" s="10" t="e">
        <f t="shared" si="41"/>
        <v>#VALUE!</v>
      </c>
      <c r="BA54" s="10" t="e">
        <f t="shared" si="70"/>
        <v>#VALUE!</v>
      </c>
      <c r="BB54" s="10" t="e">
        <f t="shared" si="14"/>
        <v>#VALUE!</v>
      </c>
      <c r="BC54" s="10" t="e">
        <f t="shared" si="71"/>
        <v>#VALUE!</v>
      </c>
      <c r="BE54" s="10" t="e">
        <f t="shared" si="42"/>
        <v>#VALUE!</v>
      </c>
      <c r="BF54" s="10" t="e">
        <f t="shared" si="72"/>
        <v>#VALUE!</v>
      </c>
      <c r="BG54" s="10" t="e">
        <f t="shared" si="15"/>
        <v>#VALUE!</v>
      </c>
      <c r="BH54" s="10" t="e">
        <f t="shared" si="43"/>
        <v>#VALUE!</v>
      </c>
      <c r="BI54" s="10" t="e">
        <f t="shared" si="44"/>
        <v>#VALUE!</v>
      </c>
      <c r="BJ54" s="10" t="e">
        <f t="shared" si="45"/>
        <v>#VALUE!</v>
      </c>
      <c r="BK54" s="10" t="e">
        <f t="shared" si="73"/>
        <v>#VALUE!</v>
      </c>
      <c r="BL54" s="10" t="e">
        <f t="shared" si="16"/>
        <v>#VALUE!</v>
      </c>
      <c r="BM54" s="10" t="e">
        <f t="shared" si="74"/>
        <v>#VALUE!</v>
      </c>
      <c r="BP54" s="10" t="e">
        <f t="shared" si="46"/>
        <v>#VALUE!</v>
      </c>
      <c r="BQ54" s="10" t="e">
        <f t="shared" si="47"/>
        <v>#VALUE!</v>
      </c>
      <c r="BR54" s="10" t="e">
        <f t="shared" si="48"/>
        <v>#VALUE!</v>
      </c>
      <c r="BS54" s="10" t="e">
        <f t="shared" si="49"/>
        <v>#VALUE!</v>
      </c>
      <c r="BT54" s="10" t="e">
        <f t="shared" si="50"/>
        <v>#VALUE!</v>
      </c>
      <c r="BU54" s="10" t="e">
        <f t="shared" si="51"/>
        <v>#VALUE!</v>
      </c>
      <c r="BW54" s="10" t="e">
        <f t="shared" si="52"/>
        <v>#VALUE!</v>
      </c>
      <c r="BX54" s="10" t="e">
        <f t="shared" si="53"/>
        <v>#VALUE!</v>
      </c>
      <c r="BY54" s="10" t="e">
        <f t="shared" si="54"/>
        <v>#VALUE!</v>
      </c>
      <c r="BZ54" s="10" t="e">
        <f t="shared" si="55"/>
        <v>#VALUE!</v>
      </c>
      <c r="CA54" s="10" t="e">
        <f t="shared" si="56"/>
        <v>#VALUE!</v>
      </c>
      <c r="CB54" s="10" t="e">
        <f t="shared" si="57"/>
        <v>#VALUE!</v>
      </c>
      <c r="CD54" s="10" t="e">
        <f>MATCH(INDEX($BP$12:$BU$12,1,MATCH(BP54,$BP$15:$BU$15,0)),结果汇总!$AI$10:$AI$13,0)</f>
        <v>#VALUE!</v>
      </c>
      <c r="CE54" s="10" t="e">
        <f>MATCH(INDEX($BP$12:$BU$12,1,MATCH(BQ54,$BP$15:$BU$15,0)),结果汇总!$AI$10:$AI$13,0)</f>
        <v>#VALUE!</v>
      </c>
      <c r="CF54" s="10" t="e">
        <f>MATCH(INDEX($BP$12:$BU$12,1,MATCH(BR54,$BP$15:$BU$15,0)),结果汇总!$AI$10:$AI$13,0)</f>
        <v>#VALUE!</v>
      </c>
      <c r="CG54" s="10" t="e">
        <f>MATCH(INDEX($BP$12:$BU$12,1,MATCH(BS54,$BP$15:$BU$15,0)),结果汇总!$AI$10:$AI$13,0)</f>
        <v>#VALUE!</v>
      </c>
      <c r="CH54" s="10" t="e">
        <f>MATCH(INDEX($BP$12:$BU$12,1,MATCH(BT54,$BP$15:$BU$15,0)),结果汇总!$AI$10:$AI$13,0)</f>
        <v>#VALUE!</v>
      </c>
      <c r="CI54" s="10" t="e">
        <f>MATCH(INDEX($BP$12:$BU$12,1,MATCH(BU54,$BP$15:$BU$15,0)),结果汇总!$AI$10:$AI$13,0)</f>
        <v>#VALUE!</v>
      </c>
      <c r="CK54" s="10">
        <f t="shared" si="75"/>
        <v>0</v>
      </c>
      <c r="CL54" s="10">
        <f t="shared" si="75"/>
        <v>0</v>
      </c>
      <c r="CM54" s="10">
        <f t="shared" si="75"/>
        <v>0</v>
      </c>
      <c r="CN54" s="10">
        <f t="shared" si="75"/>
        <v>0</v>
      </c>
      <c r="CO54" s="10" t="e">
        <f t="shared" si="76"/>
        <v>#DIV/0!</v>
      </c>
      <c r="CP54" s="10" t="e">
        <f t="shared" si="76"/>
        <v>#DIV/0!</v>
      </c>
      <c r="CQ54" s="10" t="e">
        <f t="shared" si="76"/>
        <v>#DIV/0!</v>
      </c>
      <c r="CR54" s="10" t="e">
        <f t="shared" si="76"/>
        <v>#DIV/0!</v>
      </c>
      <c r="CS54" s="10">
        <f t="shared" si="77"/>
        <v>0</v>
      </c>
      <c r="CT54" s="10">
        <f t="shared" si="77"/>
        <v>0</v>
      </c>
      <c r="CU54" s="10">
        <f t="shared" si="77"/>
        <v>0</v>
      </c>
      <c r="CV54" s="10">
        <f t="shared" si="77"/>
        <v>0</v>
      </c>
      <c r="CW54" s="10" t="e">
        <f t="shared" si="78"/>
        <v>#DIV/0!</v>
      </c>
      <c r="CX54" s="10" t="e">
        <f t="shared" si="78"/>
        <v>#DIV/0!</v>
      </c>
      <c r="CY54" s="10" t="e">
        <f t="shared" si="78"/>
        <v>#DIV/0!</v>
      </c>
      <c r="CZ54" s="10" t="e">
        <f t="shared" si="78"/>
        <v>#DIV/0!</v>
      </c>
    </row>
    <row r="55" spans="4:104" x14ac:dyDescent="0.15">
      <c r="D55" s="10">
        <v>40</v>
      </c>
      <c r="E55" s="10" t="e">
        <f t="shared" si="21"/>
        <v>#VALUE!</v>
      </c>
      <c r="F55" s="10" t="e">
        <f t="shared" si="1"/>
        <v>#VALUE!</v>
      </c>
      <c r="G55" s="10" t="e">
        <f t="shared" si="2"/>
        <v>#VALUE!</v>
      </c>
      <c r="H55" s="10" t="e">
        <f t="shared" si="22"/>
        <v>#VALUE!</v>
      </c>
      <c r="I55" s="10" t="e">
        <f t="shared" si="3"/>
        <v>#VALUE!</v>
      </c>
      <c r="J55" s="10" t="e">
        <f t="shared" si="23"/>
        <v>#VALUE!</v>
      </c>
      <c r="K55" s="10" t="e">
        <f t="shared" si="4"/>
        <v>#VALUE!</v>
      </c>
      <c r="L55" s="10" t="e">
        <f t="shared" si="5"/>
        <v>#VALUE!</v>
      </c>
      <c r="M55" s="10" t="e">
        <f t="shared" si="24"/>
        <v>#VALUE!</v>
      </c>
      <c r="O55" s="10" t="e">
        <f t="shared" si="25"/>
        <v>#VALUE!</v>
      </c>
      <c r="P55" s="10" t="e">
        <f t="shared" si="6"/>
        <v>#VALUE!</v>
      </c>
      <c r="Q55" s="10" t="e">
        <f t="shared" si="7"/>
        <v>#VALUE!</v>
      </c>
      <c r="R55" s="10" t="e">
        <f t="shared" si="26"/>
        <v>#VALUE!</v>
      </c>
      <c r="S55" s="10" t="e">
        <f t="shared" si="27"/>
        <v>#VALUE!</v>
      </c>
      <c r="T55" s="10" t="e">
        <f t="shared" si="62"/>
        <v>#VALUE!</v>
      </c>
      <c r="U55" s="10" t="e">
        <f t="shared" si="63"/>
        <v>#VALUE!</v>
      </c>
      <c r="V55" s="10" t="e">
        <f t="shared" si="8"/>
        <v>#VALUE!</v>
      </c>
      <c r="W55" s="10" t="e">
        <f t="shared" si="28"/>
        <v>#VALUE!</v>
      </c>
      <c r="Y55" s="10" t="e">
        <f t="shared" si="29"/>
        <v>#VALUE!</v>
      </c>
      <c r="Z55" s="11" t="e">
        <f t="shared" si="30"/>
        <v>#VALUE!</v>
      </c>
      <c r="AA55" s="10" t="e">
        <f t="shared" si="9"/>
        <v>#VALUE!</v>
      </c>
      <c r="AB55" s="10" t="e">
        <f t="shared" si="31"/>
        <v>#VALUE!</v>
      </c>
      <c r="AC55" s="10" t="e">
        <f t="shared" si="32"/>
        <v>#VALUE!</v>
      </c>
      <c r="AD55" s="10" t="e">
        <f t="shared" si="64"/>
        <v>#VALUE!</v>
      </c>
      <c r="AE55" s="10" t="e">
        <f t="shared" si="65"/>
        <v>#VALUE!</v>
      </c>
      <c r="AF55" s="10" t="e">
        <f t="shared" si="10"/>
        <v>#VALUE!</v>
      </c>
      <c r="AG55" s="10" t="e">
        <f t="shared" si="33"/>
        <v>#VALUE!</v>
      </c>
      <c r="AI55" s="13"/>
      <c r="AK55" s="10" t="e">
        <f t="shared" si="34"/>
        <v>#VALUE!</v>
      </c>
      <c r="AL55" s="10" t="e">
        <f t="shared" si="66"/>
        <v>#VALUE!</v>
      </c>
      <c r="AM55" s="10" t="e">
        <f t="shared" si="11"/>
        <v>#VALUE!</v>
      </c>
      <c r="AN55" s="10" t="e">
        <f t="shared" si="35"/>
        <v>#VALUE!</v>
      </c>
      <c r="AO55" s="10" t="e">
        <f t="shared" si="36"/>
        <v>#VALUE!</v>
      </c>
      <c r="AP55" s="10" t="e">
        <f t="shared" si="37"/>
        <v>#VALUE!</v>
      </c>
      <c r="AQ55" s="10" t="e">
        <f t="shared" si="67"/>
        <v>#VALUE!</v>
      </c>
      <c r="AR55" s="10" t="e">
        <f t="shared" si="12"/>
        <v>#VALUE!</v>
      </c>
      <c r="AS55" s="10" t="e">
        <f t="shared" si="68"/>
        <v>#VALUE!</v>
      </c>
      <c r="AU55" s="10" t="e">
        <f t="shared" si="38"/>
        <v>#VALUE!</v>
      </c>
      <c r="AV55" s="10" t="e">
        <f t="shared" si="69"/>
        <v>#VALUE!</v>
      </c>
      <c r="AW55" s="10" t="e">
        <f t="shared" si="13"/>
        <v>#VALUE!</v>
      </c>
      <c r="AX55" s="10" t="e">
        <f t="shared" si="39"/>
        <v>#VALUE!</v>
      </c>
      <c r="AY55" s="10" t="e">
        <f t="shared" si="40"/>
        <v>#VALUE!</v>
      </c>
      <c r="AZ55" s="10" t="e">
        <f t="shared" si="41"/>
        <v>#VALUE!</v>
      </c>
      <c r="BA55" s="10" t="e">
        <f t="shared" si="70"/>
        <v>#VALUE!</v>
      </c>
      <c r="BB55" s="10" t="e">
        <f t="shared" si="14"/>
        <v>#VALUE!</v>
      </c>
      <c r="BC55" s="10" t="e">
        <f t="shared" si="71"/>
        <v>#VALUE!</v>
      </c>
      <c r="BE55" s="10" t="e">
        <f t="shared" si="42"/>
        <v>#VALUE!</v>
      </c>
      <c r="BF55" s="10" t="e">
        <f t="shared" si="72"/>
        <v>#VALUE!</v>
      </c>
      <c r="BG55" s="10" t="e">
        <f t="shared" si="15"/>
        <v>#VALUE!</v>
      </c>
      <c r="BH55" s="10" t="e">
        <f t="shared" si="43"/>
        <v>#VALUE!</v>
      </c>
      <c r="BI55" s="10" t="e">
        <f t="shared" si="44"/>
        <v>#VALUE!</v>
      </c>
      <c r="BJ55" s="10" t="e">
        <f t="shared" si="45"/>
        <v>#VALUE!</v>
      </c>
      <c r="BK55" s="10" t="e">
        <f t="shared" si="73"/>
        <v>#VALUE!</v>
      </c>
      <c r="BL55" s="10" t="e">
        <f t="shared" si="16"/>
        <v>#VALUE!</v>
      </c>
      <c r="BM55" s="10" t="e">
        <f t="shared" si="74"/>
        <v>#VALUE!</v>
      </c>
      <c r="BP55" s="10" t="e">
        <f t="shared" si="46"/>
        <v>#VALUE!</v>
      </c>
      <c r="BQ55" s="10" t="e">
        <f t="shared" si="47"/>
        <v>#VALUE!</v>
      </c>
      <c r="BR55" s="10" t="e">
        <f t="shared" si="48"/>
        <v>#VALUE!</v>
      </c>
      <c r="BS55" s="10" t="e">
        <f t="shared" si="49"/>
        <v>#VALUE!</v>
      </c>
      <c r="BT55" s="10" t="e">
        <f t="shared" si="50"/>
        <v>#VALUE!</v>
      </c>
      <c r="BU55" s="10" t="e">
        <f t="shared" si="51"/>
        <v>#VALUE!</v>
      </c>
      <c r="BW55" s="10" t="e">
        <f t="shared" si="52"/>
        <v>#VALUE!</v>
      </c>
      <c r="BX55" s="10" t="e">
        <f t="shared" si="53"/>
        <v>#VALUE!</v>
      </c>
      <c r="BY55" s="10" t="e">
        <f t="shared" si="54"/>
        <v>#VALUE!</v>
      </c>
      <c r="BZ55" s="10" t="e">
        <f t="shared" si="55"/>
        <v>#VALUE!</v>
      </c>
      <c r="CA55" s="10" t="e">
        <f t="shared" si="56"/>
        <v>#VALUE!</v>
      </c>
      <c r="CB55" s="10" t="e">
        <f t="shared" si="57"/>
        <v>#VALUE!</v>
      </c>
      <c r="CD55" s="10" t="e">
        <f>MATCH(INDEX($BP$12:$BU$12,1,MATCH(BP55,$BP$15:$BU$15,0)),结果汇总!$AI$10:$AI$13,0)</f>
        <v>#VALUE!</v>
      </c>
      <c r="CE55" s="10" t="e">
        <f>MATCH(INDEX($BP$12:$BU$12,1,MATCH(BQ55,$BP$15:$BU$15,0)),结果汇总!$AI$10:$AI$13,0)</f>
        <v>#VALUE!</v>
      </c>
      <c r="CF55" s="10" t="e">
        <f>MATCH(INDEX($BP$12:$BU$12,1,MATCH(BR55,$BP$15:$BU$15,0)),结果汇总!$AI$10:$AI$13,0)</f>
        <v>#VALUE!</v>
      </c>
      <c r="CG55" s="10" t="e">
        <f>MATCH(INDEX($BP$12:$BU$12,1,MATCH(BS55,$BP$15:$BU$15,0)),结果汇总!$AI$10:$AI$13,0)</f>
        <v>#VALUE!</v>
      </c>
      <c r="CH55" s="10" t="e">
        <f>MATCH(INDEX($BP$12:$BU$12,1,MATCH(BT55,$BP$15:$BU$15,0)),结果汇总!$AI$10:$AI$13,0)</f>
        <v>#VALUE!</v>
      </c>
      <c r="CI55" s="10" t="e">
        <f>MATCH(INDEX($BP$12:$BU$12,1,MATCH(BU55,$BP$15:$BU$15,0)),结果汇总!$AI$10:$AI$13,0)</f>
        <v>#VALUE!</v>
      </c>
      <c r="CK55" s="10">
        <f t="shared" si="75"/>
        <v>0</v>
      </c>
      <c r="CL55" s="10">
        <f t="shared" si="75"/>
        <v>0</v>
      </c>
      <c r="CM55" s="10">
        <f t="shared" si="75"/>
        <v>0</v>
      </c>
      <c r="CN55" s="10">
        <f t="shared" si="75"/>
        <v>0</v>
      </c>
      <c r="CO55" s="10" t="e">
        <f t="shared" si="76"/>
        <v>#DIV/0!</v>
      </c>
      <c r="CP55" s="10" t="e">
        <f t="shared" si="76"/>
        <v>#DIV/0!</v>
      </c>
      <c r="CQ55" s="10" t="e">
        <f t="shared" si="76"/>
        <v>#DIV/0!</v>
      </c>
      <c r="CR55" s="10" t="e">
        <f t="shared" si="76"/>
        <v>#DIV/0!</v>
      </c>
      <c r="CS55" s="10">
        <f t="shared" si="77"/>
        <v>0</v>
      </c>
      <c r="CT55" s="10">
        <f t="shared" si="77"/>
        <v>0</v>
      </c>
      <c r="CU55" s="10">
        <f t="shared" si="77"/>
        <v>0</v>
      </c>
      <c r="CV55" s="10">
        <f t="shared" si="77"/>
        <v>0</v>
      </c>
      <c r="CW55" s="10" t="e">
        <f t="shared" si="78"/>
        <v>#DIV/0!</v>
      </c>
      <c r="CX55" s="10" t="e">
        <f t="shared" si="78"/>
        <v>#DIV/0!</v>
      </c>
      <c r="CY55" s="10" t="e">
        <f t="shared" si="78"/>
        <v>#DIV/0!</v>
      </c>
      <c r="CZ55" s="10" t="e">
        <f t="shared" si="78"/>
        <v>#DIV/0!</v>
      </c>
    </row>
    <row r="56" spans="4:104" x14ac:dyDescent="0.15">
      <c r="D56" s="10">
        <v>41</v>
      </c>
      <c r="E56" s="10" t="e">
        <f t="shared" si="21"/>
        <v>#VALUE!</v>
      </c>
      <c r="F56" s="10" t="e">
        <f t="shared" si="1"/>
        <v>#VALUE!</v>
      </c>
      <c r="G56" s="10" t="e">
        <f t="shared" si="2"/>
        <v>#VALUE!</v>
      </c>
      <c r="H56" s="10" t="e">
        <f t="shared" si="22"/>
        <v>#VALUE!</v>
      </c>
      <c r="I56" s="10" t="e">
        <f t="shared" si="3"/>
        <v>#VALUE!</v>
      </c>
      <c r="J56" s="10" t="e">
        <f t="shared" si="23"/>
        <v>#VALUE!</v>
      </c>
      <c r="K56" s="10" t="e">
        <f t="shared" si="4"/>
        <v>#VALUE!</v>
      </c>
      <c r="L56" s="10" t="e">
        <f t="shared" si="5"/>
        <v>#VALUE!</v>
      </c>
      <c r="M56" s="10" t="e">
        <f t="shared" si="24"/>
        <v>#VALUE!</v>
      </c>
      <c r="O56" s="10" t="e">
        <f t="shared" si="25"/>
        <v>#VALUE!</v>
      </c>
      <c r="P56" s="10" t="e">
        <f t="shared" si="6"/>
        <v>#VALUE!</v>
      </c>
      <c r="Q56" s="10" t="e">
        <f t="shared" si="7"/>
        <v>#VALUE!</v>
      </c>
      <c r="R56" s="10" t="e">
        <f t="shared" si="26"/>
        <v>#VALUE!</v>
      </c>
      <c r="S56" s="10" t="e">
        <f t="shared" si="27"/>
        <v>#VALUE!</v>
      </c>
      <c r="T56" s="10" t="e">
        <f t="shared" si="62"/>
        <v>#VALUE!</v>
      </c>
      <c r="U56" s="10" t="e">
        <f t="shared" si="63"/>
        <v>#VALUE!</v>
      </c>
      <c r="V56" s="10" t="e">
        <f t="shared" si="8"/>
        <v>#VALUE!</v>
      </c>
      <c r="W56" s="10" t="e">
        <f t="shared" si="28"/>
        <v>#VALUE!</v>
      </c>
      <c r="Y56" s="10" t="e">
        <f t="shared" si="29"/>
        <v>#VALUE!</v>
      </c>
      <c r="Z56" s="11" t="e">
        <f t="shared" si="30"/>
        <v>#VALUE!</v>
      </c>
      <c r="AA56" s="10" t="e">
        <f t="shared" si="9"/>
        <v>#VALUE!</v>
      </c>
      <c r="AB56" s="10" t="e">
        <f t="shared" si="31"/>
        <v>#VALUE!</v>
      </c>
      <c r="AC56" s="10" t="e">
        <f t="shared" si="32"/>
        <v>#VALUE!</v>
      </c>
      <c r="AD56" s="10" t="e">
        <f t="shared" si="64"/>
        <v>#VALUE!</v>
      </c>
      <c r="AE56" s="10" t="e">
        <f t="shared" si="65"/>
        <v>#VALUE!</v>
      </c>
      <c r="AF56" s="10" t="e">
        <f t="shared" si="10"/>
        <v>#VALUE!</v>
      </c>
      <c r="AG56" s="10" t="e">
        <f t="shared" si="33"/>
        <v>#VALUE!</v>
      </c>
      <c r="AI56" s="13"/>
      <c r="AK56" s="10" t="e">
        <f t="shared" si="34"/>
        <v>#VALUE!</v>
      </c>
      <c r="AL56" s="10" t="e">
        <f t="shared" si="66"/>
        <v>#VALUE!</v>
      </c>
      <c r="AM56" s="10" t="e">
        <f t="shared" si="11"/>
        <v>#VALUE!</v>
      </c>
      <c r="AN56" s="10" t="e">
        <f t="shared" si="35"/>
        <v>#VALUE!</v>
      </c>
      <c r="AO56" s="10" t="e">
        <f t="shared" si="36"/>
        <v>#VALUE!</v>
      </c>
      <c r="AP56" s="10" t="e">
        <f t="shared" si="37"/>
        <v>#VALUE!</v>
      </c>
      <c r="AQ56" s="10" t="e">
        <f t="shared" si="67"/>
        <v>#VALUE!</v>
      </c>
      <c r="AR56" s="10" t="e">
        <f t="shared" si="12"/>
        <v>#VALUE!</v>
      </c>
      <c r="AS56" s="10" t="e">
        <f t="shared" si="68"/>
        <v>#VALUE!</v>
      </c>
      <c r="AU56" s="10" t="e">
        <f t="shared" si="38"/>
        <v>#VALUE!</v>
      </c>
      <c r="AV56" s="10" t="e">
        <f t="shared" si="69"/>
        <v>#VALUE!</v>
      </c>
      <c r="AW56" s="10" t="e">
        <f t="shared" si="13"/>
        <v>#VALUE!</v>
      </c>
      <c r="AX56" s="10" t="e">
        <f t="shared" si="39"/>
        <v>#VALUE!</v>
      </c>
      <c r="AY56" s="10" t="e">
        <f t="shared" si="40"/>
        <v>#VALUE!</v>
      </c>
      <c r="AZ56" s="10" t="e">
        <f t="shared" si="41"/>
        <v>#VALUE!</v>
      </c>
      <c r="BA56" s="10" t="e">
        <f t="shared" si="70"/>
        <v>#VALUE!</v>
      </c>
      <c r="BB56" s="10" t="e">
        <f t="shared" si="14"/>
        <v>#VALUE!</v>
      </c>
      <c r="BC56" s="10" t="e">
        <f t="shared" si="71"/>
        <v>#VALUE!</v>
      </c>
      <c r="BE56" s="10" t="e">
        <f t="shared" si="42"/>
        <v>#VALUE!</v>
      </c>
      <c r="BF56" s="10" t="e">
        <f t="shared" si="72"/>
        <v>#VALUE!</v>
      </c>
      <c r="BG56" s="10" t="e">
        <f t="shared" si="15"/>
        <v>#VALUE!</v>
      </c>
      <c r="BH56" s="10" t="e">
        <f t="shared" si="43"/>
        <v>#VALUE!</v>
      </c>
      <c r="BI56" s="10" t="e">
        <f t="shared" si="44"/>
        <v>#VALUE!</v>
      </c>
      <c r="BJ56" s="10" t="e">
        <f t="shared" si="45"/>
        <v>#VALUE!</v>
      </c>
      <c r="BK56" s="10" t="e">
        <f t="shared" si="73"/>
        <v>#VALUE!</v>
      </c>
      <c r="BL56" s="10" t="e">
        <f t="shared" si="16"/>
        <v>#VALUE!</v>
      </c>
      <c r="BM56" s="10" t="e">
        <f t="shared" si="74"/>
        <v>#VALUE!</v>
      </c>
      <c r="BP56" s="10" t="e">
        <f t="shared" si="46"/>
        <v>#VALUE!</v>
      </c>
      <c r="BQ56" s="10" t="e">
        <f t="shared" si="47"/>
        <v>#VALUE!</v>
      </c>
      <c r="BR56" s="10" t="e">
        <f t="shared" si="48"/>
        <v>#VALUE!</v>
      </c>
      <c r="BS56" s="10" t="e">
        <f t="shared" si="49"/>
        <v>#VALUE!</v>
      </c>
      <c r="BT56" s="10" t="e">
        <f t="shared" si="50"/>
        <v>#VALUE!</v>
      </c>
      <c r="BU56" s="10" t="e">
        <f t="shared" si="51"/>
        <v>#VALUE!</v>
      </c>
      <c r="BW56" s="10" t="e">
        <f t="shared" si="52"/>
        <v>#VALUE!</v>
      </c>
      <c r="BX56" s="10" t="e">
        <f t="shared" si="53"/>
        <v>#VALUE!</v>
      </c>
      <c r="BY56" s="10" t="e">
        <f t="shared" si="54"/>
        <v>#VALUE!</v>
      </c>
      <c r="BZ56" s="10" t="e">
        <f t="shared" si="55"/>
        <v>#VALUE!</v>
      </c>
      <c r="CA56" s="10" t="e">
        <f t="shared" si="56"/>
        <v>#VALUE!</v>
      </c>
      <c r="CB56" s="10" t="e">
        <f t="shared" si="57"/>
        <v>#VALUE!</v>
      </c>
      <c r="CD56" s="10" t="e">
        <f>MATCH(INDEX($BP$12:$BU$12,1,MATCH(BP56,$BP$15:$BU$15,0)),结果汇总!$AI$10:$AI$13,0)</f>
        <v>#VALUE!</v>
      </c>
      <c r="CE56" s="10" t="e">
        <f>MATCH(INDEX($BP$12:$BU$12,1,MATCH(BQ56,$BP$15:$BU$15,0)),结果汇总!$AI$10:$AI$13,0)</f>
        <v>#VALUE!</v>
      </c>
      <c r="CF56" s="10" t="e">
        <f>MATCH(INDEX($BP$12:$BU$12,1,MATCH(BR56,$BP$15:$BU$15,0)),结果汇总!$AI$10:$AI$13,0)</f>
        <v>#VALUE!</v>
      </c>
      <c r="CG56" s="10" t="e">
        <f>MATCH(INDEX($BP$12:$BU$12,1,MATCH(BS56,$BP$15:$BU$15,0)),结果汇总!$AI$10:$AI$13,0)</f>
        <v>#VALUE!</v>
      </c>
      <c r="CH56" s="10" t="e">
        <f>MATCH(INDEX($BP$12:$BU$12,1,MATCH(BT56,$BP$15:$BU$15,0)),结果汇总!$AI$10:$AI$13,0)</f>
        <v>#VALUE!</v>
      </c>
      <c r="CI56" s="10" t="e">
        <f>MATCH(INDEX($BP$12:$BU$12,1,MATCH(BU56,$BP$15:$BU$15,0)),结果汇总!$AI$10:$AI$13,0)</f>
        <v>#VALUE!</v>
      </c>
      <c r="CK56" s="10">
        <f t="shared" si="75"/>
        <v>0</v>
      </c>
      <c r="CL56" s="10">
        <f t="shared" si="75"/>
        <v>0</v>
      </c>
      <c r="CM56" s="10">
        <f t="shared" si="75"/>
        <v>0</v>
      </c>
      <c r="CN56" s="10">
        <f t="shared" si="75"/>
        <v>0</v>
      </c>
      <c r="CO56" s="10" t="e">
        <f t="shared" si="76"/>
        <v>#DIV/0!</v>
      </c>
      <c r="CP56" s="10" t="e">
        <f t="shared" si="76"/>
        <v>#DIV/0!</v>
      </c>
      <c r="CQ56" s="10" t="e">
        <f t="shared" si="76"/>
        <v>#DIV/0!</v>
      </c>
      <c r="CR56" s="10" t="e">
        <f t="shared" si="76"/>
        <v>#DIV/0!</v>
      </c>
      <c r="CS56" s="10">
        <f t="shared" si="77"/>
        <v>0</v>
      </c>
      <c r="CT56" s="10">
        <f t="shared" si="77"/>
        <v>0</v>
      </c>
      <c r="CU56" s="10">
        <f t="shared" si="77"/>
        <v>0</v>
      </c>
      <c r="CV56" s="10">
        <f t="shared" si="77"/>
        <v>0</v>
      </c>
      <c r="CW56" s="10" t="e">
        <f t="shared" si="78"/>
        <v>#DIV/0!</v>
      </c>
      <c r="CX56" s="10" t="e">
        <f t="shared" si="78"/>
        <v>#DIV/0!</v>
      </c>
      <c r="CY56" s="10" t="e">
        <f t="shared" si="78"/>
        <v>#DIV/0!</v>
      </c>
      <c r="CZ56" s="10" t="e">
        <f t="shared" si="78"/>
        <v>#DIV/0!</v>
      </c>
    </row>
    <row r="57" spans="4:104" x14ac:dyDescent="0.15">
      <c r="D57" s="10">
        <v>42</v>
      </c>
      <c r="E57" s="10" t="e">
        <f t="shared" si="21"/>
        <v>#VALUE!</v>
      </c>
      <c r="F57" s="10" t="e">
        <f t="shared" si="1"/>
        <v>#VALUE!</v>
      </c>
      <c r="G57" s="10" t="e">
        <f t="shared" si="2"/>
        <v>#VALUE!</v>
      </c>
      <c r="H57" s="10" t="e">
        <f t="shared" si="22"/>
        <v>#VALUE!</v>
      </c>
      <c r="I57" s="10" t="e">
        <f t="shared" si="3"/>
        <v>#VALUE!</v>
      </c>
      <c r="J57" s="10" t="e">
        <f t="shared" si="23"/>
        <v>#VALUE!</v>
      </c>
      <c r="K57" s="10" t="e">
        <f t="shared" si="4"/>
        <v>#VALUE!</v>
      </c>
      <c r="L57" s="10" t="e">
        <f t="shared" si="5"/>
        <v>#VALUE!</v>
      </c>
      <c r="M57" s="10" t="e">
        <f t="shared" si="24"/>
        <v>#VALUE!</v>
      </c>
      <c r="O57" s="10" t="e">
        <f t="shared" si="25"/>
        <v>#VALUE!</v>
      </c>
      <c r="P57" s="10" t="e">
        <f t="shared" si="6"/>
        <v>#VALUE!</v>
      </c>
      <c r="Q57" s="10" t="e">
        <f t="shared" si="7"/>
        <v>#VALUE!</v>
      </c>
      <c r="R57" s="10" t="e">
        <f t="shared" si="26"/>
        <v>#VALUE!</v>
      </c>
      <c r="S57" s="10" t="e">
        <f t="shared" si="27"/>
        <v>#VALUE!</v>
      </c>
      <c r="T57" s="10" t="e">
        <f t="shared" si="62"/>
        <v>#VALUE!</v>
      </c>
      <c r="U57" s="10" t="e">
        <f t="shared" si="63"/>
        <v>#VALUE!</v>
      </c>
      <c r="V57" s="10" t="e">
        <f t="shared" si="8"/>
        <v>#VALUE!</v>
      </c>
      <c r="W57" s="10" t="e">
        <f t="shared" si="28"/>
        <v>#VALUE!</v>
      </c>
      <c r="Y57" s="10" t="e">
        <f t="shared" si="29"/>
        <v>#VALUE!</v>
      </c>
      <c r="Z57" s="11" t="e">
        <f t="shared" si="30"/>
        <v>#VALUE!</v>
      </c>
      <c r="AA57" s="10" t="e">
        <f t="shared" si="9"/>
        <v>#VALUE!</v>
      </c>
      <c r="AB57" s="10" t="e">
        <f t="shared" si="31"/>
        <v>#VALUE!</v>
      </c>
      <c r="AC57" s="10" t="e">
        <f t="shared" si="32"/>
        <v>#VALUE!</v>
      </c>
      <c r="AD57" s="10" t="e">
        <f t="shared" si="64"/>
        <v>#VALUE!</v>
      </c>
      <c r="AE57" s="10" t="e">
        <f t="shared" si="65"/>
        <v>#VALUE!</v>
      </c>
      <c r="AF57" s="10" t="e">
        <f t="shared" si="10"/>
        <v>#VALUE!</v>
      </c>
      <c r="AG57" s="10" t="e">
        <f t="shared" si="33"/>
        <v>#VALUE!</v>
      </c>
      <c r="AI57" s="13"/>
      <c r="AK57" s="10" t="e">
        <f t="shared" si="34"/>
        <v>#VALUE!</v>
      </c>
      <c r="AL57" s="10" t="e">
        <f t="shared" si="66"/>
        <v>#VALUE!</v>
      </c>
      <c r="AM57" s="10" t="e">
        <f t="shared" si="11"/>
        <v>#VALUE!</v>
      </c>
      <c r="AN57" s="10" t="e">
        <f t="shared" si="35"/>
        <v>#VALUE!</v>
      </c>
      <c r="AO57" s="10" t="e">
        <f t="shared" si="36"/>
        <v>#VALUE!</v>
      </c>
      <c r="AP57" s="10" t="e">
        <f t="shared" si="37"/>
        <v>#VALUE!</v>
      </c>
      <c r="AQ57" s="10" t="e">
        <f t="shared" si="67"/>
        <v>#VALUE!</v>
      </c>
      <c r="AR57" s="10" t="e">
        <f t="shared" si="12"/>
        <v>#VALUE!</v>
      </c>
      <c r="AS57" s="10" t="e">
        <f t="shared" si="68"/>
        <v>#VALUE!</v>
      </c>
      <c r="AU57" s="10" t="e">
        <f t="shared" si="38"/>
        <v>#VALUE!</v>
      </c>
      <c r="AV57" s="10" t="e">
        <f t="shared" si="69"/>
        <v>#VALUE!</v>
      </c>
      <c r="AW57" s="10" t="e">
        <f t="shared" si="13"/>
        <v>#VALUE!</v>
      </c>
      <c r="AX57" s="10" t="e">
        <f t="shared" si="39"/>
        <v>#VALUE!</v>
      </c>
      <c r="AY57" s="10" t="e">
        <f t="shared" si="40"/>
        <v>#VALUE!</v>
      </c>
      <c r="AZ57" s="10" t="e">
        <f t="shared" si="41"/>
        <v>#VALUE!</v>
      </c>
      <c r="BA57" s="10" t="e">
        <f t="shared" si="70"/>
        <v>#VALUE!</v>
      </c>
      <c r="BB57" s="10" t="e">
        <f t="shared" si="14"/>
        <v>#VALUE!</v>
      </c>
      <c r="BC57" s="10" t="e">
        <f t="shared" si="71"/>
        <v>#VALUE!</v>
      </c>
      <c r="BE57" s="10" t="e">
        <f t="shared" si="42"/>
        <v>#VALUE!</v>
      </c>
      <c r="BF57" s="10" t="e">
        <f t="shared" si="72"/>
        <v>#VALUE!</v>
      </c>
      <c r="BG57" s="10" t="e">
        <f t="shared" si="15"/>
        <v>#VALUE!</v>
      </c>
      <c r="BH57" s="10" t="e">
        <f t="shared" si="43"/>
        <v>#VALUE!</v>
      </c>
      <c r="BI57" s="10" t="e">
        <f t="shared" si="44"/>
        <v>#VALUE!</v>
      </c>
      <c r="BJ57" s="10" t="e">
        <f t="shared" si="45"/>
        <v>#VALUE!</v>
      </c>
      <c r="BK57" s="10" t="e">
        <f t="shared" si="73"/>
        <v>#VALUE!</v>
      </c>
      <c r="BL57" s="10" t="e">
        <f t="shared" si="16"/>
        <v>#VALUE!</v>
      </c>
      <c r="BM57" s="10" t="e">
        <f t="shared" si="74"/>
        <v>#VALUE!</v>
      </c>
      <c r="BP57" s="10" t="e">
        <f t="shared" si="46"/>
        <v>#VALUE!</v>
      </c>
      <c r="BQ57" s="10" t="e">
        <f t="shared" si="47"/>
        <v>#VALUE!</v>
      </c>
      <c r="BR57" s="10" t="e">
        <f t="shared" si="48"/>
        <v>#VALUE!</v>
      </c>
      <c r="BS57" s="10" t="e">
        <f t="shared" si="49"/>
        <v>#VALUE!</v>
      </c>
      <c r="BT57" s="10" t="e">
        <f t="shared" si="50"/>
        <v>#VALUE!</v>
      </c>
      <c r="BU57" s="10" t="e">
        <f t="shared" si="51"/>
        <v>#VALUE!</v>
      </c>
      <c r="BW57" s="10" t="e">
        <f t="shared" si="52"/>
        <v>#VALUE!</v>
      </c>
      <c r="BX57" s="10" t="e">
        <f t="shared" si="53"/>
        <v>#VALUE!</v>
      </c>
      <c r="BY57" s="10" t="e">
        <f t="shared" si="54"/>
        <v>#VALUE!</v>
      </c>
      <c r="BZ57" s="10" t="e">
        <f t="shared" si="55"/>
        <v>#VALUE!</v>
      </c>
      <c r="CA57" s="10" t="e">
        <f t="shared" si="56"/>
        <v>#VALUE!</v>
      </c>
      <c r="CB57" s="10" t="e">
        <f t="shared" si="57"/>
        <v>#VALUE!</v>
      </c>
      <c r="CD57" s="10" t="e">
        <f>MATCH(INDEX($BP$12:$BU$12,1,MATCH(BP57,$BP$15:$BU$15,0)),结果汇总!$AI$10:$AI$13,0)</f>
        <v>#VALUE!</v>
      </c>
      <c r="CE57" s="10" t="e">
        <f>MATCH(INDEX($BP$12:$BU$12,1,MATCH(BQ57,$BP$15:$BU$15,0)),结果汇总!$AI$10:$AI$13,0)</f>
        <v>#VALUE!</v>
      </c>
      <c r="CF57" s="10" t="e">
        <f>MATCH(INDEX($BP$12:$BU$12,1,MATCH(BR57,$BP$15:$BU$15,0)),结果汇总!$AI$10:$AI$13,0)</f>
        <v>#VALUE!</v>
      </c>
      <c r="CG57" s="10" t="e">
        <f>MATCH(INDEX($BP$12:$BU$12,1,MATCH(BS57,$BP$15:$BU$15,0)),结果汇总!$AI$10:$AI$13,0)</f>
        <v>#VALUE!</v>
      </c>
      <c r="CH57" s="10" t="e">
        <f>MATCH(INDEX($BP$12:$BU$12,1,MATCH(BT57,$BP$15:$BU$15,0)),结果汇总!$AI$10:$AI$13,0)</f>
        <v>#VALUE!</v>
      </c>
      <c r="CI57" s="10" t="e">
        <f>MATCH(INDEX($BP$12:$BU$12,1,MATCH(BU57,$BP$15:$BU$15,0)),结果汇总!$AI$10:$AI$13,0)</f>
        <v>#VALUE!</v>
      </c>
      <c r="CK57" s="10">
        <f t="shared" si="75"/>
        <v>0</v>
      </c>
      <c r="CL57" s="10">
        <f t="shared" si="75"/>
        <v>0</v>
      </c>
      <c r="CM57" s="10">
        <f t="shared" si="75"/>
        <v>0</v>
      </c>
      <c r="CN57" s="10">
        <f t="shared" si="75"/>
        <v>0</v>
      </c>
      <c r="CO57" s="10" t="e">
        <f t="shared" si="76"/>
        <v>#DIV/0!</v>
      </c>
      <c r="CP57" s="10" t="e">
        <f t="shared" si="76"/>
        <v>#DIV/0!</v>
      </c>
      <c r="CQ57" s="10" t="e">
        <f t="shared" si="76"/>
        <v>#DIV/0!</v>
      </c>
      <c r="CR57" s="10" t="e">
        <f t="shared" si="76"/>
        <v>#DIV/0!</v>
      </c>
      <c r="CS57" s="10">
        <f t="shared" si="77"/>
        <v>0</v>
      </c>
      <c r="CT57" s="10">
        <f t="shared" si="77"/>
        <v>0</v>
      </c>
      <c r="CU57" s="10">
        <f t="shared" si="77"/>
        <v>0</v>
      </c>
      <c r="CV57" s="10">
        <f t="shared" si="77"/>
        <v>0</v>
      </c>
      <c r="CW57" s="10" t="e">
        <f t="shared" si="78"/>
        <v>#DIV/0!</v>
      </c>
      <c r="CX57" s="10" t="e">
        <f t="shared" si="78"/>
        <v>#DIV/0!</v>
      </c>
      <c r="CY57" s="10" t="e">
        <f t="shared" si="78"/>
        <v>#DIV/0!</v>
      </c>
      <c r="CZ57" s="10" t="e">
        <f t="shared" si="78"/>
        <v>#DIV/0!</v>
      </c>
    </row>
    <row r="58" spans="4:104" x14ac:dyDescent="0.15">
      <c r="D58" s="10">
        <v>43</v>
      </c>
      <c r="E58" s="10" t="e">
        <f t="shared" si="21"/>
        <v>#VALUE!</v>
      </c>
      <c r="F58" s="10" t="e">
        <f t="shared" si="1"/>
        <v>#VALUE!</v>
      </c>
      <c r="G58" s="10" t="e">
        <f t="shared" si="2"/>
        <v>#VALUE!</v>
      </c>
      <c r="H58" s="10" t="e">
        <f t="shared" si="22"/>
        <v>#VALUE!</v>
      </c>
      <c r="I58" s="10" t="e">
        <f t="shared" si="3"/>
        <v>#VALUE!</v>
      </c>
      <c r="J58" s="10" t="e">
        <f t="shared" si="23"/>
        <v>#VALUE!</v>
      </c>
      <c r="K58" s="10" t="e">
        <f t="shared" si="4"/>
        <v>#VALUE!</v>
      </c>
      <c r="L58" s="10" t="e">
        <f t="shared" si="5"/>
        <v>#VALUE!</v>
      </c>
      <c r="M58" s="10" t="e">
        <f t="shared" si="24"/>
        <v>#VALUE!</v>
      </c>
      <c r="O58" s="10" t="e">
        <f t="shared" si="25"/>
        <v>#VALUE!</v>
      </c>
      <c r="P58" s="10" t="e">
        <f t="shared" si="6"/>
        <v>#VALUE!</v>
      </c>
      <c r="Q58" s="10" t="e">
        <f t="shared" si="7"/>
        <v>#VALUE!</v>
      </c>
      <c r="R58" s="10" t="e">
        <f t="shared" si="26"/>
        <v>#VALUE!</v>
      </c>
      <c r="S58" s="10" t="e">
        <f t="shared" si="27"/>
        <v>#VALUE!</v>
      </c>
      <c r="T58" s="10" t="e">
        <f t="shared" si="62"/>
        <v>#VALUE!</v>
      </c>
      <c r="U58" s="10" t="e">
        <f t="shared" si="63"/>
        <v>#VALUE!</v>
      </c>
      <c r="V58" s="10" t="e">
        <f t="shared" si="8"/>
        <v>#VALUE!</v>
      </c>
      <c r="W58" s="10" t="e">
        <f t="shared" si="28"/>
        <v>#VALUE!</v>
      </c>
      <c r="Y58" s="10" t="e">
        <f t="shared" si="29"/>
        <v>#VALUE!</v>
      </c>
      <c r="Z58" s="11" t="e">
        <f t="shared" si="30"/>
        <v>#VALUE!</v>
      </c>
      <c r="AA58" s="10" t="e">
        <f t="shared" si="9"/>
        <v>#VALUE!</v>
      </c>
      <c r="AB58" s="10" t="e">
        <f t="shared" si="31"/>
        <v>#VALUE!</v>
      </c>
      <c r="AC58" s="10" t="e">
        <f t="shared" si="32"/>
        <v>#VALUE!</v>
      </c>
      <c r="AD58" s="10" t="e">
        <f t="shared" si="64"/>
        <v>#VALUE!</v>
      </c>
      <c r="AE58" s="10" t="e">
        <f t="shared" si="65"/>
        <v>#VALUE!</v>
      </c>
      <c r="AF58" s="10" t="e">
        <f t="shared" si="10"/>
        <v>#VALUE!</v>
      </c>
      <c r="AG58" s="10" t="e">
        <f t="shared" si="33"/>
        <v>#VALUE!</v>
      </c>
      <c r="AI58" s="13"/>
      <c r="AK58" s="10" t="e">
        <f t="shared" si="34"/>
        <v>#VALUE!</v>
      </c>
      <c r="AL58" s="10" t="e">
        <f t="shared" si="66"/>
        <v>#VALUE!</v>
      </c>
      <c r="AM58" s="10" t="e">
        <f t="shared" si="11"/>
        <v>#VALUE!</v>
      </c>
      <c r="AN58" s="10" t="e">
        <f t="shared" si="35"/>
        <v>#VALUE!</v>
      </c>
      <c r="AO58" s="10" t="e">
        <f t="shared" si="36"/>
        <v>#VALUE!</v>
      </c>
      <c r="AP58" s="10" t="e">
        <f t="shared" si="37"/>
        <v>#VALUE!</v>
      </c>
      <c r="AQ58" s="10" t="e">
        <f t="shared" si="67"/>
        <v>#VALUE!</v>
      </c>
      <c r="AR58" s="10" t="e">
        <f t="shared" si="12"/>
        <v>#VALUE!</v>
      </c>
      <c r="AS58" s="10" t="e">
        <f t="shared" si="68"/>
        <v>#VALUE!</v>
      </c>
      <c r="AU58" s="10" t="e">
        <f t="shared" si="38"/>
        <v>#VALUE!</v>
      </c>
      <c r="AV58" s="10" t="e">
        <f t="shared" si="69"/>
        <v>#VALUE!</v>
      </c>
      <c r="AW58" s="10" t="e">
        <f t="shared" si="13"/>
        <v>#VALUE!</v>
      </c>
      <c r="AX58" s="10" t="e">
        <f t="shared" si="39"/>
        <v>#VALUE!</v>
      </c>
      <c r="AY58" s="10" t="e">
        <f t="shared" si="40"/>
        <v>#VALUE!</v>
      </c>
      <c r="AZ58" s="10" t="e">
        <f t="shared" si="41"/>
        <v>#VALUE!</v>
      </c>
      <c r="BA58" s="10" t="e">
        <f t="shared" si="70"/>
        <v>#VALUE!</v>
      </c>
      <c r="BB58" s="10" t="e">
        <f t="shared" si="14"/>
        <v>#VALUE!</v>
      </c>
      <c r="BC58" s="10" t="e">
        <f t="shared" si="71"/>
        <v>#VALUE!</v>
      </c>
      <c r="BE58" s="10" t="e">
        <f t="shared" si="42"/>
        <v>#VALUE!</v>
      </c>
      <c r="BF58" s="10" t="e">
        <f t="shared" si="72"/>
        <v>#VALUE!</v>
      </c>
      <c r="BG58" s="10" t="e">
        <f t="shared" si="15"/>
        <v>#VALUE!</v>
      </c>
      <c r="BH58" s="10" t="e">
        <f t="shared" si="43"/>
        <v>#VALUE!</v>
      </c>
      <c r="BI58" s="10" t="e">
        <f t="shared" si="44"/>
        <v>#VALUE!</v>
      </c>
      <c r="BJ58" s="10" t="e">
        <f t="shared" si="45"/>
        <v>#VALUE!</v>
      </c>
      <c r="BK58" s="10" t="e">
        <f t="shared" si="73"/>
        <v>#VALUE!</v>
      </c>
      <c r="BL58" s="10" t="e">
        <f t="shared" si="16"/>
        <v>#VALUE!</v>
      </c>
      <c r="BM58" s="10" t="e">
        <f t="shared" si="74"/>
        <v>#VALUE!</v>
      </c>
      <c r="BP58" s="10" t="e">
        <f t="shared" si="46"/>
        <v>#VALUE!</v>
      </c>
      <c r="BQ58" s="10" t="e">
        <f t="shared" si="47"/>
        <v>#VALUE!</v>
      </c>
      <c r="BR58" s="10" t="e">
        <f t="shared" si="48"/>
        <v>#VALUE!</v>
      </c>
      <c r="BS58" s="10" t="e">
        <f t="shared" si="49"/>
        <v>#VALUE!</v>
      </c>
      <c r="BT58" s="10" t="e">
        <f t="shared" si="50"/>
        <v>#VALUE!</v>
      </c>
      <c r="BU58" s="10" t="e">
        <f t="shared" si="51"/>
        <v>#VALUE!</v>
      </c>
      <c r="BW58" s="10" t="e">
        <f t="shared" si="52"/>
        <v>#VALUE!</v>
      </c>
      <c r="BX58" s="10" t="e">
        <f t="shared" si="53"/>
        <v>#VALUE!</v>
      </c>
      <c r="BY58" s="10" t="e">
        <f t="shared" si="54"/>
        <v>#VALUE!</v>
      </c>
      <c r="BZ58" s="10" t="e">
        <f t="shared" si="55"/>
        <v>#VALUE!</v>
      </c>
      <c r="CA58" s="10" t="e">
        <f t="shared" si="56"/>
        <v>#VALUE!</v>
      </c>
      <c r="CB58" s="10" t="e">
        <f t="shared" si="57"/>
        <v>#VALUE!</v>
      </c>
      <c r="CD58" s="10" t="e">
        <f>MATCH(INDEX($BP$12:$BU$12,1,MATCH(BP58,$BP$15:$BU$15,0)),结果汇总!$AI$10:$AI$13,0)</f>
        <v>#VALUE!</v>
      </c>
      <c r="CE58" s="10" t="e">
        <f>MATCH(INDEX($BP$12:$BU$12,1,MATCH(BQ58,$BP$15:$BU$15,0)),结果汇总!$AI$10:$AI$13,0)</f>
        <v>#VALUE!</v>
      </c>
      <c r="CF58" s="10" t="e">
        <f>MATCH(INDEX($BP$12:$BU$12,1,MATCH(BR58,$BP$15:$BU$15,0)),结果汇总!$AI$10:$AI$13,0)</f>
        <v>#VALUE!</v>
      </c>
      <c r="CG58" s="10" t="e">
        <f>MATCH(INDEX($BP$12:$BU$12,1,MATCH(BS58,$BP$15:$BU$15,0)),结果汇总!$AI$10:$AI$13,0)</f>
        <v>#VALUE!</v>
      </c>
      <c r="CH58" s="10" t="e">
        <f>MATCH(INDEX($BP$12:$BU$12,1,MATCH(BT58,$BP$15:$BU$15,0)),结果汇总!$AI$10:$AI$13,0)</f>
        <v>#VALUE!</v>
      </c>
      <c r="CI58" s="10" t="e">
        <f>MATCH(INDEX($BP$12:$BU$12,1,MATCH(BU58,$BP$15:$BU$15,0)),结果汇总!$AI$10:$AI$13,0)</f>
        <v>#VALUE!</v>
      </c>
      <c r="CK58" s="10">
        <f t="shared" si="75"/>
        <v>0</v>
      </c>
      <c r="CL58" s="10">
        <f t="shared" si="75"/>
        <v>0</v>
      </c>
      <c r="CM58" s="10">
        <f t="shared" si="75"/>
        <v>0</v>
      </c>
      <c r="CN58" s="10">
        <f t="shared" si="75"/>
        <v>0</v>
      </c>
      <c r="CO58" s="10" t="e">
        <f t="shared" si="76"/>
        <v>#DIV/0!</v>
      </c>
      <c r="CP58" s="10" t="e">
        <f t="shared" si="76"/>
        <v>#DIV/0!</v>
      </c>
      <c r="CQ58" s="10" t="e">
        <f t="shared" si="76"/>
        <v>#DIV/0!</v>
      </c>
      <c r="CR58" s="10" t="e">
        <f t="shared" si="76"/>
        <v>#DIV/0!</v>
      </c>
      <c r="CS58" s="10">
        <f t="shared" si="77"/>
        <v>0</v>
      </c>
      <c r="CT58" s="10">
        <f t="shared" si="77"/>
        <v>0</v>
      </c>
      <c r="CU58" s="10">
        <f t="shared" si="77"/>
        <v>0</v>
      </c>
      <c r="CV58" s="10">
        <f t="shared" si="77"/>
        <v>0</v>
      </c>
      <c r="CW58" s="10" t="e">
        <f t="shared" si="78"/>
        <v>#DIV/0!</v>
      </c>
      <c r="CX58" s="10" t="e">
        <f t="shared" si="78"/>
        <v>#DIV/0!</v>
      </c>
      <c r="CY58" s="10" t="e">
        <f t="shared" si="78"/>
        <v>#DIV/0!</v>
      </c>
      <c r="CZ58" s="10" t="e">
        <f t="shared" si="78"/>
        <v>#DIV/0!</v>
      </c>
    </row>
    <row r="59" spans="4:104" x14ac:dyDescent="0.15">
      <c r="D59" s="10">
        <v>44</v>
      </c>
      <c r="E59" s="10" t="e">
        <f t="shared" si="21"/>
        <v>#VALUE!</v>
      </c>
      <c r="F59" s="10" t="e">
        <f t="shared" si="1"/>
        <v>#VALUE!</v>
      </c>
      <c r="G59" s="10" t="e">
        <f t="shared" si="2"/>
        <v>#VALUE!</v>
      </c>
      <c r="H59" s="10" t="e">
        <f t="shared" si="22"/>
        <v>#VALUE!</v>
      </c>
      <c r="I59" s="10" t="e">
        <f t="shared" si="3"/>
        <v>#VALUE!</v>
      </c>
      <c r="J59" s="10" t="e">
        <f t="shared" si="23"/>
        <v>#VALUE!</v>
      </c>
      <c r="K59" s="10" t="e">
        <f t="shared" si="4"/>
        <v>#VALUE!</v>
      </c>
      <c r="L59" s="10" t="e">
        <f t="shared" si="5"/>
        <v>#VALUE!</v>
      </c>
      <c r="M59" s="10" t="e">
        <f t="shared" si="24"/>
        <v>#VALUE!</v>
      </c>
      <c r="O59" s="10" t="e">
        <f t="shared" si="25"/>
        <v>#VALUE!</v>
      </c>
      <c r="P59" s="10" t="e">
        <f t="shared" si="6"/>
        <v>#VALUE!</v>
      </c>
      <c r="Q59" s="10" t="e">
        <f t="shared" si="7"/>
        <v>#VALUE!</v>
      </c>
      <c r="R59" s="10" t="e">
        <f t="shared" si="26"/>
        <v>#VALUE!</v>
      </c>
      <c r="S59" s="10" t="e">
        <f t="shared" si="27"/>
        <v>#VALUE!</v>
      </c>
      <c r="T59" s="10" t="e">
        <f t="shared" si="62"/>
        <v>#VALUE!</v>
      </c>
      <c r="U59" s="10" t="e">
        <f t="shared" si="63"/>
        <v>#VALUE!</v>
      </c>
      <c r="V59" s="10" t="e">
        <f t="shared" si="8"/>
        <v>#VALUE!</v>
      </c>
      <c r="W59" s="10" t="e">
        <f t="shared" si="28"/>
        <v>#VALUE!</v>
      </c>
      <c r="Y59" s="10" t="e">
        <f t="shared" si="29"/>
        <v>#VALUE!</v>
      </c>
      <c r="Z59" s="11" t="e">
        <f t="shared" si="30"/>
        <v>#VALUE!</v>
      </c>
      <c r="AA59" s="10" t="e">
        <f t="shared" si="9"/>
        <v>#VALUE!</v>
      </c>
      <c r="AB59" s="10" t="e">
        <f t="shared" si="31"/>
        <v>#VALUE!</v>
      </c>
      <c r="AC59" s="10" t="e">
        <f t="shared" si="32"/>
        <v>#VALUE!</v>
      </c>
      <c r="AD59" s="10" t="e">
        <f t="shared" si="64"/>
        <v>#VALUE!</v>
      </c>
      <c r="AE59" s="10" t="e">
        <f t="shared" si="65"/>
        <v>#VALUE!</v>
      </c>
      <c r="AF59" s="10" t="e">
        <f t="shared" si="10"/>
        <v>#VALUE!</v>
      </c>
      <c r="AG59" s="10" t="e">
        <f t="shared" si="33"/>
        <v>#VALUE!</v>
      </c>
      <c r="AI59" s="13"/>
      <c r="AK59" s="10" t="e">
        <f t="shared" si="34"/>
        <v>#VALUE!</v>
      </c>
      <c r="AL59" s="10" t="e">
        <f t="shared" si="66"/>
        <v>#VALUE!</v>
      </c>
      <c r="AM59" s="10" t="e">
        <f t="shared" si="11"/>
        <v>#VALUE!</v>
      </c>
      <c r="AN59" s="10" t="e">
        <f t="shared" si="35"/>
        <v>#VALUE!</v>
      </c>
      <c r="AO59" s="10" t="e">
        <f t="shared" si="36"/>
        <v>#VALUE!</v>
      </c>
      <c r="AP59" s="10" t="e">
        <f t="shared" si="37"/>
        <v>#VALUE!</v>
      </c>
      <c r="AQ59" s="10" t="e">
        <f t="shared" si="67"/>
        <v>#VALUE!</v>
      </c>
      <c r="AR59" s="10" t="e">
        <f t="shared" si="12"/>
        <v>#VALUE!</v>
      </c>
      <c r="AS59" s="10" t="e">
        <f t="shared" si="68"/>
        <v>#VALUE!</v>
      </c>
      <c r="AU59" s="10" t="e">
        <f t="shared" si="38"/>
        <v>#VALUE!</v>
      </c>
      <c r="AV59" s="10" t="e">
        <f t="shared" si="69"/>
        <v>#VALUE!</v>
      </c>
      <c r="AW59" s="10" t="e">
        <f t="shared" si="13"/>
        <v>#VALUE!</v>
      </c>
      <c r="AX59" s="10" t="e">
        <f t="shared" si="39"/>
        <v>#VALUE!</v>
      </c>
      <c r="AY59" s="10" t="e">
        <f t="shared" si="40"/>
        <v>#VALUE!</v>
      </c>
      <c r="AZ59" s="10" t="e">
        <f t="shared" si="41"/>
        <v>#VALUE!</v>
      </c>
      <c r="BA59" s="10" t="e">
        <f t="shared" si="70"/>
        <v>#VALUE!</v>
      </c>
      <c r="BB59" s="10" t="e">
        <f t="shared" si="14"/>
        <v>#VALUE!</v>
      </c>
      <c r="BC59" s="10" t="e">
        <f t="shared" si="71"/>
        <v>#VALUE!</v>
      </c>
      <c r="BE59" s="10" t="e">
        <f t="shared" si="42"/>
        <v>#VALUE!</v>
      </c>
      <c r="BF59" s="10" t="e">
        <f t="shared" si="72"/>
        <v>#VALUE!</v>
      </c>
      <c r="BG59" s="10" t="e">
        <f t="shared" si="15"/>
        <v>#VALUE!</v>
      </c>
      <c r="BH59" s="10" t="e">
        <f t="shared" si="43"/>
        <v>#VALUE!</v>
      </c>
      <c r="BI59" s="10" t="e">
        <f t="shared" si="44"/>
        <v>#VALUE!</v>
      </c>
      <c r="BJ59" s="10" t="e">
        <f t="shared" si="45"/>
        <v>#VALUE!</v>
      </c>
      <c r="BK59" s="10" t="e">
        <f t="shared" si="73"/>
        <v>#VALUE!</v>
      </c>
      <c r="BL59" s="10" t="e">
        <f t="shared" si="16"/>
        <v>#VALUE!</v>
      </c>
      <c r="BM59" s="10" t="e">
        <f t="shared" si="74"/>
        <v>#VALUE!</v>
      </c>
      <c r="BP59" s="10" t="e">
        <f t="shared" si="46"/>
        <v>#VALUE!</v>
      </c>
      <c r="BQ59" s="10" t="e">
        <f t="shared" si="47"/>
        <v>#VALUE!</v>
      </c>
      <c r="BR59" s="10" t="e">
        <f t="shared" si="48"/>
        <v>#VALUE!</v>
      </c>
      <c r="BS59" s="10" t="e">
        <f t="shared" si="49"/>
        <v>#VALUE!</v>
      </c>
      <c r="BT59" s="10" t="e">
        <f t="shared" si="50"/>
        <v>#VALUE!</v>
      </c>
      <c r="BU59" s="10" t="e">
        <f t="shared" si="51"/>
        <v>#VALUE!</v>
      </c>
      <c r="BW59" s="10" t="e">
        <f t="shared" si="52"/>
        <v>#VALUE!</v>
      </c>
      <c r="BX59" s="10" t="e">
        <f t="shared" si="53"/>
        <v>#VALUE!</v>
      </c>
      <c r="BY59" s="10" t="e">
        <f t="shared" si="54"/>
        <v>#VALUE!</v>
      </c>
      <c r="BZ59" s="10" t="e">
        <f t="shared" si="55"/>
        <v>#VALUE!</v>
      </c>
      <c r="CA59" s="10" t="e">
        <f t="shared" si="56"/>
        <v>#VALUE!</v>
      </c>
      <c r="CB59" s="10" t="e">
        <f t="shared" si="57"/>
        <v>#VALUE!</v>
      </c>
      <c r="CD59" s="10" t="e">
        <f>MATCH(INDEX($BP$12:$BU$12,1,MATCH(BP59,$BP$15:$BU$15,0)),结果汇总!$AI$10:$AI$13,0)</f>
        <v>#VALUE!</v>
      </c>
      <c r="CE59" s="10" t="e">
        <f>MATCH(INDEX($BP$12:$BU$12,1,MATCH(BQ59,$BP$15:$BU$15,0)),结果汇总!$AI$10:$AI$13,0)</f>
        <v>#VALUE!</v>
      </c>
      <c r="CF59" s="10" t="e">
        <f>MATCH(INDEX($BP$12:$BU$12,1,MATCH(BR59,$BP$15:$BU$15,0)),结果汇总!$AI$10:$AI$13,0)</f>
        <v>#VALUE!</v>
      </c>
      <c r="CG59" s="10" t="e">
        <f>MATCH(INDEX($BP$12:$BU$12,1,MATCH(BS59,$BP$15:$BU$15,0)),结果汇总!$AI$10:$AI$13,0)</f>
        <v>#VALUE!</v>
      </c>
      <c r="CH59" s="10" t="e">
        <f>MATCH(INDEX($BP$12:$BU$12,1,MATCH(BT59,$BP$15:$BU$15,0)),结果汇总!$AI$10:$AI$13,0)</f>
        <v>#VALUE!</v>
      </c>
      <c r="CI59" s="10" t="e">
        <f>MATCH(INDEX($BP$12:$BU$12,1,MATCH(BU59,$BP$15:$BU$15,0)),结果汇总!$AI$10:$AI$13,0)</f>
        <v>#VALUE!</v>
      </c>
      <c r="CK59" s="10">
        <f t="shared" si="75"/>
        <v>0</v>
      </c>
      <c r="CL59" s="10">
        <f t="shared" si="75"/>
        <v>0</v>
      </c>
      <c r="CM59" s="10">
        <f t="shared" si="75"/>
        <v>0</v>
      </c>
      <c r="CN59" s="10">
        <f t="shared" si="75"/>
        <v>0</v>
      </c>
      <c r="CO59" s="10" t="e">
        <f t="shared" si="76"/>
        <v>#DIV/0!</v>
      </c>
      <c r="CP59" s="10" t="e">
        <f t="shared" si="76"/>
        <v>#DIV/0!</v>
      </c>
      <c r="CQ59" s="10" t="e">
        <f t="shared" si="76"/>
        <v>#DIV/0!</v>
      </c>
      <c r="CR59" s="10" t="e">
        <f t="shared" si="76"/>
        <v>#DIV/0!</v>
      </c>
      <c r="CS59" s="10">
        <f t="shared" si="77"/>
        <v>0</v>
      </c>
      <c r="CT59" s="10">
        <f t="shared" si="77"/>
        <v>0</v>
      </c>
      <c r="CU59" s="10">
        <f t="shared" si="77"/>
        <v>0</v>
      </c>
      <c r="CV59" s="10">
        <f t="shared" si="77"/>
        <v>0</v>
      </c>
      <c r="CW59" s="10" t="e">
        <f t="shared" si="78"/>
        <v>#DIV/0!</v>
      </c>
      <c r="CX59" s="10" t="e">
        <f t="shared" si="78"/>
        <v>#DIV/0!</v>
      </c>
      <c r="CY59" s="10" t="e">
        <f t="shared" si="78"/>
        <v>#DIV/0!</v>
      </c>
      <c r="CZ59" s="10" t="e">
        <f t="shared" si="78"/>
        <v>#DIV/0!</v>
      </c>
    </row>
    <row r="60" spans="4:104" x14ac:dyDescent="0.15">
      <c r="D60" s="10">
        <v>45</v>
      </c>
      <c r="E60" s="10" t="e">
        <f t="shared" si="21"/>
        <v>#VALUE!</v>
      </c>
      <c r="F60" s="10" t="e">
        <f t="shared" si="1"/>
        <v>#VALUE!</v>
      </c>
      <c r="G60" s="10" t="e">
        <f t="shared" si="2"/>
        <v>#VALUE!</v>
      </c>
      <c r="H60" s="10" t="e">
        <f t="shared" si="22"/>
        <v>#VALUE!</v>
      </c>
      <c r="I60" s="10" t="e">
        <f t="shared" si="3"/>
        <v>#VALUE!</v>
      </c>
      <c r="J60" s="10" t="e">
        <f t="shared" si="23"/>
        <v>#VALUE!</v>
      </c>
      <c r="K60" s="10" t="e">
        <f t="shared" si="4"/>
        <v>#VALUE!</v>
      </c>
      <c r="L60" s="10" t="e">
        <f t="shared" si="5"/>
        <v>#VALUE!</v>
      </c>
      <c r="M60" s="10" t="e">
        <f t="shared" si="24"/>
        <v>#VALUE!</v>
      </c>
      <c r="O60" s="10" t="e">
        <f t="shared" si="25"/>
        <v>#VALUE!</v>
      </c>
      <c r="P60" s="10" t="e">
        <f t="shared" si="6"/>
        <v>#VALUE!</v>
      </c>
      <c r="Q60" s="10" t="e">
        <f t="shared" si="7"/>
        <v>#VALUE!</v>
      </c>
      <c r="R60" s="10" t="e">
        <f t="shared" si="26"/>
        <v>#VALUE!</v>
      </c>
      <c r="S60" s="10" t="e">
        <f t="shared" si="27"/>
        <v>#VALUE!</v>
      </c>
      <c r="T60" s="10" t="e">
        <f t="shared" si="62"/>
        <v>#VALUE!</v>
      </c>
      <c r="U60" s="10" t="e">
        <f t="shared" si="63"/>
        <v>#VALUE!</v>
      </c>
      <c r="V60" s="10" t="e">
        <f t="shared" si="8"/>
        <v>#VALUE!</v>
      </c>
      <c r="W60" s="10" t="e">
        <f t="shared" si="28"/>
        <v>#VALUE!</v>
      </c>
      <c r="Y60" s="10" t="e">
        <f t="shared" si="29"/>
        <v>#VALUE!</v>
      </c>
      <c r="Z60" s="11" t="e">
        <f t="shared" si="30"/>
        <v>#VALUE!</v>
      </c>
      <c r="AA60" s="10" t="e">
        <f t="shared" si="9"/>
        <v>#VALUE!</v>
      </c>
      <c r="AB60" s="10" t="e">
        <f t="shared" si="31"/>
        <v>#VALUE!</v>
      </c>
      <c r="AC60" s="10" t="e">
        <f t="shared" si="32"/>
        <v>#VALUE!</v>
      </c>
      <c r="AD60" s="10" t="e">
        <f t="shared" si="64"/>
        <v>#VALUE!</v>
      </c>
      <c r="AE60" s="10" t="e">
        <f t="shared" si="65"/>
        <v>#VALUE!</v>
      </c>
      <c r="AF60" s="10" t="e">
        <f t="shared" si="10"/>
        <v>#VALUE!</v>
      </c>
      <c r="AG60" s="10" t="e">
        <f t="shared" si="33"/>
        <v>#VALUE!</v>
      </c>
      <c r="AI60" s="13"/>
      <c r="AK60" s="10" t="e">
        <f t="shared" si="34"/>
        <v>#VALUE!</v>
      </c>
      <c r="AL60" s="10" t="e">
        <f t="shared" si="66"/>
        <v>#VALUE!</v>
      </c>
      <c r="AM60" s="10" t="e">
        <f t="shared" si="11"/>
        <v>#VALUE!</v>
      </c>
      <c r="AN60" s="10" t="e">
        <f t="shared" si="35"/>
        <v>#VALUE!</v>
      </c>
      <c r="AO60" s="10" t="e">
        <f t="shared" si="36"/>
        <v>#VALUE!</v>
      </c>
      <c r="AP60" s="10" t="e">
        <f t="shared" si="37"/>
        <v>#VALUE!</v>
      </c>
      <c r="AQ60" s="10" t="e">
        <f t="shared" si="67"/>
        <v>#VALUE!</v>
      </c>
      <c r="AR60" s="10" t="e">
        <f t="shared" si="12"/>
        <v>#VALUE!</v>
      </c>
      <c r="AS60" s="10" t="e">
        <f t="shared" si="68"/>
        <v>#VALUE!</v>
      </c>
      <c r="AU60" s="10" t="e">
        <f t="shared" si="38"/>
        <v>#VALUE!</v>
      </c>
      <c r="AV60" s="10" t="e">
        <f t="shared" si="69"/>
        <v>#VALUE!</v>
      </c>
      <c r="AW60" s="10" t="e">
        <f t="shared" si="13"/>
        <v>#VALUE!</v>
      </c>
      <c r="AX60" s="10" t="e">
        <f t="shared" si="39"/>
        <v>#VALUE!</v>
      </c>
      <c r="AY60" s="10" t="e">
        <f t="shared" si="40"/>
        <v>#VALUE!</v>
      </c>
      <c r="AZ60" s="10" t="e">
        <f t="shared" si="41"/>
        <v>#VALUE!</v>
      </c>
      <c r="BA60" s="10" t="e">
        <f t="shared" si="70"/>
        <v>#VALUE!</v>
      </c>
      <c r="BB60" s="10" t="e">
        <f t="shared" si="14"/>
        <v>#VALUE!</v>
      </c>
      <c r="BC60" s="10" t="e">
        <f t="shared" si="71"/>
        <v>#VALUE!</v>
      </c>
      <c r="BE60" s="10" t="e">
        <f t="shared" si="42"/>
        <v>#VALUE!</v>
      </c>
      <c r="BF60" s="10" t="e">
        <f t="shared" si="72"/>
        <v>#VALUE!</v>
      </c>
      <c r="BG60" s="10" t="e">
        <f t="shared" si="15"/>
        <v>#VALUE!</v>
      </c>
      <c r="BH60" s="10" t="e">
        <f t="shared" si="43"/>
        <v>#VALUE!</v>
      </c>
      <c r="BI60" s="10" t="e">
        <f t="shared" si="44"/>
        <v>#VALUE!</v>
      </c>
      <c r="BJ60" s="10" t="e">
        <f t="shared" si="45"/>
        <v>#VALUE!</v>
      </c>
      <c r="BK60" s="10" t="e">
        <f t="shared" si="73"/>
        <v>#VALUE!</v>
      </c>
      <c r="BL60" s="10" t="e">
        <f t="shared" si="16"/>
        <v>#VALUE!</v>
      </c>
      <c r="BM60" s="10" t="e">
        <f t="shared" si="74"/>
        <v>#VALUE!</v>
      </c>
      <c r="BP60" s="10" t="e">
        <f t="shared" si="46"/>
        <v>#VALUE!</v>
      </c>
      <c r="BQ60" s="10" t="e">
        <f t="shared" si="47"/>
        <v>#VALUE!</v>
      </c>
      <c r="BR60" s="10" t="e">
        <f t="shared" si="48"/>
        <v>#VALUE!</v>
      </c>
      <c r="BS60" s="10" t="e">
        <f t="shared" si="49"/>
        <v>#VALUE!</v>
      </c>
      <c r="BT60" s="10" t="e">
        <f t="shared" si="50"/>
        <v>#VALUE!</v>
      </c>
      <c r="BU60" s="10" t="e">
        <f t="shared" si="51"/>
        <v>#VALUE!</v>
      </c>
      <c r="BW60" s="10" t="e">
        <f t="shared" si="52"/>
        <v>#VALUE!</v>
      </c>
      <c r="BX60" s="10" t="e">
        <f t="shared" si="53"/>
        <v>#VALUE!</v>
      </c>
      <c r="BY60" s="10" t="e">
        <f t="shared" si="54"/>
        <v>#VALUE!</v>
      </c>
      <c r="BZ60" s="10" t="e">
        <f t="shared" si="55"/>
        <v>#VALUE!</v>
      </c>
      <c r="CA60" s="10" t="e">
        <f t="shared" si="56"/>
        <v>#VALUE!</v>
      </c>
      <c r="CB60" s="10" t="e">
        <f t="shared" si="57"/>
        <v>#VALUE!</v>
      </c>
      <c r="CD60" s="10" t="e">
        <f>MATCH(INDEX($BP$12:$BU$12,1,MATCH(BP60,$BP$15:$BU$15,0)),结果汇总!$AI$10:$AI$13,0)</f>
        <v>#VALUE!</v>
      </c>
      <c r="CE60" s="10" t="e">
        <f>MATCH(INDEX($BP$12:$BU$12,1,MATCH(BQ60,$BP$15:$BU$15,0)),结果汇总!$AI$10:$AI$13,0)</f>
        <v>#VALUE!</v>
      </c>
      <c r="CF60" s="10" t="e">
        <f>MATCH(INDEX($BP$12:$BU$12,1,MATCH(BR60,$BP$15:$BU$15,0)),结果汇总!$AI$10:$AI$13,0)</f>
        <v>#VALUE!</v>
      </c>
      <c r="CG60" s="10" t="e">
        <f>MATCH(INDEX($BP$12:$BU$12,1,MATCH(BS60,$BP$15:$BU$15,0)),结果汇总!$AI$10:$AI$13,0)</f>
        <v>#VALUE!</v>
      </c>
      <c r="CH60" s="10" t="e">
        <f>MATCH(INDEX($BP$12:$BU$12,1,MATCH(BT60,$BP$15:$BU$15,0)),结果汇总!$AI$10:$AI$13,0)</f>
        <v>#VALUE!</v>
      </c>
      <c r="CI60" s="10" t="e">
        <f>MATCH(INDEX($BP$12:$BU$12,1,MATCH(BU60,$BP$15:$BU$15,0)),结果汇总!$AI$10:$AI$13,0)</f>
        <v>#VALUE!</v>
      </c>
      <c r="CK60" s="10">
        <f t="shared" si="75"/>
        <v>0</v>
      </c>
      <c r="CL60" s="10">
        <f t="shared" si="75"/>
        <v>0</v>
      </c>
      <c r="CM60" s="10">
        <f t="shared" si="75"/>
        <v>0</v>
      </c>
      <c r="CN60" s="10">
        <f t="shared" si="75"/>
        <v>0</v>
      </c>
      <c r="CO60" s="10" t="e">
        <f t="shared" si="76"/>
        <v>#DIV/0!</v>
      </c>
      <c r="CP60" s="10" t="e">
        <f t="shared" si="76"/>
        <v>#DIV/0!</v>
      </c>
      <c r="CQ60" s="10" t="e">
        <f t="shared" si="76"/>
        <v>#DIV/0!</v>
      </c>
      <c r="CR60" s="10" t="e">
        <f t="shared" si="76"/>
        <v>#DIV/0!</v>
      </c>
      <c r="CS60" s="10">
        <f t="shared" si="77"/>
        <v>0</v>
      </c>
      <c r="CT60" s="10">
        <f t="shared" si="77"/>
        <v>0</v>
      </c>
      <c r="CU60" s="10">
        <f t="shared" si="77"/>
        <v>0</v>
      </c>
      <c r="CV60" s="10">
        <f t="shared" si="77"/>
        <v>0</v>
      </c>
      <c r="CW60" s="10" t="e">
        <f t="shared" si="78"/>
        <v>#DIV/0!</v>
      </c>
      <c r="CX60" s="10" t="e">
        <f t="shared" si="78"/>
        <v>#DIV/0!</v>
      </c>
      <c r="CY60" s="10" t="e">
        <f t="shared" si="78"/>
        <v>#DIV/0!</v>
      </c>
      <c r="CZ60" s="10" t="e">
        <f t="shared" si="78"/>
        <v>#DIV/0!</v>
      </c>
    </row>
    <row r="61" spans="4:104" x14ac:dyDescent="0.15">
      <c r="D61" s="10">
        <v>46</v>
      </c>
      <c r="E61" s="10" t="e">
        <f t="shared" si="21"/>
        <v>#VALUE!</v>
      </c>
      <c r="F61" s="10" t="e">
        <f t="shared" si="1"/>
        <v>#VALUE!</v>
      </c>
      <c r="G61" s="10" t="e">
        <f t="shared" si="2"/>
        <v>#VALUE!</v>
      </c>
      <c r="H61" s="10" t="e">
        <f t="shared" si="22"/>
        <v>#VALUE!</v>
      </c>
      <c r="I61" s="10" t="e">
        <f t="shared" si="3"/>
        <v>#VALUE!</v>
      </c>
      <c r="J61" s="10" t="e">
        <f t="shared" si="23"/>
        <v>#VALUE!</v>
      </c>
      <c r="K61" s="10" t="e">
        <f t="shared" si="4"/>
        <v>#VALUE!</v>
      </c>
      <c r="L61" s="10" t="e">
        <f t="shared" si="5"/>
        <v>#VALUE!</v>
      </c>
      <c r="M61" s="10" t="e">
        <f t="shared" si="24"/>
        <v>#VALUE!</v>
      </c>
      <c r="O61" s="10" t="e">
        <f t="shared" si="25"/>
        <v>#VALUE!</v>
      </c>
      <c r="P61" s="10" t="e">
        <f t="shared" si="6"/>
        <v>#VALUE!</v>
      </c>
      <c r="Q61" s="10" t="e">
        <f t="shared" si="7"/>
        <v>#VALUE!</v>
      </c>
      <c r="R61" s="10" t="e">
        <f t="shared" si="26"/>
        <v>#VALUE!</v>
      </c>
      <c r="S61" s="10" t="e">
        <f t="shared" si="27"/>
        <v>#VALUE!</v>
      </c>
      <c r="T61" s="10" t="e">
        <f t="shared" si="62"/>
        <v>#VALUE!</v>
      </c>
      <c r="U61" s="10" t="e">
        <f t="shared" si="63"/>
        <v>#VALUE!</v>
      </c>
      <c r="V61" s="10" t="e">
        <f t="shared" si="8"/>
        <v>#VALUE!</v>
      </c>
      <c r="W61" s="10" t="e">
        <f t="shared" si="28"/>
        <v>#VALUE!</v>
      </c>
      <c r="Y61" s="10" t="e">
        <f t="shared" si="29"/>
        <v>#VALUE!</v>
      </c>
      <c r="Z61" s="11" t="e">
        <f t="shared" si="30"/>
        <v>#VALUE!</v>
      </c>
      <c r="AA61" s="10" t="e">
        <f t="shared" si="9"/>
        <v>#VALUE!</v>
      </c>
      <c r="AB61" s="10" t="e">
        <f t="shared" si="31"/>
        <v>#VALUE!</v>
      </c>
      <c r="AC61" s="10" t="e">
        <f t="shared" si="32"/>
        <v>#VALUE!</v>
      </c>
      <c r="AD61" s="10" t="e">
        <f t="shared" si="64"/>
        <v>#VALUE!</v>
      </c>
      <c r="AE61" s="10" t="e">
        <f t="shared" si="65"/>
        <v>#VALUE!</v>
      </c>
      <c r="AF61" s="10" t="e">
        <f t="shared" si="10"/>
        <v>#VALUE!</v>
      </c>
      <c r="AG61" s="10" t="e">
        <f t="shared" si="33"/>
        <v>#VALUE!</v>
      </c>
      <c r="AI61" s="13"/>
      <c r="AK61" s="10" t="e">
        <f t="shared" si="34"/>
        <v>#VALUE!</v>
      </c>
      <c r="AL61" s="10" t="e">
        <f t="shared" si="66"/>
        <v>#VALUE!</v>
      </c>
      <c r="AM61" s="10" t="e">
        <f t="shared" si="11"/>
        <v>#VALUE!</v>
      </c>
      <c r="AN61" s="10" t="e">
        <f t="shared" si="35"/>
        <v>#VALUE!</v>
      </c>
      <c r="AO61" s="10" t="e">
        <f t="shared" si="36"/>
        <v>#VALUE!</v>
      </c>
      <c r="AP61" s="10" t="e">
        <f t="shared" si="37"/>
        <v>#VALUE!</v>
      </c>
      <c r="AQ61" s="10" t="e">
        <f t="shared" si="67"/>
        <v>#VALUE!</v>
      </c>
      <c r="AR61" s="10" t="e">
        <f t="shared" si="12"/>
        <v>#VALUE!</v>
      </c>
      <c r="AS61" s="10" t="e">
        <f t="shared" si="68"/>
        <v>#VALUE!</v>
      </c>
      <c r="AU61" s="10" t="e">
        <f t="shared" si="38"/>
        <v>#VALUE!</v>
      </c>
      <c r="AV61" s="10" t="e">
        <f t="shared" si="69"/>
        <v>#VALUE!</v>
      </c>
      <c r="AW61" s="10" t="e">
        <f t="shared" si="13"/>
        <v>#VALUE!</v>
      </c>
      <c r="AX61" s="10" t="e">
        <f t="shared" si="39"/>
        <v>#VALUE!</v>
      </c>
      <c r="AY61" s="10" t="e">
        <f t="shared" si="40"/>
        <v>#VALUE!</v>
      </c>
      <c r="AZ61" s="10" t="e">
        <f t="shared" si="41"/>
        <v>#VALUE!</v>
      </c>
      <c r="BA61" s="10" t="e">
        <f t="shared" si="70"/>
        <v>#VALUE!</v>
      </c>
      <c r="BB61" s="10" t="e">
        <f t="shared" si="14"/>
        <v>#VALUE!</v>
      </c>
      <c r="BC61" s="10" t="e">
        <f t="shared" si="71"/>
        <v>#VALUE!</v>
      </c>
      <c r="BE61" s="10" t="e">
        <f t="shared" si="42"/>
        <v>#VALUE!</v>
      </c>
      <c r="BF61" s="10" t="e">
        <f t="shared" si="72"/>
        <v>#VALUE!</v>
      </c>
      <c r="BG61" s="10" t="e">
        <f t="shared" si="15"/>
        <v>#VALUE!</v>
      </c>
      <c r="BH61" s="10" t="e">
        <f t="shared" si="43"/>
        <v>#VALUE!</v>
      </c>
      <c r="BI61" s="10" t="e">
        <f t="shared" si="44"/>
        <v>#VALUE!</v>
      </c>
      <c r="BJ61" s="10" t="e">
        <f t="shared" si="45"/>
        <v>#VALUE!</v>
      </c>
      <c r="BK61" s="10" t="e">
        <f t="shared" si="73"/>
        <v>#VALUE!</v>
      </c>
      <c r="BL61" s="10" t="e">
        <f t="shared" si="16"/>
        <v>#VALUE!</v>
      </c>
      <c r="BM61" s="10" t="e">
        <f t="shared" si="74"/>
        <v>#VALUE!</v>
      </c>
      <c r="BP61" s="10" t="e">
        <f t="shared" si="46"/>
        <v>#VALUE!</v>
      </c>
      <c r="BQ61" s="10" t="e">
        <f t="shared" si="47"/>
        <v>#VALUE!</v>
      </c>
      <c r="BR61" s="10" t="e">
        <f t="shared" si="48"/>
        <v>#VALUE!</v>
      </c>
      <c r="BS61" s="10" t="e">
        <f t="shared" si="49"/>
        <v>#VALUE!</v>
      </c>
      <c r="BT61" s="10" t="e">
        <f t="shared" si="50"/>
        <v>#VALUE!</v>
      </c>
      <c r="BU61" s="10" t="e">
        <f t="shared" si="51"/>
        <v>#VALUE!</v>
      </c>
      <c r="BW61" s="10" t="e">
        <f t="shared" si="52"/>
        <v>#VALUE!</v>
      </c>
      <c r="BX61" s="10" t="e">
        <f t="shared" si="53"/>
        <v>#VALUE!</v>
      </c>
      <c r="BY61" s="10" t="e">
        <f t="shared" si="54"/>
        <v>#VALUE!</v>
      </c>
      <c r="BZ61" s="10" t="e">
        <f t="shared" si="55"/>
        <v>#VALUE!</v>
      </c>
      <c r="CA61" s="10" t="e">
        <f t="shared" si="56"/>
        <v>#VALUE!</v>
      </c>
      <c r="CB61" s="10" t="e">
        <f t="shared" si="57"/>
        <v>#VALUE!</v>
      </c>
      <c r="CD61" s="10" t="e">
        <f>MATCH(INDEX($BP$12:$BU$12,1,MATCH(BP61,$BP$15:$BU$15,0)),结果汇总!$AI$10:$AI$13,0)</f>
        <v>#VALUE!</v>
      </c>
      <c r="CE61" s="10" t="e">
        <f>MATCH(INDEX($BP$12:$BU$12,1,MATCH(BQ61,$BP$15:$BU$15,0)),结果汇总!$AI$10:$AI$13,0)</f>
        <v>#VALUE!</v>
      </c>
      <c r="CF61" s="10" t="e">
        <f>MATCH(INDEX($BP$12:$BU$12,1,MATCH(BR61,$BP$15:$BU$15,0)),结果汇总!$AI$10:$AI$13,0)</f>
        <v>#VALUE!</v>
      </c>
      <c r="CG61" s="10" t="e">
        <f>MATCH(INDEX($BP$12:$BU$12,1,MATCH(BS61,$BP$15:$BU$15,0)),结果汇总!$AI$10:$AI$13,0)</f>
        <v>#VALUE!</v>
      </c>
      <c r="CH61" s="10" t="e">
        <f>MATCH(INDEX($BP$12:$BU$12,1,MATCH(BT61,$BP$15:$BU$15,0)),结果汇总!$AI$10:$AI$13,0)</f>
        <v>#VALUE!</v>
      </c>
      <c r="CI61" s="10" t="e">
        <f>MATCH(INDEX($BP$12:$BU$12,1,MATCH(BU61,$BP$15:$BU$15,0)),结果汇总!$AI$10:$AI$13,0)</f>
        <v>#VALUE!</v>
      </c>
      <c r="CK61" s="10">
        <f t="shared" si="75"/>
        <v>0</v>
      </c>
      <c r="CL61" s="10">
        <f t="shared" si="75"/>
        <v>0</v>
      </c>
      <c r="CM61" s="10">
        <f t="shared" si="75"/>
        <v>0</v>
      </c>
      <c r="CN61" s="10">
        <f t="shared" si="75"/>
        <v>0</v>
      </c>
      <c r="CO61" s="10" t="e">
        <f t="shared" si="76"/>
        <v>#DIV/0!</v>
      </c>
      <c r="CP61" s="10" t="e">
        <f t="shared" si="76"/>
        <v>#DIV/0!</v>
      </c>
      <c r="CQ61" s="10" t="e">
        <f t="shared" si="76"/>
        <v>#DIV/0!</v>
      </c>
      <c r="CR61" s="10" t="e">
        <f t="shared" si="76"/>
        <v>#DIV/0!</v>
      </c>
      <c r="CS61" s="10">
        <f t="shared" si="77"/>
        <v>0</v>
      </c>
      <c r="CT61" s="10">
        <f t="shared" si="77"/>
        <v>0</v>
      </c>
      <c r="CU61" s="10">
        <f t="shared" si="77"/>
        <v>0</v>
      </c>
      <c r="CV61" s="10">
        <f t="shared" si="77"/>
        <v>0</v>
      </c>
      <c r="CW61" s="10" t="e">
        <f t="shared" si="78"/>
        <v>#DIV/0!</v>
      </c>
      <c r="CX61" s="10" t="e">
        <f t="shared" si="78"/>
        <v>#DIV/0!</v>
      </c>
      <c r="CY61" s="10" t="e">
        <f t="shared" si="78"/>
        <v>#DIV/0!</v>
      </c>
      <c r="CZ61" s="10" t="e">
        <f t="shared" si="78"/>
        <v>#DIV/0!</v>
      </c>
    </row>
    <row r="62" spans="4:104" x14ac:dyDescent="0.15">
      <c r="D62" s="10">
        <v>47</v>
      </c>
      <c r="E62" s="10" t="e">
        <f t="shared" si="21"/>
        <v>#VALUE!</v>
      </c>
      <c r="F62" s="10" t="e">
        <f t="shared" si="1"/>
        <v>#VALUE!</v>
      </c>
      <c r="G62" s="10" t="e">
        <f t="shared" si="2"/>
        <v>#VALUE!</v>
      </c>
      <c r="H62" s="10" t="e">
        <f t="shared" si="22"/>
        <v>#VALUE!</v>
      </c>
      <c r="I62" s="10" t="e">
        <f t="shared" si="3"/>
        <v>#VALUE!</v>
      </c>
      <c r="J62" s="10" t="e">
        <f t="shared" si="23"/>
        <v>#VALUE!</v>
      </c>
      <c r="K62" s="10" t="e">
        <f t="shared" si="4"/>
        <v>#VALUE!</v>
      </c>
      <c r="L62" s="10" t="e">
        <f t="shared" si="5"/>
        <v>#VALUE!</v>
      </c>
      <c r="M62" s="10" t="e">
        <f t="shared" si="24"/>
        <v>#VALUE!</v>
      </c>
      <c r="O62" s="10" t="e">
        <f t="shared" si="25"/>
        <v>#VALUE!</v>
      </c>
      <c r="P62" s="10" t="e">
        <f t="shared" si="6"/>
        <v>#VALUE!</v>
      </c>
      <c r="Q62" s="10" t="e">
        <f t="shared" si="7"/>
        <v>#VALUE!</v>
      </c>
      <c r="R62" s="10" t="e">
        <f t="shared" si="26"/>
        <v>#VALUE!</v>
      </c>
      <c r="S62" s="10" t="e">
        <f t="shared" si="27"/>
        <v>#VALUE!</v>
      </c>
      <c r="T62" s="10" t="e">
        <f t="shared" si="62"/>
        <v>#VALUE!</v>
      </c>
      <c r="U62" s="10" t="e">
        <f t="shared" si="63"/>
        <v>#VALUE!</v>
      </c>
      <c r="V62" s="10" t="e">
        <f t="shared" si="8"/>
        <v>#VALUE!</v>
      </c>
      <c r="W62" s="10" t="e">
        <f t="shared" si="28"/>
        <v>#VALUE!</v>
      </c>
      <c r="Y62" s="10" t="e">
        <f t="shared" si="29"/>
        <v>#VALUE!</v>
      </c>
      <c r="Z62" s="11" t="e">
        <f t="shared" si="30"/>
        <v>#VALUE!</v>
      </c>
      <c r="AA62" s="10" t="e">
        <f t="shared" si="9"/>
        <v>#VALUE!</v>
      </c>
      <c r="AB62" s="10" t="e">
        <f t="shared" si="31"/>
        <v>#VALUE!</v>
      </c>
      <c r="AC62" s="10" t="e">
        <f t="shared" si="32"/>
        <v>#VALUE!</v>
      </c>
      <c r="AD62" s="10" t="e">
        <f t="shared" si="64"/>
        <v>#VALUE!</v>
      </c>
      <c r="AE62" s="10" t="e">
        <f t="shared" si="65"/>
        <v>#VALUE!</v>
      </c>
      <c r="AF62" s="10" t="e">
        <f t="shared" si="10"/>
        <v>#VALUE!</v>
      </c>
      <c r="AG62" s="10" t="e">
        <f t="shared" si="33"/>
        <v>#VALUE!</v>
      </c>
      <c r="AI62" s="13"/>
      <c r="AK62" s="10" t="e">
        <f t="shared" si="34"/>
        <v>#VALUE!</v>
      </c>
      <c r="AL62" s="10" t="e">
        <f t="shared" si="66"/>
        <v>#VALUE!</v>
      </c>
      <c r="AM62" s="10" t="e">
        <f t="shared" si="11"/>
        <v>#VALUE!</v>
      </c>
      <c r="AN62" s="10" t="e">
        <f t="shared" si="35"/>
        <v>#VALUE!</v>
      </c>
      <c r="AO62" s="10" t="e">
        <f t="shared" si="36"/>
        <v>#VALUE!</v>
      </c>
      <c r="AP62" s="10" t="e">
        <f t="shared" si="37"/>
        <v>#VALUE!</v>
      </c>
      <c r="AQ62" s="10" t="e">
        <f t="shared" si="67"/>
        <v>#VALUE!</v>
      </c>
      <c r="AR62" s="10" t="e">
        <f t="shared" si="12"/>
        <v>#VALUE!</v>
      </c>
      <c r="AS62" s="10" t="e">
        <f t="shared" si="68"/>
        <v>#VALUE!</v>
      </c>
      <c r="AU62" s="10" t="e">
        <f t="shared" si="38"/>
        <v>#VALUE!</v>
      </c>
      <c r="AV62" s="10" t="e">
        <f t="shared" si="69"/>
        <v>#VALUE!</v>
      </c>
      <c r="AW62" s="10" t="e">
        <f t="shared" si="13"/>
        <v>#VALUE!</v>
      </c>
      <c r="AX62" s="10" t="e">
        <f t="shared" si="39"/>
        <v>#VALUE!</v>
      </c>
      <c r="AY62" s="10" t="e">
        <f t="shared" si="40"/>
        <v>#VALUE!</v>
      </c>
      <c r="AZ62" s="10" t="e">
        <f t="shared" si="41"/>
        <v>#VALUE!</v>
      </c>
      <c r="BA62" s="10" t="e">
        <f t="shared" si="70"/>
        <v>#VALUE!</v>
      </c>
      <c r="BB62" s="10" t="e">
        <f t="shared" si="14"/>
        <v>#VALUE!</v>
      </c>
      <c r="BC62" s="10" t="e">
        <f t="shared" si="71"/>
        <v>#VALUE!</v>
      </c>
      <c r="BE62" s="10" t="e">
        <f t="shared" si="42"/>
        <v>#VALUE!</v>
      </c>
      <c r="BF62" s="10" t="e">
        <f t="shared" si="72"/>
        <v>#VALUE!</v>
      </c>
      <c r="BG62" s="10" t="e">
        <f t="shared" si="15"/>
        <v>#VALUE!</v>
      </c>
      <c r="BH62" s="10" t="e">
        <f t="shared" si="43"/>
        <v>#VALUE!</v>
      </c>
      <c r="BI62" s="10" t="e">
        <f t="shared" si="44"/>
        <v>#VALUE!</v>
      </c>
      <c r="BJ62" s="10" t="e">
        <f t="shared" si="45"/>
        <v>#VALUE!</v>
      </c>
      <c r="BK62" s="10" t="e">
        <f t="shared" si="73"/>
        <v>#VALUE!</v>
      </c>
      <c r="BL62" s="10" t="e">
        <f t="shared" si="16"/>
        <v>#VALUE!</v>
      </c>
      <c r="BM62" s="10" t="e">
        <f t="shared" si="74"/>
        <v>#VALUE!</v>
      </c>
      <c r="BP62" s="10" t="e">
        <f t="shared" si="46"/>
        <v>#VALUE!</v>
      </c>
      <c r="BQ62" s="10" t="e">
        <f t="shared" si="47"/>
        <v>#VALUE!</v>
      </c>
      <c r="BR62" s="10" t="e">
        <f t="shared" si="48"/>
        <v>#VALUE!</v>
      </c>
      <c r="BS62" s="10" t="e">
        <f t="shared" si="49"/>
        <v>#VALUE!</v>
      </c>
      <c r="BT62" s="10" t="e">
        <f t="shared" si="50"/>
        <v>#VALUE!</v>
      </c>
      <c r="BU62" s="10" t="e">
        <f t="shared" si="51"/>
        <v>#VALUE!</v>
      </c>
      <c r="BW62" s="10" t="e">
        <f t="shared" si="52"/>
        <v>#VALUE!</v>
      </c>
      <c r="BX62" s="10" t="e">
        <f t="shared" si="53"/>
        <v>#VALUE!</v>
      </c>
      <c r="BY62" s="10" t="e">
        <f t="shared" si="54"/>
        <v>#VALUE!</v>
      </c>
      <c r="BZ62" s="10" t="e">
        <f t="shared" si="55"/>
        <v>#VALUE!</v>
      </c>
      <c r="CA62" s="10" t="e">
        <f t="shared" si="56"/>
        <v>#VALUE!</v>
      </c>
      <c r="CB62" s="10" t="e">
        <f t="shared" si="57"/>
        <v>#VALUE!</v>
      </c>
      <c r="CD62" s="10" t="e">
        <f>MATCH(INDEX($BP$12:$BU$12,1,MATCH(BP62,$BP$15:$BU$15,0)),结果汇总!$AI$10:$AI$13,0)</f>
        <v>#VALUE!</v>
      </c>
      <c r="CE62" s="10" t="e">
        <f>MATCH(INDEX($BP$12:$BU$12,1,MATCH(BQ62,$BP$15:$BU$15,0)),结果汇总!$AI$10:$AI$13,0)</f>
        <v>#VALUE!</v>
      </c>
      <c r="CF62" s="10" t="e">
        <f>MATCH(INDEX($BP$12:$BU$12,1,MATCH(BR62,$BP$15:$BU$15,0)),结果汇总!$AI$10:$AI$13,0)</f>
        <v>#VALUE!</v>
      </c>
      <c r="CG62" s="10" t="e">
        <f>MATCH(INDEX($BP$12:$BU$12,1,MATCH(BS62,$BP$15:$BU$15,0)),结果汇总!$AI$10:$AI$13,0)</f>
        <v>#VALUE!</v>
      </c>
      <c r="CH62" s="10" t="e">
        <f>MATCH(INDEX($BP$12:$BU$12,1,MATCH(BT62,$BP$15:$BU$15,0)),结果汇总!$AI$10:$AI$13,0)</f>
        <v>#VALUE!</v>
      </c>
      <c r="CI62" s="10" t="e">
        <f>MATCH(INDEX($BP$12:$BU$12,1,MATCH(BU62,$BP$15:$BU$15,0)),结果汇总!$AI$10:$AI$13,0)</f>
        <v>#VALUE!</v>
      </c>
      <c r="CK62" s="10">
        <f t="shared" si="75"/>
        <v>0</v>
      </c>
      <c r="CL62" s="10">
        <f t="shared" si="75"/>
        <v>0</v>
      </c>
      <c r="CM62" s="10">
        <f t="shared" si="75"/>
        <v>0</v>
      </c>
      <c r="CN62" s="10">
        <f t="shared" si="75"/>
        <v>0</v>
      </c>
      <c r="CO62" s="10" t="e">
        <f t="shared" si="76"/>
        <v>#DIV/0!</v>
      </c>
      <c r="CP62" s="10" t="e">
        <f t="shared" si="76"/>
        <v>#DIV/0!</v>
      </c>
      <c r="CQ62" s="10" t="e">
        <f t="shared" si="76"/>
        <v>#DIV/0!</v>
      </c>
      <c r="CR62" s="10" t="e">
        <f t="shared" si="76"/>
        <v>#DIV/0!</v>
      </c>
      <c r="CS62" s="10">
        <f t="shared" si="77"/>
        <v>0</v>
      </c>
      <c r="CT62" s="10">
        <f t="shared" si="77"/>
        <v>0</v>
      </c>
      <c r="CU62" s="10">
        <f t="shared" si="77"/>
        <v>0</v>
      </c>
      <c r="CV62" s="10">
        <f t="shared" si="77"/>
        <v>0</v>
      </c>
      <c r="CW62" s="10" t="e">
        <f t="shared" si="78"/>
        <v>#DIV/0!</v>
      </c>
      <c r="CX62" s="10" t="e">
        <f t="shared" si="78"/>
        <v>#DIV/0!</v>
      </c>
      <c r="CY62" s="10" t="e">
        <f t="shared" si="78"/>
        <v>#DIV/0!</v>
      </c>
      <c r="CZ62" s="10" t="e">
        <f t="shared" si="78"/>
        <v>#DIV/0!</v>
      </c>
    </row>
    <row r="63" spans="4:104" x14ac:dyDescent="0.15">
      <c r="D63" s="10">
        <v>48</v>
      </c>
      <c r="E63" s="10" t="e">
        <f t="shared" si="21"/>
        <v>#VALUE!</v>
      </c>
      <c r="F63" s="10" t="e">
        <f t="shared" si="1"/>
        <v>#VALUE!</v>
      </c>
      <c r="G63" s="10" t="e">
        <f t="shared" si="2"/>
        <v>#VALUE!</v>
      </c>
      <c r="H63" s="10" t="e">
        <f t="shared" si="22"/>
        <v>#VALUE!</v>
      </c>
      <c r="I63" s="10" t="e">
        <f t="shared" si="3"/>
        <v>#VALUE!</v>
      </c>
      <c r="J63" s="10" t="e">
        <f t="shared" si="23"/>
        <v>#VALUE!</v>
      </c>
      <c r="K63" s="10" t="e">
        <f t="shared" si="4"/>
        <v>#VALUE!</v>
      </c>
      <c r="L63" s="10" t="e">
        <f t="shared" si="5"/>
        <v>#VALUE!</v>
      </c>
      <c r="M63" s="10" t="e">
        <f t="shared" si="24"/>
        <v>#VALUE!</v>
      </c>
      <c r="O63" s="10" t="e">
        <f t="shared" si="25"/>
        <v>#VALUE!</v>
      </c>
      <c r="P63" s="10" t="e">
        <f t="shared" si="6"/>
        <v>#VALUE!</v>
      </c>
      <c r="Q63" s="10" t="e">
        <f t="shared" si="7"/>
        <v>#VALUE!</v>
      </c>
      <c r="R63" s="10" t="e">
        <f t="shared" si="26"/>
        <v>#VALUE!</v>
      </c>
      <c r="S63" s="10" t="e">
        <f t="shared" si="27"/>
        <v>#VALUE!</v>
      </c>
      <c r="T63" s="10" t="e">
        <f t="shared" si="62"/>
        <v>#VALUE!</v>
      </c>
      <c r="U63" s="10" t="e">
        <f t="shared" si="63"/>
        <v>#VALUE!</v>
      </c>
      <c r="V63" s="10" t="e">
        <f t="shared" si="8"/>
        <v>#VALUE!</v>
      </c>
      <c r="W63" s="10" t="e">
        <f t="shared" si="28"/>
        <v>#VALUE!</v>
      </c>
      <c r="Y63" s="10" t="e">
        <f t="shared" si="29"/>
        <v>#VALUE!</v>
      </c>
      <c r="Z63" s="11" t="e">
        <f t="shared" si="30"/>
        <v>#VALUE!</v>
      </c>
      <c r="AA63" s="10" t="e">
        <f t="shared" si="9"/>
        <v>#VALUE!</v>
      </c>
      <c r="AB63" s="10" t="e">
        <f t="shared" si="31"/>
        <v>#VALUE!</v>
      </c>
      <c r="AC63" s="10" t="e">
        <f t="shared" si="32"/>
        <v>#VALUE!</v>
      </c>
      <c r="AD63" s="10" t="e">
        <f t="shared" si="64"/>
        <v>#VALUE!</v>
      </c>
      <c r="AE63" s="10" t="e">
        <f t="shared" si="65"/>
        <v>#VALUE!</v>
      </c>
      <c r="AF63" s="10" t="e">
        <f t="shared" si="10"/>
        <v>#VALUE!</v>
      </c>
      <c r="AG63" s="10" t="e">
        <f t="shared" si="33"/>
        <v>#VALUE!</v>
      </c>
      <c r="AI63" s="13"/>
      <c r="AK63" s="10" t="e">
        <f t="shared" si="34"/>
        <v>#VALUE!</v>
      </c>
      <c r="AL63" s="10" t="e">
        <f t="shared" si="66"/>
        <v>#VALUE!</v>
      </c>
      <c r="AM63" s="10" t="e">
        <f t="shared" si="11"/>
        <v>#VALUE!</v>
      </c>
      <c r="AN63" s="10" t="e">
        <f t="shared" si="35"/>
        <v>#VALUE!</v>
      </c>
      <c r="AO63" s="10" t="e">
        <f t="shared" si="36"/>
        <v>#VALUE!</v>
      </c>
      <c r="AP63" s="10" t="e">
        <f t="shared" si="37"/>
        <v>#VALUE!</v>
      </c>
      <c r="AQ63" s="10" t="e">
        <f t="shared" si="67"/>
        <v>#VALUE!</v>
      </c>
      <c r="AR63" s="10" t="e">
        <f t="shared" si="12"/>
        <v>#VALUE!</v>
      </c>
      <c r="AS63" s="10" t="e">
        <f t="shared" si="68"/>
        <v>#VALUE!</v>
      </c>
      <c r="AU63" s="10" t="e">
        <f t="shared" si="38"/>
        <v>#VALUE!</v>
      </c>
      <c r="AV63" s="10" t="e">
        <f t="shared" si="69"/>
        <v>#VALUE!</v>
      </c>
      <c r="AW63" s="10" t="e">
        <f t="shared" si="13"/>
        <v>#VALUE!</v>
      </c>
      <c r="AX63" s="10" t="e">
        <f t="shared" si="39"/>
        <v>#VALUE!</v>
      </c>
      <c r="AY63" s="10" t="e">
        <f t="shared" si="40"/>
        <v>#VALUE!</v>
      </c>
      <c r="AZ63" s="10" t="e">
        <f t="shared" si="41"/>
        <v>#VALUE!</v>
      </c>
      <c r="BA63" s="10" t="e">
        <f t="shared" si="70"/>
        <v>#VALUE!</v>
      </c>
      <c r="BB63" s="10" t="e">
        <f t="shared" si="14"/>
        <v>#VALUE!</v>
      </c>
      <c r="BC63" s="10" t="e">
        <f t="shared" si="71"/>
        <v>#VALUE!</v>
      </c>
      <c r="BE63" s="10" t="e">
        <f t="shared" si="42"/>
        <v>#VALUE!</v>
      </c>
      <c r="BF63" s="10" t="e">
        <f t="shared" si="72"/>
        <v>#VALUE!</v>
      </c>
      <c r="BG63" s="10" t="e">
        <f t="shared" si="15"/>
        <v>#VALUE!</v>
      </c>
      <c r="BH63" s="10" t="e">
        <f t="shared" si="43"/>
        <v>#VALUE!</v>
      </c>
      <c r="BI63" s="10" t="e">
        <f t="shared" si="44"/>
        <v>#VALUE!</v>
      </c>
      <c r="BJ63" s="10" t="e">
        <f t="shared" si="45"/>
        <v>#VALUE!</v>
      </c>
      <c r="BK63" s="10" t="e">
        <f t="shared" si="73"/>
        <v>#VALUE!</v>
      </c>
      <c r="BL63" s="10" t="e">
        <f t="shared" si="16"/>
        <v>#VALUE!</v>
      </c>
      <c r="BM63" s="10" t="e">
        <f t="shared" si="74"/>
        <v>#VALUE!</v>
      </c>
      <c r="BP63" s="10" t="e">
        <f t="shared" si="46"/>
        <v>#VALUE!</v>
      </c>
      <c r="BQ63" s="10" t="e">
        <f t="shared" si="47"/>
        <v>#VALUE!</v>
      </c>
      <c r="BR63" s="10" t="e">
        <f t="shared" si="48"/>
        <v>#VALUE!</v>
      </c>
      <c r="BS63" s="10" t="e">
        <f t="shared" si="49"/>
        <v>#VALUE!</v>
      </c>
      <c r="BT63" s="10" t="e">
        <f t="shared" si="50"/>
        <v>#VALUE!</v>
      </c>
      <c r="BU63" s="10" t="e">
        <f t="shared" si="51"/>
        <v>#VALUE!</v>
      </c>
      <c r="BW63" s="10" t="e">
        <f t="shared" si="52"/>
        <v>#VALUE!</v>
      </c>
      <c r="BX63" s="10" t="e">
        <f t="shared" si="53"/>
        <v>#VALUE!</v>
      </c>
      <c r="BY63" s="10" t="e">
        <f t="shared" si="54"/>
        <v>#VALUE!</v>
      </c>
      <c r="BZ63" s="10" t="e">
        <f t="shared" si="55"/>
        <v>#VALUE!</v>
      </c>
      <c r="CA63" s="10" t="e">
        <f t="shared" si="56"/>
        <v>#VALUE!</v>
      </c>
      <c r="CB63" s="10" t="e">
        <f t="shared" si="57"/>
        <v>#VALUE!</v>
      </c>
      <c r="CD63" s="10" t="e">
        <f>MATCH(INDEX($BP$12:$BU$12,1,MATCH(BP63,$BP$15:$BU$15,0)),结果汇总!$AI$10:$AI$13,0)</f>
        <v>#VALUE!</v>
      </c>
      <c r="CE63" s="10" t="e">
        <f>MATCH(INDEX($BP$12:$BU$12,1,MATCH(BQ63,$BP$15:$BU$15,0)),结果汇总!$AI$10:$AI$13,0)</f>
        <v>#VALUE!</v>
      </c>
      <c r="CF63" s="10" t="e">
        <f>MATCH(INDEX($BP$12:$BU$12,1,MATCH(BR63,$BP$15:$BU$15,0)),结果汇总!$AI$10:$AI$13,0)</f>
        <v>#VALUE!</v>
      </c>
      <c r="CG63" s="10" t="e">
        <f>MATCH(INDEX($BP$12:$BU$12,1,MATCH(BS63,$BP$15:$BU$15,0)),结果汇总!$AI$10:$AI$13,0)</f>
        <v>#VALUE!</v>
      </c>
      <c r="CH63" s="10" t="e">
        <f>MATCH(INDEX($BP$12:$BU$12,1,MATCH(BT63,$BP$15:$BU$15,0)),结果汇总!$AI$10:$AI$13,0)</f>
        <v>#VALUE!</v>
      </c>
      <c r="CI63" s="10" t="e">
        <f>MATCH(INDEX($BP$12:$BU$12,1,MATCH(BU63,$BP$15:$BU$15,0)),结果汇总!$AI$10:$AI$13,0)</f>
        <v>#VALUE!</v>
      </c>
      <c r="CK63" s="10">
        <f t="shared" si="75"/>
        <v>0</v>
      </c>
      <c r="CL63" s="10">
        <f t="shared" si="75"/>
        <v>0</v>
      </c>
      <c r="CM63" s="10">
        <f t="shared" si="75"/>
        <v>0</v>
      </c>
      <c r="CN63" s="10">
        <f t="shared" si="75"/>
        <v>0</v>
      </c>
      <c r="CO63" s="10" t="e">
        <f t="shared" si="76"/>
        <v>#DIV/0!</v>
      </c>
      <c r="CP63" s="10" t="e">
        <f t="shared" si="76"/>
        <v>#DIV/0!</v>
      </c>
      <c r="CQ63" s="10" t="e">
        <f t="shared" si="76"/>
        <v>#DIV/0!</v>
      </c>
      <c r="CR63" s="10" t="e">
        <f t="shared" si="76"/>
        <v>#DIV/0!</v>
      </c>
      <c r="CS63" s="10">
        <f t="shared" si="77"/>
        <v>0</v>
      </c>
      <c r="CT63" s="10">
        <f t="shared" si="77"/>
        <v>0</v>
      </c>
      <c r="CU63" s="10">
        <f t="shared" si="77"/>
        <v>0</v>
      </c>
      <c r="CV63" s="10">
        <f t="shared" si="77"/>
        <v>0</v>
      </c>
      <c r="CW63" s="10" t="e">
        <f t="shared" si="78"/>
        <v>#DIV/0!</v>
      </c>
      <c r="CX63" s="10" t="e">
        <f t="shared" si="78"/>
        <v>#DIV/0!</v>
      </c>
      <c r="CY63" s="10" t="e">
        <f t="shared" si="78"/>
        <v>#DIV/0!</v>
      </c>
      <c r="CZ63" s="10" t="e">
        <f t="shared" si="78"/>
        <v>#DIV/0!</v>
      </c>
    </row>
    <row r="64" spans="4:104" x14ac:dyDescent="0.15">
      <c r="D64" s="10">
        <v>49</v>
      </c>
      <c r="E64" s="10" t="e">
        <f t="shared" si="21"/>
        <v>#VALUE!</v>
      </c>
      <c r="F64" s="10" t="e">
        <f t="shared" si="1"/>
        <v>#VALUE!</v>
      </c>
      <c r="G64" s="10" t="e">
        <f t="shared" si="2"/>
        <v>#VALUE!</v>
      </c>
      <c r="H64" s="10" t="e">
        <f t="shared" si="22"/>
        <v>#VALUE!</v>
      </c>
      <c r="I64" s="10" t="e">
        <f t="shared" si="3"/>
        <v>#VALUE!</v>
      </c>
      <c r="J64" s="10" t="e">
        <f t="shared" si="23"/>
        <v>#VALUE!</v>
      </c>
      <c r="K64" s="10" t="e">
        <f t="shared" si="4"/>
        <v>#VALUE!</v>
      </c>
      <c r="L64" s="10" t="e">
        <f t="shared" si="5"/>
        <v>#VALUE!</v>
      </c>
      <c r="M64" s="10" t="e">
        <f t="shared" si="24"/>
        <v>#VALUE!</v>
      </c>
      <c r="O64" s="10" t="e">
        <f t="shared" si="25"/>
        <v>#VALUE!</v>
      </c>
      <c r="P64" s="10" t="e">
        <f t="shared" si="6"/>
        <v>#VALUE!</v>
      </c>
      <c r="Q64" s="10" t="e">
        <f t="shared" si="7"/>
        <v>#VALUE!</v>
      </c>
      <c r="R64" s="10" t="e">
        <f t="shared" si="26"/>
        <v>#VALUE!</v>
      </c>
      <c r="S64" s="10" t="e">
        <f t="shared" si="27"/>
        <v>#VALUE!</v>
      </c>
      <c r="T64" s="10" t="e">
        <f t="shared" si="62"/>
        <v>#VALUE!</v>
      </c>
      <c r="U64" s="10" t="e">
        <f t="shared" si="63"/>
        <v>#VALUE!</v>
      </c>
      <c r="V64" s="10" t="e">
        <f t="shared" si="8"/>
        <v>#VALUE!</v>
      </c>
      <c r="W64" s="10" t="e">
        <f t="shared" si="28"/>
        <v>#VALUE!</v>
      </c>
      <c r="Y64" s="10" t="e">
        <f t="shared" si="29"/>
        <v>#VALUE!</v>
      </c>
      <c r="Z64" s="11" t="e">
        <f t="shared" si="30"/>
        <v>#VALUE!</v>
      </c>
      <c r="AA64" s="10" t="e">
        <f t="shared" si="9"/>
        <v>#VALUE!</v>
      </c>
      <c r="AB64" s="10" t="e">
        <f t="shared" si="31"/>
        <v>#VALUE!</v>
      </c>
      <c r="AC64" s="10" t="e">
        <f t="shared" si="32"/>
        <v>#VALUE!</v>
      </c>
      <c r="AD64" s="10" t="e">
        <f t="shared" si="64"/>
        <v>#VALUE!</v>
      </c>
      <c r="AE64" s="10" t="e">
        <f t="shared" si="65"/>
        <v>#VALUE!</v>
      </c>
      <c r="AF64" s="10" t="e">
        <f t="shared" si="10"/>
        <v>#VALUE!</v>
      </c>
      <c r="AG64" s="10" t="e">
        <f t="shared" si="33"/>
        <v>#VALUE!</v>
      </c>
      <c r="AI64" s="13"/>
      <c r="AK64" s="10" t="e">
        <f t="shared" si="34"/>
        <v>#VALUE!</v>
      </c>
      <c r="AL64" s="10" t="e">
        <f t="shared" si="66"/>
        <v>#VALUE!</v>
      </c>
      <c r="AM64" s="10" t="e">
        <f t="shared" si="11"/>
        <v>#VALUE!</v>
      </c>
      <c r="AN64" s="10" t="e">
        <f t="shared" si="35"/>
        <v>#VALUE!</v>
      </c>
      <c r="AO64" s="10" t="e">
        <f t="shared" si="36"/>
        <v>#VALUE!</v>
      </c>
      <c r="AP64" s="10" t="e">
        <f t="shared" si="37"/>
        <v>#VALUE!</v>
      </c>
      <c r="AQ64" s="10" t="e">
        <f t="shared" si="67"/>
        <v>#VALUE!</v>
      </c>
      <c r="AR64" s="10" t="e">
        <f t="shared" si="12"/>
        <v>#VALUE!</v>
      </c>
      <c r="AS64" s="10" t="e">
        <f t="shared" si="68"/>
        <v>#VALUE!</v>
      </c>
      <c r="AU64" s="10" t="e">
        <f t="shared" si="38"/>
        <v>#VALUE!</v>
      </c>
      <c r="AV64" s="10" t="e">
        <f t="shared" si="69"/>
        <v>#VALUE!</v>
      </c>
      <c r="AW64" s="10" t="e">
        <f t="shared" si="13"/>
        <v>#VALUE!</v>
      </c>
      <c r="AX64" s="10" t="e">
        <f t="shared" si="39"/>
        <v>#VALUE!</v>
      </c>
      <c r="AY64" s="10" t="e">
        <f t="shared" si="40"/>
        <v>#VALUE!</v>
      </c>
      <c r="AZ64" s="10" t="e">
        <f t="shared" si="41"/>
        <v>#VALUE!</v>
      </c>
      <c r="BA64" s="10" t="e">
        <f t="shared" si="70"/>
        <v>#VALUE!</v>
      </c>
      <c r="BB64" s="10" t="e">
        <f t="shared" si="14"/>
        <v>#VALUE!</v>
      </c>
      <c r="BC64" s="10" t="e">
        <f t="shared" si="71"/>
        <v>#VALUE!</v>
      </c>
      <c r="BE64" s="10" t="e">
        <f t="shared" si="42"/>
        <v>#VALUE!</v>
      </c>
      <c r="BF64" s="10" t="e">
        <f t="shared" si="72"/>
        <v>#VALUE!</v>
      </c>
      <c r="BG64" s="10" t="e">
        <f t="shared" si="15"/>
        <v>#VALUE!</v>
      </c>
      <c r="BH64" s="10" t="e">
        <f t="shared" si="43"/>
        <v>#VALUE!</v>
      </c>
      <c r="BI64" s="10" t="e">
        <f t="shared" si="44"/>
        <v>#VALUE!</v>
      </c>
      <c r="BJ64" s="10" t="e">
        <f t="shared" si="45"/>
        <v>#VALUE!</v>
      </c>
      <c r="BK64" s="10" t="e">
        <f t="shared" si="73"/>
        <v>#VALUE!</v>
      </c>
      <c r="BL64" s="10" t="e">
        <f t="shared" si="16"/>
        <v>#VALUE!</v>
      </c>
      <c r="BM64" s="10" t="e">
        <f t="shared" si="74"/>
        <v>#VALUE!</v>
      </c>
      <c r="BP64" s="10" t="e">
        <f t="shared" si="46"/>
        <v>#VALUE!</v>
      </c>
      <c r="BQ64" s="10" t="e">
        <f t="shared" si="47"/>
        <v>#VALUE!</v>
      </c>
      <c r="BR64" s="10" t="e">
        <f t="shared" si="48"/>
        <v>#VALUE!</v>
      </c>
      <c r="BS64" s="10" t="e">
        <f t="shared" si="49"/>
        <v>#VALUE!</v>
      </c>
      <c r="BT64" s="10" t="e">
        <f t="shared" si="50"/>
        <v>#VALUE!</v>
      </c>
      <c r="BU64" s="10" t="e">
        <f t="shared" si="51"/>
        <v>#VALUE!</v>
      </c>
      <c r="BW64" s="10" t="e">
        <f t="shared" si="52"/>
        <v>#VALUE!</v>
      </c>
      <c r="BX64" s="10" t="e">
        <f t="shared" si="53"/>
        <v>#VALUE!</v>
      </c>
      <c r="BY64" s="10" t="e">
        <f t="shared" si="54"/>
        <v>#VALUE!</v>
      </c>
      <c r="BZ64" s="10" t="e">
        <f t="shared" si="55"/>
        <v>#VALUE!</v>
      </c>
      <c r="CA64" s="10" t="e">
        <f t="shared" si="56"/>
        <v>#VALUE!</v>
      </c>
      <c r="CB64" s="10" t="e">
        <f t="shared" si="57"/>
        <v>#VALUE!</v>
      </c>
      <c r="CD64" s="10" t="e">
        <f>MATCH(INDEX($BP$12:$BU$12,1,MATCH(BP64,$BP$15:$BU$15,0)),结果汇总!$AI$10:$AI$13,0)</f>
        <v>#VALUE!</v>
      </c>
      <c r="CE64" s="10" t="e">
        <f>MATCH(INDEX($BP$12:$BU$12,1,MATCH(BQ64,$BP$15:$BU$15,0)),结果汇总!$AI$10:$AI$13,0)</f>
        <v>#VALUE!</v>
      </c>
      <c r="CF64" s="10" t="e">
        <f>MATCH(INDEX($BP$12:$BU$12,1,MATCH(BR64,$BP$15:$BU$15,0)),结果汇总!$AI$10:$AI$13,0)</f>
        <v>#VALUE!</v>
      </c>
      <c r="CG64" s="10" t="e">
        <f>MATCH(INDEX($BP$12:$BU$12,1,MATCH(BS64,$BP$15:$BU$15,0)),结果汇总!$AI$10:$AI$13,0)</f>
        <v>#VALUE!</v>
      </c>
      <c r="CH64" s="10" t="e">
        <f>MATCH(INDEX($BP$12:$BU$12,1,MATCH(BT64,$BP$15:$BU$15,0)),结果汇总!$AI$10:$AI$13,0)</f>
        <v>#VALUE!</v>
      </c>
      <c r="CI64" s="10" t="e">
        <f>MATCH(INDEX($BP$12:$BU$12,1,MATCH(BU64,$BP$15:$BU$15,0)),结果汇总!$AI$10:$AI$13,0)</f>
        <v>#VALUE!</v>
      </c>
      <c r="CK64" s="10">
        <f t="shared" si="75"/>
        <v>0</v>
      </c>
      <c r="CL64" s="10">
        <f t="shared" si="75"/>
        <v>0</v>
      </c>
      <c r="CM64" s="10">
        <f t="shared" si="75"/>
        <v>0</v>
      </c>
      <c r="CN64" s="10">
        <f t="shared" si="75"/>
        <v>0</v>
      </c>
      <c r="CO64" s="10" t="e">
        <f t="shared" si="76"/>
        <v>#DIV/0!</v>
      </c>
      <c r="CP64" s="10" t="e">
        <f t="shared" si="76"/>
        <v>#DIV/0!</v>
      </c>
      <c r="CQ64" s="10" t="e">
        <f t="shared" si="76"/>
        <v>#DIV/0!</v>
      </c>
      <c r="CR64" s="10" t="e">
        <f t="shared" si="76"/>
        <v>#DIV/0!</v>
      </c>
      <c r="CS64" s="10">
        <f t="shared" si="77"/>
        <v>0</v>
      </c>
      <c r="CT64" s="10">
        <f t="shared" si="77"/>
        <v>0</v>
      </c>
      <c r="CU64" s="10">
        <f t="shared" si="77"/>
        <v>0</v>
      </c>
      <c r="CV64" s="10">
        <f t="shared" si="77"/>
        <v>0</v>
      </c>
      <c r="CW64" s="10" t="e">
        <f t="shared" si="78"/>
        <v>#DIV/0!</v>
      </c>
      <c r="CX64" s="10" t="e">
        <f t="shared" si="78"/>
        <v>#DIV/0!</v>
      </c>
      <c r="CY64" s="10" t="e">
        <f t="shared" si="78"/>
        <v>#DIV/0!</v>
      </c>
      <c r="CZ64" s="10" t="e">
        <f t="shared" si="78"/>
        <v>#DIV/0!</v>
      </c>
    </row>
    <row r="65" spans="4:104" x14ac:dyDescent="0.15">
      <c r="D65" s="10">
        <v>50</v>
      </c>
      <c r="E65" s="10" t="e">
        <f t="shared" si="21"/>
        <v>#VALUE!</v>
      </c>
      <c r="F65" s="10" t="e">
        <f t="shared" si="1"/>
        <v>#VALUE!</v>
      </c>
      <c r="G65" s="10" t="e">
        <f t="shared" si="2"/>
        <v>#VALUE!</v>
      </c>
      <c r="H65" s="10" t="e">
        <f t="shared" si="22"/>
        <v>#VALUE!</v>
      </c>
      <c r="I65" s="10" t="e">
        <f t="shared" si="3"/>
        <v>#VALUE!</v>
      </c>
      <c r="J65" s="10" t="e">
        <f t="shared" si="23"/>
        <v>#VALUE!</v>
      </c>
      <c r="K65" s="10" t="e">
        <f t="shared" si="4"/>
        <v>#VALUE!</v>
      </c>
      <c r="L65" s="10" t="e">
        <f t="shared" si="5"/>
        <v>#VALUE!</v>
      </c>
      <c r="M65" s="10" t="e">
        <f t="shared" si="24"/>
        <v>#VALUE!</v>
      </c>
      <c r="O65" s="10" t="e">
        <f t="shared" si="25"/>
        <v>#VALUE!</v>
      </c>
      <c r="P65" s="10" t="e">
        <f t="shared" si="6"/>
        <v>#VALUE!</v>
      </c>
      <c r="Q65" s="10" t="e">
        <f t="shared" si="7"/>
        <v>#VALUE!</v>
      </c>
      <c r="R65" s="10" t="e">
        <f t="shared" si="26"/>
        <v>#VALUE!</v>
      </c>
      <c r="S65" s="10" t="e">
        <f t="shared" si="27"/>
        <v>#VALUE!</v>
      </c>
      <c r="T65" s="10" t="e">
        <f t="shared" si="62"/>
        <v>#VALUE!</v>
      </c>
      <c r="U65" s="10" t="e">
        <f t="shared" si="63"/>
        <v>#VALUE!</v>
      </c>
      <c r="V65" s="10" t="e">
        <f t="shared" si="8"/>
        <v>#VALUE!</v>
      </c>
      <c r="W65" s="10" t="e">
        <f t="shared" si="28"/>
        <v>#VALUE!</v>
      </c>
      <c r="Y65" s="10" t="e">
        <f t="shared" si="29"/>
        <v>#VALUE!</v>
      </c>
      <c r="Z65" s="11" t="e">
        <f t="shared" si="30"/>
        <v>#VALUE!</v>
      </c>
      <c r="AA65" s="10" t="e">
        <f t="shared" si="9"/>
        <v>#VALUE!</v>
      </c>
      <c r="AB65" s="10" t="e">
        <f t="shared" si="31"/>
        <v>#VALUE!</v>
      </c>
      <c r="AC65" s="10" t="e">
        <f t="shared" si="32"/>
        <v>#VALUE!</v>
      </c>
      <c r="AD65" s="10" t="e">
        <f t="shared" si="64"/>
        <v>#VALUE!</v>
      </c>
      <c r="AE65" s="10" t="e">
        <f t="shared" si="65"/>
        <v>#VALUE!</v>
      </c>
      <c r="AF65" s="10" t="e">
        <f t="shared" si="10"/>
        <v>#VALUE!</v>
      </c>
      <c r="AG65" s="10" t="e">
        <f t="shared" si="33"/>
        <v>#VALUE!</v>
      </c>
      <c r="AI65" s="13"/>
      <c r="AK65" s="10" t="e">
        <f t="shared" si="34"/>
        <v>#VALUE!</v>
      </c>
      <c r="AL65" s="10" t="e">
        <f t="shared" si="66"/>
        <v>#VALUE!</v>
      </c>
      <c r="AM65" s="10" t="e">
        <f t="shared" si="11"/>
        <v>#VALUE!</v>
      </c>
      <c r="AN65" s="10" t="e">
        <f t="shared" si="35"/>
        <v>#VALUE!</v>
      </c>
      <c r="AO65" s="10" t="e">
        <f t="shared" si="36"/>
        <v>#VALUE!</v>
      </c>
      <c r="AP65" s="10" t="e">
        <f t="shared" si="37"/>
        <v>#VALUE!</v>
      </c>
      <c r="AQ65" s="10" t="e">
        <f t="shared" si="67"/>
        <v>#VALUE!</v>
      </c>
      <c r="AR65" s="10" t="e">
        <f t="shared" si="12"/>
        <v>#VALUE!</v>
      </c>
      <c r="AS65" s="10" t="e">
        <f t="shared" si="68"/>
        <v>#VALUE!</v>
      </c>
      <c r="AU65" s="10" t="e">
        <f t="shared" si="38"/>
        <v>#VALUE!</v>
      </c>
      <c r="AV65" s="10" t="e">
        <f t="shared" si="69"/>
        <v>#VALUE!</v>
      </c>
      <c r="AW65" s="10" t="e">
        <f t="shared" si="13"/>
        <v>#VALUE!</v>
      </c>
      <c r="AX65" s="10" t="e">
        <f t="shared" si="39"/>
        <v>#VALUE!</v>
      </c>
      <c r="AY65" s="10" t="e">
        <f t="shared" si="40"/>
        <v>#VALUE!</v>
      </c>
      <c r="AZ65" s="10" t="e">
        <f t="shared" si="41"/>
        <v>#VALUE!</v>
      </c>
      <c r="BA65" s="10" t="e">
        <f t="shared" si="70"/>
        <v>#VALUE!</v>
      </c>
      <c r="BB65" s="10" t="e">
        <f t="shared" si="14"/>
        <v>#VALUE!</v>
      </c>
      <c r="BC65" s="10" t="e">
        <f t="shared" si="71"/>
        <v>#VALUE!</v>
      </c>
      <c r="BE65" s="10" t="e">
        <f t="shared" si="42"/>
        <v>#VALUE!</v>
      </c>
      <c r="BF65" s="10" t="e">
        <f t="shared" si="72"/>
        <v>#VALUE!</v>
      </c>
      <c r="BG65" s="10" t="e">
        <f t="shared" si="15"/>
        <v>#VALUE!</v>
      </c>
      <c r="BH65" s="10" t="e">
        <f t="shared" si="43"/>
        <v>#VALUE!</v>
      </c>
      <c r="BI65" s="10" t="e">
        <f t="shared" si="44"/>
        <v>#VALUE!</v>
      </c>
      <c r="BJ65" s="10" t="e">
        <f t="shared" si="45"/>
        <v>#VALUE!</v>
      </c>
      <c r="BK65" s="10" t="e">
        <f t="shared" si="73"/>
        <v>#VALUE!</v>
      </c>
      <c r="BL65" s="10" t="e">
        <f t="shared" si="16"/>
        <v>#VALUE!</v>
      </c>
      <c r="BM65" s="10" t="e">
        <f t="shared" si="74"/>
        <v>#VALUE!</v>
      </c>
      <c r="BP65" s="10" t="e">
        <f t="shared" si="46"/>
        <v>#VALUE!</v>
      </c>
      <c r="BQ65" s="10" t="e">
        <f t="shared" si="47"/>
        <v>#VALUE!</v>
      </c>
      <c r="BR65" s="10" t="e">
        <f t="shared" si="48"/>
        <v>#VALUE!</v>
      </c>
      <c r="BS65" s="10" t="e">
        <f t="shared" si="49"/>
        <v>#VALUE!</v>
      </c>
      <c r="BT65" s="10" t="e">
        <f t="shared" si="50"/>
        <v>#VALUE!</v>
      </c>
      <c r="BU65" s="10" t="e">
        <f t="shared" si="51"/>
        <v>#VALUE!</v>
      </c>
      <c r="BW65" s="10" t="e">
        <f t="shared" si="52"/>
        <v>#VALUE!</v>
      </c>
      <c r="BX65" s="10" t="e">
        <f t="shared" si="53"/>
        <v>#VALUE!</v>
      </c>
      <c r="BY65" s="10" t="e">
        <f t="shared" si="54"/>
        <v>#VALUE!</v>
      </c>
      <c r="BZ65" s="10" t="e">
        <f t="shared" si="55"/>
        <v>#VALUE!</v>
      </c>
      <c r="CA65" s="10" t="e">
        <f t="shared" si="56"/>
        <v>#VALUE!</v>
      </c>
      <c r="CB65" s="10" t="e">
        <f t="shared" si="57"/>
        <v>#VALUE!</v>
      </c>
      <c r="CD65" s="10" t="e">
        <f>MATCH(INDEX($BP$12:$BU$12,1,MATCH(BP65,$BP$15:$BU$15,0)),结果汇总!$AI$10:$AI$13,0)</f>
        <v>#VALUE!</v>
      </c>
      <c r="CE65" s="10" t="e">
        <f>MATCH(INDEX($BP$12:$BU$12,1,MATCH(BQ65,$BP$15:$BU$15,0)),结果汇总!$AI$10:$AI$13,0)</f>
        <v>#VALUE!</v>
      </c>
      <c r="CF65" s="10" t="e">
        <f>MATCH(INDEX($BP$12:$BU$12,1,MATCH(BR65,$BP$15:$BU$15,0)),结果汇总!$AI$10:$AI$13,0)</f>
        <v>#VALUE!</v>
      </c>
      <c r="CG65" s="10" t="e">
        <f>MATCH(INDEX($BP$12:$BU$12,1,MATCH(BS65,$BP$15:$BU$15,0)),结果汇总!$AI$10:$AI$13,0)</f>
        <v>#VALUE!</v>
      </c>
      <c r="CH65" s="10" t="e">
        <f>MATCH(INDEX($BP$12:$BU$12,1,MATCH(BT65,$BP$15:$BU$15,0)),结果汇总!$AI$10:$AI$13,0)</f>
        <v>#VALUE!</v>
      </c>
      <c r="CI65" s="10" t="e">
        <f>MATCH(INDEX($BP$12:$BU$12,1,MATCH(BU65,$BP$15:$BU$15,0)),结果汇总!$AI$10:$AI$13,0)</f>
        <v>#VALUE!</v>
      </c>
      <c r="CK65" s="10">
        <f t="shared" si="75"/>
        <v>0</v>
      </c>
      <c r="CL65" s="10">
        <f t="shared" si="75"/>
        <v>0</v>
      </c>
      <c r="CM65" s="10">
        <f t="shared" si="75"/>
        <v>0</v>
      </c>
      <c r="CN65" s="10">
        <f t="shared" si="75"/>
        <v>0</v>
      </c>
      <c r="CO65" s="10" t="e">
        <f t="shared" si="76"/>
        <v>#DIV/0!</v>
      </c>
      <c r="CP65" s="10" t="e">
        <f t="shared" si="76"/>
        <v>#DIV/0!</v>
      </c>
      <c r="CQ65" s="10" t="e">
        <f t="shared" si="76"/>
        <v>#DIV/0!</v>
      </c>
      <c r="CR65" s="10" t="e">
        <f t="shared" si="76"/>
        <v>#DIV/0!</v>
      </c>
      <c r="CS65" s="10">
        <f t="shared" si="77"/>
        <v>0</v>
      </c>
      <c r="CT65" s="10">
        <f t="shared" si="77"/>
        <v>0</v>
      </c>
      <c r="CU65" s="10">
        <f t="shared" si="77"/>
        <v>0</v>
      </c>
      <c r="CV65" s="10">
        <f t="shared" si="77"/>
        <v>0</v>
      </c>
      <c r="CW65" s="10" t="e">
        <f t="shared" si="78"/>
        <v>#DIV/0!</v>
      </c>
      <c r="CX65" s="10" t="e">
        <f t="shared" si="78"/>
        <v>#DIV/0!</v>
      </c>
      <c r="CY65" s="10" t="e">
        <f t="shared" si="78"/>
        <v>#DIV/0!</v>
      </c>
      <c r="CZ65" s="10" t="e">
        <f t="shared" si="78"/>
        <v>#DIV/0!</v>
      </c>
    </row>
    <row r="66" spans="4:104" x14ac:dyDescent="0.15">
      <c r="D66" s="10">
        <v>51</v>
      </c>
      <c r="E66" s="10" t="e">
        <f t="shared" si="21"/>
        <v>#VALUE!</v>
      </c>
      <c r="F66" s="10" t="e">
        <f t="shared" si="1"/>
        <v>#VALUE!</v>
      </c>
      <c r="G66" s="10" t="e">
        <f t="shared" si="2"/>
        <v>#VALUE!</v>
      </c>
      <c r="H66" s="10" t="e">
        <f t="shared" si="22"/>
        <v>#VALUE!</v>
      </c>
      <c r="I66" s="10" t="e">
        <f t="shared" si="3"/>
        <v>#VALUE!</v>
      </c>
      <c r="J66" s="10" t="e">
        <f t="shared" si="23"/>
        <v>#VALUE!</v>
      </c>
      <c r="K66" s="10" t="e">
        <f t="shared" si="4"/>
        <v>#VALUE!</v>
      </c>
      <c r="L66" s="10" t="e">
        <f t="shared" si="5"/>
        <v>#VALUE!</v>
      </c>
      <c r="M66" s="10" t="e">
        <f t="shared" si="24"/>
        <v>#VALUE!</v>
      </c>
      <c r="O66" s="10" t="e">
        <f t="shared" si="25"/>
        <v>#VALUE!</v>
      </c>
      <c r="P66" s="10" t="e">
        <f t="shared" si="6"/>
        <v>#VALUE!</v>
      </c>
      <c r="Q66" s="10" t="e">
        <f t="shared" si="7"/>
        <v>#VALUE!</v>
      </c>
      <c r="R66" s="10" t="e">
        <f t="shared" si="26"/>
        <v>#VALUE!</v>
      </c>
      <c r="S66" s="10" t="e">
        <f t="shared" si="27"/>
        <v>#VALUE!</v>
      </c>
      <c r="T66" s="10" t="e">
        <f t="shared" si="62"/>
        <v>#VALUE!</v>
      </c>
      <c r="U66" s="10" t="e">
        <f t="shared" si="63"/>
        <v>#VALUE!</v>
      </c>
      <c r="V66" s="10" t="e">
        <f t="shared" si="8"/>
        <v>#VALUE!</v>
      </c>
      <c r="W66" s="10" t="e">
        <f t="shared" si="28"/>
        <v>#VALUE!</v>
      </c>
      <c r="Y66" s="10" t="e">
        <f t="shared" si="29"/>
        <v>#VALUE!</v>
      </c>
      <c r="Z66" s="11" t="e">
        <f t="shared" si="30"/>
        <v>#VALUE!</v>
      </c>
      <c r="AA66" s="10" t="e">
        <f t="shared" si="9"/>
        <v>#VALUE!</v>
      </c>
      <c r="AB66" s="10" t="e">
        <f t="shared" si="31"/>
        <v>#VALUE!</v>
      </c>
      <c r="AC66" s="10" t="e">
        <f t="shared" si="32"/>
        <v>#VALUE!</v>
      </c>
      <c r="AD66" s="10" t="e">
        <f t="shared" si="64"/>
        <v>#VALUE!</v>
      </c>
      <c r="AE66" s="10" t="e">
        <f t="shared" si="65"/>
        <v>#VALUE!</v>
      </c>
      <c r="AF66" s="10" t="e">
        <f t="shared" si="10"/>
        <v>#VALUE!</v>
      </c>
      <c r="AG66" s="10" t="e">
        <f t="shared" si="33"/>
        <v>#VALUE!</v>
      </c>
      <c r="AI66" s="13"/>
      <c r="AK66" s="10" t="e">
        <f t="shared" si="34"/>
        <v>#VALUE!</v>
      </c>
      <c r="AL66" s="10" t="e">
        <f t="shared" si="66"/>
        <v>#VALUE!</v>
      </c>
      <c r="AM66" s="10" t="e">
        <f t="shared" si="11"/>
        <v>#VALUE!</v>
      </c>
      <c r="AN66" s="10" t="e">
        <f t="shared" si="35"/>
        <v>#VALUE!</v>
      </c>
      <c r="AO66" s="10" t="e">
        <f t="shared" si="36"/>
        <v>#VALUE!</v>
      </c>
      <c r="AP66" s="10" t="e">
        <f t="shared" si="37"/>
        <v>#VALUE!</v>
      </c>
      <c r="AQ66" s="10" t="e">
        <f t="shared" si="67"/>
        <v>#VALUE!</v>
      </c>
      <c r="AR66" s="10" t="e">
        <f t="shared" si="12"/>
        <v>#VALUE!</v>
      </c>
      <c r="AS66" s="10" t="e">
        <f t="shared" si="68"/>
        <v>#VALUE!</v>
      </c>
      <c r="AU66" s="10" t="e">
        <f t="shared" si="38"/>
        <v>#VALUE!</v>
      </c>
      <c r="AV66" s="10" t="e">
        <f t="shared" si="69"/>
        <v>#VALUE!</v>
      </c>
      <c r="AW66" s="10" t="e">
        <f t="shared" si="13"/>
        <v>#VALUE!</v>
      </c>
      <c r="AX66" s="10" t="e">
        <f t="shared" si="39"/>
        <v>#VALUE!</v>
      </c>
      <c r="AY66" s="10" t="e">
        <f t="shared" si="40"/>
        <v>#VALUE!</v>
      </c>
      <c r="AZ66" s="10" t="e">
        <f t="shared" si="41"/>
        <v>#VALUE!</v>
      </c>
      <c r="BA66" s="10" t="e">
        <f t="shared" si="70"/>
        <v>#VALUE!</v>
      </c>
      <c r="BB66" s="10" t="e">
        <f t="shared" si="14"/>
        <v>#VALUE!</v>
      </c>
      <c r="BC66" s="10" t="e">
        <f t="shared" si="71"/>
        <v>#VALUE!</v>
      </c>
      <c r="BE66" s="10" t="e">
        <f t="shared" si="42"/>
        <v>#VALUE!</v>
      </c>
      <c r="BF66" s="10" t="e">
        <f t="shared" si="72"/>
        <v>#VALUE!</v>
      </c>
      <c r="BG66" s="10" t="e">
        <f t="shared" si="15"/>
        <v>#VALUE!</v>
      </c>
      <c r="BH66" s="10" t="e">
        <f t="shared" si="43"/>
        <v>#VALUE!</v>
      </c>
      <c r="BI66" s="10" t="e">
        <f t="shared" si="44"/>
        <v>#VALUE!</v>
      </c>
      <c r="BJ66" s="10" t="e">
        <f t="shared" si="45"/>
        <v>#VALUE!</v>
      </c>
      <c r="BK66" s="10" t="e">
        <f t="shared" si="73"/>
        <v>#VALUE!</v>
      </c>
      <c r="BL66" s="10" t="e">
        <f t="shared" si="16"/>
        <v>#VALUE!</v>
      </c>
      <c r="BM66" s="10" t="e">
        <f t="shared" si="74"/>
        <v>#VALUE!</v>
      </c>
      <c r="BP66" s="10" t="e">
        <f t="shared" si="46"/>
        <v>#VALUE!</v>
      </c>
      <c r="BQ66" s="10" t="e">
        <f t="shared" si="47"/>
        <v>#VALUE!</v>
      </c>
      <c r="BR66" s="10" t="e">
        <f t="shared" si="48"/>
        <v>#VALUE!</v>
      </c>
      <c r="BS66" s="10" t="e">
        <f t="shared" si="49"/>
        <v>#VALUE!</v>
      </c>
      <c r="BT66" s="10" t="e">
        <f t="shared" si="50"/>
        <v>#VALUE!</v>
      </c>
      <c r="BU66" s="10" t="e">
        <f t="shared" si="51"/>
        <v>#VALUE!</v>
      </c>
      <c r="BW66" s="10" t="e">
        <f t="shared" si="52"/>
        <v>#VALUE!</v>
      </c>
      <c r="BX66" s="10" t="e">
        <f t="shared" si="53"/>
        <v>#VALUE!</v>
      </c>
      <c r="BY66" s="10" t="e">
        <f t="shared" si="54"/>
        <v>#VALUE!</v>
      </c>
      <c r="BZ66" s="10" t="e">
        <f t="shared" si="55"/>
        <v>#VALUE!</v>
      </c>
      <c r="CA66" s="10" t="e">
        <f t="shared" si="56"/>
        <v>#VALUE!</v>
      </c>
      <c r="CB66" s="10" t="e">
        <f t="shared" si="57"/>
        <v>#VALUE!</v>
      </c>
      <c r="CD66" s="10" t="e">
        <f>MATCH(INDEX($BP$12:$BU$12,1,MATCH(BP66,$BP$15:$BU$15,0)),结果汇总!$AI$10:$AI$13,0)</f>
        <v>#VALUE!</v>
      </c>
      <c r="CE66" s="10" t="e">
        <f>MATCH(INDEX($BP$12:$BU$12,1,MATCH(BQ66,$BP$15:$BU$15,0)),结果汇总!$AI$10:$AI$13,0)</f>
        <v>#VALUE!</v>
      </c>
      <c r="CF66" s="10" t="e">
        <f>MATCH(INDEX($BP$12:$BU$12,1,MATCH(BR66,$BP$15:$BU$15,0)),结果汇总!$AI$10:$AI$13,0)</f>
        <v>#VALUE!</v>
      </c>
      <c r="CG66" s="10" t="e">
        <f>MATCH(INDEX($BP$12:$BU$12,1,MATCH(BS66,$BP$15:$BU$15,0)),结果汇总!$AI$10:$AI$13,0)</f>
        <v>#VALUE!</v>
      </c>
      <c r="CH66" s="10" t="e">
        <f>MATCH(INDEX($BP$12:$BU$12,1,MATCH(BT66,$BP$15:$BU$15,0)),结果汇总!$AI$10:$AI$13,0)</f>
        <v>#VALUE!</v>
      </c>
      <c r="CI66" s="10" t="e">
        <f>MATCH(INDEX($BP$12:$BU$12,1,MATCH(BU66,$BP$15:$BU$15,0)),结果汇总!$AI$10:$AI$13,0)</f>
        <v>#VALUE!</v>
      </c>
      <c r="CK66" s="10">
        <f t="shared" si="75"/>
        <v>0</v>
      </c>
      <c r="CL66" s="10">
        <f t="shared" si="75"/>
        <v>0</v>
      </c>
      <c r="CM66" s="10">
        <f t="shared" si="75"/>
        <v>0</v>
      </c>
      <c r="CN66" s="10">
        <f t="shared" si="75"/>
        <v>0</v>
      </c>
      <c r="CO66" s="10" t="e">
        <f t="shared" si="76"/>
        <v>#DIV/0!</v>
      </c>
      <c r="CP66" s="10" t="e">
        <f t="shared" si="76"/>
        <v>#DIV/0!</v>
      </c>
      <c r="CQ66" s="10" t="e">
        <f t="shared" si="76"/>
        <v>#DIV/0!</v>
      </c>
      <c r="CR66" s="10" t="e">
        <f t="shared" si="76"/>
        <v>#DIV/0!</v>
      </c>
      <c r="CS66" s="10">
        <f t="shared" si="77"/>
        <v>0</v>
      </c>
      <c r="CT66" s="10">
        <f t="shared" si="77"/>
        <v>0</v>
      </c>
      <c r="CU66" s="10">
        <f t="shared" si="77"/>
        <v>0</v>
      </c>
      <c r="CV66" s="10">
        <f t="shared" si="77"/>
        <v>0</v>
      </c>
      <c r="CW66" s="10" t="e">
        <f t="shared" si="78"/>
        <v>#DIV/0!</v>
      </c>
      <c r="CX66" s="10" t="e">
        <f t="shared" si="78"/>
        <v>#DIV/0!</v>
      </c>
      <c r="CY66" s="10" t="e">
        <f t="shared" si="78"/>
        <v>#DIV/0!</v>
      </c>
      <c r="CZ66" s="10" t="e">
        <f t="shared" si="78"/>
        <v>#DIV/0!</v>
      </c>
    </row>
    <row r="67" spans="4:104" x14ac:dyDescent="0.15">
      <c r="D67" s="10">
        <v>52</v>
      </c>
      <c r="E67" s="10" t="e">
        <f t="shared" si="21"/>
        <v>#VALUE!</v>
      </c>
      <c r="F67" s="10" t="e">
        <f t="shared" si="1"/>
        <v>#VALUE!</v>
      </c>
      <c r="G67" s="10" t="e">
        <f t="shared" si="2"/>
        <v>#VALUE!</v>
      </c>
      <c r="H67" s="10" t="e">
        <f t="shared" si="22"/>
        <v>#VALUE!</v>
      </c>
      <c r="I67" s="10" t="e">
        <f t="shared" si="3"/>
        <v>#VALUE!</v>
      </c>
      <c r="J67" s="10" t="e">
        <f t="shared" si="23"/>
        <v>#VALUE!</v>
      </c>
      <c r="K67" s="10" t="e">
        <f t="shared" si="4"/>
        <v>#VALUE!</v>
      </c>
      <c r="L67" s="10" t="e">
        <f t="shared" si="5"/>
        <v>#VALUE!</v>
      </c>
      <c r="M67" s="10" t="e">
        <f t="shared" si="24"/>
        <v>#VALUE!</v>
      </c>
      <c r="O67" s="10" t="e">
        <f t="shared" si="25"/>
        <v>#VALUE!</v>
      </c>
      <c r="P67" s="10" t="e">
        <f t="shared" si="6"/>
        <v>#VALUE!</v>
      </c>
      <c r="Q67" s="10" t="e">
        <f t="shared" si="7"/>
        <v>#VALUE!</v>
      </c>
      <c r="R67" s="10" t="e">
        <f t="shared" si="26"/>
        <v>#VALUE!</v>
      </c>
      <c r="S67" s="10" t="e">
        <f t="shared" si="27"/>
        <v>#VALUE!</v>
      </c>
      <c r="T67" s="10" t="e">
        <f t="shared" si="62"/>
        <v>#VALUE!</v>
      </c>
      <c r="U67" s="10" t="e">
        <f t="shared" si="63"/>
        <v>#VALUE!</v>
      </c>
      <c r="V67" s="10" t="e">
        <f t="shared" si="8"/>
        <v>#VALUE!</v>
      </c>
      <c r="W67" s="10" t="e">
        <f t="shared" si="28"/>
        <v>#VALUE!</v>
      </c>
      <c r="Y67" s="10" t="e">
        <f t="shared" si="29"/>
        <v>#VALUE!</v>
      </c>
      <c r="Z67" s="11" t="e">
        <f t="shared" si="30"/>
        <v>#VALUE!</v>
      </c>
      <c r="AA67" s="10" t="e">
        <f t="shared" si="9"/>
        <v>#VALUE!</v>
      </c>
      <c r="AB67" s="10" t="e">
        <f t="shared" si="31"/>
        <v>#VALUE!</v>
      </c>
      <c r="AC67" s="10" t="e">
        <f t="shared" si="32"/>
        <v>#VALUE!</v>
      </c>
      <c r="AD67" s="10" t="e">
        <f t="shared" si="64"/>
        <v>#VALUE!</v>
      </c>
      <c r="AE67" s="10" t="e">
        <f t="shared" si="65"/>
        <v>#VALUE!</v>
      </c>
      <c r="AF67" s="10" t="e">
        <f t="shared" si="10"/>
        <v>#VALUE!</v>
      </c>
      <c r="AG67" s="10" t="e">
        <f t="shared" si="33"/>
        <v>#VALUE!</v>
      </c>
      <c r="AI67" s="13"/>
      <c r="AK67" s="10" t="e">
        <f t="shared" si="34"/>
        <v>#VALUE!</v>
      </c>
      <c r="AL67" s="10" t="e">
        <f t="shared" si="66"/>
        <v>#VALUE!</v>
      </c>
      <c r="AM67" s="10" t="e">
        <f t="shared" si="11"/>
        <v>#VALUE!</v>
      </c>
      <c r="AN67" s="10" t="e">
        <f t="shared" si="35"/>
        <v>#VALUE!</v>
      </c>
      <c r="AO67" s="10" t="e">
        <f t="shared" si="36"/>
        <v>#VALUE!</v>
      </c>
      <c r="AP67" s="10" t="e">
        <f t="shared" si="37"/>
        <v>#VALUE!</v>
      </c>
      <c r="AQ67" s="10" t="e">
        <f t="shared" si="67"/>
        <v>#VALUE!</v>
      </c>
      <c r="AR67" s="10" t="e">
        <f t="shared" si="12"/>
        <v>#VALUE!</v>
      </c>
      <c r="AS67" s="10" t="e">
        <f t="shared" si="68"/>
        <v>#VALUE!</v>
      </c>
      <c r="AU67" s="10" t="e">
        <f t="shared" si="38"/>
        <v>#VALUE!</v>
      </c>
      <c r="AV67" s="10" t="e">
        <f t="shared" si="69"/>
        <v>#VALUE!</v>
      </c>
      <c r="AW67" s="10" t="e">
        <f t="shared" si="13"/>
        <v>#VALUE!</v>
      </c>
      <c r="AX67" s="10" t="e">
        <f t="shared" si="39"/>
        <v>#VALUE!</v>
      </c>
      <c r="AY67" s="10" t="e">
        <f t="shared" si="40"/>
        <v>#VALUE!</v>
      </c>
      <c r="AZ67" s="10" t="e">
        <f t="shared" si="41"/>
        <v>#VALUE!</v>
      </c>
      <c r="BA67" s="10" t="e">
        <f t="shared" si="70"/>
        <v>#VALUE!</v>
      </c>
      <c r="BB67" s="10" t="e">
        <f t="shared" si="14"/>
        <v>#VALUE!</v>
      </c>
      <c r="BC67" s="10" t="e">
        <f t="shared" si="71"/>
        <v>#VALUE!</v>
      </c>
      <c r="BE67" s="10" t="e">
        <f t="shared" si="42"/>
        <v>#VALUE!</v>
      </c>
      <c r="BF67" s="10" t="e">
        <f t="shared" si="72"/>
        <v>#VALUE!</v>
      </c>
      <c r="BG67" s="10" t="e">
        <f t="shared" si="15"/>
        <v>#VALUE!</v>
      </c>
      <c r="BH67" s="10" t="e">
        <f t="shared" si="43"/>
        <v>#VALUE!</v>
      </c>
      <c r="BI67" s="10" t="e">
        <f t="shared" si="44"/>
        <v>#VALUE!</v>
      </c>
      <c r="BJ67" s="10" t="e">
        <f t="shared" si="45"/>
        <v>#VALUE!</v>
      </c>
      <c r="BK67" s="10" t="e">
        <f t="shared" si="73"/>
        <v>#VALUE!</v>
      </c>
      <c r="BL67" s="10" t="e">
        <f t="shared" si="16"/>
        <v>#VALUE!</v>
      </c>
      <c r="BM67" s="10" t="e">
        <f t="shared" si="74"/>
        <v>#VALUE!</v>
      </c>
      <c r="BP67" s="10" t="e">
        <f t="shared" si="46"/>
        <v>#VALUE!</v>
      </c>
      <c r="BQ67" s="10" t="e">
        <f t="shared" si="47"/>
        <v>#VALUE!</v>
      </c>
      <c r="BR67" s="10" t="e">
        <f t="shared" si="48"/>
        <v>#VALUE!</v>
      </c>
      <c r="BS67" s="10" t="e">
        <f t="shared" si="49"/>
        <v>#VALUE!</v>
      </c>
      <c r="BT67" s="10" t="e">
        <f t="shared" si="50"/>
        <v>#VALUE!</v>
      </c>
      <c r="BU67" s="10" t="e">
        <f t="shared" si="51"/>
        <v>#VALUE!</v>
      </c>
      <c r="BW67" s="10" t="e">
        <f t="shared" si="52"/>
        <v>#VALUE!</v>
      </c>
      <c r="BX67" s="10" t="e">
        <f t="shared" si="53"/>
        <v>#VALUE!</v>
      </c>
      <c r="BY67" s="10" t="e">
        <f t="shared" si="54"/>
        <v>#VALUE!</v>
      </c>
      <c r="BZ67" s="10" t="e">
        <f t="shared" si="55"/>
        <v>#VALUE!</v>
      </c>
      <c r="CA67" s="10" t="e">
        <f t="shared" si="56"/>
        <v>#VALUE!</v>
      </c>
      <c r="CB67" s="10" t="e">
        <f t="shared" si="57"/>
        <v>#VALUE!</v>
      </c>
      <c r="CD67" s="10" t="e">
        <f>MATCH(INDEX($BP$12:$BU$12,1,MATCH(BP67,$BP$15:$BU$15,0)),结果汇总!$AI$10:$AI$13,0)</f>
        <v>#VALUE!</v>
      </c>
      <c r="CE67" s="10" t="e">
        <f>MATCH(INDEX($BP$12:$BU$12,1,MATCH(BQ67,$BP$15:$BU$15,0)),结果汇总!$AI$10:$AI$13,0)</f>
        <v>#VALUE!</v>
      </c>
      <c r="CF67" s="10" t="e">
        <f>MATCH(INDEX($BP$12:$BU$12,1,MATCH(BR67,$BP$15:$BU$15,0)),结果汇总!$AI$10:$AI$13,0)</f>
        <v>#VALUE!</v>
      </c>
      <c r="CG67" s="10" t="e">
        <f>MATCH(INDEX($BP$12:$BU$12,1,MATCH(BS67,$BP$15:$BU$15,0)),结果汇总!$AI$10:$AI$13,0)</f>
        <v>#VALUE!</v>
      </c>
      <c r="CH67" s="10" t="e">
        <f>MATCH(INDEX($BP$12:$BU$12,1,MATCH(BT67,$BP$15:$BU$15,0)),结果汇总!$AI$10:$AI$13,0)</f>
        <v>#VALUE!</v>
      </c>
      <c r="CI67" s="10" t="e">
        <f>MATCH(INDEX($BP$12:$BU$12,1,MATCH(BU67,$BP$15:$BU$15,0)),结果汇总!$AI$10:$AI$13,0)</f>
        <v>#VALUE!</v>
      </c>
      <c r="CK67" s="10">
        <f t="shared" si="75"/>
        <v>0</v>
      </c>
      <c r="CL67" s="10">
        <f t="shared" si="75"/>
        <v>0</v>
      </c>
      <c r="CM67" s="10">
        <f t="shared" si="75"/>
        <v>0</v>
      </c>
      <c r="CN67" s="10">
        <f t="shared" si="75"/>
        <v>0</v>
      </c>
      <c r="CO67" s="10" t="e">
        <f t="shared" si="76"/>
        <v>#DIV/0!</v>
      </c>
      <c r="CP67" s="10" t="e">
        <f t="shared" si="76"/>
        <v>#DIV/0!</v>
      </c>
      <c r="CQ67" s="10" t="e">
        <f t="shared" si="76"/>
        <v>#DIV/0!</v>
      </c>
      <c r="CR67" s="10" t="e">
        <f t="shared" si="76"/>
        <v>#DIV/0!</v>
      </c>
      <c r="CS67" s="10">
        <f t="shared" si="77"/>
        <v>0</v>
      </c>
      <c r="CT67" s="10">
        <f t="shared" si="77"/>
        <v>0</v>
      </c>
      <c r="CU67" s="10">
        <f t="shared" si="77"/>
        <v>0</v>
      </c>
      <c r="CV67" s="10">
        <f t="shared" si="77"/>
        <v>0</v>
      </c>
      <c r="CW67" s="10" t="e">
        <f t="shared" si="78"/>
        <v>#DIV/0!</v>
      </c>
      <c r="CX67" s="10" t="e">
        <f t="shared" si="78"/>
        <v>#DIV/0!</v>
      </c>
      <c r="CY67" s="10" t="e">
        <f t="shared" si="78"/>
        <v>#DIV/0!</v>
      </c>
      <c r="CZ67" s="10" t="e">
        <f t="shared" si="78"/>
        <v>#DIV/0!</v>
      </c>
    </row>
    <row r="68" spans="4:104" x14ac:dyDescent="0.15">
      <c r="D68" s="10">
        <v>53</v>
      </c>
      <c r="E68" s="10" t="e">
        <f t="shared" si="21"/>
        <v>#VALUE!</v>
      </c>
      <c r="F68" s="10" t="e">
        <f t="shared" si="1"/>
        <v>#VALUE!</v>
      </c>
      <c r="G68" s="10" t="e">
        <f t="shared" si="2"/>
        <v>#VALUE!</v>
      </c>
      <c r="H68" s="10" t="e">
        <f t="shared" si="22"/>
        <v>#VALUE!</v>
      </c>
      <c r="I68" s="10" t="e">
        <f t="shared" si="3"/>
        <v>#VALUE!</v>
      </c>
      <c r="J68" s="10" t="e">
        <f t="shared" si="23"/>
        <v>#VALUE!</v>
      </c>
      <c r="K68" s="10" t="e">
        <f t="shared" si="4"/>
        <v>#VALUE!</v>
      </c>
      <c r="L68" s="10" t="e">
        <f t="shared" si="5"/>
        <v>#VALUE!</v>
      </c>
      <c r="M68" s="10" t="e">
        <f t="shared" si="24"/>
        <v>#VALUE!</v>
      </c>
      <c r="O68" s="10" t="e">
        <f t="shared" si="25"/>
        <v>#VALUE!</v>
      </c>
      <c r="P68" s="10" t="e">
        <f t="shared" si="6"/>
        <v>#VALUE!</v>
      </c>
      <c r="Q68" s="10" t="e">
        <f t="shared" si="7"/>
        <v>#VALUE!</v>
      </c>
      <c r="R68" s="10" t="e">
        <f t="shared" si="26"/>
        <v>#VALUE!</v>
      </c>
      <c r="S68" s="10" t="e">
        <f t="shared" si="27"/>
        <v>#VALUE!</v>
      </c>
      <c r="T68" s="10" t="e">
        <f t="shared" si="62"/>
        <v>#VALUE!</v>
      </c>
      <c r="U68" s="10" t="e">
        <f t="shared" si="63"/>
        <v>#VALUE!</v>
      </c>
      <c r="V68" s="10" t="e">
        <f t="shared" si="8"/>
        <v>#VALUE!</v>
      </c>
      <c r="W68" s="10" t="e">
        <f t="shared" si="28"/>
        <v>#VALUE!</v>
      </c>
      <c r="Y68" s="10" t="e">
        <f t="shared" si="29"/>
        <v>#VALUE!</v>
      </c>
      <c r="Z68" s="11" t="e">
        <f t="shared" si="30"/>
        <v>#VALUE!</v>
      </c>
      <c r="AA68" s="10" t="e">
        <f t="shared" si="9"/>
        <v>#VALUE!</v>
      </c>
      <c r="AB68" s="10" t="e">
        <f t="shared" si="31"/>
        <v>#VALUE!</v>
      </c>
      <c r="AC68" s="10" t="e">
        <f t="shared" si="32"/>
        <v>#VALUE!</v>
      </c>
      <c r="AD68" s="10" t="e">
        <f t="shared" si="64"/>
        <v>#VALUE!</v>
      </c>
      <c r="AE68" s="10" t="e">
        <f t="shared" si="65"/>
        <v>#VALUE!</v>
      </c>
      <c r="AF68" s="10" t="e">
        <f t="shared" si="10"/>
        <v>#VALUE!</v>
      </c>
      <c r="AG68" s="10" t="e">
        <f t="shared" si="33"/>
        <v>#VALUE!</v>
      </c>
      <c r="AI68" s="13"/>
      <c r="AK68" s="10" t="e">
        <f t="shared" si="34"/>
        <v>#VALUE!</v>
      </c>
      <c r="AL68" s="10" t="e">
        <f t="shared" si="66"/>
        <v>#VALUE!</v>
      </c>
      <c r="AM68" s="10" t="e">
        <f t="shared" si="11"/>
        <v>#VALUE!</v>
      </c>
      <c r="AN68" s="10" t="e">
        <f t="shared" si="35"/>
        <v>#VALUE!</v>
      </c>
      <c r="AO68" s="10" t="e">
        <f t="shared" si="36"/>
        <v>#VALUE!</v>
      </c>
      <c r="AP68" s="10" t="e">
        <f t="shared" si="37"/>
        <v>#VALUE!</v>
      </c>
      <c r="AQ68" s="10" t="e">
        <f t="shared" si="67"/>
        <v>#VALUE!</v>
      </c>
      <c r="AR68" s="10" t="e">
        <f t="shared" si="12"/>
        <v>#VALUE!</v>
      </c>
      <c r="AS68" s="10" t="e">
        <f t="shared" si="68"/>
        <v>#VALUE!</v>
      </c>
      <c r="AU68" s="10" t="e">
        <f t="shared" si="38"/>
        <v>#VALUE!</v>
      </c>
      <c r="AV68" s="10" t="e">
        <f t="shared" si="69"/>
        <v>#VALUE!</v>
      </c>
      <c r="AW68" s="10" t="e">
        <f t="shared" si="13"/>
        <v>#VALUE!</v>
      </c>
      <c r="AX68" s="10" t="e">
        <f t="shared" si="39"/>
        <v>#VALUE!</v>
      </c>
      <c r="AY68" s="10" t="e">
        <f t="shared" si="40"/>
        <v>#VALUE!</v>
      </c>
      <c r="AZ68" s="10" t="e">
        <f t="shared" si="41"/>
        <v>#VALUE!</v>
      </c>
      <c r="BA68" s="10" t="e">
        <f t="shared" si="70"/>
        <v>#VALUE!</v>
      </c>
      <c r="BB68" s="10" t="e">
        <f t="shared" si="14"/>
        <v>#VALUE!</v>
      </c>
      <c r="BC68" s="10" t="e">
        <f t="shared" si="71"/>
        <v>#VALUE!</v>
      </c>
      <c r="BE68" s="10" t="e">
        <f t="shared" si="42"/>
        <v>#VALUE!</v>
      </c>
      <c r="BF68" s="10" t="e">
        <f t="shared" si="72"/>
        <v>#VALUE!</v>
      </c>
      <c r="BG68" s="10" t="e">
        <f t="shared" si="15"/>
        <v>#VALUE!</v>
      </c>
      <c r="BH68" s="10" t="e">
        <f t="shared" si="43"/>
        <v>#VALUE!</v>
      </c>
      <c r="BI68" s="10" t="e">
        <f t="shared" si="44"/>
        <v>#VALUE!</v>
      </c>
      <c r="BJ68" s="10" t="e">
        <f t="shared" si="45"/>
        <v>#VALUE!</v>
      </c>
      <c r="BK68" s="10" t="e">
        <f t="shared" si="73"/>
        <v>#VALUE!</v>
      </c>
      <c r="BL68" s="10" t="e">
        <f t="shared" si="16"/>
        <v>#VALUE!</v>
      </c>
      <c r="BM68" s="10" t="e">
        <f t="shared" si="74"/>
        <v>#VALUE!</v>
      </c>
      <c r="BP68" s="10" t="e">
        <f t="shared" si="46"/>
        <v>#VALUE!</v>
      </c>
      <c r="BQ68" s="10" t="e">
        <f t="shared" si="47"/>
        <v>#VALUE!</v>
      </c>
      <c r="BR68" s="10" t="e">
        <f t="shared" si="48"/>
        <v>#VALUE!</v>
      </c>
      <c r="BS68" s="10" t="e">
        <f t="shared" si="49"/>
        <v>#VALUE!</v>
      </c>
      <c r="BT68" s="10" t="e">
        <f t="shared" si="50"/>
        <v>#VALUE!</v>
      </c>
      <c r="BU68" s="10" t="e">
        <f t="shared" si="51"/>
        <v>#VALUE!</v>
      </c>
      <c r="BW68" s="10" t="e">
        <f t="shared" si="52"/>
        <v>#VALUE!</v>
      </c>
      <c r="BX68" s="10" t="e">
        <f t="shared" si="53"/>
        <v>#VALUE!</v>
      </c>
      <c r="BY68" s="10" t="e">
        <f t="shared" si="54"/>
        <v>#VALUE!</v>
      </c>
      <c r="BZ68" s="10" t="e">
        <f t="shared" si="55"/>
        <v>#VALUE!</v>
      </c>
      <c r="CA68" s="10" t="e">
        <f t="shared" si="56"/>
        <v>#VALUE!</v>
      </c>
      <c r="CB68" s="10" t="e">
        <f t="shared" si="57"/>
        <v>#VALUE!</v>
      </c>
      <c r="CD68" s="10" t="e">
        <f>MATCH(INDEX($BP$12:$BU$12,1,MATCH(BP68,$BP$15:$BU$15,0)),结果汇总!$AI$10:$AI$13,0)</f>
        <v>#VALUE!</v>
      </c>
      <c r="CE68" s="10" t="e">
        <f>MATCH(INDEX($BP$12:$BU$12,1,MATCH(BQ68,$BP$15:$BU$15,0)),结果汇总!$AI$10:$AI$13,0)</f>
        <v>#VALUE!</v>
      </c>
      <c r="CF68" s="10" t="e">
        <f>MATCH(INDEX($BP$12:$BU$12,1,MATCH(BR68,$BP$15:$BU$15,0)),结果汇总!$AI$10:$AI$13,0)</f>
        <v>#VALUE!</v>
      </c>
      <c r="CG68" s="10" t="e">
        <f>MATCH(INDEX($BP$12:$BU$12,1,MATCH(BS68,$BP$15:$BU$15,0)),结果汇总!$AI$10:$AI$13,0)</f>
        <v>#VALUE!</v>
      </c>
      <c r="CH68" s="10" t="e">
        <f>MATCH(INDEX($BP$12:$BU$12,1,MATCH(BT68,$BP$15:$BU$15,0)),结果汇总!$AI$10:$AI$13,0)</f>
        <v>#VALUE!</v>
      </c>
      <c r="CI68" s="10" t="e">
        <f>MATCH(INDEX($BP$12:$BU$12,1,MATCH(BU68,$BP$15:$BU$15,0)),结果汇总!$AI$10:$AI$13,0)</f>
        <v>#VALUE!</v>
      </c>
      <c r="CK68" s="10">
        <f t="shared" si="75"/>
        <v>0</v>
      </c>
      <c r="CL68" s="10">
        <f t="shared" si="75"/>
        <v>0</v>
      </c>
      <c r="CM68" s="10">
        <f t="shared" si="75"/>
        <v>0</v>
      </c>
      <c r="CN68" s="10">
        <f t="shared" si="75"/>
        <v>0</v>
      </c>
      <c r="CO68" s="10" t="e">
        <f t="shared" si="76"/>
        <v>#DIV/0!</v>
      </c>
      <c r="CP68" s="10" t="e">
        <f t="shared" si="76"/>
        <v>#DIV/0!</v>
      </c>
      <c r="CQ68" s="10" t="e">
        <f t="shared" si="76"/>
        <v>#DIV/0!</v>
      </c>
      <c r="CR68" s="10" t="e">
        <f t="shared" si="76"/>
        <v>#DIV/0!</v>
      </c>
      <c r="CS68" s="10">
        <f t="shared" si="77"/>
        <v>0</v>
      </c>
      <c r="CT68" s="10">
        <f t="shared" si="77"/>
        <v>0</v>
      </c>
      <c r="CU68" s="10">
        <f t="shared" si="77"/>
        <v>0</v>
      </c>
      <c r="CV68" s="10">
        <f t="shared" si="77"/>
        <v>0</v>
      </c>
      <c r="CW68" s="10" t="e">
        <f t="shared" si="78"/>
        <v>#DIV/0!</v>
      </c>
      <c r="CX68" s="10" t="e">
        <f t="shared" si="78"/>
        <v>#DIV/0!</v>
      </c>
      <c r="CY68" s="10" t="e">
        <f t="shared" si="78"/>
        <v>#DIV/0!</v>
      </c>
      <c r="CZ68" s="10" t="e">
        <f t="shared" si="78"/>
        <v>#DIV/0!</v>
      </c>
    </row>
    <row r="69" spans="4:104" x14ac:dyDescent="0.15">
      <c r="D69" s="10">
        <v>54</v>
      </c>
      <c r="E69" s="10" t="e">
        <f t="shared" si="21"/>
        <v>#VALUE!</v>
      </c>
      <c r="F69" s="10" t="e">
        <f t="shared" si="1"/>
        <v>#VALUE!</v>
      </c>
      <c r="G69" s="10" t="e">
        <f t="shared" si="2"/>
        <v>#VALUE!</v>
      </c>
      <c r="H69" s="10" t="e">
        <f t="shared" si="22"/>
        <v>#VALUE!</v>
      </c>
      <c r="I69" s="10" t="e">
        <f t="shared" si="3"/>
        <v>#VALUE!</v>
      </c>
      <c r="J69" s="10" t="e">
        <f t="shared" si="23"/>
        <v>#VALUE!</v>
      </c>
      <c r="K69" s="10" t="e">
        <f t="shared" si="4"/>
        <v>#VALUE!</v>
      </c>
      <c r="L69" s="10" t="e">
        <f t="shared" si="5"/>
        <v>#VALUE!</v>
      </c>
      <c r="M69" s="10" t="e">
        <f t="shared" si="24"/>
        <v>#VALUE!</v>
      </c>
      <c r="O69" s="10" t="e">
        <f t="shared" si="25"/>
        <v>#VALUE!</v>
      </c>
      <c r="P69" s="10" t="e">
        <f t="shared" si="6"/>
        <v>#VALUE!</v>
      </c>
      <c r="Q69" s="10" t="e">
        <f t="shared" si="7"/>
        <v>#VALUE!</v>
      </c>
      <c r="R69" s="10" t="e">
        <f t="shared" si="26"/>
        <v>#VALUE!</v>
      </c>
      <c r="S69" s="10" t="e">
        <f t="shared" si="27"/>
        <v>#VALUE!</v>
      </c>
      <c r="T69" s="10" t="e">
        <f t="shared" si="62"/>
        <v>#VALUE!</v>
      </c>
      <c r="U69" s="10" t="e">
        <f t="shared" si="63"/>
        <v>#VALUE!</v>
      </c>
      <c r="V69" s="10" t="e">
        <f t="shared" si="8"/>
        <v>#VALUE!</v>
      </c>
      <c r="W69" s="10" t="e">
        <f t="shared" si="28"/>
        <v>#VALUE!</v>
      </c>
      <c r="Y69" s="10" t="e">
        <f t="shared" si="29"/>
        <v>#VALUE!</v>
      </c>
      <c r="Z69" s="11" t="e">
        <f t="shared" si="30"/>
        <v>#VALUE!</v>
      </c>
      <c r="AA69" s="10" t="e">
        <f t="shared" si="9"/>
        <v>#VALUE!</v>
      </c>
      <c r="AB69" s="10" t="e">
        <f t="shared" si="31"/>
        <v>#VALUE!</v>
      </c>
      <c r="AC69" s="10" t="e">
        <f t="shared" si="32"/>
        <v>#VALUE!</v>
      </c>
      <c r="AD69" s="10" t="e">
        <f t="shared" si="64"/>
        <v>#VALUE!</v>
      </c>
      <c r="AE69" s="10" t="e">
        <f t="shared" si="65"/>
        <v>#VALUE!</v>
      </c>
      <c r="AF69" s="10" t="e">
        <f t="shared" si="10"/>
        <v>#VALUE!</v>
      </c>
      <c r="AG69" s="10" t="e">
        <f t="shared" si="33"/>
        <v>#VALUE!</v>
      </c>
      <c r="AI69" s="13"/>
      <c r="AK69" s="10" t="e">
        <f t="shared" si="34"/>
        <v>#VALUE!</v>
      </c>
      <c r="AL69" s="10" t="e">
        <f t="shared" si="66"/>
        <v>#VALUE!</v>
      </c>
      <c r="AM69" s="10" t="e">
        <f t="shared" si="11"/>
        <v>#VALUE!</v>
      </c>
      <c r="AN69" s="10" t="e">
        <f t="shared" si="35"/>
        <v>#VALUE!</v>
      </c>
      <c r="AO69" s="10" t="e">
        <f t="shared" si="36"/>
        <v>#VALUE!</v>
      </c>
      <c r="AP69" s="10" t="e">
        <f t="shared" si="37"/>
        <v>#VALUE!</v>
      </c>
      <c r="AQ69" s="10" t="e">
        <f t="shared" si="67"/>
        <v>#VALUE!</v>
      </c>
      <c r="AR69" s="10" t="e">
        <f t="shared" si="12"/>
        <v>#VALUE!</v>
      </c>
      <c r="AS69" s="10" t="e">
        <f t="shared" si="68"/>
        <v>#VALUE!</v>
      </c>
      <c r="AU69" s="10" t="e">
        <f t="shared" si="38"/>
        <v>#VALUE!</v>
      </c>
      <c r="AV69" s="10" t="e">
        <f t="shared" si="69"/>
        <v>#VALUE!</v>
      </c>
      <c r="AW69" s="10" t="e">
        <f t="shared" si="13"/>
        <v>#VALUE!</v>
      </c>
      <c r="AX69" s="10" t="e">
        <f t="shared" si="39"/>
        <v>#VALUE!</v>
      </c>
      <c r="AY69" s="10" t="e">
        <f t="shared" si="40"/>
        <v>#VALUE!</v>
      </c>
      <c r="AZ69" s="10" t="e">
        <f t="shared" si="41"/>
        <v>#VALUE!</v>
      </c>
      <c r="BA69" s="10" t="e">
        <f t="shared" si="70"/>
        <v>#VALUE!</v>
      </c>
      <c r="BB69" s="10" t="e">
        <f t="shared" si="14"/>
        <v>#VALUE!</v>
      </c>
      <c r="BC69" s="10" t="e">
        <f t="shared" si="71"/>
        <v>#VALUE!</v>
      </c>
      <c r="BE69" s="10" t="e">
        <f t="shared" si="42"/>
        <v>#VALUE!</v>
      </c>
      <c r="BF69" s="10" t="e">
        <f t="shared" si="72"/>
        <v>#VALUE!</v>
      </c>
      <c r="BG69" s="10" t="e">
        <f t="shared" si="15"/>
        <v>#VALUE!</v>
      </c>
      <c r="BH69" s="10" t="e">
        <f t="shared" si="43"/>
        <v>#VALUE!</v>
      </c>
      <c r="BI69" s="10" t="e">
        <f t="shared" si="44"/>
        <v>#VALUE!</v>
      </c>
      <c r="BJ69" s="10" t="e">
        <f t="shared" si="45"/>
        <v>#VALUE!</v>
      </c>
      <c r="BK69" s="10" t="e">
        <f t="shared" si="73"/>
        <v>#VALUE!</v>
      </c>
      <c r="BL69" s="10" t="e">
        <f t="shared" si="16"/>
        <v>#VALUE!</v>
      </c>
      <c r="BM69" s="10" t="e">
        <f t="shared" si="74"/>
        <v>#VALUE!</v>
      </c>
      <c r="BP69" s="10" t="e">
        <f t="shared" si="46"/>
        <v>#VALUE!</v>
      </c>
      <c r="BQ69" s="10" t="e">
        <f t="shared" si="47"/>
        <v>#VALUE!</v>
      </c>
      <c r="BR69" s="10" t="e">
        <f t="shared" si="48"/>
        <v>#VALUE!</v>
      </c>
      <c r="BS69" s="10" t="e">
        <f t="shared" si="49"/>
        <v>#VALUE!</v>
      </c>
      <c r="BT69" s="10" t="e">
        <f t="shared" si="50"/>
        <v>#VALUE!</v>
      </c>
      <c r="BU69" s="10" t="e">
        <f t="shared" si="51"/>
        <v>#VALUE!</v>
      </c>
      <c r="BW69" s="10" t="e">
        <f t="shared" si="52"/>
        <v>#VALUE!</v>
      </c>
      <c r="BX69" s="10" t="e">
        <f t="shared" si="53"/>
        <v>#VALUE!</v>
      </c>
      <c r="BY69" s="10" t="e">
        <f t="shared" si="54"/>
        <v>#VALUE!</v>
      </c>
      <c r="BZ69" s="10" t="e">
        <f t="shared" si="55"/>
        <v>#VALUE!</v>
      </c>
      <c r="CA69" s="10" t="e">
        <f t="shared" si="56"/>
        <v>#VALUE!</v>
      </c>
      <c r="CB69" s="10" t="e">
        <f t="shared" si="57"/>
        <v>#VALUE!</v>
      </c>
      <c r="CD69" s="10" t="e">
        <f>MATCH(INDEX($BP$12:$BU$12,1,MATCH(BP69,$BP$15:$BU$15,0)),结果汇总!$AI$10:$AI$13,0)</f>
        <v>#VALUE!</v>
      </c>
      <c r="CE69" s="10" t="e">
        <f>MATCH(INDEX($BP$12:$BU$12,1,MATCH(BQ69,$BP$15:$BU$15,0)),结果汇总!$AI$10:$AI$13,0)</f>
        <v>#VALUE!</v>
      </c>
      <c r="CF69" s="10" t="e">
        <f>MATCH(INDEX($BP$12:$BU$12,1,MATCH(BR69,$BP$15:$BU$15,0)),结果汇总!$AI$10:$AI$13,0)</f>
        <v>#VALUE!</v>
      </c>
      <c r="CG69" s="10" t="e">
        <f>MATCH(INDEX($BP$12:$BU$12,1,MATCH(BS69,$BP$15:$BU$15,0)),结果汇总!$AI$10:$AI$13,0)</f>
        <v>#VALUE!</v>
      </c>
      <c r="CH69" s="10" t="e">
        <f>MATCH(INDEX($BP$12:$BU$12,1,MATCH(BT69,$BP$15:$BU$15,0)),结果汇总!$AI$10:$AI$13,0)</f>
        <v>#VALUE!</v>
      </c>
      <c r="CI69" s="10" t="e">
        <f>MATCH(INDEX($BP$12:$BU$12,1,MATCH(BU69,$BP$15:$BU$15,0)),结果汇总!$AI$10:$AI$13,0)</f>
        <v>#VALUE!</v>
      </c>
      <c r="CK69" s="10">
        <f t="shared" si="75"/>
        <v>0</v>
      </c>
      <c r="CL69" s="10">
        <f t="shared" si="75"/>
        <v>0</v>
      </c>
      <c r="CM69" s="10">
        <f t="shared" si="75"/>
        <v>0</v>
      </c>
      <c r="CN69" s="10">
        <f t="shared" si="75"/>
        <v>0</v>
      </c>
      <c r="CO69" s="10" t="e">
        <f t="shared" si="76"/>
        <v>#DIV/0!</v>
      </c>
      <c r="CP69" s="10" t="e">
        <f t="shared" si="76"/>
        <v>#DIV/0!</v>
      </c>
      <c r="CQ69" s="10" t="e">
        <f t="shared" si="76"/>
        <v>#DIV/0!</v>
      </c>
      <c r="CR69" s="10" t="e">
        <f t="shared" si="76"/>
        <v>#DIV/0!</v>
      </c>
      <c r="CS69" s="10">
        <f t="shared" si="77"/>
        <v>0</v>
      </c>
      <c r="CT69" s="10">
        <f t="shared" si="77"/>
        <v>0</v>
      </c>
      <c r="CU69" s="10">
        <f t="shared" si="77"/>
        <v>0</v>
      </c>
      <c r="CV69" s="10">
        <f t="shared" si="77"/>
        <v>0</v>
      </c>
      <c r="CW69" s="10" t="e">
        <f t="shared" si="78"/>
        <v>#DIV/0!</v>
      </c>
      <c r="CX69" s="10" t="e">
        <f t="shared" si="78"/>
        <v>#DIV/0!</v>
      </c>
      <c r="CY69" s="10" t="e">
        <f t="shared" si="78"/>
        <v>#DIV/0!</v>
      </c>
      <c r="CZ69" s="10" t="e">
        <f t="shared" si="78"/>
        <v>#DIV/0!</v>
      </c>
    </row>
    <row r="70" spans="4:104" x14ac:dyDescent="0.15">
      <c r="D70" s="10">
        <v>55</v>
      </c>
      <c r="E70" s="10" t="e">
        <f t="shared" si="21"/>
        <v>#VALUE!</v>
      </c>
      <c r="F70" s="10" t="e">
        <f t="shared" si="1"/>
        <v>#VALUE!</v>
      </c>
      <c r="G70" s="10" t="e">
        <f t="shared" si="2"/>
        <v>#VALUE!</v>
      </c>
      <c r="H70" s="10" t="e">
        <f t="shared" si="22"/>
        <v>#VALUE!</v>
      </c>
      <c r="I70" s="10" t="e">
        <f t="shared" si="3"/>
        <v>#VALUE!</v>
      </c>
      <c r="J70" s="10" t="e">
        <f t="shared" si="23"/>
        <v>#VALUE!</v>
      </c>
      <c r="K70" s="10" t="e">
        <f t="shared" si="4"/>
        <v>#VALUE!</v>
      </c>
      <c r="L70" s="10" t="e">
        <f t="shared" si="5"/>
        <v>#VALUE!</v>
      </c>
      <c r="M70" s="10" t="e">
        <f t="shared" si="24"/>
        <v>#VALUE!</v>
      </c>
      <c r="O70" s="10" t="e">
        <f t="shared" si="25"/>
        <v>#VALUE!</v>
      </c>
      <c r="P70" s="10" t="e">
        <f t="shared" si="6"/>
        <v>#VALUE!</v>
      </c>
      <c r="Q70" s="10" t="e">
        <f t="shared" si="7"/>
        <v>#VALUE!</v>
      </c>
      <c r="R70" s="10" t="e">
        <f t="shared" si="26"/>
        <v>#VALUE!</v>
      </c>
      <c r="S70" s="10" t="e">
        <f t="shared" si="27"/>
        <v>#VALUE!</v>
      </c>
      <c r="T70" s="10" t="e">
        <f t="shared" si="62"/>
        <v>#VALUE!</v>
      </c>
      <c r="U70" s="10" t="e">
        <f t="shared" si="63"/>
        <v>#VALUE!</v>
      </c>
      <c r="V70" s="10" t="e">
        <f t="shared" si="8"/>
        <v>#VALUE!</v>
      </c>
      <c r="W70" s="10" t="e">
        <f t="shared" si="28"/>
        <v>#VALUE!</v>
      </c>
      <c r="Y70" s="10" t="e">
        <f t="shared" si="29"/>
        <v>#VALUE!</v>
      </c>
      <c r="Z70" s="11" t="e">
        <f t="shared" si="30"/>
        <v>#VALUE!</v>
      </c>
      <c r="AA70" s="10" t="e">
        <f t="shared" si="9"/>
        <v>#VALUE!</v>
      </c>
      <c r="AB70" s="10" t="e">
        <f t="shared" si="31"/>
        <v>#VALUE!</v>
      </c>
      <c r="AC70" s="10" t="e">
        <f t="shared" si="32"/>
        <v>#VALUE!</v>
      </c>
      <c r="AD70" s="10" t="e">
        <f t="shared" si="64"/>
        <v>#VALUE!</v>
      </c>
      <c r="AE70" s="10" t="e">
        <f t="shared" si="65"/>
        <v>#VALUE!</v>
      </c>
      <c r="AF70" s="10" t="e">
        <f t="shared" si="10"/>
        <v>#VALUE!</v>
      </c>
      <c r="AG70" s="10" t="e">
        <f t="shared" si="33"/>
        <v>#VALUE!</v>
      </c>
      <c r="AI70" s="13"/>
      <c r="AK70" s="10" t="e">
        <f t="shared" si="34"/>
        <v>#VALUE!</v>
      </c>
      <c r="AL70" s="10" t="e">
        <f t="shared" si="66"/>
        <v>#VALUE!</v>
      </c>
      <c r="AM70" s="10" t="e">
        <f t="shared" si="11"/>
        <v>#VALUE!</v>
      </c>
      <c r="AN70" s="10" t="e">
        <f t="shared" si="35"/>
        <v>#VALUE!</v>
      </c>
      <c r="AO70" s="10" t="e">
        <f t="shared" si="36"/>
        <v>#VALUE!</v>
      </c>
      <c r="AP70" s="10" t="e">
        <f t="shared" si="37"/>
        <v>#VALUE!</v>
      </c>
      <c r="AQ70" s="10" t="e">
        <f t="shared" si="67"/>
        <v>#VALUE!</v>
      </c>
      <c r="AR70" s="10" t="e">
        <f t="shared" si="12"/>
        <v>#VALUE!</v>
      </c>
      <c r="AS70" s="10" t="e">
        <f t="shared" si="68"/>
        <v>#VALUE!</v>
      </c>
      <c r="AU70" s="10" t="e">
        <f t="shared" si="38"/>
        <v>#VALUE!</v>
      </c>
      <c r="AV70" s="10" t="e">
        <f t="shared" si="69"/>
        <v>#VALUE!</v>
      </c>
      <c r="AW70" s="10" t="e">
        <f t="shared" si="13"/>
        <v>#VALUE!</v>
      </c>
      <c r="AX70" s="10" t="e">
        <f t="shared" si="39"/>
        <v>#VALUE!</v>
      </c>
      <c r="AY70" s="10" t="e">
        <f t="shared" si="40"/>
        <v>#VALUE!</v>
      </c>
      <c r="AZ70" s="10" t="e">
        <f t="shared" si="41"/>
        <v>#VALUE!</v>
      </c>
      <c r="BA70" s="10" t="e">
        <f t="shared" si="70"/>
        <v>#VALUE!</v>
      </c>
      <c r="BB70" s="10" t="e">
        <f t="shared" si="14"/>
        <v>#VALUE!</v>
      </c>
      <c r="BC70" s="10" t="e">
        <f t="shared" si="71"/>
        <v>#VALUE!</v>
      </c>
      <c r="BE70" s="10" t="e">
        <f t="shared" si="42"/>
        <v>#VALUE!</v>
      </c>
      <c r="BF70" s="10" t="e">
        <f t="shared" si="72"/>
        <v>#VALUE!</v>
      </c>
      <c r="BG70" s="10" t="e">
        <f t="shared" si="15"/>
        <v>#VALUE!</v>
      </c>
      <c r="BH70" s="10" t="e">
        <f t="shared" si="43"/>
        <v>#VALUE!</v>
      </c>
      <c r="BI70" s="10" t="e">
        <f t="shared" si="44"/>
        <v>#VALUE!</v>
      </c>
      <c r="BJ70" s="10" t="e">
        <f t="shared" si="45"/>
        <v>#VALUE!</v>
      </c>
      <c r="BK70" s="10" t="e">
        <f t="shared" si="73"/>
        <v>#VALUE!</v>
      </c>
      <c r="BL70" s="10" t="e">
        <f t="shared" si="16"/>
        <v>#VALUE!</v>
      </c>
      <c r="BM70" s="10" t="e">
        <f t="shared" si="74"/>
        <v>#VALUE!</v>
      </c>
      <c r="BP70" s="10" t="e">
        <f t="shared" si="46"/>
        <v>#VALUE!</v>
      </c>
      <c r="BQ70" s="10" t="e">
        <f t="shared" si="47"/>
        <v>#VALUE!</v>
      </c>
      <c r="BR70" s="10" t="e">
        <f t="shared" si="48"/>
        <v>#VALUE!</v>
      </c>
      <c r="BS70" s="10" t="e">
        <f t="shared" si="49"/>
        <v>#VALUE!</v>
      </c>
      <c r="BT70" s="10" t="e">
        <f t="shared" si="50"/>
        <v>#VALUE!</v>
      </c>
      <c r="BU70" s="10" t="e">
        <f t="shared" si="51"/>
        <v>#VALUE!</v>
      </c>
      <c r="BW70" s="10" t="e">
        <f t="shared" si="52"/>
        <v>#VALUE!</v>
      </c>
      <c r="BX70" s="10" t="e">
        <f t="shared" si="53"/>
        <v>#VALUE!</v>
      </c>
      <c r="BY70" s="10" t="e">
        <f t="shared" si="54"/>
        <v>#VALUE!</v>
      </c>
      <c r="BZ70" s="10" t="e">
        <f t="shared" si="55"/>
        <v>#VALUE!</v>
      </c>
      <c r="CA70" s="10" t="e">
        <f t="shared" si="56"/>
        <v>#VALUE!</v>
      </c>
      <c r="CB70" s="10" t="e">
        <f t="shared" si="57"/>
        <v>#VALUE!</v>
      </c>
      <c r="CD70" s="10" t="e">
        <f>MATCH(INDEX($BP$12:$BU$12,1,MATCH(BP70,$BP$15:$BU$15,0)),结果汇总!$AI$10:$AI$13,0)</f>
        <v>#VALUE!</v>
      </c>
      <c r="CE70" s="10" t="e">
        <f>MATCH(INDEX($BP$12:$BU$12,1,MATCH(BQ70,$BP$15:$BU$15,0)),结果汇总!$AI$10:$AI$13,0)</f>
        <v>#VALUE!</v>
      </c>
      <c r="CF70" s="10" t="e">
        <f>MATCH(INDEX($BP$12:$BU$12,1,MATCH(BR70,$BP$15:$BU$15,0)),结果汇总!$AI$10:$AI$13,0)</f>
        <v>#VALUE!</v>
      </c>
      <c r="CG70" s="10" t="e">
        <f>MATCH(INDEX($BP$12:$BU$12,1,MATCH(BS70,$BP$15:$BU$15,0)),结果汇总!$AI$10:$AI$13,0)</f>
        <v>#VALUE!</v>
      </c>
      <c r="CH70" s="10" t="e">
        <f>MATCH(INDEX($BP$12:$BU$12,1,MATCH(BT70,$BP$15:$BU$15,0)),结果汇总!$AI$10:$AI$13,0)</f>
        <v>#VALUE!</v>
      </c>
      <c r="CI70" s="10" t="e">
        <f>MATCH(INDEX($BP$12:$BU$12,1,MATCH(BU70,$BP$15:$BU$15,0)),结果汇总!$AI$10:$AI$13,0)</f>
        <v>#VALUE!</v>
      </c>
      <c r="CK70" s="10">
        <f t="shared" si="75"/>
        <v>0</v>
      </c>
      <c r="CL70" s="10">
        <f t="shared" si="75"/>
        <v>0</v>
      </c>
      <c r="CM70" s="10">
        <f t="shared" si="75"/>
        <v>0</v>
      </c>
      <c r="CN70" s="10">
        <f t="shared" si="75"/>
        <v>0</v>
      </c>
      <c r="CO70" s="10" t="e">
        <f t="shared" si="76"/>
        <v>#DIV/0!</v>
      </c>
      <c r="CP70" s="10" t="e">
        <f t="shared" si="76"/>
        <v>#DIV/0!</v>
      </c>
      <c r="CQ70" s="10" t="e">
        <f t="shared" si="76"/>
        <v>#DIV/0!</v>
      </c>
      <c r="CR70" s="10" t="e">
        <f t="shared" si="76"/>
        <v>#DIV/0!</v>
      </c>
      <c r="CS70" s="10">
        <f t="shared" si="77"/>
        <v>0</v>
      </c>
      <c r="CT70" s="10">
        <f t="shared" si="77"/>
        <v>0</v>
      </c>
      <c r="CU70" s="10">
        <f t="shared" si="77"/>
        <v>0</v>
      </c>
      <c r="CV70" s="10">
        <f t="shared" si="77"/>
        <v>0</v>
      </c>
      <c r="CW70" s="10" t="e">
        <f t="shared" si="78"/>
        <v>#DIV/0!</v>
      </c>
      <c r="CX70" s="10" t="e">
        <f t="shared" si="78"/>
        <v>#DIV/0!</v>
      </c>
      <c r="CY70" s="10" t="e">
        <f t="shared" si="78"/>
        <v>#DIV/0!</v>
      </c>
      <c r="CZ70" s="10" t="e">
        <f t="shared" si="78"/>
        <v>#DIV/0!</v>
      </c>
    </row>
    <row r="71" spans="4:104" x14ac:dyDescent="0.15">
      <c r="D71" s="10">
        <v>56</v>
      </c>
      <c r="E71" s="10" t="e">
        <f t="shared" si="21"/>
        <v>#VALUE!</v>
      </c>
      <c r="F71" s="10" t="e">
        <f t="shared" si="1"/>
        <v>#VALUE!</v>
      </c>
      <c r="G71" s="10" t="e">
        <f t="shared" si="2"/>
        <v>#VALUE!</v>
      </c>
      <c r="H71" s="10" t="e">
        <f t="shared" si="22"/>
        <v>#VALUE!</v>
      </c>
      <c r="I71" s="10" t="e">
        <f t="shared" si="3"/>
        <v>#VALUE!</v>
      </c>
      <c r="J71" s="10" t="e">
        <f t="shared" si="23"/>
        <v>#VALUE!</v>
      </c>
      <c r="K71" s="10" t="e">
        <f t="shared" si="4"/>
        <v>#VALUE!</v>
      </c>
      <c r="L71" s="10" t="e">
        <f t="shared" si="5"/>
        <v>#VALUE!</v>
      </c>
      <c r="M71" s="10" t="e">
        <f t="shared" si="24"/>
        <v>#VALUE!</v>
      </c>
      <c r="O71" s="10" t="e">
        <f t="shared" si="25"/>
        <v>#VALUE!</v>
      </c>
      <c r="P71" s="10" t="e">
        <f t="shared" si="6"/>
        <v>#VALUE!</v>
      </c>
      <c r="Q71" s="10" t="e">
        <f t="shared" si="7"/>
        <v>#VALUE!</v>
      </c>
      <c r="R71" s="10" t="e">
        <f t="shared" si="26"/>
        <v>#VALUE!</v>
      </c>
      <c r="S71" s="10" t="e">
        <f t="shared" si="27"/>
        <v>#VALUE!</v>
      </c>
      <c r="T71" s="10" t="e">
        <f t="shared" si="62"/>
        <v>#VALUE!</v>
      </c>
      <c r="U71" s="10" t="e">
        <f t="shared" si="63"/>
        <v>#VALUE!</v>
      </c>
      <c r="V71" s="10" t="e">
        <f t="shared" si="8"/>
        <v>#VALUE!</v>
      </c>
      <c r="W71" s="10" t="e">
        <f t="shared" si="28"/>
        <v>#VALUE!</v>
      </c>
      <c r="Y71" s="10" t="e">
        <f t="shared" si="29"/>
        <v>#VALUE!</v>
      </c>
      <c r="Z71" s="11" t="e">
        <f t="shared" si="30"/>
        <v>#VALUE!</v>
      </c>
      <c r="AA71" s="10" t="e">
        <f t="shared" si="9"/>
        <v>#VALUE!</v>
      </c>
      <c r="AB71" s="10" t="e">
        <f t="shared" si="31"/>
        <v>#VALUE!</v>
      </c>
      <c r="AC71" s="10" t="e">
        <f t="shared" si="32"/>
        <v>#VALUE!</v>
      </c>
      <c r="AD71" s="10" t="e">
        <f t="shared" si="64"/>
        <v>#VALUE!</v>
      </c>
      <c r="AE71" s="10" t="e">
        <f t="shared" si="65"/>
        <v>#VALUE!</v>
      </c>
      <c r="AF71" s="10" t="e">
        <f t="shared" si="10"/>
        <v>#VALUE!</v>
      </c>
      <c r="AG71" s="10" t="e">
        <f t="shared" si="33"/>
        <v>#VALUE!</v>
      </c>
      <c r="AI71" s="13"/>
      <c r="AK71" s="10" t="e">
        <f t="shared" si="34"/>
        <v>#VALUE!</v>
      </c>
      <c r="AL71" s="10" t="e">
        <f t="shared" si="66"/>
        <v>#VALUE!</v>
      </c>
      <c r="AM71" s="10" t="e">
        <f t="shared" si="11"/>
        <v>#VALUE!</v>
      </c>
      <c r="AN71" s="10" t="e">
        <f t="shared" si="35"/>
        <v>#VALUE!</v>
      </c>
      <c r="AO71" s="10" t="e">
        <f t="shared" si="36"/>
        <v>#VALUE!</v>
      </c>
      <c r="AP71" s="10" t="e">
        <f t="shared" si="37"/>
        <v>#VALUE!</v>
      </c>
      <c r="AQ71" s="10" t="e">
        <f t="shared" si="67"/>
        <v>#VALUE!</v>
      </c>
      <c r="AR71" s="10" t="e">
        <f t="shared" si="12"/>
        <v>#VALUE!</v>
      </c>
      <c r="AS71" s="10" t="e">
        <f t="shared" si="68"/>
        <v>#VALUE!</v>
      </c>
      <c r="AU71" s="10" t="e">
        <f t="shared" si="38"/>
        <v>#VALUE!</v>
      </c>
      <c r="AV71" s="10" t="e">
        <f t="shared" si="69"/>
        <v>#VALUE!</v>
      </c>
      <c r="AW71" s="10" t="e">
        <f t="shared" si="13"/>
        <v>#VALUE!</v>
      </c>
      <c r="AX71" s="10" t="e">
        <f t="shared" si="39"/>
        <v>#VALUE!</v>
      </c>
      <c r="AY71" s="10" t="e">
        <f t="shared" si="40"/>
        <v>#VALUE!</v>
      </c>
      <c r="AZ71" s="10" t="e">
        <f t="shared" si="41"/>
        <v>#VALUE!</v>
      </c>
      <c r="BA71" s="10" t="e">
        <f t="shared" si="70"/>
        <v>#VALUE!</v>
      </c>
      <c r="BB71" s="10" t="e">
        <f t="shared" si="14"/>
        <v>#VALUE!</v>
      </c>
      <c r="BC71" s="10" t="e">
        <f t="shared" si="71"/>
        <v>#VALUE!</v>
      </c>
      <c r="BE71" s="10" t="e">
        <f t="shared" si="42"/>
        <v>#VALUE!</v>
      </c>
      <c r="BF71" s="10" t="e">
        <f t="shared" si="72"/>
        <v>#VALUE!</v>
      </c>
      <c r="BG71" s="10" t="e">
        <f t="shared" si="15"/>
        <v>#VALUE!</v>
      </c>
      <c r="BH71" s="10" t="e">
        <f t="shared" si="43"/>
        <v>#VALUE!</v>
      </c>
      <c r="BI71" s="10" t="e">
        <f t="shared" si="44"/>
        <v>#VALUE!</v>
      </c>
      <c r="BJ71" s="10" t="e">
        <f t="shared" si="45"/>
        <v>#VALUE!</v>
      </c>
      <c r="BK71" s="10" t="e">
        <f t="shared" si="73"/>
        <v>#VALUE!</v>
      </c>
      <c r="BL71" s="10" t="e">
        <f t="shared" si="16"/>
        <v>#VALUE!</v>
      </c>
      <c r="BM71" s="10" t="e">
        <f t="shared" si="74"/>
        <v>#VALUE!</v>
      </c>
      <c r="BP71" s="10" t="e">
        <f t="shared" si="46"/>
        <v>#VALUE!</v>
      </c>
      <c r="BQ71" s="10" t="e">
        <f t="shared" si="47"/>
        <v>#VALUE!</v>
      </c>
      <c r="BR71" s="10" t="e">
        <f t="shared" si="48"/>
        <v>#VALUE!</v>
      </c>
      <c r="BS71" s="10" t="e">
        <f t="shared" si="49"/>
        <v>#VALUE!</v>
      </c>
      <c r="BT71" s="10" t="e">
        <f t="shared" si="50"/>
        <v>#VALUE!</v>
      </c>
      <c r="BU71" s="10" t="e">
        <f t="shared" si="51"/>
        <v>#VALUE!</v>
      </c>
      <c r="BW71" s="10" t="e">
        <f t="shared" si="52"/>
        <v>#VALUE!</v>
      </c>
      <c r="BX71" s="10" t="e">
        <f t="shared" si="53"/>
        <v>#VALUE!</v>
      </c>
      <c r="BY71" s="10" t="e">
        <f t="shared" si="54"/>
        <v>#VALUE!</v>
      </c>
      <c r="BZ71" s="10" t="e">
        <f t="shared" si="55"/>
        <v>#VALUE!</v>
      </c>
      <c r="CA71" s="10" t="e">
        <f t="shared" si="56"/>
        <v>#VALUE!</v>
      </c>
      <c r="CB71" s="10" t="e">
        <f t="shared" si="57"/>
        <v>#VALUE!</v>
      </c>
      <c r="CD71" s="10" t="e">
        <f>MATCH(INDEX($BP$12:$BU$12,1,MATCH(BP71,$BP$15:$BU$15,0)),结果汇总!$AI$10:$AI$13,0)</f>
        <v>#VALUE!</v>
      </c>
      <c r="CE71" s="10" t="e">
        <f>MATCH(INDEX($BP$12:$BU$12,1,MATCH(BQ71,$BP$15:$BU$15,0)),结果汇总!$AI$10:$AI$13,0)</f>
        <v>#VALUE!</v>
      </c>
      <c r="CF71" s="10" t="e">
        <f>MATCH(INDEX($BP$12:$BU$12,1,MATCH(BR71,$BP$15:$BU$15,0)),结果汇总!$AI$10:$AI$13,0)</f>
        <v>#VALUE!</v>
      </c>
      <c r="CG71" s="10" t="e">
        <f>MATCH(INDEX($BP$12:$BU$12,1,MATCH(BS71,$BP$15:$BU$15,0)),结果汇总!$AI$10:$AI$13,0)</f>
        <v>#VALUE!</v>
      </c>
      <c r="CH71" s="10" t="e">
        <f>MATCH(INDEX($BP$12:$BU$12,1,MATCH(BT71,$BP$15:$BU$15,0)),结果汇总!$AI$10:$AI$13,0)</f>
        <v>#VALUE!</v>
      </c>
      <c r="CI71" s="10" t="e">
        <f>MATCH(INDEX($BP$12:$BU$12,1,MATCH(BU71,$BP$15:$BU$15,0)),结果汇总!$AI$10:$AI$13,0)</f>
        <v>#VALUE!</v>
      </c>
      <c r="CK71" s="10">
        <f t="shared" si="75"/>
        <v>0</v>
      </c>
      <c r="CL71" s="10">
        <f t="shared" si="75"/>
        <v>0</v>
      </c>
      <c r="CM71" s="10">
        <f t="shared" si="75"/>
        <v>0</v>
      </c>
      <c r="CN71" s="10">
        <f t="shared" si="75"/>
        <v>0</v>
      </c>
      <c r="CO71" s="10" t="e">
        <f t="shared" si="76"/>
        <v>#DIV/0!</v>
      </c>
      <c r="CP71" s="10" t="e">
        <f t="shared" si="76"/>
        <v>#DIV/0!</v>
      </c>
      <c r="CQ71" s="10" t="e">
        <f t="shared" si="76"/>
        <v>#DIV/0!</v>
      </c>
      <c r="CR71" s="10" t="e">
        <f t="shared" si="76"/>
        <v>#DIV/0!</v>
      </c>
      <c r="CS71" s="10">
        <f t="shared" si="77"/>
        <v>0</v>
      </c>
      <c r="CT71" s="10">
        <f t="shared" si="77"/>
        <v>0</v>
      </c>
      <c r="CU71" s="10">
        <f t="shared" si="77"/>
        <v>0</v>
      </c>
      <c r="CV71" s="10">
        <f t="shared" si="77"/>
        <v>0</v>
      </c>
      <c r="CW71" s="10" t="e">
        <f t="shared" si="78"/>
        <v>#DIV/0!</v>
      </c>
      <c r="CX71" s="10" t="e">
        <f t="shared" si="78"/>
        <v>#DIV/0!</v>
      </c>
      <c r="CY71" s="10" t="e">
        <f t="shared" si="78"/>
        <v>#DIV/0!</v>
      </c>
      <c r="CZ71" s="10" t="e">
        <f t="shared" si="78"/>
        <v>#DIV/0!</v>
      </c>
    </row>
    <row r="72" spans="4:104" x14ac:dyDescent="0.15">
      <c r="D72" s="10">
        <v>57</v>
      </c>
      <c r="E72" s="10" t="e">
        <f t="shared" si="21"/>
        <v>#VALUE!</v>
      </c>
      <c r="F72" s="10" t="e">
        <f t="shared" si="1"/>
        <v>#VALUE!</v>
      </c>
      <c r="G72" s="10" t="e">
        <f t="shared" si="2"/>
        <v>#VALUE!</v>
      </c>
      <c r="H72" s="10" t="e">
        <f t="shared" si="22"/>
        <v>#VALUE!</v>
      </c>
      <c r="I72" s="10" t="e">
        <f t="shared" si="3"/>
        <v>#VALUE!</v>
      </c>
      <c r="J72" s="10" t="e">
        <f t="shared" si="23"/>
        <v>#VALUE!</v>
      </c>
      <c r="K72" s="10" t="e">
        <f t="shared" si="4"/>
        <v>#VALUE!</v>
      </c>
      <c r="L72" s="10" t="e">
        <f t="shared" si="5"/>
        <v>#VALUE!</v>
      </c>
      <c r="M72" s="10" t="e">
        <f t="shared" si="24"/>
        <v>#VALUE!</v>
      </c>
      <c r="O72" s="10" t="e">
        <f t="shared" si="25"/>
        <v>#VALUE!</v>
      </c>
      <c r="P72" s="10" t="e">
        <f t="shared" si="6"/>
        <v>#VALUE!</v>
      </c>
      <c r="Q72" s="10" t="e">
        <f t="shared" si="7"/>
        <v>#VALUE!</v>
      </c>
      <c r="R72" s="10" t="e">
        <f t="shared" si="26"/>
        <v>#VALUE!</v>
      </c>
      <c r="S72" s="10" t="e">
        <f t="shared" si="27"/>
        <v>#VALUE!</v>
      </c>
      <c r="T72" s="10" t="e">
        <f t="shared" si="62"/>
        <v>#VALUE!</v>
      </c>
      <c r="U72" s="10" t="e">
        <f t="shared" si="63"/>
        <v>#VALUE!</v>
      </c>
      <c r="V72" s="10" t="e">
        <f t="shared" si="8"/>
        <v>#VALUE!</v>
      </c>
      <c r="W72" s="10" t="e">
        <f t="shared" si="28"/>
        <v>#VALUE!</v>
      </c>
      <c r="Y72" s="10" t="e">
        <f t="shared" si="29"/>
        <v>#VALUE!</v>
      </c>
      <c r="Z72" s="11" t="e">
        <f t="shared" si="30"/>
        <v>#VALUE!</v>
      </c>
      <c r="AA72" s="10" t="e">
        <f t="shared" si="9"/>
        <v>#VALUE!</v>
      </c>
      <c r="AB72" s="10" t="e">
        <f t="shared" si="31"/>
        <v>#VALUE!</v>
      </c>
      <c r="AC72" s="10" t="e">
        <f t="shared" si="32"/>
        <v>#VALUE!</v>
      </c>
      <c r="AD72" s="10" t="e">
        <f t="shared" si="64"/>
        <v>#VALUE!</v>
      </c>
      <c r="AE72" s="10" t="e">
        <f t="shared" si="65"/>
        <v>#VALUE!</v>
      </c>
      <c r="AF72" s="10" t="e">
        <f t="shared" si="10"/>
        <v>#VALUE!</v>
      </c>
      <c r="AG72" s="10" t="e">
        <f t="shared" si="33"/>
        <v>#VALUE!</v>
      </c>
      <c r="AI72" s="13"/>
      <c r="AK72" s="10" t="e">
        <f t="shared" si="34"/>
        <v>#VALUE!</v>
      </c>
      <c r="AL72" s="10" t="e">
        <f t="shared" si="66"/>
        <v>#VALUE!</v>
      </c>
      <c r="AM72" s="10" t="e">
        <f t="shared" si="11"/>
        <v>#VALUE!</v>
      </c>
      <c r="AN72" s="10" t="e">
        <f t="shared" si="35"/>
        <v>#VALUE!</v>
      </c>
      <c r="AO72" s="10" t="e">
        <f t="shared" si="36"/>
        <v>#VALUE!</v>
      </c>
      <c r="AP72" s="10" t="e">
        <f t="shared" si="37"/>
        <v>#VALUE!</v>
      </c>
      <c r="AQ72" s="10" t="e">
        <f t="shared" si="67"/>
        <v>#VALUE!</v>
      </c>
      <c r="AR72" s="10" t="e">
        <f t="shared" si="12"/>
        <v>#VALUE!</v>
      </c>
      <c r="AS72" s="10" t="e">
        <f t="shared" si="68"/>
        <v>#VALUE!</v>
      </c>
      <c r="AU72" s="10" t="e">
        <f t="shared" si="38"/>
        <v>#VALUE!</v>
      </c>
      <c r="AV72" s="10" t="e">
        <f t="shared" si="69"/>
        <v>#VALUE!</v>
      </c>
      <c r="AW72" s="10" t="e">
        <f t="shared" si="13"/>
        <v>#VALUE!</v>
      </c>
      <c r="AX72" s="10" t="e">
        <f t="shared" si="39"/>
        <v>#VALUE!</v>
      </c>
      <c r="AY72" s="10" t="e">
        <f t="shared" si="40"/>
        <v>#VALUE!</v>
      </c>
      <c r="AZ72" s="10" t="e">
        <f t="shared" si="41"/>
        <v>#VALUE!</v>
      </c>
      <c r="BA72" s="10" t="e">
        <f t="shared" si="70"/>
        <v>#VALUE!</v>
      </c>
      <c r="BB72" s="10" t="e">
        <f t="shared" si="14"/>
        <v>#VALUE!</v>
      </c>
      <c r="BC72" s="10" t="e">
        <f t="shared" si="71"/>
        <v>#VALUE!</v>
      </c>
      <c r="BE72" s="10" t="e">
        <f t="shared" si="42"/>
        <v>#VALUE!</v>
      </c>
      <c r="BF72" s="10" t="e">
        <f t="shared" si="72"/>
        <v>#VALUE!</v>
      </c>
      <c r="BG72" s="10" t="e">
        <f t="shared" si="15"/>
        <v>#VALUE!</v>
      </c>
      <c r="BH72" s="10" t="e">
        <f t="shared" si="43"/>
        <v>#VALUE!</v>
      </c>
      <c r="BI72" s="10" t="e">
        <f t="shared" si="44"/>
        <v>#VALUE!</v>
      </c>
      <c r="BJ72" s="10" t="e">
        <f t="shared" si="45"/>
        <v>#VALUE!</v>
      </c>
      <c r="BK72" s="10" t="e">
        <f t="shared" si="73"/>
        <v>#VALUE!</v>
      </c>
      <c r="BL72" s="10" t="e">
        <f t="shared" si="16"/>
        <v>#VALUE!</v>
      </c>
      <c r="BM72" s="10" t="e">
        <f t="shared" si="74"/>
        <v>#VALUE!</v>
      </c>
      <c r="BP72" s="10" t="e">
        <f t="shared" si="46"/>
        <v>#VALUE!</v>
      </c>
      <c r="BQ72" s="10" t="e">
        <f t="shared" si="47"/>
        <v>#VALUE!</v>
      </c>
      <c r="BR72" s="10" t="e">
        <f t="shared" si="48"/>
        <v>#VALUE!</v>
      </c>
      <c r="BS72" s="10" t="e">
        <f t="shared" si="49"/>
        <v>#VALUE!</v>
      </c>
      <c r="BT72" s="10" t="e">
        <f t="shared" si="50"/>
        <v>#VALUE!</v>
      </c>
      <c r="BU72" s="10" t="e">
        <f t="shared" si="51"/>
        <v>#VALUE!</v>
      </c>
      <c r="BW72" s="10" t="e">
        <f t="shared" si="52"/>
        <v>#VALUE!</v>
      </c>
      <c r="BX72" s="10" t="e">
        <f t="shared" si="53"/>
        <v>#VALUE!</v>
      </c>
      <c r="BY72" s="10" t="e">
        <f t="shared" si="54"/>
        <v>#VALUE!</v>
      </c>
      <c r="BZ72" s="10" t="e">
        <f t="shared" si="55"/>
        <v>#VALUE!</v>
      </c>
      <c r="CA72" s="10" t="e">
        <f t="shared" si="56"/>
        <v>#VALUE!</v>
      </c>
      <c r="CB72" s="10" t="e">
        <f t="shared" si="57"/>
        <v>#VALUE!</v>
      </c>
      <c r="CD72" s="10" t="e">
        <f>MATCH(INDEX($BP$12:$BU$12,1,MATCH(BP72,$BP$15:$BU$15,0)),结果汇总!$AI$10:$AI$13,0)</f>
        <v>#VALUE!</v>
      </c>
      <c r="CE72" s="10" t="e">
        <f>MATCH(INDEX($BP$12:$BU$12,1,MATCH(BQ72,$BP$15:$BU$15,0)),结果汇总!$AI$10:$AI$13,0)</f>
        <v>#VALUE!</v>
      </c>
      <c r="CF72" s="10" t="e">
        <f>MATCH(INDEX($BP$12:$BU$12,1,MATCH(BR72,$BP$15:$BU$15,0)),结果汇总!$AI$10:$AI$13,0)</f>
        <v>#VALUE!</v>
      </c>
      <c r="CG72" s="10" t="e">
        <f>MATCH(INDEX($BP$12:$BU$12,1,MATCH(BS72,$BP$15:$BU$15,0)),结果汇总!$AI$10:$AI$13,0)</f>
        <v>#VALUE!</v>
      </c>
      <c r="CH72" s="10" t="e">
        <f>MATCH(INDEX($BP$12:$BU$12,1,MATCH(BT72,$BP$15:$BU$15,0)),结果汇总!$AI$10:$AI$13,0)</f>
        <v>#VALUE!</v>
      </c>
      <c r="CI72" s="10" t="e">
        <f>MATCH(INDEX($BP$12:$BU$12,1,MATCH(BU72,$BP$15:$BU$15,0)),结果汇总!$AI$10:$AI$13,0)</f>
        <v>#VALUE!</v>
      </c>
      <c r="CK72" s="10">
        <f t="shared" si="75"/>
        <v>0</v>
      </c>
      <c r="CL72" s="10">
        <f t="shared" si="75"/>
        <v>0</v>
      </c>
      <c r="CM72" s="10">
        <f t="shared" si="75"/>
        <v>0</v>
      </c>
      <c r="CN72" s="10">
        <f t="shared" si="75"/>
        <v>0</v>
      </c>
      <c r="CO72" s="10" t="e">
        <f t="shared" si="76"/>
        <v>#DIV/0!</v>
      </c>
      <c r="CP72" s="10" t="e">
        <f t="shared" si="76"/>
        <v>#DIV/0!</v>
      </c>
      <c r="CQ72" s="10" t="e">
        <f t="shared" si="76"/>
        <v>#DIV/0!</v>
      </c>
      <c r="CR72" s="10" t="e">
        <f t="shared" si="76"/>
        <v>#DIV/0!</v>
      </c>
      <c r="CS72" s="10">
        <f t="shared" si="77"/>
        <v>0</v>
      </c>
      <c r="CT72" s="10">
        <f t="shared" si="77"/>
        <v>0</v>
      </c>
      <c r="CU72" s="10">
        <f t="shared" si="77"/>
        <v>0</v>
      </c>
      <c r="CV72" s="10">
        <f t="shared" si="77"/>
        <v>0</v>
      </c>
      <c r="CW72" s="10" t="e">
        <f t="shared" si="78"/>
        <v>#DIV/0!</v>
      </c>
      <c r="CX72" s="10" t="e">
        <f t="shared" si="78"/>
        <v>#DIV/0!</v>
      </c>
      <c r="CY72" s="10" t="e">
        <f t="shared" si="78"/>
        <v>#DIV/0!</v>
      </c>
      <c r="CZ72" s="10" t="e">
        <f t="shared" si="78"/>
        <v>#DIV/0!</v>
      </c>
    </row>
    <row r="73" spans="4:104" x14ac:dyDescent="0.15">
      <c r="D73" s="10">
        <v>58</v>
      </c>
      <c r="E73" s="10" t="e">
        <f t="shared" si="21"/>
        <v>#VALUE!</v>
      </c>
      <c r="F73" s="10" t="e">
        <f t="shared" si="1"/>
        <v>#VALUE!</v>
      </c>
      <c r="G73" s="10" t="e">
        <f t="shared" si="2"/>
        <v>#VALUE!</v>
      </c>
      <c r="H73" s="10" t="e">
        <f t="shared" si="22"/>
        <v>#VALUE!</v>
      </c>
      <c r="I73" s="10" t="e">
        <f t="shared" si="3"/>
        <v>#VALUE!</v>
      </c>
      <c r="J73" s="10" t="e">
        <f t="shared" si="23"/>
        <v>#VALUE!</v>
      </c>
      <c r="K73" s="10" t="e">
        <f t="shared" si="4"/>
        <v>#VALUE!</v>
      </c>
      <c r="L73" s="10" t="e">
        <f t="shared" si="5"/>
        <v>#VALUE!</v>
      </c>
      <c r="M73" s="10" t="e">
        <f t="shared" si="24"/>
        <v>#VALUE!</v>
      </c>
      <c r="O73" s="10" t="e">
        <f t="shared" si="25"/>
        <v>#VALUE!</v>
      </c>
      <c r="P73" s="10" t="e">
        <f t="shared" si="6"/>
        <v>#VALUE!</v>
      </c>
      <c r="Q73" s="10" t="e">
        <f t="shared" si="7"/>
        <v>#VALUE!</v>
      </c>
      <c r="R73" s="10" t="e">
        <f t="shared" si="26"/>
        <v>#VALUE!</v>
      </c>
      <c r="S73" s="10" t="e">
        <f t="shared" si="27"/>
        <v>#VALUE!</v>
      </c>
      <c r="T73" s="10" t="e">
        <f t="shared" si="62"/>
        <v>#VALUE!</v>
      </c>
      <c r="U73" s="10" t="e">
        <f t="shared" si="63"/>
        <v>#VALUE!</v>
      </c>
      <c r="V73" s="10" t="e">
        <f t="shared" si="8"/>
        <v>#VALUE!</v>
      </c>
      <c r="W73" s="10" t="e">
        <f t="shared" si="28"/>
        <v>#VALUE!</v>
      </c>
      <c r="Y73" s="10" t="e">
        <f t="shared" si="29"/>
        <v>#VALUE!</v>
      </c>
      <c r="Z73" s="11" t="e">
        <f t="shared" si="30"/>
        <v>#VALUE!</v>
      </c>
      <c r="AA73" s="10" t="e">
        <f t="shared" si="9"/>
        <v>#VALUE!</v>
      </c>
      <c r="AB73" s="10" t="e">
        <f t="shared" si="31"/>
        <v>#VALUE!</v>
      </c>
      <c r="AC73" s="10" t="e">
        <f t="shared" si="32"/>
        <v>#VALUE!</v>
      </c>
      <c r="AD73" s="10" t="e">
        <f t="shared" si="64"/>
        <v>#VALUE!</v>
      </c>
      <c r="AE73" s="10" t="e">
        <f t="shared" si="65"/>
        <v>#VALUE!</v>
      </c>
      <c r="AF73" s="10" t="e">
        <f t="shared" si="10"/>
        <v>#VALUE!</v>
      </c>
      <c r="AG73" s="10" t="e">
        <f t="shared" si="33"/>
        <v>#VALUE!</v>
      </c>
      <c r="AI73" s="13"/>
      <c r="AK73" s="10" t="e">
        <f t="shared" si="34"/>
        <v>#VALUE!</v>
      </c>
      <c r="AL73" s="10" t="e">
        <f t="shared" si="66"/>
        <v>#VALUE!</v>
      </c>
      <c r="AM73" s="10" t="e">
        <f t="shared" si="11"/>
        <v>#VALUE!</v>
      </c>
      <c r="AN73" s="10" t="e">
        <f t="shared" si="35"/>
        <v>#VALUE!</v>
      </c>
      <c r="AO73" s="10" t="e">
        <f t="shared" si="36"/>
        <v>#VALUE!</v>
      </c>
      <c r="AP73" s="10" t="e">
        <f t="shared" si="37"/>
        <v>#VALUE!</v>
      </c>
      <c r="AQ73" s="10" t="e">
        <f t="shared" si="67"/>
        <v>#VALUE!</v>
      </c>
      <c r="AR73" s="10" t="e">
        <f t="shared" si="12"/>
        <v>#VALUE!</v>
      </c>
      <c r="AS73" s="10" t="e">
        <f t="shared" si="68"/>
        <v>#VALUE!</v>
      </c>
      <c r="AU73" s="10" t="e">
        <f t="shared" si="38"/>
        <v>#VALUE!</v>
      </c>
      <c r="AV73" s="10" t="e">
        <f t="shared" si="69"/>
        <v>#VALUE!</v>
      </c>
      <c r="AW73" s="10" t="e">
        <f t="shared" si="13"/>
        <v>#VALUE!</v>
      </c>
      <c r="AX73" s="10" t="e">
        <f t="shared" si="39"/>
        <v>#VALUE!</v>
      </c>
      <c r="AY73" s="10" t="e">
        <f t="shared" si="40"/>
        <v>#VALUE!</v>
      </c>
      <c r="AZ73" s="10" t="e">
        <f t="shared" si="41"/>
        <v>#VALUE!</v>
      </c>
      <c r="BA73" s="10" t="e">
        <f t="shared" si="70"/>
        <v>#VALUE!</v>
      </c>
      <c r="BB73" s="10" t="e">
        <f t="shared" si="14"/>
        <v>#VALUE!</v>
      </c>
      <c r="BC73" s="10" t="e">
        <f t="shared" si="71"/>
        <v>#VALUE!</v>
      </c>
      <c r="BE73" s="10" t="e">
        <f t="shared" si="42"/>
        <v>#VALUE!</v>
      </c>
      <c r="BF73" s="10" t="e">
        <f t="shared" si="72"/>
        <v>#VALUE!</v>
      </c>
      <c r="BG73" s="10" t="e">
        <f t="shared" si="15"/>
        <v>#VALUE!</v>
      </c>
      <c r="BH73" s="10" t="e">
        <f t="shared" si="43"/>
        <v>#VALUE!</v>
      </c>
      <c r="BI73" s="10" t="e">
        <f t="shared" si="44"/>
        <v>#VALUE!</v>
      </c>
      <c r="BJ73" s="10" t="e">
        <f t="shared" si="45"/>
        <v>#VALUE!</v>
      </c>
      <c r="BK73" s="10" t="e">
        <f t="shared" si="73"/>
        <v>#VALUE!</v>
      </c>
      <c r="BL73" s="10" t="e">
        <f t="shared" si="16"/>
        <v>#VALUE!</v>
      </c>
      <c r="BM73" s="10" t="e">
        <f t="shared" si="74"/>
        <v>#VALUE!</v>
      </c>
      <c r="BP73" s="10" t="e">
        <f t="shared" si="46"/>
        <v>#VALUE!</v>
      </c>
      <c r="BQ73" s="10" t="e">
        <f t="shared" si="47"/>
        <v>#VALUE!</v>
      </c>
      <c r="BR73" s="10" t="e">
        <f t="shared" si="48"/>
        <v>#VALUE!</v>
      </c>
      <c r="BS73" s="10" t="e">
        <f t="shared" si="49"/>
        <v>#VALUE!</v>
      </c>
      <c r="BT73" s="10" t="e">
        <f t="shared" si="50"/>
        <v>#VALUE!</v>
      </c>
      <c r="BU73" s="10" t="e">
        <f t="shared" si="51"/>
        <v>#VALUE!</v>
      </c>
      <c r="BW73" s="10" t="e">
        <f t="shared" si="52"/>
        <v>#VALUE!</v>
      </c>
      <c r="BX73" s="10" t="e">
        <f t="shared" si="53"/>
        <v>#VALUE!</v>
      </c>
      <c r="BY73" s="10" t="e">
        <f t="shared" si="54"/>
        <v>#VALUE!</v>
      </c>
      <c r="BZ73" s="10" t="e">
        <f t="shared" si="55"/>
        <v>#VALUE!</v>
      </c>
      <c r="CA73" s="10" t="e">
        <f t="shared" si="56"/>
        <v>#VALUE!</v>
      </c>
      <c r="CB73" s="10" t="e">
        <f t="shared" si="57"/>
        <v>#VALUE!</v>
      </c>
      <c r="CD73" s="10" t="e">
        <f>MATCH(INDEX($BP$12:$BU$12,1,MATCH(BP73,$BP$15:$BU$15,0)),结果汇总!$AI$10:$AI$13,0)</f>
        <v>#VALUE!</v>
      </c>
      <c r="CE73" s="10" t="e">
        <f>MATCH(INDEX($BP$12:$BU$12,1,MATCH(BQ73,$BP$15:$BU$15,0)),结果汇总!$AI$10:$AI$13,0)</f>
        <v>#VALUE!</v>
      </c>
      <c r="CF73" s="10" t="e">
        <f>MATCH(INDEX($BP$12:$BU$12,1,MATCH(BR73,$BP$15:$BU$15,0)),结果汇总!$AI$10:$AI$13,0)</f>
        <v>#VALUE!</v>
      </c>
      <c r="CG73" s="10" t="e">
        <f>MATCH(INDEX($BP$12:$BU$12,1,MATCH(BS73,$BP$15:$BU$15,0)),结果汇总!$AI$10:$AI$13,0)</f>
        <v>#VALUE!</v>
      </c>
      <c r="CH73" s="10" t="e">
        <f>MATCH(INDEX($BP$12:$BU$12,1,MATCH(BT73,$BP$15:$BU$15,0)),结果汇总!$AI$10:$AI$13,0)</f>
        <v>#VALUE!</v>
      </c>
      <c r="CI73" s="10" t="e">
        <f>MATCH(INDEX($BP$12:$BU$12,1,MATCH(BU73,$BP$15:$BU$15,0)),结果汇总!$AI$10:$AI$13,0)</f>
        <v>#VALUE!</v>
      </c>
      <c r="CK73" s="10">
        <f t="shared" si="75"/>
        <v>0</v>
      </c>
      <c r="CL73" s="10">
        <f t="shared" si="75"/>
        <v>0</v>
      </c>
      <c r="CM73" s="10">
        <f t="shared" si="75"/>
        <v>0</v>
      </c>
      <c r="CN73" s="10">
        <f t="shared" si="75"/>
        <v>0</v>
      </c>
      <c r="CO73" s="10" t="e">
        <f t="shared" si="76"/>
        <v>#DIV/0!</v>
      </c>
      <c r="CP73" s="10" t="e">
        <f t="shared" si="76"/>
        <v>#DIV/0!</v>
      </c>
      <c r="CQ73" s="10" t="e">
        <f t="shared" si="76"/>
        <v>#DIV/0!</v>
      </c>
      <c r="CR73" s="10" t="e">
        <f t="shared" si="76"/>
        <v>#DIV/0!</v>
      </c>
      <c r="CS73" s="10">
        <f t="shared" si="77"/>
        <v>0</v>
      </c>
      <c r="CT73" s="10">
        <f t="shared" si="77"/>
        <v>0</v>
      </c>
      <c r="CU73" s="10">
        <f t="shared" si="77"/>
        <v>0</v>
      </c>
      <c r="CV73" s="10">
        <f t="shared" si="77"/>
        <v>0</v>
      </c>
      <c r="CW73" s="10" t="e">
        <f t="shared" si="78"/>
        <v>#DIV/0!</v>
      </c>
      <c r="CX73" s="10" t="e">
        <f t="shared" si="78"/>
        <v>#DIV/0!</v>
      </c>
      <c r="CY73" s="10" t="e">
        <f t="shared" si="78"/>
        <v>#DIV/0!</v>
      </c>
      <c r="CZ73" s="10" t="e">
        <f t="shared" si="78"/>
        <v>#DIV/0!</v>
      </c>
    </row>
    <row r="74" spans="4:104" x14ac:dyDescent="0.15">
      <c r="D74" s="10">
        <v>59</v>
      </c>
      <c r="E74" s="10" t="e">
        <f t="shared" si="21"/>
        <v>#VALUE!</v>
      </c>
      <c r="F74" s="10" t="e">
        <f t="shared" si="1"/>
        <v>#VALUE!</v>
      </c>
      <c r="G74" s="10" t="e">
        <f t="shared" si="2"/>
        <v>#VALUE!</v>
      </c>
      <c r="H74" s="10" t="e">
        <f t="shared" si="22"/>
        <v>#VALUE!</v>
      </c>
      <c r="I74" s="10" t="e">
        <f t="shared" si="3"/>
        <v>#VALUE!</v>
      </c>
      <c r="J74" s="10" t="e">
        <f t="shared" si="23"/>
        <v>#VALUE!</v>
      </c>
      <c r="K74" s="10" t="e">
        <f t="shared" si="4"/>
        <v>#VALUE!</v>
      </c>
      <c r="L74" s="10" t="e">
        <f t="shared" si="5"/>
        <v>#VALUE!</v>
      </c>
      <c r="M74" s="10" t="e">
        <f t="shared" si="24"/>
        <v>#VALUE!</v>
      </c>
      <c r="O74" s="10" t="e">
        <f t="shared" si="25"/>
        <v>#VALUE!</v>
      </c>
      <c r="P74" s="10" t="e">
        <f t="shared" si="6"/>
        <v>#VALUE!</v>
      </c>
      <c r="Q74" s="10" t="e">
        <f t="shared" si="7"/>
        <v>#VALUE!</v>
      </c>
      <c r="R74" s="10" t="e">
        <f t="shared" si="26"/>
        <v>#VALUE!</v>
      </c>
      <c r="S74" s="10" t="e">
        <f t="shared" si="27"/>
        <v>#VALUE!</v>
      </c>
      <c r="T74" s="10" t="e">
        <f t="shared" si="62"/>
        <v>#VALUE!</v>
      </c>
      <c r="U74" s="10" t="e">
        <f t="shared" si="63"/>
        <v>#VALUE!</v>
      </c>
      <c r="V74" s="10" t="e">
        <f t="shared" si="8"/>
        <v>#VALUE!</v>
      </c>
      <c r="W74" s="10" t="e">
        <f t="shared" si="28"/>
        <v>#VALUE!</v>
      </c>
      <c r="Y74" s="10" t="e">
        <f t="shared" si="29"/>
        <v>#VALUE!</v>
      </c>
      <c r="Z74" s="11" t="e">
        <f t="shared" si="30"/>
        <v>#VALUE!</v>
      </c>
      <c r="AA74" s="10" t="e">
        <f t="shared" si="9"/>
        <v>#VALUE!</v>
      </c>
      <c r="AB74" s="10" t="e">
        <f t="shared" si="31"/>
        <v>#VALUE!</v>
      </c>
      <c r="AC74" s="10" t="e">
        <f t="shared" si="32"/>
        <v>#VALUE!</v>
      </c>
      <c r="AD74" s="10" t="e">
        <f t="shared" si="64"/>
        <v>#VALUE!</v>
      </c>
      <c r="AE74" s="10" t="e">
        <f t="shared" si="65"/>
        <v>#VALUE!</v>
      </c>
      <c r="AF74" s="10" t="e">
        <f t="shared" si="10"/>
        <v>#VALUE!</v>
      </c>
      <c r="AG74" s="10" t="e">
        <f t="shared" si="33"/>
        <v>#VALUE!</v>
      </c>
      <c r="AI74" s="13"/>
      <c r="AK74" s="10" t="e">
        <f t="shared" si="34"/>
        <v>#VALUE!</v>
      </c>
      <c r="AL74" s="10" t="e">
        <f t="shared" si="66"/>
        <v>#VALUE!</v>
      </c>
      <c r="AM74" s="10" t="e">
        <f t="shared" si="11"/>
        <v>#VALUE!</v>
      </c>
      <c r="AN74" s="10" t="e">
        <f t="shared" si="35"/>
        <v>#VALUE!</v>
      </c>
      <c r="AO74" s="10" t="e">
        <f t="shared" si="36"/>
        <v>#VALUE!</v>
      </c>
      <c r="AP74" s="10" t="e">
        <f t="shared" si="37"/>
        <v>#VALUE!</v>
      </c>
      <c r="AQ74" s="10" t="e">
        <f t="shared" si="67"/>
        <v>#VALUE!</v>
      </c>
      <c r="AR74" s="10" t="e">
        <f t="shared" si="12"/>
        <v>#VALUE!</v>
      </c>
      <c r="AS74" s="10" t="e">
        <f t="shared" si="68"/>
        <v>#VALUE!</v>
      </c>
      <c r="AU74" s="10" t="e">
        <f t="shared" si="38"/>
        <v>#VALUE!</v>
      </c>
      <c r="AV74" s="10" t="e">
        <f t="shared" si="69"/>
        <v>#VALUE!</v>
      </c>
      <c r="AW74" s="10" t="e">
        <f t="shared" si="13"/>
        <v>#VALUE!</v>
      </c>
      <c r="AX74" s="10" t="e">
        <f t="shared" si="39"/>
        <v>#VALUE!</v>
      </c>
      <c r="AY74" s="10" t="e">
        <f t="shared" si="40"/>
        <v>#VALUE!</v>
      </c>
      <c r="AZ74" s="10" t="e">
        <f t="shared" si="41"/>
        <v>#VALUE!</v>
      </c>
      <c r="BA74" s="10" t="e">
        <f t="shared" si="70"/>
        <v>#VALUE!</v>
      </c>
      <c r="BB74" s="10" t="e">
        <f t="shared" si="14"/>
        <v>#VALUE!</v>
      </c>
      <c r="BC74" s="10" t="e">
        <f t="shared" si="71"/>
        <v>#VALUE!</v>
      </c>
      <c r="BE74" s="10" t="e">
        <f t="shared" si="42"/>
        <v>#VALUE!</v>
      </c>
      <c r="BF74" s="10" t="e">
        <f t="shared" si="72"/>
        <v>#VALUE!</v>
      </c>
      <c r="BG74" s="10" t="e">
        <f t="shared" si="15"/>
        <v>#VALUE!</v>
      </c>
      <c r="BH74" s="10" t="e">
        <f t="shared" si="43"/>
        <v>#VALUE!</v>
      </c>
      <c r="BI74" s="10" t="e">
        <f t="shared" si="44"/>
        <v>#VALUE!</v>
      </c>
      <c r="BJ74" s="10" t="e">
        <f t="shared" si="45"/>
        <v>#VALUE!</v>
      </c>
      <c r="BK74" s="10" t="e">
        <f t="shared" si="73"/>
        <v>#VALUE!</v>
      </c>
      <c r="BL74" s="10" t="e">
        <f t="shared" si="16"/>
        <v>#VALUE!</v>
      </c>
      <c r="BM74" s="10" t="e">
        <f t="shared" si="74"/>
        <v>#VALUE!</v>
      </c>
      <c r="BP74" s="10" t="e">
        <f t="shared" si="46"/>
        <v>#VALUE!</v>
      </c>
      <c r="BQ74" s="10" t="e">
        <f t="shared" si="47"/>
        <v>#VALUE!</v>
      </c>
      <c r="BR74" s="10" t="e">
        <f t="shared" si="48"/>
        <v>#VALUE!</v>
      </c>
      <c r="BS74" s="10" t="e">
        <f t="shared" si="49"/>
        <v>#VALUE!</v>
      </c>
      <c r="BT74" s="10" t="e">
        <f t="shared" si="50"/>
        <v>#VALUE!</v>
      </c>
      <c r="BU74" s="10" t="e">
        <f t="shared" si="51"/>
        <v>#VALUE!</v>
      </c>
      <c r="BW74" s="10" t="e">
        <f t="shared" si="52"/>
        <v>#VALUE!</v>
      </c>
      <c r="BX74" s="10" t="e">
        <f t="shared" si="53"/>
        <v>#VALUE!</v>
      </c>
      <c r="BY74" s="10" t="e">
        <f t="shared" si="54"/>
        <v>#VALUE!</v>
      </c>
      <c r="BZ74" s="10" t="e">
        <f t="shared" si="55"/>
        <v>#VALUE!</v>
      </c>
      <c r="CA74" s="10" t="e">
        <f t="shared" si="56"/>
        <v>#VALUE!</v>
      </c>
      <c r="CB74" s="10" t="e">
        <f t="shared" si="57"/>
        <v>#VALUE!</v>
      </c>
      <c r="CD74" s="10" t="e">
        <f>MATCH(INDEX($BP$12:$BU$12,1,MATCH(BP74,$BP$15:$BU$15,0)),结果汇总!$AI$10:$AI$13,0)</f>
        <v>#VALUE!</v>
      </c>
      <c r="CE74" s="10" t="e">
        <f>MATCH(INDEX($BP$12:$BU$12,1,MATCH(BQ74,$BP$15:$BU$15,0)),结果汇总!$AI$10:$AI$13,0)</f>
        <v>#VALUE!</v>
      </c>
      <c r="CF74" s="10" t="e">
        <f>MATCH(INDEX($BP$12:$BU$12,1,MATCH(BR74,$BP$15:$BU$15,0)),结果汇总!$AI$10:$AI$13,0)</f>
        <v>#VALUE!</v>
      </c>
      <c r="CG74" s="10" t="e">
        <f>MATCH(INDEX($BP$12:$BU$12,1,MATCH(BS74,$BP$15:$BU$15,0)),结果汇总!$AI$10:$AI$13,0)</f>
        <v>#VALUE!</v>
      </c>
      <c r="CH74" s="10" t="e">
        <f>MATCH(INDEX($BP$12:$BU$12,1,MATCH(BT74,$BP$15:$BU$15,0)),结果汇总!$AI$10:$AI$13,0)</f>
        <v>#VALUE!</v>
      </c>
      <c r="CI74" s="10" t="e">
        <f>MATCH(INDEX($BP$12:$BU$12,1,MATCH(BU74,$BP$15:$BU$15,0)),结果汇总!$AI$10:$AI$13,0)</f>
        <v>#VALUE!</v>
      </c>
      <c r="CK74" s="10">
        <f t="shared" si="75"/>
        <v>0</v>
      </c>
      <c r="CL74" s="10">
        <f t="shared" si="75"/>
        <v>0</v>
      </c>
      <c r="CM74" s="10">
        <f t="shared" si="75"/>
        <v>0</v>
      </c>
      <c r="CN74" s="10">
        <f t="shared" si="75"/>
        <v>0</v>
      </c>
      <c r="CO74" s="10" t="e">
        <f t="shared" si="76"/>
        <v>#DIV/0!</v>
      </c>
      <c r="CP74" s="10" t="e">
        <f t="shared" si="76"/>
        <v>#DIV/0!</v>
      </c>
      <c r="CQ74" s="10" t="e">
        <f t="shared" si="76"/>
        <v>#DIV/0!</v>
      </c>
      <c r="CR74" s="10" t="e">
        <f t="shared" si="76"/>
        <v>#DIV/0!</v>
      </c>
      <c r="CS74" s="10">
        <f t="shared" si="77"/>
        <v>0</v>
      </c>
      <c r="CT74" s="10">
        <f t="shared" si="77"/>
        <v>0</v>
      </c>
      <c r="CU74" s="10">
        <f t="shared" si="77"/>
        <v>0</v>
      </c>
      <c r="CV74" s="10">
        <f t="shared" si="77"/>
        <v>0</v>
      </c>
      <c r="CW74" s="10" t="e">
        <f t="shared" si="78"/>
        <v>#DIV/0!</v>
      </c>
      <c r="CX74" s="10" t="e">
        <f t="shared" si="78"/>
        <v>#DIV/0!</v>
      </c>
      <c r="CY74" s="10" t="e">
        <f t="shared" si="78"/>
        <v>#DIV/0!</v>
      </c>
      <c r="CZ74" s="10" t="e">
        <f t="shared" si="78"/>
        <v>#DIV/0!</v>
      </c>
    </row>
    <row r="75" spans="4:104" x14ac:dyDescent="0.15">
      <c r="D75" s="10">
        <v>60</v>
      </c>
      <c r="E75" s="10" t="e">
        <f t="shared" si="21"/>
        <v>#VALUE!</v>
      </c>
      <c r="F75" s="10" t="e">
        <f t="shared" si="1"/>
        <v>#VALUE!</v>
      </c>
      <c r="G75" s="10" t="e">
        <f t="shared" si="2"/>
        <v>#VALUE!</v>
      </c>
      <c r="H75" s="10" t="e">
        <f t="shared" si="22"/>
        <v>#VALUE!</v>
      </c>
      <c r="I75" s="10" t="e">
        <f t="shared" si="3"/>
        <v>#VALUE!</v>
      </c>
      <c r="J75" s="10" t="e">
        <f t="shared" si="23"/>
        <v>#VALUE!</v>
      </c>
      <c r="K75" s="10" t="e">
        <f t="shared" si="4"/>
        <v>#VALUE!</v>
      </c>
      <c r="L75" s="10" t="e">
        <f t="shared" si="5"/>
        <v>#VALUE!</v>
      </c>
      <c r="M75" s="10" t="e">
        <f t="shared" si="24"/>
        <v>#VALUE!</v>
      </c>
      <c r="O75" s="10" t="e">
        <f t="shared" si="25"/>
        <v>#VALUE!</v>
      </c>
      <c r="P75" s="10" t="e">
        <f t="shared" si="6"/>
        <v>#VALUE!</v>
      </c>
      <c r="Q75" s="10" t="e">
        <f t="shared" si="7"/>
        <v>#VALUE!</v>
      </c>
      <c r="R75" s="10" t="e">
        <f t="shared" si="26"/>
        <v>#VALUE!</v>
      </c>
      <c r="S75" s="10" t="e">
        <f t="shared" si="27"/>
        <v>#VALUE!</v>
      </c>
      <c r="T75" s="10" t="e">
        <f t="shared" si="62"/>
        <v>#VALUE!</v>
      </c>
      <c r="U75" s="10" t="e">
        <f t="shared" si="63"/>
        <v>#VALUE!</v>
      </c>
      <c r="V75" s="10" t="e">
        <f t="shared" si="8"/>
        <v>#VALUE!</v>
      </c>
      <c r="W75" s="10" t="e">
        <f t="shared" si="28"/>
        <v>#VALUE!</v>
      </c>
      <c r="Y75" s="10" t="e">
        <f t="shared" si="29"/>
        <v>#VALUE!</v>
      </c>
      <c r="Z75" s="11" t="e">
        <f t="shared" si="30"/>
        <v>#VALUE!</v>
      </c>
      <c r="AA75" s="10" t="e">
        <f t="shared" si="9"/>
        <v>#VALUE!</v>
      </c>
      <c r="AB75" s="10" t="e">
        <f t="shared" si="31"/>
        <v>#VALUE!</v>
      </c>
      <c r="AC75" s="10" t="e">
        <f t="shared" si="32"/>
        <v>#VALUE!</v>
      </c>
      <c r="AD75" s="10" t="e">
        <f t="shared" si="64"/>
        <v>#VALUE!</v>
      </c>
      <c r="AE75" s="10" t="e">
        <f t="shared" si="65"/>
        <v>#VALUE!</v>
      </c>
      <c r="AF75" s="10" t="e">
        <f t="shared" si="10"/>
        <v>#VALUE!</v>
      </c>
      <c r="AG75" s="10" t="e">
        <f t="shared" si="33"/>
        <v>#VALUE!</v>
      </c>
      <c r="AI75" s="13"/>
      <c r="AK75" s="10" t="e">
        <f t="shared" si="34"/>
        <v>#VALUE!</v>
      </c>
      <c r="AL75" s="10" t="e">
        <f t="shared" si="66"/>
        <v>#VALUE!</v>
      </c>
      <c r="AM75" s="10" t="e">
        <f t="shared" si="11"/>
        <v>#VALUE!</v>
      </c>
      <c r="AN75" s="10" t="e">
        <f t="shared" si="35"/>
        <v>#VALUE!</v>
      </c>
      <c r="AO75" s="10" t="e">
        <f t="shared" si="36"/>
        <v>#VALUE!</v>
      </c>
      <c r="AP75" s="10" t="e">
        <f t="shared" si="37"/>
        <v>#VALUE!</v>
      </c>
      <c r="AQ75" s="10" t="e">
        <f t="shared" si="67"/>
        <v>#VALUE!</v>
      </c>
      <c r="AR75" s="10" t="e">
        <f t="shared" si="12"/>
        <v>#VALUE!</v>
      </c>
      <c r="AS75" s="10" t="e">
        <f t="shared" si="68"/>
        <v>#VALUE!</v>
      </c>
      <c r="AU75" s="10" t="e">
        <f t="shared" si="38"/>
        <v>#VALUE!</v>
      </c>
      <c r="AV75" s="10" t="e">
        <f t="shared" si="69"/>
        <v>#VALUE!</v>
      </c>
      <c r="AW75" s="10" t="e">
        <f t="shared" si="13"/>
        <v>#VALUE!</v>
      </c>
      <c r="AX75" s="10" t="e">
        <f t="shared" si="39"/>
        <v>#VALUE!</v>
      </c>
      <c r="AY75" s="10" t="e">
        <f t="shared" si="40"/>
        <v>#VALUE!</v>
      </c>
      <c r="AZ75" s="10" t="e">
        <f t="shared" si="41"/>
        <v>#VALUE!</v>
      </c>
      <c r="BA75" s="10" t="e">
        <f t="shared" si="70"/>
        <v>#VALUE!</v>
      </c>
      <c r="BB75" s="10" t="e">
        <f t="shared" si="14"/>
        <v>#VALUE!</v>
      </c>
      <c r="BC75" s="10" t="e">
        <f t="shared" si="71"/>
        <v>#VALUE!</v>
      </c>
      <c r="BE75" s="10" t="e">
        <f t="shared" si="42"/>
        <v>#VALUE!</v>
      </c>
      <c r="BF75" s="10" t="e">
        <f t="shared" si="72"/>
        <v>#VALUE!</v>
      </c>
      <c r="BG75" s="10" t="e">
        <f t="shared" si="15"/>
        <v>#VALUE!</v>
      </c>
      <c r="BH75" s="10" t="e">
        <f t="shared" si="43"/>
        <v>#VALUE!</v>
      </c>
      <c r="BI75" s="10" t="e">
        <f t="shared" si="44"/>
        <v>#VALUE!</v>
      </c>
      <c r="BJ75" s="10" t="e">
        <f t="shared" si="45"/>
        <v>#VALUE!</v>
      </c>
      <c r="BK75" s="10" t="e">
        <f t="shared" si="73"/>
        <v>#VALUE!</v>
      </c>
      <c r="BL75" s="10" t="e">
        <f t="shared" si="16"/>
        <v>#VALUE!</v>
      </c>
      <c r="BM75" s="10" t="e">
        <f t="shared" si="74"/>
        <v>#VALUE!</v>
      </c>
      <c r="BP75" s="10" t="e">
        <f t="shared" si="46"/>
        <v>#VALUE!</v>
      </c>
      <c r="BQ75" s="10" t="e">
        <f t="shared" si="47"/>
        <v>#VALUE!</v>
      </c>
      <c r="BR75" s="10" t="e">
        <f t="shared" si="48"/>
        <v>#VALUE!</v>
      </c>
      <c r="BS75" s="10" t="e">
        <f t="shared" si="49"/>
        <v>#VALUE!</v>
      </c>
      <c r="BT75" s="10" t="e">
        <f t="shared" si="50"/>
        <v>#VALUE!</v>
      </c>
      <c r="BU75" s="10" t="e">
        <f t="shared" si="51"/>
        <v>#VALUE!</v>
      </c>
      <c r="BW75" s="10" t="e">
        <f t="shared" si="52"/>
        <v>#VALUE!</v>
      </c>
      <c r="BX75" s="10" t="e">
        <f t="shared" si="53"/>
        <v>#VALUE!</v>
      </c>
      <c r="BY75" s="10" t="e">
        <f t="shared" si="54"/>
        <v>#VALUE!</v>
      </c>
      <c r="BZ75" s="10" t="e">
        <f t="shared" si="55"/>
        <v>#VALUE!</v>
      </c>
      <c r="CA75" s="10" t="e">
        <f t="shared" si="56"/>
        <v>#VALUE!</v>
      </c>
      <c r="CB75" s="10" t="e">
        <f t="shared" si="57"/>
        <v>#VALUE!</v>
      </c>
      <c r="CD75" s="10" t="e">
        <f>MATCH(INDEX($BP$12:$BU$12,1,MATCH(BP75,$BP$15:$BU$15,0)),结果汇总!$AI$10:$AI$13,0)</f>
        <v>#VALUE!</v>
      </c>
      <c r="CE75" s="10" t="e">
        <f>MATCH(INDEX($BP$12:$BU$12,1,MATCH(BQ75,$BP$15:$BU$15,0)),结果汇总!$AI$10:$AI$13,0)</f>
        <v>#VALUE!</v>
      </c>
      <c r="CF75" s="10" t="e">
        <f>MATCH(INDEX($BP$12:$BU$12,1,MATCH(BR75,$BP$15:$BU$15,0)),结果汇总!$AI$10:$AI$13,0)</f>
        <v>#VALUE!</v>
      </c>
      <c r="CG75" s="10" t="e">
        <f>MATCH(INDEX($BP$12:$BU$12,1,MATCH(BS75,$BP$15:$BU$15,0)),结果汇总!$AI$10:$AI$13,0)</f>
        <v>#VALUE!</v>
      </c>
      <c r="CH75" s="10" t="e">
        <f>MATCH(INDEX($BP$12:$BU$12,1,MATCH(BT75,$BP$15:$BU$15,0)),结果汇总!$AI$10:$AI$13,0)</f>
        <v>#VALUE!</v>
      </c>
      <c r="CI75" s="10" t="e">
        <f>MATCH(INDEX($BP$12:$BU$12,1,MATCH(BU75,$BP$15:$BU$15,0)),结果汇总!$AI$10:$AI$13,0)</f>
        <v>#VALUE!</v>
      </c>
      <c r="CK75" s="10">
        <f t="shared" si="75"/>
        <v>0</v>
      </c>
      <c r="CL75" s="10">
        <f t="shared" si="75"/>
        <v>0</v>
      </c>
      <c r="CM75" s="10">
        <f t="shared" si="75"/>
        <v>0</v>
      </c>
      <c r="CN75" s="10">
        <f t="shared" si="75"/>
        <v>0</v>
      </c>
      <c r="CO75" s="10" t="e">
        <f t="shared" si="76"/>
        <v>#DIV/0!</v>
      </c>
      <c r="CP75" s="10" t="e">
        <f t="shared" si="76"/>
        <v>#DIV/0!</v>
      </c>
      <c r="CQ75" s="10" t="e">
        <f t="shared" si="76"/>
        <v>#DIV/0!</v>
      </c>
      <c r="CR75" s="10" t="e">
        <f t="shared" si="76"/>
        <v>#DIV/0!</v>
      </c>
      <c r="CS75" s="10">
        <f t="shared" si="77"/>
        <v>0</v>
      </c>
      <c r="CT75" s="10">
        <f t="shared" si="77"/>
        <v>0</v>
      </c>
      <c r="CU75" s="10">
        <f t="shared" si="77"/>
        <v>0</v>
      </c>
      <c r="CV75" s="10">
        <f t="shared" si="77"/>
        <v>0</v>
      </c>
      <c r="CW75" s="10" t="e">
        <f t="shared" si="78"/>
        <v>#DIV/0!</v>
      </c>
      <c r="CX75" s="10" t="e">
        <f t="shared" si="78"/>
        <v>#DIV/0!</v>
      </c>
      <c r="CY75" s="10" t="e">
        <f t="shared" si="78"/>
        <v>#DIV/0!</v>
      </c>
      <c r="CZ75" s="10" t="e">
        <f t="shared" si="78"/>
        <v>#DIV/0!</v>
      </c>
    </row>
    <row r="76" spans="4:104" x14ac:dyDescent="0.15">
      <c r="D76" s="10">
        <v>61</v>
      </c>
      <c r="E76" s="10" t="e">
        <f t="shared" si="21"/>
        <v>#VALUE!</v>
      </c>
      <c r="F76" s="10" t="e">
        <f t="shared" si="1"/>
        <v>#VALUE!</v>
      </c>
      <c r="G76" s="10" t="e">
        <f t="shared" si="2"/>
        <v>#VALUE!</v>
      </c>
      <c r="H76" s="10" t="e">
        <f t="shared" si="22"/>
        <v>#VALUE!</v>
      </c>
      <c r="I76" s="10" t="e">
        <f t="shared" si="3"/>
        <v>#VALUE!</v>
      </c>
      <c r="J76" s="10" t="e">
        <f t="shared" si="23"/>
        <v>#VALUE!</v>
      </c>
      <c r="K76" s="10" t="e">
        <f t="shared" si="4"/>
        <v>#VALUE!</v>
      </c>
      <c r="L76" s="10" t="e">
        <f t="shared" si="5"/>
        <v>#VALUE!</v>
      </c>
      <c r="M76" s="10" t="e">
        <f t="shared" si="24"/>
        <v>#VALUE!</v>
      </c>
      <c r="O76" s="10" t="e">
        <f t="shared" si="25"/>
        <v>#VALUE!</v>
      </c>
      <c r="P76" s="10" t="e">
        <f t="shared" si="6"/>
        <v>#VALUE!</v>
      </c>
      <c r="Q76" s="10" t="e">
        <f t="shared" si="7"/>
        <v>#VALUE!</v>
      </c>
      <c r="R76" s="10" t="e">
        <f t="shared" si="26"/>
        <v>#VALUE!</v>
      </c>
      <c r="S76" s="10" t="e">
        <f t="shared" si="27"/>
        <v>#VALUE!</v>
      </c>
      <c r="T76" s="10" t="e">
        <f t="shared" si="62"/>
        <v>#VALUE!</v>
      </c>
      <c r="U76" s="10" t="e">
        <f t="shared" si="63"/>
        <v>#VALUE!</v>
      </c>
      <c r="V76" s="10" t="e">
        <f t="shared" si="8"/>
        <v>#VALUE!</v>
      </c>
      <c r="W76" s="10" t="e">
        <f t="shared" si="28"/>
        <v>#VALUE!</v>
      </c>
      <c r="Y76" s="10" t="e">
        <f t="shared" si="29"/>
        <v>#VALUE!</v>
      </c>
      <c r="Z76" s="11" t="e">
        <f t="shared" si="30"/>
        <v>#VALUE!</v>
      </c>
      <c r="AA76" s="10" t="e">
        <f t="shared" si="9"/>
        <v>#VALUE!</v>
      </c>
      <c r="AB76" s="10" t="e">
        <f t="shared" si="31"/>
        <v>#VALUE!</v>
      </c>
      <c r="AC76" s="10" t="e">
        <f t="shared" si="32"/>
        <v>#VALUE!</v>
      </c>
      <c r="AD76" s="10" t="e">
        <f t="shared" si="64"/>
        <v>#VALUE!</v>
      </c>
      <c r="AE76" s="10" t="e">
        <f t="shared" si="65"/>
        <v>#VALUE!</v>
      </c>
      <c r="AF76" s="10" t="e">
        <f t="shared" si="10"/>
        <v>#VALUE!</v>
      </c>
      <c r="AG76" s="10" t="e">
        <f t="shared" si="33"/>
        <v>#VALUE!</v>
      </c>
      <c r="AI76" s="13"/>
      <c r="AK76" s="10" t="e">
        <f t="shared" si="34"/>
        <v>#VALUE!</v>
      </c>
      <c r="AL76" s="10" t="e">
        <f t="shared" si="66"/>
        <v>#VALUE!</v>
      </c>
      <c r="AM76" s="10" t="e">
        <f t="shared" si="11"/>
        <v>#VALUE!</v>
      </c>
      <c r="AN76" s="10" t="e">
        <f t="shared" si="35"/>
        <v>#VALUE!</v>
      </c>
      <c r="AO76" s="10" t="e">
        <f t="shared" si="36"/>
        <v>#VALUE!</v>
      </c>
      <c r="AP76" s="10" t="e">
        <f t="shared" si="37"/>
        <v>#VALUE!</v>
      </c>
      <c r="AQ76" s="10" t="e">
        <f t="shared" si="67"/>
        <v>#VALUE!</v>
      </c>
      <c r="AR76" s="10" t="e">
        <f t="shared" si="12"/>
        <v>#VALUE!</v>
      </c>
      <c r="AS76" s="10" t="e">
        <f t="shared" si="68"/>
        <v>#VALUE!</v>
      </c>
      <c r="AU76" s="10" t="e">
        <f t="shared" si="38"/>
        <v>#VALUE!</v>
      </c>
      <c r="AV76" s="10" t="e">
        <f t="shared" si="69"/>
        <v>#VALUE!</v>
      </c>
      <c r="AW76" s="10" t="e">
        <f t="shared" si="13"/>
        <v>#VALUE!</v>
      </c>
      <c r="AX76" s="10" t="e">
        <f t="shared" si="39"/>
        <v>#VALUE!</v>
      </c>
      <c r="AY76" s="10" t="e">
        <f t="shared" si="40"/>
        <v>#VALUE!</v>
      </c>
      <c r="AZ76" s="10" t="e">
        <f t="shared" si="41"/>
        <v>#VALUE!</v>
      </c>
      <c r="BA76" s="10" t="e">
        <f t="shared" si="70"/>
        <v>#VALUE!</v>
      </c>
      <c r="BB76" s="10" t="e">
        <f t="shared" si="14"/>
        <v>#VALUE!</v>
      </c>
      <c r="BC76" s="10" t="e">
        <f t="shared" si="71"/>
        <v>#VALUE!</v>
      </c>
      <c r="BE76" s="10" t="e">
        <f t="shared" si="42"/>
        <v>#VALUE!</v>
      </c>
      <c r="BF76" s="10" t="e">
        <f t="shared" si="72"/>
        <v>#VALUE!</v>
      </c>
      <c r="BG76" s="10" t="e">
        <f t="shared" si="15"/>
        <v>#VALUE!</v>
      </c>
      <c r="BH76" s="10" t="e">
        <f t="shared" si="43"/>
        <v>#VALUE!</v>
      </c>
      <c r="BI76" s="10" t="e">
        <f t="shared" si="44"/>
        <v>#VALUE!</v>
      </c>
      <c r="BJ76" s="10" t="e">
        <f t="shared" si="45"/>
        <v>#VALUE!</v>
      </c>
      <c r="BK76" s="10" t="e">
        <f t="shared" si="73"/>
        <v>#VALUE!</v>
      </c>
      <c r="BL76" s="10" t="e">
        <f t="shared" si="16"/>
        <v>#VALUE!</v>
      </c>
      <c r="BM76" s="10" t="e">
        <f t="shared" si="74"/>
        <v>#VALUE!</v>
      </c>
      <c r="BP76" s="10" t="e">
        <f t="shared" si="46"/>
        <v>#VALUE!</v>
      </c>
      <c r="BQ76" s="10" t="e">
        <f t="shared" si="47"/>
        <v>#VALUE!</v>
      </c>
      <c r="BR76" s="10" t="e">
        <f t="shared" si="48"/>
        <v>#VALUE!</v>
      </c>
      <c r="BS76" s="10" t="e">
        <f t="shared" si="49"/>
        <v>#VALUE!</v>
      </c>
      <c r="BT76" s="10" t="e">
        <f t="shared" si="50"/>
        <v>#VALUE!</v>
      </c>
      <c r="BU76" s="10" t="e">
        <f t="shared" si="51"/>
        <v>#VALUE!</v>
      </c>
      <c r="BW76" s="10" t="e">
        <f t="shared" si="52"/>
        <v>#VALUE!</v>
      </c>
      <c r="BX76" s="10" t="e">
        <f t="shared" si="53"/>
        <v>#VALUE!</v>
      </c>
      <c r="BY76" s="10" t="e">
        <f t="shared" si="54"/>
        <v>#VALUE!</v>
      </c>
      <c r="BZ76" s="10" t="e">
        <f t="shared" si="55"/>
        <v>#VALUE!</v>
      </c>
      <c r="CA76" s="10" t="e">
        <f t="shared" si="56"/>
        <v>#VALUE!</v>
      </c>
      <c r="CB76" s="10" t="e">
        <f t="shared" si="57"/>
        <v>#VALUE!</v>
      </c>
      <c r="CD76" s="10" t="e">
        <f>MATCH(INDEX($BP$12:$BU$12,1,MATCH(BP76,$BP$15:$BU$15,0)),结果汇总!$AI$10:$AI$13,0)</f>
        <v>#VALUE!</v>
      </c>
      <c r="CE76" s="10" t="e">
        <f>MATCH(INDEX($BP$12:$BU$12,1,MATCH(BQ76,$BP$15:$BU$15,0)),结果汇总!$AI$10:$AI$13,0)</f>
        <v>#VALUE!</v>
      </c>
      <c r="CF76" s="10" t="e">
        <f>MATCH(INDEX($BP$12:$BU$12,1,MATCH(BR76,$BP$15:$BU$15,0)),结果汇总!$AI$10:$AI$13,0)</f>
        <v>#VALUE!</v>
      </c>
      <c r="CG76" s="10" t="e">
        <f>MATCH(INDEX($BP$12:$BU$12,1,MATCH(BS76,$BP$15:$BU$15,0)),结果汇总!$AI$10:$AI$13,0)</f>
        <v>#VALUE!</v>
      </c>
      <c r="CH76" s="10" t="e">
        <f>MATCH(INDEX($BP$12:$BU$12,1,MATCH(BT76,$BP$15:$BU$15,0)),结果汇总!$AI$10:$AI$13,0)</f>
        <v>#VALUE!</v>
      </c>
      <c r="CI76" s="10" t="e">
        <f>MATCH(INDEX($BP$12:$BU$12,1,MATCH(BU76,$BP$15:$BU$15,0)),结果汇总!$AI$10:$AI$13,0)</f>
        <v>#VALUE!</v>
      </c>
      <c r="CK76" s="10">
        <f t="shared" si="75"/>
        <v>0</v>
      </c>
      <c r="CL76" s="10">
        <f t="shared" si="75"/>
        <v>0</v>
      </c>
      <c r="CM76" s="10">
        <f t="shared" si="75"/>
        <v>0</v>
      </c>
      <c r="CN76" s="10">
        <f t="shared" si="75"/>
        <v>0</v>
      </c>
      <c r="CO76" s="10" t="e">
        <f t="shared" si="76"/>
        <v>#DIV/0!</v>
      </c>
      <c r="CP76" s="10" t="e">
        <f t="shared" si="76"/>
        <v>#DIV/0!</v>
      </c>
      <c r="CQ76" s="10" t="e">
        <f t="shared" si="76"/>
        <v>#DIV/0!</v>
      </c>
      <c r="CR76" s="10" t="e">
        <f t="shared" si="76"/>
        <v>#DIV/0!</v>
      </c>
      <c r="CS76" s="10">
        <f t="shared" si="77"/>
        <v>0</v>
      </c>
      <c r="CT76" s="10">
        <f t="shared" si="77"/>
        <v>0</v>
      </c>
      <c r="CU76" s="10">
        <f t="shared" si="77"/>
        <v>0</v>
      </c>
      <c r="CV76" s="10">
        <f t="shared" si="77"/>
        <v>0</v>
      </c>
      <c r="CW76" s="10" t="e">
        <f t="shared" si="78"/>
        <v>#DIV/0!</v>
      </c>
      <c r="CX76" s="10" t="e">
        <f t="shared" si="78"/>
        <v>#DIV/0!</v>
      </c>
      <c r="CY76" s="10" t="e">
        <f t="shared" si="78"/>
        <v>#DIV/0!</v>
      </c>
      <c r="CZ76" s="10" t="e">
        <f t="shared" si="78"/>
        <v>#DIV/0!</v>
      </c>
    </row>
    <row r="77" spans="4:104" x14ac:dyDescent="0.15">
      <c r="D77" s="10">
        <v>62</v>
      </c>
      <c r="E77" s="10" t="e">
        <f t="shared" si="21"/>
        <v>#VALUE!</v>
      </c>
      <c r="F77" s="10" t="e">
        <f t="shared" si="1"/>
        <v>#VALUE!</v>
      </c>
      <c r="G77" s="10" t="e">
        <f t="shared" si="2"/>
        <v>#VALUE!</v>
      </c>
      <c r="H77" s="10" t="e">
        <f t="shared" si="22"/>
        <v>#VALUE!</v>
      </c>
      <c r="I77" s="10" t="e">
        <f t="shared" si="3"/>
        <v>#VALUE!</v>
      </c>
      <c r="J77" s="10" t="e">
        <f t="shared" si="23"/>
        <v>#VALUE!</v>
      </c>
      <c r="K77" s="10" t="e">
        <f t="shared" si="4"/>
        <v>#VALUE!</v>
      </c>
      <c r="L77" s="10" t="e">
        <f t="shared" si="5"/>
        <v>#VALUE!</v>
      </c>
      <c r="M77" s="10" t="e">
        <f t="shared" si="24"/>
        <v>#VALUE!</v>
      </c>
      <c r="O77" s="10" t="e">
        <f t="shared" si="25"/>
        <v>#VALUE!</v>
      </c>
      <c r="P77" s="10" t="e">
        <f t="shared" si="6"/>
        <v>#VALUE!</v>
      </c>
      <c r="Q77" s="10" t="e">
        <f t="shared" si="7"/>
        <v>#VALUE!</v>
      </c>
      <c r="R77" s="10" t="e">
        <f t="shared" si="26"/>
        <v>#VALUE!</v>
      </c>
      <c r="S77" s="10" t="e">
        <f t="shared" si="27"/>
        <v>#VALUE!</v>
      </c>
      <c r="T77" s="10" t="e">
        <f t="shared" si="62"/>
        <v>#VALUE!</v>
      </c>
      <c r="U77" s="10" t="e">
        <f t="shared" si="63"/>
        <v>#VALUE!</v>
      </c>
      <c r="V77" s="10" t="e">
        <f t="shared" si="8"/>
        <v>#VALUE!</v>
      </c>
      <c r="W77" s="10" t="e">
        <f t="shared" si="28"/>
        <v>#VALUE!</v>
      </c>
      <c r="Y77" s="10" t="e">
        <f t="shared" si="29"/>
        <v>#VALUE!</v>
      </c>
      <c r="Z77" s="11" t="e">
        <f t="shared" si="30"/>
        <v>#VALUE!</v>
      </c>
      <c r="AA77" s="10" t="e">
        <f t="shared" si="9"/>
        <v>#VALUE!</v>
      </c>
      <c r="AB77" s="10" t="e">
        <f t="shared" si="31"/>
        <v>#VALUE!</v>
      </c>
      <c r="AC77" s="10" t="e">
        <f t="shared" si="32"/>
        <v>#VALUE!</v>
      </c>
      <c r="AD77" s="10" t="e">
        <f t="shared" si="64"/>
        <v>#VALUE!</v>
      </c>
      <c r="AE77" s="10" t="e">
        <f t="shared" si="65"/>
        <v>#VALUE!</v>
      </c>
      <c r="AF77" s="10" t="e">
        <f t="shared" si="10"/>
        <v>#VALUE!</v>
      </c>
      <c r="AG77" s="10" t="e">
        <f t="shared" si="33"/>
        <v>#VALUE!</v>
      </c>
      <c r="AI77" s="13"/>
      <c r="AK77" s="10" t="e">
        <f t="shared" si="34"/>
        <v>#VALUE!</v>
      </c>
      <c r="AL77" s="10" t="e">
        <f t="shared" si="66"/>
        <v>#VALUE!</v>
      </c>
      <c r="AM77" s="10" t="e">
        <f t="shared" si="11"/>
        <v>#VALUE!</v>
      </c>
      <c r="AN77" s="10" t="e">
        <f t="shared" si="35"/>
        <v>#VALUE!</v>
      </c>
      <c r="AO77" s="10" t="e">
        <f t="shared" si="36"/>
        <v>#VALUE!</v>
      </c>
      <c r="AP77" s="10" t="e">
        <f t="shared" si="37"/>
        <v>#VALUE!</v>
      </c>
      <c r="AQ77" s="10" t="e">
        <f t="shared" si="67"/>
        <v>#VALUE!</v>
      </c>
      <c r="AR77" s="10" t="e">
        <f t="shared" si="12"/>
        <v>#VALUE!</v>
      </c>
      <c r="AS77" s="10" t="e">
        <f t="shared" si="68"/>
        <v>#VALUE!</v>
      </c>
      <c r="AU77" s="10" t="e">
        <f t="shared" si="38"/>
        <v>#VALUE!</v>
      </c>
      <c r="AV77" s="10" t="e">
        <f t="shared" si="69"/>
        <v>#VALUE!</v>
      </c>
      <c r="AW77" s="10" t="e">
        <f t="shared" si="13"/>
        <v>#VALUE!</v>
      </c>
      <c r="AX77" s="10" t="e">
        <f t="shared" si="39"/>
        <v>#VALUE!</v>
      </c>
      <c r="AY77" s="10" t="e">
        <f t="shared" si="40"/>
        <v>#VALUE!</v>
      </c>
      <c r="AZ77" s="10" t="e">
        <f t="shared" si="41"/>
        <v>#VALUE!</v>
      </c>
      <c r="BA77" s="10" t="e">
        <f t="shared" si="70"/>
        <v>#VALUE!</v>
      </c>
      <c r="BB77" s="10" t="e">
        <f t="shared" si="14"/>
        <v>#VALUE!</v>
      </c>
      <c r="BC77" s="10" t="e">
        <f t="shared" si="71"/>
        <v>#VALUE!</v>
      </c>
      <c r="BE77" s="10" t="e">
        <f t="shared" si="42"/>
        <v>#VALUE!</v>
      </c>
      <c r="BF77" s="10" t="e">
        <f t="shared" si="72"/>
        <v>#VALUE!</v>
      </c>
      <c r="BG77" s="10" t="e">
        <f t="shared" si="15"/>
        <v>#VALUE!</v>
      </c>
      <c r="BH77" s="10" t="e">
        <f t="shared" si="43"/>
        <v>#VALUE!</v>
      </c>
      <c r="BI77" s="10" t="e">
        <f t="shared" si="44"/>
        <v>#VALUE!</v>
      </c>
      <c r="BJ77" s="10" t="e">
        <f t="shared" si="45"/>
        <v>#VALUE!</v>
      </c>
      <c r="BK77" s="10" t="e">
        <f t="shared" si="73"/>
        <v>#VALUE!</v>
      </c>
      <c r="BL77" s="10" t="e">
        <f t="shared" si="16"/>
        <v>#VALUE!</v>
      </c>
      <c r="BM77" s="10" t="e">
        <f t="shared" si="74"/>
        <v>#VALUE!</v>
      </c>
      <c r="BP77" s="10" t="e">
        <f t="shared" si="46"/>
        <v>#VALUE!</v>
      </c>
      <c r="BQ77" s="10" t="e">
        <f t="shared" si="47"/>
        <v>#VALUE!</v>
      </c>
      <c r="BR77" s="10" t="e">
        <f t="shared" si="48"/>
        <v>#VALUE!</v>
      </c>
      <c r="BS77" s="10" t="e">
        <f t="shared" si="49"/>
        <v>#VALUE!</v>
      </c>
      <c r="BT77" s="10" t="e">
        <f t="shared" si="50"/>
        <v>#VALUE!</v>
      </c>
      <c r="BU77" s="10" t="e">
        <f t="shared" si="51"/>
        <v>#VALUE!</v>
      </c>
      <c r="BW77" s="10" t="e">
        <f t="shared" si="52"/>
        <v>#VALUE!</v>
      </c>
      <c r="BX77" s="10" t="e">
        <f t="shared" si="53"/>
        <v>#VALUE!</v>
      </c>
      <c r="BY77" s="10" t="e">
        <f t="shared" si="54"/>
        <v>#VALUE!</v>
      </c>
      <c r="BZ77" s="10" t="e">
        <f t="shared" si="55"/>
        <v>#VALUE!</v>
      </c>
      <c r="CA77" s="10" t="e">
        <f t="shared" si="56"/>
        <v>#VALUE!</v>
      </c>
      <c r="CB77" s="10" t="e">
        <f t="shared" si="57"/>
        <v>#VALUE!</v>
      </c>
      <c r="CD77" s="10" t="e">
        <f>MATCH(INDEX($BP$12:$BU$12,1,MATCH(BP77,$BP$15:$BU$15,0)),结果汇总!$AI$10:$AI$13,0)</f>
        <v>#VALUE!</v>
      </c>
      <c r="CE77" s="10" t="e">
        <f>MATCH(INDEX($BP$12:$BU$12,1,MATCH(BQ77,$BP$15:$BU$15,0)),结果汇总!$AI$10:$AI$13,0)</f>
        <v>#VALUE!</v>
      </c>
      <c r="CF77" s="10" t="e">
        <f>MATCH(INDEX($BP$12:$BU$12,1,MATCH(BR77,$BP$15:$BU$15,0)),结果汇总!$AI$10:$AI$13,0)</f>
        <v>#VALUE!</v>
      </c>
      <c r="CG77" s="10" t="e">
        <f>MATCH(INDEX($BP$12:$BU$12,1,MATCH(BS77,$BP$15:$BU$15,0)),结果汇总!$AI$10:$AI$13,0)</f>
        <v>#VALUE!</v>
      </c>
      <c r="CH77" s="10" t="e">
        <f>MATCH(INDEX($BP$12:$BU$12,1,MATCH(BT77,$BP$15:$BU$15,0)),结果汇总!$AI$10:$AI$13,0)</f>
        <v>#VALUE!</v>
      </c>
      <c r="CI77" s="10" t="e">
        <f>MATCH(INDEX($BP$12:$BU$12,1,MATCH(BU77,$BP$15:$BU$15,0)),结果汇总!$AI$10:$AI$13,0)</f>
        <v>#VALUE!</v>
      </c>
      <c r="CK77" s="10">
        <f t="shared" si="75"/>
        <v>0</v>
      </c>
      <c r="CL77" s="10">
        <f t="shared" si="75"/>
        <v>0</v>
      </c>
      <c r="CM77" s="10">
        <f t="shared" si="75"/>
        <v>0</v>
      </c>
      <c r="CN77" s="10">
        <f t="shared" si="75"/>
        <v>0</v>
      </c>
      <c r="CO77" s="10" t="e">
        <f t="shared" si="76"/>
        <v>#DIV/0!</v>
      </c>
      <c r="CP77" s="10" t="e">
        <f t="shared" si="76"/>
        <v>#DIV/0!</v>
      </c>
      <c r="CQ77" s="10" t="e">
        <f t="shared" si="76"/>
        <v>#DIV/0!</v>
      </c>
      <c r="CR77" s="10" t="e">
        <f t="shared" si="76"/>
        <v>#DIV/0!</v>
      </c>
      <c r="CS77" s="10">
        <f t="shared" si="77"/>
        <v>0</v>
      </c>
      <c r="CT77" s="10">
        <f t="shared" si="77"/>
        <v>0</v>
      </c>
      <c r="CU77" s="10">
        <f t="shared" si="77"/>
        <v>0</v>
      </c>
      <c r="CV77" s="10">
        <f t="shared" si="77"/>
        <v>0</v>
      </c>
      <c r="CW77" s="10" t="e">
        <f t="shared" si="78"/>
        <v>#DIV/0!</v>
      </c>
      <c r="CX77" s="10" t="e">
        <f t="shared" si="78"/>
        <v>#DIV/0!</v>
      </c>
      <c r="CY77" s="10" t="e">
        <f t="shared" si="78"/>
        <v>#DIV/0!</v>
      </c>
      <c r="CZ77" s="10" t="e">
        <f t="shared" si="78"/>
        <v>#DIV/0!</v>
      </c>
    </row>
    <row r="78" spans="4:104" x14ac:dyDescent="0.15">
      <c r="D78" s="10">
        <v>63</v>
      </c>
      <c r="E78" s="10" t="e">
        <f t="shared" si="21"/>
        <v>#VALUE!</v>
      </c>
      <c r="F78" s="10" t="e">
        <f t="shared" si="1"/>
        <v>#VALUE!</v>
      </c>
      <c r="G78" s="10" t="e">
        <f t="shared" si="2"/>
        <v>#VALUE!</v>
      </c>
      <c r="H78" s="10" t="e">
        <f t="shared" si="22"/>
        <v>#VALUE!</v>
      </c>
      <c r="I78" s="10" t="e">
        <f t="shared" si="3"/>
        <v>#VALUE!</v>
      </c>
      <c r="J78" s="10" t="e">
        <f t="shared" si="23"/>
        <v>#VALUE!</v>
      </c>
      <c r="K78" s="10" t="e">
        <f t="shared" si="4"/>
        <v>#VALUE!</v>
      </c>
      <c r="L78" s="10" t="e">
        <f t="shared" si="5"/>
        <v>#VALUE!</v>
      </c>
      <c r="M78" s="10" t="e">
        <f t="shared" si="24"/>
        <v>#VALUE!</v>
      </c>
      <c r="O78" s="10" t="e">
        <f t="shared" si="25"/>
        <v>#VALUE!</v>
      </c>
      <c r="P78" s="10" t="e">
        <f t="shared" si="6"/>
        <v>#VALUE!</v>
      </c>
      <c r="Q78" s="10" t="e">
        <f t="shared" si="7"/>
        <v>#VALUE!</v>
      </c>
      <c r="R78" s="10" t="e">
        <f t="shared" si="26"/>
        <v>#VALUE!</v>
      </c>
      <c r="S78" s="10" t="e">
        <f t="shared" si="27"/>
        <v>#VALUE!</v>
      </c>
      <c r="T78" s="10" t="e">
        <f t="shared" si="62"/>
        <v>#VALUE!</v>
      </c>
      <c r="U78" s="10" t="e">
        <f t="shared" si="63"/>
        <v>#VALUE!</v>
      </c>
      <c r="V78" s="10" t="e">
        <f t="shared" si="8"/>
        <v>#VALUE!</v>
      </c>
      <c r="W78" s="10" t="e">
        <f t="shared" si="28"/>
        <v>#VALUE!</v>
      </c>
      <c r="Y78" s="10" t="e">
        <f t="shared" si="29"/>
        <v>#VALUE!</v>
      </c>
      <c r="Z78" s="11" t="e">
        <f t="shared" si="30"/>
        <v>#VALUE!</v>
      </c>
      <c r="AA78" s="10" t="e">
        <f t="shared" si="9"/>
        <v>#VALUE!</v>
      </c>
      <c r="AB78" s="10" t="e">
        <f t="shared" si="31"/>
        <v>#VALUE!</v>
      </c>
      <c r="AC78" s="10" t="e">
        <f t="shared" si="32"/>
        <v>#VALUE!</v>
      </c>
      <c r="AD78" s="10" t="e">
        <f t="shared" si="64"/>
        <v>#VALUE!</v>
      </c>
      <c r="AE78" s="10" t="e">
        <f t="shared" si="65"/>
        <v>#VALUE!</v>
      </c>
      <c r="AF78" s="10" t="e">
        <f t="shared" si="10"/>
        <v>#VALUE!</v>
      </c>
      <c r="AG78" s="10" t="e">
        <f t="shared" si="33"/>
        <v>#VALUE!</v>
      </c>
      <c r="AI78" s="13"/>
      <c r="AK78" s="10" t="e">
        <f t="shared" si="34"/>
        <v>#VALUE!</v>
      </c>
      <c r="AL78" s="10" t="e">
        <f t="shared" si="66"/>
        <v>#VALUE!</v>
      </c>
      <c r="AM78" s="10" t="e">
        <f t="shared" si="11"/>
        <v>#VALUE!</v>
      </c>
      <c r="AN78" s="10" t="e">
        <f t="shared" si="35"/>
        <v>#VALUE!</v>
      </c>
      <c r="AO78" s="10" t="e">
        <f t="shared" si="36"/>
        <v>#VALUE!</v>
      </c>
      <c r="AP78" s="10" t="e">
        <f t="shared" si="37"/>
        <v>#VALUE!</v>
      </c>
      <c r="AQ78" s="10" t="e">
        <f t="shared" si="67"/>
        <v>#VALUE!</v>
      </c>
      <c r="AR78" s="10" t="e">
        <f t="shared" si="12"/>
        <v>#VALUE!</v>
      </c>
      <c r="AS78" s="10" t="e">
        <f t="shared" si="68"/>
        <v>#VALUE!</v>
      </c>
      <c r="AU78" s="10" t="e">
        <f t="shared" si="38"/>
        <v>#VALUE!</v>
      </c>
      <c r="AV78" s="10" t="e">
        <f t="shared" si="69"/>
        <v>#VALUE!</v>
      </c>
      <c r="AW78" s="10" t="e">
        <f t="shared" si="13"/>
        <v>#VALUE!</v>
      </c>
      <c r="AX78" s="10" t="e">
        <f t="shared" si="39"/>
        <v>#VALUE!</v>
      </c>
      <c r="AY78" s="10" t="e">
        <f t="shared" si="40"/>
        <v>#VALUE!</v>
      </c>
      <c r="AZ78" s="10" t="e">
        <f t="shared" si="41"/>
        <v>#VALUE!</v>
      </c>
      <c r="BA78" s="10" t="e">
        <f t="shared" si="70"/>
        <v>#VALUE!</v>
      </c>
      <c r="BB78" s="10" t="e">
        <f t="shared" si="14"/>
        <v>#VALUE!</v>
      </c>
      <c r="BC78" s="10" t="e">
        <f t="shared" si="71"/>
        <v>#VALUE!</v>
      </c>
      <c r="BE78" s="10" t="e">
        <f t="shared" si="42"/>
        <v>#VALUE!</v>
      </c>
      <c r="BF78" s="10" t="e">
        <f t="shared" si="72"/>
        <v>#VALUE!</v>
      </c>
      <c r="BG78" s="10" t="e">
        <f t="shared" si="15"/>
        <v>#VALUE!</v>
      </c>
      <c r="BH78" s="10" t="e">
        <f t="shared" si="43"/>
        <v>#VALUE!</v>
      </c>
      <c r="BI78" s="10" t="e">
        <f t="shared" si="44"/>
        <v>#VALUE!</v>
      </c>
      <c r="BJ78" s="10" t="e">
        <f t="shared" si="45"/>
        <v>#VALUE!</v>
      </c>
      <c r="BK78" s="10" t="e">
        <f t="shared" si="73"/>
        <v>#VALUE!</v>
      </c>
      <c r="BL78" s="10" t="e">
        <f t="shared" si="16"/>
        <v>#VALUE!</v>
      </c>
      <c r="BM78" s="10" t="e">
        <f t="shared" si="74"/>
        <v>#VALUE!</v>
      </c>
      <c r="BP78" s="10" t="e">
        <f t="shared" si="46"/>
        <v>#VALUE!</v>
      </c>
      <c r="BQ78" s="10" t="e">
        <f t="shared" si="47"/>
        <v>#VALUE!</v>
      </c>
      <c r="BR78" s="10" t="e">
        <f t="shared" si="48"/>
        <v>#VALUE!</v>
      </c>
      <c r="BS78" s="10" t="e">
        <f t="shared" si="49"/>
        <v>#VALUE!</v>
      </c>
      <c r="BT78" s="10" t="e">
        <f t="shared" si="50"/>
        <v>#VALUE!</v>
      </c>
      <c r="BU78" s="10" t="e">
        <f t="shared" si="51"/>
        <v>#VALUE!</v>
      </c>
      <c r="BW78" s="10" t="e">
        <f t="shared" si="52"/>
        <v>#VALUE!</v>
      </c>
      <c r="BX78" s="10" t="e">
        <f t="shared" si="53"/>
        <v>#VALUE!</v>
      </c>
      <c r="BY78" s="10" t="e">
        <f t="shared" si="54"/>
        <v>#VALUE!</v>
      </c>
      <c r="BZ78" s="10" t="e">
        <f t="shared" si="55"/>
        <v>#VALUE!</v>
      </c>
      <c r="CA78" s="10" t="e">
        <f t="shared" si="56"/>
        <v>#VALUE!</v>
      </c>
      <c r="CB78" s="10" t="e">
        <f t="shared" si="57"/>
        <v>#VALUE!</v>
      </c>
      <c r="CD78" s="10" t="e">
        <f>MATCH(INDEX($BP$12:$BU$12,1,MATCH(BP78,$BP$15:$BU$15,0)),结果汇总!$AI$10:$AI$13,0)</f>
        <v>#VALUE!</v>
      </c>
      <c r="CE78" s="10" t="e">
        <f>MATCH(INDEX($BP$12:$BU$12,1,MATCH(BQ78,$BP$15:$BU$15,0)),结果汇总!$AI$10:$AI$13,0)</f>
        <v>#VALUE!</v>
      </c>
      <c r="CF78" s="10" t="e">
        <f>MATCH(INDEX($BP$12:$BU$12,1,MATCH(BR78,$BP$15:$BU$15,0)),结果汇总!$AI$10:$AI$13,0)</f>
        <v>#VALUE!</v>
      </c>
      <c r="CG78" s="10" t="e">
        <f>MATCH(INDEX($BP$12:$BU$12,1,MATCH(BS78,$BP$15:$BU$15,0)),结果汇总!$AI$10:$AI$13,0)</f>
        <v>#VALUE!</v>
      </c>
      <c r="CH78" s="10" t="e">
        <f>MATCH(INDEX($BP$12:$BU$12,1,MATCH(BT78,$BP$15:$BU$15,0)),结果汇总!$AI$10:$AI$13,0)</f>
        <v>#VALUE!</v>
      </c>
      <c r="CI78" s="10" t="e">
        <f>MATCH(INDEX($BP$12:$BU$12,1,MATCH(BU78,$BP$15:$BU$15,0)),结果汇总!$AI$10:$AI$13,0)</f>
        <v>#VALUE!</v>
      </c>
      <c r="CK78" s="10">
        <f t="shared" si="75"/>
        <v>0</v>
      </c>
      <c r="CL78" s="10">
        <f t="shared" si="75"/>
        <v>0</v>
      </c>
      <c r="CM78" s="10">
        <f t="shared" si="75"/>
        <v>0</v>
      </c>
      <c r="CN78" s="10">
        <f t="shared" si="75"/>
        <v>0</v>
      </c>
      <c r="CO78" s="10" t="e">
        <f t="shared" si="76"/>
        <v>#DIV/0!</v>
      </c>
      <c r="CP78" s="10" t="e">
        <f t="shared" si="76"/>
        <v>#DIV/0!</v>
      </c>
      <c r="CQ78" s="10" t="e">
        <f t="shared" si="76"/>
        <v>#DIV/0!</v>
      </c>
      <c r="CR78" s="10" t="e">
        <f t="shared" si="76"/>
        <v>#DIV/0!</v>
      </c>
      <c r="CS78" s="10">
        <f t="shared" si="77"/>
        <v>0</v>
      </c>
      <c r="CT78" s="10">
        <f t="shared" si="77"/>
        <v>0</v>
      </c>
      <c r="CU78" s="10">
        <f t="shared" si="77"/>
        <v>0</v>
      </c>
      <c r="CV78" s="10">
        <f t="shared" si="77"/>
        <v>0</v>
      </c>
      <c r="CW78" s="10" t="e">
        <f t="shared" si="78"/>
        <v>#DIV/0!</v>
      </c>
      <c r="CX78" s="10" t="e">
        <f t="shared" si="78"/>
        <v>#DIV/0!</v>
      </c>
      <c r="CY78" s="10" t="e">
        <f t="shared" si="78"/>
        <v>#DIV/0!</v>
      </c>
      <c r="CZ78" s="10" t="e">
        <f t="shared" si="78"/>
        <v>#DIV/0!</v>
      </c>
    </row>
    <row r="79" spans="4:104" x14ac:dyDescent="0.15">
      <c r="D79" s="10">
        <v>64</v>
      </c>
      <c r="E79" s="10" t="e">
        <f t="shared" si="21"/>
        <v>#VALUE!</v>
      </c>
      <c r="F79" s="10" t="e">
        <f t="shared" si="1"/>
        <v>#VALUE!</v>
      </c>
      <c r="G79" s="10" t="e">
        <f t="shared" si="2"/>
        <v>#VALUE!</v>
      </c>
      <c r="H79" s="10" t="e">
        <f t="shared" si="22"/>
        <v>#VALUE!</v>
      </c>
      <c r="I79" s="10" t="e">
        <f t="shared" si="3"/>
        <v>#VALUE!</v>
      </c>
      <c r="J79" s="10" t="e">
        <f t="shared" si="23"/>
        <v>#VALUE!</v>
      </c>
      <c r="K79" s="10" t="e">
        <f t="shared" si="4"/>
        <v>#VALUE!</v>
      </c>
      <c r="L79" s="10" t="e">
        <f t="shared" si="5"/>
        <v>#VALUE!</v>
      </c>
      <c r="M79" s="10" t="e">
        <f t="shared" si="24"/>
        <v>#VALUE!</v>
      </c>
      <c r="O79" s="10" t="e">
        <f t="shared" si="25"/>
        <v>#VALUE!</v>
      </c>
      <c r="P79" s="10" t="e">
        <f t="shared" si="6"/>
        <v>#VALUE!</v>
      </c>
      <c r="Q79" s="10" t="e">
        <f t="shared" si="7"/>
        <v>#VALUE!</v>
      </c>
      <c r="R79" s="10" t="e">
        <f t="shared" si="26"/>
        <v>#VALUE!</v>
      </c>
      <c r="S79" s="10" t="e">
        <f t="shared" si="27"/>
        <v>#VALUE!</v>
      </c>
      <c r="T79" s="10" t="e">
        <f t="shared" si="62"/>
        <v>#VALUE!</v>
      </c>
      <c r="U79" s="10" t="e">
        <f t="shared" si="63"/>
        <v>#VALUE!</v>
      </c>
      <c r="V79" s="10" t="e">
        <f t="shared" si="8"/>
        <v>#VALUE!</v>
      </c>
      <c r="W79" s="10" t="e">
        <f t="shared" si="28"/>
        <v>#VALUE!</v>
      </c>
      <c r="Y79" s="10" t="e">
        <f t="shared" si="29"/>
        <v>#VALUE!</v>
      </c>
      <c r="Z79" s="11" t="e">
        <f t="shared" si="30"/>
        <v>#VALUE!</v>
      </c>
      <c r="AA79" s="10" t="e">
        <f t="shared" si="9"/>
        <v>#VALUE!</v>
      </c>
      <c r="AB79" s="10" t="e">
        <f t="shared" si="31"/>
        <v>#VALUE!</v>
      </c>
      <c r="AC79" s="10" t="e">
        <f t="shared" si="32"/>
        <v>#VALUE!</v>
      </c>
      <c r="AD79" s="10" t="e">
        <f t="shared" si="64"/>
        <v>#VALUE!</v>
      </c>
      <c r="AE79" s="10" t="e">
        <f t="shared" si="65"/>
        <v>#VALUE!</v>
      </c>
      <c r="AF79" s="10" t="e">
        <f t="shared" si="10"/>
        <v>#VALUE!</v>
      </c>
      <c r="AG79" s="10" t="e">
        <f t="shared" si="33"/>
        <v>#VALUE!</v>
      </c>
      <c r="AI79" s="13"/>
      <c r="AK79" s="10" t="e">
        <f t="shared" si="34"/>
        <v>#VALUE!</v>
      </c>
      <c r="AL79" s="10" t="e">
        <f t="shared" si="66"/>
        <v>#VALUE!</v>
      </c>
      <c r="AM79" s="10" t="e">
        <f t="shared" si="11"/>
        <v>#VALUE!</v>
      </c>
      <c r="AN79" s="10" t="e">
        <f t="shared" si="35"/>
        <v>#VALUE!</v>
      </c>
      <c r="AO79" s="10" t="e">
        <f t="shared" si="36"/>
        <v>#VALUE!</v>
      </c>
      <c r="AP79" s="10" t="e">
        <f t="shared" si="37"/>
        <v>#VALUE!</v>
      </c>
      <c r="AQ79" s="10" t="e">
        <f t="shared" si="67"/>
        <v>#VALUE!</v>
      </c>
      <c r="AR79" s="10" t="e">
        <f t="shared" si="12"/>
        <v>#VALUE!</v>
      </c>
      <c r="AS79" s="10" t="e">
        <f t="shared" si="68"/>
        <v>#VALUE!</v>
      </c>
      <c r="AU79" s="10" t="e">
        <f t="shared" si="38"/>
        <v>#VALUE!</v>
      </c>
      <c r="AV79" s="10" t="e">
        <f t="shared" si="69"/>
        <v>#VALUE!</v>
      </c>
      <c r="AW79" s="10" t="e">
        <f t="shared" si="13"/>
        <v>#VALUE!</v>
      </c>
      <c r="AX79" s="10" t="e">
        <f t="shared" si="39"/>
        <v>#VALUE!</v>
      </c>
      <c r="AY79" s="10" t="e">
        <f t="shared" si="40"/>
        <v>#VALUE!</v>
      </c>
      <c r="AZ79" s="10" t="e">
        <f t="shared" si="41"/>
        <v>#VALUE!</v>
      </c>
      <c r="BA79" s="10" t="e">
        <f t="shared" si="70"/>
        <v>#VALUE!</v>
      </c>
      <c r="BB79" s="10" t="e">
        <f t="shared" si="14"/>
        <v>#VALUE!</v>
      </c>
      <c r="BC79" s="10" t="e">
        <f t="shared" si="71"/>
        <v>#VALUE!</v>
      </c>
      <c r="BE79" s="10" t="e">
        <f t="shared" si="42"/>
        <v>#VALUE!</v>
      </c>
      <c r="BF79" s="10" t="e">
        <f t="shared" si="72"/>
        <v>#VALUE!</v>
      </c>
      <c r="BG79" s="10" t="e">
        <f t="shared" si="15"/>
        <v>#VALUE!</v>
      </c>
      <c r="BH79" s="10" t="e">
        <f t="shared" si="43"/>
        <v>#VALUE!</v>
      </c>
      <c r="BI79" s="10" t="e">
        <f t="shared" si="44"/>
        <v>#VALUE!</v>
      </c>
      <c r="BJ79" s="10" t="e">
        <f t="shared" si="45"/>
        <v>#VALUE!</v>
      </c>
      <c r="BK79" s="10" t="e">
        <f t="shared" si="73"/>
        <v>#VALUE!</v>
      </c>
      <c r="BL79" s="10" t="e">
        <f t="shared" si="16"/>
        <v>#VALUE!</v>
      </c>
      <c r="BM79" s="10" t="e">
        <f t="shared" si="74"/>
        <v>#VALUE!</v>
      </c>
      <c r="BP79" s="10" t="e">
        <f t="shared" si="46"/>
        <v>#VALUE!</v>
      </c>
      <c r="BQ79" s="10" t="e">
        <f t="shared" si="47"/>
        <v>#VALUE!</v>
      </c>
      <c r="BR79" s="10" t="e">
        <f t="shared" si="48"/>
        <v>#VALUE!</v>
      </c>
      <c r="BS79" s="10" t="e">
        <f t="shared" si="49"/>
        <v>#VALUE!</v>
      </c>
      <c r="BT79" s="10" t="e">
        <f t="shared" si="50"/>
        <v>#VALUE!</v>
      </c>
      <c r="BU79" s="10" t="e">
        <f t="shared" si="51"/>
        <v>#VALUE!</v>
      </c>
      <c r="BW79" s="10" t="e">
        <f t="shared" si="52"/>
        <v>#VALUE!</v>
      </c>
      <c r="BX79" s="10" t="e">
        <f t="shared" si="53"/>
        <v>#VALUE!</v>
      </c>
      <c r="BY79" s="10" t="e">
        <f t="shared" si="54"/>
        <v>#VALUE!</v>
      </c>
      <c r="BZ79" s="10" t="e">
        <f t="shared" si="55"/>
        <v>#VALUE!</v>
      </c>
      <c r="CA79" s="10" t="e">
        <f t="shared" si="56"/>
        <v>#VALUE!</v>
      </c>
      <c r="CB79" s="10" t="e">
        <f t="shared" si="57"/>
        <v>#VALUE!</v>
      </c>
      <c r="CD79" s="10" t="e">
        <f>MATCH(INDEX($BP$12:$BU$12,1,MATCH(BP79,$BP$15:$BU$15,0)),结果汇总!$AI$10:$AI$13,0)</f>
        <v>#VALUE!</v>
      </c>
      <c r="CE79" s="10" t="e">
        <f>MATCH(INDEX($BP$12:$BU$12,1,MATCH(BQ79,$BP$15:$BU$15,0)),结果汇总!$AI$10:$AI$13,0)</f>
        <v>#VALUE!</v>
      </c>
      <c r="CF79" s="10" t="e">
        <f>MATCH(INDEX($BP$12:$BU$12,1,MATCH(BR79,$BP$15:$BU$15,0)),结果汇总!$AI$10:$AI$13,0)</f>
        <v>#VALUE!</v>
      </c>
      <c r="CG79" s="10" t="e">
        <f>MATCH(INDEX($BP$12:$BU$12,1,MATCH(BS79,$BP$15:$BU$15,0)),结果汇总!$AI$10:$AI$13,0)</f>
        <v>#VALUE!</v>
      </c>
      <c r="CH79" s="10" t="e">
        <f>MATCH(INDEX($BP$12:$BU$12,1,MATCH(BT79,$BP$15:$BU$15,0)),结果汇总!$AI$10:$AI$13,0)</f>
        <v>#VALUE!</v>
      </c>
      <c r="CI79" s="10" t="e">
        <f>MATCH(INDEX($BP$12:$BU$12,1,MATCH(BU79,$BP$15:$BU$15,0)),结果汇总!$AI$10:$AI$13,0)</f>
        <v>#VALUE!</v>
      </c>
      <c r="CK79" s="10">
        <f t="shared" si="75"/>
        <v>0</v>
      </c>
      <c r="CL79" s="10">
        <f t="shared" si="75"/>
        <v>0</v>
      </c>
      <c r="CM79" s="10">
        <f t="shared" si="75"/>
        <v>0</v>
      </c>
      <c r="CN79" s="10">
        <f t="shared" si="75"/>
        <v>0</v>
      </c>
      <c r="CO79" s="10" t="e">
        <f t="shared" si="76"/>
        <v>#DIV/0!</v>
      </c>
      <c r="CP79" s="10" t="e">
        <f t="shared" si="76"/>
        <v>#DIV/0!</v>
      </c>
      <c r="CQ79" s="10" t="e">
        <f t="shared" si="76"/>
        <v>#DIV/0!</v>
      </c>
      <c r="CR79" s="10" t="e">
        <f t="shared" si="76"/>
        <v>#DIV/0!</v>
      </c>
      <c r="CS79" s="10">
        <f t="shared" si="77"/>
        <v>0</v>
      </c>
      <c r="CT79" s="10">
        <f t="shared" si="77"/>
        <v>0</v>
      </c>
      <c r="CU79" s="10">
        <f t="shared" si="77"/>
        <v>0</v>
      </c>
      <c r="CV79" s="10">
        <f t="shared" si="77"/>
        <v>0</v>
      </c>
      <c r="CW79" s="10" t="e">
        <f t="shared" si="78"/>
        <v>#DIV/0!</v>
      </c>
      <c r="CX79" s="10" t="e">
        <f t="shared" si="78"/>
        <v>#DIV/0!</v>
      </c>
      <c r="CY79" s="10" t="e">
        <f t="shared" si="78"/>
        <v>#DIV/0!</v>
      </c>
      <c r="CZ79" s="10" t="e">
        <f t="shared" si="78"/>
        <v>#DIV/0!</v>
      </c>
    </row>
    <row r="80" spans="4:104" x14ac:dyDescent="0.15">
      <c r="D80" s="10">
        <v>65</v>
      </c>
      <c r="E80" s="10" t="e">
        <f t="shared" si="21"/>
        <v>#VALUE!</v>
      </c>
      <c r="F80" s="10" t="e">
        <f t="shared" ref="F80:F135" si="79">IF(E80=0,0,E80*$E$5)</f>
        <v>#VALUE!</v>
      </c>
      <c r="G80" s="10" t="e">
        <f t="shared" ref="G80:G135" si="80">F80*$P$7</f>
        <v>#VALUE!</v>
      </c>
      <c r="H80" s="10" t="e">
        <f t="shared" si="22"/>
        <v>#VALUE!</v>
      </c>
      <c r="I80" s="10" t="e">
        <f t="shared" ref="I80:I135" si="81">IF(AND(J80=0,E80&lt;&gt;0),1,H80/(H80+$G$6))</f>
        <v>#VALUE!</v>
      </c>
      <c r="J80" s="10" t="e">
        <f t="shared" si="23"/>
        <v>#VALUE!</v>
      </c>
      <c r="K80" s="10" t="e">
        <f t="shared" ref="K80:K135" si="82">IF(J80=0,0,ROUNDUP(J80,0)*$E$6)</f>
        <v>#VALUE!</v>
      </c>
      <c r="L80" s="10" t="e">
        <f t="shared" ref="L80:L135" si="83">K80*$P$7</f>
        <v>#VALUE!</v>
      </c>
      <c r="M80" s="10" t="e">
        <f t="shared" si="24"/>
        <v>#VALUE!</v>
      </c>
      <c r="O80" s="10" t="e">
        <f t="shared" si="25"/>
        <v>#VALUE!</v>
      </c>
      <c r="P80" s="10" t="e">
        <f t="shared" ref="P80:P135" si="84">IF(O80=0,0,O80*$E$8)</f>
        <v>#VALUE!</v>
      </c>
      <c r="Q80" s="10" t="e">
        <f t="shared" ref="Q80:Q135" si="85">P80*$P$7</f>
        <v>#VALUE!</v>
      </c>
      <c r="R80" s="10" t="e">
        <f t="shared" si="26"/>
        <v>#VALUE!</v>
      </c>
      <c r="S80" s="10" t="e">
        <f t="shared" si="27"/>
        <v>#VALUE!</v>
      </c>
      <c r="T80" s="10" t="e">
        <f t="shared" si="62"/>
        <v>#VALUE!</v>
      </c>
      <c r="U80" s="10" t="e">
        <f t="shared" si="63"/>
        <v>#VALUE!</v>
      </c>
      <c r="V80" s="10" t="e">
        <f t="shared" ref="V80:V135" si="86">U80*$P$7</f>
        <v>#VALUE!</v>
      </c>
      <c r="W80" s="10" t="e">
        <f t="shared" si="28"/>
        <v>#VALUE!</v>
      </c>
      <c r="Y80" s="10" t="e">
        <f t="shared" si="29"/>
        <v>#VALUE!</v>
      </c>
      <c r="Z80" s="11" t="e">
        <f t="shared" si="30"/>
        <v>#VALUE!</v>
      </c>
      <c r="AA80" s="10" t="e">
        <f t="shared" ref="AA80:AA135" si="87">Z80*$P$7</f>
        <v>#VALUE!</v>
      </c>
      <c r="AB80" s="10" t="e">
        <f t="shared" si="31"/>
        <v>#VALUE!</v>
      </c>
      <c r="AC80" s="10" t="e">
        <f t="shared" si="32"/>
        <v>#VALUE!</v>
      </c>
      <c r="AD80" s="10" t="e">
        <f t="shared" si="64"/>
        <v>#VALUE!</v>
      </c>
      <c r="AE80" s="10" t="e">
        <f t="shared" si="65"/>
        <v>#VALUE!</v>
      </c>
      <c r="AF80" s="10" t="e">
        <f t="shared" ref="AF80:AF135" si="88">AE80*$P$7</f>
        <v>#VALUE!</v>
      </c>
      <c r="AG80" s="10" t="e">
        <f t="shared" si="33"/>
        <v>#VALUE!</v>
      </c>
      <c r="AI80" s="13"/>
      <c r="AK80" s="10" t="e">
        <f t="shared" si="34"/>
        <v>#VALUE!</v>
      </c>
      <c r="AL80" s="10" t="e">
        <f t="shared" si="66"/>
        <v>#VALUE!</v>
      </c>
      <c r="AM80" s="10" t="e">
        <f t="shared" ref="AM80:AM135" si="89">AL80*$P$7</f>
        <v>#VALUE!</v>
      </c>
      <c r="AN80" s="10" t="e">
        <f t="shared" si="35"/>
        <v>#VALUE!</v>
      </c>
      <c r="AO80" s="10" t="e">
        <f t="shared" si="36"/>
        <v>#VALUE!</v>
      </c>
      <c r="AP80" s="10" t="e">
        <f t="shared" si="37"/>
        <v>#VALUE!</v>
      </c>
      <c r="AQ80" s="10" t="e">
        <f t="shared" si="67"/>
        <v>#VALUE!</v>
      </c>
      <c r="AR80" s="10" t="e">
        <f t="shared" ref="AR80:AR135" si="90">AQ80*$P$7</f>
        <v>#VALUE!</v>
      </c>
      <c r="AS80" s="10" t="e">
        <f t="shared" si="68"/>
        <v>#VALUE!</v>
      </c>
      <c r="AU80" s="10" t="e">
        <f t="shared" si="38"/>
        <v>#VALUE!</v>
      </c>
      <c r="AV80" s="10" t="e">
        <f t="shared" si="69"/>
        <v>#VALUE!</v>
      </c>
      <c r="AW80" s="10" t="e">
        <f t="shared" ref="AW80:AW135" si="91">AV80*$P$7</f>
        <v>#VALUE!</v>
      </c>
      <c r="AX80" s="10" t="e">
        <f t="shared" si="39"/>
        <v>#VALUE!</v>
      </c>
      <c r="AY80" s="10" t="e">
        <f t="shared" si="40"/>
        <v>#VALUE!</v>
      </c>
      <c r="AZ80" s="10" t="e">
        <f t="shared" si="41"/>
        <v>#VALUE!</v>
      </c>
      <c r="BA80" s="10" t="e">
        <f t="shared" si="70"/>
        <v>#VALUE!</v>
      </c>
      <c r="BB80" s="10" t="e">
        <f t="shared" ref="BB80:BB135" si="92">BA80*$P$7</f>
        <v>#VALUE!</v>
      </c>
      <c r="BC80" s="10" t="e">
        <f t="shared" si="71"/>
        <v>#VALUE!</v>
      </c>
      <c r="BE80" s="10" t="e">
        <f t="shared" si="42"/>
        <v>#VALUE!</v>
      </c>
      <c r="BF80" s="10" t="e">
        <f t="shared" si="72"/>
        <v>#VALUE!</v>
      </c>
      <c r="BG80" s="10" t="e">
        <f t="shared" ref="BG80:BG135" si="93">BF80*$P$7</f>
        <v>#VALUE!</v>
      </c>
      <c r="BH80" s="10" t="e">
        <f t="shared" si="43"/>
        <v>#VALUE!</v>
      </c>
      <c r="BI80" s="10" t="e">
        <f t="shared" si="44"/>
        <v>#VALUE!</v>
      </c>
      <c r="BJ80" s="10" t="e">
        <f t="shared" si="45"/>
        <v>#VALUE!</v>
      </c>
      <c r="BK80" s="10" t="e">
        <f t="shared" si="73"/>
        <v>#VALUE!</v>
      </c>
      <c r="BL80" s="10" t="e">
        <f t="shared" ref="BL80:BL135" si="94">BK80*$P$7</f>
        <v>#VALUE!</v>
      </c>
      <c r="BM80" s="10" t="e">
        <f t="shared" si="74"/>
        <v>#VALUE!</v>
      </c>
      <c r="BP80" s="10" t="e">
        <f t="shared" si="46"/>
        <v>#VALUE!</v>
      </c>
      <c r="BQ80" s="10" t="e">
        <f t="shared" si="47"/>
        <v>#VALUE!</v>
      </c>
      <c r="BR80" s="10" t="e">
        <f t="shared" si="48"/>
        <v>#VALUE!</v>
      </c>
      <c r="BS80" s="10" t="e">
        <f t="shared" si="49"/>
        <v>#VALUE!</v>
      </c>
      <c r="BT80" s="10" t="e">
        <f t="shared" si="50"/>
        <v>#VALUE!</v>
      </c>
      <c r="BU80" s="10" t="e">
        <f t="shared" si="51"/>
        <v>#VALUE!</v>
      </c>
      <c r="BW80" s="10" t="e">
        <f t="shared" si="52"/>
        <v>#VALUE!</v>
      </c>
      <c r="BX80" s="10" t="e">
        <f t="shared" si="53"/>
        <v>#VALUE!</v>
      </c>
      <c r="BY80" s="10" t="e">
        <f t="shared" si="54"/>
        <v>#VALUE!</v>
      </c>
      <c r="BZ80" s="10" t="e">
        <f t="shared" si="55"/>
        <v>#VALUE!</v>
      </c>
      <c r="CA80" s="10" t="e">
        <f t="shared" si="56"/>
        <v>#VALUE!</v>
      </c>
      <c r="CB80" s="10" t="e">
        <f t="shared" si="57"/>
        <v>#VALUE!</v>
      </c>
      <c r="CD80" s="10" t="e">
        <f>MATCH(INDEX($BP$12:$BU$12,1,MATCH(BP80,$BP$15:$BU$15,0)),结果汇总!$AI$10:$AI$13,0)</f>
        <v>#VALUE!</v>
      </c>
      <c r="CE80" s="10" t="e">
        <f>MATCH(INDEX($BP$12:$BU$12,1,MATCH(BQ80,$BP$15:$BU$15,0)),结果汇总!$AI$10:$AI$13,0)</f>
        <v>#VALUE!</v>
      </c>
      <c r="CF80" s="10" t="e">
        <f>MATCH(INDEX($BP$12:$BU$12,1,MATCH(BR80,$BP$15:$BU$15,0)),结果汇总!$AI$10:$AI$13,0)</f>
        <v>#VALUE!</v>
      </c>
      <c r="CG80" s="10" t="e">
        <f>MATCH(INDEX($BP$12:$BU$12,1,MATCH(BS80,$BP$15:$BU$15,0)),结果汇总!$AI$10:$AI$13,0)</f>
        <v>#VALUE!</v>
      </c>
      <c r="CH80" s="10" t="e">
        <f>MATCH(INDEX($BP$12:$BU$12,1,MATCH(BT80,$BP$15:$BU$15,0)),结果汇总!$AI$10:$AI$13,0)</f>
        <v>#VALUE!</v>
      </c>
      <c r="CI80" s="10" t="e">
        <f>MATCH(INDEX($BP$12:$BU$12,1,MATCH(BU80,$BP$15:$BU$15,0)),结果汇总!$AI$10:$AI$13,0)</f>
        <v>#VALUE!</v>
      </c>
      <c r="CK80" s="10">
        <f t="shared" si="75"/>
        <v>0</v>
      </c>
      <c r="CL80" s="10">
        <f t="shared" si="75"/>
        <v>0</v>
      </c>
      <c r="CM80" s="10">
        <f t="shared" si="75"/>
        <v>0</v>
      </c>
      <c r="CN80" s="10">
        <f t="shared" si="75"/>
        <v>0</v>
      </c>
      <c r="CO80" s="10" t="e">
        <f t="shared" si="76"/>
        <v>#DIV/0!</v>
      </c>
      <c r="CP80" s="10" t="e">
        <f t="shared" si="76"/>
        <v>#DIV/0!</v>
      </c>
      <c r="CQ80" s="10" t="e">
        <f t="shared" si="76"/>
        <v>#DIV/0!</v>
      </c>
      <c r="CR80" s="10" t="e">
        <f t="shared" si="76"/>
        <v>#DIV/0!</v>
      </c>
      <c r="CS80" s="10">
        <f t="shared" si="77"/>
        <v>0</v>
      </c>
      <c r="CT80" s="10">
        <f t="shared" si="77"/>
        <v>0</v>
      </c>
      <c r="CU80" s="10">
        <f t="shared" si="77"/>
        <v>0</v>
      </c>
      <c r="CV80" s="10">
        <f t="shared" si="77"/>
        <v>0</v>
      </c>
      <c r="CW80" s="10" t="e">
        <f t="shared" si="78"/>
        <v>#DIV/0!</v>
      </c>
      <c r="CX80" s="10" t="e">
        <f t="shared" si="78"/>
        <v>#DIV/0!</v>
      </c>
      <c r="CY80" s="10" t="e">
        <f t="shared" si="78"/>
        <v>#DIV/0!</v>
      </c>
      <c r="CZ80" s="10" t="e">
        <f t="shared" si="78"/>
        <v>#DIV/0!</v>
      </c>
    </row>
    <row r="81" spans="4:104" x14ac:dyDescent="0.15">
      <c r="D81" s="10">
        <v>66</v>
      </c>
      <c r="E81" s="10" t="e">
        <f t="shared" ref="E81:E135" si="95">IF(E80-((AL80+AM80+AQ80+AR80)*IF(BS80=1,1,0)+(AV80+AW80+BA80+BB80)*IF(BT80=1,1,0)+(BF80+BG80+BK80+BL80)*IF(BU80=1,1,0))*IF(J80=0,1,I80)/$D$5&lt;$E$16*$P$8,0,
E80-((AL80+AM80+AQ80+AR80)*IF(BS80=1,1,0)+(AV80+AW80+BA80+BB80)*IF(BT80=1,1,0)+(BF80+BG80+BK80+BL80)*IF(BU80=1,1,0))*IF(J80=0,1,I80)/$D$5)</f>
        <v>#VALUE!</v>
      </c>
      <c r="F81" s="10" t="e">
        <f t="shared" si="79"/>
        <v>#VALUE!</v>
      </c>
      <c r="G81" s="10" t="e">
        <f t="shared" si="80"/>
        <v>#VALUE!</v>
      </c>
      <c r="H81" s="10" t="e">
        <f t="shared" ref="H81:H135" si="96">IF(E81=0,0,ROUNDUP(E81/$F$5*$G$5,0))</f>
        <v>#VALUE!</v>
      </c>
      <c r="I81" s="10" t="e">
        <f t="shared" si="81"/>
        <v>#VALUE!</v>
      </c>
      <c r="J81" s="10" t="e">
        <f t="shared" ref="J81:J135" si="97">MAX(J80-((AL80+AM80+AQ80+AR80)*IF(BS80=1,1,0)+(AV80+AW80+BA80+BB80)*IF(BT80=1,1,0)+(BF80+BG80+BK80+BL80)*IF(BU80=1,1,0))*IF(E80=0,1,M80)/$D$6,0)</f>
        <v>#VALUE!</v>
      </c>
      <c r="K81" s="10" t="e">
        <f t="shared" si="82"/>
        <v>#VALUE!</v>
      </c>
      <c r="L81" s="10" t="e">
        <f t="shared" si="83"/>
        <v>#VALUE!</v>
      </c>
      <c r="M81" s="10" t="e">
        <f t="shared" ref="M81:M135" si="98">IF(J81=0,0,1-I81)</f>
        <v>#VALUE!</v>
      </c>
      <c r="O81" s="10" t="e">
        <f t="shared" ref="O81:O135" si="99">IF(O80-((AL80+AM80+AQ80+AR80)*IF(BS80=3,1,0)+(AV80+AW80+BA80+BB80)*IF(BT80=3,1,0)+(BF80+BG80+BK80+BL80)*IF(BU80=3,1,0))*IF(T80=0,1,S80)/$D$8&lt;$O$16*$P$8,0,
O80-((AL80+AM80+AQ80+AR80)*IF(BS80=3,1,0)+(AV80+AW80+BA80+BB80)*IF(BT80=3,1,0)+(BF80+BG80+BK80+BL80)*IF(BU80=3,1,0))*IF(T80=0,1,S80)/$D$8)</f>
        <v>#VALUE!</v>
      </c>
      <c r="P81" s="10" t="e">
        <f t="shared" si="84"/>
        <v>#VALUE!</v>
      </c>
      <c r="Q81" s="10" t="e">
        <f t="shared" si="85"/>
        <v>#VALUE!</v>
      </c>
      <c r="R81" s="10" t="e">
        <f t="shared" ref="R81:R135" si="100">IF(O81=0,0,ROUNDUP(O81/$F$8*$G$8,0))</f>
        <v>#VALUE!</v>
      </c>
      <c r="S81" s="10" t="e">
        <f t="shared" ref="S81:S135" si="101">IF(AND(T81=0,O81&lt;&gt;0),1,R81/(R81+$G$9))</f>
        <v>#VALUE!</v>
      </c>
      <c r="T81" s="10" t="e">
        <f t="shared" si="62"/>
        <v>#VALUE!</v>
      </c>
      <c r="U81" s="10" t="e">
        <f t="shared" si="63"/>
        <v>#VALUE!</v>
      </c>
      <c r="V81" s="10" t="e">
        <f t="shared" si="86"/>
        <v>#VALUE!</v>
      </c>
      <c r="W81" s="10" t="e">
        <f t="shared" ref="W81:W135" si="102">IF(T81=0,0,1-S81)</f>
        <v>#VALUE!</v>
      </c>
      <c r="Y81" s="10" t="e">
        <f t="shared" ref="Y81:Y135" si="103">IF(Y80-((AL80+AM80+AQ80+AR80)*IF(BS80=5,1,0)+(AV80+AW80+BA80+BB80)*IF(BT80=5,1,0)+(BF80+BG80+BK80+BL80)*IF(BU80=5,1,0))*IF(AD80=0,1,AC80)/$D$11&lt;$Y$16*$P$8,0,
Y80-((AL80+AM80+AQ80+AR80)*IF(BS80=5,1,0)+(AV80+AW80+BA80+BB80)*IF(BT80=5,1,0)+(BF80+BG80+BK80+BL80)*IF(BU80=5,1,0))*IF(AD80=0,1,AC80)/$D$11)</f>
        <v>#VALUE!</v>
      </c>
      <c r="Z81" s="11" t="e">
        <f t="shared" ref="Z81:Z135" si="104">IF(Y81=0,0,Y81*$E$11)</f>
        <v>#VALUE!</v>
      </c>
      <c r="AA81" s="10" t="e">
        <f t="shared" si="87"/>
        <v>#VALUE!</v>
      </c>
      <c r="AB81" s="10" t="e">
        <f t="shared" ref="AB81:AB135" si="105">IF(Y81=0,0,ROUNDUP(Y81/$F$11*$G$11,0))</f>
        <v>#VALUE!</v>
      </c>
      <c r="AC81" s="10" t="e">
        <f t="shared" ref="AC81:AC135" si="106">IF(AND(AD81=0,Y81&lt;&gt;0),1,AB81/(AB81+$G$12))</f>
        <v>#VALUE!</v>
      </c>
      <c r="AD81" s="10" t="e">
        <f t="shared" si="64"/>
        <v>#VALUE!</v>
      </c>
      <c r="AE81" s="10" t="e">
        <f t="shared" si="65"/>
        <v>#VALUE!</v>
      </c>
      <c r="AF81" s="10" t="e">
        <f t="shared" si="88"/>
        <v>#VALUE!</v>
      </c>
      <c r="AG81" s="10" t="e">
        <f t="shared" ref="AG81:AG135" si="107">IF(AD81=0,0,1-AC81)</f>
        <v>#VALUE!</v>
      </c>
      <c r="AI81" s="13"/>
      <c r="AK81" s="10" t="e">
        <f t="shared" ref="AK81:AK135" si="108">IF(AK80-((F80+G80+K80+L80)*IF(BR80=2,1,0)+(P80+Q80+U80+V80)*IF(BQ80=2,1,0)+(Z80+AA80+AE80+AF80)*IF(BP80=2,1,0))*IF(AP80=0,1,AO80)/$J$5&lt;$AK$16*$P$8,0,
AK80-((F80+G80+K80+L80)*IF(BR80=2,1,0)+(P80+Q80+U80+V80)*IF(BQ80=2,1,0)+(Z80+AA80+AE80+AF80)*IF(BP80=2,1,0))*IF(AP80=0,1,AO80)/$J$5)</f>
        <v>#VALUE!</v>
      </c>
      <c r="AL81" s="10" t="e">
        <f t="shared" si="66"/>
        <v>#VALUE!</v>
      </c>
      <c r="AM81" s="10" t="e">
        <f t="shared" si="89"/>
        <v>#VALUE!</v>
      </c>
      <c r="AN81" s="10" t="e">
        <f t="shared" ref="AN81:AN135" si="109">IF(AK81=0,0,ROUNDUP(AK81/$L$5*$M$5,0))</f>
        <v>#VALUE!</v>
      </c>
      <c r="AO81" s="10" t="e">
        <f t="shared" ref="AO81:AO135" si="110">IF(AND(AP81=0,AK81&lt;&gt;0),1,AN81/(AN81+$M$6))</f>
        <v>#VALUE!</v>
      </c>
      <c r="AP81" s="10" t="e">
        <f t="shared" ref="AP81:AP135" si="111">MAX(AP80-((F80+G80+K80+L80)*IF(BR80=2,1,0)+(P80+Q80+U80+V80)*IF(BQ80=2,1,0)+(Z80+AA80+AE80+AF80)*IF(BP80=2,1,0))*IF(AK80=0,1,AS80)/$J$6,0)</f>
        <v>#VALUE!</v>
      </c>
      <c r="AQ81" s="10" t="e">
        <f t="shared" si="67"/>
        <v>#VALUE!</v>
      </c>
      <c r="AR81" s="10" t="e">
        <f t="shared" si="90"/>
        <v>#VALUE!</v>
      </c>
      <c r="AS81" s="10" t="e">
        <f t="shared" si="68"/>
        <v>#VALUE!</v>
      </c>
      <c r="AU81" s="10" t="e">
        <f t="shared" ref="AU81:AU135" si="112">IF(AU80-((F80+G80+K80+L80)*IF(BR80=4,1,0)+(P80+Q80+U80+V80)*IF(BQ80=4,1,0)+(Z80+AA80+AE80+AF80)*IF(BP80=4,1,0))*IF(AZ80=0,1,AY80)/$J$8&lt;$AU$16*$P$8,0,
AU80-((F80+G80+K80+L80)*IF(BR80=4,1,0)+(P80+Q80+U80+V80)*IF(BQ80=4,1,0)+(Z80+AA80+AE80+AF80)*IF(BP80=4,1,0))*IF(AZ80=0,1,AY80)/$J$8)</f>
        <v>#VALUE!</v>
      </c>
      <c r="AV81" s="10" t="e">
        <f t="shared" si="69"/>
        <v>#VALUE!</v>
      </c>
      <c r="AW81" s="10" t="e">
        <f t="shared" si="91"/>
        <v>#VALUE!</v>
      </c>
      <c r="AX81" s="10" t="e">
        <f t="shared" ref="AX81:AX135" si="113">IF(AU81=0,0,ROUNDUP(AU81/$L$8*$M$8,0))</f>
        <v>#VALUE!</v>
      </c>
      <c r="AY81" s="10" t="e">
        <f t="shared" ref="AY81:AY135" si="114">IF(AND(AZ81=0,AU81&lt;&gt;0),1,AX81/(AX81+$M$9))</f>
        <v>#VALUE!</v>
      </c>
      <c r="AZ81" s="10" t="e">
        <f t="shared" ref="AZ81:AZ135" si="115">MAX(AZ80-((F80+G80+K80+L80)*IF(BR80=4,1,0)+(P80+Q80+U80+V80)*IF(BQ80=4,1,0)+(Z80+AA80+AE80+AF80)*IF(BP80=4,1,0))*IF(AU80=0,1,BC80)/$J$9,0)</f>
        <v>#VALUE!</v>
      </c>
      <c r="BA81" s="10" t="e">
        <f t="shared" si="70"/>
        <v>#VALUE!</v>
      </c>
      <c r="BB81" s="10" t="e">
        <f t="shared" si="92"/>
        <v>#VALUE!</v>
      </c>
      <c r="BC81" s="10" t="e">
        <f t="shared" si="71"/>
        <v>#VALUE!</v>
      </c>
      <c r="BE81" s="10" t="e">
        <f t="shared" ref="BE81:BE135" si="116">IF(BE80-((F80+G80+K80+L80)*IF(BR80=6,1,0)+(P80+Q80+U80+V80)*IF(BQ80=6,1,0)+(Z80+AA80+AE80+AF80)*IF(BP80=6,1,0))*IF(BJ80=0,1,BI80)/$J$11&lt;$BE$16*$P$8,0,
BE80-((F80+G80+K80+L80)*IF(BR80=6,1,0)+(P80+Q80+U80+V80)*IF(BQ80=6,1,0)+(Z80+AA80+AE80+AF80)*IF(BP80=6,1,0))*IF(BJ80=0,1,BI80)/$J$11)</f>
        <v>#VALUE!</v>
      </c>
      <c r="BF81" s="10" t="e">
        <f t="shared" si="72"/>
        <v>#VALUE!</v>
      </c>
      <c r="BG81" s="10" t="e">
        <f t="shared" si="93"/>
        <v>#VALUE!</v>
      </c>
      <c r="BH81" s="10" t="e">
        <f t="shared" ref="BH81:BH135" si="117">IF(BE81=0,0,ROUNDUP(BE81/$L$11*$M$11,0))</f>
        <v>#VALUE!</v>
      </c>
      <c r="BI81" s="10" t="e">
        <f t="shared" ref="BI81:BI135" si="118">IF(AND(BJ81=0,BE81&lt;&gt;0),1,BH81/(BH81+$M$12))</f>
        <v>#VALUE!</v>
      </c>
      <c r="BJ81" s="10" t="e">
        <f t="shared" ref="BJ81:BJ135" si="119">MAX(BJ80-((F80+G80+K80+L80)*IF(BR80=6,1,0)+(P80+Q80+U80+V80)*IF(BQ80=6,1,0)+(Z80+AA80+AE80+AF80)*IF(BP80=6,1,0))*IF(BE80=0,1,BM80)/$J$12,0)</f>
        <v>#VALUE!</v>
      </c>
      <c r="BK81" s="10" t="e">
        <f t="shared" si="73"/>
        <v>#VALUE!</v>
      </c>
      <c r="BL81" s="10" t="e">
        <f t="shared" si="94"/>
        <v>#VALUE!</v>
      </c>
      <c r="BM81" s="10" t="e">
        <f t="shared" si="74"/>
        <v>#VALUE!</v>
      </c>
      <c r="BP81" s="10" t="e">
        <f t="shared" ref="BP81:BP135" si="120">IF(BZ81&gt;0,BS$15,IF(CA81&gt;0,BT$15,BU$15))</f>
        <v>#VALUE!</v>
      </c>
      <c r="BQ81" s="10" t="e">
        <f t="shared" ref="BQ81:BQ135" si="121">IF(BZ81&gt;0,BS$15,IF(CA81&gt;0,BT$15,BU$15))</f>
        <v>#VALUE!</v>
      </c>
      <c r="BR81" s="10" t="e">
        <f t="shared" ref="BR81:BR135" si="122">IF(BZ81&gt;0,BS$15,IF(CA81&gt;0,BT$15,BU$15))</f>
        <v>#VALUE!</v>
      </c>
      <c r="BS81" s="10" t="e">
        <f t="shared" ref="BS81:BS135" si="123">IF(BY81&gt;0,BR$15,IF(BX81&gt;0,BQ$15,BP$15))</f>
        <v>#VALUE!</v>
      </c>
      <c r="BT81" s="10" t="e">
        <f t="shared" ref="BT81:BT135" si="124">IF(BY81&gt;0,BR$15,IF(BX81&gt;0,BQ$15,BP$15))</f>
        <v>#VALUE!</v>
      </c>
      <c r="BU81" s="10" t="e">
        <f t="shared" ref="BU81:BU135" si="125">IF(BY81&gt;0,BR$15,IF(BX81&gt;0,BQ$15,BP$15))</f>
        <v>#VALUE!</v>
      </c>
      <c r="BW81" s="10" t="e">
        <f t="shared" ref="BW81:BW135" si="126">Y81+AD81*1000</f>
        <v>#VALUE!</v>
      </c>
      <c r="BX81" s="10" t="e">
        <f t="shared" ref="BX81:BX135" si="127">O81+T81*1000</f>
        <v>#VALUE!</v>
      </c>
      <c r="BY81" s="10" t="e">
        <f t="shared" ref="BY81:BY135" si="128">E81+J81*1000</f>
        <v>#VALUE!</v>
      </c>
      <c r="BZ81" s="10" t="e">
        <f t="shared" ref="BZ81:BZ135" si="129">AK81+AP81*1000</f>
        <v>#VALUE!</v>
      </c>
      <c r="CA81" s="10" t="e">
        <f t="shared" ref="CA81:CA135" si="130">AU81+AZ81*1000</f>
        <v>#VALUE!</v>
      </c>
      <c r="CB81" s="10" t="e">
        <f t="shared" ref="CB81:CB135" si="131">BE81+BJ81*1000</f>
        <v>#VALUE!</v>
      </c>
      <c r="CD81" s="10" t="e">
        <f>MATCH(INDEX($BP$12:$BU$12,1,MATCH(BP81,$BP$15:$BU$15,0)),结果汇总!$AI$10:$AI$13,0)</f>
        <v>#VALUE!</v>
      </c>
      <c r="CE81" s="10" t="e">
        <f>MATCH(INDEX($BP$12:$BU$12,1,MATCH(BQ81,$BP$15:$BU$15,0)),结果汇总!$AI$10:$AI$13,0)</f>
        <v>#VALUE!</v>
      </c>
      <c r="CF81" s="10" t="e">
        <f>MATCH(INDEX($BP$12:$BU$12,1,MATCH(BR81,$BP$15:$BU$15,0)),结果汇总!$AI$10:$AI$13,0)</f>
        <v>#VALUE!</v>
      </c>
      <c r="CG81" s="10" t="e">
        <f>MATCH(INDEX($BP$12:$BU$12,1,MATCH(BS81,$BP$15:$BU$15,0)),结果汇总!$AI$10:$AI$13,0)</f>
        <v>#VALUE!</v>
      </c>
      <c r="CH81" s="10" t="e">
        <f>MATCH(INDEX($BP$12:$BU$12,1,MATCH(BT81,$BP$15:$BU$15,0)),结果汇总!$AI$10:$AI$13,0)</f>
        <v>#VALUE!</v>
      </c>
      <c r="CI81" s="10" t="e">
        <f>MATCH(INDEX($BP$12:$BU$12,1,MATCH(BU81,$BP$15:$BU$15,0)),结果汇总!$AI$10:$AI$13,0)</f>
        <v>#VALUE!</v>
      </c>
      <c r="CK81" s="10">
        <f t="shared" ref="CK81:CN112" si="132">COUNTIFS($CD81:$CI81,CK$15,$CD$15:$CI$15,$CK$14)/COUNTIFS($CD$15:$CI$15,$CK$14)</f>
        <v>0</v>
      </c>
      <c r="CL81" s="10">
        <f t="shared" si="132"/>
        <v>0</v>
      </c>
      <c r="CM81" s="10">
        <f t="shared" si="132"/>
        <v>0</v>
      </c>
      <c r="CN81" s="10">
        <f t="shared" si="132"/>
        <v>0</v>
      </c>
      <c r="CO81" s="10" t="e">
        <f t="shared" ref="CO81:CR112" si="133">COUNTIFS($CD81:$CI81,CO$15,$CD$15:$CI$15,$CO$14)/COUNTIFS($CD$15:$CI$15,$CO$14)</f>
        <v>#DIV/0!</v>
      </c>
      <c r="CP81" s="10" t="e">
        <f t="shared" si="133"/>
        <v>#DIV/0!</v>
      </c>
      <c r="CQ81" s="10" t="e">
        <f t="shared" si="133"/>
        <v>#DIV/0!</v>
      </c>
      <c r="CR81" s="10" t="e">
        <f t="shared" si="133"/>
        <v>#DIV/0!</v>
      </c>
      <c r="CS81" s="10">
        <f t="shared" ref="CS81:CV112" si="134">COUNTIFS($CD81:$CI81,CS$15,$CD$15:$CI$15,$CS$14)/COUNTIFS($CD$15:$CI$15,$CS$14)</f>
        <v>0</v>
      </c>
      <c r="CT81" s="10">
        <f t="shared" si="134"/>
        <v>0</v>
      </c>
      <c r="CU81" s="10">
        <f t="shared" si="134"/>
        <v>0</v>
      </c>
      <c r="CV81" s="10">
        <f t="shared" si="134"/>
        <v>0</v>
      </c>
      <c r="CW81" s="10" t="e">
        <f t="shared" ref="CW81:CZ112" si="135">COUNTIFS($CD81:$CI81,CW$15,$CD$15:$CI$15,$CW$14)/COUNTIFS($CD$15:$CI$15,$CW$14)</f>
        <v>#DIV/0!</v>
      </c>
      <c r="CX81" s="10" t="e">
        <f t="shared" si="135"/>
        <v>#DIV/0!</v>
      </c>
      <c r="CY81" s="10" t="e">
        <f t="shared" si="135"/>
        <v>#DIV/0!</v>
      </c>
      <c r="CZ81" s="10" t="e">
        <f t="shared" si="135"/>
        <v>#DIV/0!</v>
      </c>
    </row>
    <row r="82" spans="4:104" x14ac:dyDescent="0.15">
      <c r="D82" s="10">
        <v>67</v>
      </c>
      <c r="E82" s="10" t="e">
        <f t="shared" si="95"/>
        <v>#VALUE!</v>
      </c>
      <c r="F82" s="10" t="e">
        <f t="shared" si="79"/>
        <v>#VALUE!</v>
      </c>
      <c r="G82" s="10" t="e">
        <f t="shared" si="80"/>
        <v>#VALUE!</v>
      </c>
      <c r="H82" s="10" t="e">
        <f t="shared" si="96"/>
        <v>#VALUE!</v>
      </c>
      <c r="I82" s="10" t="e">
        <f t="shared" si="81"/>
        <v>#VALUE!</v>
      </c>
      <c r="J82" s="10" t="e">
        <f t="shared" si="97"/>
        <v>#VALUE!</v>
      </c>
      <c r="K82" s="10" t="e">
        <f t="shared" si="82"/>
        <v>#VALUE!</v>
      </c>
      <c r="L82" s="10" t="e">
        <f t="shared" si="83"/>
        <v>#VALUE!</v>
      </c>
      <c r="M82" s="10" t="e">
        <f t="shared" si="98"/>
        <v>#VALUE!</v>
      </c>
      <c r="O82" s="10" t="e">
        <f t="shared" si="99"/>
        <v>#VALUE!</v>
      </c>
      <c r="P82" s="10" t="e">
        <f t="shared" si="84"/>
        <v>#VALUE!</v>
      </c>
      <c r="Q82" s="10" t="e">
        <f t="shared" si="85"/>
        <v>#VALUE!</v>
      </c>
      <c r="R82" s="10" t="e">
        <f t="shared" si="100"/>
        <v>#VALUE!</v>
      </c>
      <c r="S82" s="10" t="e">
        <f t="shared" si="101"/>
        <v>#VALUE!</v>
      </c>
      <c r="T82" s="10" t="e">
        <f t="shared" ref="T82:T135" si="136">MAX(T81-((AL81+AM81+AQ81+AR81)*IF(BS81=3,1,0)+(AV81+AW81+BA81+BB81)*IF(BT81=3,1,0)+(BF81+BG81+BK81+BL81)*IF(BU81=3,1,0))*IF(O81=0,1,W81)/$D$9,0)</f>
        <v>#VALUE!</v>
      </c>
      <c r="U82" s="10" t="e">
        <f t="shared" ref="U82:U135" si="137">IF(T82=0,0,ROUNDUP(T82,0)*$E$9)</f>
        <v>#VALUE!</v>
      </c>
      <c r="V82" s="10" t="e">
        <f t="shared" si="86"/>
        <v>#VALUE!</v>
      </c>
      <c r="W82" s="10" t="e">
        <f t="shared" si="102"/>
        <v>#VALUE!</v>
      </c>
      <c r="Y82" s="10" t="e">
        <f t="shared" si="103"/>
        <v>#VALUE!</v>
      </c>
      <c r="Z82" s="11" t="e">
        <f t="shared" si="104"/>
        <v>#VALUE!</v>
      </c>
      <c r="AA82" s="10" t="e">
        <f t="shared" si="87"/>
        <v>#VALUE!</v>
      </c>
      <c r="AB82" s="10" t="e">
        <f t="shared" si="105"/>
        <v>#VALUE!</v>
      </c>
      <c r="AC82" s="10" t="e">
        <f t="shared" si="106"/>
        <v>#VALUE!</v>
      </c>
      <c r="AD82" s="10" t="e">
        <f t="shared" ref="AD82:AD135" si="138">MAX(AD81-((AL81+AM81+AQ81+AR81)*IF(BS81=5,1,0)+(AV81+AW81+BA81+BB81)*IF(BT81=5,1,0)+(BF81+BG81+BK81+BL81)*IF(BU81=5,1,0))*IF(Y81=0,1,AG81)/$D$12,0)</f>
        <v>#VALUE!</v>
      </c>
      <c r="AE82" s="10" t="e">
        <f t="shared" ref="AE82:AE135" si="139">IF(AD82=0,0,ROUNDUP(AD82,0)*$E$12)</f>
        <v>#VALUE!</v>
      </c>
      <c r="AF82" s="10" t="e">
        <f t="shared" si="88"/>
        <v>#VALUE!</v>
      </c>
      <c r="AG82" s="10" t="e">
        <f t="shared" si="107"/>
        <v>#VALUE!</v>
      </c>
      <c r="AI82" s="13"/>
      <c r="AK82" s="10" t="e">
        <f t="shared" si="108"/>
        <v>#VALUE!</v>
      </c>
      <c r="AL82" s="10" t="e">
        <f t="shared" ref="AL82:AL135" si="140">IF(AK82=0,0,AK82*$K$5)</f>
        <v>#VALUE!</v>
      </c>
      <c r="AM82" s="10" t="e">
        <f t="shared" si="89"/>
        <v>#VALUE!</v>
      </c>
      <c r="AN82" s="10" t="e">
        <f t="shared" si="109"/>
        <v>#VALUE!</v>
      </c>
      <c r="AO82" s="10" t="e">
        <f t="shared" si="110"/>
        <v>#VALUE!</v>
      </c>
      <c r="AP82" s="10" t="e">
        <f t="shared" si="111"/>
        <v>#VALUE!</v>
      </c>
      <c r="AQ82" s="10" t="e">
        <f t="shared" ref="AQ82:AQ135" si="141">IF(AP82=0,0,ROUNDUP(AP82,0)*$K$6)</f>
        <v>#VALUE!</v>
      </c>
      <c r="AR82" s="10" t="e">
        <f t="shared" si="90"/>
        <v>#VALUE!</v>
      </c>
      <c r="AS82" s="10" t="e">
        <f t="shared" ref="AS82:AS135" si="142">IF(AP82=0,0,1-AO82)</f>
        <v>#VALUE!</v>
      </c>
      <c r="AU82" s="10" t="e">
        <f t="shared" si="112"/>
        <v>#VALUE!</v>
      </c>
      <c r="AV82" s="10" t="e">
        <f t="shared" ref="AV82:AV135" si="143">IF(AU82=0,0,AU82*$K$8)</f>
        <v>#VALUE!</v>
      </c>
      <c r="AW82" s="10" t="e">
        <f t="shared" si="91"/>
        <v>#VALUE!</v>
      </c>
      <c r="AX82" s="10" t="e">
        <f t="shared" si="113"/>
        <v>#VALUE!</v>
      </c>
      <c r="AY82" s="10" t="e">
        <f t="shared" si="114"/>
        <v>#VALUE!</v>
      </c>
      <c r="AZ82" s="10" t="e">
        <f t="shared" si="115"/>
        <v>#VALUE!</v>
      </c>
      <c r="BA82" s="10" t="e">
        <f t="shared" ref="BA82:BA135" si="144">IF(AZ82=0,0,ROUNDUP(AZ82,0)*$K$9)</f>
        <v>#VALUE!</v>
      </c>
      <c r="BB82" s="10" t="e">
        <f t="shared" si="92"/>
        <v>#VALUE!</v>
      </c>
      <c r="BC82" s="10" t="e">
        <f t="shared" ref="BC82:BC135" si="145">IF(AZ82=0,0,1-AY82)</f>
        <v>#VALUE!</v>
      </c>
      <c r="BE82" s="10" t="e">
        <f t="shared" si="116"/>
        <v>#VALUE!</v>
      </c>
      <c r="BF82" s="10" t="e">
        <f t="shared" ref="BF82:BF135" si="146">IF(BE82=0,0,BE82*$K$11)</f>
        <v>#VALUE!</v>
      </c>
      <c r="BG82" s="10" t="e">
        <f t="shared" si="93"/>
        <v>#VALUE!</v>
      </c>
      <c r="BH82" s="10" t="e">
        <f t="shared" si="117"/>
        <v>#VALUE!</v>
      </c>
      <c r="BI82" s="10" t="e">
        <f t="shared" si="118"/>
        <v>#VALUE!</v>
      </c>
      <c r="BJ82" s="10" t="e">
        <f t="shared" si="119"/>
        <v>#VALUE!</v>
      </c>
      <c r="BK82" s="10" t="e">
        <f t="shared" ref="BK82:BK135" si="147">IF(BJ82=0,0,ROUNDUP(BJ82,0)*$K$12)</f>
        <v>#VALUE!</v>
      </c>
      <c r="BL82" s="10" t="e">
        <f t="shared" si="94"/>
        <v>#VALUE!</v>
      </c>
      <c r="BM82" s="10" t="e">
        <f t="shared" ref="BM82:BM135" si="148">IF(BJ82=0,0,1-BI82)</f>
        <v>#VALUE!</v>
      </c>
      <c r="BP82" s="10" t="e">
        <f t="shared" si="120"/>
        <v>#VALUE!</v>
      </c>
      <c r="BQ82" s="10" t="e">
        <f t="shared" si="121"/>
        <v>#VALUE!</v>
      </c>
      <c r="BR82" s="10" t="e">
        <f t="shared" si="122"/>
        <v>#VALUE!</v>
      </c>
      <c r="BS82" s="10" t="e">
        <f t="shared" si="123"/>
        <v>#VALUE!</v>
      </c>
      <c r="BT82" s="10" t="e">
        <f t="shared" si="124"/>
        <v>#VALUE!</v>
      </c>
      <c r="BU82" s="10" t="e">
        <f t="shared" si="125"/>
        <v>#VALUE!</v>
      </c>
      <c r="BW82" s="10" t="e">
        <f t="shared" si="126"/>
        <v>#VALUE!</v>
      </c>
      <c r="BX82" s="10" t="e">
        <f t="shared" si="127"/>
        <v>#VALUE!</v>
      </c>
      <c r="BY82" s="10" t="e">
        <f t="shared" si="128"/>
        <v>#VALUE!</v>
      </c>
      <c r="BZ82" s="10" t="e">
        <f t="shared" si="129"/>
        <v>#VALUE!</v>
      </c>
      <c r="CA82" s="10" t="e">
        <f t="shared" si="130"/>
        <v>#VALUE!</v>
      </c>
      <c r="CB82" s="10" t="e">
        <f t="shared" si="131"/>
        <v>#VALUE!</v>
      </c>
      <c r="CD82" s="10" t="e">
        <f>MATCH(INDEX($BP$12:$BU$12,1,MATCH(BP82,$BP$15:$BU$15,0)),结果汇总!$AI$10:$AI$13,0)</f>
        <v>#VALUE!</v>
      </c>
      <c r="CE82" s="10" t="e">
        <f>MATCH(INDEX($BP$12:$BU$12,1,MATCH(BQ82,$BP$15:$BU$15,0)),结果汇总!$AI$10:$AI$13,0)</f>
        <v>#VALUE!</v>
      </c>
      <c r="CF82" s="10" t="e">
        <f>MATCH(INDEX($BP$12:$BU$12,1,MATCH(BR82,$BP$15:$BU$15,0)),结果汇总!$AI$10:$AI$13,0)</f>
        <v>#VALUE!</v>
      </c>
      <c r="CG82" s="10" t="e">
        <f>MATCH(INDEX($BP$12:$BU$12,1,MATCH(BS82,$BP$15:$BU$15,0)),结果汇总!$AI$10:$AI$13,0)</f>
        <v>#VALUE!</v>
      </c>
      <c r="CH82" s="10" t="e">
        <f>MATCH(INDEX($BP$12:$BU$12,1,MATCH(BT82,$BP$15:$BU$15,0)),结果汇总!$AI$10:$AI$13,0)</f>
        <v>#VALUE!</v>
      </c>
      <c r="CI82" s="10" t="e">
        <f>MATCH(INDEX($BP$12:$BU$12,1,MATCH(BU82,$BP$15:$BU$15,0)),结果汇总!$AI$10:$AI$13,0)</f>
        <v>#VALUE!</v>
      </c>
      <c r="CK82" s="10">
        <f t="shared" si="132"/>
        <v>0</v>
      </c>
      <c r="CL82" s="10">
        <f t="shared" si="132"/>
        <v>0</v>
      </c>
      <c r="CM82" s="10">
        <f t="shared" si="132"/>
        <v>0</v>
      </c>
      <c r="CN82" s="10">
        <f t="shared" si="132"/>
        <v>0</v>
      </c>
      <c r="CO82" s="10" t="e">
        <f t="shared" si="133"/>
        <v>#DIV/0!</v>
      </c>
      <c r="CP82" s="10" t="e">
        <f t="shared" si="133"/>
        <v>#DIV/0!</v>
      </c>
      <c r="CQ82" s="10" t="e">
        <f t="shared" si="133"/>
        <v>#DIV/0!</v>
      </c>
      <c r="CR82" s="10" t="e">
        <f t="shared" si="133"/>
        <v>#DIV/0!</v>
      </c>
      <c r="CS82" s="10">
        <f t="shared" si="134"/>
        <v>0</v>
      </c>
      <c r="CT82" s="10">
        <f t="shared" si="134"/>
        <v>0</v>
      </c>
      <c r="CU82" s="10">
        <f t="shared" si="134"/>
        <v>0</v>
      </c>
      <c r="CV82" s="10">
        <f t="shared" si="134"/>
        <v>0</v>
      </c>
      <c r="CW82" s="10" t="e">
        <f t="shared" si="135"/>
        <v>#DIV/0!</v>
      </c>
      <c r="CX82" s="10" t="e">
        <f t="shared" si="135"/>
        <v>#DIV/0!</v>
      </c>
      <c r="CY82" s="10" t="e">
        <f t="shared" si="135"/>
        <v>#DIV/0!</v>
      </c>
      <c r="CZ82" s="10" t="e">
        <f t="shared" si="135"/>
        <v>#DIV/0!</v>
      </c>
    </row>
    <row r="83" spans="4:104" x14ac:dyDescent="0.15">
      <c r="D83" s="10">
        <v>68</v>
      </c>
      <c r="E83" s="10" t="e">
        <f t="shared" si="95"/>
        <v>#VALUE!</v>
      </c>
      <c r="F83" s="10" t="e">
        <f t="shared" si="79"/>
        <v>#VALUE!</v>
      </c>
      <c r="G83" s="10" t="e">
        <f t="shared" si="80"/>
        <v>#VALUE!</v>
      </c>
      <c r="H83" s="10" t="e">
        <f t="shared" si="96"/>
        <v>#VALUE!</v>
      </c>
      <c r="I83" s="10" t="e">
        <f t="shared" si="81"/>
        <v>#VALUE!</v>
      </c>
      <c r="J83" s="10" t="e">
        <f t="shared" si="97"/>
        <v>#VALUE!</v>
      </c>
      <c r="K83" s="10" t="e">
        <f t="shared" si="82"/>
        <v>#VALUE!</v>
      </c>
      <c r="L83" s="10" t="e">
        <f t="shared" si="83"/>
        <v>#VALUE!</v>
      </c>
      <c r="M83" s="10" t="e">
        <f t="shared" si="98"/>
        <v>#VALUE!</v>
      </c>
      <c r="O83" s="10" t="e">
        <f t="shared" si="99"/>
        <v>#VALUE!</v>
      </c>
      <c r="P83" s="10" t="e">
        <f t="shared" si="84"/>
        <v>#VALUE!</v>
      </c>
      <c r="Q83" s="10" t="e">
        <f t="shared" si="85"/>
        <v>#VALUE!</v>
      </c>
      <c r="R83" s="10" t="e">
        <f t="shared" si="100"/>
        <v>#VALUE!</v>
      </c>
      <c r="S83" s="10" t="e">
        <f t="shared" si="101"/>
        <v>#VALUE!</v>
      </c>
      <c r="T83" s="10" t="e">
        <f t="shared" si="136"/>
        <v>#VALUE!</v>
      </c>
      <c r="U83" s="10" t="e">
        <f t="shared" si="137"/>
        <v>#VALUE!</v>
      </c>
      <c r="V83" s="10" t="e">
        <f t="shared" si="86"/>
        <v>#VALUE!</v>
      </c>
      <c r="W83" s="10" t="e">
        <f t="shared" si="102"/>
        <v>#VALUE!</v>
      </c>
      <c r="Y83" s="10" t="e">
        <f t="shared" si="103"/>
        <v>#VALUE!</v>
      </c>
      <c r="Z83" s="11" t="e">
        <f t="shared" si="104"/>
        <v>#VALUE!</v>
      </c>
      <c r="AA83" s="10" t="e">
        <f t="shared" si="87"/>
        <v>#VALUE!</v>
      </c>
      <c r="AB83" s="10" t="e">
        <f t="shared" si="105"/>
        <v>#VALUE!</v>
      </c>
      <c r="AC83" s="10" t="e">
        <f t="shared" si="106"/>
        <v>#VALUE!</v>
      </c>
      <c r="AD83" s="10" t="e">
        <f t="shared" si="138"/>
        <v>#VALUE!</v>
      </c>
      <c r="AE83" s="10" t="e">
        <f t="shared" si="139"/>
        <v>#VALUE!</v>
      </c>
      <c r="AF83" s="10" t="e">
        <f t="shared" si="88"/>
        <v>#VALUE!</v>
      </c>
      <c r="AG83" s="10" t="e">
        <f t="shared" si="107"/>
        <v>#VALUE!</v>
      </c>
      <c r="AI83" s="13"/>
      <c r="AK83" s="10" t="e">
        <f t="shared" si="108"/>
        <v>#VALUE!</v>
      </c>
      <c r="AL83" s="10" t="e">
        <f t="shared" si="140"/>
        <v>#VALUE!</v>
      </c>
      <c r="AM83" s="10" t="e">
        <f t="shared" si="89"/>
        <v>#VALUE!</v>
      </c>
      <c r="AN83" s="10" t="e">
        <f t="shared" si="109"/>
        <v>#VALUE!</v>
      </c>
      <c r="AO83" s="10" t="e">
        <f t="shared" si="110"/>
        <v>#VALUE!</v>
      </c>
      <c r="AP83" s="10" t="e">
        <f t="shared" si="111"/>
        <v>#VALUE!</v>
      </c>
      <c r="AQ83" s="10" t="e">
        <f t="shared" si="141"/>
        <v>#VALUE!</v>
      </c>
      <c r="AR83" s="10" t="e">
        <f t="shared" si="90"/>
        <v>#VALUE!</v>
      </c>
      <c r="AS83" s="10" t="e">
        <f t="shared" si="142"/>
        <v>#VALUE!</v>
      </c>
      <c r="AU83" s="10" t="e">
        <f t="shared" si="112"/>
        <v>#VALUE!</v>
      </c>
      <c r="AV83" s="10" t="e">
        <f t="shared" si="143"/>
        <v>#VALUE!</v>
      </c>
      <c r="AW83" s="10" t="e">
        <f t="shared" si="91"/>
        <v>#VALUE!</v>
      </c>
      <c r="AX83" s="10" t="e">
        <f t="shared" si="113"/>
        <v>#VALUE!</v>
      </c>
      <c r="AY83" s="10" t="e">
        <f t="shared" si="114"/>
        <v>#VALUE!</v>
      </c>
      <c r="AZ83" s="10" t="e">
        <f t="shared" si="115"/>
        <v>#VALUE!</v>
      </c>
      <c r="BA83" s="10" t="e">
        <f t="shared" si="144"/>
        <v>#VALUE!</v>
      </c>
      <c r="BB83" s="10" t="e">
        <f t="shared" si="92"/>
        <v>#VALUE!</v>
      </c>
      <c r="BC83" s="10" t="e">
        <f t="shared" si="145"/>
        <v>#VALUE!</v>
      </c>
      <c r="BE83" s="10" t="e">
        <f t="shared" si="116"/>
        <v>#VALUE!</v>
      </c>
      <c r="BF83" s="10" t="e">
        <f t="shared" si="146"/>
        <v>#VALUE!</v>
      </c>
      <c r="BG83" s="10" t="e">
        <f t="shared" si="93"/>
        <v>#VALUE!</v>
      </c>
      <c r="BH83" s="10" t="e">
        <f t="shared" si="117"/>
        <v>#VALUE!</v>
      </c>
      <c r="BI83" s="10" t="e">
        <f t="shared" si="118"/>
        <v>#VALUE!</v>
      </c>
      <c r="BJ83" s="10" t="e">
        <f t="shared" si="119"/>
        <v>#VALUE!</v>
      </c>
      <c r="BK83" s="10" t="e">
        <f t="shared" si="147"/>
        <v>#VALUE!</v>
      </c>
      <c r="BL83" s="10" t="e">
        <f t="shared" si="94"/>
        <v>#VALUE!</v>
      </c>
      <c r="BM83" s="10" t="e">
        <f t="shared" si="148"/>
        <v>#VALUE!</v>
      </c>
      <c r="BP83" s="10" t="e">
        <f t="shared" si="120"/>
        <v>#VALUE!</v>
      </c>
      <c r="BQ83" s="10" t="e">
        <f t="shared" si="121"/>
        <v>#VALUE!</v>
      </c>
      <c r="BR83" s="10" t="e">
        <f t="shared" si="122"/>
        <v>#VALUE!</v>
      </c>
      <c r="BS83" s="10" t="e">
        <f t="shared" si="123"/>
        <v>#VALUE!</v>
      </c>
      <c r="BT83" s="10" t="e">
        <f t="shared" si="124"/>
        <v>#VALUE!</v>
      </c>
      <c r="BU83" s="10" t="e">
        <f t="shared" si="125"/>
        <v>#VALUE!</v>
      </c>
      <c r="BW83" s="10" t="e">
        <f t="shared" si="126"/>
        <v>#VALUE!</v>
      </c>
      <c r="BX83" s="10" t="e">
        <f t="shared" si="127"/>
        <v>#VALUE!</v>
      </c>
      <c r="BY83" s="10" t="e">
        <f t="shared" si="128"/>
        <v>#VALUE!</v>
      </c>
      <c r="BZ83" s="10" t="e">
        <f t="shared" si="129"/>
        <v>#VALUE!</v>
      </c>
      <c r="CA83" s="10" t="e">
        <f t="shared" si="130"/>
        <v>#VALUE!</v>
      </c>
      <c r="CB83" s="10" t="e">
        <f t="shared" si="131"/>
        <v>#VALUE!</v>
      </c>
      <c r="CD83" s="10" t="e">
        <f>MATCH(INDEX($BP$12:$BU$12,1,MATCH(BP83,$BP$15:$BU$15,0)),结果汇总!$AI$10:$AI$13,0)</f>
        <v>#VALUE!</v>
      </c>
      <c r="CE83" s="10" t="e">
        <f>MATCH(INDEX($BP$12:$BU$12,1,MATCH(BQ83,$BP$15:$BU$15,0)),结果汇总!$AI$10:$AI$13,0)</f>
        <v>#VALUE!</v>
      </c>
      <c r="CF83" s="10" t="e">
        <f>MATCH(INDEX($BP$12:$BU$12,1,MATCH(BR83,$BP$15:$BU$15,0)),结果汇总!$AI$10:$AI$13,0)</f>
        <v>#VALUE!</v>
      </c>
      <c r="CG83" s="10" t="e">
        <f>MATCH(INDEX($BP$12:$BU$12,1,MATCH(BS83,$BP$15:$BU$15,0)),结果汇总!$AI$10:$AI$13,0)</f>
        <v>#VALUE!</v>
      </c>
      <c r="CH83" s="10" t="e">
        <f>MATCH(INDEX($BP$12:$BU$12,1,MATCH(BT83,$BP$15:$BU$15,0)),结果汇总!$AI$10:$AI$13,0)</f>
        <v>#VALUE!</v>
      </c>
      <c r="CI83" s="10" t="e">
        <f>MATCH(INDEX($BP$12:$BU$12,1,MATCH(BU83,$BP$15:$BU$15,0)),结果汇总!$AI$10:$AI$13,0)</f>
        <v>#VALUE!</v>
      </c>
      <c r="CK83" s="10">
        <f t="shared" si="132"/>
        <v>0</v>
      </c>
      <c r="CL83" s="10">
        <f t="shared" si="132"/>
        <v>0</v>
      </c>
      <c r="CM83" s="10">
        <f t="shared" si="132"/>
        <v>0</v>
      </c>
      <c r="CN83" s="10">
        <f t="shared" si="132"/>
        <v>0</v>
      </c>
      <c r="CO83" s="10" t="e">
        <f t="shared" si="133"/>
        <v>#DIV/0!</v>
      </c>
      <c r="CP83" s="10" t="e">
        <f t="shared" si="133"/>
        <v>#DIV/0!</v>
      </c>
      <c r="CQ83" s="10" t="e">
        <f t="shared" si="133"/>
        <v>#DIV/0!</v>
      </c>
      <c r="CR83" s="10" t="e">
        <f t="shared" si="133"/>
        <v>#DIV/0!</v>
      </c>
      <c r="CS83" s="10">
        <f t="shared" si="134"/>
        <v>0</v>
      </c>
      <c r="CT83" s="10">
        <f t="shared" si="134"/>
        <v>0</v>
      </c>
      <c r="CU83" s="10">
        <f t="shared" si="134"/>
        <v>0</v>
      </c>
      <c r="CV83" s="10">
        <f t="shared" si="134"/>
        <v>0</v>
      </c>
      <c r="CW83" s="10" t="e">
        <f t="shared" si="135"/>
        <v>#DIV/0!</v>
      </c>
      <c r="CX83" s="10" t="e">
        <f t="shared" si="135"/>
        <v>#DIV/0!</v>
      </c>
      <c r="CY83" s="10" t="e">
        <f t="shared" si="135"/>
        <v>#DIV/0!</v>
      </c>
      <c r="CZ83" s="10" t="e">
        <f t="shared" si="135"/>
        <v>#DIV/0!</v>
      </c>
    </row>
    <row r="84" spans="4:104" x14ac:dyDescent="0.15">
      <c r="D84" s="10">
        <v>69</v>
      </c>
      <c r="E84" s="10" t="e">
        <f t="shared" si="95"/>
        <v>#VALUE!</v>
      </c>
      <c r="F84" s="10" t="e">
        <f t="shared" si="79"/>
        <v>#VALUE!</v>
      </c>
      <c r="G84" s="10" t="e">
        <f t="shared" si="80"/>
        <v>#VALUE!</v>
      </c>
      <c r="H84" s="10" t="e">
        <f t="shared" si="96"/>
        <v>#VALUE!</v>
      </c>
      <c r="I84" s="10" t="e">
        <f t="shared" si="81"/>
        <v>#VALUE!</v>
      </c>
      <c r="J84" s="10" t="e">
        <f t="shared" si="97"/>
        <v>#VALUE!</v>
      </c>
      <c r="K84" s="10" t="e">
        <f t="shared" si="82"/>
        <v>#VALUE!</v>
      </c>
      <c r="L84" s="10" t="e">
        <f t="shared" si="83"/>
        <v>#VALUE!</v>
      </c>
      <c r="M84" s="10" t="e">
        <f t="shared" si="98"/>
        <v>#VALUE!</v>
      </c>
      <c r="O84" s="10" t="e">
        <f t="shared" si="99"/>
        <v>#VALUE!</v>
      </c>
      <c r="P84" s="10" t="e">
        <f t="shared" si="84"/>
        <v>#VALUE!</v>
      </c>
      <c r="Q84" s="10" t="e">
        <f t="shared" si="85"/>
        <v>#VALUE!</v>
      </c>
      <c r="R84" s="10" t="e">
        <f t="shared" si="100"/>
        <v>#VALUE!</v>
      </c>
      <c r="S84" s="10" t="e">
        <f t="shared" si="101"/>
        <v>#VALUE!</v>
      </c>
      <c r="T84" s="10" t="e">
        <f t="shared" si="136"/>
        <v>#VALUE!</v>
      </c>
      <c r="U84" s="10" t="e">
        <f t="shared" si="137"/>
        <v>#VALUE!</v>
      </c>
      <c r="V84" s="10" t="e">
        <f t="shared" si="86"/>
        <v>#VALUE!</v>
      </c>
      <c r="W84" s="10" t="e">
        <f t="shared" si="102"/>
        <v>#VALUE!</v>
      </c>
      <c r="Y84" s="10" t="e">
        <f t="shared" si="103"/>
        <v>#VALUE!</v>
      </c>
      <c r="Z84" s="11" t="e">
        <f t="shared" si="104"/>
        <v>#VALUE!</v>
      </c>
      <c r="AA84" s="10" t="e">
        <f t="shared" si="87"/>
        <v>#VALUE!</v>
      </c>
      <c r="AB84" s="10" t="e">
        <f t="shared" si="105"/>
        <v>#VALUE!</v>
      </c>
      <c r="AC84" s="10" t="e">
        <f t="shared" si="106"/>
        <v>#VALUE!</v>
      </c>
      <c r="AD84" s="10" t="e">
        <f t="shared" si="138"/>
        <v>#VALUE!</v>
      </c>
      <c r="AE84" s="10" t="e">
        <f t="shared" si="139"/>
        <v>#VALUE!</v>
      </c>
      <c r="AF84" s="10" t="e">
        <f t="shared" si="88"/>
        <v>#VALUE!</v>
      </c>
      <c r="AG84" s="10" t="e">
        <f t="shared" si="107"/>
        <v>#VALUE!</v>
      </c>
      <c r="AI84" s="13"/>
      <c r="AK84" s="10" t="e">
        <f t="shared" si="108"/>
        <v>#VALUE!</v>
      </c>
      <c r="AL84" s="10" t="e">
        <f t="shared" si="140"/>
        <v>#VALUE!</v>
      </c>
      <c r="AM84" s="10" t="e">
        <f t="shared" si="89"/>
        <v>#VALUE!</v>
      </c>
      <c r="AN84" s="10" t="e">
        <f t="shared" si="109"/>
        <v>#VALUE!</v>
      </c>
      <c r="AO84" s="10" t="e">
        <f t="shared" si="110"/>
        <v>#VALUE!</v>
      </c>
      <c r="AP84" s="10" t="e">
        <f t="shared" si="111"/>
        <v>#VALUE!</v>
      </c>
      <c r="AQ84" s="10" t="e">
        <f t="shared" si="141"/>
        <v>#VALUE!</v>
      </c>
      <c r="AR84" s="10" t="e">
        <f t="shared" si="90"/>
        <v>#VALUE!</v>
      </c>
      <c r="AS84" s="10" t="e">
        <f t="shared" si="142"/>
        <v>#VALUE!</v>
      </c>
      <c r="AU84" s="10" t="e">
        <f t="shared" si="112"/>
        <v>#VALUE!</v>
      </c>
      <c r="AV84" s="10" t="e">
        <f t="shared" si="143"/>
        <v>#VALUE!</v>
      </c>
      <c r="AW84" s="10" t="e">
        <f t="shared" si="91"/>
        <v>#VALUE!</v>
      </c>
      <c r="AX84" s="10" t="e">
        <f t="shared" si="113"/>
        <v>#VALUE!</v>
      </c>
      <c r="AY84" s="10" t="e">
        <f t="shared" si="114"/>
        <v>#VALUE!</v>
      </c>
      <c r="AZ84" s="10" t="e">
        <f t="shared" si="115"/>
        <v>#VALUE!</v>
      </c>
      <c r="BA84" s="10" t="e">
        <f t="shared" si="144"/>
        <v>#VALUE!</v>
      </c>
      <c r="BB84" s="10" t="e">
        <f t="shared" si="92"/>
        <v>#VALUE!</v>
      </c>
      <c r="BC84" s="10" t="e">
        <f t="shared" si="145"/>
        <v>#VALUE!</v>
      </c>
      <c r="BE84" s="10" t="e">
        <f t="shared" si="116"/>
        <v>#VALUE!</v>
      </c>
      <c r="BF84" s="10" t="e">
        <f t="shared" si="146"/>
        <v>#VALUE!</v>
      </c>
      <c r="BG84" s="10" t="e">
        <f t="shared" si="93"/>
        <v>#VALUE!</v>
      </c>
      <c r="BH84" s="10" t="e">
        <f t="shared" si="117"/>
        <v>#VALUE!</v>
      </c>
      <c r="BI84" s="10" t="e">
        <f t="shared" si="118"/>
        <v>#VALUE!</v>
      </c>
      <c r="BJ84" s="10" t="e">
        <f t="shared" si="119"/>
        <v>#VALUE!</v>
      </c>
      <c r="BK84" s="10" t="e">
        <f t="shared" si="147"/>
        <v>#VALUE!</v>
      </c>
      <c r="BL84" s="10" t="e">
        <f t="shared" si="94"/>
        <v>#VALUE!</v>
      </c>
      <c r="BM84" s="10" t="e">
        <f t="shared" si="148"/>
        <v>#VALUE!</v>
      </c>
      <c r="BP84" s="10" t="e">
        <f t="shared" si="120"/>
        <v>#VALUE!</v>
      </c>
      <c r="BQ84" s="10" t="e">
        <f t="shared" si="121"/>
        <v>#VALUE!</v>
      </c>
      <c r="BR84" s="10" t="e">
        <f t="shared" si="122"/>
        <v>#VALUE!</v>
      </c>
      <c r="BS84" s="10" t="e">
        <f t="shared" si="123"/>
        <v>#VALUE!</v>
      </c>
      <c r="BT84" s="10" t="e">
        <f t="shared" si="124"/>
        <v>#VALUE!</v>
      </c>
      <c r="BU84" s="10" t="e">
        <f t="shared" si="125"/>
        <v>#VALUE!</v>
      </c>
      <c r="BW84" s="10" t="e">
        <f t="shared" si="126"/>
        <v>#VALUE!</v>
      </c>
      <c r="BX84" s="10" t="e">
        <f t="shared" si="127"/>
        <v>#VALUE!</v>
      </c>
      <c r="BY84" s="10" t="e">
        <f t="shared" si="128"/>
        <v>#VALUE!</v>
      </c>
      <c r="BZ84" s="10" t="e">
        <f t="shared" si="129"/>
        <v>#VALUE!</v>
      </c>
      <c r="CA84" s="10" t="e">
        <f t="shared" si="130"/>
        <v>#VALUE!</v>
      </c>
      <c r="CB84" s="10" t="e">
        <f t="shared" si="131"/>
        <v>#VALUE!</v>
      </c>
      <c r="CD84" s="10" t="e">
        <f>MATCH(INDEX($BP$12:$BU$12,1,MATCH(BP84,$BP$15:$BU$15,0)),结果汇总!$AI$10:$AI$13,0)</f>
        <v>#VALUE!</v>
      </c>
      <c r="CE84" s="10" t="e">
        <f>MATCH(INDEX($BP$12:$BU$12,1,MATCH(BQ84,$BP$15:$BU$15,0)),结果汇总!$AI$10:$AI$13,0)</f>
        <v>#VALUE!</v>
      </c>
      <c r="CF84" s="10" t="e">
        <f>MATCH(INDEX($BP$12:$BU$12,1,MATCH(BR84,$BP$15:$BU$15,0)),结果汇总!$AI$10:$AI$13,0)</f>
        <v>#VALUE!</v>
      </c>
      <c r="CG84" s="10" t="e">
        <f>MATCH(INDEX($BP$12:$BU$12,1,MATCH(BS84,$BP$15:$BU$15,0)),结果汇总!$AI$10:$AI$13,0)</f>
        <v>#VALUE!</v>
      </c>
      <c r="CH84" s="10" t="e">
        <f>MATCH(INDEX($BP$12:$BU$12,1,MATCH(BT84,$BP$15:$BU$15,0)),结果汇总!$AI$10:$AI$13,0)</f>
        <v>#VALUE!</v>
      </c>
      <c r="CI84" s="10" t="e">
        <f>MATCH(INDEX($BP$12:$BU$12,1,MATCH(BU84,$BP$15:$BU$15,0)),结果汇总!$AI$10:$AI$13,0)</f>
        <v>#VALUE!</v>
      </c>
      <c r="CK84" s="10">
        <f t="shared" si="132"/>
        <v>0</v>
      </c>
      <c r="CL84" s="10">
        <f t="shared" si="132"/>
        <v>0</v>
      </c>
      <c r="CM84" s="10">
        <f t="shared" si="132"/>
        <v>0</v>
      </c>
      <c r="CN84" s="10">
        <f t="shared" si="132"/>
        <v>0</v>
      </c>
      <c r="CO84" s="10" t="e">
        <f t="shared" si="133"/>
        <v>#DIV/0!</v>
      </c>
      <c r="CP84" s="10" t="e">
        <f t="shared" si="133"/>
        <v>#DIV/0!</v>
      </c>
      <c r="CQ84" s="10" t="e">
        <f t="shared" si="133"/>
        <v>#DIV/0!</v>
      </c>
      <c r="CR84" s="10" t="e">
        <f t="shared" si="133"/>
        <v>#DIV/0!</v>
      </c>
      <c r="CS84" s="10">
        <f t="shared" si="134"/>
        <v>0</v>
      </c>
      <c r="CT84" s="10">
        <f t="shared" si="134"/>
        <v>0</v>
      </c>
      <c r="CU84" s="10">
        <f t="shared" si="134"/>
        <v>0</v>
      </c>
      <c r="CV84" s="10">
        <f t="shared" si="134"/>
        <v>0</v>
      </c>
      <c r="CW84" s="10" t="e">
        <f t="shared" si="135"/>
        <v>#DIV/0!</v>
      </c>
      <c r="CX84" s="10" t="e">
        <f t="shared" si="135"/>
        <v>#DIV/0!</v>
      </c>
      <c r="CY84" s="10" t="e">
        <f t="shared" si="135"/>
        <v>#DIV/0!</v>
      </c>
      <c r="CZ84" s="10" t="e">
        <f t="shared" si="135"/>
        <v>#DIV/0!</v>
      </c>
    </row>
    <row r="85" spans="4:104" x14ac:dyDescent="0.15">
      <c r="D85" s="10">
        <v>70</v>
      </c>
      <c r="E85" s="10" t="e">
        <f t="shared" si="95"/>
        <v>#VALUE!</v>
      </c>
      <c r="F85" s="10" t="e">
        <f t="shared" si="79"/>
        <v>#VALUE!</v>
      </c>
      <c r="G85" s="10" t="e">
        <f t="shared" si="80"/>
        <v>#VALUE!</v>
      </c>
      <c r="H85" s="10" t="e">
        <f t="shared" si="96"/>
        <v>#VALUE!</v>
      </c>
      <c r="I85" s="10" t="e">
        <f t="shared" si="81"/>
        <v>#VALUE!</v>
      </c>
      <c r="J85" s="10" t="e">
        <f t="shared" si="97"/>
        <v>#VALUE!</v>
      </c>
      <c r="K85" s="10" t="e">
        <f t="shared" si="82"/>
        <v>#VALUE!</v>
      </c>
      <c r="L85" s="10" t="e">
        <f t="shared" si="83"/>
        <v>#VALUE!</v>
      </c>
      <c r="M85" s="10" t="e">
        <f t="shared" si="98"/>
        <v>#VALUE!</v>
      </c>
      <c r="O85" s="10" t="e">
        <f t="shared" si="99"/>
        <v>#VALUE!</v>
      </c>
      <c r="P85" s="10" t="e">
        <f t="shared" si="84"/>
        <v>#VALUE!</v>
      </c>
      <c r="Q85" s="10" t="e">
        <f t="shared" si="85"/>
        <v>#VALUE!</v>
      </c>
      <c r="R85" s="10" t="e">
        <f t="shared" si="100"/>
        <v>#VALUE!</v>
      </c>
      <c r="S85" s="10" t="e">
        <f t="shared" si="101"/>
        <v>#VALUE!</v>
      </c>
      <c r="T85" s="10" t="e">
        <f t="shared" si="136"/>
        <v>#VALUE!</v>
      </c>
      <c r="U85" s="10" t="e">
        <f t="shared" si="137"/>
        <v>#VALUE!</v>
      </c>
      <c r="V85" s="10" t="e">
        <f t="shared" si="86"/>
        <v>#VALUE!</v>
      </c>
      <c r="W85" s="10" t="e">
        <f t="shared" si="102"/>
        <v>#VALUE!</v>
      </c>
      <c r="Y85" s="10" t="e">
        <f t="shared" si="103"/>
        <v>#VALUE!</v>
      </c>
      <c r="Z85" s="11" t="e">
        <f t="shared" si="104"/>
        <v>#VALUE!</v>
      </c>
      <c r="AA85" s="10" t="e">
        <f t="shared" si="87"/>
        <v>#VALUE!</v>
      </c>
      <c r="AB85" s="10" t="e">
        <f t="shared" si="105"/>
        <v>#VALUE!</v>
      </c>
      <c r="AC85" s="10" t="e">
        <f t="shared" si="106"/>
        <v>#VALUE!</v>
      </c>
      <c r="AD85" s="10" t="e">
        <f t="shared" si="138"/>
        <v>#VALUE!</v>
      </c>
      <c r="AE85" s="10" t="e">
        <f t="shared" si="139"/>
        <v>#VALUE!</v>
      </c>
      <c r="AF85" s="10" t="e">
        <f t="shared" si="88"/>
        <v>#VALUE!</v>
      </c>
      <c r="AG85" s="10" t="e">
        <f t="shared" si="107"/>
        <v>#VALUE!</v>
      </c>
      <c r="AI85" s="13"/>
      <c r="AK85" s="10" t="e">
        <f t="shared" si="108"/>
        <v>#VALUE!</v>
      </c>
      <c r="AL85" s="10" t="e">
        <f t="shared" si="140"/>
        <v>#VALUE!</v>
      </c>
      <c r="AM85" s="10" t="e">
        <f t="shared" si="89"/>
        <v>#VALUE!</v>
      </c>
      <c r="AN85" s="10" t="e">
        <f t="shared" si="109"/>
        <v>#VALUE!</v>
      </c>
      <c r="AO85" s="10" t="e">
        <f t="shared" si="110"/>
        <v>#VALUE!</v>
      </c>
      <c r="AP85" s="10" t="e">
        <f t="shared" si="111"/>
        <v>#VALUE!</v>
      </c>
      <c r="AQ85" s="10" t="e">
        <f t="shared" si="141"/>
        <v>#VALUE!</v>
      </c>
      <c r="AR85" s="10" t="e">
        <f t="shared" si="90"/>
        <v>#VALUE!</v>
      </c>
      <c r="AS85" s="10" t="e">
        <f t="shared" si="142"/>
        <v>#VALUE!</v>
      </c>
      <c r="AU85" s="10" t="e">
        <f t="shared" si="112"/>
        <v>#VALUE!</v>
      </c>
      <c r="AV85" s="10" t="e">
        <f t="shared" si="143"/>
        <v>#VALUE!</v>
      </c>
      <c r="AW85" s="10" t="e">
        <f t="shared" si="91"/>
        <v>#VALUE!</v>
      </c>
      <c r="AX85" s="10" t="e">
        <f t="shared" si="113"/>
        <v>#VALUE!</v>
      </c>
      <c r="AY85" s="10" t="e">
        <f t="shared" si="114"/>
        <v>#VALUE!</v>
      </c>
      <c r="AZ85" s="10" t="e">
        <f t="shared" si="115"/>
        <v>#VALUE!</v>
      </c>
      <c r="BA85" s="10" t="e">
        <f t="shared" si="144"/>
        <v>#VALUE!</v>
      </c>
      <c r="BB85" s="10" t="e">
        <f t="shared" si="92"/>
        <v>#VALUE!</v>
      </c>
      <c r="BC85" s="10" t="e">
        <f t="shared" si="145"/>
        <v>#VALUE!</v>
      </c>
      <c r="BE85" s="10" t="e">
        <f t="shared" si="116"/>
        <v>#VALUE!</v>
      </c>
      <c r="BF85" s="10" t="e">
        <f t="shared" si="146"/>
        <v>#VALUE!</v>
      </c>
      <c r="BG85" s="10" t="e">
        <f t="shared" si="93"/>
        <v>#VALUE!</v>
      </c>
      <c r="BH85" s="10" t="e">
        <f t="shared" si="117"/>
        <v>#VALUE!</v>
      </c>
      <c r="BI85" s="10" t="e">
        <f t="shared" si="118"/>
        <v>#VALUE!</v>
      </c>
      <c r="BJ85" s="10" t="e">
        <f t="shared" si="119"/>
        <v>#VALUE!</v>
      </c>
      <c r="BK85" s="10" t="e">
        <f t="shared" si="147"/>
        <v>#VALUE!</v>
      </c>
      <c r="BL85" s="10" t="e">
        <f t="shared" si="94"/>
        <v>#VALUE!</v>
      </c>
      <c r="BM85" s="10" t="e">
        <f t="shared" si="148"/>
        <v>#VALUE!</v>
      </c>
      <c r="BP85" s="10" t="e">
        <f t="shared" si="120"/>
        <v>#VALUE!</v>
      </c>
      <c r="BQ85" s="10" t="e">
        <f t="shared" si="121"/>
        <v>#VALUE!</v>
      </c>
      <c r="BR85" s="10" t="e">
        <f t="shared" si="122"/>
        <v>#VALUE!</v>
      </c>
      <c r="BS85" s="10" t="e">
        <f t="shared" si="123"/>
        <v>#VALUE!</v>
      </c>
      <c r="BT85" s="10" t="e">
        <f t="shared" si="124"/>
        <v>#VALUE!</v>
      </c>
      <c r="BU85" s="10" t="e">
        <f t="shared" si="125"/>
        <v>#VALUE!</v>
      </c>
      <c r="BW85" s="10" t="e">
        <f t="shared" si="126"/>
        <v>#VALUE!</v>
      </c>
      <c r="BX85" s="10" t="e">
        <f t="shared" si="127"/>
        <v>#VALUE!</v>
      </c>
      <c r="BY85" s="10" t="e">
        <f t="shared" si="128"/>
        <v>#VALUE!</v>
      </c>
      <c r="BZ85" s="10" t="e">
        <f t="shared" si="129"/>
        <v>#VALUE!</v>
      </c>
      <c r="CA85" s="10" t="e">
        <f t="shared" si="130"/>
        <v>#VALUE!</v>
      </c>
      <c r="CB85" s="10" t="e">
        <f t="shared" si="131"/>
        <v>#VALUE!</v>
      </c>
      <c r="CD85" s="10" t="e">
        <f>MATCH(INDEX($BP$12:$BU$12,1,MATCH(BP85,$BP$15:$BU$15,0)),结果汇总!$AI$10:$AI$13,0)</f>
        <v>#VALUE!</v>
      </c>
      <c r="CE85" s="10" t="e">
        <f>MATCH(INDEX($BP$12:$BU$12,1,MATCH(BQ85,$BP$15:$BU$15,0)),结果汇总!$AI$10:$AI$13,0)</f>
        <v>#VALUE!</v>
      </c>
      <c r="CF85" s="10" t="e">
        <f>MATCH(INDEX($BP$12:$BU$12,1,MATCH(BR85,$BP$15:$BU$15,0)),结果汇总!$AI$10:$AI$13,0)</f>
        <v>#VALUE!</v>
      </c>
      <c r="CG85" s="10" t="e">
        <f>MATCH(INDEX($BP$12:$BU$12,1,MATCH(BS85,$BP$15:$BU$15,0)),结果汇总!$AI$10:$AI$13,0)</f>
        <v>#VALUE!</v>
      </c>
      <c r="CH85" s="10" t="e">
        <f>MATCH(INDEX($BP$12:$BU$12,1,MATCH(BT85,$BP$15:$BU$15,0)),结果汇总!$AI$10:$AI$13,0)</f>
        <v>#VALUE!</v>
      </c>
      <c r="CI85" s="10" t="e">
        <f>MATCH(INDEX($BP$12:$BU$12,1,MATCH(BU85,$BP$15:$BU$15,0)),结果汇总!$AI$10:$AI$13,0)</f>
        <v>#VALUE!</v>
      </c>
      <c r="CK85" s="10">
        <f t="shared" si="132"/>
        <v>0</v>
      </c>
      <c r="CL85" s="10">
        <f t="shared" si="132"/>
        <v>0</v>
      </c>
      <c r="CM85" s="10">
        <f t="shared" si="132"/>
        <v>0</v>
      </c>
      <c r="CN85" s="10">
        <f t="shared" si="132"/>
        <v>0</v>
      </c>
      <c r="CO85" s="10" t="e">
        <f t="shared" si="133"/>
        <v>#DIV/0!</v>
      </c>
      <c r="CP85" s="10" t="e">
        <f t="shared" si="133"/>
        <v>#DIV/0!</v>
      </c>
      <c r="CQ85" s="10" t="e">
        <f t="shared" si="133"/>
        <v>#DIV/0!</v>
      </c>
      <c r="CR85" s="10" t="e">
        <f t="shared" si="133"/>
        <v>#DIV/0!</v>
      </c>
      <c r="CS85" s="10">
        <f t="shared" si="134"/>
        <v>0</v>
      </c>
      <c r="CT85" s="10">
        <f t="shared" si="134"/>
        <v>0</v>
      </c>
      <c r="CU85" s="10">
        <f t="shared" si="134"/>
        <v>0</v>
      </c>
      <c r="CV85" s="10">
        <f t="shared" si="134"/>
        <v>0</v>
      </c>
      <c r="CW85" s="10" t="e">
        <f t="shared" si="135"/>
        <v>#DIV/0!</v>
      </c>
      <c r="CX85" s="10" t="e">
        <f t="shared" si="135"/>
        <v>#DIV/0!</v>
      </c>
      <c r="CY85" s="10" t="e">
        <f t="shared" si="135"/>
        <v>#DIV/0!</v>
      </c>
      <c r="CZ85" s="10" t="e">
        <f t="shared" si="135"/>
        <v>#DIV/0!</v>
      </c>
    </row>
    <row r="86" spans="4:104" x14ac:dyDescent="0.15">
      <c r="D86" s="10">
        <v>71</v>
      </c>
      <c r="E86" s="10" t="e">
        <f t="shared" si="95"/>
        <v>#VALUE!</v>
      </c>
      <c r="F86" s="10" t="e">
        <f t="shared" si="79"/>
        <v>#VALUE!</v>
      </c>
      <c r="G86" s="10" t="e">
        <f t="shared" si="80"/>
        <v>#VALUE!</v>
      </c>
      <c r="H86" s="10" t="e">
        <f t="shared" si="96"/>
        <v>#VALUE!</v>
      </c>
      <c r="I86" s="10" t="e">
        <f t="shared" si="81"/>
        <v>#VALUE!</v>
      </c>
      <c r="J86" s="10" t="e">
        <f t="shared" si="97"/>
        <v>#VALUE!</v>
      </c>
      <c r="K86" s="10" t="e">
        <f t="shared" si="82"/>
        <v>#VALUE!</v>
      </c>
      <c r="L86" s="10" t="e">
        <f t="shared" si="83"/>
        <v>#VALUE!</v>
      </c>
      <c r="M86" s="10" t="e">
        <f t="shared" si="98"/>
        <v>#VALUE!</v>
      </c>
      <c r="O86" s="10" t="e">
        <f t="shared" si="99"/>
        <v>#VALUE!</v>
      </c>
      <c r="P86" s="10" t="e">
        <f t="shared" si="84"/>
        <v>#VALUE!</v>
      </c>
      <c r="Q86" s="10" t="e">
        <f t="shared" si="85"/>
        <v>#VALUE!</v>
      </c>
      <c r="R86" s="10" t="e">
        <f t="shared" si="100"/>
        <v>#VALUE!</v>
      </c>
      <c r="S86" s="10" t="e">
        <f t="shared" si="101"/>
        <v>#VALUE!</v>
      </c>
      <c r="T86" s="10" t="e">
        <f t="shared" si="136"/>
        <v>#VALUE!</v>
      </c>
      <c r="U86" s="10" t="e">
        <f t="shared" si="137"/>
        <v>#VALUE!</v>
      </c>
      <c r="V86" s="10" t="e">
        <f t="shared" si="86"/>
        <v>#VALUE!</v>
      </c>
      <c r="W86" s="10" t="e">
        <f t="shared" si="102"/>
        <v>#VALUE!</v>
      </c>
      <c r="Y86" s="10" t="e">
        <f t="shared" si="103"/>
        <v>#VALUE!</v>
      </c>
      <c r="Z86" s="11" t="e">
        <f t="shared" si="104"/>
        <v>#VALUE!</v>
      </c>
      <c r="AA86" s="10" t="e">
        <f t="shared" si="87"/>
        <v>#VALUE!</v>
      </c>
      <c r="AB86" s="10" t="e">
        <f t="shared" si="105"/>
        <v>#VALUE!</v>
      </c>
      <c r="AC86" s="10" t="e">
        <f t="shared" si="106"/>
        <v>#VALUE!</v>
      </c>
      <c r="AD86" s="10" t="e">
        <f t="shared" si="138"/>
        <v>#VALUE!</v>
      </c>
      <c r="AE86" s="10" t="e">
        <f t="shared" si="139"/>
        <v>#VALUE!</v>
      </c>
      <c r="AF86" s="10" t="e">
        <f t="shared" si="88"/>
        <v>#VALUE!</v>
      </c>
      <c r="AG86" s="10" t="e">
        <f t="shared" si="107"/>
        <v>#VALUE!</v>
      </c>
      <c r="AI86" s="13"/>
      <c r="AK86" s="10" t="e">
        <f t="shared" si="108"/>
        <v>#VALUE!</v>
      </c>
      <c r="AL86" s="10" t="e">
        <f t="shared" si="140"/>
        <v>#VALUE!</v>
      </c>
      <c r="AM86" s="10" t="e">
        <f t="shared" si="89"/>
        <v>#VALUE!</v>
      </c>
      <c r="AN86" s="10" t="e">
        <f t="shared" si="109"/>
        <v>#VALUE!</v>
      </c>
      <c r="AO86" s="10" t="e">
        <f t="shared" si="110"/>
        <v>#VALUE!</v>
      </c>
      <c r="AP86" s="10" t="e">
        <f t="shared" si="111"/>
        <v>#VALUE!</v>
      </c>
      <c r="AQ86" s="10" t="e">
        <f t="shared" si="141"/>
        <v>#VALUE!</v>
      </c>
      <c r="AR86" s="10" t="e">
        <f t="shared" si="90"/>
        <v>#VALUE!</v>
      </c>
      <c r="AS86" s="10" t="e">
        <f t="shared" si="142"/>
        <v>#VALUE!</v>
      </c>
      <c r="AU86" s="10" t="e">
        <f t="shared" si="112"/>
        <v>#VALUE!</v>
      </c>
      <c r="AV86" s="10" t="e">
        <f t="shared" si="143"/>
        <v>#VALUE!</v>
      </c>
      <c r="AW86" s="10" t="e">
        <f t="shared" si="91"/>
        <v>#VALUE!</v>
      </c>
      <c r="AX86" s="10" t="e">
        <f t="shared" si="113"/>
        <v>#VALUE!</v>
      </c>
      <c r="AY86" s="10" t="e">
        <f t="shared" si="114"/>
        <v>#VALUE!</v>
      </c>
      <c r="AZ86" s="10" t="e">
        <f t="shared" si="115"/>
        <v>#VALUE!</v>
      </c>
      <c r="BA86" s="10" t="e">
        <f t="shared" si="144"/>
        <v>#VALUE!</v>
      </c>
      <c r="BB86" s="10" t="e">
        <f t="shared" si="92"/>
        <v>#VALUE!</v>
      </c>
      <c r="BC86" s="10" t="e">
        <f t="shared" si="145"/>
        <v>#VALUE!</v>
      </c>
      <c r="BE86" s="10" t="e">
        <f t="shared" si="116"/>
        <v>#VALUE!</v>
      </c>
      <c r="BF86" s="10" t="e">
        <f t="shared" si="146"/>
        <v>#VALUE!</v>
      </c>
      <c r="BG86" s="10" t="e">
        <f t="shared" si="93"/>
        <v>#VALUE!</v>
      </c>
      <c r="BH86" s="10" t="e">
        <f t="shared" si="117"/>
        <v>#VALUE!</v>
      </c>
      <c r="BI86" s="10" t="e">
        <f t="shared" si="118"/>
        <v>#VALUE!</v>
      </c>
      <c r="BJ86" s="10" t="e">
        <f t="shared" si="119"/>
        <v>#VALUE!</v>
      </c>
      <c r="BK86" s="10" t="e">
        <f t="shared" si="147"/>
        <v>#VALUE!</v>
      </c>
      <c r="BL86" s="10" t="e">
        <f t="shared" si="94"/>
        <v>#VALUE!</v>
      </c>
      <c r="BM86" s="10" t="e">
        <f t="shared" si="148"/>
        <v>#VALUE!</v>
      </c>
      <c r="BP86" s="10" t="e">
        <f t="shared" si="120"/>
        <v>#VALUE!</v>
      </c>
      <c r="BQ86" s="10" t="e">
        <f t="shared" si="121"/>
        <v>#VALUE!</v>
      </c>
      <c r="BR86" s="10" t="e">
        <f t="shared" si="122"/>
        <v>#VALUE!</v>
      </c>
      <c r="BS86" s="10" t="e">
        <f t="shared" si="123"/>
        <v>#VALUE!</v>
      </c>
      <c r="BT86" s="10" t="e">
        <f t="shared" si="124"/>
        <v>#VALUE!</v>
      </c>
      <c r="BU86" s="10" t="e">
        <f t="shared" si="125"/>
        <v>#VALUE!</v>
      </c>
      <c r="BW86" s="10" t="e">
        <f t="shared" si="126"/>
        <v>#VALUE!</v>
      </c>
      <c r="BX86" s="10" t="e">
        <f t="shared" si="127"/>
        <v>#VALUE!</v>
      </c>
      <c r="BY86" s="10" t="e">
        <f t="shared" si="128"/>
        <v>#VALUE!</v>
      </c>
      <c r="BZ86" s="10" t="e">
        <f t="shared" si="129"/>
        <v>#VALUE!</v>
      </c>
      <c r="CA86" s="10" t="e">
        <f t="shared" si="130"/>
        <v>#VALUE!</v>
      </c>
      <c r="CB86" s="10" t="e">
        <f t="shared" si="131"/>
        <v>#VALUE!</v>
      </c>
      <c r="CD86" s="10" t="e">
        <f>MATCH(INDEX($BP$12:$BU$12,1,MATCH(BP86,$BP$15:$BU$15,0)),结果汇总!$AI$10:$AI$13,0)</f>
        <v>#VALUE!</v>
      </c>
      <c r="CE86" s="10" t="e">
        <f>MATCH(INDEX($BP$12:$BU$12,1,MATCH(BQ86,$BP$15:$BU$15,0)),结果汇总!$AI$10:$AI$13,0)</f>
        <v>#VALUE!</v>
      </c>
      <c r="CF86" s="10" t="e">
        <f>MATCH(INDEX($BP$12:$BU$12,1,MATCH(BR86,$BP$15:$BU$15,0)),结果汇总!$AI$10:$AI$13,0)</f>
        <v>#VALUE!</v>
      </c>
      <c r="CG86" s="10" t="e">
        <f>MATCH(INDEX($BP$12:$BU$12,1,MATCH(BS86,$BP$15:$BU$15,0)),结果汇总!$AI$10:$AI$13,0)</f>
        <v>#VALUE!</v>
      </c>
      <c r="CH86" s="10" t="e">
        <f>MATCH(INDEX($BP$12:$BU$12,1,MATCH(BT86,$BP$15:$BU$15,0)),结果汇总!$AI$10:$AI$13,0)</f>
        <v>#VALUE!</v>
      </c>
      <c r="CI86" s="10" t="e">
        <f>MATCH(INDEX($BP$12:$BU$12,1,MATCH(BU86,$BP$15:$BU$15,0)),结果汇总!$AI$10:$AI$13,0)</f>
        <v>#VALUE!</v>
      </c>
      <c r="CK86" s="10">
        <f t="shared" si="132"/>
        <v>0</v>
      </c>
      <c r="CL86" s="10">
        <f t="shared" si="132"/>
        <v>0</v>
      </c>
      <c r="CM86" s="10">
        <f t="shared" si="132"/>
        <v>0</v>
      </c>
      <c r="CN86" s="10">
        <f t="shared" si="132"/>
        <v>0</v>
      </c>
      <c r="CO86" s="10" t="e">
        <f t="shared" si="133"/>
        <v>#DIV/0!</v>
      </c>
      <c r="CP86" s="10" t="e">
        <f t="shared" si="133"/>
        <v>#DIV/0!</v>
      </c>
      <c r="CQ86" s="10" t="e">
        <f t="shared" si="133"/>
        <v>#DIV/0!</v>
      </c>
      <c r="CR86" s="10" t="e">
        <f t="shared" si="133"/>
        <v>#DIV/0!</v>
      </c>
      <c r="CS86" s="10">
        <f t="shared" si="134"/>
        <v>0</v>
      </c>
      <c r="CT86" s="10">
        <f t="shared" si="134"/>
        <v>0</v>
      </c>
      <c r="CU86" s="10">
        <f t="shared" si="134"/>
        <v>0</v>
      </c>
      <c r="CV86" s="10">
        <f t="shared" si="134"/>
        <v>0</v>
      </c>
      <c r="CW86" s="10" t="e">
        <f t="shared" si="135"/>
        <v>#DIV/0!</v>
      </c>
      <c r="CX86" s="10" t="e">
        <f t="shared" si="135"/>
        <v>#DIV/0!</v>
      </c>
      <c r="CY86" s="10" t="e">
        <f t="shared" si="135"/>
        <v>#DIV/0!</v>
      </c>
      <c r="CZ86" s="10" t="e">
        <f t="shared" si="135"/>
        <v>#DIV/0!</v>
      </c>
    </row>
    <row r="87" spans="4:104" x14ac:dyDescent="0.15">
      <c r="D87" s="10">
        <v>72</v>
      </c>
      <c r="E87" s="10" t="e">
        <f t="shared" si="95"/>
        <v>#VALUE!</v>
      </c>
      <c r="F87" s="10" t="e">
        <f t="shared" si="79"/>
        <v>#VALUE!</v>
      </c>
      <c r="G87" s="10" t="e">
        <f t="shared" si="80"/>
        <v>#VALUE!</v>
      </c>
      <c r="H87" s="10" t="e">
        <f t="shared" si="96"/>
        <v>#VALUE!</v>
      </c>
      <c r="I87" s="10" t="e">
        <f t="shared" si="81"/>
        <v>#VALUE!</v>
      </c>
      <c r="J87" s="10" t="e">
        <f t="shared" si="97"/>
        <v>#VALUE!</v>
      </c>
      <c r="K87" s="10" t="e">
        <f t="shared" si="82"/>
        <v>#VALUE!</v>
      </c>
      <c r="L87" s="10" t="e">
        <f t="shared" si="83"/>
        <v>#VALUE!</v>
      </c>
      <c r="M87" s="10" t="e">
        <f t="shared" si="98"/>
        <v>#VALUE!</v>
      </c>
      <c r="O87" s="10" t="e">
        <f t="shared" si="99"/>
        <v>#VALUE!</v>
      </c>
      <c r="P87" s="10" t="e">
        <f t="shared" si="84"/>
        <v>#VALUE!</v>
      </c>
      <c r="Q87" s="10" t="e">
        <f t="shared" si="85"/>
        <v>#VALUE!</v>
      </c>
      <c r="R87" s="10" t="e">
        <f t="shared" si="100"/>
        <v>#VALUE!</v>
      </c>
      <c r="S87" s="10" t="e">
        <f t="shared" si="101"/>
        <v>#VALUE!</v>
      </c>
      <c r="T87" s="10" t="e">
        <f t="shared" si="136"/>
        <v>#VALUE!</v>
      </c>
      <c r="U87" s="10" t="e">
        <f t="shared" si="137"/>
        <v>#VALUE!</v>
      </c>
      <c r="V87" s="10" t="e">
        <f t="shared" si="86"/>
        <v>#VALUE!</v>
      </c>
      <c r="W87" s="10" t="e">
        <f t="shared" si="102"/>
        <v>#VALUE!</v>
      </c>
      <c r="Y87" s="10" t="e">
        <f t="shared" si="103"/>
        <v>#VALUE!</v>
      </c>
      <c r="Z87" s="11" t="e">
        <f t="shared" si="104"/>
        <v>#VALUE!</v>
      </c>
      <c r="AA87" s="10" t="e">
        <f t="shared" si="87"/>
        <v>#VALUE!</v>
      </c>
      <c r="AB87" s="10" t="e">
        <f t="shared" si="105"/>
        <v>#VALUE!</v>
      </c>
      <c r="AC87" s="10" t="e">
        <f t="shared" si="106"/>
        <v>#VALUE!</v>
      </c>
      <c r="AD87" s="10" t="e">
        <f t="shared" si="138"/>
        <v>#VALUE!</v>
      </c>
      <c r="AE87" s="10" t="e">
        <f t="shared" si="139"/>
        <v>#VALUE!</v>
      </c>
      <c r="AF87" s="10" t="e">
        <f t="shared" si="88"/>
        <v>#VALUE!</v>
      </c>
      <c r="AG87" s="10" t="e">
        <f t="shared" si="107"/>
        <v>#VALUE!</v>
      </c>
      <c r="AI87" s="13"/>
      <c r="AK87" s="10" t="e">
        <f t="shared" si="108"/>
        <v>#VALUE!</v>
      </c>
      <c r="AL87" s="10" t="e">
        <f t="shared" si="140"/>
        <v>#VALUE!</v>
      </c>
      <c r="AM87" s="10" t="e">
        <f t="shared" si="89"/>
        <v>#VALUE!</v>
      </c>
      <c r="AN87" s="10" t="e">
        <f t="shared" si="109"/>
        <v>#VALUE!</v>
      </c>
      <c r="AO87" s="10" t="e">
        <f t="shared" si="110"/>
        <v>#VALUE!</v>
      </c>
      <c r="AP87" s="10" t="e">
        <f t="shared" si="111"/>
        <v>#VALUE!</v>
      </c>
      <c r="AQ87" s="10" t="e">
        <f t="shared" si="141"/>
        <v>#VALUE!</v>
      </c>
      <c r="AR87" s="10" t="e">
        <f t="shared" si="90"/>
        <v>#VALUE!</v>
      </c>
      <c r="AS87" s="10" t="e">
        <f t="shared" si="142"/>
        <v>#VALUE!</v>
      </c>
      <c r="AU87" s="10" t="e">
        <f t="shared" si="112"/>
        <v>#VALUE!</v>
      </c>
      <c r="AV87" s="10" t="e">
        <f t="shared" si="143"/>
        <v>#VALUE!</v>
      </c>
      <c r="AW87" s="10" t="e">
        <f t="shared" si="91"/>
        <v>#VALUE!</v>
      </c>
      <c r="AX87" s="10" t="e">
        <f t="shared" si="113"/>
        <v>#VALUE!</v>
      </c>
      <c r="AY87" s="10" t="e">
        <f t="shared" si="114"/>
        <v>#VALUE!</v>
      </c>
      <c r="AZ87" s="10" t="e">
        <f t="shared" si="115"/>
        <v>#VALUE!</v>
      </c>
      <c r="BA87" s="10" t="e">
        <f t="shared" si="144"/>
        <v>#VALUE!</v>
      </c>
      <c r="BB87" s="10" t="e">
        <f t="shared" si="92"/>
        <v>#VALUE!</v>
      </c>
      <c r="BC87" s="10" t="e">
        <f t="shared" si="145"/>
        <v>#VALUE!</v>
      </c>
      <c r="BE87" s="10" t="e">
        <f t="shared" si="116"/>
        <v>#VALUE!</v>
      </c>
      <c r="BF87" s="10" t="e">
        <f t="shared" si="146"/>
        <v>#VALUE!</v>
      </c>
      <c r="BG87" s="10" t="e">
        <f t="shared" si="93"/>
        <v>#VALUE!</v>
      </c>
      <c r="BH87" s="10" t="e">
        <f t="shared" si="117"/>
        <v>#VALUE!</v>
      </c>
      <c r="BI87" s="10" t="e">
        <f t="shared" si="118"/>
        <v>#VALUE!</v>
      </c>
      <c r="BJ87" s="10" t="e">
        <f t="shared" si="119"/>
        <v>#VALUE!</v>
      </c>
      <c r="BK87" s="10" t="e">
        <f t="shared" si="147"/>
        <v>#VALUE!</v>
      </c>
      <c r="BL87" s="10" t="e">
        <f t="shared" si="94"/>
        <v>#VALUE!</v>
      </c>
      <c r="BM87" s="10" t="e">
        <f t="shared" si="148"/>
        <v>#VALUE!</v>
      </c>
      <c r="BP87" s="10" t="e">
        <f t="shared" si="120"/>
        <v>#VALUE!</v>
      </c>
      <c r="BQ87" s="10" t="e">
        <f t="shared" si="121"/>
        <v>#VALUE!</v>
      </c>
      <c r="BR87" s="10" t="e">
        <f t="shared" si="122"/>
        <v>#VALUE!</v>
      </c>
      <c r="BS87" s="10" t="e">
        <f t="shared" si="123"/>
        <v>#VALUE!</v>
      </c>
      <c r="BT87" s="10" t="e">
        <f t="shared" si="124"/>
        <v>#VALUE!</v>
      </c>
      <c r="BU87" s="10" t="e">
        <f t="shared" si="125"/>
        <v>#VALUE!</v>
      </c>
      <c r="BW87" s="10" t="e">
        <f t="shared" si="126"/>
        <v>#VALUE!</v>
      </c>
      <c r="BX87" s="10" t="e">
        <f t="shared" si="127"/>
        <v>#VALUE!</v>
      </c>
      <c r="BY87" s="10" t="e">
        <f t="shared" si="128"/>
        <v>#VALUE!</v>
      </c>
      <c r="BZ87" s="10" t="e">
        <f t="shared" si="129"/>
        <v>#VALUE!</v>
      </c>
      <c r="CA87" s="10" t="e">
        <f t="shared" si="130"/>
        <v>#VALUE!</v>
      </c>
      <c r="CB87" s="10" t="e">
        <f t="shared" si="131"/>
        <v>#VALUE!</v>
      </c>
      <c r="CD87" s="10" t="e">
        <f>MATCH(INDEX($BP$12:$BU$12,1,MATCH(BP87,$BP$15:$BU$15,0)),结果汇总!$AI$10:$AI$13,0)</f>
        <v>#VALUE!</v>
      </c>
      <c r="CE87" s="10" t="e">
        <f>MATCH(INDEX($BP$12:$BU$12,1,MATCH(BQ87,$BP$15:$BU$15,0)),结果汇总!$AI$10:$AI$13,0)</f>
        <v>#VALUE!</v>
      </c>
      <c r="CF87" s="10" t="e">
        <f>MATCH(INDEX($BP$12:$BU$12,1,MATCH(BR87,$BP$15:$BU$15,0)),结果汇总!$AI$10:$AI$13,0)</f>
        <v>#VALUE!</v>
      </c>
      <c r="CG87" s="10" t="e">
        <f>MATCH(INDEX($BP$12:$BU$12,1,MATCH(BS87,$BP$15:$BU$15,0)),结果汇总!$AI$10:$AI$13,0)</f>
        <v>#VALUE!</v>
      </c>
      <c r="CH87" s="10" t="e">
        <f>MATCH(INDEX($BP$12:$BU$12,1,MATCH(BT87,$BP$15:$BU$15,0)),结果汇总!$AI$10:$AI$13,0)</f>
        <v>#VALUE!</v>
      </c>
      <c r="CI87" s="10" t="e">
        <f>MATCH(INDEX($BP$12:$BU$12,1,MATCH(BU87,$BP$15:$BU$15,0)),结果汇总!$AI$10:$AI$13,0)</f>
        <v>#VALUE!</v>
      </c>
      <c r="CK87" s="10">
        <f t="shared" si="132"/>
        <v>0</v>
      </c>
      <c r="CL87" s="10">
        <f t="shared" si="132"/>
        <v>0</v>
      </c>
      <c r="CM87" s="10">
        <f t="shared" si="132"/>
        <v>0</v>
      </c>
      <c r="CN87" s="10">
        <f t="shared" si="132"/>
        <v>0</v>
      </c>
      <c r="CO87" s="10" t="e">
        <f t="shared" si="133"/>
        <v>#DIV/0!</v>
      </c>
      <c r="CP87" s="10" t="e">
        <f t="shared" si="133"/>
        <v>#DIV/0!</v>
      </c>
      <c r="CQ87" s="10" t="e">
        <f t="shared" si="133"/>
        <v>#DIV/0!</v>
      </c>
      <c r="CR87" s="10" t="e">
        <f t="shared" si="133"/>
        <v>#DIV/0!</v>
      </c>
      <c r="CS87" s="10">
        <f t="shared" si="134"/>
        <v>0</v>
      </c>
      <c r="CT87" s="10">
        <f t="shared" si="134"/>
        <v>0</v>
      </c>
      <c r="CU87" s="10">
        <f t="shared" si="134"/>
        <v>0</v>
      </c>
      <c r="CV87" s="10">
        <f t="shared" si="134"/>
        <v>0</v>
      </c>
      <c r="CW87" s="10" t="e">
        <f t="shared" si="135"/>
        <v>#DIV/0!</v>
      </c>
      <c r="CX87" s="10" t="e">
        <f t="shared" si="135"/>
        <v>#DIV/0!</v>
      </c>
      <c r="CY87" s="10" t="e">
        <f t="shared" si="135"/>
        <v>#DIV/0!</v>
      </c>
      <c r="CZ87" s="10" t="e">
        <f t="shared" si="135"/>
        <v>#DIV/0!</v>
      </c>
    </row>
    <row r="88" spans="4:104" x14ac:dyDescent="0.15">
      <c r="D88" s="10">
        <v>73</v>
      </c>
      <c r="E88" s="10" t="e">
        <f t="shared" si="95"/>
        <v>#VALUE!</v>
      </c>
      <c r="F88" s="10" t="e">
        <f t="shared" si="79"/>
        <v>#VALUE!</v>
      </c>
      <c r="G88" s="10" t="e">
        <f t="shared" si="80"/>
        <v>#VALUE!</v>
      </c>
      <c r="H88" s="10" t="e">
        <f t="shared" si="96"/>
        <v>#VALUE!</v>
      </c>
      <c r="I88" s="10" t="e">
        <f t="shared" si="81"/>
        <v>#VALUE!</v>
      </c>
      <c r="J88" s="10" t="e">
        <f t="shared" si="97"/>
        <v>#VALUE!</v>
      </c>
      <c r="K88" s="10" t="e">
        <f t="shared" si="82"/>
        <v>#VALUE!</v>
      </c>
      <c r="L88" s="10" t="e">
        <f t="shared" si="83"/>
        <v>#VALUE!</v>
      </c>
      <c r="M88" s="10" t="e">
        <f t="shared" si="98"/>
        <v>#VALUE!</v>
      </c>
      <c r="O88" s="10" t="e">
        <f t="shared" si="99"/>
        <v>#VALUE!</v>
      </c>
      <c r="P88" s="10" t="e">
        <f t="shared" si="84"/>
        <v>#VALUE!</v>
      </c>
      <c r="Q88" s="10" t="e">
        <f t="shared" si="85"/>
        <v>#VALUE!</v>
      </c>
      <c r="R88" s="10" t="e">
        <f t="shared" si="100"/>
        <v>#VALUE!</v>
      </c>
      <c r="S88" s="10" t="e">
        <f t="shared" si="101"/>
        <v>#VALUE!</v>
      </c>
      <c r="T88" s="10" t="e">
        <f t="shared" si="136"/>
        <v>#VALUE!</v>
      </c>
      <c r="U88" s="10" t="e">
        <f t="shared" si="137"/>
        <v>#VALUE!</v>
      </c>
      <c r="V88" s="10" t="e">
        <f t="shared" si="86"/>
        <v>#VALUE!</v>
      </c>
      <c r="W88" s="10" t="e">
        <f t="shared" si="102"/>
        <v>#VALUE!</v>
      </c>
      <c r="Y88" s="10" t="e">
        <f t="shared" si="103"/>
        <v>#VALUE!</v>
      </c>
      <c r="Z88" s="11" t="e">
        <f t="shared" si="104"/>
        <v>#VALUE!</v>
      </c>
      <c r="AA88" s="10" t="e">
        <f t="shared" si="87"/>
        <v>#VALUE!</v>
      </c>
      <c r="AB88" s="10" t="e">
        <f t="shared" si="105"/>
        <v>#VALUE!</v>
      </c>
      <c r="AC88" s="10" t="e">
        <f t="shared" si="106"/>
        <v>#VALUE!</v>
      </c>
      <c r="AD88" s="10" t="e">
        <f t="shared" si="138"/>
        <v>#VALUE!</v>
      </c>
      <c r="AE88" s="10" t="e">
        <f t="shared" si="139"/>
        <v>#VALUE!</v>
      </c>
      <c r="AF88" s="10" t="e">
        <f t="shared" si="88"/>
        <v>#VALUE!</v>
      </c>
      <c r="AG88" s="10" t="e">
        <f t="shared" si="107"/>
        <v>#VALUE!</v>
      </c>
      <c r="AI88" s="13"/>
      <c r="AK88" s="10" t="e">
        <f t="shared" si="108"/>
        <v>#VALUE!</v>
      </c>
      <c r="AL88" s="10" t="e">
        <f t="shared" si="140"/>
        <v>#VALUE!</v>
      </c>
      <c r="AM88" s="10" t="e">
        <f t="shared" si="89"/>
        <v>#VALUE!</v>
      </c>
      <c r="AN88" s="10" t="e">
        <f t="shared" si="109"/>
        <v>#VALUE!</v>
      </c>
      <c r="AO88" s="10" t="e">
        <f t="shared" si="110"/>
        <v>#VALUE!</v>
      </c>
      <c r="AP88" s="10" t="e">
        <f t="shared" si="111"/>
        <v>#VALUE!</v>
      </c>
      <c r="AQ88" s="10" t="e">
        <f t="shared" si="141"/>
        <v>#VALUE!</v>
      </c>
      <c r="AR88" s="10" t="e">
        <f t="shared" si="90"/>
        <v>#VALUE!</v>
      </c>
      <c r="AS88" s="10" t="e">
        <f t="shared" si="142"/>
        <v>#VALUE!</v>
      </c>
      <c r="AU88" s="10" t="e">
        <f t="shared" si="112"/>
        <v>#VALUE!</v>
      </c>
      <c r="AV88" s="10" t="e">
        <f t="shared" si="143"/>
        <v>#VALUE!</v>
      </c>
      <c r="AW88" s="10" t="e">
        <f t="shared" si="91"/>
        <v>#VALUE!</v>
      </c>
      <c r="AX88" s="10" t="e">
        <f t="shared" si="113"/>
        <v>#VALUE!</v>
      </c>
      <c r="AY88" s="10" t="e">
        <f t="shared" si="114"/>
        <v>#VALUE!</v>
      </c>
      <c r="AZ88" s="10" t="e">
        <f t="shared" si="115"/>
        <v>#VALUE!</v>
      </c>
      <c r="BA88" s="10" t="e">
        <f t="shared" si="144"/>
        <v>#VALUE!</v>
      </c>
      <c r="BB88" s="10" t="e">
        <f t="shared" si="92"/>
        <v>#VALUE!</v>
      </c>
      <c r="BC88" s="10" t="e">
        <f t="shared" si="145"/>
        <v>#VALUE!</v>
      </c>
      <c r="BE88" s="10" t="e">
        <f t="shared" si="116"/>
        <v>#VALUE!</v>
      </c>
      <c r="BF88" s="10" t="e">
        <f t="shared" si="146"/>
        <v>#VALUE!</v>
      </c>
      <c r="BG88" s="10" t="e">
        <f t="shared" si="93"/>
        <v>#VALUE!</v>
      </c>
      <c r="BH88" s="10" t="e">
        <f t="shared" si="117"/>
        <v>#VALUE!</v>
      </c>
      <c r="BI88" s="10" t="e">
        <f t="shared" si="118"/>
        <v>#VALUE!</v>
      </c>
      <c r="BJ88" s="10" t="e">
        <f t="shared" si="119"/>
        <v>#VALUE!</v>
      </c>
      <c r="BK88" s="10" t="e">
        <f t="shared" si="147"/>
        <v>#VALUE!</v>
      </c>
      <c r="BL88" s="10" t="e">
        <f t="shared" si="94"/>
        <v>#VALUE!</v>
      </c>
      <c r="BM88" s="10" t="e">
        <f t="shared" si="148"/>
        <v>#VALUE!</v>
      </c>
      <c r="BP88" s="10" t="e">
        <f t="shared" si="120"/>
        <v>#VALUE!</v>
      </c>
      <c r="BQ88" s="10" t="e">
        <f t="shared" si="121"/>
        <v>#VALUE!</v>
      </c>
      <c r="BR88" s="10" t="e">
        <f t="shared" si="122"/>
        <v>#VALUE!</v>
      </c>
      <c r="BS88" s="10" t="e">
        <f t="shared" si="123"/>
        <v>#VALUE!</v>
      </c>
      <c r="BT88" s="10" t="e">
        <f t="shared" si="124"/>
        <v>#VALUE!</v>
      </c>
      <c r="BU88" s="10" t="e">
        <f t="shared" si="125"/>
        <v>#VALUE!</v>
      </c>
      <c r="BW88" s="10" t="e">
        <f t="shared" si="126"/>
        <v>#VALUE!</v>
      </c>
      <c r="BX88" s="10" t="e">
        <f t="shared" si="127"/>
        <v>#VALUE!</v>
      </c>
      <c r="BY88" s="10" t="e">
        <f t="shared" si="128"/>
        <v>#VALUE!</v>
      </c>
      <c r="BZ88" s="10" t="e">
        <f t="shared" si="129"/>
        <v>#VALUE!</v>
      </c>
      <c r="CA88" s="10" t="e">
        <f t="shared" si="130"/>
        <v>#VALUE!</v>
      </c>
      <c r="CB88" s="10" t="e">
        <f t="shared" si="131"/>
        <v>#VALUE!</v>
      </c>
      <c r="CD88" s="10" t="e">
        <f>MATCH(INDEX($BP$12:$BU$12,1,MATCH(BP88,$BP$15:$BU$15,0)),结果汇总!$AI$10:$AI$13,0)</f>
        <v>#VALUE!</v>
      </c>
      <c r="CE88" s="10" t="e">
        <f>MATCH(INDEX($BP$12:$BU$12,1,MATCH(BQ88,$BP$15:$BU$15,0)),结果汇总!$AI$10:$AI$13,0)</f>
        <v>#VALUE!</v>
      </c>
      <c r="CF88" s="10" t="e">
        <f>MATCH(INDEX($BP$12:$BU$12,1,MATCH(BR88,$BP$15:$BU$15,0)),结果汇总!$AI$10:$AI$13,0)</f>
        <v>#VALUE!</v>
      </c>
      <c r="CG88" s="10" t="e">
        <f>MATCH(INDEX($BP$12:$BU$12,1,MATCH(BS88,$BP$15:$BU$15,0)),结果汇总!$AI$10:$AI$13,0)</f>
        <v>#VALUE!</v>
      </c>
      <c r="CH88" s="10" t="e">
        <f>MATCH(INDEX($BP$12:$BU$12,1,MATCH(BT88,$BP$15:$BU$15,0)),结果汇总!$AI$10:$AI$13,0)</f>
        <v>#VALUE!</v>
      </c>
      <c r="CI88" s="10" t="e">
        <f>MATCH(INDEX($BP$12:$BU$12,1,MATCH(BU88,$BP$15:$BU$15,0)),结果汇总!$AI$10:$AI$13,0)</f>
        <v>#VALUE!</v>
      </c>
      <c r="CK88" s="10">
        <f t="shared" si="132"/>
        <v>0</v>
      </c>
      <c r="CL88" s="10">
        <f t="shared" si="132"/>
        <v>0</v>
      </c>
      <c r="CM88" s="10">
        <f t="shared" si="132"/>
        <v>0</v>
      </c>
      <c r="CN88" s="10">
        <f t="shared" si="132"/>
        <v>0</v>
      </c>
      <c r="CO88" s="10" t="e">
        <f t="shared" si="133"/>
        <v>#DIV/0!</v>
      </c>
      <c r="CP88" s="10" t="e">
        <f t="shared" si="133"/>
        <v>#DIV/0!</v>
      </c>
      <c r="CQ88" s="10" t="e">
        <f t="shared" si="133"/>
        <v>#DIV/0!</v>
      </c>
      <c r="CR88" s="10" t="e">
        <f t="shared" si="133"/>
        <v>#DIV/0!</v>
      </c>
      <c r="CS88" s="10">
        <f t="shared" si="134"/>
        <v>0</v>
      </c>
      <c r="CT88" s="10">
        <f t="shared" si="134"/>
        <v>0</v>
      </c>
      <c r="CU88" s="10">
        <f t="shared" si="134"/>
        <v>0</v>
      </c>
      <c r="CV88" s="10">
        <f t="shared" si="134"/>
        <v>0</v>
      </c>
      <c r="CW88" s="10" t="e">
        <f t="shared" si="135"/>
        <v>#DIV/0!</v>
      </c>
      <c r="CX88" s="10" t="e">
        <f t="shared" si="135"/>
        <v>#DIV/0!</v>
      </c>
      <c r="CY88" s="10" t="e">
        <f t="shared" si="135"/>
        <v>#DIV/0!</v>
      </c>
      <c r="CZ88" s="10" t="e">
        <f t="shared" si="135"/>
        <v>#DIV/0!</v>
      </c>
    </row>
    <row r="89" spans="4:104" x14ac:dyDescent="0.15">
      <c r="D89" s="10">
        <v>74</v>
      </c>
      <c r="E89" s="10" t="e">
        <f t="shared" si="95"/>
        <v>#VALUE!</v>
      </c>
      <c r="F89" s="10" t="e">
        <f t="shared" si="79"/>
        <v>#VALUE!</v>
      </c>
      <c r="G89" s="10" t="e">
        <f t="shared" si="80"/>
        <v>#VALUE!</v>
      </c>
      <c r="H89" s="10" t="e">
        <f t="shared" si="96"/>
        <v>#VALUE!</v>
      </c>
      <c r="I89" s="10" t="e">
        <f t="shared" si="81"/>
        <v>#VALUE!</v>
      </c>
      <c r="J89" s="10" t="e">
        <f t="shared" si="97"/>
        <v>#VALUE!</v>
      </c>
      <c r="K89" s="10" t="e">
        <f t="shared" si="82"/>
        <v>#VALUE!</v>
      </c>
      <c r="L89" s="10" t="e">
        <f t="shared" si="83"/>
        <v>#VALUE!</v>
      </c>
      <c r="M89" s="10" t="e">
        <f t="shared" si="98"/>
        <v>#VALUE!</v>
      </c>
      <c r="O89" s="10" t="e">
        <f t="shared" si="99"/>
        <v>#VALUE!</v>
      </c>
      <c r="P89" s="10" t="e">
        <f t="shared" si="84"/>
        <v>#VALUE!</v>
      </c>
      <c r="Q89" s="10" t="e">
        <f t="shared" si="85"/>
        <v>#VALUE!</v>
      </c>
      <c r="R89" s="10" t="e">
        <f t="shared" si="100"/>
        <v>#VALUE!</v>
      </c>
      <c r="S89" s="10" t="e">
        <f t="shared" si="101"/>
        <v>#VALUE!</v>
      </c>
      <c r="T89" s="10" t="e">
        <f t="shared" si="136"/>
        <v>#VALUE!</v>
      </c>
      <c r="U89" s="10" t="e">
        <f t="shared" si="137"/>
        <v>#VALUE!</v>
      </c>
      <c r="V89" s="10" t="e">
        <f t="shared" si="86"/>
        <v>#VALUE!</v>
      </c>
      <c r="W89" s="10" t="e">
        <f t="shared" si="102"/>
        <v>#VALUE!</v>
      </c>
      <c r="Y89" s="10" t="e">
        <f t="shared" si="103"/>
        <v>#VALUE!</v>
      </c>
      <c r="Z89" s="11" t="e">
        <f t="shared" si="104"/>
        <v>#VALUE!</v>
      </c>
      <c r="AA89" s="10" t="e">
        <f t="shared" si="87"/>
        <v>#VALUE!</v>
      </c>
      <c r="AB89" s="10" t="e">
        <f t="shared" si="105"/>
        <v>#VALUE!</v>
      </c>
      <c r="AC89" s="10" t="e">
        <f t="shared" si="106"/>
        <v>#VALUE!</v>
      </c>
      <c r="AD89" s="10" t="e">
        <f t="shared" si="138"/>
        <v>#VALUE!</v>
      </c>
      <c r="AE89" s="10" t="e">
        <f t="shared" si="139"/>
        <v>#VALUE!</v>
      </c>
      <c r="AF89" s="10" t="e">
        <f t="shared" si="88"/>
        <v>#VALUE!</v>
      </c>
      <c r="AG89" s="10" t="e">
        <f t="shared" si="107"/>
        <v>#VALUE!</v>
      </c>
      <c r="AI89" s="13"/>
      <c r="AK89" s="10" t="e">
        <f t="shared" si="108"/>
        <v>#VALUE!</v>
      </c>
      <c r="AL89" s="10" t="e">
        <f t="shared" si="140"/>
        <v>#VALUE!</v>
      </c>
      <c r="AM89" s="10" t="e">
        <f t="shared" si="89"/>
        <v>#VALUE!</v>
      </c>
      <c r="AN89" s="10" t="e">
        <f t="shared" si="109"/>
        <v>#VALUE!</v>
      </c>
      <c r="AO89" s="10" t="e">
        <f t="shared" si="110"/>
        <v>#VALUE!</v>
      </c>
      <c r="AP89" s="10" t="e">
        <f t="shared" si="111"/>
        <v>#VALUE!</v>
      </c>
      <c r="AQ89" s="10" t="e">
        <f t="shared" si="141"/>
        <v>#VALUE!</v>
      </c>
      <c r="AR89" s="10" t="e">
        <f t="shared" si="90"/>
        <v>#VALUE!</v>
      </c>
      <c r="AS89" s="10" t="e">
        <f t="shared" si="142"/>
        <v>#VALUE!</v>
      </c>
      <c r="AU89" s="10" t="e">
        <f t="shared" si="112"/>
        <v>#VALUE!</v>
      </c>
      <c r="AV89" s="10" t="e">
        <f t="shared" si="143"/>
        <v>#VALUE!</v>
      </c>
      <c r="AW89" s="10" t="e">
        <f t="shared" si="91"/>
        <v>#VALUE!</v>
      </c>
      <c r="AX89" s="10" t="e">
        <f t="shared" si="113"/>
        <v>#VALUE!</v>
      </c>
      <c r="AY89" s="10" t="e">
        <f t="shared" si="114"/>
        <v>#VALUE!</v>
      </c>
      <c r="AZ89" s="10" t="e">
        <f t="shared" si="115"/>
        <v>#VALUE!</v>
      </c>
      <c r="BA89" s="10" t="e">
        <f t="shared" si="144"/>
        <v>#VALUE!</v>
      </c>
      <c r="BB89" s="10" t="e">
        <f t="shared" si="92"/>
        <v>#VALUE!</v>
      </c>
      <c r="BC89" s="10" t="e">
        <f t="shared" si="145"/>
        <v>#VALUE!</v>
      </c>
      <c r="BE89" s="10" t="e">
        <f t="shared" si="116"/>
        <v>#VALUE!</v>
      </c>
      <c r="BF89" s="10" t="e">
        <f t="shared" si="146"/>
        <v>#VALUE!</v>
      </c>
      <c r="BG89" s="10" t="e">
        <f t="shared" si="93"/>
        <v>#VALUE!</v>
      </c>
      <c r="BH89" s="10" t="e">
        <f t="shared" si="117"/>
        <v>#VALUE!</v>
      </c>
      <c r="BI89" s="10" t="e">
        <f t="shared" si="118"/>
        <v>#VALUE!</v>
      </c>
      <c r="BJ89" s="10" t="e">
        <f t="shared" si="119"/>
        <v>#VALUE!</v>
      </c>
      <c r="BK89" s="10" t="e">
        <f t="shared" si="147"/>
        <v>#VALUE!</v>
      </c>
      <c r="BL89" s="10" t="e">
        <f t="shared" si="94"/>
        <v>#VALUE!</v>
      </c>
      <c r="BM89" s="10" t="e">
        <f t="shared" si="148"/>
        <v>#VALUE!</v>
      </c>
      <c r="BP89" s="10" t="e">
        <f t="shared" si="120"/>
        <v>#VALUE!</v>
      </c>
      <c r="BQ89" s="10" t="e">
        <f t="shared" si="121"/>
        <v>#VALUE!</v>
      </c>
      <c r="BR89" s="10" t="e">
        <f t="shared" si="122"/>
        <v>#VALUE!</v>
      </c>
      <c r="BS89" s="10" t="e">
        <f t="shared" si="123"/>
        <v>#VALUE!</v>
      </c>
      <c r="BT89" s="10" t="e">
        <f t="shared" si="124"/>
        <v>#VALUE!</v>
      </c>
      <c r="BU89" s="10" t="e">
        <f t="shared" si="125"/>
        <v>#VALUE!</v>
      </c>
      <c r="BW89" s="10" t="e">
        <f t="shared" si="126"/>
        <v>#VALUE!</v>
      </c>
      <c r="BX89" s="10" t="e">
        <f t="shared" si="127"/>
        <v>#VALUE!</v>
      </c>
      <c r="BY89" s="10" t="e">
        <f t="shared" si="128"/>
        <v>#VALUE!</v>
      </c>
      <c r="BZ89" s="10" t="e">
        <f t="shared" si="129"/>
        <v>#VALUE!</v>
      </c>
      <c r="CA89" s="10" t="e">
        <f t="shared" si="130"/>
        <v>#VALUE!</v>
      </c>
      <c r="CB89" s="10" t="e">
        <f t="shared" si="131"/>
        <v>#VALUE!</v>
      </c>
      <c r="CD89" s="10" t="e">
        <f>MATCH(INDEX($BP$12:$BU$12,1,MATCH(BP89,$BP$15:$BU$15,0)),结果汇总!$AI$10:$AI$13,0)</f>
        <v>#VALUE!</v>
      </c>
      <c r="CE89" s="10" t="e">
        <f>MATCH(INDEX($BP$12:$BU$12,1,MATCH(BQ89,$BP$15:$BU$15,0)),结果汇总!$AI$10:$AI$13,0)</f>
        <v>#VALUE!</v>
      </c>
      <c r="CF89" s="10" t="e">
        <f>MATCH(INDEX($BP$12:$BU$12,1,MATCH(BR89,$BP$15:$BU$15,0)),结果汇总!$AI$10:$AI$13,0)</f>
        <v>#VALUE!</v>
      </c>
      <c r="CG89" s="10" t="e">
        <f>MATCH(INDEX($BP$12:$BU$12,1,MATCH(BS89,$BP$15:$BU$15,0)),结果汇总!$AI$10:$AI$13,0)</f>
        <v>#VALUE!</v>
      </c>
      <c r="CH89" s="10" t="e">
        <f>MATCH(INDEX($BP$12:$BU$12,1,MATCH(BT89,$BP$15:$BU$15,0)),结果汇总!$AI$10:$AI$13,0)</f>
        <v>#VALUE!</v>
      </c>
      <c r="CI89" s="10" t="e">
        <f>MATCH(INDEX($BP$12:$BU$12,1,MATCH(BU89,$BP$15:$BU$15,0)),结果汇总!$AI$10:$AI$13,0)</f>
        <v>#VALUE!</v>
      </c>
      <c r="CK89" s="10">
        <f t="shared" si="132"/>
        <v>0</v>
      </c>
      <c r="CL89" s="10">
        <f t="shared" si="132"/>
        <v>0</v>
      </c>
      <c r="CM89" s="10">
        <f t="shared" si="132"/>
        <v>0</v>
      </c>
      <c r="CN89" s="10">
        <f t="shared" si="132"/>
        <v>0</v>
      </c>
      <c r="CO89" s="10" t="e">
        <f t="shared" si="133"/>
        <v>#DIV/0!</v>
      </c>
      <c r="CP89" s="10" t="e">
        <f t="shared" si="133"/>
        <v>#DIV/0!</v>
      </c>
      <c r="CQ89" s="10" t="e">
        <f t="shared" si="133"/>
        <v>#DIV/0!</v>
      </c>
      <c r="CR89" s="10" t="e">
        <f t="shared" si="133"/>
        <v>#DIV/0!</v>
      </c>
      <c r="CS89" s="10">
        <f t="shared" si="134"/>
        <v>0</v>
      </c>
      <c r="CT89" s="10">
        <f t="shared" si="134"/>
        <v>0</v>
      </c>
      <c r="CU89" s="10">
        <f t="shared" si="134"/>
        <v>0</v>
      </c>
      <c r="CV89" s="10">
        <f t="shared" si="134"/>
        <v>0</v>
      </c>
      <c r="CW89" s="10" t="e">
        <f t="shared" si="135"/>
        <v>#DIV/0!</v>
      </c>
      <c r="CX89" s="10" t="e">
        <f t="shared" si="135"/>
        <v>#DIV/0!</v>
      </c>
      <c r="CY89" s="10" t="e">
        <f t="shared" si="135"/>
        <v>#DIV/0!</v>
      </c>
      <c r="CZ89" s="10" t="e">
        <f t="shared" si="135"/>
        <v>#DIV/0!</v>
      </c>
    </row>
    <row r="90" spans="4:104" x14ac:dyDescent="0.15">
      <c r="D90" s="10">
        <v>75</v>
      </c>
      <c r="E90" s="10" t="e">
        <f t="shared" si="95"/>
        <v>#VALUE!</v>
      </c>
      <c r="F90" s="10" t="e">
        <f t="shared" si="79"/>
        <v>#VALUE!</v>
      </c>
      <c r="G90" s="10" t="e">
        <f t="shared" si="80"/>
        <v>#VALUE!</v>
      </c>
      <c r="H90" s="10" t="e">
        <f t="shared" si="96"/>
        <v>#VALUE!</v>
      </c>
      <c r="I90" s="10" t="e">
        <f t="shared" si="81"/>
        <v>#VALUE!</v>
      </c>
      <c r="J90" s="10" t="e">
        <f t="shared" si="97"/>
        <v>#VALUE!</v>
      </c>
      <c r="K90" s="10" t="e">
        <f t="shared" si="82"/>
        <v>#VALUE!</v>
      </c>
      <c r="L90" s="10" t="e">
        <f t="shared" si="83"/>
        <v>#VALUE!</v>
      </c>
      <c r="M90" s="10" t="e">
        <f t="shared" si="98"/>
        <v>#VALUE!</v>
      </c>
      <c r="O90" s="10" t="e">
        <f t="shared" si="99"/>
        <v>#VALUE!</v>
      </c>
      <c r="P90" s="10" t="e">
        <f t="shared" si="84"/>
        <v>#VALUE!</v>
      </c>
      <c r="Q90" s="10" t="e">
        <f t="shared" si="85"/>
        <v>#VALUE!</v>
      </c>
      <c r="R90" s="10" t="e">
        <f t="shared" si="100"/>
        <v>#VALUE!</v>
      </c>
      <c r="S90" s="10" t="e">
        <f t="shared" si="101"/>
        <v>#VALUE!</v>
      </c>
      <c r="T90" s="10" t="e">
        <f t="shared" si="136"/>
        <v>#VALUE!</v>
      </c>
      <c r="U90" s="10" t="e">
        <f t="shared" si="137"/>
        <v>#VALUE!</v>
      </c>
      <c r="V90" s="10" t="e">
        <f t="shared" si="86"/>
        <v>#VALUE!</v>
      </c>
      <c r="W90" s="10" t="e">
        <f t="shared" si="102"/>
        <v>#VALUE!</v>
      </c>
      <c r="Y90" s="10" t="e">
        <f t="shared" si="103"/>
        <v>#VALUE!</v>
      </c>
      <c r="Z90" s="11" t="e">
        <f t="shared" si="104"/>
        <v>#VALUE!</v>
      </c>
      <c r="AA90" s="10" t="e">
        <f t="shared" si="87"/>
        <v>#VALUE!</v>
      </c>
      <c r="AB90" s="10" t="e">
        <f t="shared" si="105"/>
        <v>#VALUE!</v>
      </c>
      <c r="AC90" s="10" t="e">
        <f t="shared" si="106"/>
        <v>#VALUE!</v>
      </c>
      <c r="AD90" s="10" t="e">
        <f t="shared" si="138"/>
        <v>#VALUE!</v>
      </c>
      <c r="AE90" s="10" t="e">
        <f t="shared" si="139"/>
        <v>#VALUE!</v>
      </c>
      <c r="AF90" s="10" t="e">
        <f t="shared" si="88"/>
        <v>#VALUE!</v>
      </c>
      <c r="AG90" s="10" t="e">
        <f t="shared" si="107"/>
        <v>#VALUE!</v>
      </c>
      <c r="AI90" s="13"/>
      <c r="AK90" s="10" t="e">
        <f t="shared" si="108"/>
        <v>#VALUE!</v>
      </c>
      <c r="AL90" s="10" t="e">
        <f t="shared" si="140"/>
        <v>#VALUE!</v>
      </c>
      <c r="AM90" s="10" t="e">
        <f t="shared" si="89"/>
        <v>#VALUE!</v>
      </c>
      <c r="AN90" s="10" t="e">
        <f t="shared" si="109"/>
        <v>#VALUE!</v>
      </c>
      <c r="AO90" s="10" t="e">
        <f t="shared" si="110"/>
        <v>#VALUE!</v>
      </c>
      <c r="AP90" s="10" t="e">
        <f t="shared" si="111"/>
        <v>#VALUE!</v>
      </c>
      <c r="AQ90" s="10" t="e">
        <f t="shared" si="141"/>
        <v>#VALUE!</v>
      </c>
      <c r="AR90" s="10" t="e">
        <f t="shared" si="90"/>
        <v>#VALUE!</v>
      </c>
      <c r="AS90" s="10" t="e">
        <f t="shared" si="142"/>
        <v>#VALUE!</v>
      </c>
      <c r="AU90" s="10" t="e">
        <f t="shared" si="112"/>
        <v>#VALUE!</v>
      </c>
      <c r="AV90" s="10" t="e">
        <f t="shared" si="143"/>
        <v>#VALUE!</v>
      </c>
      <c r="AW90" s="10" t="e">
        <f t="shared" si="91"/>
        <v>#VALUE!</v>
      </c>
      <c r="AX90" s="10" t="e">
        <f t="shared" si="113"/>
        <v>#VALUE!</v>
      </c>
      <c r="AY90" s="10" t="e">
        <f t="shared" si="114"/>
        <v>#VALUE!</v>
      </c>
      <c r="AZ90" s="10" t="e">
        <f t="shared" si="115"/>
        <v>#VALUE!</v>
      </c>
      <c r="BA90" s="10" t="e">
        <f t="shared" si="144"/>
        <v>#VALUE!</v>
      </c>
      <c r="BB90" s="10" t="e">
        <f t="shared" si="92"/>
        <v>#VALUE!</v>
      </c>
      <c r="BC90" s="10" t="e">
        <f t="shared" si="145"/>
        <v>#VALUE!</v>
      </c>
      <c r="BE90" s="10" t="e">
        <f t="shared" si="116"/>
        <v>#VALUE!</v>
      </c>
      <c r="BF90" s="10" t="e">
        <f t="shared" si="146"/>
        <v>#VALUE!</v>
      </c>
      <c r="BG90" s="10" t="e">
        <f t="shared" si="93"/>
        <v>#VALUE!</v>
      </c>
      <c r="BH90" s="10" t="e">
        <f t="shared" si="117"/>
        <v>#VALUE!</v>
      </c>
      <c r="BI90" s="10" t="e">
        <f t="shared" si="118"/>
        <v>#VALUE!</v>
      </c>
      <c r="BJ90" s="10" t="e">
        <f t="shared" si="119"/>
        <v>#VALUE!</v>
      </c>
      <c r="BK90" s="10" t="e">
        <f t="shared" si="147"/>
        <v>#VALUE!</v>
      </c>
      <c r="BL90" s="10" t="e">
        <f t="shared" si="94"/>
        <v>#VALUE!</v>
      </c>
      <c r="BM90" s="10" t="e">
        <f t="shared" si="148"/>
        <v>#VALUE!</v>
      </c>
      <c r="BP90" s="10" t="e">
        <f t="shared" si="120"/>
        <v>#VALUE!</v>
      </c>
      <c r="BQ90" s="10" t="e">
        <f t="shared" si="121"/>
        <v>#VALUE!</v>
      </c>
      <c r="BR90" s="10" t="e">
        <f t="shared" si="122"/>
        <v>#VALUE!</v>
      </c>
      <c r="BS90" s="10" t="e">
        <f t="shared" si="123"/>
        <v>#VALUE!</v>
      </c>
      <c r="BT90" s="10" t="e">
        <f t="shared" si="124"/>
        <v>#VALUE!</v>
      </c>
      <c r="BU90" s="10" t="e">
        <f t="shared" si="125"/>
        <v>#VALUE!</v>
      </c>
      <c r="BW90" s="10" t="e">
        <f t="shared" si="126"/>
        <v>#VALUE!</v>
      </c>
      <c r="BX90" s="10" t="e">
        <f t="shared" si="127"/>
        <v>#VALUE!</v>
      </c>
      <c r="BY90" s="10" t="e">
        <f t="shared" si="128"/>
        <v>#VALUE!</v>
      </c>
      <c r="BZ90" s="10" t="e">
        <f t="shared" si="129"/>
        <v>#VALUE!</v>
      </c>
      <c r="CA90" s="10" t="e">
        <f t="shared" si="130"/>
        <v>#VALUE!</v>
      </c>
      <c r="CB90" s="10" t="e">
        <f t="shared" si="131"/>
        <v>#VALUE!</v>
      </c>
      <c r="CD90" s="10" t="e">
        <f>MATCH(INDEX($BP$12:$BU$12,1,MATCH(BP90,$BP$15:$BU$15,0)),结果汇总!$AI$10:$AI$13,0)</f>
        <v>#VALUE!</v>
      </c>
      <c r="CE90" s="10" t="e">
        <f>MATCH(INDEX($BP$12:$BU$12,1,MATCH(BQ90,$BP$15:$BU$15,0)),结果汇总!$AI$10:$AI$13,0)</f>
        <v>#VALUE!</v>
      </c>
      <c r="CF90" s="10" t="e">
        <f>MATCH(INDEX($BP$12:$BU$12,1,MATCH(BR90,$BP$15:$BU$15,0)),结果汇总!$AI$10:$AI$13,0)</f>
        <v>#VALUE!</v>
      </c>
      <c r="CG90" s="10" t="e">
        <f>MATCH(INDEX($BP$12:$BU$12,1,MATCH(BS90,$BP$15:$BU$15,0)),结果汇总!$AI$10:$AI$13,0)</f>
        <v>#VALUE!</v>
      </c>
      <c r="CH90" s="10" t="e">
        <f>MATCH(INDEX($BP$12:$BU$12,1,MATCH(BT90,$BP$15:$BU$15,0)),结果汇总!$AI$10:$AI$13,0)</f>
        <v>#VALUE!</v>
      </c>
      <c r="CI90" s="10" t="e">
        <f>MATCH(INDEX($BP$12:$BU$12,1,MATCH(BU90,$BP$15:$BU$15,0)),结果汇总!$AI$10:$AI$13,0)</f>
        <v>#VALUE!</v>
      </c>
      <c r="CK90" s="10">
        <f t="shared" si="132"/>
        <v>0</v>
      </c>
      <c r="CL90" s="10">
        <f t="shared" si="132"/>
        <v>0</v>
      </c>
      <c r="CM90" s="10">
        <f t="shared" si="132"/>
        <v>0</v>
      </c>
      <c r="CN90" s="10">
        <f t="shared" si="132"/>
        <v>0</v>
      </c>
      <c r="CO90" s="10" t="e">
        <f t="shared" si="133"/>
        <v>#DIV/0!</v>
      </c>
      <c r="CP90" s="10" t="e">
        <f t="shared" si="133"/>
        <v>#DIV/0!</v>
      </c>
      <c r="CQ90" s="10" t="e">
        <f t="shared" si="133"/>
        <v>#DIV/0!</v>
      </c>
      <c r="CR90" s="10" t="e">
        <f t="shared" si="133"/>
        <v>#DIV/0!</v>
      </c>
      <c r="CS90" s="10">
        <f t="shared" si="134"/>
        <v>0</v>
      </c>
      <c r="CT90" s="10">
        <f t="shared" si="134"/>
        <v>0</v>
      </c>
      <c r="CU90" s="10">
        <f t="shared" si="134"/>
        <v>0</v>
      </c>
      <c r="CV90" s="10">
        <f t="shared" si="134"/>
        <v>0</v>
      </c>
      <c r="CW90" s="10" t="e">
        <f t="shared" si="135"/>
        <v>#DIV/0!</v>
      </c>
      <c r="CX90" s="10" t="e">
        <f t="shared" si="135"/>
        <v>#DIV/0!</v>
      </c>
      <c r="CY90" s="10" t="e">
        <f t="shared" si="135"/>
        <v>#DIV/0!</v>
      </c>
      <c r="CZ90" s="10" t="e">
        <f t="shared" si="135"/>
        <v>#DIV/0!</v>
      </c>
    </row>
    <row r="91" spans="4:104" x14ac:dyDescent="0.15">
      <c r="D91" s="10">
        <v>76</v>
      </c>
      <c r="E91" s="10" t="e">
        <f t="shared" si="95"/>
        <v>#VALUE!</v>
      </c>
      <c r="F91" s="10" t="e">
        <f t="shared" si="79"/>
        <v>#VALUE!</v>
      </c>
      <c r="G91" s="10" t="e">
        <f t="shared" si="80"/>
        <v>#VALUE!</v>
      </c>
      <c r="H91" s="10" t="e">
        <f t="shared" si="96"/>
        <v>#VALUE!</v>
      </c>
      <c r="I91" s="10" t="e">
        <f t="shared" si="81"/>
        <v>#VALUE!</v>
      </c>
      <c r="J91" s="10" t="e">
        <f t="shared" si="97"/>
        <v>#VALUE!</v>
      </c>
      <c r="K91" s="10" t="e">
        <f t="shared" si="82"/>
        <v>#VALUE!</v>
      </c>
      <c r="L91" s="10" t="e">
        <f t="shared" si="83"/>
        <v>#VALUE!</v>
      </c>
      <c r="M91" s="10" t="e">
        <f t="shared" si="98"/>
        <v>#VALUE!</v>
      </c>
      <c r="O91" s="10" t="e">
        <f t="shared" si="99"/>
        <v>#VALUE!</v>
      </c>
      <c r="P91" s="10" t="e">
        <f t="shared" si="84"/>
        <v>#VALUE!</v>
      </c>
      <c r="Q91" s="10" t="e">
        <f t="shared" si="85"/>
        <v>#VALUE!</v>
      </c>
      <c r="R91" s="10" t="e">
        <f t="shared" si="100"/>
        <v>#VALUE!</v>
      </c>
      <c r="S91" s="10" t="e">
        <f t="shared" si="101"/>
        <v>#VALUE!</v>
      </c>
      <c r="T91" s="10" t="e">
        <f t="shared" si="136"/>
        <v>#VALUE!</v>
      </c>
      <c r="U91" s="10" t="e">
        <f t="shared" si="137"/>
        <v>#VALUE!</v>
      </c>
      <c r="V91" s="10" t="e">
        <f t="shared" si="86"/>
        <v>#VALUE!</v>
      </c>
      <c r="W91" s="10" t="e">
        <f t="shared" si="102"/>
        <v>#VALUE!</v>
      </c>
      <c r="Y91" s="10" t="e">
        <f t="shared" si="103"/>
        <v>#VALUE!</v>
      </c>
      <c r="Z91" s="11" t="e">
        <f t="shared" si="104"/>
        <v>#VALUE!</v>
      </c>
      <c r="AA91" s="10" t="e">
        <f t="shared" si="87"/>
        <v>#VALUE!</v>
      </c>
      <c r="AB91" s="10" t="e">
        <f t="shared" si="105"/>
        <v>#VALUE!</v>
      </c>
      <c r="AC91" s="10" t="e">
        <f t="shared" si="106"/>
        <v>#VALUE!</v>
      </c>
      <c r="AD91" s="10" t="e">
        <f t="shared" si="138"/>
        <v>#VALUE!</v>
      </c>
      <c r="AE91" s="10" t="e">
        <f t="shared" si="139"/>
        <v>#VALUE!</v>
      </c>
      <c r="AF91" s="10" t="e">
        <f t="shared" si="88"/>
        <v>#VALUE!</v>
      </c>
      <c r="AG91" s="10" t="e">
        <f t="shared" si="107"/>
        <v>#VALUE!</v>
      </c>
      <c r="AI91" s="13"/>
      <c r="AK91" s="10" t="e">
        <f t="shared" si="108"/>
        <v>#VALUE!</v>
      </c>
      <c r="AL91" s="10" t="e">
        <f t="shared" si="140"/>
        <v>#VALUE!</v>
      </c>
      <c r="AM91" s="10" t="e">
        <f t="shared" si="89"/>
        <v>#VALUE!</v>
      </c>
      <c r="AN91" s="10" t="e">
        <f t="shared" si="109"/>
        <v>#VALUE!</v>
      </c>
      <c r="AO91" s="10" t="e">
        <f t="shared" si="110"/>
        <v>#VALUE!</v>
      </c>
      <c r="AP91" s="10" t="e">
        <f t="shared" si="111"/>
        <v>#VALUE!</v>
      </c>
      <c r="AQ91" s="10" t="e">
        <f t="shared" si="141"/>
        <v>#VALUE!</v>
      </c>
      <c r="AR91" s="10" t="e">
        <f t="shared" si="90"/>
        <v>#VALUE!</v>
      </c>
      <c r="AS91" s="10" t="e">
        <f t="shared" si="142"/>
        <v>#VALUE!</v>
      </c>
      <c r="AU91" s="10" t="e">
        <f t="shared" si="112"/>
        <v>#VALUE!</v>
      </c>
      <c r="AV91" s="10" t="e">
        <f t="shared" si="143"/>
        <v>#VALUE!</v>
      </c>
      <c r="AW91" s="10" t="e">
        <f t="shared" si="91"/>
        <v>#VALUE!</v>
      </c>
      <c r="AX91" s="10" t="e">
        <f t="shared" si="113"/>
        <v>#VALUE!</v>
      </c>
      <c r="AY91" s="10" t="e">
        <f t="shared" si="114"/>
        <v>#VALUE!</v>
      </c>
      <c r="AZ91" s="10" t="e">
        <f t="shared" si="115"/>
        <v>#VALUE!</v>
      </c>
      <c r="BA91" s="10" t="e">
        <f t="shared" si="144"/>
        <v>#VALUE!</v>
      </c>
      <c r="BB91" s="10" t="e">
        <f t="shared" si="92"/>
        <v>#VALUE!</v>
      </c>
      <c r="BC91" s="10" t="e">
        <f t="shared" si="145"/>
        <v>#VALUE!</v>
      </c>
      <c r="BE91" s="10" t="e">
        <f t="shared" si="116"/>
        <v>#VALUE!</v>
      </c>
      <c r="BF91" s="10" t="e">
        <f t="shared" si="146"/>
        <v>#VALUE!</v>
      </c>
      <c r="BG91" s="10" t="e">
        <f t="shared" si="93"/>
        <v>#VALUE!</v>
      </c>
      <c r="BH91" s="10" t="e">
        <f t="shared" si="117"/>
        <v>#VALUE!</v>
      </c>
      <c r="BI91" s="10" t="e">
        <f t="shared" si="118"/>
        <v>#VALUE!</v>
      </c>
      <c r="BJ91" s="10" t="e">
        <f t="shared" si="119"/>
        <v>#VALUE!</v>
      </c>
      <c r="BK91" s="10" t="e">
        <f t="shared" si="147"/>
        <v>#VALUE!</v>
      </c>
      <c r="BL91" s="10" t="e">
        <f t="shared" si="94"/>
        <v>#VALUE!</v>
      </c>
      <c r="BM91" s="10" t="e">
        <f t="shared" si="148"/>
        <v>#VALUE!</v>
      </c>
      <c r="BP91" s="10" t="e">
        <f t="shared" si="120"/>
        <v>#VALUE!</v>
      </c>
      <c r="BQ91" s="10" t="e">
        <f t="shared" si="121"/>
        <v>#VALUE!</v>
      </c>
      <c r="BR91" s="10" t="e">
        <f t="shared" si="122"/>
        <v>#VALUE!</v>
      </c>
      <c r="BS91" s="10" t="e">
        <f t="shared" si="123"/>
        <v>#VALUE!</v>
      </c>
      <c r="BT91" s="10" t="e">
        <f t="shared" si="124"/>
        <v>#VALUE!</v>
      </c>
      <c r="BU91" s="10" t="e">
        <f t="shared" si="125"/>
        <v>#VALUE!</v>
      </c>
      <c r="BW91" s="10" t="e">
        <f t="shared" si="126"/>
        <v>#VALUE!</v>
      </c>
      <c r="BX91" s="10" t="e">
        <f t="shared" si="127"/>
        <v>#VALUE!</v>
      </c>
      <c r="BY91" s="10" t="e">
        <f t="shared" si="128"/>
        <v>#VALUE!</v>
      </c>
      <c r="BZ91" s="10" t="e">
        <f t="shared" si="129"/>
        <v>#VALUE!</v>
      </c>
      <c r="CA91" s="10" t="e">
        <f t="shared" si="130"/>
        <v>#VALUE!</v>
      </c>
      <c r="CB91" s="10" t="e">
        <f t="shared" si="131"/>
        <v>#VALUE!</v>
      </c>
      <c r="CD91" s="10" t="e">
        <f>MATCH(INDEX($BP$12:$BU$12,1,MATCH(BP91,$BP$15:$BU$15,0)),结果汇总!$AI$10:$AI$13,0)</f>
        <v>#VALUE!</v>
      </c>
      <c r="CE91" s="10" t="e">
        <f>MATCH(INDEX($BP$12:$BU$12,1,MATCH(BQ91,$BP$15:$BU$15,0)),结果汇总!$AI$10:$AI$13,0)</f>
        <v>#VALUE!</v>
      </c>
      <c r="CF91" s="10" t="e">
        <f>MATCH(INDEX($BP$12:$BU$12,1,MATCH(BR91,$BP$15:$BU$15,0)),结果汇总!$AI$10:$AI$13,0)</f>
        <v>#VALUE!</v>
      </c>
      <c r="CG91" s="10" t="e">
        <f>MATCH(INDEX($BP$12:$BU$12,1,MATCH(BS91,$BP$15:$BU$15,0)),结果汇总!$AI$10:$AI$13,0)</f>
        <v>#VALUE!</v>
      </c>
      <c r="CH91" s="10" t="e">
        <f>MATCH(INDEX($BP$12:$BU$12,1,MATCH(BT91,$BP$15:$BU$15,0)),结果汇总!$AI$10:$AI$13,0)</f>
        <v>#VALUE!</v>
      </c>
      <c r="CI91" s="10" t="e">
        <f>MATCH(INDEX($BP$12:$BU$12,1,MATCH(BU91,$BP$15:$BU$15,0)),结果汇总!$AI$10:$AI$13,0)</f>
        <v>#VALUE!</v>
      </c>
      <c r="CK91" s="10">
        <f t="shared" si="132"/>
        <v>0</v>
      </c>
      <c r="CL91" s="10">
        <f t="shared" si="132"/>
        <v>0</v>
      </c>
      <c r="CM91" s="10">
        <f t="shared" si="132"/>
        <v>0</v>
      </c>
      <c r="CN91" s="10">
        <f t="shared" si="132"/>
        <v>0</v>
      </c>
      <c r="CO91" s="10" t="e">
        <f t="shared" si="133"/>
        <v>#DIV/0!</v>
      </c>
      <c r="CP91" s="10" t="e">
        <f t="shared" si="133"/>
        <v>#DIV/0!</v>
      </c>
      <c r="CQ91" s="10" t="e">
        <f t="shared" si="133"/>
        <v>#DIV/0!</v>
      </c>
      <c r="CR91" s="10" t="e">
        <f t="shared" si="133"/>
        <v>#DIV/0!</v>
      </c>
      <c r="CS91" s="10">
        <f t="shared" si="134"/>
        <v>0</v>
      </c>
      <c r="CT91" s="10">
        <f t="shared" si="134"/>
        <v>0</v>
      </c>
      <c r="CU91" s="10">
        <f t="shared" si="134"/>
        <v>0</v>
      </c>
      <c r="CV91" s="10">
        <f t="shared" si="134"/>
        <v>0</v>
      </c>
      <c r="CW91" s="10" t="e">
        <f t="shared" si="135"/>
        <v>#DIV/0!</v>
      </c>
      <c r="CX91" s="10" t="e">
        <f t="shared" si="135"/>
        <v>#DIV/0!</v>
      </c>
      <c r="CY91" s="10" t="e">
        <f t="shared" si="135"/>
        <v>#DIV/0!</v>
      </c>
      <c r="CZ91" s="10" t="e">
        <f t="shared" si="135"/>
        <v>#DIV/0!</v>
      </c>
    </row>
    <row r="92" spans="4:104" x14ac:dyDescent="0.15">
      <c r="D92" s="10">
        <v>77</v>
      </c>
      <c r="E92" s="10" t="e">
        <f t="shared" si="95"/>
        <v>#VALUE!</v>
      </c>
      <c r="F92" s="10" t="e">
        <f t="shared" si="79"/>
        <v>#VALUE!</v>
      </c>
      <c r="G92" s="10" t="e">
        <f t="shared" si="80"/>
        <v>#VALUE!</v>
      </c>
      <c r="H92" s="10" t="e">
        <f t="shared" si="96"/>
        <v>#VALUE!</v>
      </c>
      <c r="I92" s="10" t="e">
        <f t="shared" si="81"/>
        <v>#VALUE!</v>
      </c>
      <c r="J92" s="10" t="e">
        <f t="shared" si="97"/>
        <v>#VALUE!</v>
      </c>
      <c r="K92" s="10" t="e">
        <f t="shared" si="82"/>
        <v>#VALUE!</v>
      </c>
      <c r="L92" s="10" t="e">
        <f t="shared" si="83"/>
        <v>#VALUE!</v>
      </c>
      <c r="M92" s="10" t="e">
        <f t="shared" si="98"/>
        <v>#VALUE!</v>
      </c>
      <c r="O92" s="10" t="e">
        <f t="shared" si="99"/>
        <v>#VALUE!</v>
      </c>
      <c r="P92" s="10" t="e">
        <f t="shared" si="84"/>
        <v>#VALUE!</v>
      </c>
      <c r="Q92" s="10" t="e">
        <f t="shared" si="85"/>
        <v>#VALUE!</v>
      </c>
      <c r="R92" s="10" t="e">
        <f t="shared" si="100"/>
        <v>#VALUE!</v>
      </c>
      <c r="S92" s="10" t="e">
        <f t="shared" si="101"/>
        <v>#VALUE!</v>
      </c>
      <c r="T92" s="10" t="e">
        <f t="shared" si="136"/>
        <v>#VALUE!</v>
      </c>
      <c r="U92" s="10" t="e">
        <f t="shared" si="137"/>
        <v>#VALUE!</v>
      </c>
      <c r="V92" s="10" t="e">
        <f t="shared" si="86"/>
        <v>#VALUE!</v>
      </c>
      <c r="W92" s="10" t="e">
        <f t="shared" si="102"/>
        <v>#VALUE!</v>
      </c>
      <c r="Y92" s="10" t="e">
        <f t="shared" si="103"/>
        <v>#VALUE!</v>
      </c>
      <c r="Z92" s="11" t="e">
        <f t="shared" si="104"/>
        <v>#VALUE!</v>
      </c>
      <c r="AA92" s="10" t="e">
        <f t="shared" si="87"/>
        <v>#VALUE!</v>
      </c>
      <c r="AB92" s="10" t="e">
        <f t="shared" si="105"/>
        <v>#VALUE!</v>
      </c>
      <c r="AC92" s="10" t="e">
        <f t="shared" si="106"/>
        <v>#VALUE!</v>
      </c>
      <c r="AD92" s="10" t="e">
        <f t="shared" si="138"/>
        <v>#VALUE!</v>
      </c>
      <c r="AE92" s="10" t="e">
        <f t="shared" si="139"/>
        <v>#VALUE!</v>
      </c>
      <c r="AF92" s="10" t="e">
        <f t="shared" si="88"/>
        <v>#VALUE!</v>
      </c>
      <c r="AG92" s="10" t="e">
        <f t="shared" si="107"/>
        <v>#VALUE!</v>
      </c>
      <c r="AI92" s="13"/>
      <c r="AK92" s="10" t="e">
        <f t="shared" si="108"/>
        <v>#VALUE!</v>
      </c>
      <c r="AL92" s="10" t="e">
        <f t="shared" si="140"/>
        <v>#VALUE!</v>
      </c>
      <c r="AM92" s="10" t="e">
        <f t="shared" si="89"/>
        <v>#VALUE!</v>
      </c>
      <c r="AN92" s="10" t="e">
        <f t="shared" si="109"/>
        <v>#VALUE!</v>
      </c>
      <c r="AO92" s="10" t="e">
        <f t="shared" si="110"/>
        <v>#VALUE!</v>
      </c>
      <c r="AP92" s="10" t="e">
        <f t="shared" si="111"/>
        <v>#VALUE!</v>
      </c>
      <c r="AQ92" s="10" t="e">
        <f t="shared" si="141"/>
        <v>#VALUE!</v>
      </c>
      <c r="AR92" s="10" t="e">
        <f t="shared" si="90"/>
        <v>#VALUE!</v>
      </c>
      <c r="AS92" s="10" t="e">
        <f t="shared" si="142"/>
        <v>#VALUE!</v>
      </c>
      <c r="AU92" s="10" t="e">
        <f t="shared" si="112"/>
        <v>#VALUE!</v>
      </c>
      <c r="AV92" s="10" t="e">
        <f t="shared" si="143"/>
        <v>#VALUE!</v>
      </c>
      <c r="AW92" s="10" t="e">
        <f t="shared" si="91"/>
        <v>#VALUE!</v>
      </c>
      <c r="AX92" s="10" t="e">
        <f t="shared" si="113"/>
        <v>#VALUE!</v>
      </c>
      <c r="AY92" s="10" t="e">
        <f t="shared" si="114"/>
        <v>#VALUE!</v>
      </c>
      <c r="AZ92" s="10" t="e">
        <f t="shared" si="115"/>
        <v>#VALUE!</v>
      </c>
      <c r="BA92" s="10" t="e">
        <f t="shared" si="144"/>
        <v>#VALUE!</v>
      </c>
      <c r="BB92" s="10" t="e">
        <f t="shared" si="92"/>
        <v>#VALUE!</v>
      </c>
      <c r="BC92" s="10" t="e">
        <f t="shared" si="145"/>
        <v>#VALUE!</v>
      </c>
      <c r="BE92" s="10" t="e">
        <f t="shared" si="116"/>
        <v>#VALUE!</v>
      </c>
      <c r="BF92" s="10" t="e">
        <f t="shared" si="146"/>
        <v>#VALUE!</v>
      </c>
      <c r="BG92" s="10" t="e">
        <f t="shared" si="93"/>
        <v>#VALUE!</v>
      </c>
      <c r="BH92" s="10" t="e">
        <f t="shared" si="117"/>
        <v>#VALUE!</v>
      </c>
      <c r="BI92" s="10" t="e">
        <f t="shared" si="118"/>
        <v>#VALUE!</v>
      </c>
      <c r="BJ92" s="10" t="e">
        <f t="shared" si="119"/>
        <v>#VALUE!</v>
      </c>
      <c r="BK92" s="10" t="e">
        <f t="shared" si="147"/>
        <v>#VALUE!</v>
      </c>
      <c r="BL92" s="10" t="e">
        <f t="shared" si="94"/>
        <v>#VALUE!</v>
      </c>
      <c r="BM92" s="10" t="e">
        <f t="shared" si="148"/>
        <v>#VALUE!</v>
      </c>
      <c r="BP92" s="10" t="e">
        <f t="shared" si="120"/>
        <v>#VALUE!</v>
      </c>
      <c r="BQ92" s="10" t="e">
        <f t="shared" si="121"/>
        <v>#VALUE!</v>
      </c>
      <c r="BR92" s="10" t="e">
        <f t="shared" si="122"/>
        <v>#VALUE!</v>
      </c>
      <c r="BS92" s="10" t="e">
        <f t="shared" si="123"/>
        <v>#VALUE!</v>
      </c>
      <c r="BT92" s="10" t="e">
        <f t="shared" si="124"/>
        <v>#VALUE!</v>
      </c>
      <c r="BU92" s="10" t="e">
        <f t="shared" si="125"/>
        <v>#VALUE!</v>
      </c>
      <c r="BW92" s="10" t="e">
        <f t="shared" si="126"/>
        <v>#VALUE!</v>
      </c>
      <c r="BX92" s="10" t="e">
        <f t="shared" si="127"/>
        <v>#VALUE!</v>
      </c>
      <c r="BY92" s="10" t="e">
        <f t="shared" si="128"/>
        <v>#VALUE!</v>
      </c>
      <c r="BZ92" s="10" t="e">
        <f t="shared" si="129"/>
        <v>#VALUE!</v>
      </c>
      <c r="CA92" s="10" t="e">
        <f t="shared" si="130"/>
        <v>#VALUE!</v>
      </c>
      <c r="CB92" s="10" t="e">
        <f t="shared" si="131"/>
        <v>#VALUE!</v>
      </c>
      <c r="CD92" s="10" t="e">
        <f>MATCH(INDEX($BP$12:$BU$12,1,MATCH(BP92,$BP$15:$BU$15,0)),结果汇总!$AI$10:$AI$13,0)</f>
        <v>#VALUE!</v>
      </c>
      <c r="CE92" s="10" t="e">
        <f>MATCH(INDEX($BP$12:$BU$12,1,MATCH(BQ92,$BP$15:$BU$15,0)),结果汇总!$AI$10:$AI$13,0)</f>
        <v>#VALUE!</v>
      </c>
      <c r="CF92" s="10" t="e">
        <f>MATCH(INDEX($BP$12:$BU$12,1,MATCH(BR92,$BP$15:$BU$15,0)),结果汇总!$AI$10:$AI$13,0)</f>
        <v>#VALUE!</v>
      </c>
      <c r="CG92" s="10" t="e">
        <f>MATCH(INDEX($BP$12:$BU$12,1,MATCH(BS92,$BP$15:$BU$15,0)),结果汇总!$AI$10:$AI$13,0)</f>
        <v>#VALUE!</v>
      </c>
      <c r="CH92" s="10" t="e">
        <f>MATCH(INDEX($BP$12:$BU$12,1,MATCH(BT92,$BP$15:$BU$15,0)),结果汇总!$AI$10:$AI$13,0)</f>
        <v>#VALUE!</v>
      </c>
      <c r="CI92" s="10" t="e">
        <f>MATCH(INDEX($BP$12:$BU$12,1,MATCH(BU92,$BP$15:$BU$15,0)),结果汇总!$AI$10:$AI$13,0)</f>
        <v>#VALUE!</v>
      </c>
      <c r="CK92" s="10">
        <f t="shared" si="132"/>
        <v>0</v>
      </c>
      <c r="CL92" s="10">
        <f t="shared" si="132"/>
        <v>0</v>
      </c>
      <c r="CM92" s="10">
        <f t="shared" si="132"/>
        <v>0</v>
      </c>
      <c r="CN92" s="10">
        <f t="shared" si="132"/>
        <v>0</v>
      </c>
      <c r="CO92" s="10" t="e">
        <f t="shared" si="133"/>
        <v>#DIV/0!</v>
      </c>
      <c r="CP92" s="10" t="e">
        <f t="shared" si="133"/>
        <v>#DIV/0!</v>
      </c>
      <c r="CQ92" s="10" t="e">
        <f t="shared" si="133"/>
        <v>#DIV/0!</v>
      </c>
      <c r="CR92" s="10" t="e">
        <f t="shared" si="133"/>
        <v>#DIV/0!</v>
      </c>
      <c r="CS92" s="10">
        <f t="shared" si="134"/>
        <v>0</v>
      </c>
      <c r="CT92" s="10">
        <f t="shared" si="134"/>
        <v>0</v>
      </c>
      <c r="CU92" s="10">
        <f t="shared" si="134"/>
        <v>0</v>
      </c>
      <c r="CV92" s="10">
        <f t="shared" si="134"/>
        <v>0</v>
      </c>
      <c r="CW92" s="10" t="e">
        <f t="shared" si="135"/>
        <v>#DIV/0!</v>
      </c>
      <c r="CX92" s="10" t="e">
        <f t="shared" si="135"/>
        <v>#DIV/0!</v>
      </c>
      <c r="CY92" s="10" t="e">
        <f t="shared" si="135"/>
        <v>#DIV/0!</v>
      </c>
      <c r="CZ92" s="10" t="e">
        <f t="shared" si="135"/>
        <v>#DIV/0!</v>
      </c>
    </row>
    <row r="93" spans="4:104" x14ac:dyDescent="0.15">
      <c r="D93" s="10">
        <v>78</v>
      </c>
      <c r="E93" s="10" t="e">
        <f t="shared" si="95"/>
        <v>#VALUE!</v>
      </c>
      <c r="F93" s="10" t="e">
        <f t="shared" si="79"/>
        <v>#VALUE!</v>
      </c>
      <c r="G93" s="10" t="e">
        <f t="shared" si="80"/>
        <v>#VALUE!</v>
      </c>
      <c r="H93" s="10" t="e">
        <f t="shared" si="96"/>
        <v>#VALUE!</v>
      </c>
      <c r="I93" s="10" t="e">
        <f t="shared" si="81"/>
        <v>#VALUE!</v>
      </c>
      <c r="J93" s="10" t="e">
        <f t="shared" si="97"/>
        <v>#VALUE!</v>
      </c>
      <c r="K93" s="10" t="e">
        <f t="shared" si="82"/>
        <v>#VALUE!</v>
      </c>
      <c r="L93" s="10" t="e">
        <f t="shared" si="83"/>
        <v>#VALUE!</v>
      </c>
      <c r="M93" s="10" t="e">
        <f t="shared" si="98"/>
        <v>#VALUE!</v>
      </c>
      <c r="O93" s="10" t="e">
        <f t="shared" si="99"/>
        <v>#VALUE!</v>
      </c>
      <c r="P93" s="10" t="e">
        <f t="shared" si="84"/>
        <v>#VALUE!</v>
      </c>
      <c r="Q93" s="10" t="e">
        <f t="shared" si="85"/>
        <v>#VALUE!</v>
      </c>
      <c r="R93" s="10" t="e">
        <f t="shared" si="100"/>
        <v>#VALUE!</v>
      </c>
      <c r="S93" s="10" t="e">
        <f t="shared" si="101"/>
        <v>#VALUE!</v>
      </c>
      <c r="T93" s="10" t="e">
        <f t="shared" si="136"/>
        <v>#VALUE!</v>
      </c>
      <c r="U93" s="10" t="e">
        <f t="shared" si="137"/>
        <v>#VALUE!</v>
      </c>
      <c r="V93" s="10" t="e">
        <f t="shared" si="86"/>
        <v>#VALUE!</v>
      </c>
      <c r="W93" s="10" t="e">
        <f t="shared" si="102"/>
        <v>#VALUE!</v>
      </c>
      <c r="Y93" s="10" t="e">
        <f t="shared" si="103"/>
        <v>#VALUE!</v>
      </c>
      <c r="Z93" s="11" t="e">
        <f t="shared" si="104"/>
        <v>#VALUE!</v>
      </c>
      <c r="AA93" s="10" t="e">
        <f t="shared" si="87"/>
        <v>#VALUE!</v>
      </c>
      <c r="AB93" s="10" t="e">
        <f t="shared" si="105"/>
        <v>#VALUE!</v>
      </c>
      <c r="AC93" s="10" t="e">
        <f t="shared" si="106"/>
        <v>#VALUE!</v>
      </c>
      <c r="AD93" s="10" t="e">
        <f t="shared" si="138"/>
        <v>#VALUE!</v>
      </c>
      <c r="AE93" s="10" t="e">
        <f t="shared" si="139"/>
        <v>#VALUE!</v>
      </c>
      <c r="AF93" s="10" t="e">
        <f t="shared" si="88"/>
        <v>#VALUE!</v>
      </c>
      <c r="AG93" s="10" t="e">
        <f t="shared" si="107"/>
        <v>#VALUE!</v>
      </c>
      <c r="AI93" s="13"/>
      <c r="AK93" s="10" t="e">
        <f t="shared" si="108"/>
        <v>#VALUE!</v>
      </c>
      <c r="AL93" s="10" t="e">
        <f t="shared" si="140"/>
        <v>#VALUE!</v>
      </c>
      <c r="AM93" s="10" t="e">
        <f t="shared" si="89"/>
        <v>#VALUE!</v>
      </c>
      <c r="AN93" s="10" t="e">
        <f t="shared" si="109"/>
        <v>#VALUE!</v>
      </c>
      <c r="AO93" s="10" t="e">
        <f t="shared" si="110"/>
        <v>#VALUE!</v>
      </c>
      <c r="AP93" s="10" t="e">
        <f t="shared" si="111"/>
        <v>#VALUE!</v>
      </c>
      <c r="AQ93" s="10" t="e">
        <f t="shared" si="141"/>
        <v>#VALUE!</v>
      </c>
      <c r="AR93" s="10" t="e">
        <f t="shared" si="90"/>
        <v>#VALUE!</v>
      </c>
      <c r="AS93" s="10" t="e">
        <f t="shared" si="142"/>
        <v>#VALUE!</v>
      </c>
      <c r="AU93" s="10" t="e">
        <f t="shared" si="112"/>
        <v>#VALUE!</v>
      </c>
      <c r="AV93" s="10" t="e">
        <f t="shared" si="143"/>
        <v>#VALUE!</v>
      </c>
      <c r="AW93" s="10" t="e">
        <f t="shared" si="91"/>
        <v>#VALUE!</v>
      </c>
      <c r="AX93" s="10" t="e">
        <f t="shared" si="113"/>
        <v>#VALUE!</v>
      </c>
      <c r="AY93" s="10" t="e">
        <f t="shared" si="114"/>
        <v>#VALUE!</v>
      </c>
      <c r="AZ93" s="10" t="e">
        <f t="shared" si="115"/>
        <v>#VALUE!</v>
      </c>
      <c r="BA93" s="10" t="e">
        <f t="shared" si="144"/>
        <v>#VALUE!</v>
      </c>
      <c r="BB93" s="10" t="e">
        <f t="shared" si="92"/>
        <v>#VALUE!</v>
      </c>
      <c r="BC93" s="10" t="e">
        <f t="shared" si="145"/>
        <v>#VALUE!</v>
      </c>
      <c r="BE93" s="10" t="e">
        <f t="shared" si="116"/>
        <v>#VALUE!</v>
      </c>
      <c r="BF93" s="10" t="e">
        <f t="shared" si="146"/>
        <v>#VALUE!</v>
      </c>
      <c r="BG93" s="10" t="e">
        <f t="shared" si="93"/>
        <v>#VALUE!</v>
      </c>
      <c r="BH93" s="10" t="e">
        <f t="shared" si="117"/>
        <v>#VALUE!</v>
      </c>
      <c r="BI93" s="10" t="e">
        <f t="shared" si="118"/>
        <v>#VALUE!</v>
      </c>
      <c r="BJ93" s="10" t="e">
        <f t="shared" si="119"/>
        <v>#VALUE!</v>
      </c>
      <c r="BK93" s="10" t="e">
        <f t="shared" si="147"/>
        <v>#VALUE!</v>
      </c>
      <c r="BL93" s="10" t="e">
        <f t="shared" si="94"/>
        <v>#VALUE!</v>
      </c>
      <c r="BM93" s="10" t="e">
        <f t="shared" si="148"/>
        <v>#VALUE!</v>
      </c>
      <c r="BP93" s="10" t="e">
        <f t="shared" si="120"/>
        <v>#VALUE!</v>
      </c>
      <c r="BQ93" s="10" t="e">
        <f t="shared" si="121"/>
        <v>#VALUE!</v>
      </c>
      <c r="BR93" s="10" t="e">
        <f t="shared" si="122"/>
        <v>#VALUE!</v>
      </c>
      <c r="BS93" s="10" t="e">
        <f t="shared" si="123"/>
        <v>#VALUE!</v>
      </c>
      <c r="BT93" s="10" t="e">
        <f t="shared" si="124"/>
        <v>#VALUE!</v>
      </c>
      <c r="BU93" s="10" t="e">
        <f t="shared" si="125"/>
        <v>#VALUE!</v>
      </c>
      <c r="BW93" s="10" t="e">
        <f t="shared" si="126"/>
        <v>#VALUE!</v>
      </c>
      <c r="BX93" s="10" t="e">
        <f t="shared" si="127"/>
        <v>#VALUE!</v>
      </c>
      <c r="BY93" s="10" t="e">
        <f t="shared" si="128"/>
        <v>#VALUE!</v>
      </c>
      <c r="BZ93" s="10" t="e">
        <f t="shared" si="129"/>
        <v>#VALUE!</v>
      </c>
      <c r="CA93" s="10" t="e">
        <f t="shared" si="130"/>
        <v>#VALUE!</v>
      </c>
      <c r="CB93" s="10" t="e">
        <f t="shared" si="131"/>
        <v>#VALUE!</v>
      </c>
      <c r="CD93" s="10" t="e">
        <f>MATCH(INDEX($BP$12:$BU$12,1,MATCH(BP93,$BP$15:$BU$15,0)),结果汇总!$AI$10:$AI$13,0)</f>
        <v>#VALUE!</v>
      </c>
      <c r="CE93" s="10" t="e">
        <f>MATCH(INDEX($BP$12:$BU$12,1,MATCH(BQ93,$BP$15:$BU$15,0)),结果汇总!$AI$10:$AI$13,0)</f>
        <v>#VALUE!</v>
      </c>
      <c r="CF93" s="10" t="e">
        <f>MATCH(INDEX($BP$12:$BU$12,1,MATCH(BR93,$BP$15:$BU$15,0)),结果汇总!$AI$10:$AI$13,0)</f>
        <v>#VALUE!</v>
      </c>
      <c r="CG93" s="10" t="e">
        <f>MATCH(INDEX($BP$12:$BU$12,1,MATCH(BS93,$BP$15:$BU$15,0)),结果汇总!$AI$10:$AI$13,0)</f>
        <v>#VALUE!</v>
      </c>
      <c r="CH93" s="10" t="e">
        <f>MATCH(INDEX($BP$12:$BU$12,1,MATCH(BT93,$BP$15:$BU$15,0)),结果汇总!$AI$10:$AI$13,0)</f>
        <v>#VALUE!</v>
      </c>
      <c r="CI93" s="10" t="e">
        <f>MATCH(INDEX($BP$12:$BU$12,1,MATCH(BU93,$BP$15:$BU$15,0)),结果汇总!$AI$10:$AI$13,0)</f>
        <v>#VALUE!</v>
      </c>
      <c r="CK93" s="10">
        <f t="shared" si="132"/>
        <v>0</v>
      </c>
      <c r="CL93" s="10">
        <f t="shared" si="132"/>
        <v>0</v>
      </c>
      <c r="CM93" s="10">
        <f t="shared" si="132"/>
        <v>0</v>
      </c>
      <c r="CN93" s="10">
        <f t="shared" si="132"/>
        <v>0</v>
      </c>
      <c r="CO93" s="10" t="e">
        <f t="shared" si="133"/>
        <v>#DIV/0!</v>
      </c>
      <c r="CP93" s="10" t="e">
        <f t="shared" si="133"/>
        <v>#DIV/0!</v>
      </c>
      <c r="CQ93" s="10" t="e">
        <f t="shared" si="133"/>
        <v>#DIV/0!</v>
      </c>
      <c r="CR93" s="10" t="e">
        <f t="shared" si="133"/>
        <v>#DIV/0!</v>
      </c>
      <c r="CS93" s="10">
        <f t="shared" si="134"/>
        <v>0</v>
      </c>
      <c r="CT93" s="10">
        <f t="shared" si="134"/>
        <v>0</v>
      </c>
      <c r="CU93" s="10">
        <f t="shared" si="134"/>
        <v>0</v>
      </c>
      <c r="CV93" s="10">
        <f t="shared" si="134"/>
        <v>0</v>
      </c>
      <c r="CW93" s="10" t="e">
        <f t="shared" si="135"/>
        <v>#DIV/0!</v>
      </c>
      <c r="CX93" s="10" t="e">
        <f t="shared" si="135"/>
        <v>#DIV/0!</v>
      </c>
      <c r="CY93" s="10" t="e">
        <f t="shared" si="135"/>
        <v>#DIV/0!</v>
      </c>
      <c r="CZ93" s="10" t="e">
        <f t="shared" si="135"/>
        <v>#DIV/0!</v>
      </c>
    </row>
    <row r="94" spans="4:104" x14ac:dyDescent="0.15">
      <c r="D94" s="10">
        <v>79</v>
      </c>
      <c r="E94" s="10" t="e">
        <f t="shared" si="95"/>
        <v>#VALUE!</v>
      </c>
      <c r="F94" s="10" t="e">
        <f t="shared" si="79"/>
        <v>#VALUE!</v>
      </c>
      <c r="G94" s="10" t="e">
        <f t="shared" si="80"/>
        <v>#VALUE!</v>
      </c>
      <c r="H94" s="10" t="e">
        <f t="shared" si="96"/>
        <v>#VALUE!</v>
      </c>
      <c r="I94" s="10" t="e">
        <f t="shared" si="81"/>
        <v>#VALUE!</v>
      </c>
      <c r="J94" s="10" t="e">
        <f t="shared" si="97"/>
        <v>#VALUE!</v>
      </c>
      <c r="K94" s="10" t="e">
        <f t="shared" si="82"/>
        <v>#VALUE!</v>
      </c>
      <c r="L94" s="10" t="e">
        <f t="shared" si="83"/>
        <v>#VALUE!</v>
      </c>
      <c r="M94" s="10" t="e">
        <f t="shared" si="98"/>
        <v>#VALUE!</v>
      </c>
      <c r="O94" s="10" t="e">
        <f t="shared" si="99"/>
        <v>#VALUE!</v>
      </c>
      <c r="P94" s="10" t="e">
        <f t="shared" si="84"/>
        <v>#VALUE!</v>
      </c>
      <c r="Q94" s="10" t="e">
        <f t="shared" si="85"/>
        <v>#VALUE!</v>
      </c>
      <c r="R94" s="10" t="e">
        <f t="shared" si="100"/>
        <v>#VALUE!</v>
      </c>
      <c r="S94" s="10" t="e">
        <f t="shared" si="101"/>
        <v>#VALUE!</v>
      </c>
      <c r="T94" s="10" t="e">
        <f t="shared" si="136"/>
        <v>#VALUE!</v>
      </c>
      <c r="U94" s="10" t="e">
        <f t="shared" si="137"/>
        <v>#VALUE!</v>
      </c>
      <c r="V94" s="10" t="e">
        <f t="shared" si="86"/>
        <v>#VALUE!</v>
      </c>
      <c r="W94" s="10" t="e">
        <f t="shared" si="102"/>
        <v>#VALUE!</v>
      </c>
      <c r="Y94" s="10" t="e">
        <f t="shared" si="103"/>
        <v>#VALUE!</v>
      </c>
      <c r="Z94" s="11" t="e">
        <f t="shared" si="104"/>
        <v>#VALUE!</v>
      </c>
      <c r="AA94" s="10" t="e">
        <f t="shared" si="87"/>
        <v>#VALUE!</v>
      </c>
      <c r="AB94" s="10" t="e">
        <f t="shared" si="105"/>
        <v>#VALUE!</v>
      </c>
      <c r="AC94" s="10" t="e">
        <f t="shared" si="106"/>
        <v>#VALUE!</v>
      </c>
      <c r="AD94" s="10" t="e">
        <f t="shared" si="138"/>
        <v>#VALUE!</v>
      </c>
      <c r="AE94" s="10" t="e">
        <f t="shared" si="139"/>
        <v>#VALUE!</v>
      </c>
      <c r="AF94" s="10" t="e">
        <f t="shared" si="88"/>
        <v>#VALUE!</v>
      </c>
      <c r="AG94" s="10" t="e">
        <f t="shared" si="107"/>
        <v>#VALUE!</v>
      </c>
      <c r="AI94" s="13"/>
      <c r="AK94" s="10" t="e">
        <f t="shared" si="108"/>
        <v>#VALUE!</v>
      </c>
      <c r="AL94" s="10" t="e">
        <f t="shared" si="140"/>
        <v>#VALUE!</v>
      </c>
      <c r="AM94" s="10" t="e">
        <f t="shared" si="89"/>
        <v>#VALUE!</v>
      </c>
      <c r="AN94" s="10" t="e">
        <f t="shared" si="109"/>
        <v>#VALUE!</v>
      </c>
      <c r="AO94" s="10" t="e">
        <f t="shared" si="110"/>
        <v>#VALUE!</v>
      </c>
      <c r="AP94" s="10" t="e">
        <f t="shared" si="111"/>
        <v>#VALUE!</v>
      </c>
      <c r="AQ94" s="10" t="e">
        <f t="shared" si="141"/>
        <v>#VALUE!</v>
      </c>
      <c r="AR94" s="10" t="e">
        <f t="shared" si="90"/>
        <v>#VALUE!</v>
      </c>
      <c r="AS94" s="10" t="e">
        <f t="shared" si="142"/>
        <v>#VALUE!</v>
      </c>
      <c r="AU94" s="10" t="e">
        <f t="shared" si="112"/>
        <v>#VALUE!</v>
      </c>
      <c r="AV94" s="10" t="e">
        <f t="shared" si="143"/>
        <v>#VALUE!</v>
      </c>
      <c r="AW94" s="10" t="e">
        <f t="shared" si="91"/>
        <v>#VALUE!</v>
      </c>
      <c r="AX94" s="10" t="e">
        <f t="shared" si="113"/>
        <v>#VALUE!</v>
      </c>
      <c r="AY94" s="10" t="e">
        <f t="shared" si="114"/>
        <v>#VALUE!</v>
      </c>
      <c r="AZ94" s="10" t="e">
        <f t="shared" si="115"/>
        <v>#VALUE!</v>
      </c>
      <c r="BA94" s="10" t="e">
        <f t="shared" si="144"/>
        <v>#VALUE!</v>
      </c>
      <c r="BB94" s="10" t="e">
        <f t="shared" si="92"/>
        <v>#VALUE!</v>
      </c>
      <c r="BC94" s="10" t="e">
        <f t="shared" si="145"/>
        <v>#VALUE!</v>
      </c>
      <c r="BE94" s="10" t="e">
        <f t="shared" si="116"/>
        <v>#VALUE!</v>
      </c>
      <c r="BF94" s="10" t="e">
        <f t="shared" si="146"/>
        <v>#VALUE!</v>
      </c>
      <c r="BG94" s="10" t="e">
        <f t="shared" si="93"/>
        <v>#VALUE!</v>
      </c>
      <c r="BH94" s="10" t="e">
        <f t="shared" si="117"/>
        <v>#VALUE!</v>
      </c>
      <c r="BI94" s="10" t="e">
        <f t="shared" si="118"/>
        <v>#VALUE!</v>
      </c>
      <c r="BJ94" s="10" t="e">
        <f t="shared" si="119"/>
        <v>#VALUE!</v>
      </c>
      <c r="BK94" s="10" t="e">
        <f t="shared" si="147"/>
        <v>#VALUE!</v>
      </c>
      <c r="BL94" s="10" t="e">
        <f t="shared" si="94"/>
        <v>#VALUE!</v>
      </c>
      <c r="BM94" s="10" t="e">
        <f t="shared" si="148"/>
        <v>#VALUE!</v>
      </c>
      <c r="BP94" s="10" t="e">
        <f t="shared" si="120"/>
        <v>#VALUE!</v>
      </c>
      <c r="BQ94" s="10" t="e">
        <f t="shared" si="121"/>
        <v>#VALUE!</v>
      </c>
      <c r="BR94" s="10" t="e">
        <f t="shared" si="122"/>
        <v>#VALUE!</v>
      </c>
      <c r="BS94" s="10" t="e">
        <f t="shared" si="123"/>
        <v>#VALUE!</v>
      </c>
      <c r="BT94" s="10" t="e">
        <f t="shared" si="124"/>
        <v>#VALUE!</v>
      </c>
      <c r="BU94" s="10" t="e">
        <f t="shared" si="125"/>
        <v>#VALUE!</v>
      </c>
      <c r="BW94" s="10" t="e">
        <f t="shared" si="126"/>
        <v>#VALUE!</v>
      </c>
      <c r="BX94" s="10" t="e">
        <f t="shared" si="127"/>
        <v>#VALUE!</v>
      </c>
      <c r="BY94" s="10" t="e">
        <f t="shared" si="128"/>
        <v>#VALUE!</v>
      </c>
      <c r="BZ94" s="10" t="e">
        <f t="shared" si="129"/>
        <v>#VALUE!</v>
      </c>
      <c r="CA94" s="10" t="e">
        <f t="shared" si="130"/>
        <v>#VALUE!</v>
      </c>
      <c r="CB94" s="10" t="e">
        <f t="shared" si="131"/>
        <v>#VALUE!</v>
      </c>
      <c r="CD94" s="10" t="e">
        <f>MATCH(INDEX($BP$12:$BU$12,1,MATCH(BP94,$BP$15:$BU$15,0)),结果汇总!$AI$10:$AI$13,0)</f>
        <v>#VALUE!</v>
      </c>
      <c r="CE94" s="10" t="e">
        <f>MATCH(INDEX($BP$12:$BU$12,1,MATCH(BQ94,$BP$15:$BU$15,0)),结果汇总!$AI$10:$AI$13,0)</f>
        <v>#VALUE!</v>
      </c>
      <c r="CF94" s="10" t="e">
        <f>MATCH(INDEX($BP$12:$BU$12,1,MATCH(BR94,$BP$15:$BU$15,0)),结果汇总!$AI$10:$AI$13,0)</f>
        <v>#VALUE!</v>
      </c>
      <c r="CG94" s="10" t="e">
        <f>MATCH(INDEX($BP$12:$BU$12,1,MATCH(BS94,$BP$15:$BU$15,0)),结果汇总!$AI$10:$AI$13,0)</f>
        <v>#VALUE!</v>
      </c>
      <c r="CH94" s="10" t="e">
        <f>MATCH(INDEX($BP$12:$BU$12,1,MATCH(BT94,$BP$15:$BU$15,0)),结果汇总!$AI$10:$AI$13,0)</f>
        <v>#VALUE!</v>
      </c>
      <c r="CI94" s="10" t="e">
        <f>MATCH(INDEX($BP$12:$BU$12,1,MATCH(BU94,$BP$15:$BU$15,0)),结果汇总!$AI$10:$AI$13,0)</f>
        <v>#VALUE!</v>
      </c>
      <c r="CK94" s="10">
        <f t="shared" si="132"/>
        <v>0</v>
      </c>
      <c r="CL94" s="10">
        <f t="shared" si="132"/>
        <v>0</v>
      </c>
      <c r="CM94" s="10">
        <f t="shared" si="132"/>
        <v>0</v>
      </c>
      <c r="CN94" s="10">
        <f t="shared" si="132"/>
        <v>0</v>
      </c>
      <c r="CO94" s="10" t="e">
        <f t="shared" si="133"/>
        <v>#DIV/0!</v>
      </c>
      <c r="CP94" s="10" t="e">
        <f t="shared" si="133"/>
        <v>#DIV/0!</v>
      </c>
      <c r="CQ94" s="10" t="e">
        <f t="shared" si="133"/>
        <v>#DIV/0!</v>
      </c>
      <c r="CR94" s="10" t="e">
        <f t="shared" si="133"/>
        <v>#DIV/0!</v>
      </c>
      <c r="CS94" s="10">
        <f t="shared" si="134"/>
        <v>0</v>
      </c>
      <c r="CT94" s="10">
        <f t="shared" si="134"/>
        <v>0</v>
      </c>
      <c r="CU94" s="10">
        <f t="shared" si="134"/>
        <v>0</v>
      </c>
      <c r="CV94" s="10">
        <f t="shared" si="134"/>
        <v>0</v>
      </c>
      <c r="CW94" s="10" t="e">
        <f t="shared" si="135"/>
        <v>#DIV/0!</v>
      </c>
      <c r="CX94" s="10" t="e">
        <f t="shared" si="135"/>
        <v>#DIV/0!</v>
      </c>
      <c r="CY94" s="10" t="e">
        <f t="shared" si="135"/>
        <v>#DIV/0!</v>
      </c>
      <c r="CZ94" s="10" t="e">
        <f t="shared" si="135"/>
        <v>#DIV/0!</v>
      </c>
    </row>
    <row r="95" spans="4:104" x14ac:dyDescent="0.15">
      <c r="D95" s="10">
        <v>80</v>
      </c>
      <c r="E95" s="10" t="e">
        <f t="shared" si="95"/>
        <v>#VALUE!</v>
      </c>
      <c r="F95" s="10" t="e">
        <f t="shared" si="79"/>
        <v>#VALUE!</v>
      </c>
      <c r="G95" s="10" t="e">
        <f t="shared" si="80"/>
        <v>#VALUE!</v>
      </c>
      <c r="H95" s="10" t="e">
        <f t="shared" si="96"/>
        <v>#VALUE!</v>
      </c>
      <c r="I95" s="10" t="e">
        <f t="shared" si="81"/>
        <v>#VALUE!</v>
      </c>
      <c r="J95" s="10" t="e">
        <f t="shared" si="97"/>
        <v>#VALUE!</v>
      </c>
      <c r="K95" s="10" t="e">
        <f t="shared" si="82"/>
        <v>#VALUE!</v>
      </c>
      <c r="L95" s="10" t="e">
        <f t="shared" si="83"/>
        <v>#VALUE!</v>
      </c>
      <c r="M95" s="10" t="e">
        <f t="shared" si="98"/>
        <v>#VALUE!</v>
      </c>
      <c r="O95" s="10" t="e">
        <f t="shared" si="99"/>
        <v>#VALUE!</v>
      </c>
      <c r="P95" s="10" t="e">
        <f t="shared" si="84"/>
        <v>#VALUE!</v>
      </c>
      <c r="Q95" s="10" t="e">
        <f t="shared" si="85"/>
        <v>#VALUE!</v>
      </c>
      <c r="R95" s="10" t="e">
        <f t="shared" si="100"/>
        <v>#VALUE!</v>
      </c>
      <c r="S95" s="10" t="e">
        <f t="shared" si="101"/>
        <v>#VALUE!</v>
      </c>
      <c r="T95" s="10" t="e">
        <f t="shared" si="136"/>
        <v>#VALUE!</v>
      </c>
      <c r="U95" s="10" t="e">
        <f t="shared" si="137"/>
        <v>#VALUE!</v>
      </c>
      <c r="V95" s="10" t="e">
        <f t="shared" si="86"/>
        <v>#VALUE!</v>
      </c>
      <c r="W95" s="10" t="e">
        <f t="shared" si="102"/>
        <v>#VALUE!</v>
      </c>
      <c r="Y95" s="10" t="e">
        <f t="shared" si="103"/>
        <v>#VALUE!</v>
      </c>
      <c r="Z95" s="11" t="e">
        <f t="shared" si="104"/>
        <v>#VALUE!</v>
      </c>
      <c r="AA95" s="10" t="e">
        <f t="shared" si="87"/>
        <v>#VALUE!</v>
      </c>
      <c r="AB95" s="10" t="e">
        <f t="shared" si="105"/>
        <v>#VALUE!</v>
      </c>
      <c r="AC95" s="10" t="e">
        <f t="shared" si="106"/>
        <v>#VALUE!</v>
      </c>
      <c r="AD95" s="10" t="e">
        <f t="shared" si="138"/>
        <v>#VALUE!</v>
      </c>
      <c r="AE95" s="10" t="e">
        <f t="shared" si="139"/>
        <v>#VALUE!</v>
      </c>
      <c r="AF95" s="10" t="e">
        <f t="shared" si="88"/>
        <v>#VALUE!</v>
      </c>
      <c r="AG95" s="10" t="e">
        <f t="shared" si="107"/>
        <v>#VALUE!</v>
      </c>
      <c r="AI95" s="13"/>
      <c r="AK95" s="10" t="e">
        <f t="shared" si="108"/>
        <v>#VALUE!</v>
      </c>
      <c r="AL95" s="10" t="e">
        <f t="shared" si="140"/>
        <v>#VALUE!</v>
      </c>
      <c r="AM95" s="10" t="e">
        <f t="shared" si="89"/>
        <v>#VALUE!</v>
      </c>
      <c r="AN95" s="10" t="e">
        <f t="shared" si="109"/>
        <v>#VALUE!</v>
      </c>
      <c r="AO95" s="10" t="e">
        <f t="shared" si="110"/>
        <v>#VALUE!</v>
      </c>
      <c r="AP95" s="10" t="e">
        <f t="shared" si="111"/>
        <v>#VALUE!</v>
      </c>
      <c r="AQ95" s="10" t="e">
        <f t="shared" si="141"/>
        <v>#VALUE!</v>
      </c>
      <c r="AR95" s="10" t="e">
        <f t="shared" si="90"/>
        <v>#VALUE!</v>
      </c>
      <c r="AS95" s="10" t="e">
        <f t="shared" si="142"/>
        <v>#VALUE!</v>
      </c>
      <c r="AU95" s="10" t="e">
        <f t="shared" si="112"/>
        <v>#VALUE!</v>
      </c>
      <c r="AV95" s="10" t="e">
        <f t="shared" si="143"/>
        <v>#VALUE!</v>
      </c>
      <c r="AW95" s="10" t="e">
        <f t="shared" si="91"/>
        <v>#VALUE!</v>
      </c>
      <c r="AX95" s="10" t="e">
        <f t="shared" si="113"/>
        <v>#VALUE!</v>
      </c>
      <c r="AY95" s="10" t="e">
        <f t="shared" si="114"/>
        <v>#VALUE!</v>
      </c>
      <c r="AZ95" s="10" t="e">
        <f t="shared" si="115"/>
        <v>#VALUE!</v>
      </c>
      <c r="BA95" s="10" t="e">
        <f t="shared" si="144"/>
        <v>#VALUE!</v>
      </c>
      <c r="BB95" s="10" t="e">
        <f t="shared" si="92"/>
        <v>#VALUE!</v>
      </c>
      <c r="BC95" s="10" t="e">
        <f t="shared" si="145"/>
        <v>#VALUE!</v>
      </c>
      <c r="BE95" s="10" t="e">
        <f t="shared" si="116"/>
        <v>#VALUE!</v>
      </c>
      <c r="BF95" s="10" t="e">
        <f t="shared" si="146"/>
        <v>#VALUE!</v>
      </c>
      <c r="BG95" s="10" t="e">
        <f t="shared" si="93"/>
        <v>#VALUE!</v>
      </c>
      <c r="BH95" s="10" t="e">
        <f t="shared" si="117"/>
        <v>#VALUE!</v>
      </c>
      <c r="BI95" s="10" t="e">
        <f t="shared" si="118"/>
        <v>#VALUE!</v>
      </c>
      <c r="BJ95" s="10" t="e">
        <f t="shared" si="119"/>
        <v>#VALUE!</v>
      </c>
      <c r="BK95" s="10" t="e">
        <f t="shared" si="147"/>
        <v>#VALUE!</v>
      </c>
      <c r="BL95" s="10" t="e">
        <f t="shared" si="94"/>
        <v>#VALUE!</v>
      </c>
      <c r="BM95" s="10" t="e">
        <f t="shared" si="148"/>
        <v>#VALUE!</v>
      </c>
      <c r="BP95" s="10" t="e">
        <f t="shared" si="120"/>
        <v>#VALUE!</v>
      </c>
      <c r="BQ95" s="10" t="e">
        <f t="shared" si="121"/>
        <v>#VALUE!</v>
      </c>
      <c r="BR95" s="10" t="e">
        <f t="shared" si="122"/>
        <v>#VALUE!</v>
      </c>
      <c r="BS95" s="10" t="e">
        <f t="shared" si="123"/>
        <v>#VALUE!</v>
      </c>
      <c r="BT95" s="10" t="e">
        <f t="shared" si="124"/>
        <v>#VALUE!</v>
      </c>
      <c r="BU95" s="10" t="e">
        <f t="shared" si="125"/>
        <v>#VALUE!</v>
      </c>
      <c r="BW95" s="10" t="e">
        <f t="shared" si="126"/>
        <v>#VALUE!</v>
      </c>
      <c r="BX95" s="10" t="e">
        <f t="shared" si="127"/>
        <v>#VALUE!</v>
      </c>
      <c r="BY95" s="10" t="e">
        <f t="shared" si="128"/>
        <v>#VALUE!</v>
      </c>
      <c r="BZ95" s="10" t="e">
        <f t="shared" si="129"/>
        <v>#VALUE!</v>
      </c>
      <c r="CA95" s="10" t="e">
        <f t="shared" si="130"/>
        <v>#VALUE!</v>
      </c>
      <c r="CB95" s="10" t="e">
        <f t="shared" si="131"/>
        <v>#VALUE!</v>
      </c>
      <c r="CD95" s="10" t="e">
        <f>MATCH(INDEX($BP$12:$BU$12,1,MATCH(BP95,$BP$15:$BU$15,0)),结果汇总!$AI$10:$AI$13,0)</f>
        <v>#VALUE!</v>
      </c>
      <c r="CE95" s="10" t="e">
        <f>MATCH(INDEX($BP$12:$BU$12,1,MATCH(BQ95,$BP$15:$BU$15,0)),结果汇总!$AI$10:$AI$13,0)</f>
        <v>#VALUE!</v>
      </c>
      <c r="CF95" s="10" t="e">
        <f>MATCH(INDEX($BP$12:$BU$12,1,MATCH(BR95,$BP$15:$BU$15,0)),结果汇总!$AI$10:$AI$13,0)</f>
        <v>#VALUE!</v>
      </c>
      <c r="CG95" s="10" t="e">
        <f>MATCH(INDEX($BP$12:$BU$12,1,MATCH(BS95,$BP$15:$BU$15,0)),结果汇总!$AI$10:$AI$13,0)</f>
        <v>#VALUE!</v>
      </c>
      <c r="CH95" s="10" t="e">
        <f>MATCH(INDEX($BP$12:$BU$12,1,MATCH(BT95,$BP$15:$BU$15,0)),结果汇总!$AI$10:$AI$13,0)</f>
        <v>#VALUE!</v>
      </c>
      <c r="CI95" s="10" t="e">
        <f>MATCH(INDEX($BP$12:$BU$12,1,MATCH(BU95,$BP$15:$BU$15,0)),结果汇总!$AI$10:$AI$13,0)</f>
        <v>#VALUE!</v>
      </c>
      <c r="CK95" s="10">
        <f t="shared" si="132"/>
        <v>0</v>
      </c>
      <c r="CL95" s="10">
        <f t="shared" si="132"/>
        <v>0</v>
      </c>
      <c r="CM95" s="10">
        <f t="shared" si="132"/>
        <v>0</v>
      </c>
      <c r="CN95" s="10">
        <f t="shared" si="132"/>
        <v>0</v>
      </c>
      <c r="CO95" s="10" t="e">
        <f t="shared" si="133"/>
        <v>#DIV/0!</v>
      </c>
      <c r="CP95" s="10" t="e">
        <f t="shared" si="133"/>
        <v>#DIV/0!</v>
      </c>
      <c r="CQ95" s="10" t="e">
        <f t="shared" si="133"/>
        <v>#DIV/0!</v>
      </c>
      <c r="CR95" s="10" t="e">
        <f t="shared" si="133"/>
        <v>#DIV/0!</v>
      </c>
      <c r="CS95" s="10">
        <f t="shared" si="134"/>
        <v>0</v>
      </c>
      <c r="CT95" s="10">
        <f t="shared" si="134"/>
        <v>0</v>
      </c>
      <c r="CU95" s="10">
        <f t="shared" si="134"/>
        <v>0</v>
      </c>
      <c r="CV95" s="10">
        <f t="shared" si="134"/>
        <v>0</v>
      </c>
      <c r="CW95" s="10" t="e">
        <f t="shared" si="135"/>
        <v>#DIV/0!</v>
      </c>
      <c r="CX95" s="10" t="e">
        <f t="shared" si="135"/>
        <v>#DIV/0!</v>
      </c>
      <c r="CY95" s="10" t="e">
        <f t="shared" si="135"/>
        <v>#DIV/0!</v>
      </c>
      <c r="CZ95" s="10" t="e">
        <f t="shared" si="135"/>
        <v>#DIV/0!</v>
      </c>
    </row>
    <row r="96" spans="4:104" x14ac:dyDescent="0.15">
      <c r="D96" s="10">
        <v>81</v>
      </c>
      <c r="E96" s="10" t="e">
        <f t="shared" si="95"/>
        <v>#VALUE!</v>
      </c>
      <c r="F96" s="10" t="e">
        <f t="shared" si="79"/>
        <v>#VALUE!</v>
      </c>
      <c r="G96" s="10" t="e">
        <f t="shared" si="80"/>
        <v>#VALUE!</v>
      </c>
      <c r="H96" s="10" t="e">
        <f t="shared" si="96"/>
        <v>#VALUE!</v>
      </c>
      <c r="I96" s="10" t="e">
        <f t="shared" si="81"/>
        <v>#VALUE!</v>
      </c>
      <c r="J96" s="10" t="e">
        <f t="shared" si="97"/>
        <v>#VALUE!</v>
      </c>
      <c r="K96" s="10" t="e">
        <f t="shared" si="82"/>
        <v>#VALUE!</v>
      </c>
      <c r="L96" s="10" t="e">
        <f t="shared" si="83"/>
        <v>#VALUE!</v>
      </c>
      <c r="M96" s="10" t="e">
        <f t="shared" si="98"/>
        <v>#VALUE!</v>
      </c>
      <c r="O96" s="10" t="e">
        <f t="shared" si="99"/>
        <v>#VALUE!</v>
      </c>
      <c r="P96" s="10" t="e">
        <f t="shared" si="84"/>
        <v>#VALUE!</v>
      </c>
      <c r="Q96" s="10" t="e">
        <f t="shared" si="85"/>
        <v>#VALUE!</v>
      </c>
      <c r="R96" s="10" t="e">
        <f t="shared" si="100"/>
        <v>#VALUE!</v>
      </c>
      <c r="S96" s="10" t="e">
        <f t="shared" si="101"/>
        <v>#VALUE!</v>
      </c>
      <c r="T96" s="10" t="e">
        <f t="shared" si="136"/>
        <v>#VALUE!</v>
      </c>
      <c r="U96" s="10" t="e">
        <f t="shared" si="137"/>
        <v>#VALUE!</v>
      </c>
      <c r="V96" s="10" t="e">
        <f t="shared" si="86"/>
        <v>#VALUE!</v>
      </c>
      <c r="W96" s="10" t="e">
        <f t="shared" si="102"/>
        <v>#VALUE!</v>
      </c>
      <c r="Y96" s="10" t="e">
        <f t="shared" si="103"/>
        <v>#VALUE!</v>
      </c>
      <c r="Z96" s="11" t="e">
        <f t="shared" si="104"/>
        <v>#VALUE!</v>
      </c>
      <c r="AA96" s="10" t="e">
        <f t="shared" si="87"/>
        <v>#VALUE!</v>
      </c>
      <c r="AB96" s="10" t="e">
        <f t="shared" si="105"/>
        <v>#VALUE!</v>
      </c>
      <c r="AC96" s="10" t="e">
        <f t="shared" si="106"/>
        <v>#VALUE!</v>
      </c>
      <c r="AD96" s="10" t="e">
        <f t="shared" si="138"/>
        <v>#VALUE!</v>
      </c>
      <c r="AE96" s="10" t="e">
        <f t="shared" si="139"/>
        <v>#VALUE!</v>
      </c>
      <c r="AF96" s="10" t="e">
        <f t="shared" si="88"/>
        <v>#VALUE!</v>
      </c>
      <c r="AG96" s="10" t="e">
        <f t="shared" si="107"/>
        <v>#VALUE!</v>
      </c>
      <c r="AI96" s="13"/>
      <c r="AK96" s="10" t="e">
        <f t="shared" si="108"/>
        <v>#VALUE!</v>
      </c>
      <c r="AL96" s="10" t="e">
        <f t="shared" si="140"/>
        <v>#VALUE!</v>
      </c>
      <c r="AM96" s="10" t="e">
        <f t="shared" si="89"/>
        <v>#VALUE!</v>
      </c>
      <c r="AN96" s="10" t="e">
        <f t="shared" si="109"/>
        <v>#VALUE!</v>
      </c>
      <c r="AO96" s="10" t="e">
        <f t="shared" si="110"/>
        <v>#VALUE!</v>
      </c>
      <c r="AP96" s="10" t="e">
        <f t="shared" si="111"/>
        <v>#VALUE!</v>
      </c>
      <c r="AQ96" s="10" t="e">
        <f t="shared" si="141"/>
        <v>#VALUE!</v>
      </c>
      <c r="AR96" s="10" t="e">
        <f t="shared" si="90"/>
        <v>#VALUE!</v>
      </c>
      <c r="AS96" s="10" t="e">
        <f t="shared" si="142"/>
        <v>#VALUE!</v>
      </c>
      <c r="AU96" s="10" t="e">
        <f t="shared" si="112"/>
        <v>#VALUE!</v>
      </c>
      <c r="AV96" s="10" t="e">
        <f t="shared" si="143"/>
        <v>#VALUE!</v>
      </c>
      <c r="AW96" s="10" t="e">
        <f t="shared" si="91"/>
        <v>#VALUE!</v>
      </c>
      <c r="AX96" s="10" t="e">
        <f t="shared" si="113"/>
        <v>#VALUE!</v>
      </c>
      <c r="AY96" s="10" t="e">
        <f t="shared" si="114"/>
        <v>#VALUE!</v>
      </c>
      <c r="AZ96" s="10" t="e">
        <f t="shared" si="115"/>
        <v>#VALUE!</v>
      </c>
      <c r="BA96" s="10" t="e">
        <f t="shared" si="144"/>
        <v>#VALUE!</v>
      </c>
      <c r="BB96" s="10" t="e">
        <f t="shared" si="92"/>
        <v>#VALUE!</v>
      </c>
      <c r="BC96" s="10" t="e">
        <f t="shared" si="145"/>
        <v>#VALUE!</v>
      </c>
      <c r="BE96" s="10" t="e">
        <f t="shared" si="116"/>
        <v>#VALUE!</v>
      </c>
      <c r="BF96" s="10" t="e">
        <f t="shared" si="146"/>
        <v>#VALUE!</v>
      </c>
      <c r="BG96" s="10" t="e">
        <f t="shared" si="93"/>
        <v>#VALUE!</v>
      </c>
      <c r="BH96" s="10" t="e">
        <f t="shared" si="117"/>
        <v>#VALUE!</v>
      </c>
      <c r="BI96" s="10" t="e">
        <f t="shared" si="118"/>
        <v>#VALUE!</v>
      </c>
      <c r="BJ96" s="10" t="e">
        <f t="shared" si="119"/>
        <v>#VALUE!</v>
      </c>
      <c r="BK96" s="10" t="e">
        <f t="shared" si="147"/>
        <v>#VALUE!</v>
      </c>
      <c r="BL96" s="10" t="e">
        <f t="shared" si="94"/>
        <v>#VALUE!</v>
      </c>
      <c r="BM96" s="10" t="e">
        <f t="shared" si="148"/>
        <v>#VALUE!</v>
      </c>
      <c r="BP96" s="10" t="e">
        <f t="shared" si="120"/>
        <v>#VALUE!</v>
      </c>
      <c r="BQ96" s="10" t="e">
        <f t="shared" si="121"/>
        <v>#VALUE!</v>
      </c>
      <c r="BR96" s="10" t="e">
        <f t="shared" si="122"/>
        <v>#VALUE!</v>
      </c>
      <c r="BS96" s="10" t="e">
        <f t="shared" si="123"/>
        <v>#VALUE!</v>
      </c>
      <c r="BT96" s="10" t="e">
        <f t="shared" si="124"/>
        <v>#VALUE!</v>
      </c>
      <c r="BU96" s="10" t="e">
        <f t="shared" si="125"/>
        <v>#VALUE!</v>
      </c>
      <c r="BW96" s="10" t="e">
        <f t="shared" si="126"/>
        <v>#VALUE!</v>
      </c>
      <c r="BX96" s="10" t="e">
        <f t="shared" si="127"/>
        <v>#VALUE!</v>
      </c>
      <c r="BY96" s="10" t="e">
        <f t="shared" si="128"/>
        <v>#VALUE!</v>
      </c>
      <c r="BZ96" s="10" t="e">
        <f t="shared" si="129"/>
        <v>#VALUE!</v>
      </c>
      <c r="CA96" s="10" t="e">
        <f t="shared" si="130"/>
        <v>#VALUE!</v>
      </c>
      <c r="CB96" s="10" t="e">
        <f t="shared" si="131"/>
        <v>#VALUE!</v>
      </c>
      <c r="CD96" s="10" t="e">
        <f>MATCH(INDEX($BP$12:$BU$12,1,MATCH(BP96,$BP$15:$BU$15,0)),结果汇总!$AI$10:$AI$13,0)</f>
        <v>#VALUE!</v>
      </c>
      <c r="CE96" s="10" t="e">
        <f>MATCH(INDEX($BP$12:$BU$12,1,MATCH(BQ96,$BP$15:$BU$15,0)),结果汇总!$AI$10:$AI$13,0)</f>
        <v>#VALUE!</v>
      </c>
      <c r="CF96" s="10" t="e">
        <f>MATCH(INDEX($BP$12:$BU$12,1,MATCH(BR96,$BP$15:$BU$15,0)),结果汇总!$AI$10:$AI$13,0)</f>
        <v>#VALUE!</v>
      </c>
      <c r="CG96" s="10" t="e">
        <f>MATCH(INDEX($BP$12:$BU$12,1,MATCH(BS96,$BP$15:$BU$15,0)),结果汇总!$AI$10:$AI$13,0)</f>
        <v>#VALUE!</v>
      </c>
      <c r="CH96" s="10" t="e">
        <f>MATCH(INDEX($BP$12:$BU$12,1,MATCH(BT96,$BP$15:$BU$15,0)),结果汇总!$AI$10:$AI$13,0)</f>
        <v>#VALUE!</v>
      </c>
      <c r="CI96" s="10" t="e">
        <f>MATCH(INDEX($BP$12:$BU$12,1,MATCH(BU96,$BP$15:$BU$15,0)),结果汇总!$AI$10:$AI$13,0)</f>
        <v>#VALUE!</v>
      </c>
      <c r="CK96" s="10">
        <f t="shared" si="132"/>
        <v>0</v>
      </c>
      <c r="CL96" s="10">
        <f t="shared" si="132"/>
        <v>0</v>
      </c>
      <c r="CM96" s="10">
        <f t="shared" si="132"/>
        <v>0</v>
      </c>
      <c r="CN96" s="10">
        <f t="shared" si="132"/>
        <v>0</v>
      </c>
      <c r="CO96" s="10" t="e">
        <f t="shared" si="133"/>
        <v>#DIV/0!</v>
      </c>
      <c r="CP96" s="10" t="e">
        <f t="shared" si="133"/>
        <v>#DIV/0!</v>
      </c>
      <c r="CQ96" s="10" t="e">
        <f t="shared" si="133"/>
        <v>#DIV/0!</v>
      </c>
      <c r="CR96" s="10" t="e">
        <f t="shared" si="133"/>
        <v>#DIV/0!</v>
      </c>
      <c r="CS96" s="10">
        <f t="shared" si="134"/>
        <v>0</v>
      </c>
      <c r="CT96" s="10">
        <f t="shared" si="134"/>
        <v>0</v>
      </c>
      <c r="CU96" s="10">
        <f t="shared" si="134"/>
        <v>0</v>
      </c>
      <c r="CV96" s="10">
        <f t="shared" si="134"/>
        <v>0</v>
      </c>
      <c r="CW96" s="10" t="e">
        <f t="shared" si="135"/>
        <v>#DIV/0!</v>
      </c>
      <c r="CX96" s="10" t="e">
        <f t="shared" si="135"/>
        <v>#DIV/0!</v>
      </c>
      <c r="CY96" s="10" t="e">
        <f t="shared" si="135"/>
        <v>#DIV/0!</v>
      </c>
      <c r="CZ96" s="10" t="e">
        <f t="shared" si="135"/>
        <v>#DIV/0!</v>
      </c>
    </row>
    <row r="97" spans="4:104" x14ac:dyDescent="0.15">
      <c r="D97" s="10">
        <v>82</v>
      </c>
      <c r="E97" s="10" t="e">
        <f t="shared" si="95"/>
        <v>#VALUE!</v>
      </c>
      <c r="F97" s="10" t="e">
        <f t="shared" si="79"/>
        <v>#VALUE!</v>
      </c>
      <c r="G97" s="10" t="e">
        <f t="shared" si="80"/>
        <v>#VALUE!</v>
      </c>
      <c r="H97" s="10" t="e">
        <f t="shared" si="96"/>
        <v>#VALUE!</v>
      </c>
      <c r="I97" s="10" t="e">
        <f t="shared" si="81"/>
        <v>#VALUE!</v>
      </c>
      <c r="J97" s="10" t="e">
        <f t="shared" si="97"/>
        <v>#VALUE!</v>
      </c>
      <c r="K97" s="10" t="e">
        <f t="shared" si="82"/>
        <v>#VALUE!</v>
      </c>
      <c r="L97" s="10" t="e">
        <f t="shared" si="83"/>
        <v>#VALUE!</v>
      </c>
      <c r="M97" s="10" t="e">
        <f t="shared" si="98"/>
        <v>#VALUE!</v>
      </c>
      <c r="O97" s="10" t="e">
        <f t="shared" si="99"/>
        <v>#VALUE!</v>
      </c>
      <c r="P97" s="10" t="e">
        <f t="shared" si="84"/>
        <v>#VALUE!</v>
      </c>
      <c r="Q97" s="10" t="e">
        <f t="shared" si="85"/>
        <v>#VALUE!</v>
      </c>
      <c r="R97" s="10" t="e">
        <f t="shared" si="100"/>
        <v>#VALUE!</v>
      </c>
      <c r="S97" s="10" t="e">
        <f t="shared" si="101"/>
        <v>#VALUE!</v>
      </c>
      <c r="T97" s="10" t="e">
        <f t="shared" si="136"/>
        <v>#VALUE!</v>
      </c>
      <c r="U97" s="10" t="e">
        <f t="shared" si="137"/>
        <v>#VALUE!</v>
      </c>
      <c r="V97" s="10" t="e">
        <f t="shared" si="86"/>
        <v>#VALUE!</v>
      </c>
      <c r="W97" s="10" t="e">
        <f t="shared" si="102"/>
        <v>#VALUE!</v>
      </c>
      <c r="Y97" s="10" t="e">
        <f t="shared" si="103"/>
        <v>#VALUE!</v>
      </c>
      <c r="Z97" s="11" t="e">
        <f t="shared" si="104"/>
        <v>#VALUE!</v>
      </c>
      <c r="AA97" s="10" t="e">
        <f t="shared" si="87"/>
        <v>#VALUE!</v>
      </c>
      <c r="AB97" s="10" t="e">
        <f t="shared" si="105"/>
        <v>#VALUE!</v>
      </c>
      <c r="AC97" s="10" t="e">
        <f t="shared" si="106"/>
        <v>#VALUE!</v>
      </c>
      <c r="AD97" s="10" t="e">
        <f t="shared" si="138"/>
        <v>#VALUE!</v>
      </c>
      <c r="AE97" s="10" t="e">
        <f t="shared" si="139"/>
        <v>#VALUE!</v>
      </c>
      <c r="AF97" s="10" t="e">
        <f t="shared" si="88"/>
        <v>#VALUE!</v>
      </c>
      <c r="AG97" s="10" t="e">
        <f t="shared" si="107"/>
        <v>#VALUE!</v>
      </c>
      <c r="AI97" s="13"/>
      <c r="AK97" s="10" t="e">
        <f t="shared" si="108"/>
        <v>#VALUE!</v>
      </c>
      <c r="AL97" s="10" t="e">
        <f t="shared" si="140"/>
        <v>#VALUE!</v>
      </c>
      <c r="AM97" s="10" t="e">
        <f t="shared" si="89"/>
        <v>#VALUE!</v>
      </c>
      <c r="AN97" s="10" t="e">
        <f t="shared" si="109"/>
        <v>#VALUE!</v>
      </c>
      <c r="AO97" s="10" t="e">
        <f t="shared" si="110"/>
        <v>#VALUE!</v>
      </c>
      <c r="AP97" s="10" t="e">
        <f t="shared" si="111"/>
        <v>#VALUE!</v>
      </c>
      <c r="AQ97" s="10" t="e">
        <f t="shared" si="141"/>
        <v>#VALUE!</v>
      </c>
      <c r="AR97" s="10" t="e">
        <f t="shared" si="90"/>
        <v>#VALUE!</v>
      </c>
      <c r="AS97" s="10" t="e">
        <f t="shared" si="142"/>
        <v>#VALUE!</v>
      </c>
      <c r="AU97" s="10" t="e">
        <f t="shared" si="112"/>
        <v>#VALUE!</v>
      </c>
      <c r="AV97" s="10" t="e">
        <f t="shared" si="143"/>
        <v>#VALUE!</v>
      </c>
      <c r="AW97" s="10" t="e">
        <f t="shared" si="91"/>
        <v>#VALUE!</v>
      </c>
      <c r="AX97" s="10" t="e">
        <f t="shared" si="113"/>
        <v>#VALUE!</v>
      </c>
      <c r="AY97" s="10" t="e">
        <f t="shared" si="114"/>
        <v>#VALUE!</v>
      </c>
      <c r="AZ97" s="10" t="e">
        <f t="shared" si="115"/>
        <v>#VALUE!</v>
      </c>
      <c r="BA97" s="10" t="e">
        <f t="shared" si="144"/>
        <v>#VALUE!</v>
      </c>
      <c r="BB97" s="10" t="e">
        <f t="shared" si="92"/>
        <v>#VALUE!</v>
      </c>
      <c r="BC97" s="10" t="e">
        <f t="shared" si="145"/>
        <v>#VALUE!</v>
      </c>
      <c r="BE97" s="10" t="e">
        <f t="shared" si="116"/>
        <v>#VALUE!</v>
      </c>
      <c r="BF97" s="10" t="e">
        <f t="shared" si="146"/>
        <v>#VALUE!</v>
      </c>
      <c r="BG97" s="10" t="e">
        <f t="shared" si="93"/>
        <v>#VALUE!</v>
      </c>
      <c r="BH97" s="10" t="e">
        <f t="shared" si="117"/>
        <v>#VALUE!</v>
      </c>
      <c r="BI97" s="10" t="e">
        <f t="shared" si="118"/>
        <v>#VALUE!</v>
      </c>
      <c r="BJ97" s="10" t="e">
        <f t="shared" si="119"/>
        <v>#VALUE!</v>
      </c>
      <c r="BK97" s="10" t="e">
        <f t="shared" si="147"/>
        <v>#VALUE!</v>
      </c>
      <c r="BL97" s="10" t="e">
        <f t="shared" si="94"/>
        <v>#VALUE!</v>
      </c>
      <c r="BM97" s="10" t="e">
        <f t="shared" si="148"/>
        <v>#VALUE!</v>
      </c>
      <c r="BP97" s="10" t="e">
        <f t="shared" si="120"/>
        <v>#VALUE!</v>
      </c>
      <c r="BQ97" s="10" t="e">
        <f t="shared" si="121"/>
        <v>#VALUE!</v>
      </c>
      <c r="BR97" s="10" t="e">
        <f t="shared" si="122"/>
        <v>#VALUE!</v>
      </c>
      <c r="BS97" s="10" t="e">
        <f t="shared" si="123"/>
        <v>#VALUE!</v>
      </c>
      <c r="BT97" s="10" t="e">
        <f t="shared" si="124"/>
        <v>#VALUE!</v>
      </c>
      <c r="BU97" s="10" t="e">
        <f t="shared" si="125"/>
        <v>#VALUE!</v>
      </c>
      <c r="BW97" s="10" t="e">
        <f t="shared" si="126"/>
        <v>#VALUE!</v>
      </c>
      <c r="BX97" s="10" t="e">
        <f t="shared" si="127"/>
        <v>#VALUE!</v>
      </c>
      <c r="BY97" s="10" t="e">
        <f t="shared" si="128"/>
        <v>#VALUE!</v>
      </c>
      <c r="BZ97" s="10" t="e">
        <f t="shared" si="129"/>
        <v>#VALUE!</v>
      </c>
      <c r="CA97" s="10" t="e">
        <f t="shared" si="130"/>
        <v>#VALUE!</v>
      </c>
      <c r="CB97" s="10" t="e">
        <f t="shared" si="131"/>
        <v>#VALUE!</v>
      </c>
      <c r="CD97" s="10" t="e">
        <f>MATCH(INDEX($BP$12:$BU$12,1,MATCH(BP97,$BP$15:$BU$15,0)),结果汇总!$AI$10:$AI$13,0)</f>
        <v>#VALUE!</v>
      </c>
      <c r="CE97" s="10" t="e">
        <f>MATCH(INDEX($BP$12:$BU$12,1,MATCH(BQ97,$BP$15:$BU$15,0)),结果汇总!$AI$10:$AI$13,0)</f>
        <v>#VALUE!</v>
      </c>
      <c r="CF97" s="10" t="e">
        <f>MATCH(INDEX($BP$12:$BU$12,1,MATCH(BR97,$BP$15:$BU$15,0)),结果汇总!$AI$10:$AI$13,0)</f>
        <v>#VALUE!</v>
      </c>
      <c r="CG97" s="10" t="e">
        <f>MATCH(INDEX($BP$12:$BU$12,1,MATCH(BS97,$BP$15:$BU$15,0)),结果汇总!$AI$10:$AI$13,0)</f>
        <v>#VALUE!</v>
      </c>
      <c r="CH97" s="10" t="e">
        <f>MATCH(INDEX($BP$12:$BU$12,1,MATCH(BT97,$BP$15:$BU$15,0)),结果汇总!$AI$10:$AI$13,0)</f>
        <v>#VALUE!</v>
      </c>
      <c r="CI97" s="10" t="e">
        <f>MATCH(INDEX($BP$12:$BU$12,1,MATCH(BU97,$BP$15:$BU$15,0)),结果汇总!$AI$10:$AI$13,0)</f>
        <v>#VALUE!</v>
      </c>
      <c r="CK97" s="10">
        <f t="shared" si="132"/>
        <v>0</v>
      </c>
      <c r="CL97" s="10">
        <f t="shared" si="132"/>
        <v>0</v>
      </c>
      <c r="CM97" s="10">
        <f t="shared" si="132"/>
        <v>0</v>
      </c>
      <c r="CN97" s="10">
        <f t="shared" si="132"/>
        <v>0</v>
      </c>
      <c r="CO97" s="10" t="e">
        <f t="shared" si="133"/>
        <v>#DIV/0!</v>
      </c>
      <c r="CP97" s="10" t="e">
        <f t="shared" si="133"/>
        <v>#DIV/0!</v>
      </c>
      <c r="CQ97" s="10" t="e">
        <f t="shared" si="133"/>
        <v>#DIV/0!</v>
      </c>
      <c r="CR97" s="10" t="e">
        <f t="shared" si="133"/>
        <v>#DIV/0!</v>
      </c>
      <c r="CS97" s="10">
        <f t="shared" si="134"/>
        <v>0</v>
      </c>
      <c r="CT97" s="10">
        <f t="shared" si="134"/>
        <v>0</v>
      </c>
      <c r="CU97" s="10">
        <f t="shared" si="134"/>
        <v>0</v>
      </c>
      <c r="CV97" s="10">
        <f t="shared" si="134"/>
        <v>0</v>
      </c>
      <c r="CW97" s="10" t="e">
        <f t="shared" si="135"/>
        <v>#DIV/0!</v>
      </c>
      <c r="CX97" s="10" t="e">
        <f t="shared" si="135"/>
        <v>#DIV/0!</v>
      </c>
      <c r="CY97" s="10" t="e">
        <f t="shared" si="135"/>
        <v>#DIV/0!</v>
      </c>
      <c r="CZ97" s="10" t="e">
        <f t="shared" si="135"/>
        <v>#DIV/0!</v>
      </c>
    </row>
    <row r="98" spans="4:104" x14ac:dyDescent="0.15">
      <c r="D98" s="10">
        <v>83</v>
      </c>
      <c r="E98" s="10" t="e">
        <f t="shared" si="95"/>
        <v>#VALUE!</v>
      </c>
      <c r="F98" s="10" t="e">
        <f t="shared" si="79"/>
        <v>#VALUE!</v>
      </c>
      <c r="G98" s="10" t="e">
        <f t="shared" si="80"/>
        <v>#VALUE!</v>
      </c>
      <c r="H98" s="10" t="e">
        <f t="shared" si="96"/>
        <v>#VALUE!</v>
      </c>
      <c r="I98" s="10" t="e">
        <f t="shared" si="81"/>
        <v>#VALUE!</v>
      </c>
      <c r="J98" s="10" t="e">
        <f t="shared" si="97"/>
        <v>#VALUE!</v>
      </c>
      <c r="K98" s="10" t="e">
        <f t="shared" si="82"/>
        <v>#VALUE!</v>
      </c>
      <c r="L98" s="10" t="e">
        <f t="shared" si="83"/>
        <v>#VALUE!</v>
      </c>
      <c r="M98" s="10" t="e">
        <f t="shared" si="98"/>
        <v>#VALUE!</v>
      </c>
      <c r="O98" s="10" t="e">
        <f t="shared" si="99"/>
        <v>#VALUE!</v>
      </c>
      <c r="P98" s="10" t="e">
        <f t="shared" si="84"/>
        <v>#VALUE!</v>
      </c>
      <c r="Q98" s="10" t="e">
        <f t="shared" si="85"/>
        <v>#VALUE!</v>
      </c>
      <c r="R98" s="10" t="e">
        <f t="shared" si="100"/>
        <v>#VALUE!</v>
      </c>
      <c r="S98" s="10" t="e">
        <f t="shared" si="101"/>
        <v>#VALUE!</v>
      </c>
      <c r="T98" s="10" t="e">
        <f t="shared" si="136"/>
        <v>#VALUE!</v>
      </c>
      <c r="U98" s="10" t="e">
        <f t="shared" si="137"/>
        <v>#VALUE!</v>
      </c>
      <c r="V98" s="10" t="e">
        <f t="shared" si="86"/>
        <v>#VALUE!</v>
      </c>
      <c r="W98" s="10" t="e">
        <f t="shared" si="102"/>
        <v>#VALUE!</v>
      </c>
      <c r="Y98" s="10" t="e">
        <f t="shared" si="103"/>
        <v>#VALUE!</v>
      </c>
      <c r="Z98" s="11" t="e">
        <f t="shared" si="104"/>
        <v>#VALUE!</v>
      </c>
      <c r="AA98" s="10" t="e">
        <f t="shared" si="87"/>
        <v>#VALUE!</v>
      </c>
      <c r="AB98" s="10" t="e">
        <f t="shared" si="105"/>
        <v>#VALUE!</v>
      </c>
      <c r="AC98" s="10" t="e">
        <f t="shared" si="106"/>
        <v>#VALUE!</v>
      </c>
      <c r="AD98" s="10" t="e">
        <f t="shared" si="138"/>
        <v>#VALUE!</v>
      </c>
      <c r="AE98" s="10" t="e">
        <f t="shared" si="139"/>
        <v>#VALUE!</v>
      </c>
      <c r="AF98" s="10" t="e">
        <f t="shared" si="88"/>
        <v>#VALUE!</v>
      </c>
      <c r="AG98" s="10" t="e">
        <f t="shared" si="107"/>
        <v>#VALUE!</v>
      </c>
      <c r="AI98" s="13"/>
      <c r="AK98" s="10" t="e">
        <f t="shared" si="108"/>
        <v>#VALUE!</v>
      </c>
      <c r="AL98" s="10" t="e">
        <f t="shared" si="140"/>
        <v>#VALUE!</v>
      </c>
      <c r="AM98" s="10" t="e">
        <f t="shared" si="89"/>
        <v>#VALUE!</v>
      </c>
      <c r="AN98" s="10" t="e">
        <f t="shared" si="109"/>
        <v>#VALUE!</v>
      </c>
      <c r="AO98" s="10" t="e">
        <f t="shared" si="110"/>
        <v>#VALUE!</v>
      </c>
      <c r="AP98" s="10" t="e">
        <f t="shared" si="111"/>
        <v>#VALUE!</v>
      </c>
      <c r="AQ98" s="10" t="e">
        <f t="shared" si="141"/>
        <v>#VALUE!</v>
      </c>
      <c r="AR98" s="10" t="e">
        <f t="shared" si="90"/>
        <v>#VALUE!</v>
      </c>
      <c r="AS98" s="10" t="e">
        <f t="shared" si="142"/>
        <v>#VALUE!</v>
      </c>
      <c r="AU98" s="10" t="e">
        <f t="shared" si="112"/>
        <v>#VALUE!</v>
      </c>
      <c r="AV98" s="10" t="e">
        <f t="shared" si="143"/>
        <v>#VALUE!</v>
      </c>
      <c r="AW98" s="10" t="e">
        <f t="shared" si="91"/>
        <v>#VALUE!</v>
      </c>
      <c r="AX98" s="10" t="e">
        <f t="shared" si="113"/>
        <v>#VALUE!</v>
      </c>
      <c r="AY98" s="10" t="e">
        <f t="shared" si="114"/>
        <v>#VALUE!</v>
      </c>
      <c r="AZ98" s="10" t="e">
        <f t="shared" si="115"/>
        <v>#VALUE!</v>
      </c>
      <c r="BA98" s="10" t="e">
        <f t="shared" si="144"/>
        <v>#VALUE!</v>
      </c>
      <c r="BB98" s="10" t="e">
        <f t="shared" si="92"/>
        <v>#VALUE!</v>
      </c>
      <c r="BC98" s="10" t="e">
        <f t="shared" si="145"/>
        <v>#VALUE!</v>
      </c>
      <c r="BE98" s="10" t="e">
        <f t="shared" si="116"/>
        <v>#VALUE!</v>
      </c>
      <c r="BF98" s="10" t="e">
        <f t="shared" si="146"/>
        <v>#VALUE!</v>
      </c>
      <c r="BG98" s="10" t="e">
        <f t="shared" si="93"/>
        <v>#VALUE!</v>
      </c>
      <c r="BH98" s="10" t="e">
        <f t="shared" si="117"/>
        <v>#VALUE!</v>
      </c>
      <c r="BI98" s="10" t="e">
        <f t="shared" si="118"/>
        <v>#VALUE!</v>
      </c>
      <c r="BJ98" s="10" t="e">
        <f t="shared" si="119"/>
        <v>#VALUE!</v>
      </c>
      <c r="BK98" s="10" t="e">
        <f t="shared" si="147"/>
        <v>#VALUE!</v>
      </c>
      <c r="BL98" s="10" t="e">
        <f t="shared" si="94"/>
        <v>#VALUE!</v>
      </c>
      <c r="BM98" s="10" t="e">
        <f t="shared" si="148"/>
        <v>#VALUE!</v>
      </c>
      <c r="BP98" s="10" t="e">
        <f t="shared" si="120"/>
        <v>#VALUE!</v>
      </c>
      <c r="BQ98" s="10" t="e">
        <f t="shared" si="121"/>
        <v>#VALUE!</v>
      </c>
      <c r="BR98" s="10" t="e">
        <f t="shared" si="122"/>
        <v>#VALUE!</v>
      </c>
      <c r="BS98" s="10" t="e">
        <f t="shared" si="123"/>
        <v>#VALUE!</v>
      </c>
      <c r="BT98" s="10" t="e">
        <f t="shared" si="124"/>
        <v>#VALUE!</v>
      </c>
      <c r="BU98" s="10" t="e">
        <f t="shared" si="125"/>
        <v>#VALUE!</v>
      </c>
      <c r="BW98" s="10" t="e">
        <f t="shared" si="126"/>
        <v>#VALUE!</v>
      </c>
      <c r="BX98" s="10" t="e">
        <f t="shared" si="127"/>
        <v>#VALUE!</v>
      </c>
      <c r="BY98" s="10" t="e">
        <f t="shared" si="128"/>
        <v>#VALUE!</v>
      </c>
      <c r="BZ98" s="10" t="e">
        <f t="shared" si="129"/>
        <v>#VALUE!</v>
      </c>
      <c r="CA98" s="10" t="e">
        <f t="shared" si="130"/>
        <v>#VALUE!</v>
      </c>
      <c r="CB98" s="10" t="e">
        <f t="shared" si="131"/>
        <v>#VALUE!</v>
      </c>
      <c r="CD98" s="10" t="e">
        <f>MATCH(INDEX($BP$12:$BU$12,1,MATCH(BP98,$BP$15:$BU$15,0)),结果汇总!$AI$10:$AI$13,0)</f>
        <v>#VALUE!</v>
      </c>
      <c r="CE98" s="10" t="e">
        <f>MATCH(INDEX($BP$12:$BU$12,1,MATCH(BQ98,$BP$15:$BU$15,0)),结果汇总!$AI$10:$AI$13,0)</f>
        <v>#VALUE!</v>
      </c>
      <c r="CF98" s="10" t="e">
        <f>MATCH(INDEX($BP$12:$BU$12,1,MATCH(BR98,$BP$15:$BU$15,0)),结果汇总!$AI$10:$AI$13,0)</f>
        <v>#VALUE!</v>
      </c>
      <c r="CG98" s="10" t="e">
        <f>MATCH(INDEX($BP$12:$BU$12,1,MATCH(BS98,$BP$15:$BU$15,0)),结果汇总!$AI$10:$AI$13,0)</f>
        <v>#VALUE!</v>
      </c>
      <c r="CH98" s="10" t="e">
        <f>MATCH(INDEX($BP$12:$BU$12,1,MATCH(BT98,$BP$15:$BU$15,0)),结果汇总!$AI$10:$AI$13,0)</f>
        <v>#VALUE!</v>
      </c>
      <c r="CI98" s="10" t="e">
        <f>MATCH(INDEX($BP$12:$BU$12,1,MATCH(BU98,$BP$15:$BU$15,0)),结果汇总!$AI$10:$AI$13,0)</f>
        <v>#VALUE!</v>
      </c>
      <c r="CK98" s="10">
        <f t="shared" si="132"/>
        <v>0</v>
      </c>
      <c r="CL98" s="10">
        <f t="shared" si="132"/>
        <v>0</v>
      </c>
      <c r="CM98" s="10">
        <f t="shared" si="132"/>
        <v>0</v>
      </c>
      <c r="CN98" s="10">
        <f t="shared" si="132"/>
        <v>0</v>
      </c>
      <c r="CO98" s="10" t="e">
        <f t="shared" si="133"/>
        <v>#DIV/0!</v>
      </c>
      <c r="CP98" s="10" t="e">
        <f t="shared" si="133"/>
        <v>#DIV/0!</v>
      </c>
      <c r="CQ98" s="10" t="e">
        <f t="shared" si="133"/>
        <v>#DIV/0!</v>
      </c>
      <c r="CR98" s="10" t="e">
        <f t="shared" si="133"/>
        <v>#DIV/0!</v>
      </c>
      <c r="CS98" s="10">
        <f t="shared" si="134"/>
        <v>0</v>
      </c>
      <c r="CT98" s="10">
        <f t="shared" si="134"/>
        <v>0</v>
      </c>
      <c r="CU98" s="10">
        <f t="shared" si="134"/>
        <v>0</v>
      </c>
      <c r="CV98" s="10">
        <f t="shared" si="134"/>
        <v>0</v>
      </c>
      <c r="CW98" s="10" t="e">
        <f t="shared" si="135"/>
        <v>#DIV/0!</v>
      </c>
      <c r="CX98" s="10" t="e">
        <f t="shared" si="135"/>
        <v>#DIV/0!</v>
      </c>
      <c r="CY98" s="10" t="e">
        <f t="shared" si="135"/>
        <v>#DIV/0!</v>
      </c>
      <c r="CZ98" s="10" t="e">
        <f t="shared" si="135"/>
        <v>#DIV/0!</v>
      </c>
    </row>
    <row r="99" spans="4:104" x14ac:dyDescent="0.15">
      <c r="D99" s="10">
        <v>84</v>
      </c>
      <c r="E99" s="10" t="e">
        <f t="shared" si="95"/>
        <v>#VALUE!</v>
      </c>
      <c r="F99" s="10" t="e">
        <f t="shared" si="79"/>
        <v>#VALUE!</v>
      </c>
      <c r="G99" s="10" t="e">
        <f t="shared" si="80"/>
        <v>#VALUE!</v>
      </c>
      <c r="H99" s="10" t="e">
        <f t="shared" si="96"/>
        <v>#VALUE!</v>
      </c>
      <c r="I99" s="10" t="e">
        <f t="shared" si="81"/>
        <v>#VALUE!</v>
      </c>
      <c r="J99" s="10" t="e">
        <f t="shared" si="97"/>
        <v>#VALUE!</v>
      </c>
      <c r="K99" s="10" t="e">
        <f t="shared" si="82"/>
        <v>#VALUE!</v>
      </c>
      <c r="L99" s="10" t="e">
        <f t="shared" si="83"/>
        <v>#VALUE!</v>
      </c>
      <c r="M99" s="10" t="e">
        <f t="shared" si="98"/>
        <v>#VALUE!</v>
      </c>
      <c r="O99" s="10" t="e">
        <f t="shared" si="99"/>
        <v>#VALUE!</v>
      </c>
      <c r="P99" s="10" t="e">
        <f t="shared" si="84"/>
        <v>#VALUE!</v>
      </c>
      <c r="Q99" s="10" t="e">
        <f t="shared" si="85"/>
        <v>#VALUE!</v>
      </c>
      <c r="R99" s="10" t="e">
        <f t="shared" si="100"/>
        <v>#VALUE!</v>
      </c>
      <c r="S99" s="10" t="e">
        <f t="shared" si="101"/>
        <v>#VALUE!</v>
      </c>
      <c r="T99" s="10" t="e">
        <f t="shared" si="136"/>
        <v>#VALUE!</v>
      </c>
      <c r="U99" s="10" t="e">
        <f t="shared" si="137"/>
        <v>#VALUE!</v>
      </c>
      <c r="V99" s="10" t="e">
        <f t="shared" si="86"/>
        <v>#VALUE!</v>
      </c>
      <c r="W99" s="10" t="e">
        <f t="shared" si="102"/>
        <v>#VALUE!</v>
      </c>
      <c r="Y99" s="10" t="e">
        <f t="shared" si="103"/>
        <v>#VALUE!</v>
      </c>
      <c r="Z99" s="11" t="e">
        <f t="shared" si="104"/>
        <v>#VALUE!</v>
      </c>
      <c r="AA99" s="10" t="e">
        <f t="shared" si="87"/>
        <v>#VALUE!</v>
      </c>
      <c r="AB99" s="10" t="e">
        <f t="shared" si="105"/>
        <v>#VALUE!</v>
      </c>
      <c r="AC99" s="10" t="e">
        <f t="shared" si="106"/>
        <v>#VALUE!</v>
      </c>
      <c r="AD99" s="10" t="e">
        <f t="shared" si="138"/>
        <v>#VALUE!</v>
      </c>
      <c r="AE99" s="10" t="e">
        <f t="shared" si="139"/>
        <v>#VALUE!</v>
      </c>
      <c r="AF99" s="10" t="e">
        <f t="shared" si="88"/>
        <v>#VALUE!</v>
      </c>
      <c r="AG99" s="10" t="e">
        <f t="shared" si="107"/>
        <v>#VALUE!</v>
      </c>
      <c r="AI99" s="13"/>
      <c r="AK99" s="10" t="e">
        <f t="shared" si="108"/>
        <v>#VALUE!</v>
      </c>
      <c r="AL99" s="10" t="e">
        <f t="shared" si="140"/>
        <v>#VALUE!</v>
      </c>
      <c r="AM99" s="10" t="e">
        <f t="shared" si="89"/>
        <v>#VALUE!</v>
      </c>
      <c r="AN99" s="10" t="e">
        <f t="shared" si="109"/>
        <v>#VALUE!</v>
      </c>
      <c r="AO99" s="10" t="e">
        <f t="shared" si="110"/>
        <v>#VALUE!</v>
      </c>
      <c r="AP99" s="10" t="e">
        <f t="shared" si="111"/>
        <v>#VALUE!</v>
      </c>
      <c r="AQ99" s="10" t="e">
        <f t="shared" si="141"/>
        <v>#VALUE!</v>
      </c>
      <c r="AR99" s="10" t="e">
        <f t="shared" si="90"/>
        <v>#VALUE!</v>
      </c>
      <c r="AS99" s="10" t="e">
        <f t="shared" si="142"/>
        <v>#VALUE!</v>
      </c>
      <c r="AU99" s="10" t="e">
        <f t="shared" si="112"/>
        <v>#VALUE!</v>
      </c>
      <c r="AV99" s="10" t="e">
        <f t="shared" si="143"/>
        <v>#VALUE!</v>
      </c>
      <c r="AW99" s="10" t="e">
        <f t="shared" si="91"/>
        <v>#VALUE!</v>
      </c>
      <c r="AX99" s="10" t="e">
        <f t="shared" si="113"/>
        <v>#VALUE!</v>
      </c>
      <c r="AY99" s="10" t="e">
        <f t="shared" si="114"/>
        <v>#VALUE!</v>
      </c>
      <c r="AZ99" s="10" t="e">
        <f t="shared" si="115"/>
        <v>#VALUE!</v>
      </c>
      <c r="BA99" s="10" t="e">
        <f t="shared" si="144"/>
        <v>#VALUE!</v>
      </c>
      <c r="BB99" s="10" t="e">
        <f t="shared" si="92"/>
        <v>#VALUE!</v>
      </c>
      <c r="BC99" s="10" t="e">
        <f t="shared" si="145"/>
        <v>#VALUE!</v>
      </c>
      <c r="BE99" s="10" t="e">
        <f t="shared" si="116"/>
        <v>#VALUE!</v>
      </c>
      <c r="BF99" s="10" t="e">
        <f t="shared" si="146"/>
        <v>#VALUE!</v>
      </c>
      <c r="BG99" s="10" t="e">
        <f t="shared" si="93"/>
        <v>#VALUE!</v>
      </c>
      <c r="BH99" s="10" t="e">
        <f t="shared" si="117"/>
        <v>#VALUE!</v>
      </c>
      <c r="BI99" s="10" t="e">
        <f t="shared" si="118"/>
        <v>#VALUE!</v>
      </c>
      <c r="BJ99" s="10" t="e">
        <f t="shared" si="119"/>
        <v>#VALUE!</v>
      </c>
      <c r="BK99" s="10" t="e">
        <f t="shared" si="147"/>
        <v>#VALUE!</v>
      </c>
      <c r="BL99" s="10" t="e">
        <f t="shared" si="94"/>
        <v>#VALUE!</v>
      </c>
      <c r="BM99" s="10" t="e">
        <f t="shared" si="148"/>
        <v>#VALUE!</v>
      </c>
      <c r="BP99" s="10" t="e">
        <f t="shared" si="120"/>
        <v>#VALUE!</v>
      </c>
      <c r="BQ99" s="10" t="e">
        <f t="shared" si="121"/>
        <v>#VALUE!</v>
      </c>
      <c r="BR99" s="10" t="e">
        <f t="shared" si="122"/>
        <v>#VALUE!</v>
      </c>
      <c r="BS99" s="10" t="e">
        <f t="shared" si="123"/>
        <v>#VALUE!</v>
      </c>
      <c r="BT99" s="10" t="e">
        <f t="shared" si="124"/>
        <v>#VALUE!</v>
      </c>
      <c r="BU99" s="10" t="e">
        <f t="shared" si="125"/>
        <v>#VALUE!</v>
      </c>
      <c r="BW99" s="10" t="e">
        <f t="shared" si="126"/>
        <v>#VALUE!</v>
      </c>
      <c r="BX99" s="10" t="e">
        <f t="shared" si="127"/>
        <v>#VALUE!</v>
      </c>
      <c r="BY99" s="10" t="e">
        <f t="shared" si="128"/>
        <v>#VALUE!</v>
      </c>
      <c r="BZ99" s="10" t="e">
        <f t="shared" si="129"/>
        <v>#VALUE!</v>
      </c>
      <c r="CA99" s="10" t="e">
        <f t="shared" si="130"/>
        <v>#VALUE!</v>
      </c>
      <c r="CB99" s="10" t="e">
        <f t="shared" si="131"/>
        <v>#VALUE!</v>
      </c>
      <c r="CD99" s="10" t="e">
        <f>MATCH(INDEX($BP$12:$BU$12,1,MATCH(BP99,$BP$15:$BU$15,0)),结果汇总!$AI$10:$AI$13,0)</f>
        <v>#VALUE!</v>
      </c>
      <c r="CE99" s="10" t="e">
        <f>MATCH(INDEX($BP$12:$BU$12,1,MATCH(BQ99,$BP$15:$BU$15,0)),结果汇总!$AI$10:$AI$13,0)</f>
        <v>#VALUE!</v>
      </c>
      <c r="CF99" s="10" t="e">
        <f>MATCH(INDEX($BP$12:$BU$12,1,MATCH(BR99,$BP$15:$BU$15,0)),结果汇总!$AI$10:$AI$13,0)</f>
        <v>#VALUE!</v>
      </c>
      <c r="CG99" s="10" t="e">
        <f>MATCH(INDEX($BP$12:$BU$12,1,MATCH(BS99,$BP$15:$BU$15,0)),结果汇总!$AI$10:$AI$13,0)</f>
        <v>#VALUE!</v>
      </c>
      <c r="CH99" s="10" t="e">
        <f>MATCH(INDEX($BP$12:$BU$12,1,MATCH(BT99,$BP$15:$BU$15,0)),结果汇总!$AI$10:$AI$13,0)</f>
        <v>#VALUE!</v>
      </c>
      <c r="CI99" s="10" t="e">
        <f>MATCH(INDEX($BP$12:$BU$12,1,MATCH(BU99,$BP$15:$BU$15,0)),结果汇总!$AI$10:$AI$13,0)</f>
        <v>#VALUE!</v>
      </c>
      <c r="CK99" s="10">
        <f t="shared" si="132"/>
        <v>0</v>
      </c>
      <c r="CL99" s="10">
        <f t="shared" si="132"/>
        <v>0</v>
      </c>
      <c r="CM99" s="10">
        <f t="shared" si="132"/>
        <v>0</v>
      </c>
      <c r="CN99" s="10">
        <f t="shared" si="132"/>
        <v>0</v>
      </c>
      <c r="CO99" s="10" t="e">
        <f t="shared" si="133"/>
        <v>#DIV/0!</v>
      </c>
      <c r="CP99" s="10" t="e">
        <f t="shared" si="133"/>
        <v>#DIV/0!</v>
      </c>
      <c r="CQ99" s="10" t="e">
        <f t="shared" si="133"/>
        <v>#DIV/0!</v>
      </c>
      <c r="CR99" s="10" t="e">
        <f t="shared" si="133"/>
        <v>#DIV/0!</v>
      </c>
      <c r="CS99" s="10">
        <f t="shared" si="134"/>
        <v>0</v>
      </c>
      <c r="CT99" s="10">
        <f t="shared" si="134"/>
        <v>0</v>
      </c>
      <c r="CU99" s="10">
        <f t="shared" si="134"/>
        <v>0</v>
      </c>
      <c r="CV99" s="10">
        <f t="shared" si="134"/>
        <v>0</v>
      </c>
      <c r="CW99" s="10" t="e">
        <f t="shared" si="135"/>
        <v>#DIV/0!</v>
      </c>
      <c r="CX99" s="10" t="e">
        <f t="shared" si="135"/>
        <v>#DIV/0!</v>
      </c>
      <c r="CY99" s="10" t="e">
        <f t="shared" si="135"/>
        <v>#DIV/0!</v>
      </c>
      <c r="CZ99" s="10" t="e">
        <f t="shared" si="135"/>
        <v>#DIV/0!</v>
      </c>
    </row>
    <row r="100" spans="4:104" x14ac:dyDescent="0.15">
      <c r="D100" s="10">
        <v>85</v>
      </c>
      <c r="E100" s="10" t="e">
        <f t="shared" si="95"/>
        <v>#VALUE!</v>
      </c>
      <c r="F100" s="10" t="e">
        <f t="shared" si="79"/>
        <v>#VALUE!</v>
      </c>
      <c r="G100" s="10" t="e">
        <f t="shared" si="80"/>
        <v>#VALUE!</v>
      </c>
      <c r="H100" s="10" t="e">
        <f t="shared" si="96"/>
        <v>#VALUE!</v>
      </c>
      <c r="I100" s="10" t="e">
        <f t="shared" si="81"/>
        <v>#VALUE!</v>
      </c>
      <c r="J100" s="10" t="e">
        <f t="shared" si="97"/>
        <v>#VALUE!</v>
      </c>
      <c r="K100" s="10" t="e">
        <f t="shared" si="82"/>
        <v>#VALUE!</v>
      </c>
      <c r="L100" s="10" t="e">
        <f t="shared" si="83"/>
        <v>#VALUE!</v>
      </c>
      <c r="M100" s="10" t="e">
        <f t="shared" si="98"/>
        <v>#VALUE!</v>
      </c>
      <c r="O100" s="10" t="e">
        <f t="shared" si="99"/>
        <v>#VALUE!</v>
      </c>
      <c r="P100" s="10" t="e">
        <f t="shared" si="84"/>
        <v>#VALUE!</v>
      </c>
      <c r="Q100" s="10" t="e">
        <f t="shared" si="85"/>
        <v>#VALUE!</v>
      </c>
      <c r="R100" s="10" t="e">
        <f t="shared" si="100"/>
        <v>#VALUE!</v>
      </c>
      <c r="S100" s="10" t="e">
        <f t="shared" si="101"/>
        <v>#VALUE!</v>
      </c>
      <c r="T100" s="10" t="e">
        <f t="shared" si="136"/>
        <v>#VALUE!</v>
      </c>
      <c r="U100" s="10" t="e">
        <f t="shared" si="137"/>
        <v>#VALUE!</v>
      </c>
      <c r="V100" s="10" t="e">
        <f t="shared" si="86"/>
        <v>#VALUE!</v>
      </c>
      <c r="W100" s="10" t="e">
        <f t="shared" si="102"/>
        <v>#VALUE!</v>
      </c>
      <c r="Y100" s="10" t="e">
        <f t="shared" si="103"/>
        <v>#VALUE!</v>
      </c>
      <c r="Z100" s="11" t="e">
        <f t="shared" si="104"/>
        <v>#VALUE!</v>
      </c>
      <c r="AA100" s="10" t="e">
        <f t="shared" si="87"/>
        <v>#VALUE!</v>
      </c>
      <c r="AB100" s="10" t="e">
        <f t="shared" si="105"/>
        <v>#VALUE!</v>
      </c>
      <c r="AC100" s="10" t="e">
        <f t="shared" si="106"/>
        <v>#VALUE!</v>
      </c>
      <c r="AD100" s="10" t="e">
        <f t="shared" si="138"/>
        <v>#VALUE!</v>
      </c>
      <c r="AE100" s="10" t="e">
        <f t="shared" si="139"/>
        <v>#VALUE!</v>
      </c>
      <c r="AF100" s="10" t="e">
        <f t="shared" si="88"/>
        <v>#VALUE!</v>
      </c>
      <c r="AG100" s="10" t="e">
        <f t="shared" si="107"/>
        <v>#VALUE!</v>
      </c>
      <c r="AI100" s="13"/>
      <c r="AK100" s="10" t="e">
        <f t="shared" si="108"/>
        <v>#VALUE!</v>
      </c>
      <c r="AL100" s="10" t="e">
        <f t="shared" si="140"/>
        <v>#VALUE!</v>
      </c>
      <c r="AM100" s="10" t="e">
        <f t="shared" si="89"/>
        <v>#VALUE!</v>
      </c>
      <c r="AN100" s="10" t="e">
        <f t="shared" si="109"/>
        <v>#VALUE!</v>
      </c>
      <c r="AO100" s="10" t="e">
        <f t="shared" si="110"/>
        <v>#VALUE!</v>
      </c>
      <c r="AP100" s="10" t="e">
        <f t="shared" si="111"/>
        <v>#VALUE!</v>
      </c>
      <c r="AQ100" s="10" t="e">
        <f t="shared" si="141"/>
        <v>#VALUE!</v>
      </c>
      <c r="AR100" s="10" t="e">
        <f t="shared" si="90"/>
        <v>#VALUE!</v>
      </c>
      <c r="AS100" s="10" t="e">
        <f t="shared" si="142"/>
        <v>#VALUE!</v>
      </c>
      <c r="AU100" s="10" t="e">
        <f t="shared" si="112"/>
        <v>#VALUE!</v>
      </c>
      <c r="AV100" s="10" t="e">
        <f t="shared" si="143"/>
        <v>#VALUE!</v>
      </c>
      <c r="AW100" s="10" t="e">
        <f t="shared" si="91"/>
        <v>#VALUE!</v>
      </c>
      <c r="AX100" s="10" t="e">
        <f t="shared" si="113"/>
        <v>#VALUE!</v>
      </c>
      <c r="AY100" s="10" t="e">
        <f t="shared" si="114"/>
        <v>#VALUE!</v>
      </c>
      <c r="AZ100" s="10" t="e">
        <f t="shared" si="115"/>
        <v>#VALUE!</v>
      </c>
      <c r="BA100" s="10" t="e">
        <f t="shared" si="144"/>
        <v>#VALUE!</v>
      </c>
      <c r="BB100" s="10" t="e">
        <f t="shared" si="92"/>
        <v>#VALUE!</v>
      </c>
      <c r="BC100" s="10" t="e">
        <f t="shared" si="145"/>
        <v>#VALUE!</v>
      </c>
      <c r="BE100" s="10" t="e">
        <f t="shared" si="116"/>
        <v>#VALUE!</v>
      </c>
      <c r="BF100" s="10" t="e">
        <f t="shared" si="146"/>
        <v>#VALUE!</v>
      </c>
      <c r="BG100" s="10" t="e">
        <f t="shared" si="93"/>
        <v>#VALUE!</v>
      </c>
      <c r="BH100" s="10" t="e">
        <f t="shared" si="117"/>
        <v>#VALUE!</v>
      </c>
      <c r="BI100" s="10" t="e">
        <f t="shared" si="118"/>
        <v>#VALUE!</v>
      </c>
      <c r="BJ100" s="10" t="e">
        <f t="shared" si="119"/>
        <v>#VALUE!</v>
      </c>
      <c r="BK100" s="10" t="e">
        <f t="shared" si="147"/>
        <v>#VALUE!</v>
      </c>
      <c r="BL100" s="10" t="e">
        <f t="shared" si="94"/>
        <v>#VALUE!</v>
      </c>
      <c r="BM100" s="10" t="e">
        <f t="shared" si="148"/>
        <v>#VALUE!</v>
      </c>
      <c r="BP100" s="10" t="e">
        <f t="shared" si="120"/>
        <v>#VALUE!</v>
      </c>
      <c r="BQ100" s="10" t="e">
        <f t="shared" si="121"/>
        <v>#VALUE!</v>
      </c>
      <c r="BR100" s="10" t="e">
        <f t="shared" si="122"/>
        <v>#VALUE!</v>
      </c>
      <c r="BS100" s="10" t="e">
        <f t="shared" si="123"/>
        <v>#VALUE!</v>
      </c>
      <c r="BT100" s="10" t="e">
        <f t="shared" si="124"/>
        <v>#VALUE!</v>
      </c>
      <c r="BU100" s="10" t="e">
        <f t="shared" si="125"/>
        <v>#VALUE!</v>
      </c>
      <c r="BW100" s="10" t="e">
        <f t="shared" si="126"/>
        <v>#VALUE!</v>
      </c>
      <c r="BX100" s="10" t="e">
        <f t="shared" si="127"/>
        <v>#VALUE!</v>
      </c>
      <c r="BY100" s="10" t="e">
        <f t="shared" si="128"/>
        <v>#VALUE!</v>
      </c>
      <c r="BZ100" s="10" t="e">
        <f t="shared" si="129"/>
        <v>#VALUE!</v>
      </c>
      <c r="CA100" s="10" t="e">
        <f t="shared" si="130"/>
        <v>#VALUE!</v>
      </c>
      <c r="CB100" s="10" t="e">
        <f t="shared" si="131"/>
        <v>#VALUE!</v>
      </c>
      <c r="CD100" s="10" t="e">
        <f>MATCH(INDEX($BP$12:$BU$12,1,MATCH(BP100,$BP$15:$BU$15,0)),结果汇总!$AI$10:$AI$13,0)</f>
        <v>#VALUE!</v>
      </c>
      <c r="CE100" s="10" t="e">
        <f>MATCH(INDEX($BP$12:$BU$12,1,MATCH(BQ100,$BP$15:$BU$15,0)),结果汇总!$AI$10:$AI$13,0)</f>
        <v>#VALUE!</v>
      </c>
      <c r="CF100" s="10" t="e">
        <f>MATCH(INDEX($BP$12:$BU$12,1,MATCH(BR100,$BP$15:$BU$15,0)),结果汇总!$AI$10:$AI$13,0)</f>
        <v>#VALUE!</v>
      </c>
      <c r="CG100" s="10" t="e">
        <f>MATCH(INDEX($BP$12:$BU$12,1,MATCH(BS100,$BP$15:$BU$15,0)),结果汇总!$AI$10:$AI$13,0)</f>
        <v>#VALUE!</v>
      </c>
      <c r="CH100" s="10" t="e">
        <f>MATCH(INDEX($BP$12:$BU$12,1,MATCH(BT100,$BP$15:$BU$15,0)),结果汇总!$AI$10:$AI$13,0)</f>
        <v>#VALUE!</v>
      </c>
      <c r="CI100" s="10" t="e">
        <f>MATCH(INDEX($BP$12:$BU$12,1,MATCH(BU100,$BP$15:$BU$15,0)),结果汇总!$AI$10:$AI$13,0)</f>
        <v>#VALUE!</v>
      </c>
      <c r="CK100" s="10">
        <f t="shared" si="132"/>
        <v>0</v>
      </c>
      <c r="CL100" s="10">
        <f t="shared" si="132"/>
        <v>0</v>
      </c>
      <c r="CM100" s="10">
        <f t="shared" si="132"/>
        <v>0</v>
      </c>
      <c r="CN100" s="10">
        <f t="shared" si="132"/>
        <v>0</v>
      </c>
      <c r="CO100" s="10" t="e">
        <f t="shared" si="133"/>
        <v>#DIV/0!</v>
      </c>
      <c r="CP100" s="10" t="e">
        <f t="shared" si="133"/>
        <v>#DIV/0!</v>
      </c>
      <c r="CQ100" s="10" t="e">
        <f t="shared" si="133"/>
        <v>#DIV/0!</v>
      </c>
      <c r="CR100" s="10" t="e">
        <f t="shared" si="133"/>
        <v>#DIV/0!</v>
      </c>
      <c r="CS100" s="10">
        <f t="shared" si="134"/>
        <v>0</v>
      </c>
      <c r="CT100" s="10">
        <f t="shared" si="134"/>
        <v>0</v>
      </c>
      <c r="CU100" s="10">
        <f t="shared" si="134"/>
        <v>0</v>
      </c>
      <c r="CV100" s="10">
        <f t="shared" si="134"/>
        <v>0</v>
      </c>
      <c r="CW100" s="10" t="e">
        <f t="shared" si="135"/>
        <v>#DIV/0!</v>
      </c>
      <c r="CX100" s="10" t="e">
        <f t="shared" si="135"/>
        <v>#DIV/0!</v>
      </c>
      <c r="CY100" s="10" t="e">
        <f t="shared" si="135"/>
        <v>#DIV/0!</v>
      </c>
      <c r="CZ100" s="10" t="e">
        <f t="shared" si="135"/>
        <v>#DIV/0!</v>
      </c>
    </row>
    <row r="101" spans="4:104" x14ac:dyDescent="0.15">
      <c r="D101" s="10">
        <v>86</v>
      </c>
      <c r="E101" s="10" t="e">
        <f t="shared" si="95"/>
        <v>#VALUE!</v>
      </c>
      <c r="F101" s="10" t="e">
        <f t="shared" si="79"/>
        <v>#VALUE!</v>
      </c>
      <c r="G101" s="10" t="e">
        <f t="shared" si="80"/>
        <v>#VALUE!</v>
      </c>
      <c r="H101" s="10" t="e">
        <f t="shared" si="96"/>
        <v>#VALUE!</v>
      </c>
      <c r="I101" s="10" t="e">
        <f t="shared" si="81"/>
        <v>#VALUE!</v>
      </c>
      <c r="J101" s="10" t="e">
        <f t="shared" si="97"/>
        <v>#VALUE!</v>
      </c>
      <c r="K101" s="10" t="e">
        <f t="shared" si="82"/>
        <v>#VALUE!</v>
      </c>
      <c r="L101" s="10" t="e">
        <f t="shared" si="83"/>
        <v>#VALUE!</v>
      </c>
      <c r="M101" s="10" t="e">
        <f t="shared" si="98"/>
        <v>#VALUE!</v>
      </c>
      <c r="O101" s="10" t="e">
        <f t="shared" si="99"/>
        <v>#VALUE!</v>
      </c>
      <c r="P101" s="10" t="e">
        <f t="shared" si="84"/>
        <v>#VALUE!</v>
      </c>
      <c r="Q101" s="10" t="e">
        <f t="shared" si="85"/>
        <v>#VALUE!</v>
      </c>
      <c r="R101" s="10" t="e">
        <f t="shared" si="100"/>
        <v>#VALUE!</v>
      </c>
      <c r="S101" s="10" t="e">
        <f t="shared" si="101"/>
        <v>#VALUE!</v>
      </c>
      <c r="T101" s="10" t="e">
        <f t="shared" si="136"/>
        <v>#VALUE!</v>
      </c>
      <c r="U101" s="10" t="e">
        <f t="shared" si="137"/>
        <v>#VALUE!</v>
      </c>
      <c r="V101" s="10" t="e">
        <f t="shared" si="86"/>
        <v>#VALUE!</v>
      </c>
      <c r="W101" s="10" t="e">
        <f t="shared" si="102"/>
        <v>#VALUE!</v>
      </c>
      <c r="Y101" s="10" t="e">
        <f t="shared" si="103"/>
        <v>#VALUE!</v>
      </c>
      <c r="Z101" s="11" t="e">
        <f t="shared" si="104"/>
        <v>#VALUE!</v>
      </c>
      <c r="AA101" s="10" t="e">
        <f t="shared" si="87"/>
        <v>#VALUE!</v>
      </c>
      <c r="AB101" s="10" t="e">
        <f t="shared" si="105"/>
        <v>#VALUE!</v>
      </c>
      <c r="AC101" s="10" t="e">
        <f t="shared" si="106"/>
        <v>#VALUE!</v>
      </c>
      <c r="AD101" s="10" t="e">
        <f t="shared" si="138"/>
        <v>#VALUE!</v>
      </c>
      <c r="AE101" s="10" t="e">
        <f t="shared" si="139"/>
        <v>#VALUE!</v>
      </c>
      <c r="AF101" s="10" t="e">
        <f t="shared" si="88"/>
        <v>#VALUE!</v>
      </c>
      <c r="AG101" s="10" t="e">
        <f t="shared" si="107"/>
        <v>#VALUE!</v>
      </c>
      <c r="AI101" s="13"/>
      <c r="AK101" s="10" t="e">
        <f t="shared" si="108"/>
        <v>#VALUE!</v>
      </c>
      <c r="AL101" s="10" t="e">
        <f t="shared" si="140"/>
        <v>#VALUE!</v>
      </c>
      <c r="AM101" s="10" t="e">
        <f t="shared" si="89"/>
        <v>#VALUE!</v>
      </c>
      <c r="AN101" s="10" t="e">
        <f t="shared" si="109"/>
        <v>#VALUE!</v>
      </c>
      <c r="AO101" s="10" t="e">
        <f t="shared" si="110"/>
        <v>#VALUE!</v>
      </c>
      <c r="AP101" s="10" t="e">
        <f t="shared" si="111"/>
        <v>#VALUE!</v>
      </c>
      <c r="AQ101" s="10" t="e">
        <f t="shared" si="141"/>
        <v>#VALUE!</v>
      </c>
      <c r="AR101" s="10" t="e">
        <f t="shared" si="90"/>
        <v>#VALUE!</v>
      </c>
      <c r="AS101" s="10" t="e">
        <f t="shared" si="142"/>
        <v>#VALUE!</v>
      </c>
      <c r="AU101" s="10" t="e">
        <f t="shared" si="112"/>
        <v>#VALUE!</v>
      </c>
      <c r="AV101" s="10" t="e">
        <f t="shared" si="143"/>
        <v>#VALUE!</v>
      </c>
      <c r="AW101" s="10" t="e">
        <f t="shared" si="91"/>
        <v>#VALUE!</v>
      </c>
      <c r="AX101" s="10" t="e">
        <f t="shared" si="113"/>
        <v>#VALUE!</v>
      </c>
      <c r="AY101" s="10" t="e">
        <f t="shared" si="114"/>
        <v>#VALUE!</v>
      </c>
      <c r="AZ101" s="10" t="e">
        <f t="shared" si="115"/>
        <v>#VALUE!</v>
      </c>
      <c r="BA101" s="10" t="e">
        <f t="shared" si="144"/>
        <v>#VALUE!</v>
      </c>
      <c r="BB101" s="10" t="e">
        <f t="shared" si="92"/>
        <v>#VALUE!</v>
      </c>
      <c r="BC101" s="10" t="e">
        <f t="shared" si="145"/>
        <v>#VALUE!</v>
      </c>
      <c r="BE101" s="10" t="e">
        <f t="shared" si="116"/>
        <v>#VALUE!</v>
      </c>
      <c r="BF101" s="10" t="e">
        <f t="shared" si="146"/>
        <v>#VALUE!</v>
      </c>
      <c r="BG101" s="10" t="e">
        <f t="shared" si="93"/>
        <v>#VALUE!</v>
      </c>
      <c r="BH101" s="10" t="e">
        <f t="shared" si="117"/>
        <v>#VALUE!</v>
      </c>
      <c r="BI101" s="10" t="e">
        <f t="shared" si="118"/>
        <v>#VALUE!</v>
      </c>
      <c r="BJ101" s="10" t="e">
        <f t="shared" si="119"/>
        <v>#VALUE!</v>
      </c>
      <c r="BK101" s="10" t="e">
        <f t="shared" si="147"/>
        <v>#VALUE!</v>
      </c>
      <c r="BL101" s="10" t="e">
        <f t="shared" si="94"/>
        <v>#VALUE!</v>
      </c>
      <c r="BM101" s="10" t="e">
        <f t="shared" si="148"/>
        <v>#VALUE!</v>
      </c>
      <c r="BP101" s="10" t="e">
        <f t="shared" si="120"/>
        <v>#VALUE!</v>
      </c>
      <c r="BQ101" s="10" t="e">
        <f t="shared" si="121"/>
        <v>#VALUE!</v>
      </c>
      <c r="BR101" s="10" t="e">
        <f t="shared" si="122"/>
        <v>#VALUE!</v>
      </c>
      <c r="BS101" s="10" t="e">
        <f t="shared" si="123"/>
        <v>#VALUE!</v>
      </c>
      <c r="BT101" s="10" t="e">
        <f t="shared" si="124"/>
        <v>#VALUE!</v>
      </c>
      <c r="BU101" s="10" t="e">
        <f t="shared" si="125"/>
        <v>#VALUE!</v>
      </c>
      <c r="BW101" s="10" t="e">
        <f t="shared" si="126"/>
        <v>#VALUE!</v>
      </c>
      <c r="BX101" s="10" t="e">
        <f t="shared" si="127"/>
        <v>#VALUE!</v>
      </c>
      <c r="BY101" s="10" t="e">
        <f t="shared" si="128"/>
        <v>#VALUE!</v>
      </c>
      <c r="BZ101" s="10" t="e">
        <f t="shared" si="129"/>
        <v>#VALUE!</v>
      </c>
      <c r="CA101" s="10" t="e">
        <f t="shared" si="130"/>
        <v>#VALUE!</v>
      </c>
      <c r="CB101" s="10" t="e">
        <f t="shared" si="131"/>
        <v>#VALUE!</v>
      </c>
      <c r="CD101" s="10" t="e">
        <f>MATCH(INDEX($BP$12:$BU$12,1,MATCH(BP101,$BP$15:$BU$15,0)),结果汇总!$AI$10:$AI$13,0)</f>
        <v>#VALUE!</v>
      </c>
      <c r="CE101" s="10" t="e">
        <f>MATCH(INDEX($BP$12:$BU$12,1,MATCH(BQ101,$BP$15:$BU$15,0)),结果汇总!$AI$10:$AI$13,0)</f>
        <v>#VALUE!</v>
      </c>
      <c r="CF101" s="10" t="e">
        <f>MATCH(INDEX($BP$12:$BU$12,1,MATCH(BR101,$BP$15:$BU$15,0)),结果汇总!$AI$10:$AI$13,0)</f>
        <v>#VALUE!</v>
      </c>
      <c r="CG101" s="10" t="e">
        <f>MATCH(INDEX($BP$12:$BU$12,1,MATCH(BS101,$BP$15:$BU$15,0)),结果汇总!$AI$10:$AI$13,0)</f>
        <v>#VALUE!</v>
      </c>
      <c r="CH101" s="10" t="e">
        <f>MATCH(INDEX($BP$12:$BU$12,1,MATCH(BT101,$BP$15:$BU$15,0)),结果汇总!$AI$10:$AI$13,0)</f>
        <v>#VALUE!</v>
      </c>
      <c r="CI101" s="10" t="e">
        <f>MATCH(INDEX($BP$12:$BU$12,1,MATCH(BU101,$BP$15:$BU$15,0)),结果汇总!$AI$10:$AI$13,0)</f>
        <v>#VALUE!</v>
      </c>
      <c r="CK101" s="10">
        <f t="shared" si="132"/>
        <v>0</v>
      </c>
      <c r="CL101" s="10">
        <f t="shared" si="132"/>
        <v>0</v>
      </c>
      <c r="CM101" s="10">
        <f t="shared" si="132"/>
        <v>0</v>
      </c>
      <c r="CN101" s="10">
        <f t="shared" si="132"/>
        <v>0</v>
      </c>
      <c r="CO101" s="10" t="e">
        <f t="shared" si="133"/>
        <v>#DIV/0!</v>
      </c>
      <c r="CP101" s="10" t="e">
        <f t="shared" si="133"/>
        <v>#DIV/0!</v>
      </c>
      <c r="CQ101" s="10" t="e">
        <f t="shared" si="133"/>
        <v>#DIV/0!</v>
      </c>
      <c r="CR101" s="10" t="e">
        <f t="shared" si="133"/>
        <v>#DIV/0!</v>
      </c>
      <c r="CS101" s="10">
        <f t="shared" si="134"/>
        <v>0</v>
      </c>
      <c r="CT101" s="10">
        <f t="shared" si="134"/>
        <v>0</v>
      </c>
      <c r="CU101" s="10">
        <f t="shared" si="134"/>
        <v>0</v>
      </c>
      <c r="CV101" s="10">
        <f t="shared" si="134"/>
        <v>0</v>
      </c>
      <c r="CW101" s="10" t="e">
        <f t="shared" si="135"/>
        <v>#DIV/0!</v>
      </c>
      <c r="CX101" s="10" t="e">
        <f t="shared" si="135"/>
        <v>#DIV/0!</v>
      </c>
      <c r="CY101" s="10" t="e">
        <f t="shared" si="135"/>
        <v>#DIV/0!</v>
      </c>
      <c r="CZ101" s="10" t="e">
        <f t="shared" si="135"/>
        <v>#DIV/0!</v>
      </c>
    </row>
    <row r="102" spans="4:104" x14ac:dyDescent="0.15">
      <c r="D102" s="10">
        <v>87</v>
      </c>
      <c r="E102" s="10" t="e">
        <f t="shared" si="95"/>
        <v>#VALUE!</v>
      </c>
      <c r="F102" s="10" t="e">
        <f t="shared" si="79"/>
        <v>#VALUE!</v>
      </c>
      <c r="G102" s="10" t="e">
        <f t="shared" si="80"/>
        <v>#VALUE!</v>
      </c>
      <c r="H102" s="10" t="e">
        <f t="shared" si="96"/>
        <v>#VALUE!</v>
      </c>
      <c r="I102" s="10" t="e">
        <f t="shared" si="81"/>
        <v>#VALUE!</v>
      </c>
      <c r="J102" s="10" t="e">
        <f t="shared" si="97"/>
        <v>#VALUE!</v>
      </c>
      <c r="K102" s="10" t="e">
        <f t="shared" si="82"/>
        <v>#VALUE!</v>
      </c>
      <c r="L102" s="10" t="e">
        <f t="shared" si="83"/>
        <v>#VALUE!</v>
      </c>
      <c r="M102" s="10" t="e">
        <f t="shared" si="98"/>
        <v>#VALUE!</v>
      </c>
      <c r="O102" s="10" t="e">
        <f t="shared" si="99"/>
        <v>#VALUE!</v>
      </c>
      <c r="P102" s="10" t="e">
        <f t="shared" si="84"/>
        <v>#VALUE!</v>
      </c>
      <c r="Q102" s="10" t="e">
        <f t="shared" si="85"/>
        <v>#VALUE!</v>
      </c>
      <c r="R102" s="10" t="e">
        <f t="shared" si="100"/>
        <v>#VALUE!</v>
      </c>
      <c r="S102" s="10" t="e">
        <f t="shared" si="101"/>
        <v>#VALUE!</v>
      </c>
      <c r="T102" s="10" t="e">
        <f t="shared" si="136"/>
        <v>#VALUE!</v>
      </c>
      <c r="U102" s="10" t="e">
        <f t="shared" si="137"/>
        <v>#VALUE!</v>
      </c>
      <c r="V102" s="10" t="e">
        <f t="shared" si="86"/>
        <v>#VALUE!</v>
      </c>
      <c r="W102" s="10" t="e">
        <f t="shared" si="102"/>
        <v>#VALUE!</v>
      </c>
      <c r="Y102" s="10" t="e">
        <f t="shared" si="103"/>
        <v>#VALUE!</v>
      </c>
      <c r="Z102" s="11" t="e">
        <f t="shared" si="104"/>
        <v>#VALUE!</v>
      </c>
      <c r="AA102" s="10" t="e">
        <f t="shared" si="87"/>
        <v>#VALUE!</v>
      </c>
      <c r="AB102" s="10" t="e">
        <f t="shared" si="105"/>
        <v>#VALUE!</v>
      </c>
      <c r="AC102" s="10" t="e">
        <f t="shared" si="106"/>
        <v>#VALUE!</v>
      </c>
      <c r="AD102" s="10" t="e">
        <f t="shared" si="138"/>
        <v>#VALUE!</v>
      </c>
      <c r="AE102" s="10" t="e">
        <f t="shared" si="139"/>
        <v>#VALUE!</v>
      </c>
      <c r="AF102" s="10" t="e">
        <f t="shared" si="88"/>
        <v>#VALUE!</v>
      </c>
      <c r="AG102" s="10" t="e">
        <f t="shared" si="107"/>
        <v>#VALUE!</v>
      </c>
      <c r="AI102" s="13"/>
      <c r="AK102" s="10" t="e">
        <f t="shared" si="108"/>
        <v>#VALUE!</v>
      </c>
      <c r="AL102" s="10" t="e">
        <f t="shared" si="140"/>
        <v>#VALUE!</v>
      </c>
      <c r="AM102" s="10" t="e">
        <f t="shared" si="89"/>
        <v>#VALUE!</v>
      </c>
      <c r="AN102" s="10" t="e">
        <f t="shared" si="109"/>
        <v>#VALUE!</v>
      </c>
      <c r="AO102" s="10" t="e">
        <f t="shared" si="110"/>
        <v>#VALUE!</v>
      </c>
      <c r="AP102" s="10" t="e">
        <f t="shared" si="111"/>
        <v>#VALUE!</v>
      </c>
      <c r="AQ102" s="10" t="e">
        <f t="shared" si="141"/>
        <v>#VALUE!</v>
      </c>
      <c r="AR102" s="10" t="e">
        <f t="shared" si="90"/>
        <v>#VALUE!</v>
      </c>
      <c r="AS102" s="10" t="e">
        <f t="shared" si="142"/>
        <v>#VALUE!</v>
      </c>
      <c r="AU102" s="10" t="e">
        <f t="shared" si="112"/>
        <v>#VALUE!</v>
      </c>
      <c r="AV102" s="10" t="e">
        <f t="shared" si="143"/>
        <v>#VALUE!</v>
      </c>
      <c r="AW102" s="10" t="e">
        <f t="shared" si="91"/>
        <v>#VALUE!</v>
      </c>
      <c r="AX102" s="10" t="e">
        <f t="shared" si="113"/>
        <v>#VALUE!</v>
      </c>
      <c r="AY102" s="10" t="e">
        <f t="shared" si="114"/>
        <v>#VALUE!</v>
      </c>
      <c r="AZ102" s="10" t="e">
        <f t="shared" si="115"/>
        <v>#VALUE!</v>
      </c>
      <c r="BA102" s="10" t="e">
        <f t="shared" si="144"/>
        <v>#VALUE!</v>
      </c>
      <c r="BB102" s="10" t="e">
        <f t="shared" si="92"/>
        <v>#VALUE!</v>
      </c>
      <c r="BC102" s="10" t="e">
        <f t="shared" si="145"/>
        <v>#VALUE!</v>
      </c>
      <c r="BE102" s="10" t="e">
        <f t="shared" si="116"/>
        <v>#VALUE!</v>
      </c>
      <c r="BF102" s="10" t="e">
        <f t="shared" si="146"/>
        <v>#VALUE!</v>
      </c>
      <c r="BG102" s="10" t="e">
        <f t="shared" si="93"/>
        <v>#VALUE!</v>
      </c>
      <c r="BH102" s="10" t="e">
        <f t="shared" si="117"/>
        <v>#VALUE!</v>
      </c>
      <c r="BI102" s="10" t="e">
        <f t="shared" si="118"/>
        <v>#VALUE!</v>
      </c>
      <c r="BJ102" s="10" t="e">
        <f t="shared" si="119"/>
        <v>#VALUE!</v>
      </c>
      <c r="BK102" s="10" t="e">
        <f t="shared" si="147"/>
        <v>#VALUE!</v>
      </c>
      <c r="BL102" s="10" t="e">
        <f t="shared" si="94"/>
        <v>#VALUE!</v>
      </c>
      <c r="BM102" s="10" t="e">
        <f t="shared" si="148"/>
        <v>#VALUE!</v>
      </c>
      <c r="BP102" s="10" t="e">
        <f t="shared" si="120"/>
        <v>#VALUE!</v>
      </c>
      <c r="BQ102" s="10" t="e">
        <f t="shared" si="121"/>
        <v>#VALUE!</v>
      </c>
      <c r="BR102" s="10" t="e">
        <f t="shared" si="122"/>
        <v>#VALUE!</v>
      </c>
      <c r="BS102" s="10" t="e">
        <f t="shared" si="123"/>
        <v>#VALUE!</v>
      </c>
      <c r="BT102" s="10" t="e">
        <f t="shared" si="124"/>
        <v>#VALUE!</v>
      </c>
      <c r="BU102" s="10" t="e">
        <f t="shared" si="125"/>
        <v>#VALUE!</v>
      </c>
      <c r="BW102" s="10" t="e">
        <f t="shared" si="126"/>
        <v>#VALUE!</v>
      </c>
      <c r="BX102" s="10" t="e">
        <f t="shared" si="127"/>
        <v>#VALUE!</v>
      </c>
      <c r="BY102" s="10" t="e">
        <f t="shared" si="128"/>
        <v>#VALUE!</v>
      </c>
      <c r="BZ102" s="10" t="e">
        <f t="shared" si="129"/>
        <v>#VALUE!</v>
      </c>
      <c r="CA102" s="10" t="e">
        <f t="shared" si="130"/>
        <v>#VALUE!</v>
      </c>
      <c r="CB102" s="10" t="e">
        <f t="shared" si="131"/>
        <v>#VALUE!</v>
      </c>
      <c r="CD102" s="10" t="e">
        <f>MATCH(INDEX($BP$12:$BU$12,1,MATCH(BP102,$BP$15:$BU$15,0)),结果汇总!$AI$10:$AI$13,0)</f>
        <v>#VALUE!</v>
      </c>
      <c r="CE102" s="10" t="e">
        <f>MATCH(INDEX($BP$12:$BU$12,1,MATCH(BQ102,$BP$15:$BU$15,0)),结果汇总!$AI$10:$AI$13,0)</f>
        <v>#VALUE!</v>
      </c>
      <c r="CF102" s="10" t="e">
        <f>MATCH(INDEX($BP$12:$BU$12,1,MATCH(BR102,$BP$15:$BU$15,0)),结果汇总!$AI$10:$AI$13,0)</f>
        <v>#VALUE!</v>
      </c>
      <c r="CG102" s="10" t="e">
        <f>MATCH(INDEX($BP$12:$BU$12,1,MATCH(BS102,$BP$15:$BU$15,0)),结果汇总!$AI$10:$AI$13,0)</f>
        <v>#VALUE!</v>
      </c>
      <c r="CH102" s="10" t="e">
        <f>MATCH(INDEX($BP$12:$BU$12,1,MATCH(BT102,$BP$15:$BU$15,0)),结果汇总!$AI$10:$AI$13,0)</f>
        <v>#VALUE!</v>
      </c>
      <c r="CI102" s="10" t="e">
        <f>MATCH(INDEX($BP$12:$BU$12,1,MATCH(BU102,$BP$15:$BU$15,0)),结果汇总!$AI$10:$AI$13,0)</f>
        <v>#VALUE!</v>
      </c>
      <c r="CK102" s="10">
        <f t="shared" si="132"/>
        <v>0</v>
      </c>
      <c r="CL102" s="10">
        <f t="shared" si="132"/>
        <v>0</v>
      </c>
      <c r="CM102" s="10">
        <f t="shared" si="132"/>
        <v>0</v>
      </c>
      <c r="CN102" s="10">
        <f t="shared" si="132"/>
        <v>0</v>
      </c>
      <c r="CO102" s="10" t="e">
        <f t="shared" si="133"/>
        <v>#DIV/0!</v>
      </c>
      <c r="CP102" s="10" t="e">
        <f t="shared" si="133"/>
        <v>#DIV/0!</v>
      </c>
      <c r="CQ102" s="10" t="e">
        <f t="shared" si="133"/>
        <v>#DIV/0!</v>
      </c>
      <c r="CR102" s="10" t="e">
        <f t="shared" si="133"/>
        <v>#DIV/0!</v>
      </c>
      <c r="CS102" s="10">
        <f t="shared" si="134"/>
        <v>0</v>
      </c>
      <c r="CT102" s="10">
        <f t="shared" si="134"/>
        <v>0</v>
      </c>
      <c r="CU102" s="10">
        <f t="shared" si="134"/>
        <v>0</v>
      </c>
      <c r="CV102" s="10">
        <f t="shared" si="134"/>
        <v>0</v>
      </c>
      <c r="CW102" s="10" t="e">
        <f t="shared" si="135"/>
        <v>#DIV/0!</v>
      </c>
      <c r="CX102" s="10" t="e">
        <f t="shared" si="135"/>
        <v>#DIV/0!</v>
      </c>
      <c r="CY102" s="10" t="e">
        <f t="shared" si="135"/>
        <v>#DIV/0!</v>
      </c>
      <c r="CZ102" s="10" t="e">
        <f t="shared" si="135"/>
        <v>#DIV/0!</v>
      </c>
    </row>
    <row r="103" spans="4:104" x14ac:dyDescent="0.15">
      <c r="D103" s="10">
        <v>88</v>
      </c>
      <c r="E103" s="10" t="e">
        <f t="shared" si="95"/>
        <v>#VALUE!</v>
      </c>
      <c r="F103" s="10" t="e">
        <f t="shared" si="79"/>
        <v>#VALUE!</v>
      </c>
      <c r="G103" s="10" t="e">
        <f t="shared" si="80"/>
        <v>#VALUE!</v>
      </c>
      <c r="H103" s="10" t="e">
        <f t="shared" si="96"/>
        <v>#VALUE!</v>
      </c>
      <c r="I103" s="10" t="e">
        <f t="shared" si="81"/>
        <v>#VALUE!</v>
      </c>
      <c r="J103" s="10" t="e">
        <f t="shared" si="97"/>
        <v>#VALUE!</v>
      </c>
      <c r="K103" s="10" t="e">
        <f t="shared" si="82"/>
        <v>#VALUE!</v>
      </c>
      <c r="L103" s="10" t="e">
        <f t="shared" si="83"/>
        <v>#VALUE!</v>
      </c>
      <c r="M103" s="10" t="e">
        <f t="shared" si="98"/>
        <v>#VALUE!</v>
      </c>
      <c r="O103" s="10" t="e">
        <f t="shared" si="99"/>
        <v>#VALUE!</v>
      </c>
      <c r="P103" s="10" t="e">
        <f t="shared" si="84"/>
        <v>#VALUE!</v>
      </c>
      <c r="Q103" s="10" t="e">
        <f t="shared" si="85"/>
        <v>#VALUE!</v>
      </c>
      <c r="R103" s="10" t="e">
        <f t="shared" si="100"/>
        <v>#VALUE!</v>
      </c>
      <c r="S103" s="10" t="e">
        <f t="shared" si="101"/>
        <v>#VALUE!</v>
      </c>
      <c r="T103" s="10" t="e">
        <f t="shared" si="136"/>
        <v>#VALUE!</v>
      </c>
      <c r="U103" s="10" t="e">
        <f t="shared" si="137"/>
        <v>#VALUE!</v>
      </c>
      <c r="V103" s="10" t="e">
        <f t="shared" si="86"/>
        <v>#VALUE!</v>
      </c>
      <c r="W103" s="10" t="e">
        <f t="shared" si="102"/>
        <v>#VALUE!</v>
      </c>
      <c r="Y103" s="10" t="e">
        <f t="shared" si="103"/>
        <v>#VALUE!</v>
      </c>
      <c r="Z103" s="11" t="e">
        <f t="shared" si="104"/>
        <v>#VALUE!</v>
      </c>
      <c r="AA103" s="10" t="e">
        <f t="shared" si="87"/>
        <v>#VALUE!</v>
      </c>
      <c r="AB103" s="10" t="e">
        <f t="shared" si="105"/>
        <v>#VALUE!</v>
      </c>
      <c r="AC103" s="10" t="e">
        <f t="shared" si="106"/>
        <v>#VALUE!</v>
      </c>
      <c r="AD103" s="10" t="e">
        <f t="shared" si="138"/>
        <v>#VALUE!</v>
      </c>
      <c r="AE103" s="10" t="e">
        <f t="shared" si="139"/>
        <v>#VALUE!</v>
      </c>
      <c r="AF103" s="10" t="e">
        <f t="shared" si="88"/>
        <v>#VALUE!</v>
      </c>
      <c r="AG103" s="10" t="e">
        <f t="shared" si="107"/>
        <v>#VALUE!</v>
      </c>
      <c r="AI103" s="13"/>
      <c r="AK103" s="10" t="e">
        <f t="shared" si="108"/>
        <v>#VALUE!</v>
      </c>
      <c r="AL103" s="10" t="e">
        <f t="shared" si="140"/>
        <v>#VALUE!</v>
      </c>
      <c r="AM103" s="10" t="e">
        <f t="shared" si="89"/>
        <v>#VALUE!</v>
      </c>
      <c r="AN103" s="10" t="e">
        <f t="shared" si="109"/>
        <v>#VALUE!</v>
      </c>
      <c r="AO103" s="10" t="e">
        <f t="shared" si="110"/>
        <v>#VALUE!</v>
      </c>
      <c r="AP103" s="10" t="e">
        <f t="shared" si="111"/>
        <v>#VALUE!</v>
      </c>
      <c r="AQ103" s="10" t="e">
        <f t="shared" si="141"/>
        <v>#VALUE!</v>
      </c>
      <c r="AR103" s="10" t="e">
        <f t="shared" si="90"/>
        <v>#VALUE!</v>
      </c>
      <c r="AS103" s="10" t="e">
        <f t="shared" si="142"/>
        <v>#VALUE!</v>
      </c>
      <c r="AU103" s="10" t="e">
        <f t="shared" si="112"/>
        <v>#VALUE!</v>
      </c>
      <c r="AV103" s="10" t="e">
        <f t="shared" si="143"/>
        <v>#VALUE!</v>
      </c>
      <c r="AW103" s="10" t="e">
        <f t="shared" si="91"/>
        <v>#VALUE!</v>
      </c>
      <c r="AX103" s="10" t="e">
        <f t="shared" si="113"/>
        <v>#VALUE!</v>
      </c>
      <c r="AY103" s="10" t="e">
        <f t="shared" si="114"/>
        <v>#VALUE!</v>
      </c>
      <c r="AZ103" s="10" t="e">
        <f t="shared" si="115"/>
        <v>#VALUE!</v>
      </c>
      <c r="BA103" s="10" t="e">
        <f t="shared" si="144"/>
        <v>#VALUE!</v>
      </c>
      <c r="BB103" s="10" t="e">
        <f t="shared" si="92"/>
        <v>#VALUE!</v>
      </c>
      <c r="BC103" s="10" t="e">
        <f t="shared" si="145"/>
        <v>#VALUE!</v>
      </c>
      <c r="BE103" s="10" t="e">
        <f t="shared" si="116"/>
        <v>#VALUE!</v>
      </c>
      <c r="BF103" s="10" t="e">
        <f t="shared" si="146"/>
        <v>#VALUE!</v>
      </c>
      <c r="BG103" s="10" t="e">
        <f t="shared" si="93"/>
        <v>#VALUE!</v>
      </c>
      <c r="BH103" s="10" t="e">
        <f t="shared" si="117"/>
        <v>#VALUE!</v>
      </c>
      <c r="BI103" s="10" t="e">
        <f t="shared" si="118"/>
        <v>#VALUE!</v>
      </c>
      <c r="BJ103" s="10" t="e">
        <f t="shared" si="119"/>
        <v>#VALUE!</v>
      </c>
      <c r="BK103" s="10" t="e">
        <f t="shared" si="147"/>
        <v>#VALUE!</v>
      </c>
      <c r="BL103" s="10" t="e">
        <f t="shared" si="94"/>
        <v>#VALUE!</v>
      </c>
      <c r="BM103" s="10" t="e">
        <f t="shared" si="148"/>
        <v>#VALUE!</v>
      </c>
      <c r="BP103" s="10" t="e">
        <f t="shared" si="120"/>
        <v>#VALUE!</v>
      </c>
      <c r="BQ103" s="10" t="e">
        <f t="shared" si="121"/>
        <v>#VALUE!</v>
      </c>
      <c r="BR103" s="10" t="e">
        <f t="shared" si="122"/>
        <v>#VALUE!</v>
      </c>
      <c r="BS103" s="10" t="e">
        <f t="shared" si="123"/>
        <v>#VALUE!</v>
      </c>
      <c r="BT103" s="10" t="e">
        <f t="shared" si="124"/>
        <v>#VALUE!</v>
      </c>
      <c r="BU103" s="10" t="e">
        <f t="shared" si="125"/>
        <v>#VALUE!</v>
      </c>
      <c r="BW103" s="10" t="e">
        <f t="shared" si="126"/>
        <v>#VALUE!</v>
      </c>
      <c r="BX103" s="10" t="e">
        <f t="shared" si="127"/>
        <v>#VALUE!</v>
      </c>
      <c r="BY103" s="10" t="e">
        <f t="shared" si="128"/>
        <v>#VALUE!</v>
      </c>
      <c r="BZ103" s="10" t="e">
        <f t="shared" si="129"/>
        <v>#VALUE!</v>
      </c>
      <c r="CA103" s="10" t="e">
        <f t="shared" si="130"/>
        <v>#VALUE!</v>
      </c>
      <c r="CB103" s="10" t="e">
        <f t="shared" si="131"/>
        <v>#VALUE!</v>
      </c>
      <c r="CD103" s="10" t="e">
        <f>MATCH(INDEX($BP$12:$BU$12,1,MATCH(BP103,$BP$15:$BU$15,0)),结果汇总!$AI$10:$AI$13,0)</f>
        <v>#VALUE!</v>
      </c>
      <c r="CE103" s="10" t="e">
        <f>MATCH(INDEX($BP$12:$BU$12,1,MATCH(BQ103,$BP$15:$BU$15,0)),结果汇总!$AI$10:$AI$13,0)</f>
        <v>#VALUE!</v>
      </c>
      <c r="CF103" s="10" t="e">
        <f>MATCH(INDEX($BP$12:$BU$12,1,MATCH(BR103,$BP$15:$BU$15,0)),结果汇总!$AI$10:$AI$13,0)</f>
        <v>#VALUE!</v>
      </c>
      <c r="CG103" s="10" t="e">
        <f>MATCH(INDEX($BP$12:$BU$12,1,MATCH(BS103,$BP$15:$BU$15,0)),结果汇总!$AI$10:$AI$13,0)</f>
        <v>#VALUE!</v>
      </c>
      <c r="CH103" s="10" t="e">
        <f>MATCH(INDEX($BP$12:$BU$12,1,MATCH(BT103,$BP$15:$BU$15,0)),结果汇总!$AI$10:$AI$13,0)</f>
        <v>#VALUE!</v>
      </c>
      <c r="CI103" s="10" t="e">
        <f>MATCH(INDEX($BP$12:$BU$12,1,MATCH(BU103,$BP$15:$BU$15,0)),结果汇总!$AI$10:$AI$13,0)</f>
        <v>#VALUE!</v>
      </c>
      <c r="CK103" s="10">
        <f t="shared" si="132"/>
        <v>0</v>
      </c>
      <c r="CL103" s="10">
        <f t="shared" si="132"/>
        <v>0</v>
      </c>
      <c r="CM103" s="10">
        <f t="shared" si="132"/>
        <v>0</v>
      </c>
      <c r="CN103" s="10">
        <f t="shared" si="132"/>
        <v>0</v>
      </c>
      <c r="CO103" s="10" t="e">
        <f t="shared" si="133"/>
        <v>#DIV/0!</v>
      </c>
      <c r="CP103" s="10" t="e">
        <f t="shared" si="133"/>
        <v>#DIV/0!</v>
      </c>
      <c r="CQ103" s="10" t="e">
        <f t="shared" si="133"/>
        <v>#DIV/0!</v>
      </c>
      <c r="CR103" s="10" t="e">
        <f t="shared" si="133"/>
        <v>#DIV/0!</v>
      </c>
      <c r="CS103" s="10">
        <f t="shared" si="134"/>
        <v>0</v>
      </c>
      <c r="CT103" s="10">
        <f t="shared" si="134"/>
        <v>0</v>
      </c>
      <c r="CU103" s="10">
        <f t="shared" si="134"/>
        <v>0</v>
      </c>
      <c r="CV103" s="10">
        <f t="shared" si="134"/>
        <v>0</v>
      </c>
      <c r="CW103" s="10" t="e">
        <f t="shared" si="135"/>
        <v>#DIV/0!</v>
      </c>
      <c r="CX103" s="10" t="e">
        <f t="shared" si="135"/>
        <v>#DIV/0!</v>
      </c>
      <c r="CY103" s="10" t="e">
        <f t="shared" si="135"/>
        <v>#DIV/0!</v>
      </c>
      <c r="CZ103" s="10" t="e">
        <f t="shared" si="135"/>
        <v>#DIV/0!</v>
      </c>
    </row>
    <row r="104" spans="4:104" x14ac:dyDescent="0.15">
      <c r="D104" s="10">
        <v>89</v>
      </c>
      <c r="E104" s="10" t="e">
        <f t="shared" si="95"/>
        <v>#VALUE!</v>
      </c>
      <c r="F104" s="10" t="e">
        <f t="shared" si="79"/>
        <v>#VALUE!</v>
      </c>
      <c r="G104" s="10" t="e">
        <f t="shared" si="80"/>
        <v>#VALUE!</v>
      </c>
      <c r="H104" s="10" t="e">
        <f t="shared" si="96"/>
        <v>#VALUE!</v>
      </c>
      <c r="I104" s="10" t="e">
        <f t="shared" si="81"/>
        <v>#VALUE!</v>
      </c>
      <c r="J104" s="10" t="e">
        <f t="shared" si="97"/>
        <v>#VALUE!</v>
      </c>
      <c r="K104" s="10" t="e">
        <f t="shared" si="82"/>
        <v>#VALUE!</v>
      </c>
      <c r="L104" s="10" t="e">
        <f t="shared" si="83"/>
        <v>#VALUE!</v>
      </c>
      <c r="M104" s="10" t="e">
        <f t="shared" si="98"/>
        <v>#VALUE!</v>
      </c>
      <c r="O104" s="10" t="e">
        <f t="shared" si="99"/>
        <v>#VALUE!</v>
      </c>
      <c r="P104" s="10" t="e">
        <f t="shared" si="84"/>
        <v>#VALUE!</v>
      </c>
      <c r="Q104" s="10" t="e">
        <f t="shared" si="85"/>
        <v>#VALUE!</v>
      </c>
      <c r="R104" s="10" t="e">
        <f t="shared" si="100"/>
        <v>#VALUE!</v>
      </c>
      <c r="S104" s="10" t="e">
        <f t="shared" si="101"/>
        <v>#VALUE!</v>
      </c>
      <c r="T104" s="10" t="e">
        <f t="shared" si="136"/>
        <v>#VALUE!</v>
      </c>
      <c r="U104" s="10" t="e">
        <f t="shared" si="137"/>
        <v>#VALUE!</v>
      </c>
      <c r="V104" s="10" t="e">
        <f t="shared" si="86"/>
        <v>#VALUE!</v>
      </c>
      <c r="W104" s="10" t="e">
        <f t="shared" si="102"/>
        <v>#VALUE!</v>
      </c>
      <c r="Y104" s="10" t="e">
        <f t="shared" si="103"/>
        <v>#VALUE!</v>
      </c>
      <c r="Z104" s="11" t="e">
        <f t="shared" si="104"/>
        <v>#VALUE!</v>
      </c>
      <c r="AA104" s="10" t="e">
        <f t="shared" si="87"/>
        <v>#VALUE!</v>
      </c>
      <c r="AB104" s="10" t="e">
        <f t="shared" si="105"/>
        <v>#VALUE!</v>
      </c>
      <c r="AC104" s="10" t="e">
        <f t="shared" si="106"/>
        <v>#VALUE!</v>
      </c>
      <c r="AD104" s="10" t="e">
        <f t="shared" si="138"/>
        <v>#VALUE!</v>
      </c>
      <c r="AE104" s="10" t="e">
        <f t="shared" si="139"/>
        <v>#VALUE!</v>
      </c>
      <c r="AF104" s="10" t="e">
        <f t="shared" si="88"/>
        <v>#VALUE!</v>
      </c>
      <c r="AG104" s="10" t="e">
        <f t="shared" si="107"/>
        <v>#VALUE!</v>
      </c>
      <c r="AI104" s="13"/>
      <c r="AK104" s="10" t="e">
        <f t="shared" si="108"/>
        <v>#VALUE!</v>
      </c>
      <c r="AL104" s="10" t="e">
        <f t="shared" si="140"/>
        <v>#VALUE!</v>
      </c>
      <c r="AM104" s="10" t="e">
        <f t="shared" si="89"/>
        <v>#VALUE!</v>
      </c>
      <c r="AN104" s="10" t="e">
        <f t="shared" si="109"/>
        <v>#VALUE!</v>
      </c>
      <c r="AO104" s="10" t="e">
        <f t="shared" si="110"/>
        <v>#VALUE!</v>
      </c>
      <c r="AP104" s="10" t="e">
        <f t="shared" si="111"/>
        <v>#VALUE!</v>
      </c>
      <c r="AQ104" s="10" t="e">
        <f t="shared" si="141"/>
        <v>#VALUE!</v>
      </c>
      <c r="AR104" s="10" t="e">
        <f t="shared" si="90"/>
        <v>#VALUE!</v>
      </c>
      <c r="AS104" s="10" t="e">
        <f t="shared" si="142"/>
        <v>#VALUE!</v>
      </c>
      <c r="AU104" s="10" t="e">
        <f t="shared" si="112"/>
        <v>#VALUE!</v>
      </c>
      <c r="AV104" s="10" t="e">
        <f t="shared" si="143"/>
        <v>#VALUE!</v>
      </c>
      <c r="AW104" s="10" t="e">
        <f t="shared" si="91"/>
        <v>#VALUE!</v>
      </c>
      <c r="AX104" s="10" t="e">
        <f t="shared" si="113"/>
        <v>#VALUE!</v>
      </c>
      <c r="AY104" s="10" t="e">
        <f t="shared" si="114"/>
        <v>#VALUE!</v>
      </c>
      <c r="AZ104" s="10" t="e">
        <f t="shared" si="115"/>
        <v>#VALUE!</v>
      </c>
      <c r="BA104" s="10" t="e">
        <f t="shared" si="144"/>
        <v>#VALUE!</v>
      </c>
      <c r="BB104" s="10" t="e">
        <f t="shared" si="92"/>
        <v>#VALUE!</v>
      </c>
      <c r="BC104" s="10" t="e">
        <f t="shared" si="145"/>
        <v>#VALUE!</v>
      </c>
      <c r="BE104" s="10" t="e">
        <f t="shared" si="116"/>
        <v>#VALUE!</v>
      </c>
      <c r="BF104" s="10" t="e">
        <f t="shared" si="146"/>
        <v>#VALUE!</v>
      </c>
      <c r="BG104" s="10" t="e">
        <f t="shared" si="93"/>
        <v>#VALUE!</v>
      </c>
      <c r="BH104" s="10" t="e">
        <f t="shared" si="117"/>
        <v>#VALUE!</v>
      </c>
      <c r="BI104" s="10" t="e">
        <f t="shared" si="118"/>
        <v>#VALUE!</v>
      </c>
      <c r="BJ104" s="10" t="e">
        <f t="shared" si="119"/>
        <v>#VALUE!</v>
      </c>
      <c r="BK104" s="10" t="e">
        <f t="shared" si="147"/>
        <v>#VALUE!</v>
      </c>
      <c r="BL104" s="10" t="e">
        <f t="shared" si="94"/>
        <v>#VALUE!</v>
      </c>
      <c r="BM104" s="10" t="e">
        <f t="shared" si="148"/>
        <v>#VALUE!</v>
      </c>
      <c r="BP104" s="10" t="e">
        <f t="shared" si="120"/>
        <v>#VALUE!</v>
      </c>
      <c r="BQ104" s="10" t="e">
        <f t="shared" si="121"/>
        <v>#VALUE!</v>
      </c>
      <c r="BR104" s="10" t="e">
        <f t="shared" si="122"/>
        <v>#VALUE!</v>
      </c>
      <c r="BS104" s="10" t="e">
        <f t="shared" si="123"/>
        <v>#VALUE!</v>
      </c>
      <c r="BT104" s="10" t="e">
        <f t="shared" si="124"/>
        <v>#VALUE!</v>
      </c>
      <c r="BU104" s="10" t="e">
        <f t="shared" si="125"/>
        <v>#VALUE!</v>
      </c>
      <c r="BW104" s="10" t="e">
        <f>Y104+AD104*1000</f>
        <v>#VALUE!</v>
      </c>
      <c r="BX104" s="10" t="e">
        <f t="shared" si="127"/>
        <v>#VALUE!</v>
      </c>
      <c r="BY104" s="10" t="e">
        <f t="shared" si="128"/>
        <v>#VALUE!</v>
      </c>
      <c r="BZ104" s="10" t="e">
        <f t="shared" si="129"/>
        <v>#VALUE!</v>
      </c>
      <c r="CA104" s="10" t="e">
        <f t="shared" si="130"/>
        <v>#VALUE!</v>
      </c>
      <c r="CB104" s="10" t="e">
        <f t="shared" si="131"/>
        <v>#VALUE!</v>
      </c>
      <c r="CD104" s="10" t="e">
        <f>MATCH(INDEX($BP$12:$BU$12,1,MATCH(BP104,$BP$15:$BU$15,0)),结果汇总!$AI$10:$AI$13,0)</f>
        <v>#VALUE!</v>
      </c>
      <c r="CE104" s="10" t="e">
        <f>MATCH(INDEX($BP$12:$BU$12,1,MATCH(BQ104,$BP$15:$BU$15,0)),结果汇总!$AI$10:$AI$13,0)</f>
        <v>#VALUE!</v>
      </c>
      <c r="CF104" s="10" t="e">
        <f>MATCH(INDEX($BP$12:$BU$12,1,MATCH(BR104,$BP$15:$BU$15,0)),结果汇总!$AI$10:$AI$13,0)</f>
        <v>#VALUE!</v>
      </c>
      <c r="CG104" s="10" t="e">
        <f>MATCH(INDEX($BP$12:$BU$12,1,MATCH(BS104,$BP$15:$BU$15,0)),结果汇总!$AI$10:$AI$13,0)</f>
        <v>#VALUE!</v>
      </c>
      <c r="CH104" s="10" t="e">
        <f>MATCH(INDEX($BP$12:$BU$12,1,MATCH(BT104,$BP$15:$BU$15,0)),结果汇总!$AI$10:$AI$13,0)</f>
        <v>#VALUE!</v>
      </c>
      <c r="CI104" s="10" t="e">
        <f>MATCH(INDEX($BP$12:$BU$12,1,MATCH(BU104,$BP$15:$BU$15,0)),结果汇总!$AI$10:$AI$13,0)</f>
        <v>#VALUE!</v>
      </c>
      <c r="CK104" s="10">
        <f t="shared" si="132"/>
        <v>0</v>
      </c>
      <c r="CL104" s="10">
        <f t="shared" si="132"/>
        <v>0</v>
      </c>
      <c r="CM104" s="10">
        <f t="shared" si="132"/>
        <v>0</v>
      </c>
      <c r="CN104" s="10">
        <f t="shared" si="132"/>
        <v>0</v>
      </c>
      <c r="CO104" s="10" t="e">
        <f t="shared" si="133"/>
        <v>#DIV/0!</v>
      </c>
      <c r="CP104" s="10" t="e">
        <f t="shared" si="133"/>
        <v>#DIV/0!</v>
      </c>
      <c r="CQ104" s="10" t="e">
        <f t="shared" si="133"/>
        <v>#DIV/0!</v>
      </c>
      <c r="CR104" s="10" t="e">
        <f t="shared" si="133"/>
        <v>#DIV/0!</v>
      </c>
      <c r="CS104" s="10">
        <f t="shared" si="134"/>
        <v>0</v>
      </c>
      <c r="CT104" s="10">
        <f t="shared" si="134"/>
        <v>0</v>
      </c>
      <c r="CU104" s="10">
        <f t="shared" si="134"/>
        <v>0</v>
      </c>
      <c r="CV104" s="10">
        <f t="shared" si="134"/>
        <v>0</v>
      </c>
      <c r="CW104" s="10" t="e">
        <f t="shared" si="135"/>
        <v>#DIV/0!</v>
      </c>
      <c r="CX104" s="10" t="e">
        <f t="shared" si="135"/>
        <v>#DIV/0!</v>
      </c>
      <c r="CY104" s="10" t="e">
        <f t="shared" si="135"/>
        <v>#DIV/0!</v>
      </c>
      <c r="CZ104" s="10" t="e">
        <f t="shared" si="135"/>
        <v>#DIV/0!</v>
      </c>
    </row>
    <row r="105" spans="4:104" x14ac:dyDescent="0.15">
      <c r="D105" s="10">
        <v>90</v>
      </c>
      <c r="E105" s="10" t="e">
        <f t="shared" si="95"/>
        <v>#VALUE!</v>
      </c>
      <c r="F105" s="10" t="e">
        <f t="shared" si="79"/>
        <v>#VALUE!</v>
      </c>
      <c r="G105" s="10" t="e">
        <f t="shared" si="80"/>
        <v>#VALUE!</v>
      </c>
      <c r="H105" s="10" t="e">
        <f t="shared" si="96"/>
        <v>#VALUE!</v>
      </c>
      <c r="I105" s="10" t="e">
        <f t="shared" si="81"/>
        <v>#VALUE!</v>
      </c>
      <c r="J105" s="10" t="e">
        <f t="shared" si="97"/>
        <v>#VALUE!</v>
      </c>
      <c r="K105" s="10" t="e">
        <f t="shared" si="82"/>
        <v>#VALUE!</v>
      </c>
      <c r="L105" s="10" t="e">
        <f t="shared" si="83"/>
        <v>#VALUE!</v>
      </c>
      <c r="M105" s="10" t="e">
        <f t="shared" si="98"/>
        <v>#VALUE!</v>
      </c>
      <c r="O105" s="10" t="e">
        <f t="shared" si="99"/>
        <v>#VALUE!</v>
      </c>
      <c r="P105" s="10" t="e">
        <f t="shared" si="84"/>
        <v>#VALUE!</v>
      </c>
      <c r="Q105" s="10" t="e">
        <f t="shared" si="85"/>
        <v>#VALUE!</v>
      </c>
      <c r="R105" s="10" t="e">
        <f t="shared" si="100"/>
        <v>#VALUE!</v>
      </c>
      <c r="S105" s="10" t="e">
        <f t="shared" si="101"/>
        <v>#VALUE!</v>
      </c>
      <c r="T105" s="10" t="e">
        <f t="shared" si="136"/>
        <v>#VALUE!</v>
      </c>
      <c r="U105" s="10" t="e">
        <f t="shared" si="137"/>
        <v>#VALUE!</v>
      </c>
      <c r="V105" s="10" t="e">
        <f t="shared" si="86"/>
        <v>#VALUE!</v>
      </c>
      <c r="W105" s="10" t="e">
        <f t="shared" si="102"/>
        <v>#VALUE!</v>
      </c>
      <c r="Y105" s="10" t="e">
        <f t="shared" si="103"/>
        <v>#VALUE!</v>
      </c>
      <c r="Z105" s="11" t="e">
        <f t="shared" si="104"/>
        <v>#VALUE!</v>
      </c>
      <c r="AA105" s="10" t="e">
        <f t="shared" si="87"/>
        <v>#VALUE!</v>
      </c>
      <c r="AB105" s="10" t="e">
        <f t="shared" si="105"/>
        <v>#VALUE!</v>
      </c>
      <c r="AC105" s="10" t="e">
        <f t="shared" si="106"/>
        <v>#VALUE!</v>
      </c>
      <c r="AD105" s="10" t="e">
        <f t="shared" si="138"/>
        <v>#VALUE!</v>
      </c>
      <c r="AE105" s="10" t="e">
        <f t="shared" si="139"/>
        <v>#VALUE!</v>
      </c>
      <c r="AF105" s="10" t="e">
        <f t="shared" si="88"/>
        <v>#VALUE!</v>
      </c>
      <c r="AG105" s="10" t="e">
        <f t="shared" si="107"/>
        <v>#VALUE!</v>
      </c>
      <c r="AI105" s="13"/>
      <c r="AK105" s="10" t="e">
        <f t="shared" si="108"/>
        <v>#VALUE!</v>
      </c>
      <c r="AL105" s="10" t="e">
        <f t="shared" si="140"/>
        <v>#VALUE!</v>
      </c>
      <c r="AM105" s="10" t="e">
        <f t="shared" si="89"/>
        <v>#VALUE!</v>
      </c>
      <c r="AN105" s="10" t="e">
        <f t="shared" si="109"/>
        <v>#VALUE!</v>
      </c>
      <c r="AO105" s="10" t="e">
        <f t="shared" si="110"/>
        <v>#VALUE!</v>
      </c>
      <c r="AP105" s="10" t="e">
        <f t="shared" si="111"/>
        <v>#VALUE!</v>
      </c>
      <c r="AQ105" s="10" t="e">
        <f t="shared" si="141"/>
        <v>#VALUE!</v>
      </c>
      <c r="AR105" s="10" t="e">
        <f t="shared" si="90"/>
        <v>#VALUE!</v>
      </c>
      <c r="AS105" s="10" t="e">
        <f t="shared" si="142"/>
        <v>#VALUE!</v>
      </c>
      <c r="AU105" s="10" t="e">
        <f t="shared" si="112"/>
        <v>#VALUE!</v>
      </c>
      <c r="AV105" s="10" t="e">
        <f t="shared" si="143"/>
        <v>#VALUE!</v>
      </c>
      <c r="AW105" s="10" t="e">
        <f t="shared" si="91"/>
        <v>#VALUE!</v>
      </c>
      <c r="AX105" s="10" t="e">
        <f t="shared" si="113"/>
        <v>#VALUE!</v>
      </c>
      <c r="AY105" s="10" t="e">
        <f t="shared" si="114"/>
        <v>#VALUE!</v>
      </c>
      <c r="AZ105" s="10" t="e">
        <f t="shared" si="115"/>
        <v>#VALUE!</v>
      </c>
      <c r="BA105" s="10" t="e">
        <f t="shared" si="144"/>
        <v>#VALUE!</v>
      </c>
      <c r="BB105" s="10" t="e">
        <f t="shared" si="92"/>
        <v>#VALUE!</v>
      </c>
      <c r="BC105" s="10" t="e">
        <f t="shared" si="145"/>
        <v>#VALUE!</v>
      </c>
      <c r="BE105" s="10" t="e">
        <f t="shared" si="116"/>
        <v>#VALUE!</v>
      </c>
      <c r="BF105" s="10" t="e">
        <f t="shared" si="146"/>
        <v>#VALUE!</v>
      </c>
      <c r="BG105" s="10" t="e">
        <f t="shared" si="93"/>
        <v>#VALUE!</v>
      </c>
      <c r="BH105" s="10" t="e">
        <f t="shared" si="117"/>
        <v>#VALUE!</v>
      </c>
      <c r="BI105" s="10" t="e">
        <f t="shared" si="118"/>
        <v>#VALUE!</v>
      </c>
      <c r="BJ105" s="10" t="e">
        <f t="shared" si="119"/>
        <v>#VALUE!</v>
      </c>
      <c r="BK105" s="10" t="e">
        <f t="shared" si="147"/>
        <v>#VALUE!</v>
      </c>
      <c r="BL105" s="10" t="e">
        <f t="shared" si="94"/>
        <v>#VALUE!</v>
      </c>
      <c r="BM105" s="10" t="e">
        <f t="shared" si="148"/>
        <v>#VALUE!</v>
      </c>
      <c r="BP105" s="10" t="e">
        <f t="shared" si="120"/>
        <v>#VALUE!</v>
      </c>
      <c r="BQ105" s="10" t="e">
        <f t="shared" si="121"/>
        <v>#VALUE!</v>
      </c>
      <c r="BR105" s="10" t="e">
        <f t="shared" si="122"/>
        <v>#VALUE!</v>
      </c>
      <c r="BS105" s="10" t="e">
        <f t="shared" si="123"/>
        <v>#VALUE!</v>
      </c>
      <c r="BT105" s="10" t="e">
        <f t="shared" si="124"/>
        <v>#VALUE!</v>
      </c>
      <c r="BU105" s="10" t="e">
        <f t="shared" si="125"/>
        <v>#VALUE!</v>
      </c>
      <c r="BW105" s="10" t="e">
        <f t="shared" si="126"/>
        <v>#VALUE!</v>
      </c>
      <c r="BX105" s="10" t="e">
        <f t="shared" si="127"/>
        <v>#VALUE!</v>
      </c>
      <c r="BY105" s="10" t="e">
        <f t="shared" si="128"/>
        <v>#VALUE!</v>
      </c>
      <c r="BZ105" s="10" t="e">
        <f t="shared" si="129"/>
        <v>#VALUE!</v>
      </c>
      <c r="CA105" s="10" t="e">
        <f t="shared" si="130"/>
        <v>#VALUE!</v>
      </c>
      <c r="CB105" s="10" t="e">
        <f t="shared" si="131"/>
        <v>#VALUE!</v>
      </c>
      <c r="CD105" s="10" t="e">
        <f>MATCH(INDEX($BP$12:$BU$12,1,MATCH(BP105,$BP$15:$BU$15,0)),结果汇总!$AI$10:$AI$13,0)</f>
        <v>#VALUE!</v>
      </c>
      <c r="CE105" s="10" t="e">
        <f>MATCH(INDEX($BP$12:$BU$12,1,MATCH(BQ105,$BP$15:$BU$15,0)),结果汇总!$AI$10:$AI$13,0)</f>
        <v>#VALUE!</v>
      </c>
      <c r="CF105" s="10" t="e">
        <f>MATCH(INDEX($BP$12:$BU$12,1,MATCH(BR105,$BP$15:$BU$15,0)),结果汇总!$AI$10:$AI$13,0)</f>
        <v>#VALUE!</v>
      </c>
      <c r="CG105" s="10" t="e">
        <f>MATCH(INDEX($BP$12:$BU$12,1,MATCH(BS105,$BP$15:$BU$15,0)),结果汇总!$AI$10:$AI$13,0)</f>
        <v>#VALUE!</v>
      </c>
      <c r="CH105" s="10" t="e">
        <f>MATCH(INDEX($BP$12:$BU$12,1,MATCH(BT105,$BP$15:$BU$15,0)),结果汇总!$AI$10:$AI$13,0)</f>
        <v>#VALUE!</v>
      </c>
      <c r="CI105" s="10" t="e">
        <f>MATCH(INDEX($BP$12:$BU$12,1,MATCH(BU105,$BP$15:$BU$15,0)),结果汇总!$AI$10:$AI$13,0)</f>
        <v>#VALUE!</v>
      </c>
      <c r="CK105" s="10">
        <f t="shared" si="132"/>
        <v>0</v>
      </c>
      <c r="CL105" s="10">
        <f t="shared" si="132"/>
        <v>0</v>
      </c>
      <c r="CM105" s="10">
        <f t="shared" si="132"/>
        <v>0</v>
      </c>
      <c r="CN105" s="10">
        <f t="shared" si="132"/>
        <v>0</v>
      </c>
      <c r="CO105" s="10" t="e">
        <f t="shared" si="133"/>
        <v>#DIV/0!</v>
      </c>
      <c r="CP105" s="10" t="e">
        <f t="shared" si="133"/>
        <v>#DIV/0!</v>
      </c>
      <c r="CQ105" s="10" t="e">
        <f t="shared" si="133"/>
        <v>#DIV/0!</v>
      </c>
      <c r="CR105" s="10" t="e">
        <f t="shared" si="133"/>
        <v>#DIV/0!</v>
      </c>
      <c r="CS105" s="10">
        <f t="shared" si="134"/>
        <v>0</v>
      </c>
      <c r="CT105" s="10">
        <f t="shared" si="134"/>
        <v>0</v>
      </c>
      <c r="CU105" s="10">
        <f t="shared" si="134"/>
        <v>0</v>
      </c>
      <c r="CV105" s="10">
        <f t="shared" si="134"/>
        <v>0</v>
      </c>
      <c r="CW105" s="10" t="e">
        <f t="shared" si="135"/>
        <v>#DIV/0!</v>
      </c>
      <c r="CX105" s="10" t="e">
        <f t="shared" si="135"/>
        <v>#DIV/0!</v>
      </c>
      <c r="CY105" s="10" t="e">
        <f t="shared" si="135"/>
        <v>#DIV/0!</v>
      </c>
      <c r="CZ105" s="10" t="e">
        <f t="shared" si="135"/>
        <v>#DIV/0!</v>
      </c>
    </row>
    <row r="106" spans="4:104" x14ac:dyDescent="0.15">
      <c r="D106" s="10">
        <v>91</v>
      </c>
      <c r="E106" s="10" t="e">
        <f t="shared" si="95"/>
        <v>#VALUE!</v>
      </c>
      <c r="F106" s="10" t="e">
        <f t="shared" si="79"/>
        <v>#VALUE!</v>
      </c>
      <c r="G106" s="10" t="e">
        <f t="shared" si="80"/>
        <v>#VALUE!</v>
      </c>
      <c r="H106" s="10" t="e">
        <f t="shared" si="96"/>
        <v>#VALUE!</v>
      </c>
      <c r="I106" s="10" t="e">
        <f t="shared" si="81"/>
        <v>#VALUE!</v>
      </c>
      <c r="J106" s="10" t="e">
        <f t="shared" si="97"/>
        <v>#VALUE!</v>
      </c>
      <c r="K106" s="10" t="e">
        <f t="shared" si="82"/>
        <v>#VALUE!</v>
      </c>
      <c r="L106" s="10" t="e">
        <f t="shared" si="83"/>
        <v>#VALUE!</v>
      </c>
      <c r="M106" s="10" t="e">
        <f t="shared" si="98"/>
        <v>#VALUE!</v>
      </c>
      <c r="O106" s="10" t="e">
        <f t="shared" si="99"/>
        <v>#VALUE!</v>
      </c>
      <c r="P106" s="10" t="e">
        <f t="shared" si="84"/>
        <v>#VALUE!</v>
      </c>
      <c r="Q106" s="10" t="e">
        <f t="shared" si="85"/>
        <v>#VALUE!</v>
      </c>
      <c r="R106" s="10" t="e">
        <f t="shared" si="100"/>
        <v>#VALUE!</v>
      </c>
      <c r="S106" s="10" t="e">
        <f t="shared" si="101"/>
        <v>#VALUE!</v>
      </c>
      <c r="T106" s="10" t="e">
        <f t="shared" si="136"/>
        <v>#VALUE!</v>
      </c>
      <c r="U106" s="10" t="e">
        <f t="shared" si="137"/>
        <v>#VALUE!</v>
      </c>
      <c r="V106" s="10" t="e">
        <f t="shared" si="86"/>
        <v>#VALUE!</v>
      </c>
      <c r="W106" s="10" t="e">
        <f t="shared" si="102"/>
        <v>#VALUE!</v>
      </c>
      <c r="Y106" s="10" t="e">
        <f t="shared" si="103"/>
        <v>#VALUE!</v>
      </c>
      <c r="Z106" s="11" t="e">
        <f t="shared" si="104"/>
        <v>#VALUE!</v>
      </c>
      <c r="AA106" s="10" t="e">
        <f t="shared" si="87"/>
        <v>#VALUE!</v>
      </c>
      <c r="AB106" s="10" t="e">
        <f t="shared" si="105"/>
        <v>#VALUE!</v>
      </c>
      <c r="AC106" s="10" t="e">
        <f t="shared" si="106"/>
        <v>#VALUE!</v>
      </c>
      <c r="AD106" s="10" t="e">
        <f t="shared" si="138"/>
        <v>#VALUE!</v>
      </c>
      <c r="AE106" s="10" t="e">
        <f t="shared" si="139"/>
        <v>#VALUE!</v>
      </c>
      <c r="AF106" s="10" t="e">
        <f t="shared" si="88"/>
        <v>#VALUE!</v>
      </c>
      <c r="AG106" s="10" t="e">
        <f t="shared" si="107"/>
        <v>#VALUE!</v>
      </c>
      <c r="AI106" s="13"/>
      <c r="AK106" s="10" t="e">
        <f t="shared" si="108"/>
        <v>#VALUE!</v>
      </c>
      <c r="AL106" s="10" t="e">
        <f t="shared" si="140"/>
        <v>#VALUE!</v>
      </c>
      <c r="AM106" s="10" t="e">
        <f t="shared" si="89"/>
        <v>#VALUE!</v>
      </c>
      <c r="AN106" s="10" t="e">
        <f t="shared" si="109"/>
        <v>#VALUE!</v>
      </c>
      <c r="AO106" s="10" t="e">
        <f t="shared" si="110"/>
        <v>#VALUE!</v>
      </c>
      <c r="AP106" s="10" t="e">
        <f t="shared" si="111"/>
        <v>#VALUE!</v>
      </c>
      <c r="AQ106" s="10" t="e">
        <f t="shared" si="141"/>
        <v>#VALUE!</v>
      </c>
      <c r="AR106" s="10" t="e">
        <f t="shared" si="90"/>
        <v>#VALUE!</v>
      </c>
      <c r="AS106" s="10" t="e">
        <f t="shared" si="142"/>
        <v>#VALUE!</v>
      </c>
      <c r="AU106" s="10" t="e">
        <f t="shared" si="112"/>
        <v>#VALUE!</v>
      </c>
      <c r="AV106" s="10" t="e">
        <f t="shared" si="143"/>
        <v>#VALUE!</v>
      </c>
      <c r="AW106" s="10" t="e">
        <f t="shared" si="91"/>
        <v>#VALUE!</v>
      </c>
      <c r="AX106" s="10" t="e">
        <f t="shared" si="113"/>
        <v>#VALUE!</v>
      </c>
      <c r="AY106" s="10" t="e">
        <f t="shared" si="114"/>
        <v>#VALUE!</v>
      </c>
      <c r="AZ106" s="10" t="e">
        <f t="shared" si="115"/>
        <v>#VALUE!</v>
      </c>
      <c r="BA106" s="10" t="e">
        <f t="shared" si="144"/>
        <v>#VALUE!</v>
      </c>
      <c r="BB106" s="10" t="e">
        <f t="shared" si="92"/>
        <v>#VALUE!</v>
      </c>
      <c r="BC106" s="10" t="e">
        <f t="shared" si="145"/>
        <v>#VALUE!</v>
      </c>
      <c r="BE106" s="10" t="e">
        <f t="shared" si="116"/>
        <v>#VALUE!</v>
      </c>
      <c r="BF106" s="10" t="e">
        <f t="shared" si="146"/>
        <v>#VALUE!</v>
      </c>
      <c r="BG106" s="10" t="e">
        <f t="shared" si="93"/>
        <v>#VALUE!</v>
      </c>
      <c r="BH106" s="10" t="e">
        <f t="shared" si="117"/>
        <v>#VALUE!</v>
      </c>
      <c r="BI106" s="10" t="e">
        <f t="shared" si="118"/>
        <v>#VALUE!</v>
      </c>
      <c r="BJ106" s="10" t="e">
        <f t="shared" si="119"/>
        <v>#VALUE!</v>
      </c>
      <c r="BK106" s="10" t="e">
        <f t="shared" si="147"/>
        <v>#VALUE!</v>
      </c>
      <c r="BL106" s="10" t="e">
        <f t="shared" si="94"/>
        <v>#VALUE!</v>
      </c>
      <c r="BM106" s="10" t="e">
        <f t="shared" si="148"/>
        <v>#VALUE!</v>
      </c>
      <c r="BP106" s="10" t="e">
        <f t="shared" si="120"/>
        <v>#VALUE!</v>
      </c>
      <c r="BQ106" s="10" t="e">
        <f t="shared" si="121"/>
        <v>#VALUE!</v>
      </c>
      <c r="BR106" s="10" t="e">
        <f t="shared" si="122"/>
        <v>#VALUE!</v>
      </c>
      <c r="BS106" s="10" t="e">
        <f t="shared" si="123"/>
        <v>#VALUE!</v>
      </c>
      <c r="BT106" s="10" t="e">
        <f t="shared" si="124"/>
        <v>#VALUE!</v>
      </c>
      <c r="BU106" s="10" t="e">
        <f t="shared" si="125"/>
        <v>#VALUE!</v>
      </c>
      <c r="BW106" s="10" t="e">
        <f t="shared" si="126"/>
        <v>#VALUE!</v>
      </c>
      <c r="BX106" s="10" t="e">
        <f t="shared" si="127"/>
        <v>#VALUE!</v>
      </c>
      <c r="BY106" s="10" t="e">
        <f t="shared" si="128"/>
        <v>#VALUE!</v>
      </c>
      <c r="BZ106" s="10" t="e">
        <f t="shared" si="129"/>
        <v>#VALUE!</v>
      </c>
      <c r="CA106" s="10" t="e">
        <f t="shared" si="130"/>
        <v>#VALUE!</v>
      </c>
      <c r="CB106" s="10" t="e">
        <f t="shared" si="131"/>
        <v>#VALUE!</v>
      </c>
      <c r="CD106" s="10" t="e">
        <f>MATCH(INDEX($BP$12:$BU$12,1,MATCH(BP106,$BP$15:$BU$15,0)),结果汇总!$AI$10:$AI$13,0)</f>
        <v>#VALUE!</v>
      </c>
      <c r="CE106" s="10" t="e">
        <f>MATCH(INDEX($BP$12:$BU$12,1,MATCH(BQ106,$BP$15:$BU$15,0)),结果汇总!$AI$10:$AI$13,0)</f>
        <v>#VALUE!</v>
      </c>
      <c r="CF106" s="10" t="e">
        <f>MATCH(INDEX($BP$12:$BU$12,1,MATCH(BR106,$BP$15:$BU$15,0)),结果汇总!$AI$10:$AI$13,0)</f>
        <v>#VALUE!</v>
      </c>
      <c r="CG106" s="10" t="e">
        <f>MATCH(INDEX($BP$12:$BU$12,1,MATCH(BS106,$BP$15:$BU$15,0)),结果汇总!$AI$10:$AI$13,0)</f>
        <v>#VALUE!</v>
      </c>
      <c r="CH106" s="10" t="e">
        <f>MATCH(INDEX($BP$12:$BU$12,1,MATCH(BT106,$BP$15:$BU$15,0)),结果汇总!$AI$10:$AI$13,0)</f>
        <v>#VALUE!</v>
      </c>
      <c r="CI106" s="10" t="e">
        <f>MATCH(INDEX($BP$12:$BU$12,1,MATCH(BU106,$BP$15:$BU$15,0)),结果汇总!$AI$10:$AI$13,0)</f>
        <v>#VALUE!</v>
      </c>
      <c r="CK106" s="10">
        <f t="shared" si="132"/>
        <v>0</v>
      </c>
      <c r="CL106" s="10">
        <f t="shared" si="132"/>
        <v>0</v>
      </c>
      <c r="CM106" s="10">
        <f t="shared" si="132"/>
        <v>0</v>
      </c>
      <c r="CN106" s="10">
        <f t="shared" si="132"/>
        <v>0</v>
      </c>
      <c r="CO106" s="10" t="e">
        <f t="shared" si="133"/>
        <v>#DIV/0!</v>
      </c>
      <c r="CP106" s="10" t="e">
        <f t="shared" si="133"/>
        <v>#DIV/0!</v>
      </c>
      <c r="CQ106" s="10" t="e">
        <f t="shared" si="133"/>
        <v>#DIV/0!</v>
      </c>
      <c r="CR106" s="10" t="e">
        <f t="shared" si="133"/>
        <v>#DIV/0!</v>
      </c>
      <c r="CS106" s="10">
        <f t="shared" si="134"/>
        <v>0</v>
      </c>
      <c r="CT106" s="10">
        <f t="shared" si="134"/>
        <v>0</v>
      </c>
      <c r="CU106" s="10">
        <f t="shared" si="134"/>
        <v>0</v>
      </c>
      <c r="CV106" s="10">
        <f t="shared" si="134"/>
        <v>0</v>
      </c>
      <c r="CW106" s="10" t="e">
        <f t="shared" si="135"/>
        <v>#DIV/0!</v>
      </c>
      <c r="CX106" s="10" t="e">
        <f t="shared" si="135"/>
        <v>#DIV/0!</v>
      </c>
      <c r="CY106" s="10" t="e">
        <f t="shared" si="135"/>
        <v>#DIV/0!</v>
      </c>
      <c r="CZ106" s="10" t="e">
        <f t="shared" si="135"/>
        <v>#DIV/0!</v>
      </c>
    </row>
    <row r="107" spans="4:104" x14ac:dyDescent="0.15">
      <c r="D107" s="10">
        <v>92</v>
      </c>
      <c r="E107" s="10" t="e">
        <f t="shared" si="95"/>
        <v>#VALUE!</v>
      </c>
      <c r="F107" s="10" t="e">
        <f t="shared" si="79"/>
        <v>#VALUE!</v>
      </c>
      <c r="G107" s="10" t="e">
        <f t="shared" si="80"/>
        <v>#VALUE!</v>
      </c>
      <c r="H107" s="10" t="e">
        <f t="shared" si="96"/>
        <v>#VALUE!</v>
      </c>
      <c r="I107" s="10" t="e">
        <f t="shared" si="81"/>
        <v>#VALUE!</v>
      </c>
      <c r="J107" s="10" t="e">
        <f t="shared" si="97"/>
        <v>#VALUE!</v>
      </c>
      <c r="K107" s="10" t="e">
        <f t="shared" si="82"/>
        <v>#VALUE!</v>
      </c>
      <c r="L107" s="10" t="e">
        <f t="shared" si="83"/>
        <v>#VALUE!</v>
      </c>
      <c r="M107" s="10" t="e">
        <f t="shared" si="98"/>
        <v>#VALUE!</v>
      </c>
      <c r="O107" s="10" t="e">
        <f t="shared" si="99"/>
        <v>#VALUE!</v>
      </c>
      <c r="P107" s="10" t="e">
        <f t="shared" si="84"/>
        <v>#VALUE!</v>
      </c>
      <c r="Q107" s="10" t="e">
        <f t="shared" si="85"/>
        <v>#VALUE!</v>
      </c>
      <c r="R107" s="10" t="e">
        <f t="shared" si="100"/>
        <v>#VALUE!</v>
      </c>
      <c r="S107" s="10" t="e">
        <f t="shared" si="101"/>
        <v>#VALUE!</v>
      </c>
      <c r="T107" s="10" t="e">
        <f t="shared" si="136"/>
        <v>#VALUE!</v>
      </c>
      <c r="U107" s="10" t="e">
        <f t="shared" si="137"/>
        <v>#VALUE!</v>
      </c>
      <c r="V107" s="10" t="e">
        <f t="shared" si="86"/>
        <v>#VALUE!</v>
      </c>
      <c r="W107" s="10" t="e">
        <f t="shared" si="102"/>
        <v>#VALUE!</v>
      </c>
      <c r="Y107" s="10" t="e">
        <f t="shared" si="103"/>
        <v>#VALUE!</v>
      </c>
      <c r="Z107" s="11" t="e">
        <f t="shared" si="104"/>
        <v>#VALUE!</v>
      </c>
      <c r="AA107" s="10" t="e">
        <f t="shared" si="87"/>
        <v>#VALUE!</v>
      </c>
      <c r="AB107" s="10" t="e">
        <f t="shared" si="105"/>
        <v>#VALUE!</v>
      </c>
      <c r="AC107" s="10" t="e">
        <f t="shared" si="106"/>
        <v>#VALUE!</v>
      </c>
      <c r="AD107" s="10" t="e">
        <f t="shared" si="138"/>
        <v>#VALUE!</v>
      </c>
      <c r="AE107" s="10" t="e">
        <f t="shared" si="139"/>
        <v>#VALUE!</v>
      </c>
      <c r="AF107" s="10" t="e">
        <f t="shared" si="88"/>
        <v>#VALUE!</v>
      </c>
      <c r="AG107" s="10" t="e">
        <f t="shared" si="107"/>
        <v>#VALUE!</v>
      </c>
      <c r="AI107" s="13"/>
      <c r="AK107" s="10" t="e">
        <f t="shared" si="108"/>
        <v>#VALUE!</v>
      </c>
      <c r="AL107" s="10" t="e">
        <f t="shared" si="140"/>
        <v>#VALUE!</v>
      </c>
      <c r="AM107" s="10" t="e">
        <f t="shared" si="89"/>
        <v>#VALUE!</v>
      </c>
      <c r="AN107" s="10" t="e">
        <f t="shared" si="109"/>
        <v>#VALUE!</v>
      </c>
      <c r="AO107" s="10" t="e">
        <f t="shared" si="110"/>
        <v>#VALUE!</v>
      </c>
      <c r="AP107" s="10" t="e">
        <f t="shared" si="111"/>
        <v>#VALUE!</v>
      </c>
      <c r="AQ107" s="10" t="e">
        <f t="shared" si="141"/>
        <v>#VALUE!</v>
      </c>
      <c r="AR107" s="10" t="e">
        <f t="shared" si="90"/>
        <v>#VALUE!</v>
      </c>
      <c r="AS107" s="10" t="e">
        <f t="shared" si="142"/>
        <v>#VALUE!</v>
      </c>
      <c r="AU107" s="10" t="e">
        <f t="shared" si="112"/>
        <v>#VALUE!</v>
      </c>
      <c r="AV107" s="10" t="e">
        <f t="shared" si="143"/>
        <v>#VALUE!</v>
      </c>
      <c r="AW107" s="10" t="e">
        <f t="shared" si="91"/>
        <v>#VALUE!</v>
      </c>
      <c r="AX107" s="10" t="e">
        <f t="shared" si="113"/>
        <v>#VALUE!</v>
      </c>
      <c r="AY107" s="10" t="e">
        <f t="shared" si="114"/>
        <v>#VALUE!</v>
      </c>
      <c r="AZ107" s="10" t="e">
        <f t="shared" si="115"/>
        <v>#VALUE!</v>
      </c>
      <c r="BA107" s="10" t="e">
        <f t="shared" si="144"/>
        <v>#VALUE!</v>
      </c>
      <c r="BB107" s="10" t="e">
        <f t="shared" si="92"/>
        <v>#VALUE!</v>
      </c>
      <c r="BC107" s="10" t="e">
        <f t="shared" si="145"/>
        <v>#VALUE!</v>
      </c>
      <c r="BE107" s="10" t="e">
        <f t="shared" si="116"/>
        <v>#VALUE!</v>
      </c>
      <c r="BF107" s="10" t="e">
        <f t="shared" si="146"/>
        <v>#VALUE!</v>
      </c>
      <c r="BG107" s="10" t="e">
        <f t="shared" si="93"/>
        <v>#VALUE!</v>
      </c>
      <c r="BH107" s="10" t="e">
        <f t="shared" si="117"/>
        <v>#VALUE!</v>
      </c>
      <c r="BI107" s="10" t="e">
        <f t="shared" si="118"/>
        <v>#VALUE!</v>
      </c>
      <c r="BJ107" s="10" t="e">
        <f t="shared" si="119"/>
        <v>#VALUE!</v>
      </c>
      <c r="BK107" s="10" t="e">
        <f t="shared" si="147"/>
        <v>#VALUE!</v>
      </c>
      <c r="BL107" s="10" t="e">
        <f t="shared" si="94"/>
        <v>#VALUE!</v>
      </c>
      <c r="BM107" s="10" t="e">
        <f t="shared" si="148"/>
        <v>#VALUE!</v>
      </c>
      <c r="BP107" s="10" t="e">
        <f t="shared" si="120"/>
        <v>#VALUE!</v>
      </c>
      <c r="BQ107" s="10" t="e">
        <f t="shared" si="121"/>
        <v>#VALUE!</v>
      </c>
      <c r="BR107" s="10" t="e">
        <f t="shared" si="122"/>
        <v>#VALUE!</v>
      </c>
      <c r="BS107" s="10" t="e">
        <f t="shared" si="123"/>
        <v>#VALUE!</v>
      </c>
      <c r="BT107" s="10" t="e">
        <f t="shared" si="124"/>
        <v>#VALUE!</v>
      </c>
      <c r="BU107" s="10" t="e">
        <f t="shared" si="125"/>
        <v>#VALUE!</v>
      </c>
      <c r="BW107" s="10" t="e">
        <f t="shared" si="126"/>
        <v>#VALUE!</v>
      </c>
      <c r="BX107" s="10" t="e">
        <f t="shared" si="127"/>
        <v>#VALUE!</v>
      </c>
      <c r="BY107" s="10" t="e">
        <f t="shared" si="128"/>
        <v>#VALUE!</v>
      </c>
      <c r="BZ107" s="10" t="e">
        <f t="shared" si="129"/>
        <v>#VALUE!</v>
      </c>
      <c r="CA107" s="10" t="e">
        <f t="shared" si="130"/>
        <v>#VALUE!</v>
      </c>
      <c r="CB107" s="10" t="e">
        <f t="shared" si="131"/>
        <v>#VALUE!</v>
      </c>
      <c r="CD107" s="10" t="e">
        <f>MATCH(INDEX($BP$12:$BU$12,1,MATCH(BP107,$BP$15:$BU$15,0)),结果汇总!$AI$10:$AI$13,0)</f>
        <v>#VALUE!</v>
      </c>
      <c r="CE107" s="10" t="e">
        <f>MATCH(INDEX($BP$12:$BU$12,1,MATCH(BQ107,$BP$15:$BU$15,0)),结果汇总!$AI$10:$AI$13,0)</f>
        <v>#VALUE!</v>
      </c>
      <c r="CF107" s="10" t="e">
        <f>MATCH(INDEX($BP$12:$BU$12,1,MATCH(BR107,$BP$15:$BU$15,0)),结果汇总!$AI$10:$AI$13,0)</f>
        <v>#VALUE!</v>
      </c>
      <c r="CG107" s="10" t="e">
        <f>MATCH(INDEX($BP$12:$BU$12,1,MATCH(BS107,$BP$15:$BU$15,0)),结果汇总!$AI$10:$AI$13,0)</f>
        <v>#VALUE!</v>
      </c>
      <c r="CH107" s="10" t="e">
        <f>MATCH(INDEX($BP$12:$BU$12,1,MATCH(BT107,$BP$15:$BU$15,0)),结果汇总!$AI$10:$AI$13,0)</f>
        <v>#VALUE!</v>
      </c>
      <c r="CI107" s="10" t="e">
        <f>MATCH(INDEX($BP$12:$BU$12,1,MATCH(BU107,$BP$15:$BU$15,0)),结果汇总!$AI$10:$AI$13,0)</f>
        <v>#VALUE!</v>
      </c>
      <c r="CK107" s="10">
        <f t="shared" si="132"/>
        <v>0</v>
      </c>
      <c r="CL107" s="10">
        <f t="shared" si="132"/>
        <v>0</v>
      </c>
      <c r="CM107" s="10">
        <f t="shared" si="132"/>
        <v>0</v>
      </c>
      <c r="CN107" s="10">
        <f t="shared" si="132"/>
        <v>0</v>
      </c>
      <c r="CO107" s="10" t="e">
        <f t="shared" si="133"/>
        <v>#DIV/0!</v>
      </c>
      <c r="CP107" s="10" t="e">
        <f t="shared" si="133"/>
        <v>#DIV/0!</v>
      </c>
      <c r="CQ107" s="10" t="e">
        <f t="shared" si="133"/>
        <v>#DIV/0!</v>
      </c>
      <c r="CR107" s="10" t="e">
        <f t="shared" si="133"/>
        <v>#DIV/0!</v>
      </c>
      <c r="CS107" s="10">
        <f t="shared" si="134"/>
        <v>0</v>
      </c>
      <c r="CT107" s="10">
        <f t="shared" si="134"/>
        <v>0</v>
      </c>
      <c r="CU107" s="10">
        <f t="shared" si="134"/>
        <v>0</v>
      </c>
      <c r="CV107" s="10">
        <f t="shared" si="134"/>
        <v>0</v>
      </c>
      <c r="CW107" s="10" t="e">
        <f t="shared" si="135"/>
        <v>#DIV/0!</v>
      </c>
      <c r="CX107" s="10" t="e">
        <f t="shared" si="135"/>
        <v>#DIV/0!</v>
      </c>
      <c r="CY107" s="10" t="e">
        <f t="shared" si="135"/>
        <v>#DIV/0!</v>
      </c>
      <c r="CZ107" s="10" t="e">
        <f t="shared" si="135"/>
        <v>#DIV/0!</v>
      </c>
    </row>
    <row r="108" spans="4:104" x14ac:dyDescent="0.15">
      <c r="D108" s="10">
        <v>93</v>
      </c>
      <c r="E108" s="10" t="e">
        <f t="shared" si="95"/>
        <v>#VALUE!</v>
      </c>
      <c r="F108" s="10" t="e">
        <f t="shared" si="79"/>
        <v>#VALUE!</v>
      </c>
      <c r="G108" s="10" t="e">
        <f t="shared" si="80"/>
        <v>#VALUE!</v>
      </c>
      <c r="H108" s="10" t="e">
        <f t="shared" si="96"/>
        <v>#VALUE!</v>
      </c>
      <c r="I108" s="10" t="e">
        <f t="shared" si="81"/>
        <v>#VALUE!</v>
      </c>
      <c r="J108" s="10" t="e">
        <f t="shared" si="97"/>
        <v>#VALUE!</v>
      </c>
      <c r="K108" s="10" t="e">
        <f t="shared" si="82"/>
        <v>#VALUE!</v>
      </c>
      <c r="L108" s="10" t="e">
        <f t="shared" si="83"/>
        <v>#VALUE!</v>
      </c>
      <c r="M108" s="10" t="e">
        <f t="shared" si="98"/>
        <v>#VALUE!</v>
      </c>
      <c r="O108" s="10" t="e">
        <f t="shared" si="99"/>
        <v>#VALUE!</v>
      </c>
      <c r="P108" s="10" t="e">
        <f t="shared" si="84"/>
        <v>#VALUE!</v>
      </c>
      <c r="Q108" s="10" t="e">
        <f t="shared" si="85"/>
        <v>#VALUE!</v>
      </c>
      <c r="R108" s="10" t="e">
        <f t="shared" si="100"/>
        <v>#VALUE!</v>
      </c>
      <c r="S108" s="10" t="e">
        <f t="shared" si="101"/>
        <v>#VALUE!</v>
      </c>
      <c r="T108" s="10" t="e">
        <f t="shared" si="136"/>
        <v>#VALUE!</v>
      </c>
      <c r="U108" s="10" t="e">
        <f t="shared" si="137"/>
        <v>#VALUE!</v>
      </c>
      <c r="V108" s="10" t="e">
        <f t="shared" si="86"/>
        <v>#VALUE!</v>
      </c>
      <c r="W108" s="10" t="e">
        <f t="shared" si="102"/>
        <v>#VALUE!</v>
      </c>
      <c r="Y108" s="10" t="e">
        <f t="shared" si="103"/>
        <v>#VALUE!</v>
      </c>
      <c r="Z108" s="11" t="e">
        <f t="shared" si="104"/>
        <v>#VALUE!</v>
      </c>
      <c r="AA108" s="10" t="e">
        <f t="shared" si="87"/>
        <v>#VALUE!</v>
      </c>
      <c r="AB108" s="10" t="e">
        <f t="shared" si="105"/>
        <v>#VALUE!</v>
      </c>
      <c r="AC108" s="10" t="e">
        <f t="shared" si="106"/>
        <v>#VALUE!</v>
      </c>
      <c r="AD108" s="10" t="e">
        <f t="shared" si="138"/>
        <v>#VALUE!</v>
      </c>
      <c r="AE108" s="10" t="e">
        <f t="shared" si="139"/>
        <v>#VALUE!</v>
      </c>
      <c r="AF108" s="10" t="e">
        <f t="shared" si="88"/>
        <v>#VALUE!</v>
      </c>
      <c r="AG108" s="10" t="e">
        <f t="shared" si="107"/>
        <v>#VALUE!</v>
      </c>
      <c r="AI108" s="13"/>
      <c r="AK108" s="10" t="e">
        <f t="shared" si="108"/>
        <v>#VALUE!</v>
      </c>
      <c r="AL108" s="10" t="e">
        <f t="shared" si="140"/>
        <v>#VALUE!</v>
      </c>
      <c r="AM108" s="10" t="e">
        <f t="shared" si="89"/>
        <v>#VALUE!</v>
      </c>
      <c r="AN108" s="10" t="e">
        <f t="shared" si="109"/>
        <v>#VALUE!</v>
      </c>
      <c r="AO108" s="10" t="e">
        <f t="shared" si="110"/>
        <v>#VALUE!</v>
      </c>
      <c r="AP108" s="10" t="e">
        <f t="shared" si="111"/>
        <v>#VALUE!</v>
      </c>
      <c r="AQ108" s="10" t="e">
        <f t="shared" si="141"/>
        <v>#VALUE!</v>
      </c>
      <c r="AR108" s="10" t="e">
        <f t="shared" si="90"/>
        <v>#VALUE!</v>
      </c>
      <c r="AS108" s="10" t="e">
        <f t="shared" si="142"/>
        <v>#VALUE!</v>
      </c>
      <c r="AU108" s="10" t="e">
        <f t="shared" si="112"/>
        <v>#VALUE!</v>
      </c>
      <c r="AV108" s="10" t="e">
        <f t="shared" si="143"/>
        <v>#VALUE!</v>
      </c>
      <c r="AW108" s="10" t="e">
        <f t="shared" si="91"/>
        <v>#VALUE!</v>
      </c>
      <c r="AX108" s="10" t="e">
        <f t="shared" si="113"/>
        <v>#VALUE!</v>
      </c>
      <c r="AY108" s="10" t="e">
        <f t="shared" si="114"/>
        <v>#VALUE!</v>
      </c>
      <c r="AZ108" s="10" t="e">
        <f t="shared" si="115"/>
        <v>#VALUE!</v>
      </c>
      <c r="BA108" s="10" t="e">
        <f t="shared" si="144"/>
        <v>#VALUE!</v>
      </c>
      <c r="BB108" s="10" t="e">
        <f t="shared" si="92"/>
        <v>#VALUE!</v>
      </c>
      <c r="BC108" s="10" t="e">
        <f t="shared" si="145"/>
        <v>#VALUE!</v>
      </c>
      <c r="BE108" s="10" t="e">
        <f t="shared" si="116"/>
        <v>#VALUE!</v>
      </c>
      <c r="BF108" s="10" t="e">
        <f t="shared" si="146"/>
        <v>#VALUE!</v>
      </c>
      <c r="BG108" s="10" t="e">
        <f t="shared" si="93"/>
        <v>#VALUE!</v>
      </c>
      <c r="BH108" s="10" t="e">
        <f t="shared" si="117"/>
        <v>#VALUE!</v>
      </c>
      <c r="BI108" s="10" t="e">
        <f t="shared" si="118"/>
        <v>#VALUE!</v>
      </c>
      <c r="BJ108" s="10" t="e">
        <f t="shared" si="119"/>
        <v>#VALUE!</v>
      </c>
      <c r="BK108" s="10" t="e">
        <f t="shared" si="147"/>
        <v>#VALUE!</v>
      </c>
      <c r="BL108" s="10" t="e">
        <f t="shared" si="94"/>
        <v>#VALUE!</v>
      </c>
      <c r="BM108" s="10" t="e">
        <f t="shared" si="148"/>
        <v>#VALUE!</v>
      </c>
      <c r="BP108" s="10" t="e">
        <f t="shared" si="120"/>
        <v>#VALUE!</v>
      </c>
      <c r="BQ108" s="10" t="e">
        <f t="shared" si="121"/>
        <v>#VALUE!</v>
      </c>
      <c r="BR108" s="10" t="e">
        <f t="shared" si="122"/>
        <v>#VALUE!</v>
      </c>
      <c r="BS108" s="10" t="e">
        <f t="shared" si="123"/>
        <v>#VALUE!</v>
      </c>
      <c r="BT108" s="10" t="e">
        <f t="shared" si="124"/>
        <v>#VALUE!</v>
      </c>
      <c r="BU108" s="10" t="e">
        <f t="shared" si="125"/>
        <v>#VALUE!</v>
      </c>
      <c r="BW108" s="10" t="e">
        <f t="shared" si="126"/>
        <v>#VALUE!</v>
      </c>
      <c r="BX108" s="10" t="e">
        <f t="shared" si="127"/>
        <v>#VALUE!</v>
      </c>
      <c r="BY108" s="10" t="e">
        <f t="shared" si="128"/>
        <v>#VALUE!</v>
      </c>
      <c r="BZ108" s="10" t="e">
        <f t="shared" si="129"/>
        <v>#VALUE!</v>
      </c>
      <c r="CA108" s="10" t="e">
        <f t="shared" si="130"/>
        <v>#VALUE!</v>
      </c>
      <c r="CB108" s="10" t="e">
        <f t="shared" si="131"/>
        <v>#VALUE!</v>
      </c>
      <c r="CD108" s="10" t="e">
        <f>MATCH(INDEX($BP$12:$BU$12,1,MATCH(BP108,$BP$15:$BU$15,0)),结果汇总!$AI$10:$AI$13,0)</f>
        <v>#VALUE!</v>
      </c>
      <c r="CE108" s="10" t="e">
        <f>MATCH(INDEX($BP$12:$BU$12,1,MATCH(BQ108,$BP$15:$BU$15,0)),结果汇总!$AI$10:$AI$13,0)</f>
        <v>#VALUE!</v>
      </c>
      <c r="CF108" s="10" t="e">
        <f>MATCH(INDEX($BP$12:$BU$12,1,MATCH(BR108,$BP$15:$BU$15,0)),结果汇总!$AI$10:$AI$13,0)</f>
        <v>#VALUE!</v>
      </c>
      <c r="CG108" s="10" t="e">
        <f>MATCH(INDEX($BP$12:$BU$12,1,MATCH(BS108,$BP$15:$BU$15,0)),结果汇总!$AI$10:$AI$13,0)</f>
        <v>#VALUE!</v>
      </c>
      <c r="CH108" s="10" t="e">
        <f>MATCH(INDEX($BP$12:$BU$12,1,MATCH(BT108,$BP$15:$BU$15,0)),结果汇总!$AI$10:$AI$13,0)</f>
        <v>#VALUE!</v>
      </c>
      <c r="CI108" s="10" t="e">
        <f>MATCH(INDEX($BP$12:$BU$12,1,MATCH(BU108,$BP$15:$BU$15,0)),结果汇总!$AI$10:$AI$13,0)</f>
        <v>#VALUE!</v>
      </c>
      <c r="CK108" s="10">
        <f t="shared" si="132"/>
        <v>0</v>
      </c>
      <c r="CL108" s="10">
        <f t="shared" si="132"/>
        <v>0</v>
      </c>
      <c r="CM108" s="10">
        <f t="shared" si="132"/>
        <v>0</v>
      </c>
      <c r="CN108" s="10">
        <f t="shared" si="132"/>
        <v>0</v>
      </c>
      <c r="CO108" s="10" t="e">
        <f t="shared" si="133"/>
        <v>#DIV/0!</v>
      </c>
      <c r="CP108" s="10" t="e">
        <f t="shared" si="133"/>
        <v>#DIV/0!</v>
      </c>
      <c r="CQ108" s="10" t="e">
        <f t="shared" si="133"/>
        <v>#DIV/0!</v>
      </c>
      <c r="CR108" s="10" t="e">
        <f t="shared" si="133"/>
        <v>#DIV/0!</v>
      </c>
      <c r="CS108" s="10">
        <f t="shared" si="134"/>
        <v>0</v>
      </c>
      <c r="CT108" s="10">
        <f t="shared" si="134"/>
        <v>0</v>
      </c>
      <c r="CU108" s="10">
        <f t="shared" si="134"/>
        <v>0</v>
      </c>
      <c r="CV108" s="10">
        <f t="shared" si="134"/>
        <v>0</v>
      </c>
      <c r="CW108" s="10" t="e">
        <f t="shared" si="135"/>
        <v>#DIV/0!</v>
      </c>
      <c r="CX108" s="10" t="e">
        <f t="shared" si="135"/>
        <v>#DIV/0!</v>
      </c>
      <c r="CY108" s="10" t="e">
        <f t="shared" si="135"/>
        <v>#DIV/0!</v>
      </c>
      <c r="CZ108" s="10" t="e">
        <f t="shared" si="135"/>
        <v>#DIV/0!</v>
      </c>
    </row>
    <row r="109" spans="4:104" x14ac:dyDescent="0.15">
      <c r="D109" s="10">
        <v>94</v>
      </c>
      <c r="E109" s="10" t="e">
        <f t="shared" si="95"/>
        <v>#VALUE!</v>
      </c>
      <c r="F109" s="10" t="e">
        <f t="shared" si="79"/>
        <v>#VALUE!</v>
      </c>
      <c r="G109" s="10" t="e">
        <f t="shared" si="80"/>
        <v>#VALUE!</v>
      </c>
      <c r="H109" s="10" t="e">
        <f t="shared" si="96"/>
        <v>#VALUE!</v>
      </c>
      <c r="I109" s="10" t="e">
        <f t="shared" si="81"/>
        <v>#VALUE!</v>
      </c>
      <c r="J109" s="10" t="e">
        <f t="shared" si="97"/>
        <v>#VALUE!</v>
      </c>
      <c r="K109" s="10" t="e">
        <f t="shared" si="82"/>
        <v>#VALUE!</v>
      </c>
      <c r="L109" s="10" t="e">
        <f t="shared" si="83"/>
        <v>#VALUE!</v>
      </c>
      <c r="M109" s="10" t="e">
        <f t="shared" si="98"/>
        <v>#VALUE!</v>
      </c>
      <c r="O109" s="10" t="e">
        <f t="shared" si="99"/>
        <v>#VALUE!</v>
      </c>
      <c r="P109" s="10" t="e">
        <f t="shared" si="84"/>
        <v>#VALUE!</v>
      </c>
      <c r="Q109" s="10" t="e">
        <f t="shared" si="85"/>
        <v>#VALUE!</v>
      </c>
      <c r="R109" s="10" t="e">
        <f t="shared" si="100"/>
        <v>#VALUE!</v>
      </c>
      <c r="S109" s="10" t="e">
        <f t="shared" si="101"/>
        <v>#VALUE!</v>
      </c>
      <c r="T109" s="10" t="e">
        <f t="shared" si="136"/>
        <v>#VALUE!</v>
      </c>
      <c r="U109" s="10" t="e">
        <f t="shared" si="137"/>
        <v>#VALUE!</v>
      </c>
      <c r="V109" s="10" t="e">
        <f t="shared" si="86"/>
        <v>#VALUE!</v>
      </c>
      <c r="W109" s="10" t="e">
        <f t="shared" si="102"/>
        <v>#VALUE!</v>
      </c>
      <c r="Y109" s="10" t="e">
        <f t="shared" si="103"/>
        <v>#VALUE!</v>
      </c>
      <c r="Z109" s="11" t="e">
        <f t="shared" si="104"/>
        <v>#VALUE!</v>
      </c>
      <c r="AA109" s="10" t="e">
        <f t="shared" si="87"/>
        <v>#VALUE!</v>
      </c>
      <c r="AB109" s="10" t="e">
        <f t="shared" si="105"/>
        <v>#VALUE!</v>
      </c>
      <c r="AC109" s="10" t="e">
        <f t="shared" si="106"/>
        <v>#VALUE!</v>
      </c>
      <c r="AD109" s="10" t="e">
        <f t="shared" si="138"/>
        <v>#VALUE!</v>
      </c>
      <c r="AE109" s="10" t="e">
        <f t="shared" si="139"/>
        <v>#VALUE!</v>
      </c>
      <c r="AF109" s="10" t="e">
        <f t="shared" si="88"/>
        <v>#VALUE!</v>
      </c>
      <c r="AG109" s="10" t="e">
        <f t="shared" si="107"/>
        <v>#VALUE!</v>
      </c>
      <c r="AI109" s="13"/>
      <c r="AK109" s="10" t="e">
        <f t="shared" si="108"/>
        <v>#VALUE!</v>
      </c>
      <c r="AL109" s="10" t="e">
        <f t="shared" si="140"/>
        <v>#VALUE!</v>
      </c>
      <c r="AM109" s="10" t="e">
        <f t="shared" si="89"/>
        <v>#VALUE!</v>
      </c>
      <c r="AN109" s="10" t="e">
        <f t="shared" si="109"/>
        <v>#VALUE!</v>
      </c>
      <c r="AO109" s="10" t="e">
        <f t="shared" si="110"/>
        <v>#VALUE!</v>
      </c>
      <c r="AP109" s="10" t="e">
        <f t="shared" si="111"/>
        <v>#VALUE!</v>
      </c>
      <c r="AQ109" s="10" t="e">
        <f t="shared" si="141"/>
        <v>#VALUE!</v>
      </c>
      <c r="AR109" s="10" t="e">
        <f t="shared" si="90"/>
        <v>#VALUE!</v>
      </c>
      <c r="AS109" s="10" t="e">
        <f t="shared" si="142"/>
        <v>#VALUE!</v>
      </c>
      <c r="AU109" s="10" t="e">
        <f t="shared" si="112"/>
        <v>#VALUE!</v>
      </c>
      <c r="AV109" s="10" t="e">
        <f t="shared" si="143"/>
        <v>#VALUE!</v>
      </c>
      <c r="AW109" s="10" t="e">
        <f t="shared" si="91"/>
        <v>#VALUE!</v>
      </c>
      <c r="AX109" s="10" t="e">
        <f t="shared" si="113"/>
        <v>#VALUE!</v>
      </c>
      <c r="AY109" s="10" t="e">
        <f t="shared" si="114"/>
        <v>#VALUE!</v>
      </c>
      <c r="AZ109" s="10" t="e">
        <f t="shared" si="115"/>
        <v>#VALUE!</v>
      </c>
      <c r="BA109" s="10" t="e">
        <f t="shared" si="144"/>
        <v>#VALUE!</v>
      </c>
      <c r="BB109" s="10" t="e">
        <f t="shared" si="92"/>
        <v>#VALUE!</v>
      </c>
      <c r="BC109" s="10" t="e">
        <f t="shared" si="145"/>
        <v>#VALUE!</v>
      </c>
      <c r="BE109" s="10" t="e">
        <f t="shared" si="116"/>
        <v>#VALUE!</v>
      </c>
      <c r="BF109" s="10" t="e">
        <f t="shared" si="146"/>
        <v>#VALUE!</v>
      </c>
      <c r="BG109" s="10" t="e">
        <f t="shared" si="93"/>
        <v>#VALUE!</v>
      </c>
      <c r="BH109" s="10" t="e">
        <f t="shared" si="117"/>
        <v>#VALUE!</v>
      </c>
      <c r="BI109" s="10" t="e">
        <f t="shared" si="118"/>
        <v>#VALUE!</v>
      </c>
      <c r="BJ109" s="10" t="e">
        <f t="shared" si="119"/>
        <v>#VALUE!</v>
      </c>
      <c r="BK109" s="10" t="e">
        <f t="shared" si="147"/>
        <v>#VALUE!</v>
      </c>
      <c r="BL109" s="10" t="e">
        <f t="shared" si="94"/>
        <v>#VALUE!</v>
      </c>
      <c r="BM109" s="10" t="e">
        <f t="shared" si="148"/>
        <v>#VALUE!</v>
      </c>
      <c r="BP109" s="10" t="e">
        <f t="shared" si="120"/>
        <v>#VALUE!</v>
      </c>
      <c r="BQ109" s="10" t="e">
        <f t="shared" si="121"/>
        <v>#VALUE!</v>
      </c>
      <c r="BR109" s="10" t="e">
        <f t="shared" si="122"/>
        <v>#VALUE!</v>
      </c>
      <c r="BS109" s="10" t="e">
        <f t="shared" si="123"/>
        <v>#VALUE!</v>
      </c>
      <c r="BT109" s="10" t="e">
        <f t="shared" si="124"/>
        <v>#VALUE!</v>
      </c>
      <c r="BU109" s="10" t="e">
        <f t="shared" si="125"/>
        <v>#VALUE!</v>
      </c>
      <c r="BW109" s="10" t="e">
        <f t="shared" si="126"/>
        <v>#VALUE!</v>
      </c>
      <c r="BX109" s="10" t="e">
        <f t="shared" si="127"/>
        <v>#VALUE!</v>
      </c>
      <c r="BY109" s="10" t="e">
        <f t="shared" si="128"/>
        <v>#VALUE!</v>
      </c>
      <c r="BZ109" s="10" t="e">
        <f t="shared" si="129"/>
        <v>#VALUE!</v>
      </c>
      <c r="CA109" s="10" t="e">
        <f t="shared" si="130"/>
        <v>#VALUE!</v>
      </c>
      <c r="CB109" s="10" t="e">
        <f t="shared" si="131"/>
        <v>#VALUE!</v>
      </c>
      <c r="CD109" s="10" t="e">
        <f>MATCH(INDEX($BP$12:$BU$12,1,MATCH(BP109,$BP$15:$BU$15,0)),结果汇总!$AI$10:$AI$13,0)</f>
        <v>#VALUE!</v>
      </c>
      <c r="CE109" s="10" t="e">
        <f>MATCH(INDEX($BP$12:$BU$12,1,MATCH(BQ109,$BP$15:$BU$15,0)),结果汇总!$AI$10:$AI$13,0)</f>
        <v>#VALUE!</v>
      </c>
      <c r="CF109" s="10" t="e">
        <f>MATCH(INDEX($BP$12:$BU$12,1,MATCH(BR109,$BP$15:$BU$15,0)),结果汇总!$AI$10:$AI$13,0)</f>
        <v>#VALUE!</v>
      </c>
      <c r="CG109" s="10" t="e">
        <f>MATCH(INDEX($BP$12:$BU$12,1,MATCH(BS109,$BP$15:$BU$15,0)),结果汇总!$AI$10:$AI$13,0)</f>
        <v>#VALUE!</v>
      </c>
      <c r="CH109" s="10" t="e">
        <f>MATCH(INDEX($BP$12:$BU$12,1,MATCH(BT109,$BP$15:$BU$15,0)),结果汇总!$AI$10:$AI$13,0)</f>
        <v>#VALUE!</v>
      </c>
      <c r="CI109" s="10" t="e">
        <f>MATCH(INDEX($BP$12:$BU$12,1,MATCH(BU109,$BP$15:$BU$15,0)),结果汇总!$AI$10:$AI$13,0)</f>
        <v>#VALUE!</v>
      </c>
      <c r="CK109" s="10">
        <f t="shared" si="132"/>
        <v>0</v>
      </c>
      <c r="CL109" s="10">
        <f t="shared" si="132"/>
        <v>0</v>
      </c>
      <c r="CM109" s="10">
        <f t="shared" si="132"/>
        <v>0</v>
      </c>
      <c r="CN109" s="10">
        <f t="shared" si="132"/>
        <v>0</v>
      </c>
      <c r="CO109" s="10" t="e">
        <f t="shared" si="133"/>
        <v>#DIV/0!</v>
      </c>
      <c r="CP109" s="10" t="e">
        <f t="shared" si="133"/>
        <v>#DIV/0!</v>
      </c>
      <c r="CQ109" s="10" t="e">
        <f t="shared" si="133"/>
        <v>#DIV/0!</v>
      </c>
      <c r="CR109" s="10" t="e">
        <f t="shared" si="133"/>
        <v>#DIV/0!</v>
      </c>
      <c r="CS109" s="10">
        <f t="shared" si="134"/>
        <v>0</v>
      </c>
      <c r="CT109" s="10">
        <f t="shared" si="134"/>
        <v>0</v>
      </c>
      <c r="CU109" s="10">
        <f t="shared" si="134"/>
        <v>0</v>
      </c>
      <c r="CV109" s="10">
        <f t="shared" si="134"/>
        <v>0</v>
      </c>
      <c r="CW109" s="10" t="e">
        <f t="shared" si="135"/>
        <v>#DIV/0!</v>
      </c>
      <c r="CX109" s="10" t="e">
        <f t="shared" si="135"/>
        <v>#DIV/0!</v>
      </c>
      <c r="CY109" s="10" t="e">
        <f t="shared" si="135"/>
        <v>#DIV/0!</v>
      </c>
      <c r="CZ109" s="10" t="e">
        <f t="shared" si="135"/>
        <v>#DIV/0!</v>
      </c>
    </row>
    <row r="110" spans="4:104" x14ac:dyDescent="0.15">
      <c r="D110" s="10">
        <v>95</v>
      </c>
      <c r="E110" s="10" t="e">
        <f t="shared" si="95"/>
        <v>#VALUE!</v>
      </c>
      <c r="F110" s="10" t="e">
        <f t="shared" si="79"/>
        <v>#VALUE!</v>
      </c>
      <c r="G110" s="10" t="e">
        <f t="shared" si="80"/>
        <v>#VALUE!</v>
      </c>
      <c r="H110" s="10" t="e">
        <f t="shared" si="96"/>
        <v>#VALUE!</v>
      </c>
      <c r="I110" s="10" t="e">
        <f t="shared" si="81"/>
        <v>#VALUE!</v>
      </c>
      <c r="J110" s="10" t="e">
        <f t="shared" si="97"/>
        <v>#VALUE!</v>
      </c>
      <c r="K110" s="10" t="e">
        <f t="shared" si="82"/>
        <v>#VALUE!</v>
      </c>
      <c r="L110" s="10" t="e">
        <f t="shared" si="83"/>
        <v>#VALUE!</v>
      </c>
      <c r="M110" s="10" t="e">
        <f t="shared" si="98"/>
        <v>#VALUE!</v>
      </c>
      <c r="O110" s="10" t="e">
        <f t="shared" si="99"/>
        <v>#VALUE!</v>
      </c>
      <c r="P110" s="10" t="e">
        <f t="shared" si="84"/>
        <v>#VALUE!</v>
      </c>
      <c r="Q110" s="10" t="e">
        <f t="shared" si="85"/>
        <v>#VALUE!</v>
      </c>
      <c r="R110" s="10" t="e">
        <f t="shared" si="100"/>
        <v>#VALUE!</v>
      </c>
      <c r="S110" s="10" t="e">
        <f t="shared" si="101"/>
        <v>#VALUE!</v>
      </c>
      <c r="T110" s="10" t="e">
        <f t="shared" si="136"/>
        <v>#VALUE!</v>
      </c>
      <c r="U110" s="10" t="e">
        <f t="shared" si="137"/>
        <v>#VALUE!</v>
      </c>
      <c r="V110" s="10" t="e">
        <f t="shared" si="86"/>
        <v>#VALUE!</v>
      </c>
      <c r="W110" s="10" t="e">
        <f t="shared" si="102"/>
        <v>#VALUE!</v>
      </c>
      <c r="Y110" s="10" t="e">
        <f t="shared" si="103"/>
        <v>#VALUE!</v>
      </c>
      <c r="Z110" s="11" t="e">
        <f t="shared" si="104"/>
        <v>#VALUE!</v>
      </c>
      <c r="AA110" s="10" t="e">
        <f t="shared" si="87"/>
        <v>#VALUE!</v>
      </c>
      <c r="AB110" s="10" t="e">
        <f t="shared" si="105"/>
        <v>#VALUE!</v>
      </c>
      <c r="AC110" s="10" t="e">
        <f t="shared" si="106"/>
        <v>#VALUE!</v>
      </c>
      <c r="AD110" s="10" t="e">
        <f t="shared" si="138"/>
        <v>#VALUE!</v>
      </c>
      <c r="AE110" s="10" t="e">
        <f t="shared" si="139"/>
        <v>#VALUE!</v>
      </c>
      <c r="AF110" s="10" t="e">
        <f t="shared" si="88"/>
        <v>#VALUE!</v>
      </c>
      <c r="AG110" s="10" t="e">
        <f t="shared" si="107"/>
        <v>#VALUE!</v>
      </c>
      <c r="AI110" s="13"/>
      <c r="AK110" s="10" t="e">
        <f t="shared" si="108"/>
        <v>#VALUE!</v>
      </c>
      <c r="AL110" s="10" t="e">
        <f t="shared" si="140"/>
        <v>#VALUE!</v>
      </c>
      <c r="AM110" s="10" t="e">
        <f t="shared" si="89"/>
        <v>#VALUE!</v>
      </c>
      <c r="AN110" s="10" t="e">
        <f t="shared" si="109"/>
        <v>#VALUE!</v>
      </c>
      <c r="AO110" s="10" t="e">
        <f t="shared" si="110"/>
        <v>#VALUE!</v>
      </c>
      <c r="AP110" s="10" t="e">
        <f t="shared" si="111"/>
        <v>#VALUE!</v>
      </c>
      <c r="AQ110" s="10" t="e">
        <f t="shared" si="141"/>
        <v>#VALUE!</v>
      </c>
      <c r="AR110" s="10" t="e">
        <f t="shared" si="90"/>
        <v>#VALUE!</v>
      </c>
      <c r="AS110" s="10" t="e">
        <f t="shared" si="142"/>
        <v>#VALUE!</v>
      </c>
      <c r="AU110" s="10" t="e">
        <f t="shared" si="112"/>
        <v>#VALUE!</v>
      </c>
      <c r="AV110" s="10" t="e">
        <f t="shared" si="143"/>
        <v>#VALUE!</v>
      </c>
      <c r="AW110" s="10" t="e">
        <f t="shared" si="91"/>
        <v>#VALUE!</v>
      </c>
      <c r="AX110" s="10" t="e">
        <f t="shared" si="113"/>
        <v>#VALUE!</v>
      </c>
      <c r="AY110" s="10" t="e">
        <f t="shared" si="114"/>
        <v>#VALUE!</v>
      </c>
      <c r="AZ110" s="10" t="e">
        <f t="shared" si="115"/>
        <v>#VALUE!</v>
      </c>
      <c r="BA110" s="10" t="e">
        <f t="shared" si="144"/>
        <v>#VALUE!</v>
      </c>
      <c r="BB110" s="10" t="e">
        <f t="shared" si="92"/>
        <v>#VALUE!</v>
      </c>
      <c r="BC110" s="10" t="e">
        <f t="shared" si="145"/>
        <v>#VALUE!</v>
      </c>
      <c r="BE110" s="10" t="e">
        <f t="shared" si="116"/>
        <v>#VALUE!</v>
      </c>
      <c r="BF110" s="10" t="e">
        <f t="shared" si="146"/>
        <v>#VALUE!</v>
      </c>
      <c r="BG110" s="10" t="e">
        <f t="shared" si="93"/>
        <v>#VALUE!</v>
      </c>
      <c r="BH110" s="10" t="e">
        <f t="shared" si="117"/>
        <v>#VALUE!</v>
      </c>
      <c r="BI110" s="10" t="e">
        <f t="shared" si="118"/>
        <v>#VALUE!</v>
      </c>
      <c r="BJ110" s="10" t="e">
        <f t="shared" si="119"/>
        <v>#VALUE!</v>
      </c>
      <c r="BK110" s="10" t="e">
        <f t="shared" si="147"/>
        <v>#VALUE!</v>
      </c>
      <c r="BL110" s="10" t="e">
        <f t="shared" si="94"/>
        <v>#VALUE!</v>
      </c>
      <c r="BM110" s="10" t="e">
        <f t="shared" si="148"/>
        <v>#VALUE!</v>
      </c>
      <c r="BP110" s="10" t="e">
        <f t="shared" si="120"/>
        <v>#VALUE!</v>
      </c>
      <c r="BQ110" s="10" t="e">
        <f t="shared" si="121"/>
        <v>#VALUE!</v>
      </c>
      <c r="BR110" s="10" t="e">
        <f t="shared" si="122"/>
        <v>#VALUE!</v>
      </c>
      <c r="BS110" s="10" t="e">
        <f t="shared" si="123"/>
        <v>#VALUE!</v>
      </c>
      <c r="BT110" s="10" t="e">
        <f t="shared" si="124"/>
        <v>#VALUE!</v>
      </c>
      <c r="BU110" s="10" t="e">
        <f t="shared" si="125"/>
        <v>#VALUE!</v>
      </c>
      <c r="BW110" s="10" t="e">
        <f t="shared" si="126"/>
        <v>#VALUE!</v>
      </c>
      <c r="BX110" s="10" t="e">
        <f t="shared" si="127"/>
        <v>#VALUE!</v>
      </c>
      <c r="BY110" s="10" t="e">
        <f t="shared" si="128"/>
        <v>#VALUE!</v>
      </c>
      <c r="BZ110" s="10" t="e">
        <f t="shared" si="129"/>
        <v>#VALUE!</v>
      </c>
      <c r="CA110" s="10" t="e">
        <f t="shared" si="130"/>
        <v>#VALUE!</v>
      </c>
      <c r="CB110" s="10" t="e">
        <f t="shared" si="131"/>
        <v>#VALUE!</v>
      </c>
      <c r="CD110" s="10" t="e">
        <f>MATCH(INDEX($BP$12:$BU$12,1,MATCH(BP110,$BP$15:$BU$15,0)),结果汇总!$AI$10:$AI$13,0)</f>
        <v>#VALUE!</v>
      </c>
      <c r="CE110" s="10" t="e">
        <f>MATCH(INDEX($BP$12:$BU$12,1,MATCH(BQ110,$BP$15:$BU$15,0)),结果汇总!$AI$10:$AI$13,0)</f>
        <v>#VALUE!</v>
      </c>
      <c r="CF110" s="10" t="e">
        <f>MATCH(INDEX($BP$12:$BU$12,1,MATCH(BR110,$BP$15:$BU$15,0)),结果汇总!$AI$10:$AI$13,0)</f>
        <v>#VALUE!</v>
      </c>
      <c r="CG110" s="10" t="e">
        <f>MATCH(INDEX($BP$12:$BU$12,1,MATCH(BS110,$BP$15:$BU$15,0)),结果汇总!$AI$10:$AI$13,0)</f>
        <v>#VALUE!</v>
      </c>
      <c r="CH110" s="10" t="e">
        <f>MATCH(INDEX($BP$12:$BU$12,1,MATCH(BT110,$BP$15:$BU$15,0)),结果汇总!$AI$10:$AI$13,0)</f>
        <v>#VALUE!</v>
      </c>
      <c r="CI110" s="10" t="e">
        <f>MATCH(INDEX($BP$12:$BU$12,1,MATCH(BU110,$BP$15:$BU$15,0)),结果汇总!$AI$10:$AI$13,0)</f>
        <v>#VALUE!</v>
      </c>
      <c r="CK110" s="10">
        <f t="shared" si="132"/>
        <v>0</v>
      </c>
      <c r="CL110" s="10">
        <f t="shared" si="132"/>
        <v>0</v>
      </c>
      <c r="CM110" s="10">
        <f t="shared" si="132"/>
        <v>0</v>
      </c>
      <c r="CN110" s="10">
        <f t="shared" si="132"/>
        <v>0</v>
      </c>
      <c r="CO110" s="10" t="e">
        <f t="shared" si="133"/>
        <v>#DIV/0!</v>
      </c>
      <c r="CP110" s="10" t="e">
        <f t="shared" si="133"/>
        <v>#DIV/0!</v>
      </c>
      <c r="CQ110" s="10" t="e">
        <f t="shared" si="133"/>
        <v>#DIV/0!</v>
      </c>
      <c r="CR110" s="10" t="e">
        <f t="shared" si="133"/>
        <v>#DIV/0!</v>
      </c>
      <c r="CS110" s="10">
        <f t="shared" si="134"/>
        <v>0</v>
      </c>
      <c r="CT110" s="10">
        <f t="shared" si="134"/>
        <v>0</v>
      </c>
      <c r="CU110" s="10">
        <f t="shared" si="134"/>
        <v>0</v>
      </c>
      <c r="CV110" s="10">
        <f t="shared" si="134"/>
        <v>0</v>
      </c>
      <c r="CW110" s="10" t="e">
        <f t="shared" si="135"/>
        <v>#DIV/0!</v>
      </c>
      <c r="CX110" s="10" t="e">
        <f t="shared" si="135"/>
        <v>#DIV/0!</v>
      </c>
      <c r="CY110" s="10" t="e">
        <f t="shared" si="135"/>
        <v>#DIV/0!</v>
      </c>
      <c r="CZ110" s="10" t="e">
        <f t="shared" si="135"/>
        <v>#DIV/0!</v>
      </c>
    </row>
    <row r="111" spans="4:104" x14ac:dyDescent="0.15">
      <c r="D111" s="10">
        <v>96</v>
      </c>
      <c r="E111" s="10" t="e">
        <f t="shared" si="95"/>
        <v>#VALUE!</v>
      </c>
      <c r="F111" s="10" t="e">
        <f t="shared" si="79"/>
        <v>#VALUE!</v>
      </c>
      <c r="G111" s="10" t="e">
        <f t="shared" si="80"/>
        <v>#VALUE!</v>
      </c>
      <c r="H111" s="10" t="e">
        <f t="shared" si="96"/>
        <v>#VALUE!</v>
      </c>
      <c r="I111" s="10" t="e">
        <f t="shared" si="81"/>
        <v>#VALUE!</v>
      </c>
      <c r="J111" s="10" t="e">
        <f t="shared" si="97"/>
        <v>#VALUE!</v>
      </c>
      <c r="K111" s="10" t="e">
        <f t="shared" si="82"/>
        <v>#VALUE!</v>
      </c>
      <c r="L111" s="10" t="e">
        <f t="shared" si="83"/>
        <v>#VALUE!</v>
      </c>
      <c r="M111" s="10" t="e">
        <f t="shared" si="98"/>
        <v>#VALUE!</v>
      </c>
      <c r="O111" s="10" t="e">
        <f t="shared" si="99"/>
        <v>#VALUE!</v>
      </c>
      <c r="P111" s="10" t="e">
        <f t="shared" si="84"/>
        <v>#VALUE!</v>
      </c>
      <c r="Q111" s="10" t="e">
        <f t="shared" si="85"/>
        <v>#VALUE!</v>
      </c>
      <c r="R111" s="10" t="e">
        <f t="shared" si="100"/>
        <v>#VALUE!</v>
      </c>
      <c r="S111" s="10" t="e">
        <f t="shared" si="101"/>
        <v>#VALUE!</v>
      </c>
      <c r="T111" s="10" t="e">
        <f t="shared" si="136"/>
        <v>#VALUE!</v>
      </c>
      <c r="U111" s="10" t="e">
        <f t="shared" si="137"/>
        <v>#VALUE!</v>
      </c>
      <c r="V111" s="10" t="e">
        <f t="shared" si="86"/>
        <v>#VALUE!</v>
      </c>
      <c r="W111" s="10" t="e">
        <f t="shared" si="102"/>
        <v>#VALUE!</v>
      </c>
      <c r="Y111" s="10" t="e">
        <f t="shared" si="103"/>
        <v>#VALUE!</v>
      </c>
      <c r="Z111" s="11" t="e">
        <f t="shared" si="104"/>
        <v>#VALUE!</v>
      </c>
      <c r="AA111" s="10" t="e">
        <f t="shared" si="87"/>
        <v>#VALUE!</v>
      </c>
      <c r="AB111" s="10" t="e">
        <f t="shared" si="105"/>
        <v>#VALUE!</v>
      </c>
      <c r="AC111" s="10" t="e">
        <f t="shared" si="106"/>
        <v>#VALUE!</v>
      </c>
      <c r="AD111" s="10" t="e">
        <f t="shared" si="138"/>
        <v>#VALUE!</v>
      </c>
      <c r="AE111" s="10" t="e">
        <f t="shared" si="139"/>
        <v>#VALUE!</v>
      </c>
      <c r="AF111" s="10" t="e">
        <f t="shared" si="88"/>
        <v>#VALUE!</v>
      </c>
      <c r="AG111" s="10" t="e">
        <f t="shared" si="107"/>
        <v>#VALUE!</v>
      </c>
      <c r="AI111" s="13"/>
      <c r="AK111" s="10" t="e">
        <f t="shared" si="108"/>
        <v>#VALUE!</v>
      </c>
      <c r="AL111" s="10" t="e">
        <f t="shared" si="140"/>
        <v>#VALUE!</v>
      </c>
      <c r="AM111" s="10" t="e">
        <f t="shared" si="89"/>
        <v>#VALUE!</v>
      </c>
      <c r="AN111" s="10" t="e">
        <f t="shared" si="109"/>
        <v>#VALUE!</v>
      </c>
      <c r="AO111" s="10" t="e">
        <f t="shared" si="110"/>
        <v>#VALUE!</v>
      </c>
      <c r="AP111" s="10" t="e">
        <f t="shared" si="111"/>
        <v>#VALUE!</v>
      </c>
      <c r="AQ111" s="10" t="e">
        <f t="shared" si="141"/>
        <v>#VALUE!</v>
      </c>
      <c r="AR111" s="10" t="e">
        <f t="shared" si="90"/>
        <v>#VALUE!</v>
      </c>
      <c r="AS111" s="10" t="e">
        <f t="shared" si="142"/>
        <v>#VALUE!</v>
      </c>
      <c r="AU111" s="10" t="e">
        <f t="shared" si="112"/>
        <v>#VALUE!</v>
      </c>
      <c r="AV111" s="10" t="e">
        <f t="shared" si="143"/>
        <v>#VALUE!</v>
      </c>
      <c r="AW111" s="10" t="e">
        <f t="shared" si="91"/>
        <v>#VALUE!</v>
      </c>
      <c r="AX111" s="10" t="e">
        <f t="shared" si="113"/>
        <v>#VALUE!</v>
      </c>
      <c r="AY111" s="10" t="e">
        <f t="shared" si="114"/>
        <v>#VALUE!</v>
      </c>
      <c r="AZ111" s="10" t="e">
        <f t="shared" si="115"/>
        <v>#VALUE!</v>
      </c>
      <c r="BA111" s="10" t="e">
        <f t="shared" si="144"/>
        <v>#VALUE!</v>
      </c>
      <c r="BB111" s="10" t="e">
        <f t="shared" si="92"/>
        <v>#VALUE!</v>
      </c>
      <c r="BC111" s="10" t="e">
        <f t="shared" si="145"/>
        <v>#VALUE!</v>
      </c>
      <c r="BE111" s="10" t="e">
        <f t="shared" si="116"/>
        <v>#VALUE!</v>
      </c>
      <c r="BF111" s="10" t="e">
        <f t="shared" si="146"/>
        <v>#VALUE!</v>
      </c>
      <c r="BG111" s="10" t="e">
        <f t="shared" si="93"/>
        <v>#VALUE!</v>
      </c>
      <c r="BH111" s="10" t="e">
        <f t="shared" si="117"/>
        <v>#VALUE!</v>
      </c>
      <c r="BI111" s="10" t="e">
        <f t="shared" si="118"/>
        <v>#VALUE!</v>
      </c>
      <c r="BJ111" s="10" t="e">
        <f t="shared" si="119"/>
        <v>#VALUE!</v>
      </c>
      <c r="BK111" s="10" t="e">
        <f t="shared" si="147"/>
        <v>#VALUE!</v>
      </c>
      <c r="BL111" s="10" t="e">
        <f t="shared" si="94"/>
        <v>#VALUE!</v>
      </c>
      <c r="BM111" s="10" t="e">
        <f t="shared" si="148"/>
        <v>#VALUE!</v>
      </c>
      <c r="BP111" s="10" t="e">
        <f t="shared" si="120"/>
        <v>#VALUE!</v>
      </c>
      <c r="BQ111" s="10" t="e">
        <f t="shared" si="121"/>
        <v>#VALUE!</v>
      </c>
      <c r="BR111" s="10" t="e">
        <f t="shared" si="122"/>
        <v>#VALUE!</v>
      </c>
      <c r="BS111" s="10" t="e">
        <f t="shared" si="123"/>
        <v>#VALUE!</v>
      </c>
      <c r="BT111" s="10" t="e">
        <f t="shared" si="124"/>
        <v>#VALUE!</v>
      </c>
      <c r="BU111" s="10" t="e">
        <f t="shared" si="125"/>
        <v>#VALUE!</v>
      </c>
      <c r="BW111" s="10" t="e">
        <f t="shared" si="126"/>
        <v>#VALUE!</v>
      </c>
      <c r="BX111" s="10" t="e">
        <f t="shared" si="127"/>
        <v>#VALUE!</v>
      </c>
      <c r="BY111" s="10" t="e">
        <f t="shared" si="128"/>
        <v>#VALUE!</v>
      </c>
      <c r="BZ111" s="10" t="e">
        <f t="shared" si="129"/>
        <v>#VALUE!</v>
      </c>
      <c r="CA111" s="10" t="e">
        <f t="shared" si="130"/>
        <v>#VALUE!</v>
      </c>
      <c r="CB111" s="10" t="e">
        <f t="shared" si="131"/>
        <v>#VALUE!</v>
      </c>
      <c r="CD111" s="10" t="e">
        <f>MATCH(INDEX($BP$12:$BU$12,1,MATCH(BP111,$BP$15:$BU$15,0)),结果汇总!$AI$10:$AI$13,0)</f>
        <v>#VALUE!</v>
      </c>
      <c r="CE111" s="10" t="e">
        <f>MATCH(INDEX($BP$12:$BU$12,1,MATCH(BQ111,$BP$15:$BU$15,0)),结果汇总!$AI$10:$AI$13,0)</f>
        <v>#VALUE!</v>
      </c>
      <c r="CF111" s="10" t="e">
        <f>MATCH(INDEX($BP$12:$BU$12,1,MATCH(BR111,$BP$15:$BU$15,0)),结果汇总!$AI$10:$AI$13,0)</f>
        <v>#VALUE!</v>
      </c>
      <c r="CG111" s="10" t="e">
        <f>MATCH(INDEX($BP$12:$BU$12,1,MATCH(BS111,$BP$15:$BU$15,0)),结果汇总!$AI$10:$AI$13,0)</f>
        <v>#VALUE!</v>
      </c>
      <c r="CH111" s="10" t="e">
        <f>MATCH(INDEX($BP$12:$BU$12,1,MATCH(BT111,$BP$15:$BU$15,0)),结果汇总!$AI$10:$AI$13,0)</f>
        <v>#VALUE!</v>
      </c>
      <c r="CI111" s="10" t="e">
        <f>MATCH(INDEX($BP$12:$BU$12,1,MATCH(BU111,$BP$15:$BU$15,0)),结果汇总!$AI$10:$AI$13,0)</f>
        <v>#VALUE!</v>
      </c>
      <c r="CK111" s="10">
        <f t="shared" si="132"/>
        <v>0</v>
      </c>
      <c r="CL111" s="10">
        <f t="shared" si="132"/>
        <v>0</v>
      </c>
      <c r="CM111" s="10">
        <f t="shared" si="132"/>
        <v>0</v>
      </c>
      <c r="CN111" s="10">
        <f t="shared" si="132"/>
        <v>0</v>
      </c>
      <c r="CO111" s="10" t="e">
        <f t="shared" si="133"/>
        <v>#DIV/0!</v>
      </c>
      <c r="CP111" s="10" t="e">
        <f t="shared" si="133"/>
        <v>#DIV/0!</v>
      </c>
      <c r="CQ111" s="10" t="e">
        <f t="shared" si="133"/>
        <v>#DIV/0!</v>
      </c>
      <c r="CR111" s="10" t="e">
        <f t="shared" si="133"/>
        <v>#DIV/0!</v>
      </c>
      <c r="CS111" s="10">
        <f t="shared" si="134"/>
        <v>0</v>
      </c>
      <c r="CT111" s="10">
        <f t="shared" si="134"/>
        <v>0</v>
      </c>
      <c r="CU111" s="10">
        <f t="shared" si="134"/>
        <v>0</v>
      </c>
      <c r="CV111" s="10">
        <f t="shared" si="134"/>
        <v>0</v>
      </c>
      <c r="CW111" s="10" t="e">
        <f t="shared" si="135"/>
        <v>#DIV/0!</v>
      </c>
      <c r="CX111" s="10" t="e">
        <f t="shared" si="135"/>
        <v>#DIV/0!</v>
      </c>
      <c r="CY111" s="10" t="e">
        <f t="shared" si="135"/>
        <v>#DIV/0!</v>
      </c>
      <c r="CZ111" s="10" t="e">
        <f t="shared" si="135"/>
        <v>#DIV/0!</v>
      </c>
    </row>
    <row r="112" spans="4:104" x14ac:dyDescent="0.15">
      <c r="D112" s="10">
        <v>97</v>
      </c>
      <c r="E112" s="10" t="e">
        <f t="shared" si="95"/>
        <v>#VALUE!</v>
      </c>
      <c r="F112" s="10" t="e">
        <f t="shared" si="79"/>
        <v>#VALUE!</v>
      </c>
      <c r="G112" s="10" t="e">
        <f t="shared" si="80"/>
        <v>#VALUE!</v>
      </c>
      <c r="H112" s="10" t="e">
        <f t="shared" si="96"/>
        <v>#VALUE!</v>
      </c>
      <c r="I112" s="10" t="e">
        <f t="shared" si="81"/>
        <v>#VALUE!</v>
      </c>
      <c r="J112" s="10" t="e">
        <f t="shared" si="97"/>
        <v>#VALUE!</v>
      </c>
      <c r="K112" s="10" t="e">
        <f t="shared" si="82"/>
        <v>#VALUE!</v>
      </c>
      <c r="L112" s="10" t="e">
        <f t="shared" si="83"/>
        <v>#VALUE!</v>
      </c>
      <c r="M112" s="10" t="e">
        <f t="shared" si="98"/>
        <v>#VALUE!</v>
      </c>
      <c r="O112" s="10" t="e">
        <f t="shared" si="99"/>
        <v>#VALUE!</v>
      </c>
      <c r="P112" s="10" t="e">
        <f t="shared" si="84"/>
        <v>#VALUE!</v>
      </c>
      <c r="Q112" s="10" t="e">
        <f t="shared" si="85"/>
        <v>#VALUE!</v>
      </c>
      <c r="R112" s="10" t="e">
        <f t="shared" si="100"/>
        <v>#VALUE!</v>
      </c>
      <c r="S112" s="10" t="e">
        <f t="shared" si="101"/>
        <v>#VALUE!</v>
      </c>
      <c r="T112" s="10" t="e">
        <f t="shared" si="136"/>
        <v>#VALUE!</v>
      </c>
      <c r="U112" s="10" t="e">
        <f t="shared" si="137"/>
        <v>#VALUE!</v>
      </c>
      <c r="V112" s="10" t="e">
        <f t="shared" si="86"/>
        <v>#VALUE!</v>
      </c>
      <c r="W112" s="10" t="e">
        <f t="shared" si="102"/>
        <v>#VALUE!</v>
      </c>
      <c r="Y112" s="10" t="e">
        <f t="shared" si="103"/>
        <v>#VALUE!</v>
      </c>
      <c r="Z112" s="11" t="e">
        <f t="shared" si="104"/>
        <v>#VALUE!</v>
      </c>
      <c r="AA112" s="10" t="e">
        <f t="shared" si="87"/>
        <v>#VALUE!</v>
      </c>
      <c r="AB112" s="10" t="e">
        <f t="shared" si="105"/>
        <v>#VALUE!</v>
      </c>
      <c r="AC112" s="10" t="e">
        <f t="shared" si="106"/>
        <v>#VALUE!</v>
      </c>
      <c r="AD112" s="10" t="e">
        <f t="shared" si="138"/>
        <v>#VALUE!</v>
      </c>
      <c r="AE112" s="10" t="e">
        <f t="shared" si="139"/>
        <v>#VALUE!</v>
      </c>
      <c r="AF112" s="10" t="e">
        <f t="shared" si="88"/>
        <v>#VALUE!</v>
      </c>
      <c r="AG112" s="10" t="e">
        <f t="shared" si="107"/>
        <v>#VALUE!</v>
      </c>
      <c r="AI112" s="13"/>
      <c r="AK112" s="10" t="e">
        <f t="shared" si="108"/>
        <v>#VALUE!</v>
      </c>
      <c r="AL112" s="10" t="e">
        <f t="shared" si="140"/>
        <v>#VALUE!</v>
      </c>
      <c r="AM112" s="10" t="e">
        <f t="shared" si="89"/>
        <v>#VALUE!</v>
      </c>
      <c r="AN112" s="10" t="e">
        <f t="shared" si="109"/>
        <v>#VALUE!</v>
      </c>
      <c r="AO112" s="10" t="e">
        <f t="shared" si="110"/>
        <v>#VALUE!</v>
      </c>
      <c r="AP112" s="10" t="e">
        <f t="shared" si="111"/>
        <v>#VALUE!</v>
      </c>
      <c r="AQ112" s="10" t="e">
        <f t="shared" si="141"/>
        <v>#VALUE!</v>
      </c>
      <c r="AR112" s="10" t="e">
        <f t="shared" si="90"/>
        <v>#VALUE!</v>
      </c>
      <c r="AS112" s="10" t="e">
        <f t="shared" si="142"/>
        <v>#VALUE!</v>
      </c>
      <c r="AU112" s="10" t="e">
        <f t="shared" si="112"/>
        <v>#VALUE!</v>
      </c>
      <c r="AV112" s="10" t="e">
        <f t="shared" si="143"/>
        <v>#VALUE!</v>
      </c>
      <c r="AW112" s="10" t="e">
        <f t="shared" si="91"/>
        <v>#VALUE!</v>
      </c>
      <c r="AX112" s="10" t="e">
        <f t="shared" si="113"/>
        <v>#VALUE!</v>
      </c>
      <c r="AY112" s="10" t="e">
        <f t="shared" si="114"/>
        <v>#VALUE!</v>
      </c>
      <c r="AZ112" s="10" t="e">
        <f t="shared" si="115"/>
        <v>#VALUE!</v>
      </c>
      <c r="BA112" s="10" t="e">
        <f t="shared" si="144"/>
        <v>#VALUE!</v>
      </c>
      <c r="BB112" s="10" t="e">
        <f t="shared" si="92"/>
        <v>#VALUE!</v>
      </c>
      <c r="BC112" s="10" t="e">
        <f t="shared" si="145"/>
        <v>#VALUE!</v>
      </c>
      <c r="BE112" s="10" t="e">
        <f t="shared" si="116"/>
        <v>#VALUE!</v>
      </c>
      <c r="BF112" s="10" t="e">
        <f t="shared" si="146"/>
        <v>#VALUE!</v>
      </c>
      <c r="BG112" s="10" t="e">
        <f t="shared" si="93"/>
        <v>#VALUE!</v>
      </c>
      <c r="BH112" s="10" t="e">
        <f t="shared" si="117"/>
        <v>#VALUE!</v>
      </c>
      <c r="BI112" s="10" t="e">
        <f t="shared" si="118"/>
        <v>#VALUE!</v>
      </c>
      <c r="BJ112" s="10" t="e">
        <f t="shared" si="119"/>
        <v>#VALUE!</v>
      </c>
      <c r="BK112" s="10" t="e">
        <f t="shared" si="147"/>
        <v>#VALUE!</v>
      </c>
      <c r="BL112" s="10" t="e">
        <f t="shared" si="94"/>
        <v>#VALUE!</v>
      </c>
      <c r="BM112" s="10" t="e">
        <f t="shared" si="148"/>
        <v>#VALUE!</v>
      </c>
      <c r="BP112" s="10" t="e">
        <f t="shared" si="120"/>
        <v>#VALUE!</v>
      </c>
      <c r="BQ112" s="10" t="e">
        <f t="shared" si="121"/>
        <v>#VALUE!</v>
      </c>
      <c r="BR112" s="10" t="e">
        <f t="shared" si="122"/>
        <v>#VALUE!</v>
      </c>
      <c r="BS112" s="10" t="e">
        <f t="shared" si="123"/>
        <v>#VALUE!</v>
      </c>
      <c r="BT112" s="10" t="e">
        <f t="shared" si="124"/>
        <v>#VALUE!</v>
      </c>
      <c r="BU112" s="10" t="e">
        <f t="shared" si="125"/>
        <v>#VALUE!</v>
      </c>
      <c r="BW112" s="10" t="e">
        <f t="shared" si="126"/>
        <v>#VALUE!</v>
      </c>
      <c r="BX112" s="10" t="e">
        <f t="shared" si="127"/>
        <v>#VALUE!</v>
      </c>
      <c r="BY112" s="10" t="e">
        <f t="shared" si="128"/>
        <v>#VALUE!</v>
      </c>
      <c r="BZ112" s="10" t="e">
        <f t="shared" si="129"/>
        <v>#VALUE!</v>
      </c>
      <c r="CA112" s="10" t="e">
        <f t="shared" si="130"/>
        <v>#VALUE!</v>
      </c>
      <c r="CB112" s="10" t="e">
        <f t="shared" si="131"/>
        <v>#VALUE!</v>
      </c>
      <c r="CD112" s="10" t="e">
        <f>MATCH(INDEX($BP$12:$BU$12,1,MATCH(BP112,$BP$15:$BU$15,0)),结果汇总!$AI$10:$AI$13,0)</f>
        <v>#VALUE!</v>
      </c>
      <c r="CE112" s="10" t="e">
        <f>MATCH(INDEX($BP$12:$BU$12,1,MATCH(BQ112,$BP$15:$BU$15,0)),结果汇总!$AI$10:$AI$13,0)</f>
        <v>#VALUE!</v>
      </c>
      <c r="CF112" s="10" t="e">
        <f>MATCH(INDEX($BP$12:$BU$12,1,MATCH(BR112,$BP$15:$BU$15,0)),结果汇总!$AI$10:$AI$13,0)</f>
        <v>#VALUE!</v>
      </c>
      <c r="CG112" s="10" t="e">
        <f>MATCH(INDEX($BP$12:$BU$12,1,MATCH(BS112,$BP$15:$BU$15,0)),结果汇总!$AI$10:$AI$13,0)</f>
        <v>#VALUE!</v>
      </c>
      <c r="CH112" s="10" t="e">
        <f>MATCH(INDEX($BP$12:$BU$12,1,MATCH(BT112,$BP$15:$BU$15,0)),结果汇总!$AI$10:$AI$13,0)</f>
        <v>#VALUE!</v>
      </c>
      <c r="CI112" s="10" t="e">
        <f>MATCH(INDEX($BP$12:$BU$12,1,MATCH(BU112,$BP$15:$BU$15,0)),结果汇总!$AI$10:$AI$13,0)</f>
        <v>#VALUE!</v>
      </c>
      <c r="CK112" s="10">
        <f t="shared" si="132"/>
        <v>0</v>
      </c>
      <c r="CL112" s="10">
        <f t="shared" si="132"/>
        <v>0</v>
      </c>
      <c r="CM112" s="10">
        <f t="shared" si="132"/>
        <v>0</v>
      </c>
      <c r="CN112" s="10">
        <f t="shared" si="132"/>
        <v>0</v>
      </c>
      <c r="CO112" s="10" t="e">
        <f t="shared" si="133"/>
        <v>#DIV/0!</v>
      </c>
      <c r="CP112" s="10" t="e">
        <f t="shared" si="133"/>
        <v>#DIV/0!</v>
      </c>
      <c r="CQ112" s="10" t="e">
        <f t="shared" si="133"/>
        <v>#DIV/0!</v>
      </c>
      <c r="CR112" s="10" t="e">
        <f t="shared" si="133"/>
        <v>#DIV/0!</v>
      </c>
      <c r="CS112" s="10">
        <f t="shared" si="134"/>
        <v>0</v>
      </c>
      <c r="CT112" s="10">
        <f t="shared" si="134"/>
        <v>0</v>
      </c>
      <c r="CU112" s="10">
        <f t="shared" si="134"/>
        <v>0</v>
      </c>
      <c r="CV112" s="10">
        <f t="shared" si="134"/>
        <v>0</v>
      </c>
      <c r="CW112" s="10" t="e">
        <f t="shared" si="135"/>
        <v>#DIV/0!</v>
      </c>
      <c r="CX112" s="10" t="e">
        <f t="shared" si="135"/>
        <v>#DIV/0!</v>
      </c>
      <c r="CY112" s="10" t="e">
        <f t="shared" si="135"/>
        <v>#DIV/0!</v>
      </c>
      <c r="CZ112" s="10" t="e">
        <f t="shared" si="135"/>
        <v>#DIV/0!</v>
      </c>
    </row>
    <row r="113" spans="4:104" x14ac:dyDescent="0.15">
      <c r="D113" s="10">
        <v>98</v>
      </c>
      <c r="E113" s="10" t="e">
        <f t="shared" si="95"/>
        <v>#VALUE!</v>
      </c>
      <c r="F113" s="10" t="e">
        <f t="shared" si="79"/>
        <v>#VALUE!</v>
      </c>
      <c r="G113" s="10" t="e">
        <f t="shared" si="80"/>
        <v>#VALUE!</v>
      </c>
      <c r="H113" s="10" t="e">
        <f t="shared" si="96"/>
        <v>#VALUE!</v>
      </c>
      <c r="I113" s="10" t="e">
        <f t="shared" si="81"/>
        <v>#VALUE!</v>
      </c>
      <c r="J113" s="10" t="e">
        <f t="shared" si="97"/>
        <v>#VALUE!</v>
      </c>
      <c r="K113" s="10" t="e">
        <f t="shared" si="82"/>
        <v>#VALUE!</v>
      </c>
      <c r="L113" s="10" t="e">
        <f t="shared" si="83"/>
        <v>#VALUE!</v>
      </c>
      <c r="M113" s="10" t="e">
        <f t="shared" si="98"/>
        <v>#VALUE!</v>
      </c>
      <c r="O113" s="10" t="e">
        <f t="shared" si="99"/>
        <v>#VALUE!</v>
      </c>
      <c r="P113" s="10" t="e">
        <f t="shared" si="84"/>
        <v>#VALUE!</v>
      </c>
      <c r="Q113" s="10" t="e">
        <f t="shared" si="85"/>
        <v>#VALUE!</v>
      </c>
      <c r="R113" s="10" t="e">
        <f t="shared" si="100"/>
        <v>#VALUE!</v>
      </c>
      <c r="S113" s="10" t="e">
        <f t="shared" si="101"/>
        <v>#VALUE!</v>
      </c>
      <c r="T113" s="10" t="e">
        <f t="shared" si="136"/>
        <v>#VALUE!</v>
      </c>
      <c r="U113" s="10" t="e">
        <f t="shared" si="137"/>
        <v>#VALUE!</v>
      </c>
      <c r="V113" s="10" t="e">
        <f t="shared" si="86"/>
        <v>#VALUE!</v>
      </c>
      <c r="W113" s="10" t="e">
        <f t="shared" si="102"/>
        <v>#VALUE!</v>
      </c>
      <c r="Y113" s="10" t="e">
        <f t="shared" si="103"/>
        <v>#VALUE!</v>
      </c>
      <c r="Z113" s="11" t="e">
        <f t="shared" si="104"/>
        <v>#VALUE!</v>
      </c>
      <c r="AA113" s="10" t="e">
        <f t="shared" si="87"/>
        <v>#VALUE!</v>
      </c>
      <c r="AB113" s="10" t="e">
        <f t="shared" si="105"/>
        <v>#VALUE!</v>
      </c>
      <c r="AC113" s="10" t="e">
        <f t="shared" si="106"/>
        <v>#VALUE!</v>
      </c>
      <c r="AD113" s="10" t="e">
        <f t="shared" si="138"/>
        <v>#VALUE!</v>
      </c>
      <c r="AE113" s="10" t="e">
        <f t="shared" si="139"/>
        <v>#VALUE!</v>
      </c>
      <c r="AF113" s="10" t="e">
        <f t="shared" si="88"/>
        <v>#VALUE!</v>
      </c>
      <c r="AG113" s="10" t="e">
        <f t="shared" si="107"/>
        <v>#VALUE!</v>
      </c>
      <c r="AI113" s="13"/>
      <c r="AK113" s="10" t="e">
        <f t="shared" si="108"/>
        <v>#VALUE!</v>
      </c>
      <c r="AL113" s="10" t="e">
        <f t="shared" si="140"/>
        <v>#VALUE!</v>
      </c>
      <c r="AM113" s="10" t="e">
        <f t="shared" si="89"/>
        <v>#VALUE!</v>
      </c>
      <c r="AN113" s="10" t="e">
        <f t="shared" si="109"/>
        <v>#VALUE!</v>
      </c>
      <c r="AO113" s="10" t="e">
        <f t="shared" si="110"/>
        <v>#VALUE!</v>
      </c>
      <c r="AP113" s="10" t="e">
        <f t="shared" si="111"/>
        <v>#VALUE!</v>
      </c>
      <c r="AQ113" s="10" t="e">
        <f t="shared" si="141"/>
        <v>#VALUE!</v>
      </c>
      <c r="AR113" s="10" t="e">
        <f t="shared" si="90"/>
        <v>#VALUE!</v>
      </c>
      <c r="AS113" s="10" t="e">
        <f t="shared" si="142"/>
        <v>#VALUE!</v>
      </c>
      <c r="AU113" s="10" t="e">
        <f t="shared" si="112"/>
        <v>#VALUE!</v>
      </c>
      <c r="AV113" s="10" t="e">
        <f t="shared" si="143"/>
        <v>#VALUE!</v>
      </c>
      <c r="AW113" s="10" t="e">
        <f t="shared" si="91"/>
        <v>#VALUE!</v>
      </c>
      <c r="AX113" s="10" t="e">
        <f t="shared" si="113"/>
        <v>#VALUE!</v>
      </c>
      <c r="AY113" s="10" t="e">
        <f t="shared" si="114"/>
        <v>#VALUE!</v>
      </c>
      <c r="AZ113" s="10" t="e">
        <f t="shared" si="115"/>
        <v>#VALUE!</v>
      </c>
      <c r="BA113" s="10" t="e">
        <f t="shared" si="144"/>
        <v>#VALUE!</v>
      </c>
      <c r="BB113" s="10" t="e">
        <f t="shared" si="92"/>
        <v>#VALUE!</v>
      </c>
      <c r="BC113" s="10" t="e">
        <f t="shared" si="145"/>
        <v>#VALUE!</v>
      </c>
      <c r="BE113" s="10" t="e">
        <f t="shared" si="116"/>
        <v>#VALUE!</v>
      </c>
      <c r="BF113" s="10" t="e">
        <f t="shared" si="146"/>
        <v>#VALUE!</v>
      </c>
      <c r="BG113" s="10" t="e">
        <f t="shared" si="93"/>
        <v>#VALUE!</v>
      </c>
      <c r="BH113" s="10" t="e">
        <f t="shared" si="117"/>
        <v>#VALUE!</v>
      </c>
      <c r="BI113" s="10" t="e">
        <f t="shared" si="118"/>
        <v>#VALUE!</v>
      </c>
      <c r="BJ113" s="10" t="e">
        <f t="shared" si="119"/>
        <v>#VALUE!</v>
      </c>
      <c r="BK113" s="10" t="e">
        <f t="shared" si="147"/>
        <v>#VALUE!</v>
      </c>
      <c r="BL113" s="10" t="e">
        <f t="shared" si="94"/>
        <v>#VALUE!</v>
      </c>
      <c r="BM113" s="10" t="e">
        <f t="shared" si="148"/>
        <v>#VALUE!</v>
      </c>
      <c r="BP113" s="10" t="e">
        <f t="shared" si="120"/>
        <v>#VALUE!</v>
      </c>
      <c r="BQ113" s="10" t="e">
        <f t="shared" si="121"/>
        <v>#VALUE!</v>
      </c>
      <c r="BR113" s="10" t="e">
        <f t="shared" si="122"/>
        <v>#VALUE!</v>
      </c>
      <c r="BS113" s="10" t="e">
        <f t="shared" si="123"/>
        <v>#VALUE!</v>
      </c>
      <c r="BT113" s="10" t="e">
        <f t="shared" si="124"/>
        <v>#VALUE!</v>
      </c>
      <c r="BU113" s="10" t="e">
        <f t="shared" si="125"/>
        <v>#VALUE!</v>
      </c>
      <c r="BW113" s="10" t="e">
        <f t="shared" si="126"/>
        <v>#VALUE!</v>
      </c>
      <c r="BX113" s="10" t="e">
        <f t="shared" si="127"/>
        <v>#VALUE!</v>
      </c>
      <c r="BY113" s="10" t="e">
        <f t="shared" si="128"/>
        <v>#VALUE!</v>
      </c>
      <c r="BZ113" s="10" t="e">
        <f t="shared" si="129"/>
        <v>#VALUE!</v>
      </c>
      <c r="CA113" s="10" t="e">
        <f t="shared" si="130"/>
        <v>#VALUE!</v>
      </c>
      <c r="CB113" s="10" t="e">
        <f t="shared" si="131"/>
        <v>#VALUE!</v>
      </c>
      <c r="CD113" s="10" t="e">
        <f>MATCH(INDEX($BP$12:$BU$12,1,MATCH(BP113,$BP$15:$BU$15,0)),结果汇总!$AI$10:$AI$13,0)</f>
        <v>#VALUE!</v>
      </c>
      <c r="CE113" s="10" t="e">
        <f>MATCH(INDEX($BP$12:$BU$12,1,MATCH(BQ113,$BP$15:$BU$15,0)),结果汇总!$AI$10:$AI$13,0)</f>
        <v>#VALUE!</v>
      </c>
      <c r="CF113" s="10" t="e">
        <f>MATCH(INDEX($BP$12:$BU$12,1,MATCH(BR113,$BP$15:$BU$15,0)),结果汇总!$AI$10:$AI$13,0)</f>
        <v>#VALUE!</v>
      </c>
      <c r="CG113" s="10" t="e">
        <f>MATCH(INDEX($BP$12:$BU$12,1,MATCH(BS113,$BP$15:$BU$15,0)),结果汇总!$AI$10:$AI$13,0)</f>
        <v>#VALUE!</v>
      </c>
      <c r="CH113" s="10" t="e">
        <f>MATCH(INDEX($BP$12:$BU$12,1,MATCH(BT113,$BP$15:$BU$15,0)),结果汇总!$AI$10:$AI$13,0)</f>
        <v>#VALUE!</v>
      </c>
      <c r="CI113" s="10" t="e">
        <f>MATCH(INDEX($BP$12:$BU$12,1,MATCH(BU113,$BP$15:$BU$15,0)),结果汇总!$AI$10:$AI$13,0)</f>
        <v>#VALUE!</v>
      </c>
      <c r="CK113" s="10">
        <f t="shared" ref="CK113:CN135" si="149">COUNTIFS($CD113:$CI113,CK$15,$CD$15:$CI$15,$CK$14)/COUNTIFS($CD$15:$CI$15,$CK$14)</f>
        <v>0</v>
      </c>
      <c r="CL113" s="10">
        <f t="shared" si="149"/>
        <v>0</v>
      </c>
      <c r="CM113" s="10">
        <f t="shared" si="149"/>
        <v>0</v>
      </c>
      <c r="CN113" s="10">
        <f t="shared" si="149"/>
        <v>0</v>
      </c>
      <c r="CO113" s="10" t="e">
        <f t="shared" ref="CO113:CR135" si="150">COUNTIFS($CD113:$CI113,CO$15,$CD$15:$CI$15,$CO$14)/COUNTIFS($CD$15:$CI$15,$CO$14)</f>
        <v>#DIV/0!</v>
      </c>
      <c r="CP113" s="10" t="e">
        <f t="shared" si="150"/>
        <v>#DIV/0!</v>
      </c>
      <c r="CQ113" s="10" t="e">
        <f t="shared" si="150"/>
        <v>#DIV/0!</v>
      </c>
      <c r="CR113" s="10" t="e">
        <f t="shared" si="150"/>
        <v>#DIV/0!</v>
      </c>
      <c r="CS113" s="10">
        <f t="shared" ref="CS113:CV135" si="151">COUNTIFS($CD113:$CI113,CS$15,$CD$15:$CI$15,$CS$14)/COUNTIFS($CD$15:$CI$15,$CS$14)</f>
        <v>0</v>
      </c>
      <c r="CT113" s="10">
        <f t="shared" si="151"/>
        <v>0</v>
      </c>
      <c r="CU113" s="10">
        <f t="shared" si="151"/>
        <v>0</v>
      </c>
      <c r="CV113" s="10">
        <f t="shared" si="151"/>
        <v>0</v>
      </c>
      <c r="CW113" s="10" t="e">
        <f t="shared" ref="CW113:CZ135" si="152">COUNTIFS($CD113:$CI113,CW$15,$CD$15:$CI$15,$CW$14)/COUNTIFS($CD$15:$CI$15,$CW$14)</f>
        <v>#DIV/0!</v>
      </c>
      <c r="CX113" s="10" t="e">
        <f t="shared" si="152"/>
        <v>#DIV/0!</v>
      </c>
      <c r="CY113" s="10" t="e">
        <f t="shared" si="152"/>
        <v>#DIV/0!</v>
      </c>
      <c r="CZ113" s="10" t="e">
        <f t="shared" si="152"/>
        <v>#DIV/0!</v>
      </c>
    </row>
    <row r="114" spans="4:104" x14ac:dyDescent="0.15">
      <c r="D114" s="10">
        <v>99</v>
      </c>
      <c r="E114" s="10" t="e">
        <f t="shared" si="95"/>
        <v>#VALUE!</v>
      </c>
      <c r="F114" s="10" t="e">
        <f t="shared" si="79"/>
        <v>#VALUE!</v>
      </c>
      <c r="G114" s="10" t="e">
        <f t="shared" si="80"/>
        <v>#VALUE!</v>
      </c>
      <c r="H114" s="10" t="e">
        <f t="shared" si="96"/>
        <v>#VALUE!</v>
      </c>
      <c r="I114" s="10" t="e">
        <f t="shared" si="81"/>
        <v>#VALUE!</v>
      </c>
      <c r="J114" s="10" t="e">
        <f t="shared" si="97"/>
        <v>#VALUE!</v>
      </c>
      <c r="K114" s="10" t="e">
        <f t="shared" si="82"/>
        <v>#VALUE!</v>
      </c>
      <c r="L114" s="10" t="e">
        <f t="shared" si="83"/>
        <v>#VALUE!</v>
      </c>
      <c r="M114" s="10" t="e">
        <f t="shared" si="98"/>
        <v>#VALUE!</v>
      </c>
      <c r="O114" s="10" t="e">
        <f t="shared" si="99"/>
        <v>#VALUE!</v>
      </c>
      <c r="P114" s="10" t="e">
        <f t="shared" si="84"/>
        <v>#VALUE!</v>
      </c>
      <c r="Q114" s="10" t="e">
        <f t="shared" si="85"/>
        <v>#VALUE!</v>
      </c>
      <c r="R114" s="10" t="e">
        <f t="shared" si="100"/>
        <v>#VALUE!</v>
      </c>
      <c r="S114" s="10" t="e">
        <f t="shared" si="101"/>
        <v>#VALUE!</v>
      </c>
      <c r="T114" s="10" t="e">
        <f t="shared" si="136"/>
        <v>#VALUE!</v>
      </c>
      <c r="U114" s="10" t="e">
        <f t="shared" si="137"/>
        <v>#VALUE!</v>
      </c>
      <c r="V114" s="10" t="e">
        <f t="shared" si="86"/>
        <v>#VALUE!</v>
      </c>
      <c r="W114" s="10" t="e">
        <f t="shared" si="102"/>
        <v>#VALUE!</v>
      </c>
      <c r="Y114" s="10" t="e">
        <f t="shared" si="103"/>
        <v>#VALUE!</v>
      </c>
      <c r="Z114" s="11" t="e">
        <f t="shared" si="104"/>
        <v>#VALUE!</v>
      </c>
      <c r="AA114" s="10" t="e">
        <f t="shared" si="87"/>
        <v>#VALUE!</v>
      </c>
      <c r="AB114" s="10" t="e">
        <f t="shared" si="105"/>
        <v>#VALUE!</v>
      </c>
      <c r="AC114" s="10" t="e">
        <f t="shared" si="106"/>
        <v>#VALUE!</v>
      </c>
      <c r="AD114" s="10" t="e">
        <f t="shared" si="138"/>
        <v>#VALUE!</v>
      </c>
      <c r="AE114" s="10" t="e">
        <f t="shared" si="139"/>
        <v>#VALUE!</v>
      </c>
      <c r="AF114" s="10" t="e">
        <f t="shared" si="88"/>
        <v>#VALUE!</v>
      </c>
      <c r="AG114" s="10" t="e">
        <f t="shared" si="107"/>
        <v>#VALUE!</v>
      </c>
      <c r="AI114" s="13"/>
      <c r="AK114" s="10" t="e">
        <f t="shared" si="108"/>
        <v>#VALUE!</v>
      </c>
      <c r="AL114" s="10" t="e">
        <f t="shared" si="140"/>
        <v>#VALUE!</v>
      </c>
      <c r="AM114" s="10" t="e">
        <f t="shared" si="89"/>
        <v>#VALUE!</v>
      </c>
      <c r="AN114" s="10" t="e">
        <f t="shared" si="109"/>
        <v>#VALUE!</v>
      </c>
      <c r="AO114" s="10" t="e">
        <f t="shared" si="110"/>
        <v>#VALUE!</v>
      </c>
      <c r="AP114" s="10" t="e">
        <f t="shared" si="111"/>
        <v>#VALUE!</v>
      </c>
      <c r="AQ114" s="10" t="e">
        <f t="shared" si="141"/>
        <v>#VALUE!</v>
      </c>
      <c r="AR114" s="10" t="e">
        <f t="shared" si="90"/>
        <v>#VALUE!</v>
      </c>
      <c r="AS114" s="10" t="e">
        <f t="shared" si="142"/>
        <v>#VALUE!</v>
      </c>
      <c r="AU114" s="10" t="e">
        <f t="shared" si="112"/>
        <v>#VALUE!</v>
      </c>
      <c r="AV114" s="10" t="e">
        <f t="shared" si="143"/>
        <v>#VALUE!</v>
      </c>
      <c r="AW114" s="10" t="e">
        <f t="shared" si="91"/>
        <v>#VALUE!</v>
      </c>
      <c r="AX114" s="10" t="e">
        <f t="shared" si="113"/>
        <v>#VALUE!</v>
      </c>
      <c r="AY114" s="10" t="e">
        <f t="shared" si="114"/>
        <v>#VALUE!</v>
      </c>
      <c r="AZ114" s="10" t="e">
        <f t="shared" si="115"/>
        <v>#VALUE!</v>
      </c>
      <c r="BA114" s="10" t="e">
        <f t="shared" si="144"/>
        <v>#VALUE!</v>
      </c>
      <c r="BB114" s="10" t="e">
        <f t="shared" si="92"/>
        <v>#VALUE!</v>
      </c>
      <c r="BC114" s="10" t="e">
        <f t="shared" si="145"/>
        <v>#VALUE!</v>
      </c>
      <c r="BE114" s="10" t="e">
        <f t="shared" si="116"/>
        <v>#VALUE!</v>
      </c>
      <c r="BF114" s="10" t="e">
        <f t="shared" si="146"/>
        <v>#VALUE!</v>
      </c>
      <c r="BG114" s="10" t="e">
        <f t="shared" si="93"/>
        <v>#VALUE!</v>
      </c>
      <c r="BH114" s="10" t="e">
        <f t="shared" si="117"/>
        <v>#VALUE!</v>
      </c>
      <c r="BI114" s="10" t="e">
        <f t="shared" si="118"/>
        <v>#VALUE!</v>
      </c>
      <c r="BJ114" s="10" t="e">
        <f t="shared" si="119"/>
        <v>#VALUE!</v>
      </c>
      <c r="BK114" s="10" t="e">
        <f t="shared" si="147"/>
        <v>#VALUE!</v>
      </c>
      <c r="BL114" s="10" t="e">
        <f t="shared" si="94"/>
        <v>#VALUE!</v>
      </c>
      <c r="BM114" s="10" t="e">
        <f t="shared" si="148"/>
        <v>#VALUE!</v>
      </c>
      <c r="BP114" s="10" t="e">
        <f t="shared" si="120"/>
        <v>#VALUE!</v>
      </c>
      <c r="BQ114" s="10" t="e">
        <f t="shared" si="121"/>
        <v>#VALUE!</v>
      </c>
      <c r="BR114" s="10" t="e">
        <f t="shared" si="122"/>
        <v>#VALUE!</v>
      </c>
      <c r="BS114" s="10" t="e">
        <f t="shared" si="123"/>
        <v>#VALUE!</v>
      </c>
      <c r="BT114" s="10" t="e">
        <f t="shared" si="124"/>
        <v>#VALUE!</v>
      </c>
      <c r="BU114" s="10" t="e">
        <f t="shared" si="125"/>
        <v>#VALUE!</v>
      </c>
      <c r="BW114" s="10" t="e">
        <f t="shared" si="126"/>
        <v>#VALUE!</v>
      </c>
      <c r="BX114" s="10" t="e">
        <f t="shared" si="127"/>
        <v>#VALUE!</v>
      </c>
      <c r="BY114" s="10" t="e">
        <f t="shared" si="128"/>
        <v>#VALUE!</v>
      </c>
      <c r="BZ114" s="10" t="e">
        <f t="shared" si="129"/>
        <v>#VALUE!</v>
      </c>
      <c r="CA114" s="10" t="e">
        <f t="shared" si="130"/>
        <v>#VALUE!</v>
      </c>
      <c r="CB114" s="10" t="e">
        <f t="shared" si="131"/>
        <v>#VALUE!</v>
      </c>
      <c r="CD114" s="10" t="e">
        <f>MATCH(INDEX($BP$12:$BU$12,1,MATCH(BP114,$BP$15:$BU$15,0)),结果汇总!$AI$10:$AI$13,0)</f>
        <v>#VALUE!</v>
      </c>
      <c r="CE114" s="10" t="e">
        <f>MATCH(INDEX($BP$12:$BU$12,1,MATCH(BQ114,$BP$15:$BU$15,0)),结果汇总!$AI$10:$AI$13,0)</f>
        <v>#VALUE!</v>
      </c>
      <c r="CF114" s="10" t="e">
        <f>MATCH(INDEX($BP$12:$BU$12,1,MATCH(BR114,$BP$15:$BU$15,0)),结果汇总!$AI$10:$AI$13,0)</f>
        <v>#VALUE!</v>
      </c>
      <c r="CG114" s="10" t="e">
        <f>MATCH(INDEX($BP$12:$BU$12,1,MATCH(BS114,$BP$15:$BU$15,0)),结果汇总!$AI$10:$AI$13,0)</f>
        <v>#VALUE!</v>
      </c>
      <c r="CH114" s="10" t="e">
        <f>MATCH(INDEX($BP$12:$BU$12,1,MATCH(BT114,$BP$15:$BU$15,0)),结果汇总!$AI$10:$AI$13,0)</f>
        <v>#VALUE!</v>
      </c>
      <c r="CI114" s="10" t="e">
        <f>MATCH(INDEX($BP$12:$BU$12,1,MATCH(BU114,$BP$15:$BU$15,0)),结果汇总!$AI$10:$AI$13,0)</f>
        <v>#VALUE!</v>
      </c>
      <c r="CK114" s="10">
        <f t="shared" si="149"/>
        <v>0</v>
      </c>
      <c r="CL114" s="10">
        <f t="shared" si="149"/>
        <v>0</v>
      </c>
      <c r="CM114" s="10">
        <f t="shared" si="149"/>
        <v>0</v>
      </c>
      <c r="CN114" s="10">
        <f t="shared" si="149"/>
        <v>0</v>
      </c>
      <c r="CO114" s="10" t="e">
        <f t="shared" si="150"/>
        <v>#DIV/0!</v>
      </c>
      <c r="CP114" s="10" t="e">
        <f t="shared" si="150"/>
        <v>#DIV/0!</v>
      </c>
      <c r="CQ114" s="10" t="e">
        <f t="shared" si="150"/>
        <v>#DIV/0!</v>
      </c>
      <c r="CR114" s="10" t="e">
        <f t="shared" si="150"/>
        <v>#DIV/0!</v>
      </c>
      <c r="CS114" s="10">
        <f t="shared" si="151"/>
        <v>0</v>
      </c>
      <c r="CT114" s="10">
        <f t="shared" si="151"/>
        <v>0</v>
      </c>
      <c r="CU114" s="10">
        <f t="shared" si="151"/>
        <v>0</v>
      </c>
      <c r="CV114" s="10">
        <f t="shared" si="151"/>
        <v>0</v>
      </c>
      <c r="CW114" s="10" t="e">
        <f t="shared" si="152"/>
        <v>#DIV/0!</v>
      </c>
      <c r="CX114" s="10" t="e">
        <f t="shared" si="152"/>
        <v>#DIV/0!</v>
      </c>
      <c r="CY114" s="10" t="e">
        <f t="shared" si="152"/>
        <v>#DIV/0!</v>
      </c>
      <c r="CZ114" s="10" t="e">
        <f t="shared" si="152"/>
        <v>#DIV/0!</v>
      </c>
    </row>
    <row r="115" spans="4:104" x14ac:dyDescent="0.15">
      <c r="D115" s="10">
        <v>100</v>
      </c>
      <c r="E115" s="10" t="e">
        <f t="shared" si="95"/>
        <v>#VALUE!</v>
      </c>
      <c r="F115" s="10" t="e">
        <f t="shared" si="79"/>
        <v>#VALUE!</v>
      </c>
      <c r="G115" s="10" t="e">
        <f t="shared" si="80"/>
        <v>#VALUE!</v>
      </c>
      <c r="H115" s="10" t="e">
        <f t="shared" si="96"/>
        <v>#VALUE!</v>
      </c>
      <c r="I115" s="10" t="e">
        <f t="shared" si="81"/>
        <v>#VALUE!</v>
      </c>
      <c r="J115" s="10" t="e">
        <f t="shared" si="97"/>
        <v>#VALUE!</v>
      </c>
      <c r="K115" s="10" t="e">
        <f t="shared" si="82"/>
        <v>#VALUE!</v>
      </c>
      <c r="L115" s="10" t="e">
        <f t="shared" si="83"/>
        <v>#VALUE!</v>
      </c>
      <c r="M115" s="10" t="e">
        <f t="shared" si="98"/>
        <v>#VALUE!</v>
      </c>
      <c r="O115" s="10" t="e">
        <f t="shared" si="99"/>
        <v>#VALUE!</v>
      </c>
      <c r="P115" s="10" t="e">
        <f t="shared" si="84"/>
        <v>#VALUE!</v>
      </c>
      <c r="Q115" s="10" t="e">
        <f t="shared" si="85"/>
        <v>#VALUE!</v>
      </c>
      <c r="R115" s="10" t="e">
        <f t="shared" si="100"/>
        <v>#VALUE!</v>
      </c>
      <c r="S115" s="10" t="e">
        <f t="shared" si="101"/>
        <v>#VALUE!</v>
      </c>
      <c r="T115" s="10" t="e">
        <f t="shared" si="136"/>
        <v>#VALUE!</v>
      </c>
      <c r="U115" s="10" t="e">
        <f t="shared" si="137"/>
        <v>#VALUE!</v>
      </c>
      <c r="V115" s="10" t="e">
        <f t="shared" si="86"/>
        <v>#VALUE!</v>
      </c>
      <c r="W115" s="10" t="e">
        <f t="shared" si="102"/>
        <v>#VALUE!</v>
      </c>
      <c r="Y115" s="10" t="e">
        <f t="shared" si="103"/>
        <v>#VALUE!</v>
      </c>
      <c r="Z115" s="11" t="e">
        <f t="shared" si="104"/>
        <v>#VALUE!</v>
      </c>
      <c r="AA115" s="10" t="e">
        <f t="shared" si="87"/>
        <v>#VALUE!</v>
      </c>
      <c r="AB115" s="10" t="e">
        <f t="shared" si="105"/>
        <v>#VALUE!</v>
      </c>
      <c r="AC115" s="10" t="e">
        <f t="shared" si="106"/>
        <v>#VALUE!</v>
      </c>
      <c r="AD115" s="10" t="e">
        <f t="shared" si="138"/>
        <v>#VALUE!</v>
      </c>
      <c r="AE115" s="10" t="e">
        <f t="shared" si="139"/>
        <v>#VALUE!</v>
      </c>
      <c r="AF115" s="10" t="e">
        <f t="shared" si="88"/>
        <v>#VALUE!</v>
      </c>
      <c r="AG115" s="10" t="e">
        <f t="shared" si="107"/>
        <v>#VALUE!</v>
      </c>
      <c r="AI115" s="13"/>
      <c r="AK115" s="10" t="e">
        <f t="shared" si="108"/>
        <v>#VALUE!</v>
      </c>
      <c r="AL115" s="10" t="e">
        <f t="shared" si="140"/>
        <v>#VALUE!</v>
      </c>
      <c r="AM115" s="10" t="e">
        <f t="shared" si="89"/>
        <v>#VALUE!</v>
      </c>
      <c r="AN115" s="10" t="e">
        <f t="shared" si="109"/>
        <v>#VALUE!</v>
      </c>
      <c r="AO115" s="10" t="e">
        <f t="shared" si="110"/>
        <v>#VALUE!</v>
      </c>
      <c r="AP115" s="10" t="e">
        <f t="shared" si="111"/>
        <v>#VALUE!</v>
      </c>
      <c r="AQ115" s="10" t="e">
        <f t="shared" si="141"/>
        <v>#VALUE!</v>
      </c>
      <c r="AR115" s="10" t="e">
        <f t="shared" si="90"/>
        <v>#VALUE!</v>
      </c>
      <c r="AS115" s="10" t="e">
        <f t="shared" si="142"/>
        <v>#VALUE!</v>
      </c>
      <c r="AU115" s="10" t="e">
        <f t="shared" si="112"/>
        <v>#VALUE!</v>
      </c>
      <c r="AV115" s="10" t="e">
        <f t="shared" si="143"/>
        <v>#VALUE!</v>
      </c>
      <c r="AW115" s="10" t="e">
        <f t="shared" si="91"/>
        <v>#VALUE!</v>
      </c>
      <c r="AX115" s="10" t="e">
        <f t="shared" si="113"/>
        <v>#VALUE!</v>
      </c>
      <c r="AY115" s="10" t="e">
        <f t="shared" si="114"/>
        <v>#VALUE!</v>
      </c>
      <c r="AZ115" s="10" t="e">
        <f t="shared" si="115"/>
        <v>#VALUE!</v>
      </c>
      <c r="BA115" s="10" t="e">
        <f t="shared" si="144"/>
        <v>#VALUE!</v>
      </c>
      <c r="BB115" s="10" t="e">
        <f t="shared" si="92"/>
        <v>#VALUE!</v>
      </c>
      <c r="BC115" s="10" t="e">
        <f t="shared" si="145"/>
        <v>#VALUE!</v>
      </c>
      <c r="BE115" s="10" t="e">
        <f t="shared" si="116"/>
        <v>#VALUE!</v>
      </c>
      <c r="BF115" s="10" t="e">
        <f t="shared" si="146"/>
        <v>#VALUE!</v>
      </c>
      <c r="BG115" s="10" t="e">
        <f t="shared" si="93"/>
        <v>#VALUE!</v>
      </c>
      <c r="BH115" s="10" t="e">
        <f t="shared" si="117"/>
        <v>#VALUE!</v>
      </c>
      <c r="BI115" s="10" t="e">
        <f t="shared" si="118"/>
        <v>#VALUE!</v>
      </c>
      <c r="BJ115" s="10" t="e">
        <f t="shared" si="119"/>
        <v>#VALUE!</v>
      </c>
      <c r="BK115" s="10" t="e">
        <f t="shared" si="147"/>
        <v>#VALUE!</v>
      </c>
      <c r="BL115" s="10" t="e">
        <f t="shared" si="94"/>
        <v>#VALUE!</v>
      </c>
      <c r="BM115" s="10" t="e">
        <f t="shared" si="148"/>
        <v>#VALUE!</v>
      </c>
      <c r="BP115" s="10" t="e">
        <f t="shared" si="120"/>
        <v>#VALUE!</v>
      </c>
      <c r="BQ115" s="10" t="e">
        <f t="shared" si="121"/>
        <v>#VALUE!</v>
      </c>
      <c r="BR115" s="10" t="e">
        <f t="shared" si="122"/>
        <v>#VALUE!</v>
      </c>
      <c r="BS115" s="10" t="e">
        <f t="shared" si="123"/>
        <v>#VALUE!</v>
      </c>
      <c r="BT115" s="10" t="e">
        <f t="shared" si="124"/>
        <v>#VALUE!</v>
      </c>
      <c r="BU115" s="10" t="e">
        <f t="shared" si="125"/>
        <v>#VALUE!</v>
      </c>
      <c r="BW115" s="10" t="e">
        <f t="shared" si="126"/>
        <v>#VALUE!</v>
      </c>
      <c r="BX115" s="10" t="e">
        <f t="shared" si="127"/>
        <v>#VALUE!</v>
      </c>
      <c r="BY115" s="10" t="e">
        <f t="shared" si="128"/>
        <v>#VALUE!</v>
      </c>
      <c r="BZ115" s="10" t="e">
        <f t="shared" si="129"/>
        <v>#VALUE!</v>
      </c>
      <c r="CA115" s="10" t="e">
        <f t="shared" si="130"/>
        <v>#VALUE!</v>
      </c>
      <c r="CB115" s="10" t="e">
        <f t="shared" si="131"/>
        <v>#VALUE!</v>
      </c>
      <c r="CD115" s="10" t="e">
        <f>MATCH(INDEX($BP$12:$BU$12,1,MATCH(BP115,$BP$15:$BU$15,0)),结果汇总!$AI$10:$AI$13,0)</f>
        <v>#VALUE!</v>
      </c>
      <c r="CE115" s="10" t="e">
        <f>MATCH(INDEX($BP$12:$BU$12,1,MATCH(BQ115,$BP$15:$BU$15,0)),结果汇总!$AI$10:$AI$13,0)</f>
        <v>#VALUE!</v>
      </c>
      <c r="CF115" s="10" t="e">
        <f>MATCH(INDEX($BP$12:$BU$12,1,MATCH(BR115,$BP$15:$BU$15,0)),结果汇总!$AI$10:$AI$13,0)</f>
        <v>#VALUE!</v>
      </c>
      <c r="CG115" s="10" t="e">
        <f>MATCH(INDEX($BP$12:$BU$12,1,MATCH(BS115,$BP$15:$BU$15,0)),结果汇总!$AI$10:$AI$13,0)</f>
        <v>#VALUE!</v>
      </c>
      <c r="CH115" s="10" t="e">
        <f>MATCH(INDEX($BP$12:$BU$12,1,MATCH(BT115,$BP$15:$BU$15,0)),结果汇总!$AI$10:$AI$13,0)</f>
        <v>#VALUE!</v>
      </c>
      <c r="CI115" s="10" t="e">
        <f>MATCH(INDEX($BP$12:$BU$12,1,MATCH(BU115,$BP$15:$BU$15,0)),结果汇总!$AI$10:$AI$13,0)</f>
        <v>#VALUE!</v>
      </c>
      <c r="CK115" s="10">
        <f t="shared" si="149"/>
        <v>0</v>
      </c>
      <c r="CL115" s="10">
        <f t="shared" si="149"/>
        <v>0</v>
      </c>
      <c r="CM115" s="10">
        <f t="shared" si="149"/>
        <v>0</v>
      </c>
      <c r="CN115" s="10">
        <f t="shared" si="149"/>
        <v>0</v>
      </c>
      <c r="CO115" s="10" t="e">
        <f t="shared" si="150"/>
        <v>#DIV/0!</v>
      </c>
      <c r="CP115" s="10" t="e">
        <f t="shared" si="150"/>
        <v>#DIV/0!</v>
      </c>
      <c r="CQ115" s="10" t="e">
        <f t="shared" si="150"/>
        <v>#DIV/0!</v>
      </c>
      <c r="CR115" s="10" t="e">
        <f t="shared" si="150"/>
        <v>#DIV/0!</v>
      </c>
      <c r="CS115" s="10">
        <f t="shared" si="151"/>
        <v>0</v>
      </c>
      <c r="CT115" s="10">
        <f t="shared" si="151"/>
        <v>0</v>
      </c>
      <c r="CU115" s="10">
        <f t="shared" si="151"/>
        <v>0</v>
      </c>
      <c r="CV115" s="10">
        <f t="shared" si="151"/>
        <v>0</v>
      </c>
      <c r="CW115" s="10" t="e">
        <f t="shared" si="152"/>
        <v>#DIV/0!</v>
      </c>
      <c r="CX115" s="10" t="e">
        <f t="shared" si="152"/>
        <v>#DIV/0!</v>
      </c>
      <c r="CY115" s="10" t="e">
        <f t="shared" si="152"/>
        <v>#DIV/0!</v>
      </c>
      <c r="CZ115" s="10" t="e">
        <f t="shared" si="152"/>
        <v>#DIV/0!</v>
      </c>
    </row>
    <row r="116" spans="4:104" x14ac:dyDescent="0.15">
      <c r="D116" s="10">
        <v>101</v>
      </c>
      <c r="E116" s="10" t="e">
        <f t="shared" si="95"/>
        <v>#VALUE!</v>
      </c>
      <c r="F116" s="10" t="e">
        <f t="shared" si="79"/>
        <v>#VALUE!</v>
      </c>
      <c r="G116" s="10" t="e">
        <f t="shared" si="80"/>
        <v>#VALUE!</v>
      </c>
      <c r="H116" s="10" t="e">
        <f t="shared" si="96"/>
        <v>#VALUE!</v>
      </c>
      <c r="I116" s="10" t="e">
        <f t="shared" si="81"/>
        <v>#VALUE!</v>
      </c>
      <c r="J116" s="10" t="e">
        <f t="shared" si="97"/>
        <v>#VALUE!</v>
      </c>
      <c r="K116" s="10" t="e">
        <f t="shared" si="82"/>
        <v>#VALUE!</v>
      </c>
      <c r="L116" s="10" t="e">
        <f t="shared" si="83"/>
        <v>#VALUE!</v>
      </c>
      <c r="M116" s="10" t="e">
        <f t="shared" si="98"/>
        <v>#VALUE!</v>
      </c>
      <c r="O116" s="10" t="e">
        <f t="shared" si="99"/>
        <v>#VALUE!</v>
      </c>
      <c r="P116" s="10" t="e">
        <f t="shared" si="84"/>
        <v>#VALUE!</v>
      </c>
      <c r="Q116" s="10" t="e">
        <f t="shared" si="85"/>
        <v>#VALUE!</v>
      </c>
      <c r="R116" s="10" t="e">
        <f t="shared" si="100"/>
        <v>#VALUE!</v>
      </c>
      <c r="S116" s="10" t="e">
        <f t="shared" si="101"/>
        <v>#VALUE!</v>
      </c>
      <c r="T116" s="10" t="e">
        <f t="shared" si="136"/>
        <v>#VALUE!</v>
      </c>
      <c r="U116" s="10" t="e">
        <f t="shared" si="137"/>
        <v>#VALUE!</v>
      </c>
      <c r="V116" s="10" t="e">
        <f t="shared" si="86"/>
        <v>#VALUE!</v>
      </c>
      <c r="W116" s="10" t="e">
        <f t="shared" si="102"/>
        <v>#VALUE!</v>
      </c>
      <c r="Y116" s="10" t="e">
        <f t="shared" si="103"/>
        <v>#VALUE!</v>
      </c>
      <c r="Z116" s="11" t="e">
        <f t="shared" si="104"/>
        <v>#VALUE!</v>
      </c>
      <c r="AA116" s="10" t="e">
        <f t="shared" si="87"/>
        <v>#VALUE!</v>
      </c>
      <c r="AB116" s="10" t="e">
        <f t="shared" si="105"/>
        <v>#VALUE!</v>
      </c>
      <c r="AC116" s="10" t="e">
        <f t="shared" si="106"/>
        <v>#VALUE!</v>
      </c>
      <c r="AD116" s="10" t="e">
        <f t="shared" si="138"/>
        <v>#VALUE!</v>
      </c>
      <c r="AE116" s="10" t="e">
        <f t="shared" si="139"/>
        <v>#VALUE!</v>
      </c>
      <c r="AF116" s="10" t="e">
        <f t="shared" si="88"/>
        <v>#VALUE!</v>
      </c>
      <c r="AG116" s="10" t="e">
        <f t="shared" si="107"/>
        <v>#VALUE!</v>
      </c>
      <c r="AI116" s="13"/>
      <c r="AK116" s="10" t="e">
        <f t="shared" si="108"/>
        <v>#VALUE!</v>
      </c>
      <c r="AL116" s="10" t="e">
        <f t="shared" si="140"/>
        <v>#VALUE!</v>
      </c>
      <c r="AM116" s="10" t="e">
        <f t="shared" si="89"/>
        <v>#VALUE!</v>
      </c>
      <c r="AN116" s="10" t="e">
        <f t="shared" si="109"/>
        <v>#VALUE!</v>
      </c>
      <c r="AO116" s="10" t="e">
        <f t="shared" si="110"/>
        <v>#VALUE!</v>
      </c>
      <c r="AP116" s="10" t="e">
        <f t="shared" si="111"/>
        <v>#VALUE!</v>
      </c>
      <c r="AQ116" s="10" t="e">
        <f t="shared" si="141"/>
        <v>#VALUE!</v>
      </c>
      <c r="AR116" s="10" t="e">
        <f t="shared" si="90"/>
        <v>#VALUE!</v>
      </c>
      <c r="AS116" s="10" t="e">
        <f t="shared" si="142"/>
        <v>#VALUE!</v>
      </c>
      <c r="AU116" s="10" t="e">
        <f t="shared" si="112"/>
        <v>#VALUE!</v>
      </c>
      <c r="AV116" s="10" t="e">
        <f t="shared" si="143"/>
        <v>#VALUE!</v>
      </c>
      <c r="AW116" s="10" t="e">
        <f t="shared" si="91"/>
        <v>#VALUE!</v>
      </c>
      <c r="AX116" s="10" t="e">
        <f t="shared" si="113"/>
        <v>#VALUE!</v>
      </c>
      <c r="AY116" s="10" t="e">
        <f t="shared" si="114"/>
        <v>#VALUE!</v>
      </c>
      <c r="AZ116" s="10" t="e">
        <f t="shared" si="115"/>
        <v>#VALUE!</v>
      </c>
      <c r="BA116" s="10" t="e">
        <f t="shared" si="144"/>
        <v>#VALUE!</v>
      </c>
      <c r="BB116" s="10" t="e">
        <f t="shared" si="92"/>
        <v>#VALUE!</v>
      </c>
      <c r="BC116" s="10" t="e">
        <f t="shared" si="145"/>
        <v>#VALUE!</v>
      </c>
      <c r="BE116" s="10" t="e">
        <f t="shared" si="116"/>
        <v>#VALUE!</v>
      </c>
      <c r="BF116" s="10" t="e">
        <f t="shared" si="146"/>
        <v>#VALUE!</v>
      </c>
      <c r="BG116" s="10" t="e">
        <f t="shared" si="93"/>
        <v>#VALUE!</v>
      </c>
      <c r="BH116" s="10" t="e">
        <f t="shared" si="117"/>
        <v>#VALUE!</v>
      </c>
      <c r="BI116" s="10" t="e">
        <f t="shared" si="118"/>
        <v>#VALUE!</v>
      </c>
      <c r="BJ116" s="10" t="e">
        <f t="shared" si="119"/>
        <v>#VALUE!</v>
      </c>
      <c r="BK116" s="10" t="e">
        <f t="shared" si="147"/>
        <v>#VALUE!</v>
      </c>
      <c r="BL116" s="10" t="e">
        <f t="shared" si="94"/>
        <v>#VALUE!</v>
      </c>
      <c r="BM116" s="10" t="e">
        <f t="shared" si="148"/>
        <v>#VALUE!</v>
      </c>
      <c r="BP116" s="10" t="e">
        <f t="shared" si="120"/>
        <v>#VALUE!</v>
      </c>
      <c r="BQ116" s="10" t="e">
        <f t="shared" si="121"/>
        <v>#VALUE!</v>
      </c>
      <c r="BR116" s="10" t="e">
        <f t="shared" si="122"/>
        <v>#VALUE!</v>
      </c>
      <c r="BS116" s="10" t="e">
        <f t="shared" si="123"/>
        <v>#VALUE!</v>
      </c>
      <c r="BT116" s="10" t="e">
        <f t="shared" si="124"/>
        <v>#VALUE!</v>
      </c>
      <c r="BU116" s="10" t="e">
        <f t="shared" si="125"/>
        <v>#VALUE!</v>
      </c>
      <c r="BW116" s="10" t="e">
        <f t="shared" si="126"/>
        <v>#VALUE!</v>
      </c>
      <c r="BX116" s="10" t="e">
        <f t="shared" si="127"/>
        <v>#VALUE!</v>
      </c>
      <c r="BY116" s="10" t="e">
        <f t="shared" si="128"/>
        <v>#VALUE!</v>
      </c>
      <c r="BZ116" s="10" t="e">
        <f t="shared" si="129"/>
        <v>#VALUE!</v>
      </c>
      <c r="CA116" s="10" t="e">
        <f t="shared" si="130"/>
        <v>#VALUE!</v>
      </c>
      <c r="CB116" s="10" t="e">
        <f t="shared" si="131"/>
        <v>#VALUE!</v>
      </c>
      <c r="CD116" s="10" t="e">
        <f>MATCH(INDEX($BP$12:$BU$12,1,MATCH(BP116,$BP$15:$BU$15,0)),结果汇总!$AI$10:$AI$13,0)</f>
        <v>#VALUE!</v>
      </c>
      <c r="CE116" s="10" t="e">
        <f>MATCH(INDEX($BP$12:$BU$12,1,MATCH(BQ116,$BP$15:$BU$15,0)),结果汇总!$AI$10:$AI$13,0)</f>
        <v>#VALUE!</v>
      </c>
      <c r="CF116" s="10" t="e">
        <f>MATCH(INDEX($BP$12:$BU$12,1,MATCH(BR116,$BP$15:$BU$15,0)),结果汇总!$AI$10:$AI$13,0)</f>
        <v>#VALUE!</v>
      </c>
      <c r="CG116" s="10" t="e">
        <f>MATCH(INDEX($BP$12:$BU$12,1,MATCH(BS116,$BP$15:$BU$15,0)),结果汇总!$AI$10:$AI$13,0)</f>
        <v>#VALUE!</v>
      </c>
      <c r="CH116" s="10" t="e">
        <f>MATCH(INDEX($BP$12:$BU$12,1,MATCH(BT116,$BP$15:$BU$15,0)),结果汇总!$AI$10:$AI$13,0)</f>
        <v>#VALUE!</v>
      </c>
      <c r="CI116" s="10" t="e">
        <f>MATCH(INDEX($BP$12:$BU$12,1,MATCH(BU116,$BP$15:$BU$15,0)),结果汇总!$AI$10:$AI$13,0)</f>
        <v>#VALUE!</v>
      </c>
      <c r="CK116" s="10">
        <f t="shared" si="149"/>
        <v>0</v>
      </c>
      <c r="CL116" s="10">
        <f t="shared" si="149"/>
        <v>0</v>
      </c>
      <c r="CM116" s="10">
        <f t="shared" si="149"/>
        <v>0</v>
      </c>
      <c r="CN116" s="10">
        <f t="shared" si="149"/>
        <v>0</v>
      </c>
      <c r="CO116" s="10" t="e">
        <f t="shared" si="150"/>
        <v>#DIV/0!</v>
      </c>
      <c r="CP116" s="10" t="e">
        <f t="shared" si="150"/>
        <v>#DIV/0!</v>
      </c>
      <c r="CQ116" s="10" t="e">
        <f t="shared" si="150"/>
        <v>#DIV/0!</v>
      </c>
      <c r="CR116" s="10" t="e">
        <f t="shared" si="150"/>
        <v>#DIV/0!</v>
      </c>
      <c r="CS116" s="10">
        <f t="shared" si="151"/>
        <v>0</v>
      </c>
      <c r="CT116" s="10">
        <f t="shared" si="151"/>
        <v>0</v>
      </c>
      <c r="CU116" s="10">
        <f t="shared" si="151"/>
        <v>0</v>
      </c>
      <c r="CV116" s="10">
        <f t="shared" si="151"/>
        <v>0</v>
      </c>
      <c r="CW116" s="10" t="e">
        <f t="shared" si="152"/>
        <v>#DIV/0!</v>
      </c>
      <c r="CX116" s="10" t="e">
        <f t="shared" si="152"/>
        <v>#DIV/0!</v>
      </c>
      <c r="CY116" s="10" t="e">
        <f t="shared" si="152"/>
        <v>#DIV/0!</v>
      </c>
      <c r="CZ116" s="10" t="e">
        <f t="shared" si="152"/>
        <v>#DIV/0!</v>
      </c>
    </row>
    <row r="117" spans="4:104" x14ac:dyDescent="0.15">
      <c r="D117" s="10">
        <v>102</v>
      </c>
      <c r="E117" s="10" t="e">
        <f t="shared" si="95"/>
        <v>#VALUE!</v>
      </c>
      <c r="F117" s="10" t="e">
        <f t="shared" si="79"/>
        <v>#VALUE!</v>
      </c>
      <c r="G117" s="10" t="e">
        <f t="shared" si="80"/>
        <v>#VALUE!</v>
      </c>
      <c r="H117" s="10" t="e">
        <f t="shared" si="96"/>
        <v>#VALUE!</v>
      </c>
      <c r="I117" s="10" t="e">
        <f t="shared" si="81"/>
        <v>#VALUE!</v>
      </c>
      <c r="J117" s="10" t="e">
        <f t="shared" si="97"/>
        <v>#VALUE!</v>
      </c>
      <c r="K117" s="10" t="e">
        <f t="shared" si="82"/>
        <v>#VALUE!</v>
      </c>
      <c r="L117" s="10" t="e">
        <f t="shared" si="83"/>
        <v>#VALUE!</v>
      </c>
      <c r="M117" s="10" t="e">
        <f t="shared" si="98"/>
        <v>#VALUE!</v>
      </c>
      <c r="O117" s="10" t="e">
        <f t="shared" si="99"/>
        <v>#VALUE!</v>
      </c>
      <c r="P117" s="10" t="e">
        <f t="shared" si="84"/>
        <v>#VALUE!</v>
      </c>
      <c r="Q117" s="10" t="e">
        <f t="shared" si="85"/>
        <v>#VALUE!</v>
      </c>
      <c r="R117" s="10" t="e">
        <f t="shared" si="100"/>
        <v>#VALUE!</v>
      </c>
      <c r="S117" s="10" t="e">
        <f t="shared" si="101"/>
        <v>#VALUE!</v>
      </c>
      <c r="T117" s="10" t="e">
        <f t="shared" si="136"/>
        <v>#VALUE!</v>
      </c>
      <c r="U117" s="10" t="e">
        <f t="shared" si="137"/>
        <v>#VALUE!</v>
      </c>
      <c r="V117" s="10" t="e">
        <f t="shared" si="86"/>
        <v>#VALUE!</v>
      </c>
      <c r="W117" s="10" t="e">
        <f t="shared" si="102"/>
        <v>#VALUE!</v>
      </c>
      <c r="Y117" s="10" t="e">
        <f t="shared" si="103"/>
        <v>#VALUE!</v>
      </c>
      <c r="Z117" s="11" t="e">
        <f t="shared" si="104"/>
        <v>#VALUE!</v>
      </c>
      <c r="AA117" s="10" t="e">
        <f t="shared" si="87"/>
        <v>#VALUE!</v>
      </c>
      <c r="AB117" s="10" t="e">
        <f t="shared" si="105"/>
        <v>#VALUE!</v>
      </c>
      <c r="AC117" s="10" t="e">
        <f t="shared" si="106"/>
        <v>#VALUE!</v>
      </c>
      <c r="AD117" s="10" t="e">
        <f t="shared" si="138"/>
        <v>#VALUE!</v>
      </c>
      <c r="AE117" s="10" t="e">
        <f t="shared" si="139"/>
        <v>#VALUE!</v>
      </c>
      <c r="AF117" s="10" t="e">
        <f t="shared" si="88"/>
        <v>#VALUE!</v>
      </c>
      <c r="AG117" s="10" t="e">
        <f t="shared" si="107"/>
        <v>#VALUE!</v>
      </c>
      <c r="AI117" s="13"/>
      <c r="AK117" s="10" t="e">
        <f t="shared" si="108"/>
        <v>#VALUE!</v>
      </c>
      <c r="AL117" s="10" t="e">
        <f t="shared" si="140"/>
        <v>#VALUE!</v>
      </c>
      <c r="AM117" s="10" t="e">
        <f t="shared" si="89"/>
        <v>#VALUE!</v>
      </c>
      <c r="AN117" s="10" t="e">
        <f t="shared" si="109"/>
        <v>#VALUE!</v>
      </c>
      <c r="AO117" s="10" t="e">
        <f t="shared" si="110"/>
        <v>#VALUE!</v>
      </c>
      <c r="AP117" s="10" t="e">
        <f t="shared" si="111"/>
        <v>#VALUE!</v>
      </c>
      <c r="AQ117" s="10" t="e">
        <f t="shared" si="141"/>
        <v>#VALUE!</v>
      </c>
      <c r="AR117" s="10" t="e">
        <f t="shared" si="90"/>
        <v>#VALUE!</v>
      </c>
      <c r="AS117" s="10" t="e">
        <f t="shared" si="142"/>
        <v>#VALUE!</v>
      </c>
      <c r="AU117" s="10" t="e">
        <f t="shared" si="112"/>
        <v>#VALUE!</v>
      </c>
      <c r="AV117" s="10" t="e">
        <f t="shared" si="143"/>
        <v>#VALUE!</v>
      </c>
      <c r="AW117" s="10" t="e">
        <f t="shared" si="91"/>
        <v>#VALUE!</v>
      </c>
      <c r="AX117" s="10" t="e">
        <f t="shared" si="113"/>
        <v>#VALUE!</v>
      </c>
      <c r="AY117" s="10" t="e">
        <f t="shared" si="114"/>
        <v>#VALUE!</v>
      </c>
      <c r="AZ117" s="10" t="e">
        <f t="shared" si="115"/>
        <v>#VALUE!</v>
      </c>
      <c r="BA117" s="10" t="e">
        <f t="shared" si="144"/>
        <v>#VALUE!</v>
      </c>
      <c r="BB117" s="10" t="e">
        <f t="shared" si="92"/>
        <v>#VALUE!</v>
      </c>
      <c r="BC117" s="10" t="e">
        <f t="shared" si="145"/>
        <v>#VALUE!</v>
      </c>
      <c r="BE117" s="10" t="e">
        <f t="shared" si="116"/>
        <v>#VALUE!</v>
      </c>
      <c r="BF117" s="10" t="e">
        <f t="shared" si="146"/>
        <v>#VALUE!</v>
      </c>
      <c r="BG117" s="10" t="e">
        <f t="shared" si="93"/>
        <v>#VALUE!</v>
      </c>
      <c r="BH117" s="10" t="e">
        <f t="shared" si="117"/>
        <v>#VALUE!</v>
      </c>
      <c r="BI117" s="10" t="e">
        <f t="shared" si="118"/>
        <v>#VALUE!</v>
      </c>
      <c r="BJ117" s="10" t="e">
        <f t="shared" si="119"/>
        <v>#VALUE!</v>
      </c>
      <c r="BK117" s="10" t="e">
        <f t="shared" si="147"/>
        <v>#VALUE!</v>
      </c>
      <c r="BL117" s="10" t="e">
        <f t="shared" si="94"/>
        <v>#VALUE!</v>
      </c>
      <c r="BM117" s="10" t="e">
        <f t="shared" si="148"/>
        <v>#VALUE!</v>
      </c>
      <c r="BP117" s="10" t="e">
        <f t="shared" si="120"/>
        <v>#VALUE!</v>
      </c>
      <c r="BQ117" s="10" t="e">
        <f t="shared" si="121"/>
        <v>#VALUE!</v>
      </c>
      <c r="BR117" s="10" t="e">
        <f t="shared" si="122"/>
        <v>#VALUE!</v>
      </c>
      <c r="BS117" s="10" t="e">
        <f t="shared" si="123"/>
        <v>#VALUE!</v>
      </c>
      <c r="BT117" s="10" t="e">
        <f t="shared" si="124"/>
        <v>#VALUE!</v>
      </c>
      <c r="BU117" s="10" t="e">
        <f t="shared" si="125"/>
        <v>#VALUE!</v>
      </c>
      <c r="BW117" s="10" t="e">
        <f t="shared" si="126"/>
        <v>#VALUE!</v>
      </c>
      <c r="BX117" s="10" t="e">
        <f t="shared" si="127"/>
        <v>#VALUE!</v>
      </c>
      <c r="BY117" s="10" t="e">
        <f t="shared" si="128"/>
        <v>#VALUE!</v>
      </c>
      <c r="BZ117" s="10" t="e">
        <f t="shared" si="129"/>
        <v>#VALUE!</v>
      </c>
      <c r="CA117" s="10" t="e">
        <f t="shared" si="130"/>
        <v>#VALUE!</v>
      </c>
      <c r="CB117" s="10" t="e">
        <f t="shared" si="131"/>
        <v>#VALUE!</v>
      </c>
      <c r="CD117" s="10" t="e">
        <f>MATCH(INDEX($BP$12:$BU$12,1,MATCH(BP117,$BP$15:$BU$15,0)),结果汇总!$AI$10:$AI$13,0)</f>
        <v>#VALUE!</v>
      </c>
      <c r="CE117" s="10" t="e">
        <f>MATCH(INDEX($BP$12:$BU$12,1,MATCH(BQ117,$BP$15:$BU$15,0)),结果汇总!$AI$10:$AI$13,0)</f>
        <v>#VALUE!</v>
      </c>
      <c r="CF117" s="10" t="e">
        <f>MATCH(INDEX($BP$12:$BU$12,1,MATCH(BR117,$BP$15:$BU$15,0)),结果汇总!$AI$10:$AI$13,0)</f>
        <v>#VALUE!</v>
      </c>
      <c r="CG117" s="10" t="e">
        <f>MATCH(INDEX($BP$12:$BU$12,1,MATCH(BS117,$BP$15:$BU$15,0)),结果汇总!$AI$10:$AI$13,0)</f>
        <v>#VALUE!</v>
      </c>
      <c r="CH117" s="10" t="e">
        <f>MATCH(INDEX($BP$12:$BU$12,1,MATCH(BT117,$BP$15:$BU$15,0)),结果汇总!$AI$10:$AI$13,0)</f>
        <v>#VALUE!</v>
      </c>
      <c r="CI117" s="10" t="e">
        <f>MATCH(INDEX($BP$12:$BU$12,1,MATCH(BU117,$BP$15:$BU$15,0)),结果汇总!$AI$10:$AI$13,0)</f>
        <v>#VALUE!</v>
      </c>
      <c r="CK117" s="10">
        <f t="shared" si="149"/>
        <v>0</v>
      </c>
      <c r="CL117" s="10">
        <f t="shared" si="149"/>
        <v>0</v>
      </c>
      <c r="CM117" s="10">
        <f t="shared" si="149"/>
        <v>0</v>
      </c>
      <c r="CN117" s="10">
        <f t="shared" si="149"/>
        <v>0</v>
      </c>
      <c r="CO117" s="10" t="e">
        <f t="shared" si="150"/>
        <v>#DIV/0!</v>
      </c>
      <c r="CP117" s="10" t="e">
        <f t="shared" si="150"/>
        <v>#DIV/0!</v>
      </c>
      <c r="CQ117" s="10" t="e">
        <f t="shared" si="150"/>
        <v>#DIV/0!</v>
      </c>
      <c r="CR117" s="10" t="e">
        <f t="shared" si="150"/>
        <v>#DIV/0!</v>
      </c>
      <c r="CS117" s="10">
        <f t="shared" si="151"/>
        <v>0</v>
      </c>
      <c r="CT117" s="10">
        <f t="shared" si="151"/>
        <v>0</v>
      </c>
      <c r="CU117" s="10">
        <f t="shared" si="151"/>
        <v>0</v>
      </c>
      <c r="CV117" s="10">
        <f t="shared" si="151"/>
        <v>0</v>
      </c>
      <c r="CW117" s="10" t="e">
        <f t="shared" si="152"/>
        <v>#DIV/0!</v>
      </c>
      <c r="CX117" s="10" t="e">
        <f t="shared" si="152"/>
        <v>#DIV/0!</v>
      </c>
      <c r="CY117" s="10" t="e">
        <f t="shared" si="152"/>
        <v>#DIV/0!</v>
      </c>
      <c r="CZ117" s="10" t="e">
        <f t="shared" si="152"/>
        <v>#DIV/0!</v>
      </c>
    </row>
    <row r="118" spans="4:104" x14ac:dyDescent="0.15">
      <c r="D118" s="10">
        <v>103</v>
      </c>
      <c r="E118" s="10" t="e">
        <f t="shared" si="95"/>
        <v>#VALUE!</v>
      </c>
      <c r="F118" s="10" t="e">
        <f t="shared" si="79"/>
        <v>#VALUE!</v>
      </c>
      <c r="G118" s="10" t="e">
        <f t="shared" si="80"/>
        <v>#VALUE!</v>
      </c>
      <c r="H118" s="10" t="e">
        <f t="shared" si="96"/>
        <v>#VALUE!</v>
      </c>
      <c r="I118" s="10" t="e">
        <f t="shared" si="81"/>
        <v>#VALUE!</v>
      </c>
      <c r="J118" s="10" t="e">
        <f t="shared" si="97"/>
        <v>#VALUE!</v>
      </c>
      <c r="K118" s="10" t="e">
        <f t="shared" si="82"/>
        <v>#VALUE!</v>
      </c>
      <c r="L118" s="10" t="e">
        <f t="shared" si="83"/>
        <v>#VALUE!</v>
      </c>
      <c r="M118" s="10" t="e">
        <f t="shared" si="98"/>
        <v>#VALUE!</v>
      </c>
      <c r="O118" s="10" t="e">
        <f t="shared" si="99"/>
        <v>#VALUE!</v>
      </c>
      <c r="P118" s="10" t="e">
        <f t="shared" si="84"/>
        <v>#VALUE!</v>
      </c>
      <c r="Q118" s="10" t="e">
        <f t="shared" si="85"/>
        <v>#VALUE!</v>
      </c>
      <c r="R118" s="10" t="e">
        <f t="shared" si="100"/>
        <v>#VALUE!</v>
      </c>
      <c r="S118" s="10" t="e">
        <f t="shared" si="101"/>
        <v>#VALUE!</v>
      </c>
      <c r="T118" s="10" t="e">
        <f t="shared" si="136"/>
        <v>#VALUE!</v>
      </c>
      <c r="U118" s="10" t="e">
        <f t="shared" si="137"/>
        <v>#VALUE!</v>
      </c>
      <c r="V118" s="10" t="e">
        <f t="shared" si="86"/>
        <v>#VALUE!</v>
      </c>
      <c r="W118" s="10" t="e">
        <f t="shared" si="102"/>
        <v>#VALUE!</v>
      </c>
      <c r="Y118" s="10" t="e">
        <f t="shared" si="103"/>
        <v>#VALUE!</v>
      </c>
      <c r="Z118" s="11" t="e">
        <f t="shared" si="104"/>
        <v>#VALUE!</v>
      </c>
      <c r="AA118" s="10" t="e">
        <f t="shared" si="87"/>
        <v>#VALUE!</v>
      </c>
      <c r="AB118" s="10" t="e">
        <f t="shared" si="105"/>
        <v>#VALUE!</v>
      </c>
      <c r="AC118" s="10" t="e">
        <f t="shared" si="106"/>
        <v>#VALUE!</v>
      </c>
      <c r="AD118" s="10" t="e">
        <f t="shared" si="138"/>
        <v>#VALUE!</v>
      </c>
      <c r="AE118" s="10" t="e">
        <f t="shared" si="139"/>
        <v>#VALUE!</v>
      </c>
      <c r="AF118" s="10" t="e">
        <f t="shared" si="88"/>
        <v>#VALUE!</v>
      </c>
      <c r="AG118" s="10" t="e">
        <f t="shared" si="107"/>
        <v>#VALUE!</v>
      </c>
      <c r="AI118" s="13"/>
      <c r="AK118" s="10" t="e">
        <f t="shared" si="108"/>
        <v>#VALUE!</v>
      </c>
      <c r="AL118" s="10" t="e">
        <f t="shared" si="140"/>
        <v>#VALUE!</v>
      </c>
      <c r="AM118" s="10" t="e">
        <f t="shared" si="89"/>
        <v>#VALUE!</v>
      </c>
      <c r="AN118" s="10" t="e">
        <f t="shared" si="109"/>
        <v>#VALUE!</v>
      </c>
      <c r="AO118" s="10" t="e">
        <f t="shared" si="110"/>
        <v>#VALUE!</v>
      </c>
      <c r="AP118" s="10" t="e">
        <f t="shared" si="111"/>
        <v>#VALUE!</v>
      </c>
      <c r="AQ118" s="10" t="e">
        <f t="shared" si="141"/>
        <v>#VALUE!</v>
      </c>
      <c r="AR118" s="10" t="e">
        <f t="shared" si="90"/>
        <v>#VALUE!</v>
      </c>
      <c r="AS118" s="10" t="e">
        <f t="shared" si="142"/>
        <v>#VALUE!</v>
      </c>
      <c r="AU118" s="10" t="e">
        <f t="shared" si="112"/>
        <v>#VALUE!</v>
      </c>
      <c r="AV118" s="10" t="e">
        <f t="shared" si="143"/>
        <v>#VALUE!</v>
      </c>
      <c r="AW118" s="10" t="e">
        <f t="shared" si="91"/>
        <v>#VALUE!</v>
      </c>
      <c r="AX118" s="10" t="e">
        <f t="shared" si="113"/>
        <v>#VALUE!</v>
      </c>
      <c r="AY118" s="10" t="e">
        <f t="shared" si="114"/>
        <v>#VALUE!</v>
      </c>
      <c r="AZ118" s="10" t="e">
        <f t="shared" si="115"/>
        <v>#VALUE!</v>
      </c>
      <c r="BA118" s="10" t="e">
        <f t="shared" si="144"/>
        <v>#VALUE!</v>
      </c>
      <c r="BB118" s="10" t="e">
        <f t="shared" si="92"/>
        <v>#VALUE!</v>
      </c>
      <c r="BC118" s="10" t="e">
        <f t="shared" si="145"/>
        <v>#VALUE!</v>
      </c>
      <c r="BE118" s="10" t="e">
        <f t="shared" si="116"/>
        <v>#VALUE!</v>
      </c>
      <c r="BF118" s="10" t="e">
        <f t="shared" si="146"/>
        <v>#VALUE!</v>
      </c>
      <c r="BG118" s="10" t="e">
        <f t="shared" si="93"/>
        <v>#VALUE!</v>
      </c>
      <c r="BH118" s="10" t="e">
        <f t="shared" si="117"/>
        <v>#VALUE!</v>
      </c>
      <c r="BI118" s="10" t="e">
        <f t="shared" si="118"/>
        <v>#VALUE!</v>
      </c>
      <c r="BJ118" s="10" t="e">
        <f t="shared" si="119"/>
        <v>#VALUE!</v>
      </c>
      <c r="BK118" s="10" t="e">
        <f t="shared" si="147"/>
        <v>#VALUE!</v>
      </c>
      <c r="BL118" s="10" t="e">
        <f t="shared" si="94"/>
        <v>#VALUE!</v>
      </c>
      <c r="BM118" s="10" t="e">
        <f t="shared" si="148"/>
        <v>#VALUE!</v>
      </c>
      <c r="BP118" s="10" t="e">
        <f t="shared" si="120"/>
        <v>#VALUE!</v>
      </c>
      <c r="BQ118" s="10" t="e">
        <f t="shared" si="121"/>
        <v>#VALUE!</v>
      </c>
      <c r="BR118" s="10" t="e">
        <f t="shared" si="122"/>
        <v>#VALUE!</v>
      </c>
      <c r="BS118" s="10" t="e">
        <f t="shared" si="123"/>
        <v>#VALUE!</v>
      </c>
      <c r="BT118" s="10" t="e">
        <f t="shared" si="124"/>
        <v>#VALUE!</v>
      </c>
      <c r="BU118" s="10" t="e">
        <f t="shared" si="125"/>
        <v>#VALUE!</v>
      </c>
      <c r="BW118" s="10" t="e">
        <f t="shared" si="126"/>
        <v>#VALUE!</v>
      </c>
      <c r="BX118" s="10" t="e">
        <f t="shared" si="127"/>
        <v>#VALUE!</v>
      </c>
      <c r="BY118" s="10" t="e">
        <f t="shared" si="128"/>
        <v>#VALUE!</v>
      </c>
      <c r="BZ118" s="10" t="e">
        <f t="shared" si="129"/>
        <v>#VALUE!</v>
      </c>
      <c r="CA118" s="10" t="e">
        <f t="shared" si="130"/>
        <v>#VALUE!</v>
      </c>
      <c r="CB118" s="10" t="e">
        <f t="shared" si="131"/>
        <v>#VALUE!</v>
      </c>
      <c r="CD118" s="10" t="e">
        <f>MATCH(INDEX($BP$12:$BU$12,1,MATCH(BP118,$BP$15:$BU$15,0)),结果汇总!$AI$10:$AI$13,0)</f>
        <v>#VALUE!</v>
      </c>
      <c r="CE118" s="10" t="e">
        <f>MATCH(INDEX($BP$12:$BU$12,1,MATCH(BQ118,$BP$15:$BU$15,0)),结果汇总!$AI$10:$AI$13,0)</f>
        <v>#VALUE!</v>
      </c>
      <c r="CF118" s="10" t="e">
        <f>MATCH(INDEX($BP$12:$BU$12,1,MATCH(BR118,$BP$15:$BU$15,0)),结果汇总!$AI$10:$AI$13,0)</f>
        <v>#VALUE!</v>
      </c>
      <c r="CG118" s="10" t="e">
        <f>MATCH(INDEX($BP$12:$BU$12,1,MATCH(BS118,$BP$15:$BU$15,0)),结果汇总!$AI$10:$AI$13,0)</f>
        <v>#VALUE!</v>
      </c>
      <c r="CH118" s="10" t="e">
        <f>MATCH(INDEX($BP$12:$BU$12,1,MATCH(BT118,$BP$15:$BU$15,0)),结果汇总!$AI$10:$AI$13,0)</f>
        <v>#VALUE!</v>
      </c>
      <c r="CI118" s="10" t="e">
        <f>MATCH(INDEX($BP$12:$BU$12,1,MATCH(BU118,$BP$15:$BU$15,0)),结果汇总!$AI$10:$AI$13,0)</f>
        <v>#VALUE!</v>
      </c>
      <c r="CK118" s="10">
        <f t="shared" si="149"/>
        <v>0</v>
      </c>
      <c r="CL118" s="10">
        <f t="shared" si="149"/>
        <v>0</v>
      </c>
      <c r="CM118" s="10">
        <f t="shared" si="149"/>
        <v>0</v>
      </c>
      <c r="CN118" s="10">
        <f t="shared" si="149"/>
        <v>0</v>
      </c>
      <c r="CO118" s="10" t="e">
        <f t="shared" si="150"/>
        <v>#DIV/0!</v>
      </c>
      <c r="CP118" s="10" t="e">
        <f t="shared" si="150"/>
        <v>#DIV/0!</v>
      </c>
      <c r="CQ118" s="10" t="e">
        <f t="shared" si="150"/>
        <v>#DIV/0!</v>
      </c>
      <c r="CR118" s="10" t="e">
        <f t="shared" si="150"/>
        <v>#DIV/0!</v>
      </c>
      <c r="CS118" s="10">
        <f t="shared" si="151"/>
        <v>0</v>
      </c>
      <c r="CT118" s="10">
        <f t="shared" si="151"/>
        <v>0</v>
      </c>
      <c r="CU118" s="10">
        <f t="shared" si="151"/>
        <v>0</v>
      </c>
      <c r="CV118" s="10">
        <f t="shared" si="151"/>
        <v>0</v>
      </c>
      <c r="CW118" s="10" t="e">
        <f t="shared" si="152"/>
        <v>#DIV/0!</v>
      </c>
      <c r="CX118" s="10" t="e">
        <f t="shared" si="152"/>
        <v>#DIV/0!</v>
      </c>
      <c r="CY118" s="10" t="e">
        <f t="shared" si="152"/>
        <v>#DIV/0!</v>
      </c>
      <c r="CZ118" s="10" t="e">
        <f t="shared" si="152"/>
        <v>#DIV/0!</v>
      </c>
    </row>
    <row r="119" spans="4:104" x14ac:dyDescent="0.15">
      <c r="D119" s="10">
        <v>104</v>
      </c>
      <c r="E119" s="10" t="e">
        <f t="shared" si="95"/>
        <v>#VALUE!</v>
      </c>
      <c r="F119" s="10" t="e">
        <f t="shared" si="79"/>
        <v>#VALUE!</v>
      </c>
      <c r="G119" s="10" t="e">
        <f t="shared" si="80"/>
        <v>#VALUE!</v>
      </c>
      <c r="H119" s="10" t="e">
        <f t="shared" si="96"/>
        <v>#VALUE!</v>
      </c>
      <c r="I119" s="10" t="e">
        <f t="shared" si="81"/>
        <v>#VALUE!</v>
      </c>
      <c r="J119" s="10" t="e">
        <f t="shared" si="97"/>
        <v>#VALUE!</v>
      </c>
      <c r="K119" s="10" t="e">
        <f t="shared" si="82"/>
        <v>#VALUE!</v>
      </c>
      <c r="L119" s="10" t="e">
        <f t="shared" si="83"/>
        <v>#VALUE!</v>
      </c>
      <c r="M119" s="10" t="e">
        <f t="shared" si="98"/>
        <v>#VALUE!</v>
      </c>
      <c r="O119" s="10" t="e">
        <f t="shared" si="99"/>
        <v>#VALUE!</v>
      </c>
      <c r="P119" s="10" t="e">
        <f t="shared" si="84"/>
        <v>#VALUE!</v>
      </c>
      <c r="Q119" s="10" t="e">
        <f t="shared" si="85"/>
        <v>#VALUE!</v>
      </c>
      <c r="R119" s="10" t="e">
        <f t="shared" si="100"/>
        <v>#VALUE!</v>
      </c>
      <c r="S119" s="10" t="e">
        <f t="shared" si="101"/>
        <v>#VALUE!</v>
      </c>
      <c r="T119" s="10" t="e">
        <f t="shared" si="136"/>
        <v>#VALUE!</v>
      </c>
      <c r="U119" s="10" t="e">
        <f t="shared" si="137"/>
        <v>#VALUE!</v>
      </c>
      <c r="V119" s="10" t="e">
        <f t="shared" si="86"/>
        <v>#VALUE!</v>
      </c>
      <c r="W119" s="10" t="e">
        <f t="shared" si="102"/>
        <v>#VALUE!</v>
      </c>
      <c r="Y119" s="10" t="e">
        <f t="shared" si="103"/>
        <v>#VALUE!</v>
      </c>
      <c r="Z119" s="11" t="e">
        <f t="shared" si="104"/>
        <v>#VALUE!</v>
      </c>
      <c r="AA119" s="10" t="e">
        <f t="shared" si="87"/>
        <v>#VALUE!</v>
      </c>
      <c r="AB119" s="10" t="e">
        <f t="shared" si="105"/>
        <v>#VALUE!</v>
      </c>
      <c r="AC119" s="10" t="e">
        <f t="shared" si="106"/>
        <v>#VALUE!</v>
      </c>
      <c r="AD119" s="10" t="e">
        <f t="shared" si="138"/>
        <v>#VALUE!</v>
      </c>
      <c r="AE119" s="10" t="e">
        <f t="shared" si="139"/>
        <v>#VALUE!</v>
      </c>
      <c r="AF119" s="10" t="e">
        <f t="shared" si="88"/>
        <v>#VALUE!</v>
      </c>
      <c r="AG119" s="10" t="e">
        <f t="shared" si="107"/>
        <v>#VALUE!</v>
      </c>
      <c r="AI119" s="13"/>
      <c r="AK119" s="10" t="e">
        <f t="shared" si="108"/>
        <v>#VALUE!</v>
      </c>
      <c r="AL119" s="10" t="e">
        <f t="shared" si="140"/>
        <v>#VALUE!</v>
      </c>
      <c r="AM119" s="10" t="e">
        <f t="shared" si="89"/>
        <v>#VALUE!</v>
      </c>
      <c r="AN119" s="10" t="e">
        <f t="shared" si="109"/>
        <v>#VALUE!</v>
      </c>
      <c r="AO119" s="10" t="e">
        <f t="shared" si="110"/>
        <v>#VALUE!</v>
      </c>
      <c r="AP119" s="10" t="e">
        <f t="shared" si="111"/>
        <v>#VALUE!</v>
      </c>
      <c r="AQ119" s="10" t="e">
        <f t="shared" si="141"/>
        <v>#VALUE!</v>
      </c>
      <c r="AR119" s="10" t="e">
        <f t="shared" si="90"/>
        <v>#VALUE!</v>
      </c>
      <c r="AS119" s="10" t="e">
        <f t="shared" si="142"/>
        <v>#VALUE!</v>
      </c>
      <c r="AU119" s="10" t="e">
        <f t="shared" si="112"/>
        <v>#VALUE!</v>
      </c>
      <c r="AV119" s="10" t="e">
        <f t="shared" si="143"/>
        <v>#VALUE!</v>
      </c>
      <c r="AW119" s="10" t="e">
        <f t="shared" si="91"/>
        <v>#VALUE!</v>
      </c>
      <c r="AX119" s="10" t="e">
        <f t="shared" si="113"/>
        <v>#VALUE!</v>
      </c>
      <c r="AY119" s="10" t="e">
        <f t="shared" si="114"/>
        <v>#VALUE!</v>
      </c>
      <c r="AZ119" s="10" t="e">
        <f t="shared" si="115"/>
        <v>#VALUE!</v>
      </c>
      <c r="BA119" s="10" t="e">
        <f t="shared" si="144"/>
        <v>#VALUE!</v>
      </c>
      <c r="BB119" s="10" t="e">
        <f t="shared" si="92"/>
        <v>#VALUE!</v>
      </c>
      <c r="BC119" s="10" t="e">
        <f t="shared" si="145"/>
        <v>#VALUE!</v>
      </c>
      <c r="BE119" s="10" t="e">
        <f t="shared" si="116"/>
        <v>#VALUE!</v>
      </c>
      <c r="BF119" s="10" t="e">
        <f t="shared" si="146"/>
        <v>#VALUE!</v>
      </c>
      <c r="BG119" s="10" t="e">
        <f t="shared" si="93"/>
        <v>#VALUE!</v>
      </c>
      <c r="BH119" s="10" t="e">
        <f t="shared" si="117"/>
        <v>#VALUE!</v>
      </c>
      <c r="BI119" s="10" t="e">
        <f t="shared" si="118"/>
        <v>#VALUE!</v>
      </c>
      <c r="BJ119" s="10" t="e">
        <f t="shared" si="119"/>
        <v>#VALUE!</v>
      </c>
      <c r="BK119" s="10" t="e">
        <f t="shared" si="147"/>
        <v>#VALUE!</v>
      </c>
      <c r="BL119" s="10" t="e">
        <f t="shared" si="94"/>
        <v>#VALUE!</v>
      </c>
      <c r="BM119" s="10" t="e">
        <f t="shared" si="148"/>
        <v>#VALUE!</v>
      </c>
      <c r="BP119" s="10" t="e">
        <f t="shared" si="120"/>
        <v>#VALUE!</v>
      </c>
      <c r="BQ119" s="10" t="e">
        <f t="shared" si="121"/>
        <v>#VALUE!</v>
      </c>
      <c r="BR119" s="10" t="e">
        <f t="shared" si="122"/>
        <v>#VALUE!</v>
      </c>
      <c r="BS119" s="10" t="e">
        <f t="shared" si="123"/>
        <v>#VALUE!</v>
      </c>
      <c r="BT119" s="10" t="e">
        <f t="shared" si="124"/>
        <v>#VALUE!</v>
      </c>
      <c r="BU119" s="10" t="e">
        <f t="shared" si="125"/>
        <v>#VALUE!</v>
      </c>
      <c r="BW119" s="10" t="e">
        <f t="shared" si="126"/>
        <v>#VALUE!</v>
      </c>
      <c r="BX119" s="10" t="e">
        <f t="shared" si="127"/>
        <v>#VALUE!</v>
      </c>
      <c r="BY119" s="10" t="e">
        <f t="shared" si="128"/>
        <v>#VALUE!</v>
      </c>
      <c r="BZ119" s="10" t="e">
        <f t="shared" si="129"/>
        <v>#VALUE!</v>
      </c>
      <c r="CA119" s="10" t="e">
        <f t="shared" si="130"/>
        <v>#VALUE!</v>
      </c>
      <c r="CB119" s="10" t="e">
        <f t="shared" si="131"/>
        <v>#VALUE!</v>
      </c>
      <c r="CD119" s="10" t="e">
        <f>MATCH(INDEX($BP$12:$BU$12,1,MATCH(BP119,$BP$15:$BU$15,0)),结果汇总!$AI$10:$AI$13,0)</f>
        <v>#VALUE!</v>
      </c>
      <c r="CE119" s="10" t="e">
        <f>MATCH(INDEX($BP$12:$BU$12,1,MATCH(BQ119,$BP$15:$BU$15,0)),结果汇总!$AI$10:$AI$13,0)</f>
        <v>#VALUE!</v>
      </c>
      <c r="CF119" s="10" t="e">
        <f>MATCH(INDEX($BP$12:$BU$12,1,MATCH(BR119,$BP$15:$BU$15,0)),结果汇总!$AI$10:$AI$13,0)</f>
        <v>#VALUE!</v>
      </c>
      <c r="CG119" s="10" t="e">
        <f>MATCH(INDEX($BP$12:$BU$12,1,MATCH(BS119,$BP$15:$BU$15,0)),结果汇总!$AI$10:$AI$13,0)</f>
        <v>#VALUE!</v>
      </c>
      <c r="CH119" s="10" t="e">
        <f>MATCH(INDEX($BP$12:$BU$12,1,MATCH(BT119,$BP$15:$BU$15,0)),结果汇总!$AI$10:$AI$13,0)</f>
        <v>#VALUE!</v>
      </c>
      <c r="CI119" s="10" t="e">
        <f>MATCH(INDEX($BP$12:$BU$12,1,MATCH(BU119,$BP$15:$BU$15,0)),结果汇总!$AI$10:$AI$13,0)</f>
        <v>#VALUE!</v>
      </c>
      <c r="CK119" s="10">
        <f t="shared" si="149"/>
        <v>0</v>
      </c>
      <c r="CL119" s="10">
        <f t="shared" si="149"/>
        <v>0</v>
      </c>
      <c r="CM119" s="10">
        <f t="shared" si="149"/>
        <v>0</v>
      </c>
      <c r="CN119" s="10">
        <f t="shared" si="149"/>
        <v>0</v>
      </c>
      <c r="CO119" s="10" t="e">
        <f t="shared" si="150"/>
        <v>#DIV/0!</v>
      </c>
      <c r="CP119" s="10" t="e">
        <f t="shared" si="150"/>
        <v>#DIV/0!</v>
      </c>
      <c r="CQ119" s="10" t="e">
        <f t="shared" si="150"/>
        <v>#DIV/0!</v>
      </c>
      <c r="CR119" s="10" t="e">
        <f t="shared" si="150"/>
        <v>#DIV/0!</v>
      </c>
      <c r="CS119" s="10">
        <f t="shared" si="151"/>
        <v>0</v>
      </c>
      <c r="CT119" s="10">
        <f t="shared" si="151"/>
        <v>0</v>
      </c>
      <c r="CU119" s="10">
        <f t="shared" si="151"/>
        <v>0</v>
      </c>
      <c r="CV119" s="10">
        <f t="shared" si="151"/>
        <v>0</v>
      </c>
      <c r="CW119" s="10" t="e">
        <f t="shared" si="152"/>
        <v>#DIV/0!</v>
      </c>
      <c r="CX119" s="10" t="e">
        <f t="shared" si="152"/>
        <v>#DIV/0!</v>
      </c>
      <c r="CY119" s="10" t="e">
        <f t="shared" si="152"/>
        <v>#DIV/0!</v>
      </c>
      <c r="CZ119" s="10" t="e">
        <f t="shared" si="152"/>
        <v>#DIV/0!</v>
      </c>
    </row>
    <row r="120" spans="4:104" x14ac:dyDescent="0.15">
      <c r="D120" s="10">
        <v>105</v>
      </c>
      <c r="E120" s="10" t="e">
        <f t="shared" si="95"/>
        <v>#VALUE!</v>
      </c>
      <c r="F120" s="10" t="e">
        <f t="shared" si="79"/>
        <v>#VALUE!</v>
      </c>
      <c r="G120" s="10" t="e">
        <f t="shared" si="80"/>
        <v>#VALUE!</v>
      </c>
      <c r="H120" s="10" t="e">
        <f t="shared" si="96"/>
        <v>#VALUE!</v>
      </c>
      <c r="I120" s="10" t="e">
        <f t="shared" si="81"/>
        <v>#VALUE!</v>
      </c>
      <c r="J120" s="10" t="e">
        <f t="shared" si="97"/>
        <v>#VALUE!</v>
      </c>
      <c r="K120" s="10" t="e">
        <f t="shared" si="82"/>
        <v>#VALUE!</v>
      </c>
      <c r="L120" s="10" t="e">
        <f t="shared" si="83"/>
        <v>#VALUE!</v>
      </c>
      <c r="M120" s="10" t="e">
        <f t="shared" si="98"/>
        <v>#VALUE!</v>
      </c>
      <c r="O120" s="10" t="e">
        <f t="shared" si="99"/>
        <v>#VALUE!</v>
      </c>
      <c r="P120" s="10" t="e">
        <f t="shared" si="84"/>
        <v>#VALUE!</v>
      </c>
      <c r="Q120" s="10" t="e">
        <f t="shared" si="85"/>
        <v>#VALUE!</v>
      </c>
      <c r="R120" s="10" t="e">
        <f t="shared" si="100"/>
        <v>#VALUE!</v>
      </c>
      <c r="S120" s="10" t="e">
        <f t="shared" si="101"/>
        <v>#VALUE!</v>
      </c>
      <c r="T120" s="10" t="e">
        <f t="shared" si="136"/>
        <v>#VALUE!</v>
      </c>
      <c r="U120" s="10" t="e">
        <f t="shared" si="137"/>
        <v>#VALUE!</v>
      </c>
      <c r="V120" s="10" t="e">
        <f t="shared" si="86"/>
        <v>#VALUE!</v>
      </c>
      <c r="W120" s="10" t="e">
        <f t="shared" si="102"/>
        <v>#VALUE!</v>
      </c>
      <c r="Y120" s="10" t="e">
        <f t="shared" si="103"/>
        <v>#VALUE!</v>
      </c>
      <c r="Z120" s="11" t="e">
        <f t="shared" si="104"/>
        <v>#VALUE!</v>
      </c>
      <c r="AA120" s="10" t="e">
        <f t="shared" si="87"/>
        <v>#VALUE!</v>
      </c>
      <c r="AB120" s="10" t="e">
        <f t="shared" si="105"/>
        <v>#VALUE!</v>
      </c>
      <c r="AC120" s="10" t="e">
        <f t="shared" si="106"/>
        <v>#VALUE!</v>
      </c>
      <c r="AD120" s="10" t="e">
        <f t="shared" si="138"/>
        <v>#VALUE!</v>
      </c>
      <c r="AE120" s="10" t="e">
        <f t="shared" si="139"/>
        <v>#VALUE!</v>
      </c>
      <c r="AF120" s="10" t="e">
        <f t="shared" si="88"/>
        <v>#VALUE!</v>
      </c>
      <c r="AG120" s="10" t="e">
        <f t="shared" si="107"/>
        <v>#VALUE!</v>
      </c>
      <c r="AI120" s="13"/>
      <c r="AK120" s="10" t="e">
        <f t="shared" si="108"/>
        <v>#VALUE!</v>
      </c>
      <c r="AL120" s="10" t="e">
        <f t="shared" si="140"/>
        <v>#VALUE!</v>
      </c>
      <c r="AM120" s="10" t="e">
        <f t="shared" si="89"/>
        <v>#VALUE!</v>
      </c>
      <c r="AN120" s="10" t="e">
        <f t="shared" si="109"/>
        <v>#VALUE!</v>
      </c>
      <c r="AO120" s="10" t="e">
        <f t="shared" si="110"/>
        <v>#VALUE!</v>
      </c>
      <c r="AP120" s="10" t="e">
        <f t="shared" si="111"/>
        <v>#VALUE!</v>
      </c>
      <c r="AQ120" s="10" t="e">
        <f t="shared" si="141"/>
        <v>#VALUE!</v>
      </c>
      <c r="AR120" s="10" t="e">
        <f t="shared" si="90"/>
        <v>#VALUE!</v>
      </c>
      <c r="AS120" s="10" t="e">
        <f t="shared" si="142"/>
        <v>#VALUE!</v>
      </c>
      <c r="AU120" s="10" t="e">
        <f t="shared" si="112"/>
        <v>#VALUE!</v>
      </c>
      <c r="AV120" s="10" t="e">
        <f t="shared" si="143"/>
        <v>#VALUE!</v>
      </c>
      <c r="AW120" s="10" t="e">
        <f t="shared" si="91"/>
        <v>#VALUE!</v>
      </c>
      <c r="AX120" s="10" t="e">
        <f t="shared" si="113"/>
        <v>#VALUE!</v>
      </c>
      <c r="AY120" s="10" t="e">
        <f t="shared" si="114"/>
        <v>#VALUE!</v>
      </c>
      <c r="AZ120" s="10" t="e">
        <f t="shared" si="115"/>
        <v>#VALUE!</v>
      </c>
      <c r="BA120" s="10" t="e">
        <f t="shared" si="144"/>
        <v>#VALUE!</v>
      </c>
      <c r="BB120" s="10" t="e">
        <f t="shared" si="92"/>
        <v>#VALUE!</v>
      </c>
      <c r="BC120" s="10" t="e">
        <f t="shared" si="145"/>
        <v>#VALUE!</v>
      </c>
      <c r="BE120" s="10" t="e">
        <f t="shared" si="116"/>
        <v>#VALUE!</v>
      </c>
      <c r="BF120" s="10" t="e">
        <f t="shared" si="146"/>
        <v>#VALUE!</v>
      </c>
      <c r="BG120" s="10" t="e">
        <f t="shared" si="93"/>
        <v>#VALUE!</v>
      </c>
      <c r="BH120" s="10" t="e">
        <f t="shared" si="117"/>
        <v>#VALUE!</v>
      </c>
      <c r="BI120" s="10" t="e">
        <f t="shared" si="118"/>
        <v>#VALUE!</v>
      </c>
      <c r="BJ120" s="10" t="e">
        <f t="shared" si="119"/>
        <v>#VALUE!</v>
      </c>
      <c r="BK120" s="10" t="e">
        <f t="shared" si="147"/>
        <v>#VALUE!</v>
      </c>
      <c r="BL120" s="10" t="e">
        <f t="shared" si="94"/>
        <v>#VALUE!</v>
      </c>
      <c r="BM120" s="10" t="e">
        <f t="shared" si="148"/>
        <v>#VALUE!</v>
      </c>
      <c r="BP120" s="10" t="e">
        <f t="shared" si="120"/>
        <v>#VALUE!</v>
      </c>
      <c r="BQ120" s="10" t="e">
        <f t="shared" si="121"/>
        <v>#VALUE!</v>
      </c>
      <c r="BR120" s="10" t="e">
        <f t="shared" si="122"/>
        <v>#VALUE!</v>
      </c>
      <c r="BS120" s="10" t="e">
        <f t="shared" si="123"/>
        <v>#VALUE!</v>
      </c>
      <c r="BT120" s="10" t="e">
        <f t="shared" si="124"/>
        <v>#VALUE!</v>
      </c>
      <c r="BU120" s="10" t="e">
        <f t="shared" si="125"/>
        <v>#VALUE!</v>
      </c>
      <c r="BW120" s="10" t="e">
        <f t="shared" si="126"/>
        <v>#VALUE!</v>
      </c>
      <c r="BX120" s="10" t="e">
        <f t="shared" si="127"/>
        <v>#VALUE!</v>
      </c>
      <c r="BY120" s="10" t="e">
        <f t="shared" si="128"/>
        <v>#VALUE!</v>
      </c>
      <c r="BZ120" s="10" t="e">
        <f t="shared" si="129"/>
        <v>#VALUE!</v>
      </c>
      <c r="CA120" s="10" t="e">
        <f t="shared" si="130"/>
        <v>#VALUE!</v>
      </c>
      <c r="CB120" s="10" t="e">
        <f t="shared" si="131"/>
        <v>#VALUE!</v>
      </c>
      <c r="CD120" s="10" t="e">
        <f>MATCH(INDEX($BP$12:$BU$12,1,MATCH(BP120,$BP$15:$BU$15,0)),结果汇总!$AI$10:$AI$13,0)</f>
        <v>#VALUE!</v>
      </c>
      <c r="CE120" s="10" t="e">
        <f>MATCH(INDEX($BP$12:$BU$12,1,MATCH(BQ120,$BP$15:$BU$15,0)),结果汇总!$AI$10:$AI$13,0)</f>
        <v>#VALUE!</v>
      </c>
      <c r="CF120" s="10" t="e">
        <f>MATCH(INDEX($BP$12:$BU$12,1,MATCH(BR120,$BP$15:$BU$15,0)),结果汇总!$AI$10:$AI$13,0)</f>
        <v>#VALUE!</v>
      </c>
      <c r="CG120" s="10" t="e">
        <f>MATCH(INDEX($BP$12:$BU$12,1,MATCH(BS120,$BP$15:$BU$15,0)),结果汇总!$AI$10:$AI$13,0)</f>
        <v>#VALUE!</v>
      </c>
      <c r="CH120" s="10" t="e">
        <f>MATCH(INDEX($BP$12:$BU$12,1,MATCH(BT120,$BP$15:$BU$15,0)),结果汇总!$AI$10:$AI$13,0)</f>
        <v>#VALUE!</v>
      </c>
      <c r="CI120" s="10" t="e">
        <f>MATCH(INDEX($BP$12:$BU$12,1,MATCH(BU120,$BP$15:$BU$15,0)),结果汇总!$AI$10:$AI$13,0)</f>
        <v>#VALUE!</v>
      </c>
      <c r="CK120" s="10">
        <f t="shared" si="149"/>
        <v>0</v>
      </c>
      <c r="CL120" s="10">
        <f t="shared" si="149"/>
        <v>0</v>
      </c>
      <c r="CM120" s="10">
        <f t="shared" si="149"/>
        <v>0</v>
      </c>
      <c r="CN120" s="10">
        <f t="shared" si="149"/>
        <v>0</v>
      </c>
      <c r="CO120" s="10" t="e">
        <f t="shared" si="150"/>
        <v>#DIV/0!</v>
      </c>
      <c r="CP120" s="10" t="e">
        <f t="shared" si="150"/>
        <v>#DIV/0!</v>
      </c>
      <c r="CQ120" s="10" t="e">
        <f t="shared" si="150"/>
        <v>#DIV/0!</v>
      </c>
      <c r="CR120" s="10" t="e">
        <f t="shared" si="150"/>
        <v>#DIV/0!</v>
      </c>
      <c r="CS120" s="10">
        <f t="shared" si="151"/>
        <v>0</v>
      </c>
      <c r="CT120" s="10">
        <f t="shared" si="151"/>
        <v>0</v>
      </c>
      <c r="CU120" s="10">
        <f t="shared" si="151"/>
        <v>0</v>
      </c>
      <c r="CV120" s="10">
        <f t="shared" si="151"/>
        <v>0</v>
      </c>
      <c r="CW120" s="10" t="e">
        <f t="shared" si="152"/>
        <v>#DIV/0!</v>
      </c>
      <c r="CX120" s="10" t="e">
        <f t="shared" si="152"/>
        <v>#DIV/0!</v>
      </c>
      <c r="CY120" s="10" t="e">
        <f t="shared" si="152"/>
        <v>#DIV/0!</v>
      </c>
      <c r="CZ120" s="10" t="e">
        <f t="shared" si="152"/>
        <v>#DIV/0!</v>
      </c>
    </row>
    <row r="121" spans="4:104" x14ac:dyDescent="0.15">
      <c r="D121" s="10">
        <v>106</v>
      </c>
      <c r="E121" s="10" t="e">
        <f t="shared" si="95"/>
        <v>#VALUE!</v>
      </c>
      <c r="F121" s="10" t="e">
        <f t="shared" si="79"/>
        <v>#VALUE!</v>
      </c>
      <c r="G121" s="10" t="e">
        <f t="shared" si="80"/>
        <v>#VALUE!</v>
      </c>
      <c r="H121" s="10" t="e">
        <f t="shared" si="96"/>
        <v>#VALUE!</v>
      </c>
      <c r="I121" s="10" t="e">
        <f t="shared" si="81"/>
        <v>#VALUE!</v>
      </c>
      <c r="J121" s="10" t="e">
        <f t="shared" si="97"/>
        <v>#VALUE!</v>
      </c>
      <c r="K121" s="10" t="e">
        <f t="shared" si="82"/>
        <v>#VALUE!</v>
      </c>
      <c r="L121" s="10" t="e">
        <f t="shared" si="83"/>
        <v>#VALUE!</v>
      </c>
      <c r="M121" s="10" t="e">
        <f t="shared" si="98"/>
        <v>#VALUE!</v>
      </c>
      <c r="O121" s="10" t="e">
        <f t="shared" si="99"/>
        <v>#VALUE!</v>
      </c>
      <c r="P121" s="10" t="e">
        <f t="shared" si="84"/>
        <v>#VALUE!</v>
      </c>
      <c r="Q121" s="10" t="e">
        <f t="shared" si="85"/>
        <v>#VALUE!</v>
      </c>
      <c r="R121" s="10" t="e">
        <f t="shared" si="100"/>
        <v>#VALUE!</v>
      </c>
      <c r="S121" s="10" t="e">
        <f t="shared" si="101"/>
        <v>#VALUE!</v>
      </c>
      <c r="T121" s="10" t="e">
        <f t="shared" si="136"/>
        <v>#VALUE!</v>
      </c>
      <c r="U121" s="10" t="e">
        <f t="shared" si="137"/>
        <v>#VALUE!</v>
      </c>
      <c r="V121" s="10" t="e">
        <f t="shared" si="86"/>
        <v>#VALUE!</v>
      </c>
      <c r="W121" s="10" t="e">
        <f t="shared" si="102"/>
        <v>#VALUE!</v>
      </c>
      <c r="Y121" s="10" t="e">
        <f t="shared" si="103"/>
        <v>#VALUE!</v>
      </c>
      <c r="Z121" s="11" t="e">
        <f t="shared" si="104"/>
        <v>#VALUE!</v>
      </c>
      <c r="AA121" s="10" t="e">
        <f t="shared" si="87"/>
        <v>#VALUE!</v>
      </c>
      <c r="AB121" s="10" t="e">
        <f t="shared" si="105"/>
        <v>#VALUE!</v>
      </c>
      <c r="AC121" s="10" t="e">
        <f t="shared" si="106"/>
        <v>#VALUE!</v>
      </c>
      <c r="AD121" s="10" t="e">
        <f t="shared" si="138"/>
        <v>#VALUE!</v>
      </c>
      <c r="AE121" s="10" t="e">
        <f t="shared" si="139"/>
        <v>#VALUE!</v>
      </c>
      <c r="AF121" s="10" t="e">
        <f t="shared" si="88"/>
        <v>#VALUE!</v>
      </c>
      <c r="AG121" s="10" t="e">
        <f t="shared" si="107"/>
        <v>#VALUE!</v>
      </c>
      <c r="AI121" s="13"/>
      <c r="AK121" s="10" t="e">
        <f t="shared" si="108"/>
        <v>#VALUE!</v>
      </c>
      <c r="AL121" s="10" t="e">
        <f t="shared" si="140"/>
        <v>#VALUE!</v>
      </c>
      <c r="AM121" s="10" t="e">
        <f t="shared" si="89"/>
        <v>#VALUE!</v>
      </c>
      <c r="AN121" s="10" t="e">
        <f t="shared" si="109"/>
        <v>#VALUE!</v>
      </c>
      <c r="AO121" s="10" t="e">
        <f t="shared" si="110"/>
        <v>#VALUE!</v>
      </c>
      <c r="AP121" s="10" t="e">
        <f t="shared" si="111"/>
        <v>#VALUE!</v>
      </c>
      <c r="AQ121" s="10" t="e">
        <f t="shared" si="141"/>
        <v>#VALUE!</v>
      </c>
      <c r="AR121" s="10" t="e">
        <f t="shared" si="90"/>
        <v>#VALUE!</v>
      </c>
      <c r="AS121" s="10" t="e">
        <f t="shared" si="142"/>
        <v>#VALUE!</v>
      </c>
      <c r="AU121" s="10" t="e">
        <f t="shared" si="112"/>
        <v>#VALUE!</v>
      </c>
      <c r="AV121" s="10" t="e">
        <f t="shared" si="143"/>
        <v>#VALUE!</v>
      </c>
      <c r="AW121" s="10" t="e">
        <f t="shared" si="91"/>
        <v>#VALUE!</v>
      </c>
      <c r="AX121" s="10" t="e">
        <f t="shared" si="113"/>
        <v>#VALUE!</v>
      </c>
      <c r="AY121" s="10" t="e">
        <f t="shared" si="114"/>
        <v>#VALUE!</v>
      </c>
      <c r="AZ121" s="10" t="e">
        <f t="shared" si="115"/>
        <v>#VALUE!</v>
      </c>
      <c r="BA121" s="10" t="e">
        <f t="shared" si="144"/>
        <v>#VALUE!</v>
      </c>
      <c r="BB121" s="10" t="e">
        <f t="shared" si="92"/>
        <v>#VALUE!</v>
      </c>
      <c r="BC121" s="10" t="e">
        <f t="shared" si="145"/>
        <v>#VALUE!</v>
      </c>
      <c r="BE121" s="10" t="e">
        <f t="shared" si="116"/>
        <v>#VALUE!</v>
      </c>
      <c r="BF121" s="10" t="e">
        <f t="shared" si="146"/>
        <v>#VALUE!</v>
      </c>
      <c r="BG121" s="10" t="e">
        <f t="shared" si="93"/>
        <v>#VALUE!</v>
      </c>
      <c r="BH121" s="10" t="e">
        <f t="shared" si="117"/>
        <v>#VALUE!</v>
      </c>
      <c r="BI121" s="10" t="e">
        <f t="shared" si="118"/>
        <v>#VALUE!</v>
      </c>
      <c r="BJ121" s="10" t="e">
        <f t="shared" si="119"/>
        <v>#VALUE!</v>
      </c>
      <c r="BK121" s="10" t="e">
        <f t="shared" si="147"/>
        <v>#VALUE!</v>
      </c>
      <c r="BL121" s="10" t="e">
        <f t="shared" si="94"/>
        <v>#VALUE!</v>
      </c>
      <c r="BM121" s="10" t="e">
        <f t="shared" si="148"/>
        <v>#VALUE!</v>
      </c>
      <c r="BP121" s="10" t="e">
        <f t="shared" si="120"/>
        <v>#VALUE!</v>
      </c>
      <c r="BQ121" s="10" t="e">
        <f t="shared" si="121"/>
        <v>#VALUE!</v>
      </c>
      <c r="BR121" s="10" t="e">
        <f t="shared" si="122"/>
        <v>#VALUE!</v>
      </c>
      <c r="BS121" s="10" t="e">
        <f t="shared" si="123"/>
        <v>#VALUE!</v>
      </c>
      <c r="BT121" s="10" t="e">
        <f t="shared" si="124"/>
        <v>#VALUE!</v>
      </c>
      <c r="BU121" s="10" t="e">
        <f t="shared" si="125"/>
        <v>#VALUE!</v>
      </c>
      <c r="BW121" s="10" t="e">
        <f t="shared" si="126"/>
        <v>#VALUE!</v>
      </c>
      <c r="BX121" s="10" t="e">
        <f t="shared" si="127"/>
        <v>#VALUE!</v>
      </c>
      <c r="BY121" s="10" t="e">
        <f t="shared" si="128"/>
        <v>#VALUE!</v>
      </c>
      <c r="BZ121" s="10" t="e">
        <f t="shared" si="129"/>
        <v>#VALUE!</v>
      </c>
      <c r="CA121" s="10" t="e">
        <f t="shared" si="130"/>
        <v>#VALUE!</v>
      </c>
      <c r="CB121" s="10" t="e">
        <f t="shared" si="131"/>
        <v>#VALUE!</v>
      </c>
      <c r="CD121" s="10" t="e">
        <f>MATCH(INDEX($BP$12:$BU$12,1,MATCH(BP121,$BP$15:$BU$15,0)),结果汇总!$AI$10:$AI$13,0)</f>
        <v>#VALUE!</v>
      </c>
      <c r="CE121" s="10" t="e">
        <f>MATCH(INDEX($BP$12:$BU$12,1,MATCH(BQ121,$BP$15:$BU$15,0)),结果汇总!$AI$10:$AI$13,0)</f>
        <v>#VALUE!</v>
      </c>
      <c r="CF121" s="10" t="e">
        <f>MATCH(INDEX($BP$12:$BU$12,1,MATCH(BR121,$BP$15:$BU$15,0)),结果汇总!$AI$10:$AI$13,0)</f>
        <v>#VALUE!</v>
      </c>
      <c r="CG121" s="10" t="e">
        <f>MATCH(INDEX($BP$12:$BU$12,1,MATCH(BS121,$BP$15:$BU$15,0)),结果汇总!$AI$10:$AI$13,0)</f>
        <v>#VALUE!</v>
      </c>
      <c r="CH121" s="10" t="e">
        <f>MATCH(INDEX($BP$12:$BU$12,1,MATCH(BT121,$BP$15:$BU$15,0)),结果汇总!$AI$10:$AI$13,0)</f>
        <v>#VALUE!</v>
      </c>
      <c r="CI121" s="10" t="e">
        <f>MATCH(INDEX($BP$12:$BU$12,1,MATCH(BU121,$BP$15:$BU$15,0)),结果汇总!$AI$10:$AI$13,0)</f>
        <v>#VALUE!</v>
      </c>
      <c r="CK121" s="10">
        <f t="shared" si="149"/>
        <v>0</v>
      </c>
      <c r="CL121" s="10">
        <f t="shared" si="149"/>
        <v>0</v>
      </c>
      <c r="CM121" s="10">
        <f t="shared" si="149"/>
        <v>0</v>
      </c>
      <c r="CN121" s="10">
        <f t="shared" si="149"/>
        <v>0</v>
      </c>
      <c r="CO121" s="10" t="e">
        <f t="shared" si="150"/>
        <v>#DIV/0!</v>
      </c>
      <c r="CP121" s="10" t="e">
        <f t="shared" si="150"/>
        <v>#DIV/0!</v>
      </c>
      <c r="CQ121" s="10" t="e">
        <f t="shared" si="150"/>
        <v>#DIV/0!</v>
      </c>
      <c r="CR121" s="10" t="e">
        <f t="shared" si="150"/>
        <v>#DIV/0!</v>
      </c>
      <c r="CS121" s="10">
        <f t="shared" si="151"/>
        <v>0</v>
      </c>
      <c r="CT121" s="10">
        <f t="shared" si="151"/>
        <v>0</v>
      </c>
      <c r="CU121" s="10">
        <f t="shared" si="151"/>
        <v>0</v>
      </c>
      <c r="CV121" s="10">
        <f t="shared" si="151"/>
        <v>0</v>
      </c>
      <c r="CW121" s="10" t="e">
        <f t="shared" si="152"/>
        <v>#DIV/0!</v>
      </c>
      <c r="CX121" s="10" t="e">
        <f t="shared" si="152"/>
        <v>#DIV/0!</v>
      </c>
      <c r="CY121" s="10" t="e">
        <f t="shared" si="152"/>
        <v>#DIV/0!</v>
      </c>
      <c r="CZ121" s="10" t="e">
        <f t="shared" si="152"/>
        <v>#DIV/0!</v>
      </c>
    </row>
    <row r="122" spans="4:104" x14ac:dyDescent="0.15">
      <c r="D122" s="10">
        <v>107</v>
      </c>
      <c r="E122" s="10" t="e">
        <f t="shared" si="95"/>
        <v>#VALUE!</v>
      </c>
      <c r="F122" s="10" t="e">
        <f t="shared" si="79"/>
        <v>#VALUE!</v>
      </c>
      <c r="G122" s="10" t="e">
        <f t="shared" si="80"/>
        <v>#VALUE!</v>
      </c>
      <c r="H122" s="10" t="e">
        <f t="shared" si="96"/>
        <v>#VALUE!</v>
      </c>
      <c r="I122" s="10" t="e">
        <f t="shared" si="81"/>
        <v>#VALUE!</v>
      </c>
      <c r="J122" s="10" t="e">
        <f t="shared" si="97"/>
        <v>#VALUE!</v>
      </c>
      <c r="K122" s="10" t="e">
        <f t="shared" si="82"/>
        <v>#VALUE!</v>
      </c>
      <c r="L122" s="10" t="e">
        <f t="shared" si="83"/>
        <v>#VALUE!</v>
      </c>
      <c r="M122" s="10" t="e">
        <f t="shared" si="98"/>
        <v>#VALUE!</v>
      </c>
      <c r="O122" s="10" t="e">
        <f t="shared" si="99"/>
        <v>#VALUE!</v>
      </c>
      <c r="P122" s="10" t="e">
        <f t="shared" si="84"/>
        <v>#VALUE!</v>
      </c>
      <c r="Q122" s="10" t="e">
        <f t="shared" si="85"/>
        <v>#VALUE!</v>
      </c>
      <c r="R122" s="10" t="e">
        <f t="shared" si="100"/>
        <v>#VALUE!</v>
      </c>
      <c r="S122" s="10" t="e">
        <f t="shared" si="101"/>
        <v>#VALUE!</v>
      </c>
      <c r="T122" s="10" t="e">
        <f t="shared" si="136"/>
        <v>#VALUE!</v>
      </c>
      <c r="U122" s="10" t="e">
        <f t="shared" si="137"/>
        <v>#VALUE!</v>
      </c>
      <c r="V122" s="10" t="e">
        <f t="shared" si="86"/>
        <v>#VALUE!</v>
      </c>
      <c r="W122" s="10" t="e">
        <f t="shared" si="102"/>
        <v>#VALUE!</v>
      </c>
      <c r="Y122" s="10" t="e">
        <f t="shared" si="103"/>
        <v>#VALUE!</v>
      </c>
      <c r="Z122" s="11" t="e">
        <f t="shared" si="104"/>
        <v>#VALUE!</v>
      </c>
      <c r="AA122" s="10" t="e">
        <f t="shared" si="87"/>
        <v>#VALUE!</v>
      </c>
      <c r="AB122" s="10" t="e">
        <f t="shared" si="105"/>
        <v>#VALUE!</v>
      </c>
      <c r="AC122" s="10" t="e">
        <f t="shared" si="106"/>
        <v>#VALUE!</v>
      </c>
      <c r="AD122" s="10" t="e">
        <f t="shared" si="138"/>
        <v>#VALUE!</v>
      </c>
      <c r="AE122" s="10" t="e">
        <f t="shared" si="139"/>
        <v>#VALUE!</v>
      </c>
      <c r="AF122" s="10" t="e">
        <f t="shared" si="88"/>
        <v>#VALUE!</v>
      </c>
      <c r="AG122" s="10" t="e">
        <f t="shared" si="107"/>
        <v>#VALUE!</v>
      </c>
      <c r="AI122" s="13"/>
      <c r="AK122" s="10" t="e">
        <f t="shared" si="108"/>
        <v>#VALUE!</v>
      </c>
      <c r="AL122" s="10" t="e">
        <f t="shared" si="140"/>
        <v>#VALUE!</v>
      </c>
      <c r="AM122" s="10" t="e">
        <f t="shared" si="89"/>
        <v>#VALUE!</v>
      </c>
      <c r="AN122" s="10" t="e">
        <f t="shared" si="109"/>
        <v>#VALUE!</v>
      </c>
      <c r="AO122" s="10" t="e">
        <f t="shared" si="110"/>
        <v>#VALUE!</v>
      </c>
      <c r="AP122" s="10" t="e">
        <f t="shared" si="111"/>
        <v>#VALUE!</v>
      </c>
      <c r="AQ122" s="10" t="e">
        <f t="shared" si="141"/>
        <v>#VALUE!</v>
      </c>
      <c r="AR122" s="10" t="e">
        <f t="shared" si="90"/>
        <v>#VALUE!</v>
      </c>
      <c r="AS122" s="10" t="e">
        <f t="shared" si="142"/>
        <v>#VALUE!</v>
      </c>
      <c r="AU122" s="10" t="e">
        <f t="shared" si="112"/>
        <v>#VALUE!</v>
      </c>
      <c r="AV122" s="10" t="e">
        <f t="shared" si="143"/>
        <v>#VALUE!</v>
      </c>
      <c r="AW122" s="10" t="e">
        <f t="shared" si="91"/>
        <v>#VALUE!</v>
      </c>
      <c r="AX122" s="10" t="e">
        <f t="shared" si="113"/>
        <v>#VALUE!</v>
      </c>
      <c r="AY122" s="10" t="e">
        <f t="shared" si="114"/>
        <v>#VALUE!</v>
      </c>
      <c r="AZ122" s="10" t="e">
        <f t="shared" si="115"/>
        <v>#VALUE!</v>
      </c>
      <c r="BA122" s="10" t="e">
        <f t="shared" si="144"/>
        <v>#VALUE!</v>
      </c>
      <c r="BB122" s="10" t="e">
        <f t="shared" si="92"/>
        <v>#VALUE!</v>
      </c>
      <c r="BC122" s="10" t="e">
        <f t="shared" si="145"/>
        <v>#VALUE!</v>
      </c>
      <c r="BE122" s="10" t="e">
        <f t="shared" si="116"/>
        <v>#VALUE!</v>
      </c>
      <c r="BF122" s="10" t="e">
        <f t="shared" si="146"/>
        <v>#VALUE!</v>
      </c>
      <c r="BG122" s="10" t="e">
        <f t="shared" si="93"/>
        <v>#VALUE!</v>
      </c>
      <c r="BH122" s="10" t="e">
        <f t="shared" si="117"/>
        <v>#VALUE!</v>
      </c>
      <c r="BI122" s="10" t="e">
        <f t="shared" si="118"/>
        <v>#VALUE!</v>
      </c>
      <c r="BJ122" s="10" t="e">
        <f t="shared" si="119"/>
        <v>#VALUE!</v>
      </c>
      <c r="BK122" s="10" t="e">
        <f t="shared" si="147"/>
        <v>#VALUE!</v>
      </c>
      <c r="BL122" s="10" t="e">
        <f t="shared" si="94"/>
        <v>#VALUE!</v>
      </c>
      <c r="BM122" s="10" t="e">
        <f t="shared" si="148"/>
        <v>#VALUE!</v>
      </c>
      <c r="BP122" s="10" t="e">
        <f t="shared" si="120"/>
        <v>#VALUE!</v>
      </c>
      <c r="BQ122" s="10" t="e">
        <f t="shared" si="121"/>
        <v>#VALUE!</v>
      </c>
      <c r="BR122" s="10" t="e">
        <f t="shared" si="122"/>
        <v>#VALUE!</v>
      </c>
      <c r="BS122" s="10" t="e">
        <f t="shared" si="123"/>
        <v>#VALUE!</v>
      </c>
      <c r="BT122" s="10" t="e">
        <f t="shared" si="124"/>
        <v>#VALUE!</v>
      </c>
      <c r="BU122" s="10" t="e">
        <f t="shared" si="125"/>
        <v>#VALUE!</v>
      </c>
      <c r="BW122" s="10" t="e">
        <f t="shared" si="126"/>
        <v>#VALUE!</v>
      </c>
      <c r="BX122" s="10" t="e">
        <f t="shared" si="127"/>
        <v>#VALUE!</v>
      </c>
      <c r="BY122" s="10" t="e">
        <f t="shared" si="128"/>
        <v>#VALUE!</v>
      </c>
      <c r="BZ122" s="10" t="e">
        <f t="shared" si="129"/>
        <v>#VALUE!</v>
      </c>
      <c r="CA122" s="10" t="e">
        <f t="shared" si="130"/>
        <v>#VALUE!</v>
      </c>
      <c r="CB122" s="10" t="e">
        <f t="shared" si="131"/>
        <v>#VALUE!</v>
      </c>
      <c r="CD122" s="10" t="e">
        <f>MATCH(INDEX($BP$12:$BU$12,1,MATCH(BP122,$BP$15:$BU$15,0)),结果汇总!$AI$10:$AI$13,0)</f>
        <v>#VALUE!</v>
      </c>
      <c r="CE122" s="10" t="e">
        <f>MATCH(INDEX($BP$12:$BU$12,1,MATCH(BQ122,$BP$15:$BU$15,0)),结果汇总!$AI$10:$AI$13,0)</f>
        <v>#VALUE!</v>
      </c>
      <c r="CF122" s="10" t="e">
        <f>MATCH(INDEX($BP$12:$BU$12,1,MATCH(BR122,$BP$15:$BU$15,0)),结果汇总!$AI$10:$AI$13,0)</f>
        <v>#VALUE!</v>
      </c>
      <c r="CG122" s="10" t="e">
        <f>MATCH(INDEX($BP$12:$BU$12,1,MATCH(BS122,$BP$15:$BU$15,0)),结果汇总!$AI$10:$AI$13,0)</f>
        <v>#VALUE!</v>
      </c>
      <c r="CH122" s="10" t="e">
        <f>MATCH(INDEX($BP$12:$BU$12,1,MATCH(BT122,$BP$15:$BU$15,0)),结果汇总!$AI$10:$AI$13,0)</f>
        <v>#VALUE!</v>
      </c>
      <c r="CI122" s="10" t="e">
        <f>MATCH(INDEX($BP$12:$BU$12,1,MATCH(BU122,$BP$15:$BU$15,0)),结果汇总!$AI$10:$AI$13,0)</f>
        <v>#VALUE!</v>
      </c>
      <c r="CK122" s="10">
        <f t="shared" si="149"/>
        <v>0</v>
      </c>
      <c r="CL122" s="10">
        <f t="shared" si="149"/>
        <v>0</v>
      </c>
      <c r="CM122" s="10">
        <f t="shared" si="149"/>
        <v>0</v>
      </c>
      <c r="CN122" s="10">
        <f t="shared" si="149"/>
        <v>0</v>
      </c>
      <c r="CO122" s="10" t="e">
        <f t="shared" si="150"/>
        <v>#DIV/0!</v>
      </c>
      <c r="CP122" s="10" t="e">
        <f t="shared" si="150"/>
        <v>#DIV/0!</v>
      </c>
      <c r="CQ122" s="10" t="e">
        <f t="shared" si="150"/>
        <v>#DIV/0!</v>
      </c>
      <c r="CR122" s="10" t="e">
        <f t="shared" si="150"/>
        <v>#DIV/0!</v>
      </c>
      <c r="CS122" s="10">
        <f t="shared" si="151"/>
        <v>0</v>
      </c>
      <c r="CT122" s="10">
        <f t="shared" si="151"/>
        <v>0</v>
      </c>
      <c r="CU122" s="10">
        <f t="shared" si="151"/>
        <v>0</v>
      </c>
      <c r="CV122" s="10">
        <f t="shared" si="151"/>
        <v>0</v>
      </c>
      <c r="CW122" s="10" t="e">
        <f t="shared" si="152"/>
        <v>#DIV/0!</v>
      </c>
      <c r="CX122" s="10" t="e">
        <f t="shared" si="152"/>
        <v>#DIV/0!</v>
      </c>
      <c r="CY122" s="10" t="e">
        <f t="shared" si="152"/>
        <v>#DIV/0!</v>
      </c>
      <c r="CZ122" s="10" t="e">
        <f t="shared" si="152"/>
        <v>#DIV/0!</v>
      </c>
    </row>
    <row r="123" spans="4:104" x14ac:dyDescent="0.15">
      <c r="D123" s="10">
        <v>108</v>
      </c>
      <c r="E123" s="10" t="e">
        <f t="shared" si="95"/>
        <v>#VALUE!</v>
      </c>
      <c r="F123" s="10" t="e">
        <f t="shared" si="79"/>
        <v>#VALUE!</v>
      </c>
      <c r="G123" s="10" t="e">
        <f t="shared" si="80"/>
        <v>#VALUE!</v>
      </c>
      <c r="H123" s="10" t="e">
        <f t="shared" si="96"/>
        <v>#VALUE!</v>
      </c>
      <c r="I123" s="10" t="e">
        <f t="shared" si="81"/>
        <v>#VALUE!</v>
      </c>
      <c r="J123" s="10" t="e">
        <f t="shared" si="97"/>
        <v>#VALUE!</v>
      </c>
      <c r="K123" s="10" t="e">
        <f t="shared" si="82"/>
        <v>#VALUE!</v>
      </c>
      <c r="L123" s="10" t="e">
        <f t="shared" si="83"/>
        <v>#VALUE!</v>
      </c>
      <c r="M123" s="10" t="e">
        <f t="shared" si="98"/>
        <v>#VALUE!</v>
      </c>
      <c r="O123" s="10" t="e">
        <f t="shared" si="99"/>
        <v>#VALUE!</v>
      </c>
      <c r="P123" s="10" t="e">
        <f t="shared" si="84"/>
        <v>#VALUE!</v>
      </c>
      <c r="Q123" s="10" t="e">
        <f t="shared" si="85"/>
        <v>#VALUE!</v>
      </c>
      <c r="R123" s="10" t="e">
        <f t="shared" si="100"/>
        <v>#VALUE!</v>
      </c>
      <c r="S123" s="10" t="e">
        <f t="shared" si="101"/>
        <v>#VALUE!</v>
      </c>
      <c r="T123" s="10" t="e">
        <f t="shared" si="136"/>
        <v>#VALUE!</v>
      </c>
      <c r="U123" s="10" t="e">
        <f t="shared" si="137"/>
        <v>#VALUE!</v>
      </c>
      <c r="V123" s="10" t="e">
        <f t="shared" si="86"/>
        <v>#VALUE!</v>
      </c>
      <c r="W123" s="10" t="e">
        <f t="shared" si="102"/>
        <v>#VALUE!</v>
      </c>
      <c r="Y123" s="10" t="e">
        <f t="shared" si="103"/>
        <v>#VALUE!</v>
      </c>
      <c r="Z123" s="11" t="e">
        <f t="shared" si="104"/>
        <v>#VALUE!</v>
      </c>
      <c r="AA123" s="10" t="e">
        <f t="shared" si="87"/>
        <v>#VALUE!</v>
      </c>
      <c r="AB123" s="10" t="e">
        <f t="shared" si="105"/>
        <v>#VALUE!</v>
      </c>
      <c r="AC123" s="10" t="e">
        <f t="shared" si="106"/>
        <v>#VALUE!</v>
      </c>
      <c r="AD123" s="10" t="e">
        <f t="shared" si="138"/>
        <v>#VALUE!</v>
      </c>
      <c r="AE123" s="10" t="e">
        <f t="shared" si="139"/>
        <v>#VALUE!</v>
      </c>
      <c r="AF123" s="10" t="e">
        <f t="shared" si="88"/>
        <v>#VALUE!</v>
      </c>
      <c r="AG123" s="10" t="e">
        <f t="shared" si="107"/>
        <v>#VALUE!</v>
      </c>
      <c r="AI123" s="13"/>
      <c r="AK123" s="10" t="e">
        <f t="shared" si="108"/>
        <v>#VALUE!</v>
      </c>
      <c r="AL123" s="10" t="e">
        <f t="shared" si="140"/>
        <v>#VALUE!</v>
      </c>
      <c r="AM123" s="10" t="e">
        <f t="shared" si="89"/>
        <v>#VALUE!</v>
      </c>
      <c r="AN123" s="10" t="e">
        <f t="shared" si="109"/>
        <v>#VALUE!</v>
      </c>
      <c r="AO123" s="10" t="e">
        <f t="shared" si="110"/>
        <v>#VALUE!</v>
      </c>
      <c r="AP123" s="10" t="e">
        <f t="shared" si="111"/>
        <v>#VALUE!</v>
      </c>
      <c r="AQ123" s="10" t="e">
        <f t="shared" si="141"/>
        <v>#VALUE!</v>
      </c>
      <c r="AR123" s="10" t="e">
        <f t="shared" si="90"/>
        <v>#VALUE!</v>
      </c>
      <c r="AS123" s="10" t="e">
        <f t="shared" si="142"/>
        <v>#VALUE!</v>
      </c>
      <c r="AU123" s="10" t="e">
        <f t="shared" si="112"/>
        <v>#VALUE!</v>
      </c>
      <c r="AV123" s="10" t="e">
        <f t="shared" si="143"/>
        <v>#VALUE!</v>
      </c>
      <c r="AW123" s="10" t="e">
        <f t="shared" si="91"/>
        <v>#VALUE!</v>
      </c>
      <c r="AX123" s="10" t="e">
        <f t="shared" si="113"/>
        <v>#VALUE!</v>
      </c>
      <c r="AY123" s="10" t="e">
        <f t="shared" si="114"/>
        <v>#VALUE!</v>
      </c>
      <c r="AZ123" s="10" t="e">
        <f t="shared" si="115"/>
        <v>#VALUE!</v>
      </c>
      <c r="BA123" s="10" t="e">
        <f t="shared" si="144"/>
        <v>#VALUE!</v>
      </c>
      <c r="BB123" s="10" t="e">
        <f t="shared" si="92"/>
        <v>#VALUE!</v>
      </c>
      <c r="BC123" s="10" t="e">
        <f t="shared" si="145"/>
        <v>#VALUE!</v>
      </c>
      <c r="BE123" s="10" t="e">
        <f t="shared" si="116"/>
        <v>#VALUE!</v>
      </c>
      <c r="BF123" s="10" t="e">
        <f t="shared" si="146"/>
        <v>#VALUE!</v>
      </c>
      <c r="BG123" s="10" t="e">
        <f t="shared" si="93"/>
        <v>#VALUE!</v>
      </c>
      <c r="BH123" s="10" t="e">
        <f t="shared" si="117"/>
        <v>#VALUE!</v>
      </c>
      <c r="BI123" s="10" t="e">
        <f t="shared" si="118"/>
        <v>#VALUE!</v>
      </c>
      <c r="BJ123" s="10" t="e">
        <f t="shared" si="119"/>
        <v>#VALUE!</v>
      </c>
      <c r="BK123" s="10" t="e">
        <f t="shared" si="147"/>
        <v>#VALUE!</v>
      </c>
      <c r="BL123" s="10" t="e">
        <f t="shared" si="94"/>
        <v>#VALUE!</v>
      </c>
      <c r="BM123" s="10" t="e">
        <f t="shared" si="148"/>
        <v>#VALUE!</v>
      </c>
      <c r="BP123" s="10" t="e">
        <f t="shared" si="120"/>
        <v>#VALUE!</v>
      </c>
      <c r="BQ123" s="10" t="e">
        <f t="shared" si="121"/>
        <v>#VALUE!</v>
      </c>
      <c r="BR123" s="10" t="e">
        <f t="shared" si="122"/>
        <v>#VALUE!</v>
      </c>
      <c r="BS123" s="10" t="e">
        <f t="shared" si="123"/>
        <v>#VALUE!</v>
      </c>
      <c r="BT123" s="10" t="e">
        <f t="shared" si="124"/>
        <v>#VALUE!</v>
      </c>
      <c r="BU123" s="10" t="e">
        <f t="shared" si="125"/>
        <v>#VALUE!</v>
      </c>
      <c r="BW123" s="10" t="e">
        <f t="shared" si="126"/>
        <v>#VALUE!</v>
      </c>
      <c r="BX123" s="10" t="e">
        <f t="shared" si="127"/>
        <v>#VALUE!</v>
      </c>
      <c r="BY123" s="10" t="e">
        <f t="shared" si="128"/>
        <v>#VALUE!</v>
      </c>
      <c r="BZ123" s="10" t="e">
        <f t="shared" si="129"/>
        <v>#VALUE!</v>
      </c>
      <c r="CA123" s="10" t="e">
        <f t="shared" si="130"/>
        <v>#VALUE!</v>
      </c>
      <c r="CB123" s="10" t="e">
        <f t="shared" si="131"/>
        <v>#VALUE!</v>
      </c>
      <c r="CD123" s="10" t="e">
        <f>MATCH(INDEX($BP$12:$BU$12,1,MATCH(BP123,$BP$15:$BU$15,0)),结果汇总!$AI$10:$AI$13,0)</f>
        <v>#VALUE!</v>
      </c>
      <c r="CE123" s="10" t="e">
        <f>MATCH(INDEX($BP$12:$BU$12,1,MATCH(BQ123,$BP$15:$BU$15,0)),结果汇总!$AI$10:$AI$13,0)</f>
        <v>#VALUE!</v>
      </c>
      <c r="CF123" s="10" t="e">
        <f>MATCH(INDEX($BP$12:$BU$12,1,MATCH(BR123,$BP$15:$BU$15,0)),结果汇总!$AI$10:$AI$13,0)</f>
        <v>#VALUE!</v>
      </c>
      <c r="CG123" s="10" t="e">
        <f>MATCH(INDEX($BP$12:$BU$12,1,MATCH(BS123,$BP$15:$BU$15,0)),结果汇总!$AI$10:$AI$13,0)</f>
        <v>#VALUE!</v>
      </c>
      <c r="CH123" s="10" t="e">
        <f>MATCH(INDEX($BP$12:$BU$12,1,MATCH(BT123,$BP$15:$BU$15,0)),结果汇总!$AI$10:$AI$13,0)</f>
        <v>#VALUE!</v>
      </c>
      <c r="CI123" s="10" t="e">
        <f>MATCH(INDEX($BP$12:$BU$12,1,MATCH(BU123,$BP$15:$BU$15,0)),结果汇总!$AI$10:$AI$13,0)</f>
        <v>#VALUE!</v>
      </c>
      <c r="CK123" s="10">
        <f t="shared" si="149"/>
        <v>0</v>
      </c>
      <c r="CL123" s="10">
        <f t="shared" si="149"/>
        <v>0</v>
      </c>
      <c r="CM123" s="10">
        <f t="shared" si="149"/>
        <v>0</v>
      </c>
      <c r="CN123" s="10">
        <f t="shared" si="149"/>
        <v>0</v>
      </c>
      <c r="CO123" s="10" t="e">
        <f t="shared" si="150"/>
        <v>#DIV/0!</v>
      </c>
      <c r="CP123" s="10" t="e">
        <f t="shared" si="150"/>
        <v>#DIV/0!</v>
      </c>
      <c r="CQ123" s="10" t="e">
        <f t="shared" si="150"/>
        <v>#DIV/0!</v>
      </c>
      <c r="CR123" s="10" t="e">
        <f t="shared" si="150"/>
        <v>#DIV/0!</v>
      </c>
      <c r="CS123" s="10">
        <f t="shared" si="151"/>
        <v>0</v>
      </c>
      <c r="CT123" s="10">
        <f t="shared" si="151"/>
        <v>0</v>
      </c>
      <c r="CU123" s="10">
        <f t="shared" si="151"/>
        <v>0</v>
      </c>
      <c r="CV123" s="10">
        <f t="shared" si="151"/>
        <v>0</v>
      </c>
      <c r="CW123" s="10" t="e">
        <f t="shared" si="152"/>
        <v>#DIV/0!</v>
      </c>
      <c r="CX123" s="10" t="e">
        <f t="shared" si="152"/>
        <v>#DIV/0!</v>
      </c>
      <c r="CY123" s="10" t="e">
        <f t="shared" si="152"/>
        <v>#DIV/0!</v>
      </c>
      <c r="CZ123" s="10" t="e">
        <f t="shared" si="152"/>
        <v>#DIV/0!</v>
      </c>
    </row>
    <row r="124" spans="4:104" x14ac:dyDescent="0.15">
      <c r="D124" s="10">
        <v>109</v>
      </c>
      <c r="E124" s="10" t="e">
        <f t="shared" si="95"/>
        <v>#VALUE!</v>
      </c>
      <c r="F124" s="10" t="e">
        <f t="shared" si="79"/>
        <v>#VALUE!</v>
      </c>
      <c r="G124" s="10" t="e">
        <f t="shared" si="80"/>
        <v>#VALUE!</v>
      </c>
      <c r="H124" s="10" t="e">
        <f t="shared" si="96"/>
        <v>#VALUE!</v>
      </c>
      <c r="I124" s="10" t="e">
        <f t="shared" si="81"/>
        <v>#VALUE!</v>
      </c>
      <c r="J124" s="10" t="e">
        <f t="shared" si="97"/>
        <v>#VALUE!</v>
      </c>
      <c r="K124" s="10" t="e">
        <f t="shared" si="82"/>
        <v>#VALUE!</v>
      </c>
      <c r="L124" s="10" t="e">
        <f t="shared" si="83"/>
        <v>#VALUE!</v>
      </c>
      <c r="M124" s="10" t="e">
        <f t="shared" si="98"/>
        <v>#VALUE!</v>
      </c>
      <c r="O124" s="10" t="e">
        <f t="shared" si="99"/>
        <v>#VALUE!</v>
      </c>
      <c r="P124" s="10" t="e">
        <f t="shared" si="84"/>
        <v>#VALUE!</v>
      </c>
      <c r="Q124" s="10" t="e">
        <f t="shared" si="85"/>
        <v>#VALUE!</v>
      </c>
      <c r="R124" s="10" t="e">
        <f t="shared" si="100"/>
        <v>#VALUE!</v>
      </c>
      <c r="S124" s="10" t="e">
        <f t="shared" si="101"/>
        <v>#VALUE!</v>
      </c>
      <c r="T124" s="10" t="e">
        <f t="shared" si="136"/>
        <v>#VALUE!</v>
      </c>
      <c r="U124" s="10" t="e">
        <f t="shared" si="137"/>
        <v>#VALUE!</v>
      </c>
      <c r="V124" s="10" t="e">
        <f t="shared" si="86"/>
        <v>#VALUE!</v>
      </c>
      <c r="W124" s="10" t="e">
        <f t="shared" si="102"/>
        <v>#VALUE!</v>
      </c>
      <c r="Y124" s="10" t="e">
        <f t="shared" si="103"/>
        <v>#VALUE!</v>
      </c>
      <c r="Z124" s="11" t="e">
        <f t="shared" si="104"/>
        <v>#VALUE!</v>
      </c>
      <c r="AA124" s="10" t="e">
        <f t="shared" si="87"/>
        <v>#VALUE!</v>
      </c>
      <c r="AB124" s="10" t="e">
        <f t="shared" si="105"/>
        <v>#VALUE!</v>
      </c>
      <c r="AC124" s="10" t="e">
        <f t="shared" si="106"/>
        <v>#VALUE!</v>
      </c>
      <c r="AD124" s="10" t="e">
        <f t="shared" si="138"/>
        <v>#VALUE!</v>
      </c>
      <c r="AE124" s="10" t="e">
        <f t="shared" si="139"/>
        <v>#VALUE!</v>
      </c>
      <c r="AF124" s="10" t="e">
        <f t="shared" si="88"/>
        <v>#VALUE!</v>
      </c>
      <c r="AG124" s="10" t="e">
        <f t="shared" si="107"/>
        <v>#VALUE!</v>
      </c>
      <c r="AI124" s="13"/>
      <c r="AK124" s="10" t="e">
        <f t="shared" si="108"/>
        <v>#VALUE!</v>
      </c>
      <c r="AL124" s="10" t="e">
        <f t="shared" si="140"/>
        <v>#VALUE!</v>
      </c>
      <c r="AM124" s="10" t="e">
        <f t="shared" si="89"/>
        <v>#VALUE!</v>
      </c>
      <c r="AN124" s="10" t="e">
        <f t="shared" si="109"/>
        <v>#VALUE!</v>
      </c>
      <c r="AO124" s="10" t="e">
        <f t="shared" si="110"/>
        <v>#VALUE!</v>
      </c>
      <c r="AP124" s="10" t="e">
        <f t="shared" si="111"/>
        <v>#VALUE!</v>
      </c>
      <c r="AQ124" s="10" t="e">
        <f t="shared" si="141"/>
        <v>#VALUE!</v>
      </c>
      <c r="AR124" s="10" t="e">
        <f t="shared" si="90"/>
        <v>#VALUE!</v>
      </c>
      <c r="AS124" s="10" t="e">
        <f t="shared" si="142"/>
        <v>#VALUE!</v>
      </c>
      <c r="AU124" s="10" t="e">
        <f t="shared" si="112"/>
        <v>#VALUE!</v>
      </c>
      <c r="AV124" s="10" t="e">
        <f t="shared" si="143"/>
        <v>#VALUE!</v>
      </c>
      <c r="AW124" s="10" t="e">
        <f t="shared" si="91"/>
        <v>#VALUE!</v>
      </c>
      <c r="AX124" s="10" t="e">
        <f t="shared" si="113"/>
        <v>#VALUE!</v>
      </c>
      <c r="AY124" s="10" t="e">
        <f t="shared" si="114"/>
        <v>#VALUE!</v>
      </c>
      <c r="AZ124" s="10" t="e">
        <f t="shared" si="115"/>
        <v>#VALUE!</v>
      </c>
      <c r="BA124" s="10" t="e">
        <f t="shared" si="144"/>
        <v>#VALUE!</v>
      </c>
      <c r="BB124" s="10" t="e">
        <f t="shared" si="92"/>
        <v>#VALUE!</v>
      </c>
      <c r="BC124" s="10" t="e">
        <f t="shared" si="145"/>
        <v>#VALUE!</v>
      </c>
      <c r="BE124" s="10" t="e">
        <f t="shared" si="116"/>
        <v>#VALUE!</v>
      </c>
      <c r="BF124" s="10" t="e">
        <f t="shared" si="146"/>
        <v>#VALUE!</v>
      </c>
      <c r="BG124" s="10" t="e">
        <f t="shared" si="93"/>
        <v>#VALUE!</v>
      </c>
      <c r="BH124" s="10" t="e">
        <f t="shared" si="117"/>
        <v>#VALUE!</v>
      </c>
      <c r="BI124" s="10" t="e">
        <f t="shared" si="118"/>
        <v>#VALUE!</v>
      </c>
      <c r="BJ124" s="10" t="e">
        <f t="shared" si="119"/>
        <v>#VALUE!</v>
      </c>
      <c r="BK124" s="10" t="e">
        <f t="shared" si="147"/>
        <v>#VALUE!</v>
      </c>
      <c r="BL124" s="10" t="e">
        <f t="shared" si="94"/>
        <v>#VALUE!</v>
      </c>
      <c r="BM124" s="10" t="e">
        <f t="shared" si="148"/>
        <v>#VALUE!</v>
      </c>
      <c r="BP124" s="10" t="e">
        <f t="shared" si="120"/>
        <v>#VALUE!</v>
      </c>
      <c r="BQ124" s="10" t="e">
        <f t="shared" si="121"/>
        <v>#VALUE!</v>
      </c>
      <c r="BR124" s="10" t="e">
        <f t="shared" si="122"/>
        <v>#VALUE!</v>
      </c>
      <c r="BS124" s="10" t="e">
        <f t="shared" si="123"/>
        <v>#VALUE!</v>
      </c>
      <c r="BT124" s="10" t="e">
        <f t="shared" si="124"/>
        <v>#VALUE!</v>
      </c>
      <c r="BU124" s="10" t="e">
        <f t="shared" si="125"/>
        <v>#VALUE!</v>
      </c>
      <c r="BW124" s="10" t="e">
        <f t="shared" si="126"/>
        <v>#VALUE!</v>
      </c>
      <c r="BX124" s="10" t="e">
        <f t="shared" si="127"/>
        <v>#VALUE!</v>
      </c>
      <c r="BY124" s="10" t="e">
        <f t="shared" si="128"/>
        <v>#VALUE!</v>
      </c>
      <c r="BZ124" s="10" t="e">
        <f t="shared" si="129"/>
        <v>#VALUE!</v>
      </c>
      <c r="CA124" s="10" t="e">
        <f t="shared" si="130"/>
        <v>#VALUE!</v>
      </c>
      <c r="CB124" s="10" t="e">
        <f t="shared" si="131"/>
        <v>#VALUE!</v>
      </c>
      <c r="CD124" s="10" t="e">
        <f>MATCH(INDEX($BP$12:$BU$12,1,MATCH(BP124,$BP$15:$BU$15,0)),结果汇总!$AI$10:$AI$13,0)</f>
        <v>#VALUE!</v>
      </c>
      <c r="CE124" s="10" t="e">
        <f>MATCH(INDEX($BP$12:$BU$12,1,MATCH(BQ124,$BP$15:$BU$15,0)),结果汇总!$AI$10:$AI$13,0)</f>
        <v>#VALUE!</v>
      </c>
      <c r="CF124" s="10" t="e">
        <f>MATCH(INDEX($BP$12:$BU$12,1,MATCH(BR124,$BP$15:$BU$15,0)),结果汇总!$AI$10:$AI$13,0)</f>
        <v>#VALUE!</v>
      </c>
      <c r="CG124" s="10" t="e">
        <f>MATCH(INDEX($BP$12:$BU$12,1,MATCH(BS124,$BP$15:$BU$15,0)),结果汇总!$AI$10:$AI$13,0)</f>
        <v>#VALUE!</v>
      </c>
      <c r="CH124" s="10" t="e">
        <f>MATCH(INDEX($BP$12:$BU$12,1,MATCH(BT124,$BP$15:$BU$15,0)),结果汇总!$AI$10:$AI$13,0)</f>
        <v>#VALUE!</v>
      </c>
      <c r="CI124" s="10" t="e">
        <f>MATCH(INDEX($BP$12:$BU$12,1,MATCH(BU124,$BP$15:$BU$15,0)),结果汇总!$AI$10:$AI$13,0)</f>
        <v>#VALUE!</v>
      </c>
      <c r="CK124" s="10">
        <f t="shared" si="149"/>
        <v>0</v>
      </c>
      <c r="CL124" s="10">
        <f t="shared" si="149"/>
        <v>0</v>
      </c>
      <c r="CM124" s="10">
        <f t="shared" si="149"/>
        <v>0</v>
      </c>
      <c r="CN124" s="10">
        <f t="shared" si="149"/>
        <v>0</v>
      </c>
      <c r="CO124" s="10" t="e">
        <f t="shared" si="150"/>
        <v>#DIV/0!</v>
      </c>
      <c r="CP124" s="10" t="e">
        <f t="shared" si="150"/>
        <v>#DIV/0!</v>
      </c>
      <c r="CQ124" s="10" t="e">
        <f t="shared" si="150"/>
        <v>#DIV/0!</v>
      </c>
      <c r="CR124" s="10" t="e">
        <f t="shared" si="150"/>
        <v>#DIV/0!</v>
      </c>
      <c r="CS124" s="10">
        <f t="shared" si="151"/>
        <v>0</v>
      </c>
      <c r="CT124" s="10">
        <f t="shared" si="151"/>
        <v>0</v>
      </c>
      <c r="CU124" s="10">
        <f t="shared" si="151"/>
        <v>0</v>
      </c>
      <c r="CV124" s="10">
        <f t="shared" si="151"/>
        <v>0</v>
      </c>
      <c r="CW124" s="10" t="e">
        <f t="shared" si="152"/>
        <v>#DIV/0!</v>
      </c>
      <c r="CX124" s="10" t="e">
        <f t="shared" si="152"/>
        <v>#DIV/0!</v>
      </c>
      <c r="CY124" s="10" t="e">
        <f t="shared" si="152"/>
        <v>#DIV/0!</v>
      </c>
      <c r="CZ124" s="10" t="e">
        <f t="shared" si="152"/>
        <v>#DIV/0!</v>
      </c>
    </row>
    <row r="125" spans="4:104" x14ac:dyDescent="0.15">
      <c r="D125" s="10">
        <v>110</v>
      </c>
      <c r="E125" s="10" t="e">
        <f t="shared" si="95"/>
        <v>#VALUE!</v>
      </c>
      <c r="F125" s="10" t="e">
        <f t="shared" si="79"/>
        <v>#VALUE!</v>
      </c>
      <c r="G125" s="10" t="e">
        <f t="shared" si="80"/>
        <v>#VALUE!</v>
      </c>
      <c r="H125" s="10" t="e">
        <f t="shared" si="96"/>
        <v>#VALUE!</v>
      </c>
      <c r="I125" s="10" t="e">
        <f t="shared" si="81"/>
        <v>#VALUE!</v>
      </c>
      <c r="J125" s="10" t="e">
        <f t="shared" si="97"/>
        <v>#VALUE!</v>
      </c>
      <c r="K125" s="10" t="e">
        <f t="shared" si="82"/>
        <v>#VALUE!</v>
      </c>
      <c r="L125" s="10" t="e">
        <f t="shared" si="83"/>
        <v>#VALUE!</v>
      </c>
      <c r="M125" s="10" t="e">
        <f t="shared" si="98"/>
        <v>#VALUE!</v>
      </c>
      <c r="O125" s="10" t="e">
        <f t="shared" si="99"/>
        <v>#VALUE!</v>
      </c>
      <c r="P125" s="10" t="e">
        <f t="shared" si="84"/>
        <v>#VALUE!</v>
      </c>
      <c r="Q125" s="10" t="e">
        <f t="shared" si="85"/>
        <v>#VALUE!</v>
      </c>
      <c r="R125" s="10" t="e">
        <f t="shared" si="100"/>
        <v>#VALUE!</v>
      </c>
      <c r="S125" s="10" t="e">
        <f t="shared" si="101"/>
        <v>#VALUE!</v>
      </c>
      <c r="T125" s="10" t="e">
        <f t="shared" si="136"/>
        <v>#VALUE!</v>
      </c>
      <c r="U125" s="10" t="e">
        <f t="shared" si="137"/>
        <v>#VALUE!</v>
      </c>
      <c r="V125" s="10" t="e">
        <f t="shared" si="86"/>
        <v>#VALUE!</v>
      </c>
      <c r="W125" s="10" t="e">
        <f t="shared" si="102"/>
        <v>#VALUE!</v>
      </c>
      <c r="Y125" s="10" t="e">
        <f t="shared" si="103"/>
        <v>#VALUE!</v>
      </c>
      <c r="Z125" s="11" t="e">
        <f t="shared" si="104"/>
        <v>#VALUE!</v>
      </c>
      <c r="AA125" s="10" t="e">
        <f t="shared" si="87"/>
        <v>#VALUE!</v>
      </c>
      <c r="AB125" s="10" t="e">
        <f t="shared" si="105"/>
        <v>#VALUE!</v>
      </c>
      <c r="AC125" s="10" t="e">
        <f t="shared" si="106"/>
        <v>#VALUE!</v>
      </c>
      <c r="AD125" s="10" t="e">
        <f t="shared" si="138"/>
        <v>#VALUE!</v>
      </c>
      <c r="AE125" s="10" t="e">
        <f t="shared" si="139"/>
        <v>#VALUE!</v>
      </c>
      <c r="AF125" s="10" t="e">
        <f t="shared" si="88"/>
        <v>#VALUE!</v>
      </c>
      <c r="AG125" s="10" t="e">
        <f t="shared" si="107"/>
        <v>#VALUE!</v>
      </c>
      <c r="AI125" s="13"/>
      <c r="AK125" s="10" t="e">
        <f t="shared" si="108"/>
        <v>#VALUE!</v>
      </c>
      <c r="AL125" s="10" t="e">
        <f t="shared" si="140"/>
        <v>#VALUE!</v>
      </c>
      <c r="AM125" s="10" t="e">
        <f t="shared" si="89"/>
        <v>#VALUE!</v>
      </c>
      <c r="AN125" s="10" t="e">
        <f t="shared" si="109"/>
        <v>#VALUE!</v>
      </c>
      <c r="AO125" s="10" t="e">
        <f t="shared" si="110"/>
        <v>#VALUE!</v>
      </c>
      <c r="AP125" s="10" t="e">
        <f t="shared" si="111"/>
        <v>#VALUE!</v>
      </c>
      <c r="AQ125" s="10" t="e">
        <f t="shared" si="141"/>
        <v>#VALUE!</v>
      </c>
      <c r="AR125" s="10" t="e">
        <f t="shared" si="90"/>
        <v>#VALUE!</v>
      </c>
      <c r="AS125" s="10" t="e">
        <f t="shared" si="142"/>
        <v>#VALUE!</v>
      </c>
      <c r="AU125" s="10" t="e">
        <f t="shared" si="112"/>
        <v>#VALUE!</v>
      </c>
      <c r="AV125" s="10" t="e">
        <f t="shared" si="143"/>
        <v>#VALUE!</v>
      </c>
      <c r="AW125" s="10" t="e">
        <f t="shared" si="91"/>
        <v>#VALUE!</v>
      </c>
      <c r="AX125" s="10" t="e">
        <f t="shared" si="113"/>
        <v>#VALUE!</v>
      </c>
      <c r="AY125" s="10" t="e">
        <f t="shared" si="114"/>
        <v>#VALUE!</v>
      </c>
      <c r="AZ125" s="10" t="e">
        <f t="shared" si="115"/>
        <v>#VALUE!</v>
      </c>
      <c r="BA125" s="10" t="e">
        <f t="shared" si="144"/>
        <v>#VALUE!</v>
      </c>
      <c r="BB125" s="10" t="e">
        <f t="shared" si="92"/>
        <v>#VALUE!</v>
      </c>
      <c r="BC125" s="10" t="e">
        <f t="shared" si="145"/>
        <v>#VALUE!</v>
      </c>
      <c r="BE125" s="10" t="e">
        <f t="shared" si="116"/>
        <v>#VALUE!</v>
      </c>
      <c r="BF125" s="10" t="e">
        <f t="shared" si="146"/>
        <v>#VALUE!</v>
      </c>
      <c r="BG125" s="10" t="e">
        <f t="shared" si="93"/>
        <v>#VALUE!</v>
      </c>
      <c r="BH125" s="10" t="e">
        <f t="shared" si="117"/>
        <v>#VALUE!</v>
      </c>
      <c r="BI125" s="10" t="e">
        <f t="shared" si="118"/>
        <v>#VALUE!</v>
      </c>
      <c r="BJ125" s="10" t="e">
        <f t="shared" si="119"/>
        <v>#VALUE!</v>
      </c>
      <c r="BK125" s="10" t="e">
        <f t="shared" si="147"/>
        <v>#VALUE!</v>
      </c>
      <c r="BL125" s="10" t="e">
        <f t="shared" si="94"/>
        <v>#VALUE!</v>
      </c>
      <c r="BM125" s="10" t="e">
        <f t="shared" si="148"/>
        <v>#VALUE!</v>
      </c>
      <c r="BP125" s="10" t="e">
        <f t="shared" si="120"/>
        <v>#VALUE!</v>
      </c>
      <c r="BQ125" s="10" t="e">
        <f t="shared" si="121"/>
        <v>#VALUE!</v>
      </c>
      <c r="BR125" s="10" t="e">
        <f t="shared" si="122"/>
        <v>#VALUE!</v>
      </c>
      <c r="BS125" s="10" t="e">
        <f t="shared" si="123"/>
        <v>#VALUE!</v>
      </c>
      <c r="BT125" s="10" t="e">
        <f t="shared" si="124"/>
        <v>#VALUE!</v>
      </c>
      <c r="BU125" s="10" t="e">
        <f t="shared" si="125"/>
        <v>#VALUE!</v>
      </c>
      <c r="BW125" s="10" t="e">
        <f t="shared" si="126"/>
        <v>#VALUE!</v>
      </c>
      <c r="BX125" s="10" t="e">
        <f t="shared" si="127"/>
        <v>#VALUE!</v>
      </c>
      <c r="BY125" s="10" t="e">
        <f t="shared" si="128"/>
        <v>#VALUE!</v>
      </c>
      <c r="BZ125" s="10" t="e">
        <f t="shared" si="129"/>
        <v>#VALUE!</v>
      </c>
      <c r="CA125" s="10" t="e">
        <f t="shared" si="130"/>
        <v>#VALUE!</v>
      </c>
      <c r="CB125" s="10" t="e">
        <f t="shared" si="131"/>
        <v>#VALUE!</v>
      </c>
      <c r="CD125" s="10" t="e">
        <f>MATCH(INDEX($BP$12:$BU$12,1,MATCH(BP125,$BP$15:$BU$15,0)),结果汇总!$AI$10:$AI$13,0)</f>
        <v>#VALUE!</v>
      </c>
      <c r="CE125" s="10" t="e">
        <f>MATCH(INDEX($BP$12:$BU$12,1,MATCH(BQ125,$BP$15:$BU$15,0)),结果汇总!$AI$10:$AI$13,0)</f>
        <v>#VALUE!</v>
      </c>
      <c r="CF125" s="10" t="e">
        <f>MATCH(INDEX($BP$12:$BU$12,1,MATCH(BR125,$BP$15:$BU$15,0)),结果汇总!$AI$10:$AI$13,0)</f>
        <v>#VALUE!</v>
      </c>
      <c r="CG125" s="10" t="e">
        <f>MATCH(INDEX($BP$12:$BU$12,1,MATCH(BS125,$BP$15:$BU$15,0)),结果汇总!$AI$10:$AI$13,0)</f>
        <v>#VALUE!</v>
      </c>
      <c r="CH125" s="10" t="e">
        <f>MATCH(INDEX($BP$12:$BU$12,1,MATCH(BT125,$BP$15:$BU$15,0)),结果汇总!$AI$10:$AI$13,0)</f>
        <v>#VALUE!</v>
      </c>
      <c r="CI125" s="10" t="e">
        <f>MATCH(INDEX($BP$12:$BU$12,1,MATCH(BU125,$BP$15:$BU$15,0)),结果汇总!$AI$10:$AI$13,0)</f>
        <v>#VALUE!</v>
      </c>
      <c r="CK125" s="10">
        <f t="shared" si="149"/>
        <v>0</v>
      </c>
      <c r="CL125" s="10">
        <f t="shared" si="149"/>
        <v>0</v>
      </c>
      <c r="CM125" s="10">
        <f t="shared" si="149"/>
        <v>0</v>
      </c>
      <c r="CN125" s="10">
        <f t="shared" si="149"/>
        <v>0</v>
      </c>
      <c r="CO125" s="10" t="e">
        <f t="shared" si="150"/>
        <v>#DIV/0!</v>
      </c>
      <c r="CP125" s="10" t="e">
        <f t="shared" si="150"/>
        <v>#DIV/0!</v>
      </c>
      <c r="CQ125" s="10" t="e">
        <f t="shared" si="150"/>
        <v>#DIV/0!</v>
      </c>
      <c r="CR125" s="10" t="e">
        <f t="shared" si="150"/>
        <v>#DIV/0!</v>
      </c>
      <c r="CS125" s="10">
        <f t="shared" si="151"/>
        <v>0</v>
      </c>
      <c r="CT125" s="10">
        <f t="shared" si="151"/>
        <v>0</v>
      </c>
      <c r="CU125" s="10">
        <f t="shared" si="151"/>
        <v>0</v>
      </c>
      <c r="CV125" s="10">
        <f t="shared" si="151"/>
        <v>0</v>
      </c>
      <c r="CW125" s="10" t="e">
        <f t="shared" si="152"/>
        <v>#DIV/0!</v>
      </c>
      <c r="CX125" s="10" t="e">
        <f t="shared" si="152"/>
        <v>#DIV/0!</v>
      </c>
      <c r="CY125" s="10" t="e">
        <f t="shared" si="152"/>
        <v>#DIV/0!</v>
      </c>
      <c r="CZ125" s="10" t="e">
        <f t="shared" si="152"/>
        <v>#DIV/0!</v>
      </c>
    </row>
    <row r="126" spans="4:104" x14ac:dyDescent="0.15">
      <c r="D126" s="10">
        <v>111</v>
      </c>
      <c r="E126" s="10" t="e">
        <f t="shared" si="95"/>
        <v>#VALUE!</v>
      </c>
      <c r="F126" s="10" t="e">
        <f t="shared" si="79"/>
        <v>#VALUE!</v>
      </c>
      <c r="G126" s="10" t="e">
        <f t="shared" si="80"/>
        <v>#VALUE!</v>
      </c>
      <c r="H126" s="10" t="e">
        <f t="shared" si="96"/>
        <v>#VALUE!</v>
      </c>
      <c r="I126" s="10" t="e">
        <f t="shared" si="81"/>
        <v>#VALUE!</v>
      </c>
      <c r="J126" s="10" t="e">
        <f t="shared" si="97"/>
        <v>#VALUE!</v>
      </c>
      <c r="K126" s="10" t="e">
        <f t="shared" si="82"/>
        <v>#VALUE!</v>
      </c>
      <c r="L126" s="10" t="e">
        <f t="shared" si="83"/>
        <v>#VALUE!</v>
      </c>
      <c r="M126" s="10" t="e">
        <f t="shared" si="98"/>
        <v>#VALUE!</v>
      </c>
      <c r="O126" s="10" t="e">
        <f t="shared" si="99"/>
        <v>#VALUE!</v>
      </c>
      <c r="P126" s="10" t="e">
        <f t="shared" si="84"/>
        <v>#VALUE!</v>
      </c>
      <c r="Q126" s="10" t="e">
        <f t="shared" si="85"/>
        <v>#VALUE!</v>
      </c>
      <c r="R126" s="10" t="e">
        <f t="shared" si="100"/>
        <v>#VALUE!</v>
      </c>
      <c r="S126" s="10" t="e">
        <f t="shared" si="101"/>
        <v>#VALUE!</v>
      </c>
      <c r="T126" s="10" t="e">
        <f t="shared" si="136"/>
        <v>#VALUE!</v>
      </c>
      <c r="U126" s="10" t="e">
        <f t="shared" si="137"/>
        <v>#VALUE!</v>
      </c>
      <c r="V126" s="10" t="e">
        <f t="shared" si="86"/>
        <v>#VALUE!</v>
      </c>
      <c r="W126" s="10" t="e">
        <f t="shared" si="102"/>
        <v>#VALUE!</v>
      </c>
      <c r="Y126" s="10" t="e">
        <f t="shared" si="103"/>
        <v>#VALUE!</v>
      </c>
      <c r="Z126" s="11" t="e">
        <f t="shared" si="104"/>
        <v>#VALUE!</v>
      </c>
      <c r="AA126" s="10" t="e">
        <f t="shared" si="87"/>
        <v>#VALUE!</v>
      </c>
      <c r="AB126" s="10" t="e">
        <f t="shared" si="105"/>
        <v>#VALUE!</v>
      </c>
      <c r="AC126" s="10" t="e">
        <f t="shared" si="106"/>
        <v>#VALUE!</v>
      </c>
      <c r="AD126" s="10" t="e">
        <f t="shared" si="138"/>
        <v>#VALUE!</v>
      </c>
      <c r="AE126" s="10" t="e">
        <f t="shared" si="139"/>
        <v>#VALUE!</v>
      </c>
      <c r="AF126" s="10" t="e">
        <f t="shared" si="88"/>
        <v>#VALUE!</v>
      </c>
      <c r="AG126" s="10" t="e">
        <f t="shared" si="107"/>
        <v>#VALUE!</v>
      </c>
      <c r="AI126" s="13"/>
      <c r="AK126" s="10" t="e">
        <f t="shared" si="108"/>
        <v>#VALUE!</v>
      </c>
      <c r="AL126" s="10" t="e">
        <f t="shared" si="140"/>
        <v>#VALUE!</v>
      </c>
      <c r="AM126" s="10" t="e">
        <f t="shared" si="89"/>
        <v>#VALUE!</v>
      </c>
      <c r="AN126" s="10" t="e">
        <f t="shared" si="109"/>
        <v>#VALUE!</v>
      </c>
      <c r="AO126" s="10" t="e">
        <f t="shared" si="110"/>
        <v>#VALUE!</v>
      </c>
      <c r="AP126" s="10" t="e">
        <f t="shared" si="111"/>
        <v>#VALUE!</v>
      </c>
      <c r="AQ126" s="10" t="e">
        <f t="shared" si="141"/>
        <v>#VALUE!</v>
      </c>
      <c r="AR126" s="10" t="e">
        <f t="shared" si="90"/>
        <v>#VALUE!</v>
      </c>
      <c r="AS126" s="10" t="e">
        <f t="shared" si="142"/>
        <v>#VALUE!</v>
      </c>
      <c r="AU126" s="10" t="e">
        <f t="shared" si="112"/>
        <v>#VALUE!</v>
      </c>
      <c r="AV126" s="10" t="e">
        <f t="shared" si="143"/>
        <v>#VALUE!</v>
      </c>
      <c r="AW126" s="10" t="e">
        <f t="shared" si="91"/>
        <v>#VALUE!</v>
      </c>
      <c r="AX126" s="10" t="e">
        <f t="shared" si="113"/>
        <v>#VALUE!</v>
      </c>
      <c r="AY126" s="10" t="e">
        <f t="shared" si="114"/>
        <v>#VALUE!</v>
      </c>
      <c r="AZ126" s="10" t="e">
        <f t="shared" si="115"/>
        <v>#VALUE!</v>
      </c>
      <c r="BA126" s="10" t="e">
        <f t="shared" si="144"/>
        <v>#VALUE!</v>
      </c>
      <c r="BB126" s="10" t="e">
        <f t="shared" si="92"/>
        <v>#VALUE!</v>
      </c>
      <c r="BC126" s="10" t="e">
        <f t="shared" si="145"/>
        <v>#VALUE!</v>
      </c>
      <c r="BE126" s="10" t="e">
        <f t="shared" si="116"/>
        <v>#VALUE!</v>
      </c>
      <c r="BF126" s="10" t="e">
        <f t="shared" si="146"/>
        <v>#VALUE!</v>
      </c>
      <c r="BG126" s="10" t="e">
        <f t="shared" si="93"/>
        <v>#VALUE!</v>
      </c>
      <c r="BH126" s="10" t="e">
        <f t="shared" si="117"/>
        <v>#VALUE!</v>
      </c>
      <c r="BI126" s="10" t="e">
        <f t="shared" si="118"/>
        <v>#VALUE!</v>
      </c>
      <c r="BJ126" s="10" t="e">
        <f t="shared" si="119"/>
        <v>#VALUE!</v>
      </c>
      <c r="BK126" s="10" t="e">
        <f t="shared" si="147"/>
        <v>#VALUE!</v>
      </c>
      <c r="BL126" s="10" t="e">
        <f t="shared" si="94"/>
        <v>#VALUE!</v>
      </c>
      <c r="BM126" s="10" t="e">
        <f t="shared" si="148"/>
        <v>#VALUE!</v>
      </c>
      <c r="BP126" s="10" t="e">
        <f t="shared" si="120"/>
        <v>#VALUE!</v>
      </c>
      <c r="BQ126" s="10" t="e">
        <f t="shared" si="121"/>
        <v>#VALUE!</v>
      </c>
      <c r="BR126" s="10" t="e">
        <f t="shared" si="122"/>
        <v>#VALUE!</v>
      </c>
      <c r="BS126" s="10" t="e">
        <f t="shared" si="123"/>
        <v>#VALUE!</v>
      </c>
      <c r="BT126" s="10" t="e">
        <f t="shared" si="124"/>
        <v>#VALUE!</v>
      </c>
      <c r="BU126" s="10" t="e">
        <f t="shared" si="125"/>
        <v>#VALUE!</v>
      </c>
      <c r="BW126" s="10" t="e">
        <f t="shared" si="126"/>
        <v>#VALUE!</v>
      </c>
      <c r="BX126" s="10" t="e">
        <f t="shared" si="127"/>
        <v>#VALUE!</v>
      </c>
      <c r="BY126" s="10" t="e">
        <f t="shared" si="128"/>
        <v>#VALUE!</v>
      </c>
      <c r="BZ126" s="10" t="e">
        <f t="shared" si="129"/>
        <v>#VALUE!</v>
      </c>
      <c r="CA126" s="10" t="e">
        <f t="shared" si="130"/>
        <v>#VALUE!</v>
      </c>
      <c r="CB126" s="10" t="e">
        <f t="shared" si="131"/>
        <v>#VALUE!</v>
      </c>
      <c r="CD126" s="10" t="e">
        <f>MATCH(INDEX($BP$12:$BU$12,1,MATCH(BP126,$BP$15:$BU$15,0)),结果汇总!$AI$10:$AI$13,0)</f>
        <v>#VALUE!</v>
      </c>
      <c r="CE126" s="10" t="e">
        <f>MATCH(INDEX($BP$12:$BU$12,1,MATCH(BQ126,$BP$15:$BU$15,0)),结果汇总!$AI$10:$AI$13,0)</f>
        <v>#VALUE!</v>
      </c>
      <c r="CF126" s="10" t="e">
        <f>MATCH(INDEX($BP$12:$BU$12,1,MATCH(BR126,$BP$15:$BU$15,0)),结果汇总!$AI$10:$AI$13,0)</f>
        <v>#VALUE!</v>
      </c>
      <c r="CG126" s="10" t="e">
        <f>MATCH(INDEX($BP$12:$BU$12,1,MATCH(BS126,$BP$15:$BU$15,0)),结果汇总!$AI$10:$AI$13,0)</f>
        <v>#VALUE!</v>
      </c>
      <c r="CH126" s="10" t="e">
        <f>MATCH(INDEX($BP$12:$BU$12,1,MATCH(BT126,$BP$15:$BU$15,0)),结果汇总!$AI$10:$AI$13,0)</f>
        <v>#VALUE!</v>
      </c>
      <c r="CI126" s="10" t="e">
        <f>MATCH(INDEX($BP$12:$BU$12,1,MATCH(BU126,$BP$15:$BU$15,0)),结果汇总!$AI$10:$AI$13,0)</f>
        <v>#VALUE!</v>
      </c>
      <c r="CK126" s="10">
        <f t="shared" si="149"/>
        <v>0</v>
      </c>
      <c r="CL126" s="10">
        <f t="shared" si="149"/>
        <v>0</v>
      </c>
      <c r="CM126" s="10">
        <f t="shared" si="149"/>
        <v>0</v>
      </c>
      <c r="CN126" s="10">
        <f t="shared" si="149"/>
        <v>0</v>
      </c>
      <c r="CO126" s="10" t="e">
        <f t="shared" si="150"/>
        <v>#DIV/0!</v>
      </c>
      <c r="CP126" s="10" t="e">
        <f t="shared" si="150"/>
        <v>#DIV/0!</v>
      </c>
      <c r="CQ126" s="10" t="e">
        <f t="shared" si="150"/>
        <v>#DIV/0!</v>
      </c>
      <c r="CR126" s="10" t="e">
        <f t="shared" si="150"/>
        <v>#DIV/0!</v>
      </c>
      <c r="CS126" s="10">
        <f t="shared" si="151"/>
        <v>0</v>
      </c>
      <c r="CT126" s="10">
        <f t="shared" si="151"/>
        <v>0</v>
      </c>
      <c r="CU126" s="10">
        <f t="shared" si="151"/>
        <v>0</v>
      </c>
      <c r="CV126" s="10">
        <f t="shared" si="151"/>
        <v>0</v>
      </c>
      <c r="CW126" s="10" t="e">
        <f t="shared" si="152"/>
        <v>#DIV/0!</v>
      </c>
      <c r="CX126" s="10" t="e">
        <f t="shared" si="152"/>
        <v>#DIV/0!</v>
      </c>
      <c r="CY126" s="10" t="e">
        <f t="shared" si="152"/>
        <v>#DIV/0!</v>
      </c>
      <c r="CZ126" s="10" t="e">
        <f t="shared" si="152"/>
        <v>#DIV/0!</v>
      </c>
    </row>
    <row r="127" spans="4:104" x14ac:dyDescent="0.15">
      <c r="D127" s="10">
        <v>112</v>
      </c>
      <c r="E127" s="10" t="e">
        <f t="shared" si="95"/>
        <v>#VALUE!</v>
      </c>
      <c r="F127" s="10" t="e">
        <f t="shared" si="79"/>
        <v>#VALUE!</v>
      </c>
      <c r="G127" s="10" t="e">
        <f t="shared" si="80"/>
        <v>#VALUE!</v>
      </c>
      <c r="H127" s="10" t="e">
        <f t="shared" si="96"/>
        <v>#VALUE!</v>
      </c>
      <c r="I127" s="10" t="e">
        <f t="shared" si="81"/>
        <v>#VALUE!</v>
      </c>
      <c r="J127" s="10" t="e">
        <f t="shared" si="97"/>
        <v>#VALUE!</v>
      </c>
      <c r="K127" s="10" t="e">
        <f t="shared" si="82"/>
        <v>#VALUE!</v>
      </c>
      <c r="L127" s="10" t="e">
        <f t="shared" si="83"/>
        <v>#VALUE!</v>
      </c>
      <c r="M127" s="10" t="e">
        <f t="shared" si="98"/>
        <v>#VALUE!</v>
      </c>
      <c r="O127" s="10" t="e">
        <f t="shared" si="99"/>
        <v>#VALUE!</v>
      </c>
      <c r="P127" s="10" t="e">
        <f t="shared" si="84"/>
        <v>#VALUE!</v>
      </c>
      <c r="Q127" s="10" t="e">
        <f t="shared" si="85"/>
        <v>#VALUE!</v>
      </c>
      <c r="R127" s="10" t="e">
        <f t="shared" si="100"/>
        <v>#VALUE!</v>
      </c>
      <c r="S127" s="10" t="e">
        <f t="shared" si="101"/>
        <v>#VALUE!</v>
      </c>
      <c r="T127" s="10" t="e">
        <f t="shared" si="136"/>
        <v>#VALUE!</v>
      </c>
      <c r="U127" s="10" t="e">
        <f t="shared" si="137"/>
        <v>#VALUE!</v>
      </c>
      <c r="V127" s="10" t="e">
        <f t="shared" si="86"/>
        <v>#VALUE!</v>
      </c>
      <c r="W127" s="10" t="e">
        <f t="shared" si="102"/>
        <v>#VALUE!</v>
      </c>
      <c r="Y127" s="10" t="e">
        <f t="shared" si="103"/>
        <v>#VALUE!</v>
      </c>
      <c r="Z127" s="11" t="e">
        <f t="shared" si="104"/>
        <v>#VALUE!</v>
      </c>
      <c r="AA127" s="10" t="e">
        <f t="shared" si="87"/>
        <v>#VALUE!</v>
      </c>
      <c r="AB127" s="10" t="e">
        <f t="shared" si="105"/>
        <v>#VALUE!</v>
      </c>
      <c r="AC127" s="10" t="e">
        <f t="shared" si="106"/>
        <v>#VALUE!</v>
      </c>
      <c r="AD127" s="10" t="e">
        <f t="shared" si="138"/>
        <v>#VALUE!</v>
      </c>
      <c r="AE127" s="10" t="e">
        <f t="shared" si="139"/>
        <v>#VALUE!</v>
      </c>
      <c r="AF127" s="10" t="e">
        <f t="shared" si="88"/>
        <v>#VALUE!</v>
      </c>
      <c r="AG127" s="10" t="e">
        <f t="shared" si="107"/>
        <v>#VALUE!</v>
      </c>
      <c r="AI127" s="13"/>
      <c r="AK127" s="10" t="e">
        <f t="shared" si="108"/>
        <v>#VALUE!</v>
      </c>
      <c r="AL127" s="10" t="e">
        <f t="shared" si="140"/>
        <v>#VALUE!</v>
      </c>
      <c r="AM127" s="10" t="e">
        <f t="shared" si="89"/>
        <v>#VALUE!</v>
      </c>
      <c r="AN127" s="10" t="e">
        <f t="shared" si="109"/>
        <v>#VALUE!</v>
      </c>
      <c r="AO127" s="10" t="e">
        <f t="shared" si="110"/>
        <v>#VALUE!</v>
      </c>
      <c r="AP127" s="10" t="e">
        <f t="shared" si="111"/>
        <v>#VALUE!</v>
      </c>
      <c r="AQ127" s="10" t="e">
        <f t="shared" si="141"/>
        <v>#VALUE!</v>
      </c>
      <c r="AR127" s="10" t="e">
        <f t="shared" si="90"/>
        <v>#VALUE!</v>
      </c>
      <c r="AS127" s="10" t="e">
        <f t="shared" si="142"/>
        <v>#VALUE!</v>
      </c>
      <c r="AU127" s="10" t="e">
        <f t="shared" si="112"/>
        <v>#VALUE!</v>
      </c>
      <c r="AV127" s="10" t="e">
        <f t="shared" si="143"/>
        <v>#VALUE!</v>
      </c>
      <c r="AW127" s="10" t="e">
        <f t="shared" si="91"/>
        <v>#VALUE!</v>
      </c>
      <c r="AX127" s="10" t="e">
        <f t="shared" si="113"/>
        <v>#VALUE!</v>
      </c>
      <c r="AY127" s="10" t="e">
        <f t="shared" si="114"/>
        <v>#VALUE!</v>
      </c>
      <c r="AZ127" s="10" t="e">
        <f t="shared" si="115"/>
        <v>#VALUE!</v>
      </c>
      <c r="BA127" s="10" t="e">
        <f t="shared" si="144"/>
        <v>#VALUE!</v>
      </c>
      <c r="BB127" s="10" t="e">
        <f t="shared" si="92"/>
        <v>#VALUE!</v>
      </c>
      <c r="BC127" s="10" t="e">
        <f t="shared" si="145"/>
        <v>#VALUE!</v>
      </c>
      <c r="BE127" s="10" t="e">
        <f t="shared" si="116"/>
        <v>#VALUE!</v>
      </c>
      <c r="BF127" s="10" t="e">
        <f t="shared" si="146"/>
        <v>#VALUE!</v>
      </c>
      <c r="BG127" s="10" t="e">
        <f t="shared" si="93"/>
        <v>#VALUE!</v>
      </c>
      <c r="BH127" s="10" t="e">
        <f t="shared" si="117"/>
        <v>#VALUE!</v>
      </c>
      <c r="BI127" s="10" t="e">
        <f t="shared" si="118"/>
        <v>#VALUE!</v>
      </c>
      <c r="BJ127" s="10" t="e">
        <f t="shared" si="119"/>
        <v>#VALUE!</v>
      </c>
      <c r="BK127" s="10" t="e">
        <f t="shared" si="147"/>
        <v>#VALUE!</v>
      </c>
      <c r="BL127" s="10" t="e">
        <f t="shared" si="94"/>
        <v>#VALUE!</v>
      </c>
      <c r="BM127" s="10" t="e">
        <f t="shared" si="148"/>
        <v>#VALUE!</v>
      </c>
      <c r="BP127" s="10" t="e">
        <f t="shared" si="120"/>
        <v>#VALUE!</v>
      </c>
      <c r="BQ127" s="10" t="e">
        <f t="shared" si="121"/>
        <v>#VALUE!</v>
      </c>
      <c r="BR127" s="10" t="e">
        <f t="shared" si="122"/>
        <v>#VALUE!</v>
      </c>
      <c r="BS127" s="10" t="e">
        <f t="shared" si="123"/>
        <v>#VALUE!</v>
      </c>
      <c r="BT127" s="10" t="e">
        <f t="shared" si="124"/>
        <v>#VALUE!</v>
      </c>
      <c r="BU127" s="10" t="e">
        <f t="shared" si="125"/>
        <v>#VALUE!</v>
      </c>
      <c r="BW127" s="10" t="e">
        <f t="shared" si="126"/>
        <v>#VALUE!</v>
      </c>
      <c r="BX127" s="10" t="e">
        <f t="shared" si="127"/>
        <v>#VALUE!</v>
      </c>
      <c r="BY127" s="10" t="e">
        <f t="shared" si="128"/>
        <v>#VALUE!</v>
      </c>
      <c r="BZ127" s="10" t="e">
        <f t="shared" si="129"/>
        <v>#VALUE!</v>
      </c>
      <c r="CA127" s="10" t="e">
        <f t="shared" si="130"/>
        <v>#VALUE!</v>
      </c>
      <c r="CB127" s="10" t="e">
        <f t="shared" si="131"/>
        <v>#VALUE!</v>
      </c>
      <c r="CD127" s="10" t="e">
        <f>MATCH(INDEX($BP$12:$BU$12,1,MATCH(BP127,$BP$15:$BU$15,0)),结果汇总!$AI$10:$AI$13,0)</f>
        <v>#VALUE!</v>
      </c>
      <c r="CE127" s="10" t="e">
        <f>MATCH(INDEX($BP$12:$BU$12,1,MATCH(BQ127,$BP$15:$BU$15,0)),结果汇总!$AI$10:$AI$13,0)</f>
        <v>#VALUE!</v>
      </c>
      <c r="CF127" s="10" t="e">
        <f>MATCH(INDEX($BP$12:$BU$12,1,MATCH(BR127,$BP$15:$BU$15,0)),结果汇总!$AI$10:$AI$13,0)</f>
        <v>#VALUE!</v>
      </c>
      <c r="CG127" s="10" t="e">
        <f>MATCH(INDEX($BP$12:$BU$12,1,MATCH(BS127,$BP$15:$BU$15,0)),结果汇总!$AI$10:$AI$13,0)</f>
        <v>#VALUE!</v>
      </c>
      <c r="CH127" s="10" t="e">
        <f>MATCH(INDEX($BP$12:$BU$12,1,MATCH(BT127,$BP$15:$BU$15,0)),结果汇总!$AI$10:$AI$13,0)</f>
        <v>#VALUE!</v>
      </c>
      <c r="CI127" s="10" t="e">
        <f>MATCH(INDEX($BP$12:$BU$12,1,MATCH(BU127,$BP$15:$BU$15,0)),结果汇总!$AI$10:$AI$13,0)</f>
        <v>#VALUE!</v>
      </c>
      <c r="CK127" s="10">
        <f t="shared" si="149"/>
        <v>0</v>
      </c>
      <c r="CL127" s="10">
        <f t="shared" si="149"/>
        <v>0</v>
      </c>
      <c r="CM127" s="10">
        <f t="shared" si="149"/>
        <v>0</v>
      </c>
      <c r="CN127" s="10">
        <f t="shared" si="149"/>
        <v>0</v>
      </c>
      <c r="CO127" s="10" t="e">
        <f t="shared" si="150"/>
        <v>#DIV/0!</v>
      </c>
      <c r="CP127" s="10" t="e">
        <f t="shared" si="150"/>
        <v>#DIV/0!</v>
      </c>
      <c r="CQ127" s="10" t="e">
        <f t="shared" si="150"/>
        <v>#DIV/0!</v>
      </c>
      <c r="CR127" s="10" t="e">
        <f t="shared" si="150"/>
        <v>#DIV/0!</v>
      </c>
      <c r="CS127" s="10">
        <f t="shared" si="151"/>
        <v>0</v>
      </c>
      <c r="CT127" s="10">
        <f t="shared" si="151"/>
        <v>0</v>
      </c>
      <c r="CU127" s="10">
        <f t="shared" si="151"/>
        <v>0</v>
      </c>
      <c r="CV127" s="10">
        <f t="shared" si="151"/>
        <v>0</v>
      </c>
      <c r="CW127" s="10" t="e">
        <f t="shared" si="152"/>
        <v>#DIV/0!</v>
      </c>
      <c r="CX127" s="10" t="e">
        <f t="shared" si="152"/>
        <v>#DIV/0!</v>
      </c>
      <c r="CY127" s="10" t="e">
        <f t="shared" si="152"/>
        <v>#DIV/0!</v>
      </c>
      <c r="CZ127" s="10" t="e">
        <f t="shared" si="152"/>
        <v>#DIV/0!</v>
      </c>
    </row>
    <row r="128" spans="4:104" x14ac:dyDescent="0.15">
      <c r="D128" s="10">
        <v>113</v>
      </c>
      <c r="E128" s="10" t="e">
        <f t="shared" si="95"/>
        <v>#VALUE!</v>
      </c>
      <c r="F128" s="10" t="e">
        <f t="shared" si="79"/>
        <v>#VALUE!</v>
      </c>
      <c r="G128" s="10" t="e">
        <f t="shared" si="80"/>
        <v>#VALUE!</v>
      </c>
      <c r="H128" s="10" t="e">
        <f t="shared" si="96"/>
        <v>#VALUE!</v>
      </c>
      <c r="I128" s="10" t="e">
        <f t="shared" si="81"/>
        <v>#VALUE!</v>
      </c>
      <c r="J128" s="10" t="e">
        <f t="shared" si="97"/>
        <v>#VALUE!</v>
      </c>
      <c r="K128" s="10" t="e">
        <f t="shared" si="82"/>
        <v>#VALUE!</v>
      </c>
      <c r="L128" s="10" t="e">
        <f t="shared" si="83"/>
        <v>#VALUE!</v>
      </c>
      <c r="M128" s="10" t="e">
        <f t="shared" si="98"/>
        <v>#VALUE!</v>
      </c>
      <c r="O128" s="10" t="e">
        <f t="shared" si="99"/>
        <v>#VALUE!</v>
      </c>
      <c r="P128" s="10" t="e">
        <f t="shared" si="84"/>
        <v>#VALUE!</v>
      </c>
      <c r="Q128" s="10" t="e">
        <f t="shared" si="85"/>
        <v>#VALUE!</v>
      </c>
      <c r="R128" s="10" t="e">
        <f t="shared" si="100"/>
        <v>#VALUE!</v>
      </c>
      <c r="S128" s="10" t="e">
        <f t="shared" si="101"/>
        <v>#VALUE!</v>
      </c>
      <c r="T128" s="10" t="e">
        <f t="shared" si="136"/>
        <v>#VALUE!</v>
      </c>
      <c r="U128" s="10" t="e">
        <f t="shared" si="137"/>
        <v>#VALUE!</v>
      </c>
      <c r="V128" s="10" t="e">
        <f t="shared" si="86"/>
        <v>#VALUE!</v>
      </c>
      <c r="W128" s="10" t="e">
        <f t="shared" si="102"/>
        <v>#VALUE!</v>
      </c>
      <c r="Y128" s="10" t="e">
        <f t="shared" si="103"/>
        <v>#VALUE!</v>
      </c>
      <c r="Z128" s="11" t="e">
        <f t="shared" si="104"/>
        <v>#VALUE!</v>
      </c>
      <c r="AA128" s="10" t="e">
        <f t="shared" si="87"/>
        <v>#VALUE!</v>
      </c>
      <c r="AB128" s="10" t="e">
        <f t="shared" si="105"/>
        <v>#VALUE!</v>
      </c>
      <c r="AC128" s="10" t="e">
        <f t="shared" si="106"/>
        <v>#VALUE!</v>
      </c>
      <c r="AD128" s="10" t="e">
        <f t="shared" si="138"/>
        <v>#VALUE!</v>
      </c>
      <c r="AE128" s="10" t="e">
        <f t="shared" si="139"/>
        <v>#VALUE!</v>
      </c>
      <c r="AF128" s="10" t="e">
        <f t="shared" si="88"/>
        <v>#VALUE!</v>
      </c>
      <c r="AG128" s="10" t="e">
        <f t="shared" si="107"/>
        <v>#VALUE!</v>
      </c>
      <c r="AI128" s="13"/>
      <c r="AK128" s="10" t="e">
        <f t="shared" si="108"/>
        <v>#VALUE!</v>
      </c>
      <c r="AL128" s="10" t="e">
        <f t="shared" si="140"/>
        <v>#VALUE!</v>
      </c>
      <c r="AM128" s="10" t="e">
        <f t="shared" si="89"/>
        <v>#VALUE!</v>
      </c>
      <c r="AN128" s="10" t="e">
        <f t="shared" si="109"/>
        <v>#VALUE!</v>
      </c>
      <c r="AO128" s="10" t="e">
        <f t="shared" si="110"/>
        <v>#VALUE!</v>
      </c>
      <c r="AP128" s="10" t="e">
        <f t="shared" si="111"/>
        <v>#VALUE!</v>
      </c>
      <c r="AQ128" s="10" t="e">
        <f t="shared" si="141"/>
        <v>#VALUE!</v>
      </c>
      <c r="AR128" s="10" t="e">
        <f t="shared" si="90"/>
        <v>#VALUE!</v>
      </c>
      <c r="AS128" s="10" t="e">
        <f t="shared" si="142"/>
        <v>#VALUE!</v>
      </c>
      <c r="AU128" s="10" t="e">
        <f t="shared" si="112"/>
        <v>#VALUE!</v>
      </c>
      <c r="AV128" s="10" t="e">
        <f t="shared" si="143"/>
        <v>#VALUE!</v>
      </c>
      <c r="AW128" s="10" t="e">
        <f t="shared" si="91"/>
        <v>#VALUE!</v>
      </c>
      <c r="AX128" s="10" t="e">
        <f t="shared" si="113"/>
        <v>#VALUE!</v>
      </c>
      <c r="AY128" s="10" t="e">
        <f t="shared" si="114"/>
        <v>#VALUE!</v>
      </c>
      <c r="AZ128" s="10" t="e">
        <f t="shared" si="115"/>
        <v>#VALUE!</v>
      </c>
      <c r="BA128" s="10" t="e">
        <f t="shared" si="144"/>
        <v>#VALUE!</v>
      </c>
      <c r="BB128" s="10" t="e">
        <f t="shared" si="92"/>
        <v>#VALUE!</v>
      </c>
      <c r="BC128" s="10" t="e">
        <f t="shared" si="145"/>
        <v>#VALUE!</v>
      </c>
      <c r="BE128" s="10" t="e">
        <f t="shared" si="116"/>
        <v>#VALUE!</v>
      </c>
      <c r="BF128" s="10" t="e">
        <f t="shared" si="146"/>
        <v>#VALUE!</v>
      </c>
      <c r="BG128" s="10" t="e">
        <f t="shared" si="93"/>
        <v>#VALUE!</v>
      </c>
      <c r="BH128" s="10" t="e">
        <f t="shared" si="117"/>
        <v>#VALUE!</v>
      </c>
      <c r="BI128" s="10" t="e">
        <f t="shared" si="118"/>
        <v>#VALUE!</v>
      </c>
      <c r="BJ128" s="10" t="e">
        <f t="shared" si="119"/>
        <v>#VALUE!</v>
      </c>
      <c r="BK128" s="10" t="e">
        <f t="shared" si="147"/>
        <v>#VALUE!</v>
      </c>
      <c r="BL128" s="10" t="e">
        <f t="shared" si="94"/>
        <v>#VALUE!</v>
      </c>
      <c r="BM128" s="10" t="e">
        <f t="shared" si="148"/>
        <v>#VALUE!</v>
      </c>
      <c r="BP128" s="10" t="e">
        <f t="shared" si="120"/>
        <v>#VALUE!</v>
      </c>
      <c r="BQ128" s="10" t="e">
        <f t="shared" si="121"/>
        <v>#VALUE!</v>
      </c>
      <c r="BR128" s="10" t="e">
        <f t="shared" si="122"/>
        <v>#VALUE!</v>
      </c>
      <c r="BS128" s="10" t="e">
        <f t="shared" si="123"/>
        <v>#VALUE!</v>
      </c>
      <c r="BT128" s="10" t="e">
        <f t="shared" si="124"/>
        <v>#VALUE!</v>
      </c>
      <c r="BU128" s="10" t="e">
        <f t="shared" si="125"/>
        <v>#VALUE!</v>
      </c>
      <c r="BW128" s="10" t="e">
        <f t="shared" si="126"/>
        <v>#VALUE!</v>
      </c>
      <c r="BX128" s="10" t="e">
        <f t="shared" si="127"/>
        <v>#VALUE!</v>
      </c>
      <c r="BY128" s="10" t="e">
        <f t="shared" si="128"/>
        <v>#VALUE!</v>
      </c>
      <c r="BZ128" s="10" t="e">
        <f t="shared" si="129"/>
        <v>#VALUE!</v>
      </c>
      <c r="CA128" s="10" t="e">
        <f t="shared" si="130"/>
        <v>#VALUE!</v>
      </c>
      <c r="CB128" s="10" t="e">
        <f t="shared" si="131"/>
        <v>#VALUE!</v>
      </c>
      <c r="CD128" s="10" t="e">
        <f>MATCH(INDEX($BP$12:$BU$12,1,MATCH(BP128,$BP$15:$BU$15,0)),结果汇总!$AI$10:$AI$13,0)</f>
        <v>#VALUE!</v>
      </c>
      <c r="CE128" s="10" t="e">
        <f>MATCH(INDEX($BP$12:$BU$12,1,MATCH(BQ128,$BP$15:$BU$15,0)),结果汇总!$AI$10:$AI$13,0)</f>
        <v>#VALUE!</v>
      </c>
      <c r="CF128" s="10" t="e">
        <f>MATCH(INDEX($BP$12:$BU$12,1,MATCH(BR128,$BP$15:$BU$15,0)),结果汇总!$AI$10:$AI$13,0)</f>
        <v>#VALUE!</v>
      </c>
      <c r="CG128" s="10" t="e">
        <f>MATCH(INDEX($BP$12:$BU$12,1,MATCH(BS128,$BP$15:$BU$15,0)),结果汇总!$AI$10:$AI$13,0)</f>
        <v>#VALUE!</v>
      </c>
      <c r="CH128" s="10" t="e">
        <f>MATCH(INDEX($BP$12:$BU$12,1,MATCH(BT128,$BP$15:$BU$15,0)),结果汇总!$AI$10:$AI$13,0)</f>
        <v>#VALUE!</v>
      </c>
      <c r="CI128" s="10" t="e">
        <f>MATCH(INDEX($BP$12:$BU$12,1,MATCH(BU128,$BP$15:$BU$15,0)),结果汇总!$AI$10:$AI$13,0)</f>
        <v>#VALUE!</v>
      </c>
      <c r="CK128" s="10">
        <f t="shared" si="149"/>
        <v>0</v>
      </c>
      <c r="CL128" s="10">
        <f t="shared" si="149"/>
        <v>0</v>
      </c>
      <c r="CM128" s="10">
        <f t="shared" si="149"/>
        <v>0</v>
      </c>
      <c r="CN128" s="10">
        <f t="shared" si="149"/>
        <v>0</v>
      </c>
      <c r="CO128" s="10" t="e">
        <f t="shared" si="150"/>
        <v>#DIV/0!</v>
      </c>
      <c r="CP128" s="10" t="e">
        <f t="shared" si="150"/>
        <v>#DIV/0!</v>
      </c>
      <c r="CQ128" s="10" t="e">
        <f t="shared" si="150"/>
        <v>#DIV/0!</v>
      </c>
      <c r="CR128" s="10" t="e">
        <f t="shared" si="150"/>
        <v>#DIV/0!</v>
      </c>
      <c r="CS128" s="10">
        <f t="shared" si="151"/>
        <v>0</v>
      </c>
      <c r="CT128" s="10">
        <f t="shared" si="151"/>
        <v>0</v>
      </c>
      <c r="CU128" s="10">
        <f t="shared" si="151"/>
        <v>0</v>
      </c>
      <c r="CV128" s="10">
        <f t="shared" si="151"/>
        <v>0</v>
      </c>
      <c r="CW128" s="10" t="e">
        <f t="shared" si="152"/>
        <v>#DIV/0!</v>
      </c>
      <c r="CX128" s="10" t="e">
        <f t="shared" si="152"/>
        <v>#DIV/0!</v>
      </c>
      <c r="CY128" s="10" t="e">
        <f t="shared" si="152"/>
        <v>#DIV/0!</v>
      </c>
      <c r="CZ128" s="10" t="e">
        <f t="shared" si="152"/>
        <v>#DIV/0!</v>
      </c>
    </row>
    <row r="129" spans="4:104" x14ac:dyDescent="0.15">
      <c r="D129" s="10">
        <v>114</v>
      </c>
      <c r="E129" s="10" t="e">
        <f t="shared" si="95"/>
        <v>#VALUE!</v>
      </c>
      <c r="F129" s="10" t="e">
        <f t="shared" si="79"/>
        <v>#VALUE!</v>
      </c>
      <c r="G129" s="10" t="e">
        <f t="shared" si="80"/>
        <v>#VALUE!</v>
      </c>
      <c r="H129" s="10" t="e">
        <f t="shared" si="96"/>
        <v>#VALUE!</v>
      </c>
      <c r="I129" s="10" t="e">
        <f t="shared" si="81"/>
        <v>#VALUE!</v>
      </c>
      <c r="J129" s="10" t="e">
        <f t="shared" si="97"/>
        <v>#VALUE!</v>
      </c>
      <c r="K129" s="10" t="e">
        <f t="shared" si="82"/>
        <v>#VALUE!</v>
      </c>
      <c r="L129" s="10" t="e">
        <f t="shared" si="83"/>
        <v>#VALUE!</v>
      </c>
      <c r="M129" s="10" t="e">
        <f t="shared" si="98"/>
        <v>#VALUE!</v>
      </c>
      <c r="O129" s="10" t="e">
        <f t="shared" si="99"/>
        <v>#VALUE!</v>
      </c>
      <c r="P129" s="10" t="e">
        <f t="shared" si="84"/>
        <v>#VALUE!</v>
      </c>
      <c r="Q129" s="10" t="e">
        <f t="shared" si="85"/>
        <v>#VALUE!</v>
      </c>
      <c r="R129" s="10" t="e">
        <f t="shared" si="100"/>
        <v>#VALUE!</v>
      </c>
      <c r="S129" s="10" t="e">
        <f t="shared" si="101"/>
        <v>#VALUE!</v>
      </c>
      <c r="T129" s="10" t="e">
        <f t="shared" si="136"/>
        <v>#VALUE!</v>
      </c>
      <c r="U129" s="10" t="e">
        <f t="shared" si="137"/>
        <v>#VALUE!</v>
      </c>
      <c r="V129" s="10" t="e">
        <f t="shared" si="86"/>
        <v>#VALUE!</v>
      </c>
      <c r="W129" s="10" t="e">
        <f t="shared" si="102"/>
        <v>#VALUE!</v>
      </c>
      <c r="Y129" s="10" t="e">
        <f t="shared" si="103"/>
        <v>#VALUE!</v>
      </c>
      <c r="Z129" s="11" t="e">
        <f t="shared" si="104"/>
        <v>#VALUE!</v>
      </c>
      <c r="AA129" s="10" t="e">
        <f t="shared" si="87"/>
        <v>#VALUE!</v>
      </c>
      <c r="AB129" s="10" t="e">
        <f t="shared" si="105"/>
        <v>#VALUE!</v>
      </c>
      <c r="AC129" s="10" t="e">
        <f t="shared" si="106"/>
        <v>#VALUE!</v>
      </c>
      <c r="AD129" s="10" t="e">
        <f t="shared" si="138"/>
        <v>#VALUE!</v>
      </c>
      <c r="AE129" s="10" t="e">
        <f t="shared" si="139"/>
        <v>#VALUE!</v>
      </c>
      <c r="AF129" s="10" t="e">
        <f t="shared" si="88"/>
        <v>#VALUE!</v>
      </c>
      <c r="AG129" s="10" t="e">
        <f t="shared" si="107"/>
        <v>#VALUE!</v>
      </c>
      <c r="AI129" s="13"/>
      <c r="AK129" s="10" t="e">
        <f t="shared" si="108"/>
        <v>#VALUE!</v>
      </c>
      <c r="AL129" s="10" t="e">
        <f t="shared" si="140"/>
        <v>#VALUE!</v>
      </c>
      <c r="AM129" s="10" t="e">
        <f t="shared" si="89"/>
        <v>#VALUE!</v>
      </c>
      <c r="AN129" s="10" t="e">
        <f t="shared" si="109"/>
        <v>#VALUE!</v>
      </c>
      <c r="AO129" s="10" t="e">
        <f t="shared" si="110"/>
        <v>#VALUE!</v>
      </c>
      <c r="AP129" s="10" t="e">
        <f t="shared" si="111"/>
        <v>#VALUE!</v>
      </c>
      <c r="AQ129" s="10" t="e">
        <f t="shared" si="141"/>
        <v>#VALUE!</v>
      </c>
      <c r="AR129" s="10" t="e">
        <f t="shared" si="90"/>
        <v>#VALUE!</v>
      </c>
      <c r="AS129" s="10" t="e">
        <f t="shared" si="142"/>
        <v>#VALUE!</v>
      </c>
      <c r="AU129" s="10" t="e">
        <f t="shared" si="112"/>
        <v>#VALUE!</v>
      </c>
      <c r="AV129" s="10" t="e">
        <f t="shared" si="143"/>
        <v>#VALUE!</v>
      </c>
      <c r="AW129" s="10" t="e">
        <f t="shared" si="91"/>
        <v>#VALUE!</v>
      </c>
      <c r="AX129" s="10" t="e">
        <f t="shared" si="113"/>
        <v>#VALUE!</v>
      </c>
      <c r="AY129" s="10" t="e">
        <f t="shared" si="114"/>
        <v>#VALUE!</v>
      </c>
      <c r="AZ129" s="10" t="e">
        <f t="shared" si="115"/>
        <v>#VALUE!</v>
      </c>
      <c r="BA129" s="10" t="e">
        <f t="shared" si="144"/>
        <v>#VALUE!</v>
      </c>
      <c r="BB129" s="10" t="e">
        <f t="shared" si="92"/>
        <v>#VALUE!</v>
      </c>
      <c r="BC129" s="10" t="e">
        <f t="shared" si="145"/>
        <v>#VALUE!</v>
      </c>
      <c r="BE129" s="10" t="e">
        <f t="shared" si="116"/>
        <v>#VALUE!</v>
      </c>
      <c r="BF129" s="10" t="e">
        <f t="shared" si="146"/>
        <v>#VALUE!</v>
      </c>
      <c r="BG129" s="10" t="e">
        <f t="shared" si="93"/>
        <v>#VALUE!</v>
      </c>
      <c r="BH129" s="10" t="e">
        <f t="shared" si="117"/>
        <v>#VALUE!</v>
      </c>
      <c r="BI129" s="10" t="e">
        <f t="shared" si="118"/>
        <v>#VALUE!</v>
      </c>
      <c r="BJ129" s="10" t="e">
        <f t="shared" si="119"/>
        <v>#VALUE!</v>
      </c>
      <c r="BK129" s="10" t="e">
        <f t="shared" si="147"/>
        <v>#VALUE!</v>
      </c>
      <c r="BL129" s="10" t="e">
        <f t="shared" si="94"/>
        <v>#VALUE!</v>
      </c>
      <c r="BM129" s="10" t="e">
        <f t="shared" si="148"/>
        <v>#VALUE!</v>
      </c>
      <c r="BP129" s="10" t="e">
        <f t="shared" si="120"/>
        <v>#VALUE!</v>
      </c>
      <c r="BQ129" s="10" t="e">
        <f t="shared" si="121"/>
        <v>#VALUE!</v>
      </c>
      <c r="BR129" s="10" t="e">
        <f t="shared" si="122"/>
        <v>#VALUE!</v>
      </c>
      <c r="BS129" s="10" t="e">
        <f t="shared" si="123"/>
        <v>#VALUE!</v>
      </c>
      <c r="BT129" s="10" t="e">
        <f t="shared" si="124"/>
        <v>#VALUE!</v>
      </c>
      <c r="BU129" s="10" t="e">
        <f t="shared" si="125"/>
        <v>#VALUE!</v>
      </c>
      <c r="BW129" s="10" t="e">
        <f t="shared" si="126"/>
        <v>#VALUE!</v>
      </c>
      <c r="BX129" s="10" t="e">
        <f t="shared" si="127"/>
        <v>#VALUE!</v>
      </c>
      <c r="BY129" s="10" t="e">
        <f t="shared" si="128"/>
        <v>#VALUE!</v>
      </c>
      <c r="BZ129" s="10" t="e">
        <f t="shared" si="129"/>
        <v>#VALUE!</v>
      </c>
      <c r="CA129" s="10" t="e">
        <f t="shared" si="130"/>
        <v>#VALUE!</v>
      </c>
      <c r="CB129" s="10" t="e">
        <f t="shared" si="131"/>
        <v>#VALUE!</v>
      </c>
      <c r="CD129" s="10" t="e">
        <f>MATCH(INDEX($BP$12:$BU$12,1,MATCH(BP129,$BP$15:$BU$15,0)),结果汇总!$AI$10:$AI$13,0)</f>
        <v>#VALUE!</v>
      </c>
      <c r="CE129" s="10" t="e">
        <f>MATCH(INDEX($BP$12:$BU$12,1,MATCH(BQ129,$BP$15:$BU$15,0)),结果汇总!$AI$10:$AI$13,0)</f>
        <v>#VALUE!</v>
      </c>
      <c r="CF129" s="10" t="e">
        <f>MATCH(INDEX($BP$12:$BU$12,1,MATCH(BR129,$BP$15:$BU$15,0)),结果汇总!$AI$10:$AI$13,0)</f>
        <v>#VALUE!</v>
      </c>
      <c r="CG129" s="10" t="e">
        <f>MATCH(INDEX($BP$12:$BU$12,1,MATCH(BS129,$BP$15:$BU$15,0)),结果汇总!$AI$10:$AI$13,0)</f>
        <v>#VALUE!</v>
      </c>
      <c r="CH129" s="10" t="e">
        <f>MATCH(INDEX($BP$12:$BU$12,1,MATCH(BT129,$BP$15:$BU$15,0)),结果汇总!$AI$10:$AI$13,0)</f>
        <v>#VALUE!</v>
      </c>
      <c r="CI129" s="10" t="e">
        <f>MATCH(INDEX($BP$12:$BU$12,1,MATCH(BU129,$BP$15:$BU$15,0)),结果汇总!$AI$10:$AI$13,0)</f>
        <v>#VALUE!</v>
      </c>
      <c r="CK129" s="10">
        <f t="shared" si="149"/>
        <v>0</v>
      </c>
      <c r="CL129" s="10">
        <f t="shared" si="149"/>
        <v>0</v>
      </c>
      <c r="CM129" s="10">
        <f t="shared" si="149"/>
        <v>0</v>
      </c>
      <c r="CN129" s="10">
        <f t="shared" si="149"/>
        <v>0</v>
      </c>
      <c r="CO129" s="10" t="e">
        <f t="shared" si="150"/>
        <v>#DIV/0!</v>
      </c>
      <c r="CP129" s="10" t="e">
        <f t="shared" si="150"/>
        <v>#DIV/0!</v>
      </c>
      <c r="CQ129" s="10" t="e">
        <f t="shared" si="150"/>
        <v>#DIV/0!</v>
      </c>
      <c r="CR129" s="10" t="e">
        <f t="shared" si="150"/>
        <v>#DIV/0!</v>
      </c>
      <c r="CS129" s="10">
        <f t="shared" si="151"/>
        <v>0</v>
      </c>
      <c r="CT129" s="10">
        <f t="shared" si="151"/>
        <v>0</v>
      </c>
      <c r="CU129" s="10">
        <f t="shared" si="151"/>
        <v>0</v>
      </c>
      <c r="CV129" s="10">
        <f t="shared" si="151"/>
        <v>0</v>
      </c>
      <c r="CW129" s="10" t="e">
        <f t="shared" si="152"/>
        <v>#DIV/0!</v>
      </c>
      <c r="CX129" s="10" t="e">
        <f t="shared" si="152"/>
        <v>#DIV/0!</v>
      </c>
      <c r="CY129" s="10" t="e">
        <f t="shared" si="152"/>
        <v>#DIV/0!</v>
      </c>
      <c r="CZ129" s="10" t="e">
        <f t="shared" si="152"/>
        <v>#DIV/0!</v>
      </c>
    </row>
    <row r="130" spans="4:104" x14ac:dyDescent="0.15">
      <c r="D130" s="10">
        <v>115</v>
      </c>
      <c r="E130" s="10" t="e">
        <f t="shared" si="95"/>
        <v>#VALUE!</v>
      </c>
      <c r="F130" s="10" t="e">
        <f t="shared" si="79"/>
        <v>#VALUE!</v>
      </c>
      <c r="G130" s="10" t="e">
        <f t="shared" si="80"/>
        <v>#VALUE!</v>
      </c>
      <c r="H130" s="10" t="e">
        <f t="shared" si="96"/>
        <v>#VALUE!</v>
      </c>
      <c r="I130" s="10" t="e">
        <f t="shared" si="81"/>
        <v>#VALUE!</v>
      </c>
      <c r="J130" s="10" t="e">
        <f t="shared" si="97"/>
        <v>#VALUE!</v>
      </c>
      <c r="K130" s="10" t="e">
        <f t="shared" si="82"/>
        <v>#VALUE!</v>
      </c>
      <c r="L130" s="10" t="e">
        <f t="shared" si="83"/>
        <v>#VALUE!</v>
      </c>
      <c r="M130" s="10" t="e">
        <f t="shared" si="98"/>
        <v>#VALUE!</v>
      </c>
      <c r="O130" s="10" t="e">
        <f t="shared" si="99"/>
        <v>#VALUE!</v>
      </c>
      <c r="P130" s="10" t="e">
        <f t="shared" si="84"/>
        <v>#VALUE!</v>
      </c>
      <c r="Q130" s="10" t="e">
        <f t="shared" si="85"/>
        <v>#VALUE!</v>
      </c>
      <c r="R130" s="10" t="e">
        <f t="shared" si="100"/>
        <v>#VALUE!</v>
      </c>
      <c r="S130" s="10" t="e">
        <f t="shared" si="101"/>
        <v>#VALUE!</v>
      </c>
      <c r="T130" s="10" t="e">
        <f t="shared" si="136"/>
        <v>#VALUE!</v>
      </c>
      <c r="U130" s="10" t="e">
        <f t="shared" si="137"/>
        <v>#VALUE!</v>
      </c>
      <c r="V130" s="10" t="e">
        <f t="shared" si="86"/>
        <v>#VALUE!</v>
      </c>
      <c r="W130" s="10" t="e">
        <f t="shared" si="102"/>
        <v>#VALUE!</v>
      </c>
      <c r="Y130" s="10" t="e">
        <f t="shared" si="103"/>
        <v>#VALUE!</v>
      </c>
      <c r="Z130" s="11" t="e">
        <f t="shared" si="104"/>
        <v>#VALUE!</v>
      </c>
      <c r="AA130" s="10" t="e">
        <f t="shared" si="87"/>
        <v>#VALUE!</v>
      </c>
      <c r="AB130" s="10" t="e">
        <f t="shared" si="105"/>
        <v>#VALUE!</v>
      </c>
      <c r="AC130" s="10" t="e">
        <f t="shared" si="106"/>
        <v>#VALUE!</v>
      </c>
      <c r="AD130" s="10" t="e">
        <f t="shared" si="138"/>
        <v>#VALUE!</v>
      </c>
      <c r="AE130" s="10" t="e">
        <f t="shared" si="139"/>
        <v>#VALUE!</v>
      </c>
      <c r="AF130" s="10" t="e">
        <f t="shared" si="88"/>
        <v>#VALUE!</v>
      </c>
      <c r="AG130" s="10" t="e">
        <f t="shared" si="107"/>
        <v>#VALUE!</v>
      </c>
      <c r="AI130" s="13"/>
      <c r="AK130" s="10" t="e">
        <f t="shared" si="108"/>
        <v>#VALUE!</v>
      </c>
      <c r="AL130" s="10" t="e">
        <f t="shared" si="140"/>
        <v>#VALUE!</v>
      </c>
      <c r="AM130" s="10" t="e">
        <f t="shared" si="89"/>
        <v>#VALUE!</v>
      </c>
      <c r="AN130" s="10" t="e">
        <f t="shared" si="109"/>
        <v>#VALUE!</v>
      </c>
      <c r="AO130" s="10" t="e">
        <f t="shared" si="110"/>
        <v>#VALUE!</v>
      </c>
      <c r="AP130" s="10" t="e">
        <f t="shared" si="111"/>
        <v>#VALUE!</v>
      </c>
      <c r="AQ130" s="10" t="e">
        <f t="shared" si="141"/>
        <v>#VALUE!</v>
      </c>
      <c r="AR130" s="10" t="e">
        <f t="shared" si="90"/>
        <v>#VALUE!</v>
      </c>
      <c r="AS130" s="10" t="e">
        <f t="shared" si="142"/>
        <v>#VALUE!</v>
      </c>
      <c r="AU130" s="10" t="e">
        <f t="shared" si="112"/>
        <v>#VALUE!</v>
      </c>
      <c r="AV130" s="10" t="e">
        <f t="shared" si="143"/>
        <v>#VALUE!</v>
      </c>
      <c r="AW130" s="10" t="e">
        <f t="shared" si="91"/>
        <v>#VALUE!</v>
      </c>
      <c r="AX130" s="10" t="e">
        <f t="shared" si="113"/>
        <v>#VALUE!</v>
      </c>
      <c r="AY130" s="10" t="e">
        <f t="shared" si="114"/>
        <v>#VALUE!</v>
      </c>
      <c r="AZ130" s="10" t="e">
        <f t="shared" si="115"/>
        <v>#VALUE!</v>
      </c>
      <c r="BA130" s="10" t="e">
        <f t="shared" si="144"/>
        <v>#VALUE!</v>
      </c>
      <c r="BB130" s="10" t="e">
        <f t="shared" si="92"/>
        <v>#VALUE!</v>
      </c>
      <c r="BC130" s="10" t="e">
        <f t="shared" si="145"/>
        <v>#VALUE!</v>
      </c>
      <c r="BE130" s="10" t="e">
        <f t="shared" si="116"/>
        <v>#VALUE!</v>
      </c>
      <c r="BF130" s="10" t="e">
        <f t="shared" si="146"/>
        <v>#VALUE!</v>
      </c>
      <c r="BG130" s="10" t="e">
        <f t="shared" si="93"/>
        <v>#VALUE!</v>
      </c>
      <c r="BH130" s="10" t="e">
        <f t="shared" si="117"/>
        <v>#VALUE!</v>
      </c>
      <c r="BI130" s="10" t="e">
        <f t="shared" si="118"/>
        <v>#VALUE!</v>
      </c>
      <c r="BJ130" s="10" t="e">
        <f t="shared" si="119"/>
        <v>#VALUE!</v>
      </c>
      <c r="BK130" s="10" t="e">
        <f t="shared" si="147"/>
        <v>#VALUE!</v>
      </c>
      <c r="BL130" s="10" t="e">
        <f t="shared" si="94"/>
        <v>#VALUE!</v>
      </c>
      <c r="BM130" s="10" t="e">
        <f t="shared" si="148"/>
        <v>#VALUE!</v>
      </c>
      <c r="BP130" s="10" t="e">
        <f t="shared" si="120"/>
        <v>#VALUE!</v>
      </c>
      <c r="BQ130" s="10" t="e">
        <f t="shared" si="121"/>
        <v>#VALUE!</v>
      </c>
      <c r="BR130" s="10" t="e">
        <f t="shared" si="122"/>
        <v>#VALUE!</v>
      </c>
      <c r="BS130" s="10" t="e">
        <f t="shared" si="123"/>
        <v>#VALUE!</v>
      </c>
      <c r="BT130" s="10" t="e">
        <f t="shared" si="124"/>
        <v>#VALUE!</v>
      </c>
      <c r="BU130" s="10" t="e">
        <f t="shared" si="125"/>
        <v>#VALUE!</v>
      </c>
      <c r="BW130" s="10" t="e">
        <f t="shared" si="126"/>
        <v>#VALUE!</v>
      </c>
      <c r="BX130" s="10" t="e">
        <f t="shared" si="127"/>
        <v>#VALUE!</v>
      </c>
      <c r="BY130" s="10" t="e">
        <f t="shared" si="128"/>
        <v>#VALUE!</v>
      </c>
      <c r="BZ130" s="10" t="e">
        <f t="shared" si="129"/>
        <v>#VALUE!</v>
      </c>
      <c r="CA130" s="10" t="e">
        <f t="shared" si="130"/>
        <v>#VALUE!</v>
      </c>
      <c r="CB130" s="10" t="e">
        <f t="shared" si="131"/>
        <v>#VALUE!</v>
      </c>
      <c r="CD130" s="10" t="e">
        <f>MATCH(INDEX($BP$12:$BU$12,1,MATCH(BP130,$BP$15:$BU$15,0)),结果汇总!$AI$10:$AI$13,0)</f>
        <v>#VALUE!</v>
      </c>
      <c r="CE130" s="10" t="e">
        <f>MATCH(INDEX($BP$12:$BU$12,1,MATCH(BQ130,$BP$15:$BU$15,0)),结果汇总!$AI$10:$AI$13,0)</f>
        <v>#VALUE!</v>
      </c>
      <c r="CF130" s="10" t="e">
        <f>MATCH(INDEX($BP$12:$BU$12,1,MATCH(BR130,$BP$15:$BU$15,0)),结果汇总!$AI$10:$AI$13,0)</f>
        <v>#VALUE!</v>
      </c>
      <c r="CG130" s="10" t="e">
        <f>MATCH(INDEX($BP$12:$BU$12,1,MATCH(BS130,$BP$15:$BU$15,0)),结果汇总!$AI$10:$AI$13,0)</f>
        <v>#VALUE!</v>
      </c>
      <c r="CH130" s="10" t="e">
        <f>MATCH(INDEX($BP$12:$BU$12,1,MATCH(BT130,$BP$15:$BU$15,0)),结果汇总!$AI$10:$AI$13,0)</f>
        <v>#VALUE!</v>
      </c>
      <c r="CI130" s="10" t="e">
        <f>MATCH(INDEX($BP$12:$BU$12,1,MATCH(BU130,$BP$15:$BU$15,0)),结果汇总!$AI$10:$AI$13,0)</f>
        <v>#VALUE!</v>
      </c>
      <c r="CK130" s="10">
        <f t="shared" si="149"/>
        <v>0</v>
      </c>
      <c r="CL130" s="10">
        <f t="shared" si="149"/>
        <v>0</v>
      </c>
      <c r="CM130" s="10">
        <f t="shared" si="149"/>
        <v>0</v>
      </c>
      <c r="CN130" s="10">
        <f t="shared" si="149"/>
        <v>0</v>
      </c>
      <c r="CO130" s="10" t="e">
        <f t="shared" si="150"/>
        <v>#DIV/0!</v>
      </c>
      <c r="CP130" s="10" t="e">
        <f t="shared" si="150"/>
        <v>#DIV/0!</v>
      </c>
      <c r="CQ130" s="10" t="e">
        <f t="shared" si="150"/>
        <v>#DIV/0!</v>
      </c>
      <c r="CR130" s="10" t="e">
        <f t="shared" si="150"/>
        <v>#DIV/0!</v>
      </c>
      <c r="CS130" s="10">
        <f t="shared" si="151"/>
        <v>0</v>
      </c>
      <c r="CT130" s="10">
        <f t="shared" si="151"/>
        <v>0</v>
      </c>
      <c r="CU130" s="10">
        <f t="shared" si="151"/>
        <v>0</v>
      </c>
      <c r="CV130" s="10">
        <f t="shared" si="151"/>
        <v>0</v>
      </c>
      <c r="CW130" s="10" t="e">
        <f t="shared" si="152"/>
        <v>#DIV/0!</v>
      </c>
      <c r="CX130" s="10" t="e">
        <f t="shared" si="152"/>
        <v>#DIV/0!</v>
      </c>
      <c r="CY130" s="10" t="e">
        <f t="shared" si="152"/>
        <v>#DIV/0!</v>
      </c>
      <c r="CZ130" s="10" t="e">
        <f t="shared" si="152"/>
        <v>#DIV/0!</v>
      </c>
    </row>
    <row r="131" spans="4:104" x14ac:dyDescent="0.15">
      <c r="D131" s="10">
        <v>116</v>
      </c>
      <c r="E131" s="10" t="e">
        <f t="shared" si="95"/>
        <v>#VALUE!</v>
      </c>
      <c r="F131" s="10" t="e">
        <f t="shared" si="79"/>
        <v>#VALUE!</v>
      </c>
      <c r="G131" s="10" t="e">
        <f t="shared" si="80"/>
        <v>#VALUE!</v>
      </c>
      <c r="H131" s="10" t="e">
        <f t="shared" si="96"/>
        <v>#VALUE!</v>
      </c>
      <c r="I131" s="10" t="e">
        <f t="shared" si="81"/>
        <v>#VALUE!</v>
      </c>
      <c r="J131" s="10" t="e">
        <f t="shared" si="97"/>
        <v>#VALUE!</v>
      </c>
      <c r="K131" s="10" t="e">
        <f t="shared" si="82"/>
        <v>#VALUE!</v>
      </c>
      <c r="L131" s="10" t="e">
        <f t="shared" si="83"/>
        <v>#VALUE!</v>
      </c>
      <c r="M131" s="10" t="e">
        <f t="shared" si="98"/>
        <v>#VALUE!</v>
      </c>
      <c r="O131" s="10" t="e">
        <f t="shared" si="99"/>
        <v>#VALUE!</v>
      </c>
      <c r="P131" s="10" t="e">
        <f t="shared" si="84"/>
        <v>#VALUE!</v>
      </c>
      <c r="Q131" s="10" t="e">
        <f t="shared" si="85"/>
        <v>#VALUE!</v>
      </c>
      <c r="R131" s="10" t="e">
        <f t="shared" si="100"/>
        <v>#VALUE!</v>
      </c>
      <c r="S131" s="10" t="e">
        <f t="shared" si="101"/>
        <v>#VALUE!</v>
      </c>
      <c r="T131" s="10" t="e">
        <f t="shared" si="136"/>
        <v>#VALUE!</v>
      </c>
      <c r="U131" s="10" t="e">
        <f t="shared" si="137"/>
        <v>#VALUE!</v>
      </c>
      <c r="V131" s="10" t="e">
        <f t="shared" si="86"/>
        <v>#VALUE!</v>
      </c>
      <c r="W131" s="10" t="e">
        <f t="shared" si="102"/>
        <v>#VALUE!</v>
      </c>
      <c r="Y131" s="10" t="e">
        <f t="shared" si="103"/>
        <v>#VALUE!</v>
      </c>
      <c r="Z131" s="11" t="e">
        <f t="shared" si="104"/>
        <v>#VALUE!</v>
      </c>
      <c r="AA131" s="10" t="e">
        <f t="shared" si="87"/>
        <v>#VALUE!</v>
      </c>
      <c r="AB131" s="10" t="e">
        <f t="shared" si="105"/>
        <v>#VALUE!</v>
      </c>
      <c r="AC131" s="10" t="e">
        <f t="shared" si="106"/>
        <v>#VALUE!</v>
      </c>
      <c r="AD131" s="10" t="e">
        <f t="shared" si="138"/>
        <v>#VALUE!</v>
      </c>
      <c r="AE131" s="10" t="e">
        <f t="shared" si="139"/>
        <v>#VALUE!</v>
      </c>
      <c r="AF131" s="10" t="e">
        <f t="shared" si="88"/>
        <v>#VALUE!</v>
      </c>
      <c r="AG131" s="10" t="e">
        <f t="shared" si="107"/>
        <v>#VALUE!</v>
      </c>
      <c r="AI131" s="13"/>
      <c r="AK131" s="10" t="e">
        <f t="shared" si="108"/>
        <v>#VALUE!</v>
      </c>
      <c r="AL131" s="10" t="e">
        <f t="shared" si="140"/>
        <v>#VALUE!</v>
      </c>
      <c r="AM131" s="10" t="e">
        <f t="shared" si="89"/>
        <v>#VALUE!</v>
      </c>
      <c r="AN131" s="10" t="e">
        <f t="shared" si="109"/>
        <v>#VALUE!</v>
      </c>
      <c r="AO131" s="10" t="e">
        <f t="shared" si="110"/>
        <v>#VALUE!</v>
      </c>
      <c r="AP131" s="10" t="e">
        <f t="shared" si="111"/>
        <v>#VALUE!</v>
      </c>
      <c r="AQ131" s="10" t="e">
        <f t="shared" si="141"/>
        <v>#VALUE!</v>
      </c>
      <c r="AR131" s="10" t="e">
        <f t="shared" si="90"/>
        <v>#VALUE!</v>
      </c>
      <c r="AS131" s="10" t="e">
        <f t="shared" si="142"/>
        <v>#VALUE!</v>
      </c>
      <c r="AU131" s="10" t="e">
        <f t="shared" si="112"/>
        <v>#VALUE!</v>
      </c>
      <c r="AV131" s="10" t="e">
        <f t="shared" si="143"/>
        <v>#VALUE!</v>
      </c>
      <c r="AW131" s="10" t="e">
        <f t="shared" si="91"/>
        <v>#VALUE!</v>
      </c>
      <c r="AX131" s="10" t="e">
        <f t="shared" si="113"/>
        <v>#VALUE!</v>
      </c>
      <c r="AY131" s="10" t="e">
        <f t="shared" si="114"/>
        <v>#VALUE!</v>
      </c>
      <c r="AZ131" s="10" t="e">
        <f t="shared" si="115"/>
        <v>#VALUE!</v>
      </c>
      <c r="BA131" s="10" t="e">
        <f t="shared" si="144"/>
        <v>#VALUE!</v>
      </c>
      <c r="BB131" s="10" t="e">
        <f t="shared" si="92"/>
        <v>#VALUE!</v>
      </c>
      <c r="BC131" s="10" t="e">
        <f t="shared" si="145"/>
        <v>#VALUE!</v>
      </c>
      <c r="BE131" s="10" t="e">
        <f t="shared" si="116"/>
        <v>#VALUE!</v>
      </c>
      <c r="BF131" s="10" t="e">
        <f t="shared" si="146"/>
        <v>#VALUE!</v>
      </c>
      <c r="BG131" s="10" t="e">
        <f t="shared" si="93"/>
        <v>#VALUE!</v>
      </c>
      <c r="BH131" s="10" t="e">
        <f t="shared" si="117"/>
        <v>#VALUE!</v>
      </c>
      <c r="BI131" s="10" t="e">
        <f t="shared" si="118"/>
        <v>#VALUE!</v>
      </c>
      <c r="BJ131" s="10" t="e">
        <f t="shared" si="119"/>
        <v>#VALUE!</v>
      </c>
      <c r="BK131" s="10" t="e">
        <f t="shared" si="147"/>
        <v>#VALUE!</v>
      </c>
      <c r="BL131" s="10" t="e">
        <f t="shared" si="94"/>
        <v>#VALUE!</v>
      </c>
      <c r="BM131" s="10" t="e">
        <f t="shared" si="148"/>
        <v>#VALUE!</v>
      </c>
      <c r="BP131" s="10" t="e">
        <f t="shared" si="120"/>
        <v>#VALUE!</v>
      </c>
      <c r="BQ131" s="10" t="e">
        <f t="shared" si="121"/>
        <v>#VALUE!</v>
      </c>
      <c r="BR131" s="10" t="e">
        <f t="shared" si="122"/>
        <v>#VALUE!</v>
      </c>
      <c r="BS131" s="10" t="e">
        <f t="shared" si="123"/>
        <v>#VALUE!</v>
      </c>
      <c r="BT131" s="10" t="e">
        <f t="shared" si="124"/>
        <v>#VALUE!</v>
      </c>
      <c r="BU131" s="10" t="e">
        <f t="shared" si="125"/>
        <v>#VALUE!</v>
      </c>
      <c r="BW131" s="10" t="e">
        <f t="shared" si="126"/>
        <v>#VALUE!</v>
      </c>
      <c r="BX131" s="10" t="e">
        <f t="shared" si="127"/>
        <v>#VALUE!</v>
      </c>
      <c r="BY131" s="10" t="e">
        <f t="shared" si="128"/>
        <v>#VALUE!</v>
      </c>
      <c r="BZ131" s="10" t="e">
        <f t="shared" si="129"/>
        <v>#VALUE!</v>
      </c>
      <c r="CA131" s="10" t="e">
        <f t="shared" si="130"/>
        <v>#VALUE!</v>
      </c>
      <c r="CB131" s="10" t="e">
        <f t="shared" si="131"/>
        <v>#VALUE!</v>
      </c>
      <c r="CD131" s="10" t="e">
        <f>MATCH(INDEX($BP$12:$BU$12,1,MATCH(BP131,$BP$15:$BU$15,0)),结果汇总!$AI$10:$AI$13,0)</f>
        <v>#VALUE!</v>
      </c>
      <c r="CE131" s="10" t="e">
        <f>MATCH(INDEX($BP$12:$BU$12,1,MATCH(BQ131,$BP$15:$BU$15,0)),结果汇总!$AI$10:$AI$13,0)</f>
        <v>#VALUE!</v>
      </c>
      <c r="CF131" s="10" t="e">
        <f>MATCH(INDEX($BP$12:$BU$12,1,MATCH(BR131,$BP$15:$BU$15,0)),结果汇总!$AI$10:$AI$13,0)</f>
        <v>#VALUE!</v>
      </c>
      <c r="CG131" s="10" t="e">
        <f>MATCH(INDEX($BP$12:$BU$12,1,MATCH(BS131,$BP$15:$BU$15,0)),结果汇总!$AI$10:$AI$13,0)</f>
        <v>#VALUE!</v>
      </c>
      <c r="CH131" s="10" t="e">
        <f>MATCH(INDEX($BP$12:$BU$12,1,MATCH(BT131,$BP$15:$BU$15,0)),结果汇总!$AI$10:$AI$13,0)</f>
        <v>#VALUE!</v>
      </c>
      <c r="CI131" s="10" t="e">
        <f>MATCH(INDEX($BP$12:$BU$12,1,MATCH(BU131,$BP$15:$BU$15,0)),结果汇总!$AI$10:$AI$13,0)</f>
        <v>#VALUE!</v>
      </c>
      <c r="CK131" s="10">
        <f t="shared" si="149"/>
        <v>0</v>
      </c>
      <c r="CL131" s="10">
        <f t="shared" si="149"/>
        <v>0</v>
      </c>
      <c r="CM131" s="10">
        <f t="shared" si="149"/>
        <v>0</v>
      </c>
      <c r="CN131" s="10">
        <f t="shared" si="149"/>
        <v>0</v>
      </c>
      <c r="CO131" s="10" t="e">
        <f t="shared" si="150"/>
        <v>#DIV/0!</v>
      </c>
      <c r="CP131" s="10" t="e">
        <f t="shared" si="150"/>
        <v>#DIV/0!</v>
      </c>
      <c r="CQ131" s="10" t="e">
        <f t="shared" si="150"/>
        <v>#DIV/0!</v>
      </c>
      <c r="CR131" s="10" t="e">
        <f t="shared" si="150"/>
        <v>#DIV/0!</v>
      </c>
      <c r="CS131" s="10">
        <f t="shared" si="151"/>
        <v>0</v>
      </c>
      <c r="CT131" s="10">
        <f t="shared" si="151"/>
        <v>0</v>
      </c>
      <c r="CU131" s="10">
        <f t="shared" si="151"/>
        <v>0</v>
      </c>
      <c r="CV131" s="10">
        <f t="shared" si="151"/>
        <v>0</v>
      </c>
      <c r="CW131" s="10" t="e">
        <f t="shared" si="152"/>
        <v>#DIV/0!</v>
      </c>
      <c r="CX131" s="10" t="e">
        <f t="shared" si="152"/>
        <v>#DIV/0!</v>
      </c>
      <c r="CY131" s="10" t="e">
        <f t="shared" si="152"/>
        <v>#DIV/0!</v>
      </c>
      <c r="CZ131" s="10" t="e">
        <f t="shared" si="152"/>
        <v>#DIV/0!</v>
      </c>
    </row>
    <row r="132" spans="4:104" x14ac:dyDescent="0.15">
      <c r="D132" s="10">
        <v>117</v>
      </c>
      <c r="E132" s="10" t="e">
        <f t="shared" si="95"/>
        <v>#VALUE!</v>
      </c>
      <c r="F132" s="10" t="e">
        <f t="shared" si="79"/>
        <v>#VALUE!</v>
      </c>
      <c r="G132" s="10" t="e">
        <f t="shared" si="80"/>
        <v>#VALUE!</v>
      </c>
      <c r="H132" s="10" t="e">
        <f t="shared" si="96"/>
        <v>#VALUE!</v>
      </c>
      <c r="I132" s="10" t="e">
        <f t="shared" si="81"/>
        <v>#VALUE!</v>
      </c>
      <c r="J132" s="10" t="e">
        <f t="shared" si="97"/>
        <v>#VALUE!</v>
      </c>
      <c r="K132" s="10" t="e">
        <f t="shared" si="82"/>
        <v>#VALUE!</v>
      </c>
      <c r="L132" s="10" t="e">
        <f t="shared" si="83"/>
        <v>#VALUE!</v>
      </c>
      <c r="M132" s="10" t="e">
        <f t="shared" si="98"/>
        <v>#VALUE!</v>
      </c>
      <c r="O132" s="10" t="e">
        <f t="shared" si="99"/>
        <v>#VALUE!</v>
      </c>
      <c r="P132" s="10" t="e">
        <f t="shared" si="84"/>
        <v>#VALUE!</v>
      </c>
      <c r="Q132" s="10" t="e">
        <f t="shared" si="85"/>
        <v>#VALUE!</v>
      </c>
      <c r="R132" s="10" t="e">
        <f t="shared" si="100"/>
        <v>#VALUE!</v>
      </c>
      <c r="S132" s="10" t="e">
        <f t="shared" si="101"/>
        <v>#VALUE!</v>
      </c>
      <c r="T132" s="10" t="e">
        <f t="shared" si="136"/>
        <v>#VALUE!</v>
      </c>
      <c r="U132" s="10" t="e">
        <f t="shared" si="137"/>
        <v>#VALUE!</v>
      </c>
      <c r="V132" s="10" t="e">
        <f t="shared" si="86"/>
        <v>#VALUE!</v>
      </c>
      <c r="W132" s="10" t="e">
        <f t="shared" si="102"/>
        <v>#VALUE!</v>
      </c>
      <c r="Y132" s="10" t="e">
        <f t="shared" si="103"/>
        <v>#VALUE!</v>
      </c>
      <c r="Z132" s="11" t="e">
        <f t="shared" si="104"/>
        <v>#VALUE!</v>
      </c>
      <c r="AA132" s="10" t="e">
        <f t="shared" si="87"/>
        <v>#VALUE!</v>
      </c>
      <c r="AB132" s="10" t="e">
        <f t="shared" si="105"/>
        <v>#VALUE!</v>
      </c>
      <c r="AC132" s="10" t="e">
        <f t="shared" si="106"/>
        <v>#VALUE!</v>
      </c>
      <c r="AD132" s="10" t="e">
        <f t="shared" si="138"/>
        <v>#VALUE!</v>
      </c>
      <c r="AE132" s="10" t="e">
        <f t="shared" si="139"/>
        <v>#VALUE!</v>
      </c>
      <c r="AF132" s="10" t="e">
        <f t="shared" si="88"/>
        <v>#VALUE!</v>
      </c>
      <c r="AG132" s="10" t="e">
        <f t="shared" si="107"/>
        <v>#VALUE!</v>
      </c>
      <c r="AI132" s="13"/>
      <c r="AK132" s="10" t="e">
        <f t="shared" si="108"/>
        <v>#VALUE!</v>
      </c>
      <c r="AL132" s="10" t="e">
        <f t="shared" si="140"/>
        <v>#VALUE!</v>
      </c>
      <c r="AM132" s="10" t="e">
        <f t="shared" si="89"/>
        <v>#VALUE!</v>
      </c>
      <c r="AN132" s="10" t="e">
        <f t="shared" si="109"/>
        <v>#VALUE!</v>
      </c>
      <c r="AO132" s="10" t="e">
        <f t="shared" si="110"/>
        <v>#VALUE!</v>
      </c>
      <c r="AP132" s="10" t="e">
        <f t="shared" si="111"/>
        <v>#VALUE!</v>
      </c>
      <c r="AQ132" s="10" t="e">
        <f t="shared" si="141"/>
        <v>#VALUE!</v>
      </c>
      <c r="AR132" s="10" t="e">
        <f t="shared" si="90"/>
        <v>#VALUE!</v>
      </c>
      <c r="AS132" s="10" t="e">
        <f t="shared" si="142"/>
        <v>#VALUE!</v>
      </c>
      <c r="AU132" s="10" t="e">
        <f t="shared" si="112"/>
        <v>#VALUE!</v>
      </c>
      <c r="AV132" s="10" t="e">
        <f t="shared" si="143"/>
        <v>#VALUE!</v>
      </c>
      <c r="AW132" s="10" t="e">
        <f t="shared" si="91"/>
        <v>#VALUE!</v>
      </c>
      <c r="AX132" s="10" t="e">
        <f t="shared" si="113"/>
        <v>#VALUE!</v>
      </c>
      <c r="AY132" s="10" t="e">
        <f t="shared" si="114"/>
        <v>#VALUE!</v>
      </c>
      <c r="AZ132" s="10" t="e">
        <f t="shared" si="115"/>
        <v>#VALUE!</v>
      </c>
      <c r="BA132" s="10" t="e">
        <f t="shared" si="144"/>
        <v>#VALUE!</v>
      </c>
      <c r="BB132" s="10" t="e">
        <f t="shared" si="92"/>
        <v>#VALUE!</v>
      </c>
      <c r="BC132" s="10" t="e">
        <f t="shared" si="145"/>
        <v>#VALUE!</v>
      </c>
      <c r="BE132" s="10" t="e">
        <f t="shared" si="116"/>
        <v>#VALUE!</v>
      </c>
      <c r="BF132" s="10" t="e">
        <f t="shared" si="146"/>
        <v>#VALUE!</v>
      </c>
      <c r="BG132" s="10" t="e">
        <f t="shared" si="93"/>
        <v>#VALUE!</v>
      </c>
      <c r="BH132" s="10" t="e">
        <f t="shared" si="117"/>
        <v>#VALUE!</v>
      </c>
      <c r="BI132" s="10" t="e">
        <f t="shared" si="118"/>
        <v>#VALUE!</v>
      </c>
      <c r="BJ132" s="10" t="e">
        <f t="shared" si="119"/>
        <v>#VALUE!</v>
      </c>
      <c r="BK132" s="10" t="e">
        <f t="shared" si="147"/>
        <v>#VALUE!</v>
      </c>
      <c r="BL132" s="10" t="e">
        <f t="shared" si="94"/>
        <v>#VALUE!</v>
      </c>
      <c r="BM132" s="10" t="e">
        <f t="shared" si="148"/>
        <v>#VALUE!</v>
      </c>
      <c r="BP132" s="10" t="e">
        <f t="shared" si="120"/>
        <v>#VALUE!</v>
      </c>
      <c r="BQ132" s="10" t="e">
        <f t="shared" si="121"/>
        <v>#VALUE!</v>
      </c>
      <c r="BR132" s="10" t="e">
        <f t="shared" si="122"/>
        <v>#VALUE!</v>
      </c>
      <c r="BS132" s="10" t="e">
        <f t="shared" si="123"/>
        <v>#VALUE!</v>
      </c>
      <c r="BT132" s="10" t="e">
        <f t="shared" si="124"/>
        <v>#VALUE!</v>
      </c>
      <c r="BU132" s="10" t="e">
        <f t="shared" si="125"/>
        <v>#VALUE!</v>
      </c>
      <c r="BW132" s="10" t="e">
        <f t="shared" si="126"/>
        <v>#VALUE!</v>
      </c>
      <c r="BX132" s="10" t="e">
        <f t="shared" si="127"/>
        <v>#VALUE!</v>
      </c>
      <c r="BY132" s="10" t="e">
        <f t="shared" si="128"/>
        <v>#VALUE!</v>
      </c>
      <c r="BZ132" s="10" t="e">
        <f t="shared" si="129"/>
        <v>#VALUE!</v>
      </c>
      <c r="CA132" s="10" t="e">
        <f t="shared" si="130"/>
        <v>#VALUE!</v>
      </c>
      <c r="CB132" s="10" t="e">
        <f t="shared" si="131"/>
        <v>#VALUE!</v>
      </c>
      <c r="CD132" s="10" t="e">
        <f>MATCH(INDEX($BP$12:$BU$12,1,MATCH(BP132,$BP$15:$BU$15,0)),结果汇总!$AI$10:$AI$13,0)</f>
        <v>#VALUE!</v>
      </c>
      <c r="CE132" s="10" t="e">
        <f>MATCH(INDEX($BP$12:$BU$12,1,MATCH(BQ132,$BP$15:$BU$15,0)),结果汇总!$AI$10:$AI$13,0)</f>
        <v>#VALUE!</v>
      </c>
      <c r="CF132" s="10" t="e">
        <f>MATCH(INDEX($BP$12:$BU$12,1,MATCH(BR132,$BP$15:$BU$15,0)),结果汇总!$AI$10:$AI$13,0)</f>
        <v>#VALUE!</v>
      </c>
      <c r="CG132" s="10" t="e">
        <f>MATCH(INDEX($BP$12:$BU$12,1,MATCH(BS132,$BP$15:$BU$15,0)),结果汇总!$AI$10:$AI$13,0)</f>
        <v>#VALUE!</v>
      </c>
      <c r="CH132" s="10" t="e">
        <f>MATCH(INDEX($BP$12:$BU$12,1,MATCH(BT132,$BP$15:$BU$15,0)),结果汇总!$AI$10:$AI$13,0)</f>
        <v>#VALUE!</v>
      </c>
      <c r="CI132" s="10" t="e">
        <f>MATCH(INDEX($BP$12:$BU$12,1,MATCH(BU132,$BP$15:$BU$15,0)),结果汇总!$AI$10:$AI$13,0)</f>
        <v>#VALUE!</v>
      </c>
      <c r="CK132" s="10">
        <f t="shared" si="149"/>
        <v>0</v>
      </c>
      <c r="CL132" s="10">
        <f t="shared" si="149"/>
        <v>0</v>
      </c>
      <c r="CM132" s="10">
        <f t="shared" si="149"/>
        <v>0</v>
      </c>
      <c r="CN132" s="10">
        <f t="shared" si="149"/>
        <v>0</v>
      </c>
      <c r="CO132" s="10" t="e">
        <f t="shared" si="150"/>
        <v>#DIV/0!</v>
      </c>
      <c r="CP132" s="10" t="e">
        <f t="shared" si="150"/>
        <v>#DIV/0!</v>
      </c>
      <c r="CQ132" s="10" t="e">
        <f t="shared" si="150"/>
        <v>#DIV/0!</v>
      </c>
      <c r="CR132" s="10" t="e">
        <f t="shared" si="150"/>
        <v>#DIV/0!</v>
      </c>
      <c r="CS132" s="10">
        <f t="shared" si="151"/>
        <v>0</v>
      </c>
      <c r="CT132" s="10">
        <f t="shared" si="151"/>
        <v>0</v>
      </c>
      <c r="CU132" s="10">
        <f t="shared" si="151"/>
        <v>0</v>
      </c>
      <c r="CV132" s="10">
        <f t="shared" si="151"/>
        <v>0</v>
      </c>
      <c r="CW132" s="10" t="e">
        <f t="shared" si="152"/>
        <v>#DIV/0!</v>
      </c>
      <c r="CX132" s="10" t="e">
        <f t="shared" si="152"/>
        <v>#DIV/0!</v>
      </c>
      <c r="CY132" s="10" t="e">
        <f t="shared" si="152"/>
        <v>#DIV/0!</v>
      </c>
      <c r="CZ132" s="10" t="e">
        <f t="shared" si="152"/>
        <v>#DIV/0!</v>
      </c>
    </row>
    <row r="133" spans="4:104" x14ac:dyDescent="0.15">
      <c r="D133" s="10">
        <v>118</v>
      </c>
      <c r="E133" s="10" t="e">
        <f t="shared" si="95"/>
        <v>#VALUE!</v>
      </c>
      <c r="F133" s="10" t="e">
        <f t="shared" si="79"/>
        <v>#VALUE!</v>
      </c>
      <c r="G133" s="10" t="e">
        <f t="shared" si="80"/>
        <v>#VALUE!</v>
      </c>
      <c r="H133" s="10" t="e">
        <f t="shared" si="96"/>
        <v>#VALUE!</v>
      </c>
      <c r="I133" s="10" t="e">
        <f t="shared" si="81"/>
        <v>#VALUE!</v>
      </c>
      <c r="J133" s="10" t="e">
        <f t="shared" si="97"/>
        <v>#VALUE!</v>
      </c>
      <c r="K133" s="10" t="e">
        <f t="shared" si="82"/>
        <v>#VALUE!</v>
      </c>
      <c r="L133" s="10" t="e">
        <f t="shared" si="83"/>
        <v>#VALUE!</v>
      </c>
      <c r="M133" s="10" t="e">
        <f t="shared" si="98"/>
        <v>#VALUE!</v>
      </c>
      <c r="O133" s="10" t="e">
        <f t="shared" si="99"/>
        <v>#VALUE!</v>
      </c>
      <c r="P133" s="10" t="e">
        <f t="shared" si="84"/>
        <v>#VALUE!</v>
      </c>
      <c r="Q133" s="10" t="e">
        <f t="shared" si="85"/>
        <v>#VALUE!</v>
      </c>
      <c r="R133" s="10" t="e">
        <f t="shared" si="100"/>
        <v>#VALUE!</v>
      </c>
      <c r="S133" s="10" t="e">
        <f t="shared" si="101"/>
        <v>#VALUE!</v>
      </c>
      <c r="T133" s="10" t="e">
        <f t="shared" si="136"/>
        <v>#VALUE!</v>
      </c>
      <c r="U133" s="10" t="e">
        <f t="shared" si="137"/>
        <v>#VALUE!</v>
      </c>
      <c r="V133" s="10" t="e">
        <f t="shared" si="86"/>
        <v>#VALUE!</v>
      </c>
      <c r="W133" s="10" t="e">
        <f t="shared" si="102"/>
        <v>#VALUE!</v>
      </c>
      <c r="Y133" s="10" t="e">
        <f t="shared" si="103"/>
        <v>#VALUE!</v>
      </c>
      <c r="Z133" s="11" t="e">
        <f t="shared" si="104"/>
        <v>#VALUE!</v>
      </c>
      <c r="AA133" s="10" t="e">
        <f t="shared" si="87"/>
        <v>#VALUE!</v>
      </c>
      <c r="AB133" s="10" t="e">
        <f t="shared" si="105"/>
        <v>#VALUE!</v>
      </c>
      <c r="AC133" s="10" t="e">
        <f t="shared" si="106"/>
        <v>#VALUE!</v>
      </c>
      <c r="AD133" s="10" t="e">
        <f t="shared" si="138"/>
        <v>#VALUE!</v>
      </c>
      <c r="AE133" s="10" t="e">
        <f t="shared" si="139"/>
        <v>#VALUE!</v>
      </c>
      <c r="AF133" s="10" t="e">
        <f t="shared" si="88"/>
        <v>#VALUE!</v>
      </c>
      <c r="AG133" s="10" t="e">
        <f t="shared" si="107"/>
        <v>#VALUE!</v>
      </c>
      <c r="AI133" s="13"/>
      <c r="AK133" s="10" t="e">
        <f t="shared" si="108"/>
        <v>#VALUE!</v>
      </c>
      <c r="AL133" s="10" t="e">
        <f t="shared" si="140"/>
        <v>#VALUE!</v>
      </c>
      <c r="AM133" s="10" t="e">
        <f t="shared" si="89"/>
        <v>#VALUE!</v>
      </c>
      <c r="AN133" s="10" t="e">
        <f t="shared" si="109"/>
        <v>#VALUE!</v>
      </c>
      <c r="AO133" s="10" t="e">
        <f t="shared" si="110"/>
        <v>#VALUE!</v>
      </c>
      <c r="AP133" s="10" t="e">
        <f t="shared" si="111"/>
        <v>#VALUE!</v>
      </c>
      <c r="AQ133" s="10" t="e">
        <f t="shared" si="141"/>
        <v>#VALUE!</v>
      </c>
      <c r="AR133" s="10" t="e">
        <f t="shared" si="90"/>
        <v>#VALUE!</v>
      </c>
      <c r="AS133" s="10" t="e">
        <f t="shared" si="142"/>
        <v>#VALUE!</v>
      </c>
      <c r="AU133" s="10" t="e">
        <f t="shared" si="112"/>
        <v>#VALUE!</v>
      </c>
      <c r="AV133" s="10" t="e">
        <f t="shared" si="143"/>
        <v>#VALUE!</v>
      </c>
      <c r="AW133" s="10" t="e">
        <f t="shared" si="91"/>
        <v>#VALUE!</v>
      </c>
      <c r="AX133" s="10" t="e">
        <f t="shared" si="113"/>
        <v>#VALUE!</v>
      </c>
      <c r="AY133" s="10" t="e">
        <f t="shared" si="114"/>
        <v>#VALUE!</v>
      </c>
      <c r="AZ133" s="10" t="e">
        <f t="shared" si="115"/>
        <v>#VALUE!</v>
      </c>
      <c r="BA133" s="10" t="e">
        <f t="shared" si="144"/>
        <v>#VALUE!</v>
      </c>
      <c r="BB133" s="10" t="e">
        <f t="shared" si="92"/>
        <v>#VALUE!</v>
      </c>
      <c r="BC133" s="10" t="e">
        <f t="shared" si="145"/>
        <v>#VALUE!</v>
      </c>
      <c r="BE133" s="10" t="e">
        <f t="shared" si="116"/>
        <v>#VALUE!</v>
      </c>
      <c r="BF133" s="10" t="e">
        <f t="shared" si="146"/>
        <v>#VALUE!</v>
      </c>
      <c r="BG133" s="10" t="e">
        <f t="shared" si="93"/>
        <v>#VALUE!</v>
      </c>
      <c r="BH133" s="10" t="e">
        <f t="shared" si="117"/>
        <v>#VALUE!</v>
      </c>
      <c r="BI133" s="10" t="e">
        <f t="shared" si="118"/>
        <v>#VALUE!</v>
      </c>
      <c r="BJ133" s="10" t="e">
        <f t="shared" si="119"/>
        <v>#VALUE!</v>
      </c>
      <c r="BK133" s="10" t="e">
        <f t="shared" si="147"/>
        <v>#VALUE!</v>
      </c>
      <c r="BL133" s="10" t="e">
        <f t="shared" si="94"/>
        <v>#VALUE!</v>
      </c>
      <c r="BM133" s="10" t="e">
        <f t="shared" si="148"/>
        <v>#VALUE!</v>
      </c>
      <c r="BP133" s="10" t="e">
        <f t="shared" si="120"/>
        <v>#VALUE!</v>
      </c>
      <c r="BQ133" s="10" t="e">
        <f t="shared" si="121"/>
        <v>#VALUE!</v>
      </c>
      <c r="BR133" s="10" t="e">
        <f t="shared" si="122"/>
        <v>#VALUE!</v>
      </c>
      <c r="BS133" s="10" t="e">
        <f t="shared" si="123"/>
        <v>#VALUE!</v>
      </c>
      <c r="BT133" s="10" t="e">
        <f t="shared" si="124"/>
        <v>#VALUE!</v>
      </c>
      <c r="BU133" s="10" t="e">
        <f t="shared" si="125"/>
        <v>#VALUE!</v>
      </c>
      <c r="BW133" s="10" t="e">
        <f t="shared" si="126"/>
        <v>#VALUE!</v>
      </c>
      <c r="BX133" s="10" t="e">
        <f t="shared" si="127"/>
        <v>#VALUE!</v>
      </c>
      <c r="BY133" s="10" t="e">
        <f t="shared" si="128"/>
        <v>#VALUE!</v>
      </c>
      <c r="BZ133" s="10" t="e">
        <f t="shared" si="129"/>
        <v>#VALUE!</v>
      </c>
      <c r="CA133" s="10" t="e">
        <f t="shared" si="130"/>
        <v>#VALUE!</v>
      </c>
      <c r="CB133" s="10" t="e">
        <f t="shared" si="131"/>
        <v>#VALUE!</v>
      </c>
      <c r="CD133" s="10" t="e">
        <f>MATCH(INDEX($BP$12:$BU$12,1,MATCH(BP133,$BP$15:$BU$15,0)),结果汇总!$AI$10:$AI$13,0)</f>
        <v>#VALUE!</v>
      </c>
      <c r="CE133" s="10" t="e">
        <f>MATCH(INDEX($BP$12:$BU$12,1,MATCH(BQ133,$BP$15:$BU$15,0)),结果汇总!$AI$10:$AI$13,0)</f>
        <v>#VALUE!</v>
      </c>
      <c r="CF133" s="10" t="e">
        <f>MATCH(INDEX($BP$12:$BU$12,1,MATCH(BR133,$BP$15:$BU$15,0)),结果汇总!$AI$10:$AI$13,0)</f>
        <v>#VALUE!</v>
      </c>
      <c r="CG133" s="10" t="e">
        <f>MATCH(INDEX($BP$12:$BU$12,1,MATCH(BS133,$BP$15:$BU$15,0)),结果汇总!$AI$10:$AI$13,0)</f>
        <v>#VALUE!</v>
      </c>
      <c r="CH133" s="10" t="e">
        <f>MATCH(INDEX($BP$12:$BU$12,1,MATCH(BT133,$BP$15:$BU$15,0)),结果汇总!$AI$10:$AI$13,0)</f>
        <v>#VALUE!</v>
      </c>
      <c r="CI133" s="10" t="e">
        <f>MATCH(INDEX($BP$12:$BU$12,1,MATCH(BU133,$BP$15:$BU$15,0)),结果汇总!$AI$10:$AI$13,0)</f>
        <v>#VALUE!</v>
      </c>
      <c r="CK133" s="10">
        <f t="shared" si="149"/>
        <v>0</v>
      </c>
      <c r="CL133" s="10">
        <f t="shared" si="149"/>
        <v>0</v>
      </c>
      <c r="CM133" s="10">
        <f t="shared" si="149"/>
        <v>0</v>
      </c>
      <c r="CN133" s="10">
        <f t="shared" si="149"/>
        <v>0</v>
      </c>
      <c r="CO133" s="10" t="e">
        <f t="shared" si="150"/>
        <v>#DIV/0!</v>
      </c>
      <c r="CP133" s="10" t="e">
        <f t="shared" si="150"/>
        <v>#DIV/0!</v>
      </c>
      <c r="CQ133" s="10" t="e">
        <f t="shared" si="150"/>
        <v>#DIV/0!</v>
      </c>
      <c r="CR133" s="10" t="e">
        <f t="shared" si="150"/>
        <v>#DIV/0!</v>
      </c>
      <c r="CS133" s="10">
        <f t="shared" si="151"/>
        <v>0</v>
      </c>
      <c r="CT133" s="10">
        <f t="shared" si="151"/>
        <v>0</v>
      </c>
      <c r="CU133" s="10">
        <f t="shared" si="151"/>
        <v>0</v>
      </c>
      <c r="CV133" s="10">
        <f t="shared" si="151"/>
        <v>0</v>
      </c>
      <c r="CW133" s="10" t="e">
        <f t="shared" si="152"/>
        <v>#DIV/0!</v>
      </c>
      <c r="CX133" s="10" t="e">
        <f t="shared" si="152"/>
        <v>#DIV/0!</v>
      </c>
      <c r="CY133" s="10" t="e">
        <f t="shared" si="152"/>
        <v>#DIV/0!</v>
      </c>
      <c r="CZ133" s="10" t="e">
        <f t="shared" si="152"/>
        <v>#DIV/0!</v>
      </c>
    </row>
    <row r="134" spans="4:104" x14ac:dyDescent="0.15">
      <c r="D134" s="10">
        <v>119</v>
      </c>
      <c r="E134" s="10" t="e">
        <f t="shared" si="95"/>
        <v>#VALUE!</v>
      </c>
      <c r="F134" s="10" t="e">
        <f t="shared" si="79"/>
        <v>#VALUE!</v>
      </c>
      <c r="G134" s="10" t="e">
        <f t="shared" si="80"/>
        <v>#VALUE!</v>
      </c>
      <c r="H134" s="10" t="e">
        <f t="shared" si="96"/>
        <v>#VALUE!</v>
      </c>
      <c r="I134" s="10" t="e">
        <f t="shared" si="81"/>
        <v>#VALUE!</v>
      </c>
      <c r="J134" s="10" t="e">
        <f t="shared" si="97"/>
        <v>#VALUE!</v>
      </c>
      <c r="K134" s="10" t="e">
        <f t="shared" si="82"/>
        <v>#VALUE!</v>
      </c>
      <c r="L134" s="10" t="e">
        <f t="shared" si="83"/>
        <v>#VALUE!</v>
      </c>
      <c r="M134" s="10" t="e">
        <f t="shared" si="98"/>
        <v>#VALUE!</v>
      </c>
      <c r="O134" s="10" t="e">
        <f t="shared" si="99"/>
        <v>#VALUE!</v>
      </c>
      <c r="P134" s="10" t="e">
        <f t="shared" si="84"/>
        <v>#VALUE!</v>
      </c>
      <c r="Q134" s="10" t="e">
        <f t="shared" si="85"/>
        <v>#VALUE!</v>
      </c>
      <c r="R134" s="10" t="e">
        <f t="shared" si="100"/>
        <v>#VALUE!</v>
      </c>
      <c r="S134" s="10" t="e">
        <f t="shared" si="101"/>
        <v>#VALUE!</v>
      </c>
      <c r="T134" s="10" t="e">
        <f t="shared" si="136"/>
        <v>#VALUE!</v>
      </c>
      <c r="U134" s="10" t="e">
        <f t="shared" si="137"/>
        <v>#VALUE!</v>
      </c>
      <c r="V134" s="10" t="e">
        <f t="shared" si="86"/>
        <v>#VALUE!</v>
      </c>
      <c r="W134" s="10" t="e">
        <f t="shared" si="102"/>
        <v>#VALUE!</v>
      </c>
      <c r="Y134" s="10" t="e">
        <f t="shared" si="103"/>
        <v>#VALUE!</v>
      </c>
      <c r="Z134" s="11" t="e">
        <f t="shared" si="104"/>
        <v>#VALUE!</v>
      </c>
      <c r="AA134" s="10" t="e">
        <f t="shared" si="87"/>
        <v>#VALUE!</v>
      </c>
      <c r="AB134" s="10" t="e">
        <f t="shared" si="105"/>
        <v>#VALUE!</v>
      </c>
      <c r="AC134" s="10" t="e">
        <f t="shared" si="106"/>
        <v>#VALUE!</v>
      </c>
      <c r="AD134" s="10" t="e">
        <f t="shared" si="138"/>
        <v>#VALUE!</v>
      </c>
      <c r="AE134" s="10" t="e">
        <f t="shared" si="139"/>
        <v>#VALUE!</v>
      </c>
      <c r="AF134" s="10" t="e">
        <f t="shared" si="88"/>
        <v>#VALUE!</v>
      </c>
      <c r="AG134" s="10" t="e">
        <f t="shared" si="107"/>
        <v>#VALUE!</v>
      </c>
      <c r="AI134" s="13"/>
      <c r="AK134" s="10" t="e">
        <f t="shared" si="108"/>
        <v>#VALUE!</v>
      </c>
      <c r="AL134" s="10" t="e">
        <f t="shared" si="140"/>
        <v>#VALUE!</v>
      </c>
      <c r="AM134" s="10" t="e">
        <f t="shared" si="89"/>
        <v>#VALUE!</v>
      </c>
      <c r="AN134" s="10" t="e">
        <f t="shared" si="109"/>
        <v>#VALUE!</v>
      </c>
      <c r="AO134" s="10" t="e">
        <f t="shared" si="110"/>
        <v>#VALUE!</v>
      </c>
      <c r="AP134" s="10" t="e">
        <f t="shared" si="111"/>
        <v>#VALUE!</v>
      </c>
      <c r="AQ134" s="10" t="e">
        <f t="shared" si="141"/>
        <v>#VALUE!</v>
      </c>
      <c r="AR134" s="10" t="e">
        <f t="shared" si="90"/>
        <v>#VALUE!</v>
      </c>
      <c r="AS134" s="10" t="e">
        <f t="shared" si="142"/>
        <v>#VALUE!</v>
      </c>
      <c r="AU134" s="10" t="e">
        <f t="shared" si="112"/>
        <v>#VALUE!</v>
      </c>
      <c r="AV134" s="10" t="e">
        <f t="shared" si="143"/>
        <v>#VALUE!</v>
      </c>
      <c r="AW134" s="10" t="e">
        <f t="shared" si="91"/>
        <v>#VALUE!</v>
      </c>
      <c r="AX134" s="10" t="e">
        <f t="shared" si="113"/>
        <v>#VALUE!</v>
      </c>
      <c r="AY134" s="10" t="e">
        <f t="shared" si="114"/>
        <v>#VALUE!</v>
      </c>
      <c r="AZ134" s="10" t="e">
        <f t="shared" si="115"/>
        <v>#VALUE!</v>
      </c>
      <c r="BA134" s="10" t="e">
        <f t="shared" si="144"/>
        <v>#VALUE!</v>
      </c>
      <c r="BB134" s="10" t="e">
        <f t="shared" si="92"/>
        <v>#VALUE!</v>
      </c>
      <c r="BC134" s="10" t="e">
        <f t="shared" si="145"/>
        <v>#VALUE!</v>
      </c>
      <c r="BE134" s="10" t="e">
        <f t="shared" si="116"/>
        <v>#VALUE!</v>
      </c>
      <c r="BF134" s="10" t="e">
        <f t="shared" si="146"/>
        <v>#VALUE!</v>
      </c>
      <c r="BG134" s="10" t="e">
        <f t="shared" si="93"/>
        <v>#VALUE!</v>
      </c>
      <c r="BH134" s="10" t="e">
        <f t="shared" si="117"/>
        <v>#VALUE!</v>
      </c>
      <c r="BI134" s="10" t="e">
        <f t="shared" si="118"/>
        <v>#VALUE!</v>
      </c>
      <c r="BJ134" s="10" t="e">
        <f t="shared" si="119"/>
        <v>#VALUE!</v>
      </c>
      <c r="BK134" s="10" t="e">
        <f t="shared" si="147"/>
        <v>#VALUE!</v>
      </c>
      <c r="BL134" s="10" t="e">
        <f t="shared" si="94"/>
        <v>#VALUE!</v>
      </c>
      <c r="BM134" s="10" t="e">
        <f t="shared" si="148"/>
        <v>#VALUE!</v>
      </c>
      <c r="BP134" s="10" t="e">
        <f t="shared" si="120"/>
        <v>#VALUE!</v>
      </c>
      <c r="BQ134" s="10" t="e">
        <f t="shared" si="121"/>
        <v>#VALUE!</v>
      </c>
      <c r="BR134" s="10" t="e">
        <f t="shared" si="122"/>
        <v>#VALUE!</v>
      </c>
      <c r="BS134" s="10" t="e">
        <f t="shared" si="123"/>
        <v>#VALUE!</v>
      </c>
      <c r="BT134" s="10" t="e">
        <f t="shared" si="124"/>
        <v>#VALUE!</v>
      </c>
      <c r="BU134" s="10" t="e">
        <f t="shared" si="125"/>
        <v>#VALUE!</v>
      </c>
      <c r="BW134" s="10" t="e">
        <f t="shared" si="126"/>
        <v>#VALUE!</v>
      </c>
      <c r="BX134" s="10" t="e">
        <f t="shared" si="127"/>
        <v>#VALUE!</v>
      </c>
      <c r="BY134" s="10" t="e">
        <f t="shared" si="128"/>
        <v>#VALUE!</v>
      </c>
      <c r="BZ134" s="10" t="e">
        <f t="shared" si="129"/>
        <v>#VALUE!</v>
      </c>
      <c r="CA134" s="10" t="e">
        <f t="shared" si="130"/>
        <v>#VALUE!</v>
      </c>
      <c r="CB134" s="10" t="e">
        <f t="shared" si="131"/>
        <v>#VALUE!</v>
      </c>
      <c r="CD134" s="10" t="e">
        <f>MATCH(INDEX($BP$12:$BU$12,1,MATCH(BP134,$BP$15:$BU$15,0)),结果汇总!$AI$10:$AI$13,0)</f>
        <v>#VALUE!</v>
      </c>
      <c r="CE134" s="10" t="e">
        <f>MATCH(INDEX($BP$12:$BU$12,1,MATCH(BQ134,$BP$15:$BU$15,0)),结果汇总!$AI$10:$AI$13,0)</f>
        <v>#VALUE!</v>
      </c>
      <c r="CF134" s="10" t="e">
        <f>MATCH(INDEX($BP$12:$BU$12,1,MATCH(BR134,$BP$15:$BU$15,0)),结果汇总!$AI$10:$AI$13,0)</f>
        <v>#VALUE!</v>
      </c>
      <c r="CG134" s="10" t="e">
        <f>MATCH(INDEX($BP$12:$BU$12,1,MATCH(BS134,$BP$15:$BU$15,0)),结果汇总!$AI$10:$AI$13,0)</f>
        <v>#VALUE!</v>
      </c>
      <c r="CH134" s="10" t="e">
        <f>MATCH(INDEX($BP$12:$BU$12,1,MATCH(BT134,$BP$15:$BU$15,0)),结果汇总!$AI$10:$AI$13,0)</f>
        <v>#VALUE!</v>
      </c>
      <c r="CI134" s="10" t="e">
        <f>MATCH(INDEX($BP$12:$BU$12,1,MATCH(BU134,$BP$15:$BU$15,0)),结果汇总!$AI$10:$AI$13,0)</f>
        <v>#VALUE!</v>
      </c>
      <c r="CK134" s="10">
        <f t="shared" si="149"/>
        <v>0</v>
      </c>
      <c r="CL134" s="10">
        <f t="shared" si="149"/>
        <v>0</v>
      </c>
      <c r="CM134" s="10">
        <f t="shared" si="149"/>
        <v>0</v>
      </c>
      <c r="CN134" s="10">
        <f t="shared" si="149"/>
        <v>0</v>
      </c>
      <c r="CO134" s="10" t="e">
        <f t="shared" si="150"/>
        <v>#DIV/0!</v>
      </c>
      <c r="CP134" s="10" t="e">
        <f t="shared" si="150"/>
        <v>#DIV/0!</v>
      </c>
      <c r="CQ134" s="10" t="e">
        <f t="shared" si="150"/>
        <v>#DIV/0!</v>
      </c>
      <c r="CR134" s="10" t="e">
        <f t="shared" si="150"/>
        <v>#DIV/0!</v>
      </c>
      <c r="CS134" s="10">
        <f t="shared" si="151"/>
        <v>0</v>
      </c>
      <c r="CT134" s="10">
        <f t="shared" si="151"/>
        <v>0</v>
      </c>
      <c r="CU134" s="10">
        <f t="shared" si="151"/>
        <v>0</v>
      </c>
      <c r="CV134" s="10">
        <f t="shared" si="151"/>
        <v>0</v>
      </c>
      <c r="CW134" s="10" t="e">
        <f t="shared" si="152"/>
        <v>#DIV/0!</v>
      </c>
      <c r="CX134" s="10" t="e">
        <f t="shared" si="152"/>
        <v>#DIV/0!</v>
      </c>
      <c r="CY134" s="10" t="e">
        <f t="shared" si="152"/>
        <v>#DIV/0!</v>
      </c>
      <c r="CZ134" s="10" t="e">
        <f t="shared" si="152"/>
        <v>#DIV/0!</v>
      </c>
    </row>
    <row r="135" spans="4:104" x14ac:dyDescent="0.15">
      <c r="D135" s="10">
        <v>120</v>
      </c>
      <c r="E135" s="10" t="e">
        <f t="shared" si="95"/>
        <v>#VALUE!</v>
      </c>
      <c r="F135" s="10" t="e">
        <f t="shared" si="79"/>
        <v>#VALUE!</v>
      </c>
      <c r="G135" s="10" t="e">
        <f t="shared" si="80"/>
        <v>#VALUE!</v>
      </c>
      <c r="H135" s="10" t="e">
        <f t="shared" si="96"/>
        <v>#VALUE!</v>
      </c>
      <c r="I135" s="10" t="e">
        <f t="shared" si="81"/>
        <v>#VALUE!</v>
      </c>
      <c r="J135" s="10" t="e">
        <f t="shared" si="97"/>
        <v>#VALUE!</v>
      </c>
      <c r="K135" s="10" t="e">
        <f t="shared" si="82"/>
        <v>#VALUE!</v>
      </c>
      <c r="L135" s="10" t="e">
        <f t="shared" si="83"/>
        <v>#VALUE!</v>
      </c>
      <c r="M135" s="10" t="e">
        <f t="shared" si="98"/>
        <v>#VALUE!</v>
      </c>
      <c r="O135" s="10" t="e">
        <f t="shared" si="99"/>
        <v>#VALUE!</v>
      </c>
      <c r="P135" s="10" t="e">
        <f t="shared" si="84"/>
        <v>#VALUE!</v>
      </c>
      <c r="Q135" s="10" t="e">
        <f t="shared" si="85"/>
        <v>#VALUE!</v>
      </c>
      <c r="R135" s="10" t="e">
        <f t="shared" si="100"/>
        <v>#VALUE!</v>
      </c>
      <c r="S135" s="10" t="e">
        <f t="shared" si="101"/>
        <v>#VALUE!</v>
      </c>
      <c r="T135" s="10" t="e">
        <f t="shared" si="136"/>
        <v>#VALUE!</v>
      </c>
      <c r="U135" s="10" t="e">
        <f t="shared" si="137"/>
        <v>#VALUE!</v>
      </c>
      <c r="V135" s="10" t="e">
        <f t="shared" si="86"/>
        <v>#VALUE!</v>
      </c>
      <c r="W135" s="10" t="e">
        <f t="shared" si="102"/>
        <v>#VALUE!</v>
      </c>
      <c r="Y135" s="10" t="e">
        <f t="shared" si="103"/>
        <v>#VALUE!</v>
      </c>
      <c r="Z135" s="11" t="e">
        <f t="shared" si="104"/>
        <v>#VALUE!</v>
      </c>
      <c r="AA135" s="10" t="e">
        <f t="shared" si="87"/>
        <v>#VALUE!</v>
      </c>
      <c r="AB135" s="10" t="e">
        <f t="shared" si="105"/>
        <v>#VALUE!</v>
      </c>
      <c r="AC135" s="10" t="e">
        <f t="shared" si="106"/>
        <v>#VALUE!</v>
      </c>
      <c r="AD135" s="10" t="e">
        <f t="shared" si="138"/>
        <v>#VALUE!</v>
      </c>
      <c r="AE135" s="10" t="e">
        <f t="shared" si="139"/>
        <v>#VALUE!</v>
      </c>
      <c r="AF135" s="10" t="e">
        <f t="shared" si="88"/>
        <v>#VALUE!</v>
      </c>
      <c r="AG135" s="10" t="e">
        <f t="shared" si="107"/>
        <v>#VALUE!</v>
      </c>
      <c r="AI135" s="13"/>
      <c r="AK135" s="10" t="e">
        <f t="shared" si="108"/>
        <v>#VALUE!</v>
      </c>
      <c r="AL135" s="10" t="e">
        <f t="shared" si="140"/>
        <v>#VALUE!</v>
      </c>
      <c r="AM135" s="10" t="e">
        <f t="shared" si="89"/>
        <v>#VALUE!</v>
      </c>
      <c r="AN135" s="10" t="e">
        <f t="shared" si="109"/>
        <v>#VALUE!</v>
      </c>
      <c r="AO135" s="10" t="e">
        <f t="shared" si="110"/>
        <v>#VALUE!</v>
      </c>
      <c r="AP135" s="10" t="e">
        <f t="shared" si="111"/>
        <v>#VALUE!</v>
      </c>
      <c r="AQ135" s="10" t="e">
        <f t="shared" si="141"/>
        <v>#VALUE!</v>
      </c>
      <c r="AR135" s="10" t="e">
        <f t="shared" si="90"/>
        <v>#VALUE!</v>
      </c>
      <c r="AS135" s="10" t="e">
        <f t="shared" si="142"/>
        <v>#VALUE!</v>
      </c>
      <c r="AU135" s="10" t="e">
        <f t="shared" si="112"/>
        <v>#VALUE!</v>
      </c>
      <c r="AV135" s="10" t="e">
        <f t="shared" si="143"/>
        <v>#VALUE!</v>
      </c>
      <c r="AW135" s="10" t="e">
        <f t="shared" si="91"/>
        <v>#VALUE!</v>
      </c>
      <c r="AX135" s="10" t="e">
        <f t="shared" si="113"/>
        <v>#VALUE!</v>
      </c>
      <c r="AY135" s="10" t="e">
        <f t="shared" si="114"/>
        <v>#VALUE!</v>
      </c>
      <c r="AZ135" s="10" t="e">
        <f t="shared" si="115"/>
        <v>#VALUE!</v>
      </c>
      <c r="BA135" s="10" t="e">
        <f t="shared" si="144"/>
        <v>#VALUE!</v>
      </c>
      <c r="BB135" s="10" t="e">
        <f t="shared" si="92"/>
        <v>#VALUE!</v>
      </c>
      <c r="BC135" s="10" t="e">
        <f t="shared" si="145"/>
        <v>#VALUE!</v>
      </c>
      <c r="BE135" s="10" t="e">
        <f t="shared" si="116"/>
        <v>#VALUE!</v>
      </c>
      <c r="BF135" s="10" t="e">
        <f t="shared" si="146"/>
        <v>#VALUE!</v>
      </c>
      <c r="BG135" s="10" t="e">
        <f t="shared" si="93"/>
        <v>#VALUE!</v>
      </c>
      <c r="BH135" s="10" t="e">
        <f t="shared" si="117"/>
        <v>#VALUE!</v>
      </c>
      <c r="BI135" s="10" t="e">
        <f t="shared" si="118"/>
        <v>#VALUE!</v>
      </c>
      <c r="BJ135" s="10" t="e">
        <f t="shared" si="119"/>
        <v>#VALUE!</v>
      </c>
      <c r="BK135" s="10" t="e">
        <f t="shared" si="147"/>
        <v>#VALUE!</v>
      </c>
      <c r="BL135" s="10" t="e">
        <f t="shared" si="94"/>
        <v>#VALUE!</v>
      </c>
      <c r="BM135" s="10" t="e">
        <f t="shared" si="148"/>
        <v>#VALUE!</v>
      </c>
      <c r="BP135" s="10" t="e">
        <f t="shared" si="120"/>
        <v>#VALUE!</v>
      </c>
      <c r="BQ135" s="10" t="e">
        <f t="shared" si="121"/>
        <v>#VALUE!</v>
      </c>
      <c r="BR135" s="10" t="e">
        <f t="shared" si="122"/>
        <v>#VALUE!</v>
      </c>
      <c r="BS135" s="10" t="e">
        <f t="shared" si="123"/>
        <v>#VALUE!</v>
      </c>
      <c r="BT135" s="10" t="e">
        <f t="shared" si="124"/>
        <v>#VALUE!</v>
      </c>
      <c r="BU135" s="10" t="e">
        <f t="shared" si="125"/>
        <v>#VALUE!</v>
      </c>
      <c r="BW135" s="10" t="e">
        <f t="shared" si="126"/>
        <v>#VALUE!</v>
      </c>
      <c r="BX135" s="10" t="e">
        <f t="shared" si="127"/>
        <v>#VALUE!</v>
      </c>
      <c r="BY135" s="10" t="e">
        <f t="shared" si="128"/>
        <v>#VALUE!</v>
      </c>
      <c r="BZ135" s="10" t="e">
        <f t="shared" si="129"/>
        <v>#VALUE!</v>
      </c>
      <c r="CA135" s="10" t="e">
        <f t="shared" si="130"/>
        <v>#VALUE!</v>
      </c>
      <c r="CB135" s="10" t="e">
        <f t="shared" si="131"/>
        <v>#VALUE!</v>
      </c>
      <c r="CD135" s="10" t="e">
        <f>MATCH(INDEX($BP$12:$BU$12,1,MATCH(BP135,$BP$15:$BU$15,0)),结果汇总!$AI$10:$AI$13,0)</f>
        <v>#VALUE!</v>
      </c>
      <c r="CE135" s="10" t="e">
        <f>MATCH(INDEX($BP$12:$BU$12,1,MATCH(BQ135,$BP$15:$BU$15,0)),结果汇总!$AI$10:$AI$13,0)</f>
        <v>#VALUE!</v>
      </c>
      <c r="CF135" s="10" t="e">
        <f>MATCH(INDEX($BP$12:$BU$12,1,MATCH(BR135,$BP$15:$BU$15,0)),结果汇总!$AI$10:$AI$13,0)</f>
        <v>#VALUE!</v>
      </c>
      <c r="CG135" s="10" t="e">
        <f>MATCH(INDEX($BP$12:$BU$12,1,MATCH(BS135,$BP$15:$BU$15,0)),结果汇总!$AI$10:$AI$13,0)</f>
        <v>#VALUE!</v>
      </c>
      <c r="CH135" s="10" t="e">
        <f>MATCH(INDEX($BP$12:$BU$12,1,MATCH(BT135,$BP$15:$BU$15,0)),结果汇总!$AI$10:$AI$13,0)</f>
        <v>#VALUE!</v>
      </c>
      <c r="CI135" s="10" t="e">
        <f>MATCH(INDEX($BP$12:$BU$12,1,MATCH(BU135,$BP$15:$BU$15,0)),结果汇总!$AI$10:$AI$13,0)</f>
        <v>#VALUE!</v>
      </c>
      <c r="CK135" s="10">
        <f t="shared" si="149"/>
        <v>0</v>
      </c>
      <c r="CL135" s="10">
        <f t="shared" si="149"/>
        <v>0</v>
      </c>
      <c r="CM135" s="10">
        <f t="shared" si="149"/>
        <v>0</v>
      </c>
      <c r="CN135" s="10">
        <f t="shared" si="149"/>
        <v>0</v>
      </c>
      <c r="CO135" s="10" t="e">
        <f t="shared" si="150"/>
        <v>#DIV/0!</v>
      </c>
      <c r="CP135" s="10" t="e">
        <f t="shared" si="150"/>
        <v>#DIV/0!</v>
      </c>
      <c r="CQ135" s="10" t="e">
        <f t="shared" si="150"/>
        <v>#DIV/0!</v>
      </c>
      <c r="CR135" s="10" t="e">
        <f t="shared" si="150"/>
        <v>#DIV/0!</v>
      </c>
      <c r="CS135" s="10">
        <f t="shared" si="151"/>
        <v>0</v>
      </c>
      <c r="CT135" s="10">
        <f t="shared" si="151"/>
        <v>0</v>
      </c>
      <c r="CU135" s="10">
        <f t="shared" si="151"/>
        <v>0</v>
      </c>
      <c r="CV135" s="10">
        <f t="shared" si="151"/>
        <v>0</v>
      </c>
      <c r="CW135" s="10" t="e">
        <f t="shared" si="152"/>
        <v>#DIV/0!</v>
      </c>
      <c r="CX135" s="10" t="e">
        <f t="shared" si="152"/>
        <v>#DIV/0!</v>
      </c>
      <c r="CY135" s="10" t="e">
        <f t="shared" si="152"/>
        <v>#DIV/0!</v>
      </c>
      <c r="CZ135" s="10" t="e">
        <f t="shared" si="152"/>
        <v>#DIV/0!</v>
      </c>
    </row>
  </sheetData>
  <mergeCells count="6">
    <mergeCell ref="CW14:CZ14"/>
    <mergeCell ref="I2:I3"/>
    <mergeCell ref="O9:O10"/>
    <mergeCell ref="CK14:CN14"/>
    <mergeCell ref="CO14:CR14"/>
    <mergeCell ref="CS14:CV14"/>
  </mergeCells>
  <phoneticPr fontId="2" type="noConversion"/>
  <dataValidations count="1">
    <dataValidation type="list" allowBlank="1" showInputMessage="1" showErrorMessage="1" sqref="F2:H2" xr:uid="{00000000-0002-0000-0300-000000000000}">
      <formula1>$R$10:$R$13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结果汇总!$AI$10:$AI$13</xm:f>
          </x14:formula1>
          <xm:sqref>J2:L2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CZ135"/>
  <sheetViews>
    <sheetView workbookViewId="0">
      <selection activeCell="E6" sqref="E6"/>
    </sheetView>
  </sheetViews>
  <sheetFormatPr defaultColWidth="9" defaultRowHeight="11.25" x14ac:dyDescent="0.15"/>
  <cols>
    <col min="1" max="7" width="9" style="10"/>
    <col min="8" max="8" width="9.75" style="10" bestFit="1" customWidth="1"/>
    <col min="9" max="11" width="9.75" style="10" customWidth="1"/>
    <col min="12" max="12" width="9" style="10"/>
    <col min="13" max="13" width="9.75" style="10" bestFit="1" customWidth="1"/>
    <col min="14" max="14" width="9" style="10"/>
    <col min="15" max="16" width="9.75" style="10" customWidth="1"/>
    <col min="17" max="23" width="9" style="10" customWidth="1"/>
    <col min="24" max="24" width="9" style="10"/>
    <col min="25" max="25" width="9" style="10" customWidth="1"/>
    <col min="26" max="26" width="4.5" style="11" customWidth="1"/>
    <col min="27" max="27" width="9.75" style="10" customWidth="1"/>
    <col min="28" max="28" width="9" style="10" customWidth="1"/>
    <col min="29" max="29" width="9.75" style="10" customWidth="1"/>
    <col min="30" max="31" width="9" style="10" customWidth="1"/>
    <col min="32" max="32" width="9.75" style="10" customWidth="1"/>
    <col min="33" max="33" width="9" style="10" customWidth="1"/>
    <col min="34" max="35" width="9" style="10"/>
    <col min="36" max="36" width="9.75" style="10" bestFit="1" customWidth="1"/>
    <col min="37" max="38" width="9" style="10" customWidth="1"/>
    <col min="39" max="39" width="9.75" style="10" customWidth="1"/>
    <col min="40" max="42" width="9" style="10" customWidth="1"/>
    <col min="43" max="43" width="9.75" style="10" customWidth="1"/>
    <col min="44" max="45" width="9" style="10" customWidth="1"/>
    <col min="46" max="46" width="9.75" style="10" bestFit="1" customWidth="1"/>
    <col min="47" max="55" width="9" style="10" customWidth="1"/>
    <col min="56" max="56" width="9" style="10"/>
    <col min="57" max="65" width="9" style="10" customWidth="1"/>
    <col min="66" max="16384" width="9" style="10"/>
  </cols>
  <sheetData>
    <row r="1" spans="2:104" x14ac:dyDescent="0.15">
      <c r="F1" s="10">
        <v>5</v>
      </c>
      <c r="G1" s="10">
        <v>3</v>
      </c>
      <c r="H1" s="10">
        <v>1</v>
      </c>
      <c r="J1" s="10">
        <v>2</v>
      </c>
      <c r="K1" s="10">
        <v>4</v>
      </c>
      <c r="L1" s="10">
        <v>6</v>
      </c>
    </row>
    <row r="2" spans="2:104" x14ac:dyDescent="0.15">
      <c r="E2" s="10" t="s">
        <v>64</v>
      </c>
      <c r="F2" s="12" t="s">
        <v>67</v>
      </c>
      <c r="G2" s="12" t="s">
        <v>50</v>
      </c>
      <c r="H2" s="12" t="s">
        <v>55</v>
      </c>
      <c r="I2" s="33" t="s">
        <v>15</v>
      </c>
      <c r="J2" s="12" t="s">
        <v>55</v>
      </c>
      <c r="K2" s="12" t="s">
        <v>50</v>
      </c>
      <c r="L2" s="12" t="s">
        <v>57</v>
      </c>
      <c r="AI2" s="13"/>
    </row>
    <row r="3" spans="2:104" x14ac:dyDescent="0.15">
      <c r="E3" s="10" t="s">
        <v>63</v>
      </c>
      <c r="F3" s="12" t="str">
        <f>INDEX(结果汇总!$AI$14:$AI$17,MATCH(F2,结果汇总!$AI$10:$AI$13,0),1)</f>
        <v>弓将</v>
      </c>
      <c r="G3" s="12" t="str">
        <f>INDEX(结果汇总!$AI$14:$AI$17,MATCH(G2,结果汇总!$AI$10:$AI$13,0),1)</f>
        <v>步将</v>
      </c>
      <c r="H3" s="12" t="str">
        <f>INDEX(结果汇总!$AI$14:$AI$17,MATCH(H2,结果汇总!$AI$10:$AI$13,0),1)</f>
        <v>步将</v>
      </c>
      <c r="I3" s="33"/>
      <c r="J3" s="12" t="str">
        <f>INDEX(结果汇总!$AI$14:$AI$17,MATCH(J2,结果汇总!$AI$10:$AI$13,0),1)</f>
        <v>步将</v>
      </c>
      <c r="K3" s="12" t="str">
        <f>INDEX(结果汇总!$AI$14:$AI$17,MATCH(K2,结果汇总!$AI$10:$AI$13,0),1)</f>
        <v>步将</v>
      </c>
      <c r="L3" s="12" t="str">
        <f>INDEX(结果汇总!$AI$14:$AI$17,MATCH(L2,结果汇总!$AI$10:$AI$13,0),1)</f>
        <v>骑将</v>
      </c>
      <c r="AI3" s="13"/>
    </row>
    <row r="4" spans="2:104" x14ac:dyDescent="0.15">
      <c r="C4" s="10" t="s">
        <v>16</v>
      </c>
      <c r="D4" s="10" t="s">
        <v>17</v>
      </c>
      <c r="E4" s="10" t="s">
        <v>18</v>
      </c>
      <c r="F4" s="10" t="s">
        <v>19</v>
      </c>
      <c r="G4" s="10" t="s">
        <v>20</v>
      </c>
      <c r="J4" s="10" t="s">
        <v>17</v>
      </c>
      <c r="K4" s="10" t="s">
        <v>18</v>
      </c>
      <c r="L4" s="10" t="s">
        <v>19</v>
      </c>
      <c r="M4" s="10" t="s">
        <v>20</v>
      </c>
      <c r="AI4" s="13"/>
    </row>
    <row r="5" spans="2:104" x14ac:dyDescent="0.15">
      <c r="B5" s="10" t="s">
        <v>21</v>
      </c>
      <c r="C5" s="10" t="s">
        <v>2</v>
      </c>
      <c r="D5" s="14" t="str">
        <f>INDEX(结果汇总!$AL$10:$AL$13,MATCH($H$2,结果汇总!$AI$10:$AI$13,0))</f>
        <v>步兵</v>
      </c>
      <c r="E5" s="14">
        <f>INDEX(结果汇总!$AM$10:$AM$13,MATCH($H$2,结果汇总!$AI$10:$AI$13,0))</f>
        <v>324</v>
      </c>
      <c r="F5" s="10">
        <v>1000</v>
      </c>
      <c r="G5" s="14">
        <f>INDEX(结果汇总!$AN$10:$AN$13,MATCH($H$2,结果汇总!$AI$10:$AI$13,0))</f>
        <v>1</v>
      </c>
      <c r="H5" s="10" t="e">
        <f>D5*E5*F5^2/2</f>
        <v>#VALUE!</v>
      </c>
      <c r="I5" s="10" t="s">
        <v>22</v>
      </c>
      <c r="J5" s="14" t="str">
        <f>INDEX(结果汇总!$AL$10:$AL$13,MATCH(J2,结果汇总!$AI$10:$AI$13,0))</f>
        <v>步兵</v>
      </c>
      <c r="K5" s="14">
        <f>INDEX(结果汇总!$AM$10:$AM$13,MATCH(J2,结果汇总!$AI$10:$AI$13,0))</f>
        <v>324</v>
      </c>
      <c r="L5" s="10">
        <v>1000</v>
      </c>
      <c r="M5" s="14">
        <f>INDEX(结果汇总!$AN$10:$AN$13,MATCH(J2,结果汇总!$AI$10:$AI$13,0))</f>
        <v>1</v>
      </c>
      <c r="N5" s="10" t="e">
        <f>J5*K5*L5^2/2</f>
        <v>#VALUE!</v>
      </c>
      <c r="AI5" s="13"/>
    </row>
    <row r="6" spans="2:104" x14ac:dyDescent="0.15">
      <c r="C6" s="10" t="s">
        <v>23</v>
      </c>
      <c r="D6" s="14">
        <f>INDEX(结果汇总!$AL$14:$AL$17,MATCH($H$3,结果汇总!$AI$14:$AI$17,0))</f>
        <v>120000</v>
      </c>
      <c r="E6" s="14">
        <f>INDEX(结果汇总!$AM$14:$AM$17,MATCH($H$3,结果汇总!$AI$14:$AI$17,0))</f>
        <v>192000</v>
      </c>
      <c r="F6" s="10">
        <v>1</v>
      </c>
      <c r="G6" s="10">
        <v>1</v>
      </c>
      <c r="H6" s="10">
        <f>D6*E6</f>
        <v>23040000000</v>
      </c>
      <c r="I6" s="10" t="s">
        <v>24</v>
      </c>
      <c r="J6" s="14">
        <f>INDEX(结果汇总!$AL$14:$AL$17,MATCH(J3,结果汇总!$AI$14:$AI$17,0))</f>
        <v>120000</v>
      </c>
      <c r="K6" s="14">
        <f>INDEX(结果汇总!$AM$14:$AM$17,MATCH(J3,结果汇总!$AI$14:$AI$17,0))</f>
        <v>192000</v>
      </c>
      <c r="L6" s="10">
        <v>1</v>
      </c>
      <c r="M6" s="10">
        <v>1</v>
      </c>
      <c r="N6" s="10">
        <f>J6*K6</f>
        <v>23040000000</v>
      </c>
      <c r="AI6" s="13"/>
    </row>
    <row r="7" spans="2:104" x14ac:dyDescent="0.15">
      <c r="O7" s="10" t="s">
        <v>25</v>
      </c>
      <c r="P7" s="15">
        <f>结果汇总!AI3</f>
        <v>0.4</v>
      </c>
      <c r="AI7" s="13"/>
    </row>
    <row r="8" spans="2:104" x14ac:dyDescent="0.15">
      <c r="B8" s="10" t="s">
        <v>26</v>
      </c>
      <c r="C8" s="10" t="s">
        <v>27</v>
      </c>
      <c r="D8" s="14" t="str">
        <f>INDEX(结果汇总!$AL$10:$AL$13,MATCH(G2,结果汇总!$AI$10:$AI$13,0))</f>
        <v>枪兵</v>
      </c>
      <c r="E8" s="14">
        <f>INDEX(结果汇总!$AM$10:$AM$13,MATCH(G2,结果汇总!$AI$10:$AI$13,0))</f>
        <v>156</v>
      </c>
      <c r="F8" s="10">
        <v>1000</v>
      </c>
      <c r="G8" s="14">
        <f>INDEX(结果汇总!$AN$10:$AN$13,MATCH(G2,结果汇总!$AI$10:$AI$13,0))</f>
        <v>1</v>
      </c>
      <c r="H8" s="10" t="e">
        <f>D8*E8*F8^2/2</f>
        <v>#VALUE!</v>
      </c>
      <c r="I8" s="10" t="s">
        <v>28</v>
      </c>
      <c r="J8" s="14" t="str">
        <f>INDEX(结果汇总!$AL$10:$AL$13,MATCH(K2,结果汇总!$AI$10:$AI$13,0))</f>
        <v>枪兵</v>
      </c>
      <c r="K8" s="14">
        <f>INDEX(结果汇总!$AM$10:$AM$13,MATCH(K2,结果汇总!$AI$10:$AI$13,0))</f>
        <v>156</v>
      </c>
      <c r="L8" s="10">
        <v>1000</v>
      </c>
      <c r="M8" s="14">
        <f>INDEX(结果汇总!$AN$10:$AN$13,MATCH(K2,结果汇总!$AI$10:$AI$13,0))</f>
        <v>1</v>
      </c>
      <c r="N8" s="10" t="e">
        <f>J8*K8*L8^2/2</f>
        <v>#VALUE!</v>
      </c>
      <c r="O8" s="22" t="s">
        <v>51</v>
      </c>
      <c r="P8" s="23">
        <v>0</v>
      </c>
      <c r="AI8" s="13"/>
    </row>
    <row r="9" spans="2:104" x14ac:dyDescent="0.15">
      <c r="C9" s="10" t="s">
        <v>29</v>
      </c>
      <c r="D9" s="14">
        <f>INDEX(结果汇总!$AL$14:$AL$17,MATCH(G3,结果汇总!$AI$14:$AI$17,0))</f>
        <v>120000</v>
      </c>
      <c r="E9" s="14">
        <f>INDEX(结果汇总!$AM$14:$AM$17,MATCH(G3,结果汇总!$AI$14:$AI$17,0))</f>
        <v>192000</v>
      </c>
      <c r="F9" s="10">
        <v>1</v>
      </c>
      <c r="G9" s="10">
        <v>1</v>
      </c>
      <c r="H9" s="10">
        <f>D9*E9</f>
        <v>23040000000</v>
      </c>
      <c r="I9" s="10" t="s">
        <v>30</v>
      </c>
      <c r="J9" s="14">
        <f>INDEX(结果汇总!$AL$14:$AL$17,MATCH(K3,结果汇总!$AI$14:$AI$17,0))</f>
        <v>120000</v>
      </c>
      <c r="K9" s="14">
        <f>INDEX(结果汇总!$AM$14:$AM$17,MATCH(K3,结果汇总!$AI$14:$AI$17,0))</f>
        <v>192000</v>
      </c>
      <c r="L9" s="10">
        <v>1</v>
      </c>
      <c r="M9" s="10">
        <v>1</v>
      </c>
      <c r="N9" s="10">
        <f>J9*K9</f>
        <v>23040000000</v>
      </c>
      <c r="O9" s="32" t="s">
        <v>53</v>
      </c>
      <c r="P9" s="26" t="e">
        <f>MIN($E$16:$E$135)+MIN($O$16:$O$135)+MIN($Y$16:$Y$135)</f>
        <v>#VALUE!</v>
      </c>
      <c r="AI9" s="13"/>
    </row>
    <row r="10" spans="2:104" x14ac:dyDescent="0.15">
      <c r="O10" s="32"/>
      <c r="P10" s="26" t="e">
        <f>MIN($AK$16:$AK$135)+MIN($AU$16:$AU$135)+MIN($BE$16:$BE$135)</f>
        <v>#VALUE!</v>
      </c>
      <c r="AI10" s="13"/>
    </row>
    <row r="11" spans="2:104" x14ac:dyDescent="0.15">
      <c r="B11" s="10" t="s">
        <v>31</v>
      </c>
      <c r="C11" s="10" t="s">
        <v>32</v>
      </c>
      <c r="D11" s="14" t="str">
        <f>INDEX(结果汇总!$AL$10:$AL$13,MATCH(F2,结果汇总!$AI$10:$AI$13,0))</f>
        <v>弓兵</v>
      </c>
      <c r="E11" s="14">
        <f>INDEX(结果汇总!$AM$10:$AM$13,MATCH(F2,结果汇总!$AI$10:$AI$13,0))</f>
        <v>180</v>
      </c>
      <c r="F11" s="10">
        <v>1000</v>
      </c>
      <c r="G11" s="14">
        <f>INDEX(结果汇总!$AN$10:$AN$13,MATCH(F2,结果汇总!$AI$10:$AI$13,0))</f>
        <v>1</v>
      </c>
      <c r="H11" s="10" t="e">
        <f>D11*E11*F11^2/2</f>
        <v>#VALUE!</v>
      </c>
      <c r="I11" s="10" t="s">
        <v>33</v>
      </c>
      <c r="J11" s="14" t="str">
        <f>INDEX(结果汇总!$AL$10:$AL$13,MATCH(L2,结果汇总!$AI$10:$AI$13,0))</f>
        <v>骑兵</v>
      </c>
      <c r="K11" s="14">
        <f>INDEX(结果汇总!$AM$10:$AM$13,MATCH(L2,结果汇总!$AI$10:$AI$13,0))</f>
        <v>240</v>
      </c>
      <c r="L11" s="10">
        <v>1000</v>
      </c>
      <c r="M11" s="14">
        <f>INDEX(结果汇总!$AN$10:$AN$13,MATCH(L2,结果汇总!$AI$10:$AI$13,0))</f>
        <v>1</v>
      </c>
      <c r="N11" s="10" t="e">
        <f>J11*K11*L11^2/2</f>
        <v>#VALUE!</v>
      </c>
      <c r="AI11" s="13"/>
    </row>
    <row r="12" spans="2:104" x14ac:dyDescent="0.15">
      <c r="C12" s="10" t="s">
        <v>11</v>
      </c>
      <c r="D12" s="14">
        <f>INDEX(结果汇总!$AL$14:$AL$17,MATCH(F3,结果汇总!$AI$14:$AI$17,0))</f>
        <v>120000</v>
      </c>
      <c r="E12" s="14">
        <f>INDEX(结果汇总!$AM$14:$AM$17,MATCH(F3,结果汇总!$AI$14:$AI$17,0))</f>
        <v>192000</v>
      </c>
      <c r="F12" s="10">
        <v>1</v>
      </c>
      <c r="G12" s="10">
        <v>1</v>
      </c>
      <c r="H12" s="10">
        <f>D12*E12</f>
        <v>23040000000</v>
      </c>
      <c r="I12" s="10" t="s">
        <v>34</v>
      </c>
      <c r="J12" s="14">
        <f>INDEX(结果汇总!$AL$14:$AL$17,MATCH(L3,结果汇总!$AI$14:$AI$17,0))</f>
        <v>120000</v>
      </c>
      <c r="K12" s="14">
        <f>INDEX(结果汇总!$AM$14:$AM$17,MATCH(L3,结果汇总!$AI$14:$AI$17,0))</f>
        <v>192000</v>
      </c>
      <c r="L12" s="10">
        <v>1</v>
      </c>
      <c r="M12" s="10">
        <v>1</v>
      </c>
      <c r="N12" s="10">
        <f>J12*K12</f>
        <v>23040000000</v>
      </c>
      <c r="AI12" s="13"/>
      <c r="BO12" s="10" t="s">
        <v>46</v>
      </c>
      <c r="BP12" s="6" t="str">
        <f>F2</f>
        <v>弓驽兵</v>
      </c>
      <c r="BQ12" s="6" t="str">
        <f>G2</f>
        <v>枪兵</v>
      </c>
      <c r="BR12" s="6" t="str">
        <f>H2</f>
        <v>刀兵</v>
      </c>
      <c r="BS12" s="6" t="str">
        <f>J2</f>
        <v>刀兵</v>
      </c>
      <c r="BT12" s="6" t="str">
        <f>K2</f>
        <v>枪兵</v>
      </c>
      <c r="BU12" s="6" t="str">
        <f>L2</f>
        <v>车骑兵</v>
      </c>
    </row>
    <row r="13" spans="2:104" x14ac:dyDescent="0.15">
      <c r="AI13" s="13"/>
      <c r="CK13" s="10" t="s">
        <v>78</v>
      </c>
    </row>
    <row r="14" spans="2:104" x14ac:dyDescent="0.15">
      <c r="E14" s="16" t="s">
        <v>36</v>
      </c>
      <c r="F14" s="16"/>
      <c r="G14" s="16"/>
      <c r="J14" s="16" t="s">
        <v>23</v>
      </c>
      <c r="K14" s="16"/>
      <c r="L14" s="16"/>
      <c r="O14" s="16" t="s">
        <v>27</v>
      </c>
      <c r="P14" s="16"/>
      <c r="Q14" s="16"/>
      <c r="T14" s="16" t="s">
        <v>29</v>
      </c>
      <c r="U14" s="16"/>
      <c r="V14" s="16"/>
      <c r="Y14" s="16" t="s">
        <v>32</v>
      </c>
      <c r="AA14" s="16"/>
      <c r="AD14" s="16" t="s">
        <v>11</v>
      </c>
      <c r="AE14" s="16"/>
      <c r="AF14" s="16"/>
      <c r="AI14" s="13"/>
      <c r="AK14" s="16" t="s">
        <v>22</v>
      </c>
      <c r="AL14" s="16"/>
      <c r="AM14" s="16"/>
      <c r="AP14" s="16" t="s">
        <v>24</v>
      </c>
      <c r="AQ14" s="16"/>
      <c r="AR14" s="16"/>
      <c r="AU14" s="16" t="s">
        <v>39</v>
      </c>
      <c r="AV14" s="16"/>
      <c r="AW14" s="16"/>
      <c r="AZ14" s="16" t="s">
        <v>30</v>
      </c>
      <c r="BA14" s="16"/>
      <c r="BB14" s="16"/>
      <c r="BE14" s="16" t="s">
        <v>33</v>
      </c>
      <c r="BF14" s="16"/>
      <c r="BG14" s="16"/>
      <c r="BJ14" s="16" t="s">
        <v>34</v>
      </c>
      <c r="BK14" s="16"/>
      <c r="BL14" s="16"/>
      <c r="BP14" s="18" t="s">
        <v>35</v>
      </c>
      <c r="BW14" s="10" t="s">
        <v>66</v>
      </c>
      <c r="CD14" s="10" t="s">
        <v>77</v>
      </c>
      <c r="CK14" s="31">
        <v>1</v>
      </c>
      <c r="CL14" s="31"/>
      <c r="CM14" s="31"/>
      <c r="CN14" s="31"/>
      <c r="CO14" s="31">
        <v>2</v>
      </c>
      <c r="CP14" s="31"/>
      <c r="CQ14" s="31"/>
      <c r="CR14" s="31"/>
      <c r="CS14" s="31">
        <v>3</v>
      </c>
      <c r="CT14" s="31"/>
      <c r="CU14" s="31"/>
      <c r="CV14" s="31"/>
      <c r="CW14" s="31">
        <v>4</v>
      </c>
      <c r="CX14" s="31"/>
      <c r="CY14" s="31"/>
      <c r="CZ14" s="31"/>
    </row>
    <row r="15" spans="2:104" x14ac:dyDescent="0.15">
      <c r="E15" s="10" t="s">
        <v>40</v>
      </c>
      <c r="F15" s="10" t="s">
        <v>41</v>
      </c>
      <c r="G15" s="10" t="s">
        <v>42</v>
      </c>
      <c r="H15" s="10" t="s">
        <v>43</v>
      </c>
      <c r="I15" s="10" t="s">
        <v>44</v>
      </c>
      <c r="J15" s="10" t="s">
        <v>65</v>
      </c>
      <c r="K15" s="10" t="s">
        <v>41</v>
      </c>
      <c r="L15" s="10" t="s">
        <v>42</v>
      </c>
      <c r="M15" s="10" t="s">
        <v>44</v>
      </c>
      <c r="O15" s="10" t="s">
        <v>45</v>
      </c>
      <c r="P15" s="10" t="s">
        <v>41</v>
      </c>
      <c r="Q15" s="10" t="s">
        <v>42</v>
      </c>
      <c r="R15" s="10" t="s">
        <v>43</v>
      </c>
      <c r="S15" s="10" t="s">
        <v>44</v>
      </c>
      <c r="T15" s="10" t="s">
        <v>65</v>
      </c>
      <c r="U15" s="10" t="s">
        <v>41</v>
      </c>
      <c r="V15" s="10" t="s">
        <v>42</v>
      </c>
      <c r="W15" s="10" t="s">
        <v>44</v>
      </c>
      <c r="Y15" s="10" t="s">
        <v>45</v>
      </c>
      <c r="Z15" s="11" t="s">
        <v>41</v>
      </c>
      <c r="AA15" s="10" t="s">
        <v>42</v>
      </c>
      <c r="AB15" s="10" t="s">
        <v>43</v>
      </c>
      <c r="AC15" s="10" t="s">
        <v>44</v>
      </c>
      <c r="AD15" s="10" t="s">
        <v>65</v>
      </c>
      <c r="AE15" s="10" t="s">
        <v>41</v>
      </c>
      <c r="AF15" s="10" t="s">
        <v>42</v>
      </c>
      <c r="AG15" s="10" t="s">
        <v>44</v>
      </c>
      <c r="AI15" s="13"/>
      <c r="AK15" s="10" t="s">
        <v>45</v>
      </c>
      <c r="AL15" s="10" t="s">
        <v>41</v>
      </c>
      <c r="AM15" s="10" t="s">
        <v>42</v>
      </c>
      <c r="AN15" s="10" t="s">
        <v>43</v>
      </c>
      <c r="AO15" s="10" t="s">
        <v>44</v>
      </c>
      <c r="AP15" s="10" t="s">
        <v>65</v>
      </c>
      <c r="AQ15" s="10" t="s">
        <v>41</v>
      </c>
      <c r="AR15" s="10" t="s">
        <v>42</v>
      </c>
      <c r="AS15" s="10" t="s">
        <v>44</v>
      </c>
      <c r="AU15" s="10" t="s">
        <v>45</v>
      </c>
      <c r="AV15" s="10" t="s">
        <v>41</v>
      </c>
      <c r="AW15" s="10" t="s">
        <v>42</v>
      </c>
      <c r="AX15" s="10" t="s">
        <v>43</v>
      </c>
      <c r="AY15" s="10" t="s">
        <v>44</v>
      </c>
      <c r="AZ15" s="10" t="s">
        <v>65</v>
      </c>
      <c r="BA15" s="10" t="s">
        <v>41</v>
      </c>
      <c r="BB15" s="10" t="s">
        <v>42</v>
      </c>
      <c r="BC15" s="10" t="s">
        <v>44</v>
      </c>
      <c r="BE15" s="10" t="s">
        <v>45</v>
      </c>
      <c r="BF15" s="10" t="s">
        <v>41</v>
      </c>
      <c r="BG15" s="10" t="s">
        <v>42</v>
      </c>
      <c r="BH15" s="10" t="s">
        <v>43</v>
      </c>
      <c r="BI15" s="10" t="s">
        <v>44</v>
      </c>
      <c r="BJ15" s="10" t="s">
        <v>65</v>
      </c>
      <c r="BK15" s="10" t="s">
        <v>41</v>
      </c>
      <c r="BL15" s="10" t="s">
        <v>42</v>
      </c>
      <c r="BM15" s="10" t="s">
        <v>44</v>
      </c>
      <c r="BP15" s="17">
        <v>5</v>
      </c>
      <c r="BQ15" s="17">
        <v>3</v>
      </c>
      <c r="BR15" s="17">
        <v>1</v>
      </c>
      <c r="BS15" s="17">
        <v>2</v>
      </c>
      <c r="BT15" s="17">
        <v>4</v>
      </c>
      <c r="BU15" s="17">
        <v>6</v>
      </c>
      <c r="BW15" s="17">
        <v>5</v>
      </c>
      <c r="BX15" s="17">
        <v>3</v>
      </c>
      <c r="BY15" s="17">
        <v>1</v>
      </c>
      <c r="BZ15" s="17">
        <v>2</v>
      </c>
      <c r="CA15" s="17">
        <v>4</v>
      </c>
      <c r="CB15" s="17">
        <v>6</v>
      </c>
      <c r="CD15" s="17">
        <f>MATCH(BP12,结果汇总!$AI$10:$AI$13,0)</f>
        <v>3</v>
      </c>
      <c r="CE15" s="17">
        <f>MATCH(BQ12,结果汇总!$AI$10:$AI$13,0)</f>
        <v>4</v>
      </c>
      <c r="CF15" s="17">
        <f>MATCH(BR12,结果汇总!$AI$10:$AI$13,0)</f>
        <v>1</v>
      </c>
      <c r="CG15" s="17">
        <f>MATCH(BS12,结果汇总!$AI$10:$AI$13,0)</f>
        <v>1</v>
      </c>
      <c r="CH15" s="17">
        <f>MATCH(BT12,结果汇总!$AI$10:$AI$13,0)</f>
        <v>4</v>
      </c>
      <c r="CI15" s="17">
        <f>MATCH(BU12,结果汇总!$AI$10:$AI$13,0)</f>
        <v>2</v>
      </c>
      <c r="CK15" s="10">
        <v>1</v>
      </c>
      <c r="CL15" s="10">
        <v>2</v>
      </c>
      <c r="CM15" s="10">
        <v>3</v>
      </c>
      <c r="CN15" s="10">
        <v>4</v>
      </c>
      <c r="CO15" s="10">
        <f>CK15</f>
        <v>1</v>
      </c>
      <c r="CP15" s="10">
        <f t="shared" ref="CP15:CZ15" si="0">CL15</f>
        <v>2</v>
      </c>
      <c r="CQ15" s="10">
        <f t="shared" si="0"/>
        <v>3</v>
      </c>
      <c r="CR15" s="10">
        <f t="shared" si="0"/>
        <v>4</v>
      </c>
      <c r="CS15" s="10">
        <f t="shared" si="0"/>
        <v>1</v>
      </c>
      <c r="CT15" s="10">
        <f t="shared" si="0"/>
        <v>2</v>
      </c>
      <c r="CU15" s="10">
        <f t="shared" si="0"/>
        <v>3</v>
      </c>
      <c r="CV15" s="10">
        <f t="shared" si="0"/>
        <v>4</v>
      </c>
      <c r="CW15" s="10">
        <f t="shared" si="0"/>
        <v>1</v>
      </c>
      <c r="CX15" s="10">
        <f t="shared" si="0"/>
        <v>2</v>
      </c>
      <c r="CY15" s="10">
        <f t="shared" si="0"/>
        <v>3</v>
      </c>
      <c r="CZ15" s="10">
        <f t="shared" si="0"/>
        <v>4</v>
      </c>
    </row>
    <row r="16" spans="2:104" x14ac:dyDescent="0.15">
      <c r="D16" s="10">
        <v>1</v>
      </c>
      <c r="E16" s="10">
        <f>F5</f>
        <v>1000</v>
      </c>
      <c r="F16" s="10">
        <f t="shared" ref="F16:F79" si="1">IF(E16=0,0,E16*$E$5)</f>
        <v>324000</v>
      </c>
      <c r="G16" s="10">
        <f t="shared" ref="G16:G79" si="2">F16*$P$7</f>
        <v>129600</v>
      </c>
      <c r="H16" s="10">
        <f>IF(E16=0,0,ROUNDUP(E16/$F$5*$G$5,0))</f>
        <v>1</v>
      </c>
      <c r="I16" s="10">
        <f t="shared" ref="I16:I79" si="3">IF(AND(J16=0,E16&lt;&gt;0),1,H16/(H16+$G$6))</f>
        <v>0.5</v>
      </c>
      <c r="J16" s="10">
        <f>$F$6</f>
        <v>1</v>
      </c>
      <c r="K16" s="10">
        <f t="shared" ref="K16:K79" si="4">IF(J16=0,0,ROUNDUP(J16,0)*$E$6)</f>
        <v>192000</v>
      </c>
      <c r="L16" s="10">
        <f t="shared" ref="L16:L79" si="5">K16*$P$7</f>
        <v>76800</v>
      </c>
      <c r="M16" s="10">
        <f>IF(J16=0,0,1-I16)</f>
        <v>0.5</v>
      </c>
      <c r="O16" s="10">
        <f>$F$8</f>
        <v>1000</v>
      </c>
      <c r="P16" s="10">
        <f t="shared" ref="P16:P79" si="6">IF(O16=0,0,O16*$E$8)</f>
        <v>156000</v>
      </c>
      <c r="Q16" s="10">
        <f t="shared" ref="Q16:Q79" si="7">P16*$P$7</f>
        <v>62400</v>
      </c>
      <c r="R16" s="10">
        <f>IF(O16=0,0,ROUNDUP(O16/$F$8*$G$8,0))</f>
        <v>1</v>
      </c>
      <c r="S16" s="10">
        <f>IF(AND(T16=0,O16&lt;&gt;0),1,R16/(R16+$G$9))</f>
        <v>0.5</v>
      </c>
      <c r="T16" s="10">
        <f>$F$9</f>
        <v>1</v>
      </c>
      <c r="U16" s="10">
        <f>IF(T16=0,0,ROUNDUP(T16,0)*$E$9)</f>
        <v>192000</v>
      </c>
      <c r="V16" s="10">
        <f t="shared" ref="V16:V79" si="8">U16*$P$7</f>
        <v>76800</v>
      </c>
      <c r="W16" s="10">
        <f>IF(T16=0,0,1-S16)</f>
        <v>0.5</v>
      </c>
      <c r="Y16" s="10">
        <f>$F$11</f>
        <v>1000</v>
      </c>
      <c r="Z16" s="11">
        <f>IF(Y16=0,0,Y16*$E$11)</f>
        <v>180000</v>
      </c>
      <c r="AA16" s="10">
        <f t="shared" ref="AA16:AA79" si="9">Z16*$P$7</f>
        <v>72000</v>
      </c>
      <c r="AB16" s="10">
        <f>IF(Y16=0,0,ROUNDUP(Y16/$F$11*$G$11,0))</f>
        <v>1</v>
      </c>
      <c r="AC16" s="10">
        <f>IF(AND(AD16=0,Y16&lt;&gt;0),1,AB16/(AB16+$G$12))</f>
        <v>0.5</v>
      </c>
      <c r="AD16" s="10">
        <f>$F$12</f>
        <v>1</v>
      </c>
      <c r="AE16" s="10">
        <f>IF(AD16=0,0,ROUNDUP(AD16,0)*$E$12)</f>
        <v>192000</v>
      </c>
      <c r="AF16" s="10">
        <f t="shared" ref="AF16:AF79" si="10">AE16*$P$7</f>
        <v>76800</v>
      </c>
      <c r="AG16" s="10">
        <f>IF(AD16=0,0,1-AC16)</f>
        <v>0.5</v>
      </c>
      <c r="AI16" s="13"/>
      <c r="AK16" s="10">
        <f>$L$5</f>
        <v>1000</v>
      </c>
      <c r="AL16" s="10">
        <f>IF(AK16=0,0,AK16*$K$5)</f>
        <v>324000</v>
      </c>
      <c r="AM16" s="10">
        <f t="shared" ref="AM16:AM79" si="11">AL16*$P$7</f>
        <v>129600</v>
      </c>
      <c r="AN16" s="10">
        <f>IF(AK16=0,0,ROUNDUP(AK16/$L$5*$M$5,0))</f>
        <v>1</v>
      </c>
      <c r="AO16" s="10">
        <f>IF(AND(AP16=0,AK16&lt;&gt;0),1,AN16/(AN16+$M$6))</f>
        <v>0.5</v>
      </c>
      <c r="AP16" s="10">
        <f>$L$6</f>
        <v>1</v>
      </c>
      <c r="AQ16" s="10">
        <f>IF(AP16=0,0,ROUNDUP(AP16,0)*$K$6)</f>
        <v>192000</v>
      </c>
      <c r="AR16" s="10">
        <f t="shared" ref="AR16:AR79" si="12">AQ16*$P$7</f>
        <v>76800</v>
      </c>
      <c r="AS16" s="10">
        <f>IF(AP16=0,0,1-AO16)</f>
        <v>0.5</v>
      </c>
      <c r="AU16" s="10">
        <f>$L$8</f>
        <v>1000</v>
      </c>
      <c r="AV16" s="10">
        <f>IF(AU16=0,0,AU16*$K$8)</f>
        <v>156000</v>
      </c>
      <c r="AW16" s="10">
        <f t="shared" ref="AW16:AW79" si="13">AV16*$P$7</f>
        <v>62400</v>
      </c>
      <c r="AX16" s="10">
        <f>IF(AU16=0,0,ROUNDUP(AU16/$L$8*$M$8,0))</f>
        <v>1</v>
      </c>
      <c r="AY16" s="10">
        <f>IF(AND(AZ16=0,AU16&lt;&gt;0),1,AX16/(AX16+$M$9))</f>
        <v>0.5</v>
      </c>
      <c r="AZ16" s="10">
        <f>$L$9</f>
        <v>1</v>
      </c>
      <c r="BA16" s="10">
        <f>IF(AZ16=0,0,ROUNDUP(AZ16,0)*$K$9)</f>
        <v>192000</v>
      </c>
      <c r="BB16" s="10">
        <f t="shared" ref="BB16:BB79" si="14">BA16*$P$7</f>
        <v>76800</v>
      </c>
      <c r="BC16" s="10">
        <f>IF(AZ16=0,0,1-AY16)</f>
        <v>0.5</v>
      </c>
      <c r="BE16" s="10">
        <f>$L$11</f>
        <v>1000</v>
      </c>
      <c r="BF16" s="10">
        <f>IF(BE16=0,0,BE16*$K$11)</f>
        <v>240000</v>
      </c>
      <c r="BG16" s="10">
        <f t="shared" ref="BG16:BG79" si="15">BF16*$P$7</f>
        <v>96000</v>
      </c>
      <c r="BH16" s="10">
        <f>IF(BE16=0,0,ROUNDUP(BE16/$L$11*$M$11,0))</f>
        <v>1</v>
      </c>
      <c r="BI16" s="10">
        <f>IF(AND(BJ16=0,BE16&lt;&gt;0),1,BH16/(BH16+$M$12))</f>
        <v>0.5</v>
      </c>
      <c r="BJ16" s="10">
        <f>$L$12</f>
        <v>1</v>
      </c>
      <c r="BK16" s="10">
        <f>IF(BJ16=0,0,ROUNDUP(BJ16,0)*$K$12)</f>
        <v>192000</v>
      </c>
      <c r="BL16" s="10">
        <f t="shared" ref="BL16:BL79" si="16">BK16*$P$7</f>
        <v>76800</v>
      </c>
      <c r="BM16" s="10">
        <f>IF(BJ16=0,0,1-BI16)</f>
        <v>0.5</v>
      </c>
      <c r="BP16" s="10">
        <f>IF(CB16&gt;0,BU$15,IF(BZ16&gt;0,BS$15,BT$15))</f>
        <v>6</v>
      </c>
      <c r="BQ16" s="10">
        <f>IF(BZ16&gt;0,BS$15,IF(CA16&gt;0,BT$15,BU$15))</f>
        <v>2</v>
      </c>
      <c r="BR16" s="10">
        <f>IF(BZ16&gt;0,BS$15,IF(CA16&gt;0,BT$15,BU$15))</f>
        <v>2</v>
      </c>
      <c r="BS16" s="10">
        <f>IF(BY16&gt;0,BR$15,IF(BX16&gt;0,BQ$15,BP$15))</f>
        <v>1</v>
      </c>
      <c r="BT16" s="10">
        <f>IF(BY16&gt;0,BR$15,IF(BX16&gt;0,BQ$15,BP$15))</f>
        <v>1</v>
      </c>
      <c r="BU16" s="10">
        <f>IF(BW16&gt;0,BP$15,IF(BX16&gt;0,BQ$15,BR$15))</f>
        <v>5</v>
      </c>
      <c r="BW16" s="10">
        <f>Y16+AD16*1000</f>
        <v>2000</v>
      </c>
      <c r="BX16" s="10">
        <f>O16+T16*1000</f>
        <v>2000</v>
      </c>
      <c r="BY16" s="10">
        <f>E16+J16*1000</f>
        <v>2000</v>
      </c>
      <c r="BZ16" s="10">
        <f>AK16+AP16*1000</f>
        <v>2000</v>
      </c>
      <c r="CA16" s="10">
        <f>AU16+AZ16*1000</f>
        <v>2000</v>
      </c>
      <c r="CB16" s="10">
        <f>BE16+BJ16*1000</f>
        <v>2000</v>
      </c>
      <c r="CD16" s="10">
        <f>MATCH(INDEX($BP$12:$BU$12,1,MATCH(BP16,$BP$15:$BU$15,0)),结果汇总!$AI$10:$AI$13,0)</f>
        <v>2</v>
      </c>
      <c r="CE16" s="10">
        <f>MATCH(INDEX($BP$12:$BU$12,1,MATCH(BQ16,$BP$15:$BU$15,0)),结果汇总!$AI$10:$AI$13,0)</f>
        <v>1</v>
      </c>
      <c r="CF16" s="10">
        <f>MATCH(INDEX($BP$12:$BU$12,1,MATCH(BR16,$BP$15:$BU$15,0)),结果汇总!$AI$10:$AI$13,0)</f>
        <v>1</v>
      </c>
      <c r="CG16" s="10">
        <f>MATCH(INDEX($BP$12:$BU$12,1,MATCH(BS16,$BP$15:$BU$15,0)),结果汇总!$AI$10:$AI$13,0)</f>
        <v>1</v>
      </c>
      <c r="CH16" s="10">
        <f>MATCH(INDEX($BP$12:$BU$12,1,MATCH(BT16,$BP$15:$BU$15,0)),结果汇总!$AI$10:$AI$13,0)</f>
        <v>1</v>
      </c>
      <c r="CI16" s="10">
        <f>MATCH(INDEX($BP$12:$BU$12,1,MATCH(BU16,$BP$15:$BU$15,0)),结果汇总!$AI$10:$AI$13,0)</f>
        <v>3</v>
      </c>
      <c r="CK16" s="10">
        <f>COUNTIFS($CD16:$CI16,CK$15,$CD$15:$CI$15,$CK$14)/COUNTIFS($CD$15:$CI$15,$CK$14)</f>
        <v>1</v>
      </c>
      <c r="CL16" s="10">
        <f t="shared" ref="CL16:CN31" si="17">COUNTIFS($CD16:$CI16,CL$15,$CD$15:$CI$15,$CK$14)/COUNTIFS($CD$15:$CI$15,$CK$14)</f>
        <v>0</v>
      </c>
      <c r="CM16" s="10">
        <f t="shared" si="17"/>
        <v>0</v>
      </c>
      <c r="CN16" s="10">
        <f t="shared" si="17"/>
        <v>0</v>
      </c>
      <c r="CO16" s="10">
        <f>COUNTIFS($CD16:$CI16,CO$15,$CD$15:$CI$15,$CO$14)/COUNTIFS($CD$15:$CI$15,$CO$14)</f>
        <v>0</v>
      </c>
      <c r="CP16" s="10">
        <f t="shared" ref="CP16:CR31" si="18">COUNTIFS($CD16:$CI16,CP$15,$CD$15:$CI$15,$CO$14)/COUNTIFS($CD$15:$CI$15,$CO$14)</f>
        <v>0</v>
      </c>
      <c r="CQ16" s="10">
        <f t="shared" si="18"/>
        <v>1</v>
      </c>
      <c r="CR16" s="10">
        <f t="shared" si="18"/>
        <v>0</v>
      </c>
      <c r="CS16" s="10">
        <f>COUNTIFS($CD16:$CI16,CS$15,$CD$15:$CI$15,$CS$14)/COUNTIFS($CD$15:$CI$15,$CS$14)</f>
        <v>0</v>
      </c>
      <c r="CT16" s="10">
        <f t="shared" ref="CT16:CV31" si="19">COUNTIFS($CD16:$CI16,CT$15,$CD$15:$CI$15,$CS$14)/COUNTIFS($CD$15:$CI$15,$CS$14)</f>
        <v>1</v>
      </c>
      <c r="CU16" s="10">
        <f t="shared" si="19"/>
        <v>0</v>
      </c>
      <c r="CV16" s="10">
        <f t="shared" si="19"/>
        <v>0</v>
      </c>
      <c r="CW16" s="10">
        <f>COUNTIFS($CD16:$CI16,CW$15,$CD$15:$CI$15,$CW$14)/COUNTIFS($CD$15:$CI$15,$CW$14)</f>
        <v>1</v>
      </c>
      <c r="CX16" s="10">
        <f t="shared" ref="CX16:CZ31" si="20">COUNTIFS($CD16:$CI16,CX$15,$CD$15:$CI$15,$CW$14)/COUNTIFS($CD$15:$CI$15,$CW$14)</f>
        <v>0</v>
      </c>
      <c r="CY16" s="10">
        <f t="shared" si="20"/>
        <v>0</v>
      </c>
      <c r="CZ16" s="10">
        <f t="shared" si="20"/>
        <v>0</v>
      </c>
    </row>
    <row r="17" spans="4:104" x14ac:dyDescent="0.15">
      <c r="D17" s="10">
        <v>2</v>
      </c>
      <c r="E17" s="10" t="e">
        <f t="shared" ref="E17:E80" si="21">IF(E16-((AL16+AM16+AQ16+AR16)*IF(BS16=1,1,0)+(AV16+AW16+BA16+BB16)*IF(BT16=1,1,0)+(BF16+BG16+BK16+BL16)*IF(BU16=1,1,0))*IF(J16=0,1,I16)/$D$5&lt;$E$16*$P$8,0,
E16-((AL16+AM16+AQ16+AR16)*IF(BS16=1,1,0)+(AV16+AW16+BA16+BB16)*IF(BT16=1,1,0)+(BF16+BG16+BK16+BL16)*IF(BU16=1,1,0))*IF(J16=0,1,I16)/$D$5)</f>
        <v>#VALUE!</v>
      </c>
      <c r="F17" s="10" t="e">
        <f t="shared" si="1"/>
        <v>#VALUE!</v>
      </c>
      <c r="G17" s="10" t="e">
        <f t="shared" si="2"/>
        <v>#VALUE!</v>
      </c>
      <c r="H17" s="10" t="e">
        <f t="shared" ref="H17:H80" si="22">IF(E17=0,0,ROUNDUP(E17/$F$5*$G$5,0))</f>
        <v>#VALUE!</v>
      </c>
      <c r="I17" s="10" t="e">
        <f t="shared" si="3"/>
        <v>#VALUE!</v>
      </c>
      <c r="J17" s="10">
        <f t="shared" ref="J17:J80" si="23">MAX(J16-((AL16+AM16+AQ16+AR16)*IF(BS16=1,1,0)+(AV16+AW16+BA16+BB16)*IF(BT16=1,1,0)+(BF16+BG16+BK16+BL16)*IF(BU16=1,1,0))*IF(E16=0,1,M16)/$D$6,0)</f>
        <v>0</v>
      </c>
      <c r="K17" s="10">
        <f t="shared" si="4"/>
        <v>0</v>
      </c>
      <c r="L17" s="10">
        <f t="shared" si="5"/>
        <v>0</v>
      </c>
      <c r="M17" s="10">
        <f t="shared" ref="M17:M80" si="24">IF(J17=0,0,1-I17)</f>
        <v>0</v>
      </c>
      <c r="O17" s="10" t="e">
        <f t="shared" ref="O17:O80" si="25">IF(O16-((AL16+AM16+AQ16+AR16)*IF(BS16=3,1,0)+(AV16+AW16+BA16+BB16)*IF(BT16=3,1,0)+(BF16+BG16+BK16+BL16)*IF(BU16=3,1,0))*IF(T16=0,1,S16)/$D$8&lt;$O$16*$P$8,0,
O16-((AL16+AM16+AQ16+AR16)*IF(BS16=3,1,0)+(AV16+AW16+BA16+BB16)*IF(BT16=3,1,0)+(BF16+BG16+BK16+BL16)*IF(BU16=3,1,0))*IF(T16=0,1,S16)/$D$8)</f>
        <v>#VALUE!</v>
      </c>
      <c r="P17" s="10" t="e">
        <f t="shared" si="6"/>
        <v>#VALUE!</v>
      </c>
      <c r="Q17" s="10" t="e">
        <f t="shared" si="7"/>
        <v>#VALUE!</v>
      </c>
      <c r="R17" s="10" t="e">
        <f t="shared" ref="R17:R80" si="26">IF(O17=0,0,ROUNDUP(O17/$F$8*$G$8,0))</f>
        <v>#VALUE!</v>
      </c>
      <c r="S17" s="10" t="e">
        <f t="shared" ref="S17:S80" si="27">IF(AND(T17=0,O17&lt;&gt;0),1,R17/(R17+$G$9))</f>
        <v>#VALUE!</v>
      </c>
      <c r="T17" s="10">
        <f>MAX(T16-((AL16+AM16+AQ16+AR16)*IF(BS16=3,1,0)+(AV16+AW16+BA16+BB16)*IF(BT16=3,1,0)+(BF16+BG16+BK16+BL16)*IF(BU16=3,1,0))*IF(O16=0,1,W16)/$D$9,0)</f>
        <v>1</v>
      </c>
      <c r="U17" s="10">
        <f>IF(T17=0,0,ROUNDUP(T17,0)*$E$9)</f>
        <v>192000</v>
      </c>
      <c r="V17" s="10">
        <f t="shared" si="8"/>
        <v>76800</v>
      </c>
      <c r="W17" s="10" t="e">
        <f t="shared" ref="W17:W80" si="28">IF(T17=0,0,1-S17)</f>
        <v>#VALUE!</v>
      </c>
      <c r="Y17" s="10" t="e">
        <f t="shared" ref="Y17:Y80" si="29">IF(Y16-((AL16+AM16+AQ16+AR16)*IF(BS16=5,1,0)+(AV16+AW16+BA16+BB16)*IF(BT16=5,1,0)+(BF16+BG16+BK16+BL16)*IF(BU16=5,1,0))*IF(AD16=0,1,AC16)/$D$11&lt;$Y$16*$P$8,0,
Y16-((AL16+AM16+AQ16+AR16)*IF(BS16=5,1,0)+(AV16+AW16+BA16+BB16)*IF(BT16=5,1,0)+(BF16+BG16+BK16+BL16)*IF(BU16=5,1,0))*IF(AD16=0,1,AC16)/$D$11)</f>
        <v>#VALUE!</v>
      </c>
      <c r="Z17" s="11" t="e">
        <f t="shared" ref="Z17:Z80" si="30">IF(Y17=0,0,Y17*$E$11)</f>
        <v>#VALUE!</v>
      </c>
      <c r="AA17" s="10" t="e">
        <f t="shared" si="9"/>
        <v>#VALUE!</v>
      </c>
      <c r="AB17" s="10" t="e">
        <f t="shared" ref="AB17:AB80" si="31">IF(Y17=0,0,ROUNDUP(Y17/$F$11*$G$11,0))</f>
        <v>#VALUE!</v>
      </c>
      <c r="AC17" s="10" t="e">
        <f t="shared" ref="AC17:AC80" si="32">IF(AND(AD17=0,Y17&lt;&gt;0),1,AB17/(AB17+$G$12))</f>
        <v>#VALUE!</v>
      </c>
      <c r="AD17" s="10">
        <f>MAX(AD16-((AL16+AM16+AQ16+AR16)*IF(BS16=5,1,0)+(AV16+AW16+BA16+BB16)*IF(BT16=5,1,0)+(BF16+BG16+BK16+BL16)*IF(BU16=5,1,0))*IF(Y16=0,1,AG16)/$D$12,0)</f>
        <v>0</v>
      </c>
      <c r="AE17" s="10">
        <f>IF(AD17=0,0,ROUNDUP(AD17,0)*$E$12)</f>
        <v>0</v>
      </c>
      <c r="AF17" s="10">
        <f t="shared" si="10"/>
        <v>0</v>
      </c>
      <c r="AG17" s="10">
        <f t="shared" ref="AG17:AG80" si="33">IF(AD17=0,0,1-AC17)</f>
        <v>0</v>
      </c>
      <c r="AI17" s="13"/>
      <c r="AK17" s="10" t="e">
        <f t="shared" ref="AK17:AK80" si="34">IF(AK16-((F16+G16+K16+L16)*IF(BR16=2,1,0)+(P16+Q16+U16+V16)*IF(BQ16=2,1,0)+(Z16+AA16+AE16+AF16)*IF(BP16=2,1,0))*IF(AP16=0,1,AO16)/$J$5&lt;$AK$16*$P$8,0,
AK16-((F16+G16+K16+L16)*IF(BR16=2,1,0)+(P16+Q16+U16+V16)*IF(BQ16=2,1,0)+(Z16+AA16+AE16+AF16)*IF(BP16=2,1,0))*IF(AP16=0,1,AO16)/$J$5)</f>
        <v>#VALUE!</v>
      </c>
      <c r="AL17" s="10" t="e">
        <f>IF(AK17=0,0,AK17*$K$5)</f>
        <v>#VALUE!</v>
      </c>
      <c r="AM17" s="10" t="e">
        <f t="shared" si="11"/>
        <v>#VALUE!</v>
      </c>
      <c r="AN17" s="10" t="e">
        <f t="shared" ref="AN17:AN80" si="35">IF(AK17=0,0,ROUNDUP(AK17/$L$5*$M$5,0))</f>
        <v>#VALUE!</v>
      </c>
      <c r="AO17" s="10" t="e">
        <f t="shared" ref="AO17:AO80" si="36">IF(AND(AP17=0,AK17&lt;&gt;0),1,AN17/(AN17+$M$6))</f>
        <v>#VALUE!</v>
      </c>
      <c r="AP17" s="10">
        <f t="shared" ref="AP17:AP80" si="37">MAX(AP16-((F16+G16+K16+L16)*IF(BR16=2,1,0)+(P16+Q16+U16+V16)*IF(BQ16=2,1,0)+(Z16+AA16+AE16+AF16)*IF(BP16=2,1,0))*IF(AK16=0,1,AS16)/$J$6,0)</f>
        <v>0</v>
      </c>
      <c r="AQ17" s="10">
        <f>IF(AP17=0,0,ROUNDUP(AP17,0)*$K$6)</f>
        <v>0</v>
      </c>
      <c r="AR17" s="10">
        <f t="shared" si="12"/>
        <v>0</v>
      </c>
      <c r="AS17" s="10">
        <f>IF(AP17=0,0,1-AO17)</f>
        <v>0</v>
      </c>
      <c r="AU17" s="10" t="e">
        <f t="shared" ref="AU17:AU80" si="38">IF(AU16-((F16+G16+K16+L16)*IF(BR16=4,1,0)+(P16+Q16+U16+V16)*IF(BQ16=4,1,0)+(Z16+AA16+AE16+AF16)*IF(BP16=4,1,0))*IF(AZ16=0,1,AY16)/$J$8&lt;$AU$16*$P$8,0,
AU16-((F16+G16+K16+L16)*IF(BR16=4,1,0)+(P16+Q16+U16+V16)*IF(BQ16=4,1,0)+(Z16+AA16+AE16+AF16)*IF(BP16=4,1,0))*IF(AZ16=0,1,AY16)/$J$8)</f>
        <v>#VALUE!</v>
      </c>
      <c r="AV17" s="10" t="e">
        <f>IF(AU17=0,0,AU17*$K$8)</f>
        <v>#VALUE!</v>
      </c>
      <c r="AW17" s="10" t="e">
        <f t="shared" si="13"/>
        <v>#VALUE!</v>
      </c>
      <c r="AX17" s="10" t="e">
        <f t="shared" ref="AX17:AX80" si="39">IF(AU17=0,0,ROUNDUP(AU17/$L$8*$M$8,0))</f>
        <v>#VALUE!</v>
      </c>
      <c r="AY17" s="10" t="e">
        <f t="shared" ref="AY17:AY80" si="40">IF(AND(AZ17=0,AU17&lt;&gt;0),1,AX17/(AX17+$M$9))</f>
        <v>#VALUE!</v>
      </c>
      <c r="AZ17" s="10">
        <f t="shared" ref="AZ17:AZ80" si="41">MAX(AZ16-((F16+G16+K16+L16)*IF(BR16=4,1,0)+(P16+Q16+U16+V16)*IF(BQ16=4,1,0)+(Z16+AA16+AE16+AF16)*IF(BP16=4,1,0))*IF(AU16=0,1,BC16)/$J$9,0)</f>
        <v>1</v>
      </c>
      <c r="BA17" s="10">
        <f>IF(AZ17=0,0,ROUNDUP(AZ17,0)*$K$9)</f>
        <v>192000</v>
      </c>
      <c r="BB17" s="10">
        <f t="shared" si="14"/>
        <v>76800</v>
      </c>
      <c r="BC17" s="10" t="e">
        <f>IF(AZ17=0,0,1-AY17)</f>
        <v>#VALUE!</v>
      </c>
      <c r="BE17" s="10" t="e">
        <f t="shared" ref="BE17:BE80" si="42">IF(BE16-((F16+G16+K16+L16)*IF(BR16=6,1,0)+(P16+Q16+U16+V16)*IF(BQ16=6,1,0)+(Z16+AA16+AE16+AF16)*IF(BP16=6,1,0))*IF(BJ16=0,1,BI16)/$J$11&lt;$BE$16*$P$8,0,
BE16-((F16+G16+K16+L16)*IF(BR16=6,1,0)+(P16+Q16+U16+V16)*IF(BQ16=6,1,0)+(Z16+AA16+AE16+AF16)*IF(BP16=6,1,0))*IF(BJ16=0,1,BI16)/$J$11)</f>
        <v>#VALUE!</v>
      </c>
      <c r="BF17" s="10" t="e">
        <f>IF(BE17=0,0,BE17*$K$11)</f>
        <v>#VALUE!</v>
      </c>
      <c r="BG17" s="10" t="e">
        <f t="shared" si="15"/>
        <v>#VALUE!</v>
      </c>
      <c r="BH17" s="10" t="e">
        <f t="shared" ref="BH17:BH80" si="43">IF(BE17=0,0,ROUNDUP(BE17/$L$11*$M$11,0))</f>
        <v>#VALUE!</v>
      </c>
      <c r="BI17" s="10" t="e">
        <f t="shared" ref="BI17:BI80" si="44">IF(AND(BJ17=0,BE17&lt;&gt;0),1,BH17/(BH17+$M$12))</f>
        <v>#VALUE!</v>
      </c>
      <c r="BJ17" s="10">
        <f t="shared" ref="BJ17:BJ80" si="45">MAX(BJ16-((F16+G16+K16+L16)*IF(BR16=6,1,0)+(P16+Q16+U16+V16)*IF(BQ16=6,1,0)+(Z16+AA16+AE16+AF16)*IF(BP16=6,1,0))*IF(BE16=0,1,BM16)/$J$12,0)</f>
        <v>0</v>
      </c>
      <c r="BK17" s="10">
        <f>IF(BJ17=0,0,ROUNDUP(BJ17,0)*$K$12)</f>
        <v>0</v>
      </c>
      <c r="BL17" s="10">
        <f t="shared" si="16"/>
        <v>0</v>
      </c>
      <c r="BM17" s="10">
        <f>IF(BJ17=0,0,1-BI17)</f>
        <v>0</v>
      </c>
      <c r="BP17" s="10" t="e">
        <f t="shared" ref="BP17:BP80" si="46">IF(CB17&gt;0,BU$15,IF(BZ17&gt;0,BS$15,BT$15))</f>
        <v>#VALUE!</v>
      </c>
      <c r="BQ17" s="10" t="e">
        <f t="shared" ref="BQ17:BQ80" si="47">IF(BZ17&gt;0,BS$15,IF(CA17&gt;0,BT$15,BU$15))</f>
        <v>#VALUE!</v>
      </c>
      <c r="BR17" s="10" t="e">
        <f t="shared" ref="BR17:BR80" si="48">IF(BZ17&gt;0,BS$15,IF(CA17&gt;0,BT$15,BU$15))</f>
        <v>#VALUE!</v>
      </c>
      <c r="BS17" s="10" t="e">
        <f t="shared" ref="BS17:BS80" si="49">IF(BY17&gt;0,BR$15,IF(BX17&gt;0,BQ$15,BP$15))</f>
        <v>#VALUE!</v>
      </c>
      <c r="BT17" s="10" t="e">
        <f t="shared" ref="BT17:BT80" si="50">IF(BY17&gt;0,BR$15,IF(BX17&gt;0,BQ$15,BP$15))</f>
        <v>#VALUE!</v>
      </c>
      <c r="BU17" s="10" t="e">
        <f t="shared" ref="BU17:BU80" si="51">IF(BW17&gt;0,BP$15,IF(BX17&gt;0,BQ$15,BR$15))</f>
        <v>#VALUE!</v>
      </c>
      <c r="BW17" s="10" t="e">
        <f t="shared" ref="BW17:BW80" si="52">Y17+AD17*1000</f>
        <v>#VALUE!</v>
      </c>
      <c r="BX17" s="10" t="e">
        <f t="shared" ref="BX17:BX80" si="53">O17+T17*1000</f>
        <v>#VALUE!</v>
      </c>
      <c r="BY17" s="10" t="e">
        <f t="shared" ref="BY17:BY80" si="54">E17+J17*1000</f>
        <v>#VALUE!</v>
      </c>
      <c r="BZ17" s="10" t="e">
        <f t="shared" ref="BZ17:BZ80" si="55">AK17+AP17*1000</f>
        <v>#VALUE!</v>
      </c>
      <c r="CA17" s="10" t="e">
        <f t="shared" ref="CA17:CA80" si="56">AU17+AZ17*1000</f>
        <v>#VALUE!</v>
      </c>
      <c r="CB17" s="10" t="e">
        <f t="shared" ref="CB17:CB80" si="57">BE17+BJ17*1000</f>
        <v>#VALUE!</v>
      </c>
      <c r="CD17" s="10" t="e">
        <f>MATCH(INDEX($BP$12:$BU$12,1,MATCH(BP17,$BP$15:$BU$15,0)),结果汇总!$AI$10:$AI$13,0)</f>
        <v>#VALUE!</v>
      </c>
      <c r="CE17" s="10" t="e">
        <f>MATCH(INDEX($BP$12:$BU$12,1,MATCH(BQ17,$BP$15:$BU$15,0)),结果汇总!$AI$10:$AI$13,0)</f>
        <v>#VALUE!</v>
      </c>
      <c r="CF17" s="10" t="e">
        <f>MATCH(INDEX($BP$12:$BU$12,1,MATCH(BR17,$BP$15:$BU$15,0)),结果汇总!$AI$10:$AI$13,0)</f>
        <v>#VALUE!</v>
      </c>
      <c r="CG17" s="10" t="e">
        <f>MATCH(INDEX($BP$12:$BU$12,1,MATCH(BS17,$BP$15:$BU$15,0)),结果汇总!$AI$10:$AI$13,0)</f>
        <v>#VALUE!</v>
      </c>
      <c r="CH17" s="10" t="e">
        <f>MATCH(INDEX($BP$12:$BU$12,1,MATCH(BT17,$BP$15:$BU$15,0)),结果汇总!$AI$10:$AI$13,0)</f>
        <v>#VALUE!</v>
      </c>
      <c r="CI17" s="10" t="e">
        <f>MATCH(INDEX($BP$12:$BU$12,1,MATCH(BU17,$BP$15:$BU$15,0)),结果汇总!$AI$10:$AI$13,0)</f>
        <v>#VALUE!</v>
      </c>
      <c r="CK17" s="10">
        <f t="shared" ref="CK17:CN48" si="58">COUNTIFS($CD17:$CI17,CK$15,$CD$15:$CI$15,$CK$14)/COUNTIFS($CD$15:$CI$15,$CK$14)</f>
        <v>0</v>
      </c>
      <c r="CL17" s="10">
        <f t="shared" si="17"/>
        <v>0</v>
      </c>
      <c r="CM17" s="10">
        <f t="shared" si="17"/>
        <v>0</v>
      </c>
      <c r="CN17" s="10">
        <f t="shared" si="17"/>
        <v>0</v>
      </c>
      <c r="CO17" s="10">
        <f t="shared" ref="CO17:CR48" si="59">COUNTIFS($CD17:$CI17,CO$15,$CD$15:$CI$15,$CO$14)/COUNTIFS($CD$15:$CI$15,$CO$14)</f>
        <v>0</v>
      </c>
      <c r="CP17" s="10">
        <f t="shared" si="18"/>
        <v>0</v>
      </c>
      <c r="CQ17" s="10">
        <f t="shared" si="18"/>
        <v>0</v>
      </c>
      <c r="CR17" s="10">
        <f t="shared" si="18"/>
        <v>0</v>
      </c>
      <c r="CS17" s="10">
        <f t="shared" ref="CS17:CV48" si="60">COUNTIFS($CD17:$CI17,CS$15,$CD$15:$CI$15,$CS$14)/COUNTIFS($CD$15:$CI$15,$CS$14)</f>
        <v>0</v>
      </c>
      <c r="CT17" s="10">
        <f t="shared" si="19"/>
        <v>0</v>
      </c>
      <c r="CU17" s="10">
        <f t="shared" si="19"/>
        <v>0</v>
      </c>
      <c r="CV17" s="10">
        <f t="shared" si="19"/>
        <v>0</v>
      </c>
      <c r="CW17" s="10">
        <f t="shared" ref="CW17:CZ48" si="61">COUNTIFS($CD17:$CI17,CW$15,$CD$15:$CI$15,$CW$14)/COUNTIFS($CD$15:$CI$15,$CW$14)</f>
        <v>0</v>
      </c>
      <c r="CX17" s="10">
        <f t="shared" si="20"/>
        <v>0</v>
      </c>
      <c r="CY17" s="10">
        <f t="shared" si="20"/>
        <v>0</v>
      </c>
      <c r="CZ17" s="10">
        <f t="shared" si="20"/>
        <v>0</v>
      </c>
    </row>
    <row r="18" spans="4:104" x14ac:dyDescent="0.15">
      <c r="D18" s="10">
        <v>3</v>
      </c>
      <c r="E18" s="10" t="e">
        <f t="shared" si="21"/>
        <v>#VALUE!</v>
      </c>
      <c r="F18" s="10" t="e">
        <f t="shared" si="1"/>
        <v>#VALUE!</v>
      </c>
      <c r="G18" s="10" t="e">
        <f t="shared" si="2"/>
        <v>#VALUE!</v>
      </c>
      <c r="H18" s="10" t="e">
        <f t="shared" si="22"/>
        <v>#VALUE!</v>
      </c>
      <c r="I18" s="10" t="e">
        <f t="shared" si="3"/>
        <v>#VALUE!</v>
      </c>
      <c r="J18" s="10" t="e">
        <f t="shared" si="23"/>
        <v>#VALUE!</v>
      </c>
      <c r="K18" s="10" t="e">
        <f t="shared" si="4"/>
        <v>#VALUE!</v>
      </c>
      <c r="L18" s="10" t="e">
        <f t="shared" si="5"/>
        <v>#VALUE!</v>
      </c>
      <c r="M18" s="10" t="e">
        <f t="shared" si="24"/>
        <v>#VALUE!</v>
      </c>
      <c r="O18" s="10" t="e">
        <f t="shared" si="25"/>
        <v>#VALUE!</v>
      </c>
      <c r="P18" s="10" t="e">
        <f t="shared" si="6"/>
        <v>#VALUE!</v>
      </c>
      <c r="Q18" s="10" t="e">
        <f t="shared" si="7"/>
        <v>#VALUE!</v>
      </c>
      <c r="R18" s="10" t="e">
        <f t="shared" si="26"/>
        <v>#VALUE!</v>
      </c>
      <c r="S18" s="10" t="e">
        <f t="shared" si="27"/>
        <v>#VALUE!</v>
      </c>
      <c r="T18" s="10" t="e">
        <f t="shared" ref="T18:T81" si="62">MAX(T17-((AL17+AM17+AQ17+AR17)*IF(BS17=3,1,0)+(AV17+AW17+BA17+BB17)*IF(BT17=3,1,0)+(BF17+BG17+BK17+BL17)*IF(BU17=3,1,0))*IF(O17=0,1,W17)/$D$9,0)</f>
        <v>#VALUE!</v>
      </c>
      <c r="U18" s="10" t="e">
        <f t="shared" ref="U18:U81" si="63">IF(T18=0,0,ROUNDUP(T18,0)*$E$9)</f>
        <v>#VALUE!</v>
      </c>
      <c r="V18" s="10" t="e">
        <f t="shared" si="8"/>
        <v>#VALUE!</v>
      </c>
      <c r="W18" s="10" t="e">
        <f t="shared" si="28"/>
        <v>#VALUE!</v>
      </c>
      <c r="Y18" s="10" t="e">
        <f t="shared" si="29"/>
        <v>#VALUE!</v>
      </c>
      <c r="Z18" s="11" t="e">
        <f t="shared" si="30"/>
        <v>#VALUE!</v>
      </c>
      <c r="AA18" s="10" t="e">
        <f t="shared" si="9"/>
        <v>#VALUE!</v>
      </c>
      <c r="AB18" s="10" t="e">
        <f t="shared" si="31"/>
        <v>#VALUE!</v>
      </c>
      <c r="AC18" s="10" t="e">
        <f t="shared" si="32"/>
        <v>#VALUE!</v>
      </c>
      <c r="AD18" s="10" t="e">
        <f t="shared" ref="AD18:AD81" si="64">MAX(AD17-((AL17+AM17+AQ17+AR17)*IF(BS17=5,1,0)+(AV17+AW17+BA17+BB17)*IF(BT17=5,1,0)+(BF17+BG17+BK17+BL17)*IF(BU17=5,1,0))*IF(Y17=0,1,AG17)/$D$12,0)</f>
        <v>#VALUE!</v>
      </c>
      <c r="AE18" s="10" t="e">
        <f t="shared" ref="AE18:AE81" si="65">IF(AD18=0,0,ROUNDUP(AD18,0)*$E$12)</f>
        <v>#VALUE!</v>
      </c>
      <c r="AF18" s="10" t="e">
        <f t="shared" si="10"/>
        <v>#VALUE!</v>
      </c>
      <c r="AG18" s="10" t="e">
        <f t="shared" si="33"/>
        <v>#VALUE!</v>
      </c>
      <c r="AI18" s="13"/>
      <c r="AK18" s="10" t="e">
        <f t="shared" si="34"/>
        <v>#VALUE!</v>
      </c>
      <c r="AL18" s="10" t="e">
        <f t="shared" ref="AL18:AL81" si="66">IF(AK18=0,0,AK18*$K$5)</f>
        <v>#VALUE!</v>
      </c>
      <c r="AM18" s="10" t="e">
        <f t="shared" si="11"/>
        <v>#VALUE!</v>
      </c>
      <c r="AN18" s="10" t="e">
        <f t="shared" si="35"/>
        <v>#VALUE!</v>
      </c>
      <c r="AO18" s="10" t="e">
        <f t="shared" si="36"/>
        <v>#VALUE!</v>
      </c>
      <c r="AP18" s="10" t="e">
        <f t="shared" si="37"/>
        <v>#VALUE!</v>
      </c>
      <c r="AQ18" s="10" t="e">
        <f t="shared" ref="AQ18:AQ81" si="67">IF(AP18=0,0,ROUNDUP(AP18,0)*$K$6)</f>
        <v>#VALUE!</v>
      </c>
      <c r="AR18" s="10" t="e">
        <f t="shared" si="12"/>
        <v>#VALUE!</v>
      </c>
      <c r="AS18" s="10" t="e">
        <f t="shared" ref="AS18:AS81" si="68">IF(AP18=0,0,1-AO18)</f>
        <v>#VALUE!</v>
      </c>
      <c r="AU18" s="10" t="e">
        <f t="shared" si="38"/>
        <v>#VALUE!</v>
      </c>
      <c r="AV18" s="10" t="e">
        <f t="shared" ref="AV18:AV81" si="69">IF(AU18=0,0,AU18*$K$8)</f>
        <v>#VALUE!</v>
      </c>
      <c r="AW18" s="10" t="e">
        <f t="shared" si="13"/>
        <v>#VALUE!</v>
      </c>
      <c r="AX18" s="10" t="e">
        <f t="shared" si="39"/>
        <v>#VALUE!</v>
      </c>
      <c r="AY18" s="10" t="e">
        <f t="shared" si="40"/>
        <v>#VALUE!</v>
      </c>
      <c r="AZ18" s="10" t="e">
        <f t="shared" si="41"/>
        <v>#VALUE!</v>
      </c>
      <c r="BA18" s="10" t="e">
        <f t="shared" ref="BA18:BA81" si="70">IF(AZ18=0,0,ROUNDUP(AZ18,0)*$K$9)</f>
        <v>#VALUE!</v>
      </c>
      <c r="BB18" s="10" t="e">
        <f t="shared" si="14"/>
        <v>#VALUE!</v>
      </c>
      <c r="BC18" s="10" t="e">
        <f t="shared" ref="BC18:BC81" si="71">IF(AZ18=0,0,1-AY18)</f>
        <v>#VALUE!</v>
      </c>
      <c r="BE18" s="10" t="e">
        <f t="shared" si="42"/>
        <v>#VALUE!</v>
      </c>
      <c r="BF18" s="10" t="e">
        <f t="shared" ref="BF18:BF81" si="72">IF(BE18=0,0,BE18*$K$11)</f>
        <v>#VALUE!</v>
      </c>
      <c r="BG18" s="10" t="e">
        <f t="shared" si="15"/>
        <v>#VALUE!</v>
      </c>
      <c r="BH18" s="10" t="e">
        <f t="shared" si="43"/>
        <v>#VALUE!</v>
      </c>
      <c r="BI18" s="10" t="e">
        <f t="shared" si="44"/>
        <v>#VALUE!</v>
      </c>
      <c r="BJ18" s="10" t="e">
        <f t="shared" si="45"/>
        <v>#VALUE!</v>
      </c>
      <c r="BK18" s="10" t="e">
        <f t="shared" ref="BK18:BK81" si="73">IF(BJ18=0,0,ROUNDUP(BJ18,0)*$K$12)</f>
        <v>#VALUE!</v>
      </c>
      <c r="BL18" s="10" t="e">
        <f t="shared" si="16"/>
        <v>#VALUE!</v>
      </c>
      <c r="BM18" s="10" t="e">
        <f t="shared" ref="BM18:BM81" si="74">IF(BJ18=0,0,1-BI18)</f>
        <v>#VALUE!</v>
      </c>
      <c r="BP18" s="10" t="e">
        <f t="shared" si="46"/>
        <v>#VALUE!</v>
      </c>
      <c r="BQ18" s="10" t="e">
        <f t="shared" si="47"/>
        <v>#VALUE!</v>
      </c>
      <c r="BR18" s="10" t="e">
        <f t="shared" si="48"/>
        <v>#VALUE!</v>
      </c>
      <c r="BS18" s="10" t="e">
        <f t="shared" si="49"/>
        <v>#VALUE!</v>
      </c>
      <c r="BT18" s="10" t="e">
        <f t="shared" si="50"/>
        <v>#VALUE!</v>
      </c>
      <c r="BU18" s="10" t="e">
        <f t="shared" si="51"/>
        <v>#VALUE!</v>
      </c>
      <c r="BW18" s="10" t="e">
        <f t="shared" si="52"/>
        <v>#VALUE!</v>
      </c>
      <c r="BX18" s="10" t="e">
        <f t="shared" si="53"/>
        <v>#VALUE!</v>
      </c>
      <c r="BY18" s="10" t="e">
        <f t="shared" si="54"/>
        <v>#VALUE!</v>
      </c>
      <c r="BZ18" s="10" t="e">
        <f t="shared" si="55"/>
        <v>#VALUE!</v>
      </c>
      <c r="CA18" s="10" t="e">
        <f t="shared" si="56"/>
        <v>#VALUE!</v>
      </c>
      <c r="CB18" s="10" t="e">
        <f t="shared" si="57"/>
        <v>#VALUE!</v>
      </c>
      <c r="CD18" s="10" t="e">
        <f>MATCH(INDEX($BP$12:$BU$12,1,MATCH(BP18,$BP$15:$BU$15,0)),结果汇总!$AI$10:$AI$13,0)</f>
        <v>#VALUE!</v>
      </c>
      <c r="CE18" s="10" t="e">
        <f>MATCH(INDEX($BP$12:$BU$12,1,MATCH(BQ18,$BP$15:$BU$15,0)),结果汇总!$AI$10:$AI$13,0)</f>
        <v>#VALUE!</v>
      </c>
      <c r="CF18" s="10" t="e">
        <f>MATCH(INDEX($BP$12:$BU$12,1,MATCH(BR18,$BP$15:$BU$15,0)),结果汇总!$AI$10:$AI$13,0)</f>
        <v>#VALUE!</v>
      </c>
      <c r="CG18" s="10" t="e">
        <f>MATCH(INDEX($BP$12:$BU$12,1,MATCH(BS18,$BP$15:$BU$15,0)),结果汇总!$AI$10:$AI$13,0)</f>
        <v>#VALUE!</v>
      </c>
      <c r="CH18" s="10" t="e">
        <f>MATCH(INDEX($BP$12:$BU$12,1,MATCH(BT18,$BP$15:$BU$15,0)),结果汇总!$AI$10:$AI$13,0)</f>
        <v>#VALUE!</v>
      </c>
      <c r="CI18" s="10" t="e">
        <f>MATCH(INDEX($BP$12:$BU$12,1,MATCH(BU18,$BP$15:$BU$15,0)),结果汇总!$AI$10:$AI$13,0)</f>
        <v>#VALUE!</v>
      </c>
      <c r="CK18" s="10">
        <f t="shared" si="58"/>
        <v>0</v>
      </c>
      <c r="CL18" s="10">
        <f t="shared" si="17"/>
        <v>0</v>
      </c>
      <c r="CM18" s="10">
        <f t="shared" si="17"/>
        <v>0</v>
      </c>
      <c r="CN18" s="10">
        <f t="shared" si="17"/>
        <v>0</v>
      </c>
      <c r="CO18" s="10">
        <f t="shared" si="59"/>
        <v>0</v>
      </c>
      <c r="CP18" s="10">
        <f t="shared" si="18"/>
        <v>0</v>
      </c>
      <c r="CQ18" s="10">
        <f t="shared" si="18"/>
        <v>0</v>
      </c>
      <c r="CR18" s="10">
        <f t="shared" si="18"/>
        <v>0</v>
      </c>
      <c r="CS18" s="10">
        <f t="shared" si="60"/>
        <v>0</v>
      </c>
      <c r="CT18" s="10">
        <f t="shared" si="19"/>
        <v>0</v>
      </c>
      <c r="CU18" s="10">
        <f t="shared" si="19"/>
        <v>0</v>
      </c>
      <c r="CV18" s="10">
        <f t="shared" si="19"/>
        <v>0</v>
      </c>
      <c r="CW18" s="10">
        <f t="shared" si="61"/>
        <v>0</v>
      </c>
      <c r="CX18" s="10">
        <f t="shared" si="20"/>
        <v>0</v>
      </c>
      <c r="CY18" s="10">
        <f t="shared" si="20"/>
        <v>0</v>
      </c>
      <c r="CZ18" s="10">
        <f t="shared" si="20"/>
        <v>0</v>
      </c>
    </row>
    <row r="19" spans="4:104" x14ac:dyDescent="0.15">
      <c r="D19" s="10">
        <v>4</v>
      </c>
      <c r="E19" s="10" t="e">
        <f t="shared" si="21"/>
        <v>#VALUE!</v>
      </c>
      <c r="F19" s="10" t="e">
        <f t="shared" si="1"/>
        <v>#VALUE!</v>
      </c>
      <c r="G19" s="10" t="e">
        <f t="shared" si="2"/>
        <v>#VALUE!</v>
      </c>
      <c r="H19" s="10" t="e">
        <f t="shared" si="22"/>
        <v>#VALUE!</v>
      </c>
      <c r="I19" s="10" t="e">
        <f t="shared" si="3"/>
        <v>#VALUE!</v>
      </c>
      <c r="J19" s="10" t="e">
        <f t="shared" si="23"/>
        <v>#VALUE!</v>
      </c>
      <c r="K19" s="10" t="e">
        <f t="shared" si="4"/>
        <v>#VALUE!</v>
      </c>
      <c r="L19" s="10" t="e">
        <f t="shared" si="5"/>
        <v>#VALUE!</v>
      </c>
      <c r="M19" s="10" t="e">
        <f t="shared" si="24"/>
        <v>#VALUE!</v>
      </c>
      <c r="O19" s="10" t="e">
        <f t="shared" si="25"/>
        <v>#VALUE!</v>
      </c>
      <c r="P19" s="10" t="e">
        <f t="shared" si="6"/>
        <v>#VALUE!</v>
      </c>
      <c r="Q19" s="10" t="e">
        <f t="shared" si="7"/>
        <v>#VALUE!</v>
      </c>
      <c r="R19" s="10" t="e">
        <f t="shared" si="26"/>
        <v>#VALUE!</v>
      </c>
      <c r="S19" s="10" t="e">
        <f t="shared" si="27"/>
        <v>#VALUE!</v>
      </c>
      <c r="T19" s="10" t="e">
        <f t="shared" si="62"/>
        <v>#VALUE!</v>
      </c>
      <c r="U19" s="10" t="e">
        <f t="shared" si="63"/>
        <v>#VALUE!</v>
      </c>
      <c r="V19" s="10" t="e">
        <f t="shared" si="8"/>
        <v>#VALUE!</v>
      </c>
      <c r="W19" s="10" t="e">
        <f t="shared" si="28"/>
        <v>#VALUE!</v>
      </c>
      <c r="Y19" s="10" t="e">
        <f t="shared" si="29"/>
        <v>#VALUE!</v>
      </c>
      <c r="Z19" s="11" t="e">
        <f t="shared" si="30"/>
        <v>#VALUE!</v>
      </c>
      <c r="AA19" s="10" t="e">
        <f t="shared" si="9"/>
        <v>#VALUE!</v>
      </c>
      <c r="AB19" s="10" t="e">
        <f t="shared" si="31"/>
        <v>#VALUE!</v>
      </c>
      <c r="AC19" s="10" t="e">
        <f t="shared" si="32"/>
        <v>#VALUE!</v>
      </c>
      <c r="AD19" s="10" t="e">
        <f t="shared" si="64"/>
        <v>#VALUE!</v>
      </c>
      <c r="AE19" s="10" t="e">
        <f t="shared" si="65"/>
        <v>#VALUE!</v>
      </c>
      <c r="AF19" s="10" t="e">
        <f t="shared" si="10"/>
        <v>#VALUE!</v>
      </c>
      <c r="AG19" s="10" t="e">
        <f t="shared" si="33"/>
        <v>#VALUE!</v>
      </c>
      <c r="AI19" s="13"/>
      <c r="AK19" s="10" t="e">
        <f t="shared" si="34"/>
        <v>#VALUE!</v>
      </c>
      <c r="AL19" s="10" t="e">
        <f t="shared" si="66"/>
        <v>#VALUE!</v>
      </c>
      <c r="AM19" s="10" t="e">
        <f t="shared" si="11"/>
        <v>#VALUE!</v>
      </c>
      <c r="AN19" s="10" t="e">
        <f t="shared" si="35"/>
        <v>#VALUE!</v>
      </c>
      <c r="AO19" s="10" t="e">
        <f t="shared" si="36"/>
        <v>#VALUE!</v>
      </c>
      <c r="AP19" s="10" t="e">
        <f t="shared" si="37"/>
        <v>#VALUE!</v>
      </c>
      <c r="AQ19" s="10" t="e">
        <f t="shared" si="67"/>
        <v>#VALUE!</v>
      </c>
      <c r="AR19" s="10" t="e">
        <f t="shared" si="12"/>
        <v>#VALUE!</v>
      </c>
      <c r="AS19" s="10" t="e">
        <f t="shared" si="68"/>
        <v>#VALUE!</v>
      </c>
      <c r="AU19" s="10" t="e">
        <f t="shared" si="38"/>
        <v>#VALUE!</v>
      </c>
      <c r="AV19" s="10" t="e">
        <f t="shared" si="69"/>
        <v>#VALUE!</v>
      </c>
      <c r="AW19" s="10" t="e">
        <f t="shared" si="13"/>
        <v>#VALUE!</v>
      </c>
      <c r="AX19" s="10" t="e">
        <f t="shared" si="39"/>
        <v>#VALUE!</v>
      </c>
      <c r="AY19" s="10" t="e">
        <f t="shared" si="40"/>
        <v>#VALUE!</v>
      </c>
      <c r="AZ19" s="10" t="e">
        <f t="shared" si="41"/>
        <v>#VALUE!</v>
      </c>
      <c r="BA19" s="10" t="e">
        <f t="shared" si="70"/>
        <v>#VALUE!</v>
      </c>
      <c r="BB19" s="10" t="e">
        <f t="shared" si="14"/>
        <v>#VALUE!</v>
      </c>
      <c r="BC19" s="10" t="e">
        <f t="shared" si="71"/>
        <v>#VALUE!</v>
      </c>
      <c r="BE19" s="10" t="e">
        <f t="shared" si="42"/>
        <v>#VALUE!</v>
      </c>
      <c r="BF19" s="10" t="e">
        <f t="shared" si="72"/>
        <v>#VALUE!</v>
      </c>
      <c r="BG19" s="10" t="e">
        <f t="shared" si="15"/>
        <v>#VALUE!</v>
      </c>
      <c r="BH19" s="10" t="e">
        <f t="shared" si="43"/>
        <v>#VALUE!</v>
      </c>
      <c r="BI19" s="10" t="e">
        <f t="shared" si="44"/>
        <v>#VALUE!</v>
      </c>
      <c r="BJ19" s="10" t="e">
        <f t="shared" si="45"/>
        <v>#VALUE!</v>
      </c>
      <c r="BK19" s="10" t="e">
        <f t="shared" si="73"/>
        <v>#VALUE!</v>
      </c>
      <c r="BL19" s="10" t="e">
        <f t="shared" si="16"/>
        <v>#VALUE!</v>
      </c>
      <c r="BM19" s="10" t="e">
        <f t="shared" si="74"/>
        <v>#VALUE!</v>
      </c>
      <c r="BP19" s="10" t="e">
        <f t="shared" si="46"/>
        <v>#VALUE!</v>
      </c>
      <c r="BQ19" s="10" t="e">
        <f t="shared" si="47"/>
        <v>#VALUE!</v>
      </c>
      <c r="BR19" s="10" t="e">
        <f t="shared" si="48"/>
        <v>#VALUE!</v>
      </c>
      <c r="BS19" s="10" t="e">
        <f t="shared" si="49"/>
        <v>#VALUE!</v>
      </c>
      <c r="BT19" s="10" t="e">
        <f t="shared" si="50"/>
        <v>#VALUE!</v>
      </c>
      <c r="BU19" s="10" t="e">
        <f t="shared" si="51"/>
        <v>#VALUE!</v>
      </c>
      <c r="BW19" s="10" t="e">
        <f t="shared" si="52"/>
        <v>#VALUE!</v>
      </c>
      <c r="BX19" s="10" t="e">
        <f t="shared" si="53"/>
        <v>#VALUE!</v>
      </c>
      <c r="BY19" s="10" t="e">
        <f t="shared" si="54"/>
        <v>#VALUE!</v>
      </c>
      <c r="BZ19" s="10" t="e">
        <f t="shared" si="55"/>
        <v>#VALUE!</v>
      </c>
      <c r="CA19" s="10" t="e">
        <f t="shared" si="56"/>
        <v>#VALUE!</v>
      </c>
      <c r="CB19" s="10" t="e">
        <f t="shared" si="57"/>
        <v>#VALUE!</v>
      </c>
      <c r="CD19" s="10" t="e">
        <f>MATCH(INDEX($BP$12:$BU$12,1,MATCH(BP19,$BP$15:$BU$15,0)),结果汇总!$AI$10:$AI$13,0)</f>
        <v>#VALUE!</v>
      </c>
      <c r="CE19" s="10" t="e">
        <f>MATCH(INDEX($BP$12:$BU$12,1,MATCH(BQ19,$BP$15:$BU$15,0)),结果汇总!$AI$10:$AI$13,0)</f>
        <v>#VALUE!</v>
      </c>
      <c r="CF19" s="10" t="e">
        <f>MATCH(INDEX($BP$12:$BU$12,1,MATCH(BR19,$BP$15:$BU$15,0)),结果汇总!$AI$10:$AI$13,0)</f>
        <v>#VALUE!</v>
      </c>
      <c r="CG19" s="10" t="e">
        <f>MATCH(INDEX($BP$12:$BU$12,1,MATCH(BS19,$BP$15:$BU$15,0)),结果汇总!$AI$10:$AI$13,0)</f>
        <v>#VALUE!</v>
      </c>
      <c r="CH19" s="10" t="e">
        <f>MATCH(INDEX($BP$12:$BU$12,1,MATCH(BT19,$BP$15:$BU$15,0)),结果汇总!$AI$10:$AI$13,0)</f>
        <v>#VALUE!</v>
      </c>
      <c r="CI19" s="10" t="e">
        <f>MATCH(INDEX($BP$12:$BU$12,1,MATCH(BU19,$BP$15:$BU$15,0)),结果汇总!$AI$10:$AI$13,0)</f>
        <v>#VALUE!</v>
      </c>
      <c r="CK19" s="10">
        <f t="shared" si="58"/>
        <v>0</v>
      </c>
      <c r="CL19" s="10">
        <f t="shared" si="17"/>
        <v>0</v>
      </c>
      <c r="CM19" s="10">
        <f t="shared" si="17"/>
        <v>0</v>
      </c>
      <c r="CN19" s="10">
        <f t="shared" si="17"/>
        <v>0</v>
      </c>
      <c r="CO19" s="10">
        <f t="shared" si="59"/>
        <v>0</v>
      </c>
      <c r="CP19" s="10">
        <f t="shared" si="18"/>
        <v>0</v>
      </c>
      <c r="CQ19" s="10">
        <f t="shared" si="18"/>
        <v>0</v>
      </c>
      <c r="CR19" s="10">
        <f t="shared" si="18"/>
        <v>0</v>
      </c>
      <c r="CS19" s="10">
        <f t="shared" si="60"/>
        <v>0</v>
      </c>
      <c r="CT19" s="10">
        <f t="shared" si="19"/>
        <v>0</v>
      </c>
      <c r="CU19" s="10">
        <f t="shared" si="19"/>
        <v>0</v>
      </c>
      <c r="CV19" s="10">
        <f t="shared" si="19"/>
        <v>0</v>
      </c>
      <c r="CW19" s="10">
        <f t="shared" si="61"/>
        <v>0</v>
      </c>
      <c r="CX19" s="10">
        <f t="shared" si="20"/>
        <v>0</v>
      </c>
      <c r="CY19" s="10">
        <f t="shared" si="20"/>
        <v>0</v>
      </c>
      <c r="CZ19" s="10">
        <f t="shared" si="20"/>
        <v>0</v>
      </c>
    </row>
    <row r="20" spans="4:104" x14ac:dyDescent="0.15">
      <c r="D20" s="10">
        <v>5</v>
      </c>
      <c r="E20" s="10" t="e">
        <f t="shared" si="21"/>
        <v>#VALUE!</v>
      </c>
      <c r="F20" s="10" t="e">
        <f t="shared" si="1"/>
        <v>#VALUE!</v>
      </c>
      <c r="G20" s="10" t="e">
        <f t="shared" si="2"/>
        <v>#VALUE!</v>
      </c>
      <c r="H20" s="10" t="e">
        <f t="shared" si="22"/>
        <v>#VALUE!</v>
      </c>
      <c r="I20" s="10" t="e">
        <f t="shared" si="3"/>
        <v>#VALUE!</v>
      </c>
      <c r="J20" s="10" t="e">
        <f t="shared" si="23"/>
        <v>#VALUE!</v>
      </c>
      <c r="K20" s="10" t="e">
        <f t="shared" si="4"/>
        <v>#VALUE!</v>
      </c>
      <c r="L20" s="10" t="e">
        <f t="shared" si="5"/>
        <v>#VALUE!</v>
      </c>
      <c r="M20" s="10" t="e">
        <f t="shared" si="24"/>
        <v>#VALUE!</v>
      </c>
      <c r="O20" s="10" t="e">
        <f t="shared" si="25"/>
        <v>#VALUE!</v>
      </c>
      <c r="P20" s="10" t="e">
        <f t="shared" si="6"/>
        <v>#VALUE!</v>
      </c>
      <c r="Q20" s="10" t="e">
        <f t="shared" si="7"/>
        <v>#VALUE!</v>
      </c>
      <c r="R20" s="10" t="e">
        <f t="shared" si="26"/>
        <v>#VALUE!</v>
      </c>
      <c r="S20" s="10" t="e">
        <f t="shared" si="27"/>
        <v>#VALUE!</v>
      </c>
      <c r="T20" s="10" t="e">
        <f t="shared" si="62"/>
        <v>#VALUE!</v>
      </c>
      <c r="U20" s="10" t="e">
        <f t="shared" si="63"/>
        <v>#VALUE!</v>
      </c>
      <c r="V20" s="10" t="e">
        <f t="shared" si="8"/>
        <v>#VALUE!</v>
      </c>
      <c r="W20" s="10" t="e">
        <f t="shared" si="28"/>
        <v>#VALUE!</v>
      </c>
      <c r="Y20" s="10" t="e">
        <f t="shared" si="29"/>
        <v>#VALUE!</v>
      </c>
      <c r="Z20" s="11" t="e">
        <f t="shared" si="30"/>
        <v>#VALUE!</v>
      </c>
      <c r="AA20" s="10" t="e">
        <f t="shared" si="9"/>
        <v>#VALUE!</v>
      </c>
      <c r="AB20" s="10" t="e">
        <f t="shared" si="31"/>
        <v>#VALUE!</v>
      </c>
      <c r="AC20" s="10" t="e">
        <f t="shared" si="32"/>
        <v>#VALUE!</v>
      </c>
      <c r="AD20" s="10" t="e">
        <f t="shared" si="64"/>
        <v>#VALUE!</v>
      </c>
      <c r="AE20" s="10" t="e">
        <f t="shared" si="65"/>
        <v>#VALUE!</v>
      </c>
      <c r="AF20" s="10" t="e">
        <f t="shared" si="10"/>
        <v>#VALUE!</v>
      </c>
      <c r="AG20" s="10" t="e">
        <f t="shared" si="33"/>
        <v>#VALUE!</v>
      </c>
      <c r="AI20" s="13"/>
      <c r="AK20" s="10" t="e">
        <f t="shared" si="34"/>
        <v>#VALUE!</v>
      </c>
      <c r="AL20" s="10" t="e">
        <f t="shared" si="66"/>
        <v>#VALUE!</v>
      </c>
      <c r="AM20" s="10" t="e">
        <f t="shared" si="11"/>
        <v>#VALUE!</v>
      </c>
      <c r="AN20" s="10" t="e">
        <f t="shared" si="35"/>
        <v>#VALUE!</v>
      </c>
      <c r="AO20" s="10" t="e">
        <f t="shared" si="36"/>
        <v>#VALUE!</v>
      </c>
      <c r="AP20" s="10" t="e">
        <f t="shared" si="37"/>
        <v>#VALUE!</v>
      </c>
      <c r="AQ20" s="10" t="e">
        <f t="shared" si="67"/>
        <v>#VALUE!</v>
      </c>
      <c r="AR20" s="10" t="e">
        <f t="shared" si="12"/>
        <v>#VALUE!</v>
      </c>
      <c r="AS20" s="10" t="e">
        <f t="shared" si="68"/>
        <v>#VALUE!</v>
      </c>
      <c r="AU20" s="10" t="e">
        <f t="shared" si="38"/>
        <v>#VALUE!</v>
      </c>
      <c r="AV20" s="10" t="e">
        <f t="shared" si="69"/>
        <v>#VALUE!</v>
      </c>
      <c r="AW20" s="10" t="e">
        <f t="shared" si="13"/>
        <v>#VALUE!</v>
      </c>
      <c r="AX20" s="10" t="e">
        <f t="shared" si="39"/>
        <v>#VALUE!</v>
      </c>
      <c r="AY20" s="10" t="e">
        <f t="shared" si="40"/>
        <v>#VALUE!</v>
      </c>
      <c r="AZ20" s="10" t="e">
        <f t="shared" si="41"/>
        <v>#VALUE!</v>
      </c>
      <c r="BA20" s="10" t="e">
        <f t="shared" si="70"/>
        <v>#VALUE!</v>
      </c>
      <c r="BB20" s="10" t="e">
        <f t="shared" si="14"/>
        <v>#VALUE!</v>
      </c>
      <c r="BC20" s="10" t="e">
        <f t="shared" si="71"/>
        <v>#VALUE!</v>
      </c>
      <c r="BE20" s="10" t="e">
        <f t="shared" si="42"/>
        <v>#VALUE!</v>
      </c>
      <c r="BF20" s="10" t="e">
        <f t="shared" si="72"/>
        <v>#VALUE!</v>
      </c>
      <c r="BG20" s="10" t="e">
        <f t="shared" si="15"/>
        <v>#VALUE!</v>
      </c>
      <c r="BH20" s="10" t="e">
        <f t="shared" si="43"/>
        <v>#VALUE!</v>
      </c>
      <c r="BI20" s="10" t="e">
        <f t="shared" si="44"/>
        <v>#VALUE!</v>
      </c>
      <c r="BJ20" s="10" t="e">
        <f t="shared" si="45"/>
        <v>#VALUE!</v>
      </c>
      <c r="BK20" s="10" t="e">
        <f t="shared" si="73"/>
        <v>#VALUE!</v>
      </c>
      <c r="BL20" s="10" t="e">
        <f t="shared" si="16"/>
        <v>#VALUE!</v>
      </c>
      <c r="BM20" s="10" t="e">
        <f t="shared" si="74"/>
        <v>#VALUE!</v>
      </c>
      <c r="BP20" s="10" t="e">
        <f t="shared" si="46"/>
        <v>#VALUE!</v>
      </c>
      <c r="BQ20" s="10" t="e">
        <f t="shared" si="47"/>
        <v>#VALUE!</v>
      </c>
      <c r="BR20" s="10" t="e">
        <f t="shared" si="48"/>
        <v>#VALUE!</v>
      </c>
      <c r="BS20" s="10" t="e">
        <f t="shared" si="49"/>
        <v>#VALUE!</v>
      </c>
      <c r="BT20" s="10" t="e">
        <f t="shared" si="50"/>
        <v>#VALUE!</v>
      </c>
      <c r="BU20" s="10" t="e">
        <f t="shared" si="51"/>
        <v>#VALUE!</v>
      </c>
      <c r="BW20" s="10" t="e">
        <f t="shared" si="52"/>
        <v>#VALUE!</v>
      </c>
      <c r="BX20" s="10" t="e">
        <f t="shared" si="53"/>
        <v>#VALUE!</v>
      </c>
      <c r="BY20" s="10" t="e">
        <f t="shared" si="54"/>
        <v>#VALUE!</v>
      </c>
      <c r="BZ20" s="10" t="e">
        <f t="shared" si="55"/>
        <v>#VALUE!</v>
      </c>
      <c r="CA20" s="10" t="e">
        <f t="shared" si="56"/>
        <v>#VALUE!</v>
      </c>
      <c r="CB20" s="10" t="e">
        <f t="shared" si="57"/>
        <v>#VALUE!</v>
      </c>
      <c r="CD20" s="10" t="e">
        <f>MATCH(INDEX($BP$12:$BU$12,1,MATCH(BP20,$BP$15:$BU$15,0)),结果汇总!$AI$10:$AI$13,0)</f>
        <v>#VALUE!</v>
      </c>
      <c r="CE20" s="10" t="e">
        <f>MATCH(INDEX($BP$12:$BU$12,1,MATCH(BQ20,$BP$15:$BU$15,0)),结果汇总!$AI$10:$AI$13,0)</f>
        <v>#VALUE!</v>
      </c>
      <c r="CF20" s="10" t="e">
        <f>MATCH(INDEX($BP$12:$BU$12,1,MATCH(BR20,$BP$15:$BU$15,0)),结果汇总!$AI$10:$AI$13,0)</f>
        <v>#VALUE!</v>
      </c>
      <c r="CG20" s="10" t="e">
        <f>MATCH(INDEX($BP$12:$BU$12,1,MATCH(BS20,$BP$15:$BU$15,0)),结果汇总!$AI$10:$AI$13,0)</f>
        <v>#VALUE!</v>
      </c>
      <c r="CH20" s="10" t="e">
        <f>MATCH(INDEX($BP$12:$BU$12,1,MATCH(BT20,$BP$15:$BU$15,0)),结果汇总!$AI$10:$AI$13,0)</f>
        <v>#VALUE!</v>
      </c>
      <c r="CI20" s="10" t="e">
        <f>MATCH(INDEX($BP$12:$BU$12,1,MATCH(BU20,$BP$15:$BU$15,0)),结果汇总!$AI$10:$AI$13,0)</f>
        <v>#VALUE!</v>
      </c>
      <c r="CK20" s="10">
        <f t="shared" si="58"/>
        <v>0</v>
      </c>
      <c r="CL20" s="10">
        <f t="shared" si="17"/>
        <v>0</v>
      </c>
      <c r="CM20" s="10">
        <f t="shared" si="17"/>
        <v>0</v>
      </c>
      <c r="CN20" s="10">
        <f t="shared" si="17"/>
        <v>0</v>
      </c>
      <c r="CO20" s="10">
        <f t="shared" si="59"/>
        <v>0</v>
      </c>
      <c r="CP20" s="10">
        <f t="shared" si="18"/>
        <v>0</v>
      </c>
      <c r="CQ20" s="10">
        <f t="shared" si="18"/>
        <v>0</v>
      </c>
      <c r="CR20" s="10">
        <f t="shared" si="18"/>
        <v>0</v>
      </c>
      <c r="CS20" s="10">
        <f t="shared" si="60"/>
        <v>0</v>
      </c>
      <c r="CT20" s="10">
        <f t="shared" si="19"/>
        <v>0</v>
      </c>
      <c r="CU20" s="10">
        <f t="shared" si="19"/>
        <v>0</v>
      </c>
      <c r="CV20" s="10">
        <f t="shared" si="19"/>
        <v>0</v>
      </c>
      <c r="CW20" s="10">
        <f t="shared" si="61"/>
        <v>0</v>
      </c>
      <c r="CX20" s="10">
        <f t="shared" si="20"/>
        <v>0</v>
      </c>
      <c r="CY20" s="10">
        <f t="shared" si="20"/>
        <v>0</v>
      </c>
      <c r="CZ20" s="10">
        <f t="shared" si="20"/>
        <v>0</v>
      </c>
    </row>
    <row r="21" spans="4:104" x14ac:dyDescent="0.15">
      <c r="D21" s="10">
        <v>6</v>
      </c>
      <c r="E21" s="10" t="e">
        <f t="shared" si="21"/>
        <v>#VALUE!</v>
      </c>
      <c r="F21" s="10" t="e">
        <f t="shared" si="1"/>
        <v>#VALUE!</v>
      </c>
      <c r="G21" s="10" t="e">
        <f t="shared" si="2"/>
        <v>#VALUE!</v>
      </c>
      <c r="H21" s="10" t="e">
        <f t="shared" si="22"/>
        <v>#VALUE!</v>
      </c>
      <c r="I21" s="10" t="e">
        <f t="shared" si="3"/>
        <v>#VALUE!</v>
      </c>
      <c r="J21" s="10" t="e">
        <f t="shared" si="23"/>
        <v>#VALUE!</v>
      </c>
      <c r="K21" s="10" t="e">
        <f t="shared" si="4"/>
        <v>#VALUE!</v>
      </c>
      <c r="L21" s="10" t="e">
        <f t="shared" si="5"/>
        <v>#VALUE!</v>
      </c>
      <c r="M21" s="10" t="e">
        <f t="shared" si="24"/>
        <v>#VALUE!</v>
      </c>
      <c r="O21" s="10" t="e">
        <f t="shared" si="25"/>
        <v>#VALUE!</v>
      </c>
      <c r="P21" s="10" t="e">
        <f t="shared" si="6"/>
        <v>#VALUE!</v>
      </c>
      <c r="Q21" s="10" t="e">
        <f t="shared" si="7"/>
        <v>#VALUE!</v>
      </c>
      <c r="R21" s="10" t="e">
        <f t="shared" si="26"/>
        <v>#VALUE!</v>
      </c>
      <c r="S21" s="10" t="e">
        <f t="shared" si="27"/>
        <v>#VALUE!</v>
      </c>
      <c r="T21" s="10" t="e">
        <f t="shared" si="62"/>
        <v>#VALUE!</v>
      </c>
      <c r="U21" s="10" t="e">
        <f t="shared" si="63"/>
        <v>#VALUE!</v>
      </c>
      <c r="V21" s="10" t="e">
        <f t="shared" si="8"/>
        <v>#VALUE!</v>
      </c>
      <c r="W21" s="10" t="e">
        <f t="shared" si="28"/>
        <v>#VALUE!</v>
      </c>
      <c r="Y21" s="10" t="e">
        <f t="shared" si="29"/>
        <v>#VALUE!</v>
      </c>
      <c r="Z21" s="11" t="e">
        <f t="shared" si="30"/>
        <v>#VALUE!</v>
      </c>
      <c r="AA21" s="10" t="e">
        <f t="shared" si="9"/>
        <v>#VALUE!</v>
      </c>
      <c r="AB21" s="10" t="e">
        <f t="shared" si="31"/>
        <v>#VALUE!</v>
      </c>
      <c r="AC21" s="10" t="e">
        <f t="shared" si="32"/>
        <v>#VALUE!</v>
      </c>
      <c r="AD21" s="10" t="e">
        <f t="shared" si="64"/>
        <v>#VALUE!</v>
      </c>
      <c r="AE21" s="10" t="e">
        <f t="shared" si="65"/>
        <v>#VALUE!</v>
      </c>
      <c r="AF21" s="10" t="e">
        <f t="shared" si="10"/>
        <v>#VALUE!</v>
      </c>
      <c r="AG21" s="10" t="e">
        <f t="shared" si="33"/>
        <v>#VALUE!</v>
      </c>
      <c r="AI21" s="13"/>
      <c r="AK21" s="10" t="e">
        <f t="shared" si="34"/>
        <v>#VALUE!</v>
      </c>
      <c r="AL21" s="10" t="e">
        <f t="shared" si="66"/>
        <v>#VALUE!</v>
      </c>
      <c r="AM21" s="10" t="e">
        <f t="shared" si="11"/>
        <v>#VALUE!</v>
      </c>
      <c r="AN21" s="10" t="e">
        <f t="shared" si="35"/>
        <v>#VALUE!</v>
      </c>
      <c r="AO21" s="10" t="e">
        <f t="shared" si="36"/>
        <v>#VALUE!</v>
      </c>
      <c r="AP21" s="10" t="e">
        <f t="shared" si="37"/>
        <v>#VALUE!</v>
      </c>
      <c r="AQ21" s="10" t="e">
        <f t="shared" si="67"/>
        <v>#VALUE!</v>
      </c>
      <c r="AR21" s="10" t="e">
        <f t="shared" si="12"/>
        <v>#VALUE!</v>
      </c>
      <c r="AS21" s="10" t="e">
        <f t="shared" si="68"/>
        <v>#VALUE!</v>
      </c>
      <c r="AU21" s="10" t="e">
        <f t="shared" si="38"/>
        <v>#VALUE!</v>
      </c>
      <c r="AV21" s="10" t="e">
        <f t="shared" si="69"/>
        <v>#VALUE!</v>
      </c>
      <c r="AW21" s="10" t="e">
        <f t="shared" si="13"/>
        <v>#VALUE!</v>
      </c>
      <c r="AX21" s="10" t="e">
        <f t="shared" si="39"/>
        <v>#VALUE!</v>
      </c>
      <c r="AY21" s="10" t="e">
        <f t="shared" si="40"/>
        <v>#VALUE!</v>
      </c>
      <c r="AZ21" s="10" t="e">
        <f t="shared" si="41"/>
        <v>#VALUE!</v>
      </c>
      <c r="BA21" s="10" t="e">
        <f t="shared" si="70"/>
        <v>#VALUE!</v>
      </c>
      <c r="BB21" s="10" t="e">
        <f t="shared" si="14"/>
        <v>#VALUE!</v>
      </c>
      <c r="BC21" s="10" t="e">
        <f t="shared" si="71"/>
        <v>#VALUE!</v>
      </c>
      <c r="BE21" s="10" t="e">
        <f t="shared" si="42"/>
        <v>#VALUE!</v>
      </c>
      <c r="BF21" s="10" t="e">
        <f t="shared" si="72"/>
        <v>#VALUE!</v>
      </c>
      <c r="BG21" s="10" t="e">
        <f t="shared" si="15"/>
        <v>#VALUE!</v>
      </c>
      <c r="BH21" s="10" t="e">
        <f t="shared" si="43"/>
        <v>#VALUE!</v>
      </c>
      <c r="BI21" s="10" t="e">
        <f t="shared" si="44"/>
        <v>#VALUE!</v>
      </c>
      <c r="BJ21" s="10" t="e">
        <f t="shared" si="45"/>
        <v>#VALUE!</v>
      </c>
      <c r="BK21" s="10" t="e">
        <f t="shared" si="73"/>
        <v>#VALUE!</v>
      </c>
      <c r="BL21" s="10" t="e">
        <f t="shared" si="16"/>
        <v>#VALUE!</v>
      </c>
      <c r="BM21" s="10" t="e">
        <f t="shared" si="74"/>
        <v>#VALUE!</v>
      </c>
      <c r="BP21" s="10" t="e">
        <f t="shared" si="46"/>
        <v>#VALUE!</v>
      </c>
      <c r="BQ21" s="10" t="e">
        <f t="shared" si="47"/>
        <v>#VALUE!</v>
      </c>
      <c r="BR21" s="10" t="e">
        <f t="shared" si="48"/>
        <v>#VALUE!</v>
      </c>
      <c r="BS21" s="10" t="e">
        <f t="shared" si="49"/>
        <v>#VALUE!</v>
      </c>
      <c r="BT21" s="10" t="e">
        <f t="shared" si="50"/>
        <v>#VALUE!</v>
      </c>
      <c r="BU21" s="10" t="e">
        <f t="shared" si="51"/>
        <v>#VALUE!</v>
      </c>
      <c r="BW21" s="10" t="e">
        <f t="shared" si="52"/>
        <v>#VALUE!</v>
      </c>
      <c r="BX21" s="10" t="e">
        <f t="shared" si="53"/>
        <v>#VALUE!</v>
      </c>
      <c r="BY21" s="10" t="e">
        <f t="shared" si="54"/>
        <v>#VALUE!</v>
      </c>
      <c r="BZ21" s="10" t="e">
        <f t="shared" si="55"/>
        <v>#VALUE!</v>
      </c>
      <c r="CA21" s="10" t="e">
        <f t="shared" si="56"/>
        <v>#VALUE!</v>
      </c>
      <c r="CB21" s="10" t="e">
        <f t="shared" si="57"/>
        <v>#VALUE!</v>
      </c>
      <c r="CD21" s="10" t="e">
        <f>MATCH(INDEX($BP$12:$BU$12,1,MATCH(BP21,$BP$15:$BU$15,0)),结果汇总!$AI$10:$AI$13,0)</f>
        <v>#VALUE!</v>
      </c>
      <c r="CE21" s="10" t="e">
        <f>MATCH(INDEX($BP$12:$BU$12,1,MATCH(BQ21,$BP$15:$BU$15,0)),结果汇总!$AI$10:$AI$13,0)</f>
        <v>#VALUE!</v>
      </c>
      <c r="CF21" s="10" t="e">
        <f>MATCH(INDEX($BP$12:$BU$12,1,MATCH(BR21,$BP$15:$BU$15,0)),结果汇总!$AI$10:$AI$13,0)</f>
        <v>#VALUE!</v>
      </c>
      <c r="CG21" s="10" t="e">
        <f>MATCH(INDEX($BP$12:$BU$12,1,MATCH(BS21,$BP$15:$BU$15,0)),结果汇总!$AI$10:$AI$13,0)</f>
        <v>#VALUE!</v>
      </c>
      <c r="CH21" s="10" t="e">
        <f>MATCH(INDEX($BP$12:$BU$12,1,MATCH(BT21,$BP$15:$BU$15,0)),结果汇总!$AI$10:$AI$13,0)</f>
        <v>#VALUE!</v>
      </c>
      <c r="CI21" s="10" t="e">
        <f>MATCH(INDEX($BP$12:$BU$12,1,MATCH(BU21,$BP$15:$BU$15,0)),结果汇总!$AI$10:$AI$13,0)</f>
        <v>#VALUE!</v>
      </c>
      <c r="CK21" s="10">
        <f t="shared" si="58"/>
        <v>0</v>
      </c>
      <c r="CL21" s="10">
        <f t="shared" si="17"/>
        <v>0</v>
      </c>
      <c r="CM21" s="10">
        <f t="shared" si="17"/>
        <v>0</v>
      </c>
      <c r="CN21" s="10">
        <f t="shared" si="17"/>
        <v>0</v>
      </c>
      <c r="CO21" s="10">
        <f t="shared" si="59"/>
        <v>0</v>
      </c>
      <c r="CP21" s="10">
        <f t="shared" si="18"/>
        <v>0</v>
      </c>
      <c r="CQ21" s="10">
        <f t="shared" si="18"/>
        <v>0</v>
      </c>
      <c r="CR21" s="10">
        <f t="shared" si="18"/>
        <v>0</v>
      </c>
      <c r="CS21" s="10">
        <f t="shared" si="60"/>
        <v>0</v>
      </c>
      <c r="CT21" s="10">
        <f t="shared" si="19"/>
        <v>0</v>
      </c>
      <c r="CU21" s="10">
        <f t="shared" si="19"/>
        <v>0</v>
      </c>
      <c r="CV21" s="10">
        <f t="shared" si="19"/>
        <v>0</v>
      </c>
      <c r="CW21" s="10">
        <f t="shared" si="61"/>
        <v>0</v>
      </c>
      <c r="CX21" s="10">
        <f t="shared" si="20"/>
        <v>0</v>
      </c>
      <c r="CY21" s="10">
        <f t="shared" si="20"/>
        <v>0</v>
      </c>
      <c r="CZ21" s="10">
        <f t="shared" si="20"/>
        <v>0</v>
      </c>
    </row>
    <row r="22" spans="4:104" x14ac:dyDescent="0.15">
      <c r="D22" s="10">
        <v>7</v>
      </c>
      <c r="E22" s="10" t="e">
        <f t="shared" si="21"/>
        <v>#VALUE!</v>
      </c>
      <c r="F22" s="10" t="e">
        <f t="shared" si="1"/>
        <v>#VALUE!</v>
      </c>
      <c r="G22" s="10" t="e">
        <f t="shared" si="2"/>
        <v>#VALUE!</v>
      </c>
      <c r="H22" s="10" t="e">
        <f t="shared" si="22"/>
        <v>#VALUE!</v>
      </c>
      <c r="I22" s="10" t="e">
        <f t="shared" si="3"/>
        <v>#VALUE!</v>
      </c>
      <c r="J22" s="10" t="e">
        <f t="shared" si="23"/>
        <v>#VALUE!</v>
      </c>
      <c r="K22" s="10" t="e">
        <f t="shared" si="4"/>
        <v>#VALUE!</v>
      </c>
      <c r="L22" s="10" t="e">
        <f t="shared" si="5"/>
        <v>#VALUE!</v>
      </c>
      <c r="M22" s="10" t="e">
        <f t="shared" si="24"/>
        <v>#VALUE!</v>
      </c>
      <c r="O22" s="10" t="e">
        <f t="shared" si="25"/>
        <v>#VALUE!</v>
      </c>
      <c r="P22" s="10" t="e">
        <f t="shared" si="6"/>
        <v>#VALUE!</v>
      </c>
      <c r="Q22" s="10" t="e">
        <f t="shared" si="7"/>
        <v>#VALUE!</v>
      </c>
      <c r="R22" s="10" t="e">
        <f t="shared" si="26"/>
        <v>#VALUE!</v>
      </c>
      <c r="S22" s="10" t="e">
        <f t="shared" si="27"/>
        <v>#VALUE!</v>
      </c>
      <c r="T22" s="10" t="e">
        <f t="shared" si="62"/>
        <v>#VALUE!</v>
      </c>
      <c r="U22" s="10" t="e">
        <f t="shared" si="63"/>
        <v>#VALUE!</v>
      </c>
      <c r="V22" s="10" t="e">
        <f t="shared" si="8"/>
        <v>#VALUE!</v>
      </c>
      <c r="W22" s="10" t="e">
        <f t="shared" si="28"/>
        <v>#VALUE!</v>
      </c>
      <c r="Y22" s="10" t="e">
        <f t="shared" si="29"/>
        <v>#VALUE!</v>
      </c>
      <c r="Z22" s="11" t="e">
        <f t="shared" si="30"/>
        <v>#VALUE!</v>
      </c>
      <c r="AA22" s="10" t="e">
        <f t="shared" si="9"/>
        <v>#VALUE!</v>
      </c>
      <c r="AB22" s="10" t="e">
        <f t="shared" si="31"/>
        <v>#VALUE!</v>
      </c>
      <c r="AC22" s="10" t="e">
        <f t="shared" si="32"/>
        <v>#VALUE!</v>
      </c>
      <c r="AD22" s="10" t="e">
        <f t="shared" si="64"/>
        <v>#VALUE!</v>
      </c>
      <c r="AE22" s="10" t="e">
        <f t="shared" si="65"/>
        <v>#VALUE!</v>
      </c>
      <c r="AF22" s="10" t="e">
        <f t="shared" si="10"/>
        <v>#VALUE!</v>
      </c>
      <c r="AG22" s="10" t="e">
        <f t="shared" si="33"/>
        <v>#VALUE!</v>
      </c>
      <c r="AI22" s="13"/>
      <c r="AK22" s="10" t="e">
        <f t="shared" si="34"/>
        <v>#VALUE!</v>
      </c>
      <c r="AL22" s="10" t="e">
        <f t="shared" si="66"/>
        <v>#VALUE!</v>
      </c>
      <c r="AM22" s="10" t="e">
        <f t="shared" si="11"/>
        <v>#VALUE!</v>
      </c>
      <c r="AN22" s="10" t="e">
        <f t="shared" si="35"/>
        <v>#VALUE!</v>
      </c>
      <c r="AO22" s="10" t="e">
        <f t="shared" si="36"/>
        <v>#VALUE!</v>
      </c>
      <c r="AP22" s="10" t="e">
        <f t="shared" si="37"/>
        <v>#VALUE!</v>
      </c>
      <c r="AQ22" s="10" t="e">
        <f t="shared" si="67"/>
        <v>#VALUE!</v>
      </c>
      <c r="AR22" s="10" t="e">
        <f t="shared" si="12"/>
        <v>#VALUE!</v>
      </c>
      <c r="AS22" s="10" t="e">
        <f t="shared" si="68"/>
        <v>#VALUE!</v>
      </c>
      <c r="AU22" s="10" t="e">
        <f t="shared" si="38"/>
        <v>#VALUE!</v>
      </c>
      <c r="AV22" s="10" t="e">
        <f t="shared" si="69"/>
        <v>#VALUE!</v>
      </c>
      <c r="AW22" s="10" t="e">
        <f t="shared" si="13"/>
        <v>#VALUE!</v>
      </c>
      <c r="AX22" s="10" t="e">
        <f t="shared" si="39"/>
        <v>#VALUE!</v>
      </c>
      <c r="AY22" s="10" t="e">
        <f t="shared" si="40"/>
        <v>#VALUE!</v>
      </c>
      <c r="AZ22" s="10" t="e">
        <f t="shared" si="41"/>
        <v>#VALUE!</v>
      </c>
      <c r="BA22" s="10" t="e">
        <f t="shared" si="70"/>
        <v>#VALUE!</v>
      </c>
      <c r="BB22" s="10" t="e">
        <f t="shared" si="14"/>
        <v>#VALUE!</v>
      </c>
      <c r="BC22" s="10" t="e">
        <f t="shared" si="71"/>
        <v>#VALUE!</v>
      </c>
      <c r="BE22" s="10" t="e">
        <f t="shared" si="42"/>
        <v>#VALUE!</v>
      </c>
      <c r="BF22" s="10" t="e">
        <f t="shared" si="72"/>
        <v>#VALUE!</v>
      </c>
      <c r="BG22" s="10" t="e">
        <f t="shared" si="15"/>
        <v>#VALUE!</v>
      </c>
      <c r="BH22" s="10" t="e">
        <f t="shared" si="43"/>
        <v>#VALUE!</v>
      </c>
      <c r="BI22" s="10" t="e">
        <f t="shared" si="44"/>
        <v>#VALUE!</v>
      </c>
      <c r="BJ22" s="10" t="e">
        <f t="shared" si="45"/>
        <v>#VALUE!</v>
      </c>
      <c r="BK22" s="10" t="e">
        <f t="shared" si="73"/>
        <v>#VALUE!</v>
      </c>
      <c r="BL22" s="10" t="e">
        <f t="shared" si="16"/>
        <v>#VALUE!</v>
      </c>
      <c r="BM22" s="10" t="e">
        <f t="shared" si="74"/>
        <v>#VALUE!</v>
      </c>
      <c r="BP22" s="10" t="e">
        <f t="shared" si="46"/>
        <v>#VALUE!</v>
      </c>
      <c r="BQ22" s="10" t="e">
        <f t="shared" si="47"/>
        <v>#VALUE!</v>
      </c>
      <c r="BR22" s="10" t="e">
        <f t="shared" si="48"/>
        <v>#VALUE!</v>
      </c>
      <c r="BS22" s="10" t="e">
        <f t="shared" si="49"/>
        <v>#VALUE!</v>
      </c>
      <c r="BT22" s="10" t="e">
        <f t="shared" si="50"/>
        <v>#VALUE!</v>
      </c>
      <c r="BU22" s="10" t="e">
        <f t="shared" si="51"/>
        <v>#VALUE!</v>
      </c>
      <c r="BW22" s="10" t="e">
        <f t="shared" si="52"/>
        <v>#VALUE!</v>
      </c>
      <c r="BX22" s="10" t="e">
        <f t="shared" si="53"/>
        <v>#VALUE!</v>
      </c>
      <c r="BY22" s="10" t="e">
        <f t="shared" si="54"/>
        <v>#VALUE!</v>
      </c>
      <c r="BZ22" s="10" t="e">
        <f t="shared" si="55"/>
        <v>#VALUE!</v>
      </c>
      <c r="CA22" s="10" t="e">
        <f t="shared" si="56"/>
        <v>#VALUE!</v>
      </c>
      <c r="CB22" s="10" t="e">
        <f t="shared" si="57"/>
        <v>#VALUE!</v>
      </c>
      <c r="CD22" s="10" t="e">
        <f>MATCH(INDEX($BP$12:$BU$12,1,MATCH(BP22,$BP$15:$BU$15,0)),结果汇总!$AI$10:$AI$13,0)</f>
        <v>#VALUE!</v>
      </c>
      <c r="CE22" s="10" t="e">
        <f>MATCH(INDEX($BP$12:$BU$12,1,MATCH(BQ22,$BP$15:$BU$15,0)),结果汇总!$AI$10:$AI$13,0)</f>
        <v>#VALUE!</v>
      </c>
      <c r="CF22" s="10" t="e">
        <f>MATCH(INDEX($BP$12:$BU$12,1,MATCH(BR22,$BP$15:$BU$15,0)),结果汇总!$AI$10:$AI$13,0)</f>
        <v>#VALUE!</v>
      </c>
      <c r="CG22" s="10" t="e">
        <f>MATCH(INDEX($BP$12:$BU$12,1,MATCH(BS22,$BP$15:$BU$15,0)),结果汇总!$AI$10:$AI$13,0)</f>
        <v>#VALUE!</v>
      </c>
      <c r="CH22" s="10" t="e">
        <f>MATCH(INDEX($BP$12:$BU$12,1,MATCH(BT22,$BP$15:$BU$15,0)),结果汇总!$AI$10:$AI$13,0)</f>
        <v>#VALUE!</v>
      </c>
      <c r="CI22" s="10" t="e">
        <f>MATCH(INDEX($BP$12:$BU$12,1,MATCH(BU22,$BP$15:$BU$15,0)),结果汇总!$AI$10:$AI$13,0)</f>
        <v>#VALUE!</v>
      </c>
      <c r="CK22" s="10">
        <f t="shared" si="58"/>
        <v>0</v>
      </c>
      <c r="CL22" s="10">
        <f t="shared" si="17"/>
        <v>0</v>
      </c>
      <c r="CM22" s="10">
        <f t="shared" si="17"/>
        <v>0</v>
      </c>
      <c r="CN22" s="10">
        <f t="shared" si="17"/>
        <v>0</v>
      </c>
      <c r="CO22" s="10">
        <f t="shared" si="59"/>
        <v>0</v>
      </c>
      <c r="CP22" s="10">
        <f t="shared" si="18"/>
        <v>0</v>
      </c>
      <c r="CQ22" s="10">
        <f t="shared" si="18"/>
        <v>0</v>
      </c>
      <c r="CR22" s="10">
        <f t="shared" si="18"/>
        <v>0</v>
      </c>
      <c r="CS22" s="10">
        <f t="shared" si="60"/>
        <v>0</v>
      </c>
      <c r="CT22" s="10">
        <f t="shared" si="19"/>
        <v>0</v>
      </c>
      <c r="CU22" s="10">
        <f t="shared" si="19"/>
        <v>0</v>
      </c>
      <c r="CV22" s="10">
        <f t="shared" si="19"/>
        <v>0</v>
      </c>
      <c r="CW22" s="10">
        <f t="shared" si="61"/>
        <v>0</v>
      </c>
      <c r="CX22" s="10">
        <f t="shared" si="20"/>
        <v>0</v>
      </c>
      <c r="CY22" s="10">
        <f t="shared" si="20"/>
        <v>0</v>
      </c>
      <c r="CZ22" s="10">
        <f t="shared" si="20"/>
        <v>0</v>
      </c>
    </row>
    <row r="23" spans="4:104" x14ac:dyDescent="0.15">
      <c r="D23" s="10">
        <v>8</v>
      </c>
      <c r="E23" s="10" t="e">
        <f t="shared" si="21"/>
        <v>#VALUE!</v>
      </c>
      <c r="F23" s="10" t="e">
        <f t="shared" si="1"/>
        <v>#VALUE!</v>
      </c>
      <c r="G23" s="10" t="e">
        <f t="shared" si="2"/>
        <v>#VALUE!</v>
      </c>
      <c r="H23" s="10" t="e">
        <f t="shared" si="22"/>
        <v>#VALUE!</v>
      </c>
      <c r="I23" s="10" t="e">
        <f t="shared" si="3"/>
        <v>#VALUE!</v>
      </c>
      <c r="J23" s="10" t="e">
        <f t="shared" si="23"/>
        <v>#VALUE!</v>
      </c>
      <c r="K23" s="10" t="e">
        <f t="shared" si="4"/>
        <v>#VALUE!</v>
      </c>
      <c r="L23" s="10" t="e">
        <f t="shared" si="5"/>
        <v>#VALUE!</v>
      </c>
      <c r="M23" s="10" t="e">
        <f t="shared" si="24"/>
        <v>#VALUE!</v>
      </c>
      <c r="O23" s="10" t="e">
        <f t="shared" si="25"/>
        <v>#VALUE!</v>
      </c>
      <c r="P23" s="10" t="e">
        <f t="shared" si="6"/>
        <v>#VALUE!</v>
      </c>
      <c r="Q23" s="10" t="e">
        <f t="shared" si="7"/>
        <v>#VALUE!</v>
      </c>
      <c r="R23" s="10" t="e">
        <f t="shared" si="26"/>
        <v>#VALUE!</v>
      </c>
      <c r="S23" s="10" t="e">
        <f t="shared" si="27"/>
        <v>#VALUE!</v>
      </c>
      <c r="T23" s="10" t="e">
        <f t="shared" si="62"/>
        <v>#VALUE!</v>
      </c>
      <c r="U23" s="10" t="e">
        <f t="shared" si="63"/>
        <v>#VALUE!</v>
      </c>
      <c r="V23" s="10" t="e">
        <f t="shared" si="8"/>
        <v>#VALUE!</v>
      </c>
      <c r="W23" s="10" t="e">
        <f t="shared" si="28"/>
        <v>#VALUE!</v>
      </c>
      <c r="Y23" s="10" t="e">
        <f t="shared" si="29"/>
        <v>#VALUE!</v>
      </c>
      <c r="Z23" s="11" t="e">
        <f t="shared" si="30"/>
        <v>#VALUE!</v>
      </c>
      <c r="AA23" s="10" t="e">
        <f t="shared" si="9"/>
        <v>#VALUE!</v>
      </c>
      <c r="AB23" s="10" t="e">
        <f t="shared" si="31"/>
        <v>#VALUE!</v>
      </c>
      <c r="AC23" s="10" t="e">
        <f t="shared" si="32"/>
        <v>#VALUE!</v>
      </c>
      <c r="AD23" s="10" t="e">
        <f t="shared" si="64"/>
        <v>#VALUE!</v>
      </c>
      <c r="AE23" s="10" t="e">
        <f t="shared" si="65"/>
        <v>#VALUE!</v>
      </c>
      <c r="AF23" s="10" t="e">
        <f t="shared" si="10"/>
        <v>#VALUE!</v>
      </c>
      <c r="AG23" s="10" t="e">
        <f t="shared" si="33"/>
        <v>#VALUE!</v>
      </c>
      <c r="AI23" s="13"/>
      <c r="AK23" s="10" t="e">
        <f t="shared" si="34"/>
        <v>#VALUE!</v>
      </c>
      <c r="AL23" s="10" t="e">
        <f t="shared" si="66"/>
        <v>#VALUE!</v>
      </c>
      <c r="AM23" s="10" t="e">
        <f t="shared" si="11"/>
        <v>#VALUE!</v>
      </c>
      <c r="AN23" s="10" t="e">
        <f t="shared" si="35"/>
        <v>#VALUE!</v>
      </c>
      <c r="AO23" s="10" t="e">
        <f t="shared" si="36"/>
        <v>#VALUE!</v>
      </c>
      <c r="AP23" s="10" t="e">
        <f t="shared" si="37"/>
        <v>#VALUE!</v>
      </c>
      <c r="AQ23" s="10" t="e">
        <f t="shared" si="67"/>
        <v>#VALUE!</v>
      </c>
      <c r="AR23" s="10" t="e">
        <f t="shared" si="12"/>
        <v>#VALUE!</v>
      </c>
      <c r="AS23" s="10" t="e">
        <f t="shared" si="68"/>
        <v>#VALUE!</v>
      </c>
      <c r="AU23" s="10" t="e">
        <f t="shared" si="38"/>
        <v>#VALUE!</v>
      </c>
      <c r="AV23" s="10" t="e">
        <f t="shared" si="69"/>
        <v>#VALUE!</v>
      </c>
      <c r="AW23" s="10" t="e">
        <f t="shared" si="13"/>
        <v>#VALUE!</v>
      </c>
      <c r="AX23" s="10" t="e">
        <f t="shared" si="39"/>
        <v>#VALUE!</v>
      </c>
      <c r="AY23" s="10" t="e">
        <f t="shared" si="40"/>
        <v>#VALUE!</v>
      </c>
      <c r="AZ23" s="10" t="e">
        <f t="shared" si="41"/>
        <v>#VALUE!</v>
      </c>
      <c r="BA23" s="10" t="e">
        <f t="shared" si="70"/>
        <v>#VALUE!</v>
      </c>
      <c r="BB23" s="10" t="e">
        <f t="shared" si="14"/>
        <v>#VALUE!</v>
      </c>
      <c r="BC23" s="10" t="e">
        <f t="shared" si="71"/>
        <v>#VALUE!</v>
      </c>
      <c r="BE23" s="10" t="e">
        <f t="shared" si="42"/>
        <v>#VALUE!</v>
      </c>
      <c r="BF23" s="10" t="e">
        <f t="shared" si="72"/>
        <v>#VALUE!</v>
      </c>
      <c r="BG23" s="10" t="e">
        <f t="shared" si="15"/>
        <v>#VALUE!</v>
      </c>
      <c r="BH23" s="10" t="e">
        <f t="shared" si="43"/>
        <v>#VALUE!</v>
      </c>
      <c r="BI23" s="10" t="e">
        <f t="shared" si="44"/>
        <v>#VALUE!</v>
      </c>
      <c r="BJ23" s="10" t="e">
        <f t="shared" si="45"/>
        <v>#VALUE!</v>
      </c>
      <c r="BK23" s="10" t="e">
        <f t="shared" si="73"/>
        <v>#VALUE!</v>
      </c>
      <c r="BL23" s="10" t="e">
        <f t="shared" si="16"/>
        <v>#VALUE!</v>
      </c>
      <c r="BM23" s="10" t="e">
        <f t="shared" si="74"/>
        <v>#VALUE!</v>
      </c>
      <c r="BP23" s="10" t="e">
        <f t="shared" si="46"/>
        <v>#VALUE!</v>
      </c>
      <c r="BQ23" s="10" t="e">
        <f t="shared" si="47"/>
        <v>#VALUE!</v>
      </c>
      <c r="BR23" s="10" t="e">
        <f t="shared" si="48"/>
        <v>#VALUE!</v>
      </c>
      <c r="BS23" s="10" t="e">
        <f t="shared" si="49"/>
        <v>#VALUE!</v>
      </c>
      <c r="BT23" s="10" t="e">
        <f t="shared" si="50"/>
        <v>#VALUE!</v>
      </c>
      <c r="BU23" s="10" t="e">
        <f t="shared" si="51"/>
        <v>#VALUE!</v>
      </c>
      <c r="BW23" s="10" t="e">
        <f t="shared" si="52"/>
        <v>#VALUE!</v>
      </c>
      <c r="BX23" s="10" t="e">
        <f t="shared" si="53"/>
        <v>#VALUE!</v>
      </c>
      <c r="BY23" s="10" t="e">
        <f t="shared" si="54"/>
        <v>#VALUE!</v>
      </c>
      <c r="BZ23" s="10" t="e">
        <f t="shared" si="55"/>
        <v>#VALUE!</v>
      </c>
      <c r="CA23" s="10" t="e">
        <f t="shared" si="56"/>
        <v>#VALUE!</v>
      </c>
      <c r="CB23" s="10" t="e">
        <f t="shared" si="57"/>
        <v>#VALUE!</v>
      </c>
      <c r="CD23" s="10" t="e">
        <f>MATCH(INDEX($BP$12:$BU$12,1,MATCH(BP23,$BP$15:$BU$15,0)),结果汇总!$AI$10:$AI$13,0)</f>
        <v>#VALUE!</v>
      </c>
      <c r="CE23" s="10" t="e">
        <f>MATCH(INDEX($BP$12:$BU$12,1,MATCH(BQ23,$BP$15:$BU$15,0)),结果汇总!$AI$10:$AI$13,0)</f>
        <v>#VALUE!</v>
      </c>
      <c r="CF23" s="10" t="e">
        <f>MATCH(INDEX($BP$12:$BU$12,1,MATCH(BR23,$BP$15:$BU$15,0)),结果汇总!$AI$10:$AI$13,0)</f>
        <v>#VALUE!</v>
      </c>
      <c r="CG23" s="10" t="e">
        <f>MATCH(INDEX($BP$12:$BU$12,1,MATCH(BS23,$BP$15:$BU$15,0)),结果汇总!$AI$10:$AI$13,0)</f>
        <v>#VALUE!</v>
      </c>
      <c r="CH23" s="10" t="e">
        <f>MATCH(INDEX($BP$12:$BU$12,1,MATCH(BT23,$BP$15:$BU$15,0)),结果汇总!$AI$10:$AI$13,0)</f>
        <v>#VALUE!</v>
      </c>
      <c r="CI23" s="10" t="e">
        <f>MATCH(INDEX($BP$12:$BU$12,1,MATCH(BU23,$BP$15:$BU$15,0)),结果汇总!$AI$10:$AI$13,0)</f>
        <v>#VALUE!</v>
      </c>
      <c r="CK23" s="10">
        <f t="shared" si="58"/>
        <v>0</v>
      </c>
      <c r="CL23" s="10">
        <f t="shared" si="17"/>
        <v>0</v>
      </c>
      <c r="CM23" s="10">
        <f t="shared" si="17"/>
        <v>0</v>
      </c>
      <c r="CN23" s="10">
        <f t="shared" si="17"/>
        <v>0</v>
      </c>
      <c r="CO23" s="10">
        <f t="shared" si="59"/>
        <v>0</v>
      </c>
      <c r="CP23" s="10">
        <f t="shared" si="18"/>
        <v>0</v>
      </c>
      <c r="CQ23" s="10">
        <f t="shared" si="18"/>
        <v>0</v>
      </c>
      <c r="CR23" s="10">
        <f t="shared" si="18"/>
        <v>0</v>
      </c>
      <c r="CS23" s="10">
        <f t="shared" si="60"/>
        <v>0</v>
      </c>
      <c r="CT23" s="10">
        <f t="shared" si="19"/>
        <v>0</v>
      </c>
      <c r="CU23" s="10">
        <f t="shared" si="19"/>
        <v>0</v>
      </c>
      <c r="CV23" s="10">
        <f t="shared" si="19"/>
        <v>0</v>
      </c>
      <c r="CW23" s="10">
        <f t="shared" si="61"/>
        <v>0</v>
      </c>
      <c r="CX23" s="10">
        <f t="shared" si="20"/>
        <v>0</v>
      </c>
      <c r="CY23" s="10">
        <f t="shared" si="20"/>
        <v>0</v>
      </c>
      <c r="CZ23" s="10">
        <f t="shared" si="20"/>
        <v>0</v>
      </c>
    </row>
    <row r="24" spans="4:104" x14ac:dyDescent="0.15">
      <c r="D24" s="10">
        <v>9</v>
      </c>
      <c r="E24" s="10" t="e">
        <f t="shared" si="21"/>
        <v>#VALUE!</v>
      </c>
      <c r="F24" s="10" t="e">
        <f t="shared" si="1"/>
        <v>#VALUE!</v>
      </c>
      <c r="G24" s="10" t="e">
        <f t="shared" si="2"/>
        <v>#VALUE!</v>
      </c>
      <c r="H24" s="10" t="e">
        <f t="shared" si="22"/>
        <v>#VALUE!</v>
      </c>
      <c r="I24" s="10" t="e">
        <f t="shared" si="3"/>
        <v>#VALUE!</v>
      </c>
      <c r="J24" s="10" t="e">
        <f t="shared" si="23"/>
        <v>#VALUE!</v>
      </c>
      <c r="K24" s="10" t="e">
        <f t="shared" si="4"/>
        <v>#VALUE!</v>
      </c>
      <c r="L24" s="10" t="e">
        <f t="shared" si="5"/>
        <v>#VALUE!</v>
      </c>
      <c r="M24" s="10" t="e">
        <f t="shared" si="24"/>
        <v>#VALUE!</v>
      </c>
      <c r="O24" s="10" t="e">
        <f t="shared" si="25"/>
        <v>#VALUE!</v>
      </c>
      <c r="P24" s="10" t="e">
        <f t="shared" si="6"/>
        <v>#VALUE!</v>
      </c>
      <c r="Q24" s="10" t="e">
        <f t="shared" si="7"/>
        <v>#VALUE!</v>
      </c>
      <c r="R24" s="10" t="e">
        <f t="shared" si="26"/>
        <v>#VALUE!</v>
      </c>
      <c r="S24" s="10" t="e">
        <f t="shared" si="27"/>
        <v>#VALUE!</v>
      </c>
      <c r="T24" s="10" t="e">
        <f t="shared" si="62"/>
        <v>#VALUE!</v>
      </c>
      <c r="U24" s="10" t="e">
        <f t="shared" si="63"/>
        <v>#VALUE!</v>
      </c>
      <c r="V24" s="10" t="e">
        <f t="shared" si="8"/>
        <v>#VALUE!</v>
      </c>
      <c r="W24" s="10" t="e">
        <f t="shared" si="28"/>
        <v>#VALUE!</v>
      </c>
      <c r="Y24" s="10" t="e">
        <f t="shared" si="29"/>
        <v>#VALUE!</v>
      </c>
      <c r="Z24" s="11" t="e">
        <f t="shared" si="30"/>
        <v>#VALUE!</v>
      </c>
      <c r="AA24" s="10" t="e">
        <f t="shared" si="9"/>
        <v>#VALUE!</v>
      </c>
      <c r="AB24" s="10" t="e">
        <f t="shared" si="31"/>
        <v>#VALUE!</v>
      </c>
      <c r="AC24" s="10" t="e">
        <f t="shared" si="32"/>
        <v>#VALUE!</v>
      </c>
      <c r="AD24" s="10" t="e">
        <f t="shared" si="64"/>
        <v>#VALUE!</v>
      </c>
      <c r="AE24" s="10" t="e">
        <f t="shared" si="65"/>
        <v>#VALUE!</v>
      </c>
      <c r="AF24" s="10" t="e">
        <f t="shared" si="10"/>
        <v>#VALUE!</v>
      </c>
      <c r="AG24" s="10" t="e">
        <f t="shared" si="33"/>
        <v>#VALUE!</v>
      </c>
      <c r="AI24" s="13"/>
      <c r="AK24" s="10" t="e">
        <f t="shared" si="34"/>
        <v>#VALUE!</v>
      </c>
      <c r="AL24" s="10" t="e">
        <f t="shared" si="66"/>
        <v>#VALUE!</v>
      </c>
      <c r="AM24" s="10" t="e">
        <f t="shared" si="11"/>
        <v>#VALUE!</v>
      </c>
      <c r="AN24" s="10" t="e">
        <f t="shared" si="35"/>
        <v>#VALUE!</v>
      </c>
      <c r="AO24" s="10" t="e">
        <f t="shared" si="36"/>
        <v>#VALUE!</v>
      </c>
      <c r="AP24" s="10" t="e">
        <f t="shared" si="37"/>
        <v>#VALUE!</v>
      </c>
      <c r="AQ24" s="10" t="e">
        <f t="shared" si="67"/>
        <v>#VALUE!</v>
      </c>
      <c r="AR24" s="10" t="e">
        <f t="shared" si="12"/>
        <v>#VALUE!</v>
      </c>
      <c r="AS24" s="10" t="e">
        <f t="shared" si="68"/>
        <v>#VALUE!</v>
      </c>
      <c r="AU24" s="10" t="e">
        <f t="shared" si="38"/>
        <v>#VALUE!</v>
      </c>
      <c r="AV24" s="10" t="e">
        <f t="shared" si="69"/>
        <v>#VALUE!</v>
      </c>
      <c r="AW24" s="10" t="e">
        <f t="shared" si="13"/>
        <v>#VALUE!</v>
      </c>
      <c r="AX24" s="10" t="e">
        <f t="shared" si="39"/>
        <v>#VALUE!</v>
      </c>
      <c r="AY24" s="10" t="e">
        <f t="shared" si="40"/>
        <v>#VALUE!</v>
      </c>
      <c r="AZ24" s="10" t="e">
        <f t="shared" si="41"/>
        <v>#VALUE!</v>
      </c>
      <c r="BA24" s="10" t="e">
        <f t="shared" si="70"/>
        <v>#VALUE!</v>
      </c>
      <c r="BB24" s="10" t="e">
        <f t="shared" si="14"/>
        <v>#VALUE!</v>
      </c>
      <c r="BC24" s="10" t="e">
        <f t="shared" si="71"/>
        <v>#VALUE!</v>
      </c>
      <c r="BE24" s="10" t="e">
        <f t="shared" si="42"/>
        <v>#VALUE!</v>
      </c>
      <c r="BF24" s="10" t="e">
        <f t="shared" si="72"/>
        <v>#VALUE!</v>
      </c>
      <c r="BG24" s="10" t="e">
        <f t="shared" si="15"/>
        <v>#VALUE!</v>
      </c>
      <c r="BH24" s="10" t="e">
        <f t="shared" si="43"/>
        <v>#VALUE!</v>
      </c>
      <c r="BI24" s="10" t="e">
        <f t="shared" si="44"/>
        <v>#VALUE!</v>
      </c>
      <c r="BJ24" s="10" t="e">
        <f t="shared" si="45"/>
        <v>#VALUE!</v>
      </c>
      <c r="BK24" s="10" t="e">
        <f t="shared" si="73"/>
        <v>#VALUE!</v>
      </c>
      <c r="BL24" s="10" t="e">
        <f t="shared" si="16"/>
        <v>#VALUE!</v>
      </c>
      <c r="BM24" s="10" t="e">
        <f t="shared" si="74"/>
        <v>#VALUE!</v>
      </c>
      <c r="BP24" s="10" t="e">
        <f t="shared" si="46"/>
        <v>#VALUE!</v>
      </c>
      <c r="BQ24" s="10" t="e">
        <f t="shared" si="47"/>
        <v>#VALUE!</v>
      </c>
      <c r="BR24" s="10" t="e">
        <f t="shared" si="48"/>
        <v>#VALUE!</v>
      </c>
      <c r="BS24" s="10" t="e">
        <f t="shared" si="49"/>
        <v>#VALUE!</v>
      </c>
      <c r="BT24" s="10" t="e">
        <f t="shared" si="50"/>
        <v>#VALUE!</v>
      </c>
      <c r="BU24" s="10" t="e">
        <f t="shared" si="51"/>
        <v>#VALUE!</v>
      </c>
      <c r="BW24" s="10" t="e">
        <f t="shared" si="52"/>
        <v>#VALUE!</v>
      </c>
      <c r="BX24" s="10" t="e">
        <f t="shared" si="53"/>
        <v>#VALUE!</v>
      </c>
      <c r="BY24" s="10" t="e">
        <f t="shared" si="54"/>
        <v>#VALUE!</v>
      </c>
      <c r="BZ24" s="10" t="e">
        <f t="shared" si="55"/>
        <v>#VALUE!</v>
      </c>
      <c r="CA24" s="10" t="e">
        <f t="shared" si="56"/>
        <v>#VALUE!</v>
      </c>
      <c r="CB24" s="10" t="e">
        <f t="shared" si="57"/>
        <v>#VALUE!</v>
      </c>
      <c r="CD24" s="10" t="e">
        <f>MATCH(INDEX($BP$12:$BU$12,1,MATCH(BP24,$BP$15:$BU$15,0)),结果汇总!$AI$10:$AI$13,0)</f>
        <v>#VALUE!</v>
      </c>
      <c r="CE24" s="10" t="e">
        <f>MATCH(INDEX($BP$12:$BU$12,1,MATCH(BQ24,$BP$15:$BU$15,0)),结果汇总!$AI$10:$AI$13,0)</f>
        <v>#VALUE!</v>
      </c>
      <c r="CF24" s="10" t="e">
        <f>MATCH(INDEX($BP$12:$BU$12,1,MATCH(BR24,$BP$15:$BU$15,0)),结果汇总!$AI$10:$AI$13,0)</f>
        <v>#VALUE!</v>
      </c>
      <c r="CG24" s="10" t="e">
        <f>MATCH(INDEX($BP$12:$BU$12,1,MATCH(BS24,$BP$15:$BU$15,0)),结果汇总!$AI$10:$AI$13,0)</f>
        <v>#VALUE!</v>
      </c>
      <c r="CH24" s="10" t="e">
        <f>MATCH(INDEX($BP$12:$BU$12,1,MATCH(BT24,$BP$15:$BU$15,0)),结果汇总!$AI$10:$AI$13,0)</f>
        <v>#VALUE!</v>
      </c>
      <c r="CI24" s="10" t="e">
        <f>MATCH(INDEX($BP$12:$BU$12,1,MATCH(BU24,$BP$15:$BU$15,0)),结果汇总!$AI$10:$AI$13,0)</f>
        <v>#VALUE!</v>
      </c>
      <c r="CK24" s="10">
        <f t="shared" si="58"/>
        <v>0</v>
      </c>
      <c r="CL24" s="10">
        <f t="shared" si="17"/>
        <v>0</v>
      </c>
      <c r="CM24" s="10">
        <f t="shared" si="17"/>
        <v>0</v>
      </c>
      <c r="CN24" s="10">
        <f t="shared" si="17"/>
        <v>0</v>
      </c>
      <c r="CO24" s="10">
        <f t="shared" si="59"/>
        <v>0</v>
      </c>
      <c r="CP24" s="10">
        <f t="shared" si="18"/>
        <v>0</v>
      </c>
      <c r="CQ24" s="10">
        <f t="shared" si="18"/>
        <v>0</v>
      </c>
      <c r="CR24" s="10">
        <f t="shared" si="18"/>
        <v>0</v>
      </c>
      <c r="CS24" s="10">
        <f t="shared" si="60"/>
        <v>0</v>
      </c>
      <c r="CT24" s="10">
        <f t="shared" si="19"/>
        <v>0</v>
      </c>
      <c r="CU24" s="10">
        <f t="shared" si="19"/>
        <v>0</v>
      </c>
      <c r="CV24" s="10">
        <f t="shared" si="19"/>
        <v>0</v>
      </c>
      <c r="CW24" s="10">
        <f t="shared" si="61"/>
        <v>0</v>
      </c>
      <c r="CX24" s="10">
        <f t="shared" si="20"/>
        <v>0</v>
      </c>
      <c r="CY24" s="10">
        <f t="shared" si="20"/>
        <v>0</v>
      </c>
      <c r="CZ24" s="10">
        <f t="shared" si="20"/>
        <v>0</v>
      </c>
    </row>
    <row r="25" spans="4:104" x14ac:dyDescent="0.15">
      <c r="D25" s="10">
        <v>10</v>
      </c>
      <c r="E25" s="10" t="e">
        <f t="shared" si="21"/>
        <v>#VALUE!</v>
      </c>
      <c r="F25" s="10" t="e">
        <f t="shared" si="1"/>
        <v>#VALUE!</v>
      </c>
      <c r="G25" s="10" t="e">
        <f t="shared" si="2"/>
        <v>#VALUE!</v>
      </c>
      <c r="H25" s="10" t="e">
        <f t="shared" si="22"/>
        <v>#VALUE!</v>
      </c>
      <c r="I25" s="10" t="e">
        <f t="shared" si="3"/>
        <v>#VALUE!</v>
      </c>
      <c r="J25" s="10" t="e">
        <f t="shared" si="23"/>
        <v>#VALUE!</v>
      </c>
      <c r="K25" s="10" t="e">
        <f t="shared" si="4"/>
        <v>#VALUE!</v>
      </c>
      <c r="L25" s="10" t="e">
        <f t="shared" si="5"/>
        <v>#VALUE!</v>
      </c>
      <c r="M25" s="10" t="e">
        <f t="shared" si="24"/>
        <v>#VALUE!</v>
      </c>
      <c r="O25" s="10" t="e">
        <f t="shared" si="25"/>
        <v>#VALUE!</v>
      </c>
      <c r="P25" s="10" t="e">
        <f t="shared" si="6"/>
        <v>#VALUE!</v>
      </c>
      <c r="Q25" s="10" t="e">
        <f t="shared" si="7"/>
        <v>#VALUE!</v>
      </c>
      <c r="R25" s="10" t="e">
        <f t="shared" si="26"/>
        <v>#VALUE!</v>
      </c>
      <c r="S25" s="10" t="e">
        <f t="shared" si="27"/>
        <v>#VALUE!</v>
      </c>
      <c r="T25" s="10" t="e">
        <f t="shared" si="62"/>
        <v>#VALUE!</v>
      </c>
      <c r="U25" s="10" t="e">
        <f t="shared" si="63"/>
        <v>#VALUE!</v>
      </c>
      <c r="V25" s="10" t="e">
        <f t="shared" si="8"/>
        <v>#VALUE!</v>
      </c>
      <c r="W25" s="10" t="e">
        <f t="shared" si="28"/>
        <v>#VALUE!</v>
      </c>
      <c r="Y25" s="10" t="e">
        <f t="shared" si="29"/>
        <v>#VALUE!</v>
      </c>
      <c r="Z25" s="11" t="e">
        <f t="shared" si="30"/>
        <v>#VALUE!</v>
      </c>
      <c r="AA25" s="10" t="e">
        <f t="shared" si="9"/>
        <v>#VALUE!</v>
      </c>
      <c r="AB25" s="10" t="e">
        <f t="shared" si="31"/>
        <v>#VALUE!</v>
      </c>
      <c r="AC25" s="10" t="e">
        <f t="shared" si="32"/>
        <v>#VALUE!</v>
      </c>
      <c r="AD25" s="10" t="e">
        <f t="shared" si="64"/>
        <v>#VALUE!</v>
      </c>
      <c r="AE25" s="10" t="e">
        <f t="shared" si="65"/>
        <v>#VALUE!</v>
      </c>
      <c r="AF25" s="10" t="e">
        <f t="shared" si="10"/>
        <v>#VALUE!</v>
      </c>
      <c r="AG25" s="10" t="e">
        <f t="shared" si="33"/>
        <v>#VALUE!</v>
      </c>
      <c r="AI25" s="13"/>
      <c r="AK25" s="10" t="e">
        <f t="shared" si="34"/>
        <v>#VALUE!</v>
      </c>
      <c r="AL25" s="10" t="e">
        <f t="shared" si="66"/>
        <v>#VALUE!</v>
      </c>
      <c r="AM25" s="10" t="e">
        <f t="shared" si="11"/>
        <v>#VALUE!</v>
      </c>
      <c r="AN25" s="10" t="e">
        <f t="shared" si="35"/>
        <v>#VALUE!</v>
      </c>
      <c r="AO25" s="10" t="e">
        <f t="shared" si="36"/>
        <v>#VALUE!</v>
      </c>
      <c r="AP25" s="10" t="e">
        <f t="shared" si="37"/>
        <v>#VALUE!</v>
      </c>
      <c r="AQ25" s="10" t="e">
        <f t="shared" si="67"/>
        <v>#VALUE!</v>
      </c>
      <c r="AR25" s="10" t="e">
        <f t="shared" si="12"/>
        <v>#VALUE!</v>
      </c>
      <c r="AS25" s="10" t="e">
        <f t="shared" si="68"/>
        <v>#VALUE!</v>
      </c>
      <c r="AU25" s="10" t="e">
        <f t="shared" si="38"/>
        <v>#VALUE!</v>
      </c>
      <c r="AV25" s="10" t="e">
        <f t="shared" si="69"/>
        <v>#VALUE!</v>
      </c>
      <c r="AW25" s="10" t="e">
        <f t="shared" si="13"/>
        <v>#VALUE!</v>
      </c>
      <c r="AX25" s="10" t="e">
        <f t="shared" si="39"/>
        <v>#VALUE!</v>
      </c>
      <c r="AY25" s="10" t="e">
        <f t="shared" si="40"/>
        <v>#VALUE!</v>
      </c>
      <c r="AZ25" s="10" t="e">
        <f t="shared" si="41"/>
        <v>#VALUE!</v>
      </c>
      <c r="BA25" s="10" t="e">
        <f t="shared" si="70"/>
        <v>#VALUE!</v>
      </c>
      <c r="BB25" s="10" t="e">
        <f t="shared" si="14"/>
        <v>#VALUE!</v>
      </c>
      <c r="BC25" s="10" t="e">
        <f t="shared" si="71"/>
        <v>#VALUE!</v>
      </c>
      <c r="BE25" s="10" t="e">
        <f t="shared" si="42"/>
        <v>#VALUE!</v>
      </c>
      <c r="BF25" s="10" t="e">
        <f t="shared" si="72"/>
        <v>#VALUE!</v>
      </c>
      <c r="BG25" s="10" t="e">
        <f t="shared" si="15"/>
        <v>#VALUE!</v>
      </c>
      <c r="BH25" s="10" t="e">
        <f t="shared" si="43"/>
        <v>#VALUE!</v>
      </c>
      <c r="BI25" s="10" t="e">
        <f t="shared" si="44"/>
        <v>#VALUE!</v>
      </c>
      <c r="BJ25" s="10" t="e">
        <f t="shared" si="45"/>
        <v>#VALUE!</v>
      </c>
      <c r="BK25" s="10" t="e">
        <f t="shared" si="73"/>
        <v>#VALUE!</v>
      </c>
      <c r="BL25" s="10" t="e">
        <f t="shared" si="16"/>
        <v>#VALUE!</v>
      </c>
      <c r="BM25" s="10" t="e">
        <f t="shared" si="74"/>
        <v>#VALUE!</v>
      </c>
      <c r="BP25" s="10" t="e">
        <f t="shared" si="46"/>
        <v>#VALUE!</v>
      </c>
      <c r="BQ25" s="10" t="e">
        <f t="shared" si="47"/>
        <v>#VALUE!</v>
      </c>
      <c r="BR25" s="10" t="e">
        <f t="shared" si="48"/>
        <v>#VALUE!</v>
      </c>
      <c r="BS25" s="10" t="e">
        <f t="shared" si="49"/>
        <v>#VALUE!</v>
      </c>
      <c r="BT25" s="10" t="e">
        <f t="shared" si="50"/>
        <v>#VALUE!</v>
      </c>
      <c r="BU25" s="10" t="e">
        <f t="shared" si="51"/>
        <v>#VALUE!</v>
      </c>
      <c r="BW25" s="10" t="e">
        <f t="shared" si="52"/>
        <v>#VALUE!</v>
      </c>
      <c r="BX25" s="10" t="e">
        <f t="shared" si="53"/>
        <v>#VALUE!</v>
      </c>
      <c r="BY25" s="10" t="e">
        <f t="shared" si="54"/>
        <v>#VALUE!</v>
      </c>
      <c r="BZ25" s="10" t="e">
        <f t="shared" si="55"/>
        <v>#VALUE!</v>
      </c>
      <c r="CA25" s="10" t="e">
        <f t="shared" si="56"/>
        <v>#VALUE!</v>
      </c>
      <c r="CB25" s="10" t="e">
        <f t="shared" si="57"/>
        <v>#VALUE!</v>
      </c>
      <c r="CD25" s="10" t="e">
        <f>MATCH(INDEX($BP$12:$BU$12,1,MATCH(BP25,$BP$15:$BU$15,0)),结果汇总!$AI$10:$AI$13,0)</f>
        <v>#VALUE!</v>
      </c>
      <c r="CE25" s="10" t="e">
        <f>MATCH(INDEX($BP$12:$BU$12,1,MATCH(BQ25,$BP$15:$BU$15,0)),结果汇总!$AI$10:$AI$13,0)</f>
        <v>#VALUE!</v>
      </c>
      <c r="CF25" s="10" t="e">
        <f>MATCH(INDEX($BP$12:$BU$12,1,MATCH(BR25,$BP$15:$BU$15,0)),结果汇总!$AI$10:$AI$13,0)</f>
        <v>#VALUE!</v>
      </c>
      <c r="CG25" s="10" t="e">
        <f>MATCH(INDEX($BP$12:$BU$12,1,MATCH(BS25,$BP$15:$BU$15,0)),结果汇总!$AI$10:$AI$13,0)</f>
        <v>#VALUE!</v>
      </c>
      <c r="CH25" s="10" t="e">
        <f>MATCH(INDEX($BP$12:$BU$12,1,MATCH(BT25,$BP$15:$BU$15,0)),结果汇总!$AI$10:$AI$13,0)</f>
        <v>#VALUE!</v>
      </c>
      <c r="CI25" s="10" t="e">
        <f>MATCH(INDEX($BP$12:$BU$12,1,MATCH(BU25,$BP$15:$BU$15,0)),结果汇总!$AI$10:$AI$13,0)</f>
        <v>#VALUE!</v>
      </c>
      <c r="CK25" s="10">
        <f t="shared" si="58"/>
        <v>0</v>
      </c>
      <c r="CL25" s="10">
        <f t="shared" si="17"/>
        <v>0</v>
      </c>
      <c r="CM25" s="10">
        <f t="shared" si="17"/>
        <v>0</v>
      </c>
      <c r="CN25" s="10">
        <f t="shared" si="17"/>
        <v>0</v>
      </c>
      <c r="CO25" s="10">
        <f t="shared" si="59"/>
        <v>0</v>
      </c>
      <c r="CP25" s="10">
        <f t="shared" si="18"/>
        <v>0</v>
      </c>
      <c r="CQ25" s="10">
        <f t="shared" si="18"/>
        <v>0</v>
      </c>
      <c r="CR25" s="10">
        <f t="shared" si="18"/>
        <v>0</v>
      </c>
      <c r="CS25" s="10">
        <f t="shared" si="60"/>
        <v>0</v>
      </c>
      <c r="CT25" s="10">
        <f t="shared" si="19"/>
        <v>0</v>
      </c>
      <c r="CU25" s="10">
        <f t="shared" si="19"/>
        <v>0</v>
      </c>
      <c r="CV25" s="10">
        <f t="shared" si="19"/>
        <v>0</v>
      </c>
      <c r="CW25" s="10">
        <f t="shared" si="61"/>
        <v>0</v>
      </c>
      <c r="CX25" s="10">
        <f t="shared" si="20"/>
        <v>0</v>
      </c>
      <c r="CY25" s="10">
        <f t="shared" si="20"/>
        <v>0</v>
      </c>
      <c r="CZ25" s="10">
        <f t="shared" si="20"/>
        <v>0</v>
      </c>
    </row>
    <row r="26" spans="4:104" x14ac:dyDescent="0.15">
      <c r="D26" s="10">
        <v>11</v>
      </c>
      <c r="E26" s="10" t="e">
        <f t="shared" si="21"/>
        <v>#VALUE!</v>
      </c>
      <c r="F26" s="10" t="e">
        <f t="shared" si="1"/>
        <v>#VALUE!</v>
      </c>
      <c r="G26" s="10" t="e">
        <f t="shared" si="2"/>
        <v>#VALUE!</v>
      </c>
      <c r="H26" s="10" t="e">
        <f t="shared" si="22"/>
        <v>#VALUE!</v>
      </c>
      <c r="I26" s="10" t="e">
        <f t="shared" si="3"/>
        <v>#VALUE!</v>
      </c>
      <c r="J26" s="10" t="e">
        <f t="shared" si="23"/>
        <v>#VALUE!</v>
      </c>
      <c r="K26" s="10" t="e">
        <f t="shared" si="4"/>
        <v>#VALUE!</v>
      </c>
      <c r="L26" s="10" t="e">
        <f t="shared" si="5"/>
        <v>#VALUE!</v>
      </c>
      <c r="M26" s="10" t="e">
        <f t="shared" si="24"/>
        <v>#VALUE!</v>
      </c>
      <c r="O26" s="10" t="e">
        <f t="shared" si="25"/>
        <v>#VALUE!</v>
      </c>
      <c r="P26" s="10" t="e">
        <f t="shared" si="6"/>
        <v>#VALUE!</v>
      </c>
      <c r="Q26" s="10" t="e">
        <f t="shared" si="7"/>
        <v>#VALUE!</v>
      </c>
      <c r="R26" s="10" t="e">
        <f t="shared" si="26"/>
        <v>#VALUE!</v>
      </c>
      <c r="S26" s="10" t="e">
        <f t="shared" si="27"/>
        <v>#VALUE!</v>
      </c>
      <c r="T26" s="10" t="e">
        <f t="shared" si="62"/>
        <v>#VALUE!</v>
      </c>
      <c r="U26" s="10" t="e">
        <f t="shared" si="63"/>
        <v>#VALUE!</v>
      </c>
      <c r="V26" s="10" t="e">
        <f t="shared" si="8"/>
        <v>#VALUE!</v>
      </c>
      <c r="W26" s="10" t="e">
        <f t="shared" si="28"/>
        <v>#VALUE!</v>
      </c>
      <c r="Y26" s="10" t="e">
        <f t="shared" si="29"/>
        <v>#VALUE!</v>
      </c>
      <c r="Z26" s="11" t="e">
        <f t="shared" si="30"/>
        <v>#VALUE!</v>
      </c>
      <c r="AA26" s="10" t="e">
        <f t="shared" si="9"/>
        <v>#VALUE!</v>
      </c>
      <c r="AB26" s="10" t="e">
        <f t="shared" si="31"/>
        <v>#VALUE!</v>
      </c>
      <c r="AC26" s="10" t="e">
        <f t="shared" si="32"/>
        <v>#VALUE!</v>
      </c>
      <c r="AD26" s="10" t="e">
        <f t="shared" si="64"/>
        <v>#VALUE!</v>
      </c>
      <c r="AE26" s="10" t="e">
        <f t="shared" si="65"/>
        <v>#VALUE!</v>
      </c>
      <c r="AF26" s="10" t="e">
        <f t="shared" si="10"/>
        <v>#VALUE!</v>
      </c>
      <c r="AG26" s="10" t="e">
        <f t="shared" si="33"/>
        <v>#VALUE!</v>
      </c>
      <c r="AI26" s="13"/>
      <c r="AK26" s="10" t="e">
        <f t="shared" si="34"/>
        <v>#VALUE!</v>
      </c>
      <c r="AL26" s="10" t="e">
        <f t="shared" si="66"/>
        <v>#VALUE!</v>
      </c>
      <c r="AM26" s="10" t="e">
        <f t="shared" si="11"/>
        <v>#VALUE!</v>
      </c>
      <c r="AN26" s="10" t="e">
        <f t="shared" si="35"/>
        <v>#VALUE!</v>
      </c>
      <c r="AO26" s="10" t="e">
        <f t="shared" si="36"/>
        <v>#VALUE!</v>
      </c>
      <c r="AP26" s="10" t="e">
        <f t="shared" si="37"/>
        <v>#VALUE!</v>
      </c>
      <c r="AQ26" s="10" t="e">
        <f t="shared" si="67"/>
        <v>#VALUE!</v>
      </c>
      <c r="AR26" s="10" t="e">
        <f t="shared" si="12"/>
        <v>#VALUE!</v>
      </c>
      <c r="AS26" s="10" t="e">
        <f t="shared" si="68"/>
        <v>#VALUE!</v>
      </c>
      <c r="AU26" s="10" t="e">
        <f t="shared" si="38"/>
        <v>#VALUE!</v>
      </c>
      <c r="AV26" s="10" t="e">
        <f t="shared" si="69"/>
        <v>#VALUE!</v>
      </c>
      <c r="AW26" s="10" t="e">
        <f t="shared" si="13"/>
        <v>#VALUE!</v>
      </c>
      <c r="AX26" s="10" t="e">
        <f t="shared" si="39"/>
        <v>#VALUE!</v>
      </c>
      <c r="AY26" s="10" t="e">
        <f t="shared" si="40"/>
        <v>#VALUE!</v>
      </c>
      <c r="AZ26" s="10" t="e">
        <f t="shared" si="41"/>
        <v>#VALUE!</v>
      </c>
      <c r="BA26" s="10" t="e">
        <f t="shared" si="70"/>
        <v>#VALUE!</v>
      </c>
      <c r="BB26" s="10" t="e">
        <f t="shared" si="14"/>
        <v>#VALUE!</v>
      </c>
      <c r="BC26" s="10" t="e">
        <f t="shared" si="71"/>
        <v>#VALUE!</v>
      </c>
      <c r="BE26" s="10" t="e">
        <f t="shared" si="42"/>
        <v>#VALUE!</v>
      </c>
      <c r="BF26" s="10" t="e">
        <f t="shared" si="72"/>
        <v>#VALUE!</v>
      </c>
      <c r="BG26" s="10" t="e">
        <f t="shared" si="15"/>
        <v>#VALUE!</v>
      </c>
      <c r="BH26" s="10" t="e">
        <f t="shared" si="43"/>
        <v>#VALUE!</v>
      </c>
      <c r="BI26" s="10" t="e">
        <f t="shared" si="44"/>
        <v>#VALUE!</v>
      </c>
      <c r="BJ26" s="10" t="e">
        <f t="shared" si="45"/>
        <v>#VALUE!</v>
      </c>
      <c r="BK26" s="10" t="e">
        <f t="shared" si="73"/>
        <v>#VALUE!</v>
      </c>
      <c r="BL26" s="10" t="e">
        <f t="shared" si="16"/>
        <v>#VALUE!</v>
      </c>
      <c r="BM26" s="10" t="e">
        <f t="shared" si="74"/>
        <v>#VALUE!</v>
      </c>
      <c r="BP26" s="10" t="e">
        <f t="shared" si="46"/>
        <v>#VALUE!</v>
      </c>
      <c r="BQ26" s="10" t="e">
        <f t="shared" si="47"/>
        <v>#VALUE!</v>
      </c>
      <c r="BR26" s="10" t="e">
        <f t="shared" si="48"/>
        <v>#VALUE!</v>
      </c>
      <c r="BS26" s="10" t="e">
        <f t="shared" si="49"/>
        <v>#VALUE!</v>
      </c>
      <c r="BT26" s="10" t="e">
        <f t="shared" si="50"/>
        <v>#VALUE!</v>
      </c>
      <c r="BU26" s="10" t="e">
        <f t="shared" si="51"/>
        <v>#VALUE!</v>
      </c>
      <c r="BW26" s="10" t="e">
        <f t="shared" si="52"/>
        <v>#VALUE!</v>
      </c>
      <c r="BX26" s="10" t="e">
        <f t="shared" si="53"/>
        <v>#VALUE!</v>
      </c>
      <c r="BY26" s="10" t="e">
        <f t="shared" si="54"/>
        <v>#VALUE!</v>
      </c>
      <c r="BZ26" s="10" t="e">
        <f t="shared" si="55"/>
        <v>#VALUE!</v>
      </c>
      <c r="CA26" s="10" t="e">
        <f t="shared" si="56"/>
        <v>#VALUE!</v>
      </c>
      <c r="CB26" s="10" t="e">
        <f t="shared" si="57"/>
        <v>#VALUE!</v>
      </c>
      <c r="CD26" s="10" t="e">
        <f>MATCH(INDEX($BP$12:$BU$12,1,MATCH(BP26,$BP$15:$BU$15,0)),结果汇总!$AI$10:$AI$13,0)</f>
        <v>#VALUE!</v>
      </c>
      <c r="CE26" s="10" t="e">
        <f>MATCH(INDEX($BP$12:$BU$12,1,MATCH(BQ26,$BP$15:$BU$15,0)),结果汇总!$AI$10:$AI$13,0)</f>
        <v>#VALUE!</v>
      </c>
      <c r="CF26" s="10" t="e">
        <f>MATCH(INDEX($BP$12:$BU$12,1,MATCH(BR26,$BP$15:$BU$15,0)),结果汇总!$AI$10:$AI$13,0)</f>
        <v>#VALUE!</v>
      </c>
      <c r="CG26" s="10" t="e">
        <f>MATCH(INDEX($BP$12:$BU$12,1,MATCH(BS26,$BP$15:$BU$15,0)),结果汇总!$AI$10:$AI$13,0)</f>
        <v>#VALUE!</v>
      </c>
      <c r="CH26" s="10" t="e">
        <f>MATCH(INDEX($BP$12:$BU$12,1,MATCH(BT26,$BP$15:$BU$15,0)),结果汇总!$AI$10:$AI$13,0)</f>
        <v>#VALUE!</v>
      </c>
      <c r="CI26" s="10" t="e">
        <f>MATCH(INDEX($BP$12:$BU$12,1,MATCH(BU26,$BP$15:$BU$15,0)),结果汇总!$AI$10:$AI$13,0)</f>
        <v>#VALUE!</v>
      </c>
      <c r="CK26" s="10">
        <f t="shared" si="58"/>
        <v>0</v>
      </c>
      <c r="CL26" s="10">
        <f t="shared" si="17"/>
        <v>0</v>
      </c>
      <c r="CM26" s="10">
        <f t="shared" si="17"/>
        <v>0</v>
      </c>
      <c r="CN26" s="10">
        <f t="shared" si="17"/>
        <v>0</v>
      </c>
      <c r="CO26" s="10">
        <f t="shared" si="59"/>
        <v>0</v>
      </c>
      <c r="CP26" s="10">
        <f t="shared" si="18"/>
        <v>0</v>
      </c>
      <c r="CQ26" s="10">
        <f t="shared" si="18"/>
        <v>0</v>
      </c>
      <c r="CR26" s="10">
        <f t="shared" si="18"/>
        <v>0</v>
      </c>
      <c r="CS26" s="10">
        <f t="shared" si="60"/>
        <v>0</v>
      </c>
      <c r="CT26" s="10">
        <f t="shared" si="19"/>
        <v>0</v>
      </c>
      <c r="CU26" s="10">
        <f t="shared" si="19"/>
        <v>0</v>
      </c>
      <c r="CV26" s="10">
        <f t="shared" si="19"/>
        <v>0</v>
      </c>
      <c r="CW26" s="10">
        <f t="shared" si="61"/>
        <v>0</v>
      </c>
      <c r="CX26" s="10">
        <f t="shared" si="20"/>
        <v>0</v>
      </c>
      <c r="CY26" s="10">
        <f t="shared" si="20"/>
        <v>0</v>
      </c>
      <c r="CZ26" s="10">
        <f t="shared" si="20"/>
        <v>0</v>
      </c>
    </row>
    <row r="27" spans="4:104" x14ac:dyDescent="0.15">
      <c r="D27" s="10">
        <v>12</v>
      </c>
      <c r="E27" s="10" t="e">
        <f t="shared" si="21"/>
        <v>#VALUE!</v>
      </c>
      <c r="F27" s="10" t="e">
        <f t="shared" si="1"/>
        <v>#VALUE!</v>
      </c>
      <c r="G27" s="10" t="e">
        <f t="shared" si="2"/>
        <v>#VALUE!</v>
      </c>
      <c r="H27" s="10" t="e">
        <f t="shared" si="22"/>
        <v>#VALUE!</v>
      </c>
      <c r="I27" s="10" t="e">
        <f t="shared" si="3"/>
        <v>#VALUE!</v>
      </c>
      <c r="J27" s="10" t="e">
        <f t="shared" si="23"/>
        <v>#VALUE!</v>
      </c>
      <c r="K27" s="10" t="e">
        <f t="shared" si="4"/>
        <v>#VALUE!</v>
      </c>
      <c r="L27" s="10" t="e">
        <f t="shared" si="5"/>
        <v>#VALUE!</v>
      </c>
      <c r="M27" s="10" t="e">
        <f t="shared" si="24"/>
        <v>#VALUE!</v>
      </c>
      <c r="O27" s="10" t="e">
        <f t="shared" si="25"/>
        <v>#VALUE!</v>
      </c>
      <c r="P27" s="10" t="e">
        <f t="shared" si="6"/>
        <v>#VALUE!</v>
      </c>
      <c r="Q27" s="10" t="e">
        <f t="shared" si="7"/>
        <v>#VALUE!</v>
      </c>
      <c r="R27" s="10" t="e">
        <f t="shared" si="26"/>
        <v>#VALUE!</v>
      </c>
      <c r="S27" s="10" t="e">
        <f t="shared" si="27"/>
        <v>#VALUE!</v>
      </c>
      <c r="T27" s="10" t="e">
        <f t="shared" si="62"/>
        <v>#VALUE!</v>
      </c>
      <c r="U27" s="10" t="e">
        <f t="shared" si="63"/>
        <v>#VALUE!</v>
      </c>
      <c r="V27" s="10" t="e">
        <f t="shared" si="8"/>
        <v>#VALUE!</v>
      </c>
      <c r="W27" s="10" t="e">
        <f t="shared" si="28"/>
        <v>#VALUE!</v>
      </c>
      <c r="Y27" s="10" t="e">
        <f t="shared" si="29"/>
        <v>#VALUE!</v>
      </c>
      <c r="Z27" s="11" t="e">
        <f t="shared" si="30"/>
        <v>#VALUE!</v>
      </c>
      <c r="AA27" s="10" t="e">
        <f t="shared" si="9"/>
        <v>#VALUE!</v>
      </c>
      <c r="AB27" s="10" t="e">
        <f t="shared" si="31"/>
        <v>#VALUE!</v>
      </c>
      <c r="AC27" s="10" t="e">
        <f t="shared" si="32"/>
        <v>#VALUE!</v>
      </c>
      <c r="AD27" s="10" t="e">
        <f t="shared" si="64"/>
        <v>#VALUE!</v>
      </c>
      <c r="AE27" s="10" t="e">
        <f t="shared" si="65"/>
        <v>#VALUE!</v>
      </c>
      <c r="AF27" s="10" t="e">
        <f t="shared" si="10"/>
        <v>#VALUE!</v>
      </c>
      <c r="AG27" s="10" t="e">
        <f t="shared" si="33"/>
        <v>#VALUE!</v>
      </c>
      <c r="AI27" s="13"/>
      <c r="AK27" s="10" t="e">
        <f t="shared" si="34"/>
        <v>#VALUE!</v>
      </c>
      <c r="AL27" s="10" t="e">
        <f t="shared" si="66"/>
        <v>#VALUE!</v>
      </c>
      <c r="AM27" s="10" t="e">
        <f t="shared" si="11"/>
        <v>#VALUE!</v>
      </c>
      <c r="AN27" s="10" t="e">
        <f t="shared" si="35"/>
        <v>#VALUE!</v>
      </c>
      <c r="AO27" s="10" t="e">
        <f t="shared" si="36"/>
        <v>#VALUE!</v>
      </c>
      <c r="AP27" s="10" t="e">
        <f t="shared" si="37"/>
        <v>#VALUE!</v>
      </c>
      <c r="AQ27" s="10" t="e">
        <f t="shared" si="67"/>
        <v>#VALUE!</v>
      </c>
      <c r="AR27" s="10" t="e">
        <f t="shared" si="12"/>
        <v>#VALUE!</v>
      </c>
      <c r="AS27" s="10" t="e">
        <f t="shared" si="68"/>
        <v>#VALUE!</v>
      </c>
      <c r="AU27" s="10" t="e">
        <f t="shared" si="38"/>
        <v>#VALUE!</v>
      </c>
      <c r="AV27" s="10" t="e">
        <f t="shared" si="69"/>
        <v>#VALUE!</v>
      </c>
      <c r="AW27" s="10" t="e">
        <f t="shared" si="13"/>
        <v>#VALUE!</v>
      </c>
      <c r="AX27" s="10" t="e">
        <f t="shared" si="39"/>
        <v>#VALUE!</v>
      </c>
      <c r="AY27" s="10" t="e">
        <f t="shared" si="40"/>
        <v>#VALUE!</v>
      </c>
      <c r="AZ27" s="10" t="e">
        <f t="shared" si="41"/>
        <v>#VALUE!</v>
      </c>
      <c r="BA27" s="10" t="e">
        <f t="shared" si="70"/>
        <v>#VALUE!</v>
      </c>
      <c r="BB27" s="10" t="e">
        <f t="shared" si="14"/>
        <v>#VALUE!</v>
      </c>
      <c r="BC27" s="10" t="e">
        <f t="shared" si="71"/>
        <v>#VALUE!</v>
      </c>
      <c r="BE27" s="10" t="e">
        <f t="shared" si="42"/>
        <v>#VALUE!</v>
      </c>
      <c r="BF27" s="10" t="e">
        <f t="shared" si="72"/>
        <v>#VALUE!</v>
      </c>
      <c r="BG27" s="10" t="e">
        <f t="shared" si="15"/>
        <v>#VALUE!</v>
      </c>
      <c r="BH27" s="10" t="e">
        <f t="shared" si="43"/>
        <v>#VALUE!</v>
      </c>
      <c r="BI27" s="10" t="e">
        <f t="shared" si="44"/>
        <v>#VALUE!</v>
      </c>
      <c r="BJ27" s="10" t="e">
        <f t="shared" si="45"/>
        <v>#VALUE!</v>
      </c>
      <c r="BK27" s="10" t="e">
        <f t="shared" si="73"/>
        <v>#VALUE!</v>
      </c>
      <c r="BL27" s="10" t="e">
        <f t="shared" si="16"/>
        <v>#VALUE!</v>
      </c>
      <c r="BM27" s="10" t="e">
        <f t="shared" si="74"/>
        <v>#VALUE!</v>
      </c>
      <c r="BP27" s="10" t="e">
        <f t="shared" si="46"/>
        <v>#VALUE!</v>
      </c>
      <c r="BQ27" s="10" t="e">
        <f t="shared" si="47"/>
        <v>#VALUE!</v>
      </c>
      <c r="BR27" s="10" t="e">
        <f t="shared" si="48"/>
        <v>#VALUE!</v>
      </c>
      <c r="BS27" s="10" t="e">
        <f t="shared" si="49"/>
        <v>#VALUE!</v>
      </c>
      <c r="BT27" s="10" t="e">
        <f t="shared" si="50"/>
        <v>#VALUE!</v>
      </c>
      <c r="BU27" s="10" t="e">
        <f t="shared" si="51"/>
        <v>#VALUE!</v>
      </c>
      <c r="BW27" s="10" t="e">
        <f t="shared" si="52"/>
        <v>#VALUE!</v>
      </c>
      <c r="BX27" s="10" t="e">
        <f t="shared" si="53"/>
        <v>#VALUE!</v>
      </c>
      <c r="BY27" s="10" t="e">
        <f t="shared" si="54"/>
        <v>#VALUE!</v>
      </c>
      <c r="BZ27" s="10" t="e">
        <f t="shared" si="55"/>
        <v>#VALUE!</v>
      </c>
      <c r="CA27" s="10" t="e">
        <f t="shared" si="56"/>
        <v>#VALUE!</v>
      </c>
      <c r="CB27" s="10" t="e">
        <f t="shared" si="57"/>
        <v>#VALUE!</v>
      </c>
      <c r="CD27" s="10" t="e">
        <f>MATCH(INDEX($BP$12:$BU$12,1,MATCH(BP27,$BP$15:$BU$15,0)),结果汇总!$AI$10:$AI$13,0)</f>
        <v>#VALUE!</v>
      </c>
      <c r="CE27" s="10" t="e">
        <f>MATCH(INDEX($BP$12:$BU$12,1,MATCH(BQ27,$BP$15:$BU$15,0)),结果汇总!$AI$10:$AI$13,0)</f>
        <v>#VALUE!</v>
      </c>
      <c r="CF27" s="10" t="e">
        <f>MATCH(INDEX($BP$12:$BU$12,1,MATCH(BR27,$BP$15:$BU$15,0)),结果汇总!$AI$10:$AI$13,0)</f>
        <v>#VALUE!</v>
      </c>
      <c r="CG27" s="10" t="e">
        <f>MATCH(INDEX($BP$12:$BU$12,1,MATCH(BS27,$BP$15:$BU$15,0)),结果汇总!$AI$10:$AI$13,0)</f>
        <v>#VALUE!</v>
      </c>
      <c r="CH27" s="10" t="e">
        <f>MATCH(INDEX($BP$12:$BU$12,1,MATCH(BT27,$BP$15:$BU$15,0)),结果汇总!$AI$10:$AI$13,0)</f>
        <v>#VALUE!</v>
      </c>
      <c r="CI27" s="10" t="e">
        <f>MATCH(INDEX($BP$12:$BU$12,1,MATCH(BU27,$BP$15:$BU$15,0)),结果汇总!$AI$10:$AI$13,0)</f>
        <v>#VALUE!</v>
      </c>
      <c r="CK27" s="10">
        <f t="shared" si="58"/>
        <v>0</v>
      </c>
      <c r="CL27" s="10">
        <f t="shared" si="17"/>
        <v>0</v>
      </c>
      <c r="CM27" s="10">
        <f t="shared" si="17"/>
        <v>0</v>
      </c>
      <c r="CN27" s="10">
        <f t="shared" si="17"/>
        <v>0</v>
      </c>
      <c r="CO27" s="10">
        <f t="shared" si="59"/>
        <v>0</v>
      </c>
      <c r="CP27" s="10">
        <f t="shared" si="18"/>
        <v>0</v>
      </c>
      <c r="CQ27" s="10">
        <f t="shared" si="18"/>
        <v>0</v>
      </c>
      <c r="CR27" s="10">
        <f t="shared" si="18"/>
        <v>0</v>
      </c>
      <c r="CS27" s="10">
        <f t="shared" si="60"/>
        <v>0</v>
      </c>
      <c r="CT27" s="10">
        <f t="shared" si="19"/>
        <v>0</v>
      </c>
      <c r="CU27" s="10">
        <f t="shared" si="19"/>
        <v>0</v>
      </c>
      <c r="CV27" s="10">
        <f t="shared" si="19"/>
        <v>0</v>
      </c>
      <c r="CW27" s="10">
        <f t="shared" si="61"/>
        <v>0</v>
      </c>
      <c r="CX27" s="10">
        <f t="shared" si="20"/>
        <v>0</v>
      </c>
      <c r="CY27" s="10">
        <f t="shared" si="20"/>
        <v>0</v>
      </c>
      <c r="CZ27" s="10">
        <f t="shared" si="20"/>
        <v>0</v>
      </c>
    </row>
    <row r="28" spans="4:104" x14ac:dyDescent="0.15">
      <c r="D28" s="10">
        <v>13</v>
      </c>
      <c r="E28" s="10" t="e">
        <f t="shared" si="21"/>
        <v>#VALUE!</v>
      </c>
      <c r="F28" s="10" t="e">
        <f t="shared" si="1"/>
        <v>#VALUE!</v>
      </c>
      <c r="G28" s="10" t="e">
        <f t="shared" si="2"/>
        <v>#VALUE!</v>
      </c>
      <c r="H28" s="10" t="e">
        <f t="shared" si="22"/>
        <v>#VALUE!</v>
      </c>
      <c r="I28" s="10" t="e">
        <f t="shared" si="3"/>
        <v>#VALUE!</v>
      </c>
      <c r="J28" s="10" t="e">
        <f t="shared" si="23"/>
        <v>#VALUE!</v>
      </c>
      <c r="K28" s="10" t="e">
        <f t="shared" si="4"/>
        <v>#VALUE!</v>
      </c>
      <c r="L28" s="10" t="e">
        <f t="shared" si="5"/>
        <v>#VALUE!</v>
      </c>
      <c r="M28" s="10" t="e">
        <f t="shared" si="24"/>
        <v>#VALUE!</v>
      </c>
      <c r="O28" s="10" t="e">
        <f t="shared" si="25"/>
        <v>#VALUE!</v>
      </c>
      <c r="P28" s="10" t="e">
        <f t="shared" si="6"/>
        <v>#VALUE!</v>
      </c>
      <c r="Q28" s="10" t="e">
        <f t="shared" si="7"/>
        <v>#VALUE!</v>
      </c>
      <c r="R28" s="10" t="e">
        <f t="shared" si="26"/>
        <v>#VALUE!</v>
      </c>
      <c r="S28" s="10" t="e">
        <f t="shared" si="27"/>
        <v>#VALUE!</v>
      </c>
      <c r="T28" s="10" t="e">
        <f t="shared" si="62"/>
        <v>#VALUE!</v>
      </c>
      <c r="U28" s="10" t="e">
        <f t="shared" si="63"/>
        <v>#VALUE!</v>
      </c>
      <c r="V28" s="10" t="e">
        <f t="shared" si="8"/>
        <v>#VALUE!</v>
      </c>
      <c r="W28" s="10" t="e">
        <f t="shared" si="28"/>
        <v>#VALUE!</v>
      </c>
      <c r="Y28" s="10" t="e">
        <f t="shared" si="29"/>
        <v>#VALUE!</v>
      </c>
      <c r="Z28" s="11" t="e">
        <f t="shared" si="30"/>
        <v>#VALUE!</v>
      </c>
      <c r="AA28" s="10" t="e">
        <f t="shared" si="9"/>
        <v>#VALUE!</v>
      </c>
      <c r="AB28" s="10" t="e">
        <f t="shared" si="31"/>
        <v>#VALUE!</v>
      </c>
      <c r="AC28" s="10" t="e">
        <f t="shared" si="32"/>
        <v>#VALUE!</v>
      </c>
      <c r="AD28" s="10" t="e">
        <f t="shared" si="64"/>
        <v>#VALUE!</v>
      </c>
      <c r="AE28" s="10" t="e">
        <f t="shared" si="65"/>
        <v>#VALUE!</v>
      </c>
      <c r="AF28" s="10" t="e">
        <f t="shared" si="10"/>
        <v>#VALUE!</v>
      </c>
      <c r="AG28" s="10" t="e">
        <f t="shared" si="33"/>
        <v>#VALUE!</v>
      </c>
      <c r="AI28" s="13"/>
      <c r="AK28" s="10" t="e">
        <f t="shared" si="34"/>
        <v>#VALUE!</v>
      </c>
      <c r="AL28" s="10" t="e">
        <f t="shared" si="66"/>
        <v>#VALUE!</v>
      </c>
      <c r="AM28" s="10" t="e">
        <f t="shared" si="11"/>
        <v>#VALUE!</v>
      </c>
      <c r="AN28" s="10" t="e">
        <f t="shared" si="35"/>
        <v>#VALUE!</v>
      </c>
      <c r="AO28" s="10" t="e">
        <f t="shared" si="36"/>
        <v>#VALUE!</v>
      </c>
      <c r="AP28" s="10" t="e">
        <f t="shared" si="37"/>
        <v>#VALUE!</v>
      </c>
      <c r="AQ28" s="10" t="e">
        <f t="shared" si="67"/>
        <v>#VALUE!</v>
      </c>
      <c r="AR28" s="10" t="e">
        <f t="shared" si="12"/>
        <v>#VALUE!</v>
      </c>
      <c r="AS28" s="10" t="e">
        <f t="shared" si="68"/>
        <v>#VALUE!</v>
      </c>
      <c r="AU28" s="10" t="e">
        <f t="shared" si="38"/>
        <v>#VALUE!</v>
      </c>
      <c r="AV28" s="10" t="e">
        <f t="shared" si="69"/>
        <v>#VALUE!</v>
      </c>
      <c r="AW28" s="10" t="e">
        <f t="shared" si="13"/>
        <v>#VALUE!</v>
      </c>
      <c r="AX28" s="10" t="e">
        <f t="shared" si="39"/>
        <v>#VALUE!</v>
      </c>
      <c r="AY28" s="10" t="e">
        <f t="shared" si="40"/>
        <v>#VALUE!</v>
      </c>
      <c r="AZ28" s="10" t="e">
        <f t="shared" si="41"/>
        <v>#VALUE!</v>
      </c>
      <c r="BA28" s="10" t="e">
        <f t="shared" si="70"/>
        <v>#VALUE!</v>
      </c>
      <c r="BB28" s="10" t="e">
        <f t="shared" si="14"/>
        <v>#VALUE!</v>
      </c>
      <c r="BC28" s="10" t="e">
        <f t="shared" si="71"/>
        <v>#VALUE!</v>
      </c>
      <c r="BE28" s="10" t="e">
        <f t="shared" si="42"/>
        <v>#VALUE!</v>
      </c>
      <c r="BF28" s="10" t="e">
        <f t="shared" si="72"/>
        <v>#VALUE!</v>
      </c>
      <c r="BG28" s="10" t="e">
        <f t="shared" si="15"/>
        <v>#VALUE!</v>
      </c>
      <c r="BH28" s="10" t="e">
        <f t="shared" si="43"/>
        <v>#VALUE!</v>
      </c>
      <c r="BI28" s="10" t="e">
        <f t="shared" si="44"/>
        <v>#VALUE!</v>
      </c>
      <c r="BJ28" s="10" t="e">
        <f t="shared" si="45"/>
        <v>#VALUE!</v>
      </c>
      <c r="BK28" s="10" t="e">
        <f t="shared" si="73"/>
        <v>#VALUE!</v>
      </c>
      <c r="BL28" s="10" t="e">
        <f t="shared" si="16"/>
        <v>#VALUE!</v>
      </c>
      <c r="BM28" s="10" t="e">
        <f t="shared" si="74"/>
        <v>#VALUE!</v>
      </c>
      <c r="BP28" s="10" t="e">
        <f t="shared" si="46"/>
        <v>#VALUE!</v>
      </c>
      <c r="BQ28" s="10" t="e">
        <f t="shared" si="47"/>
        <v>#VALUE!</v>
      </c>
      <c r="BR28" s="10" t="e">
        <f t="shared" si="48"/>
        <v>#VALUE!</v>
      </c>
      <c r="BS28" s="10" t="e">
        <f t="shared" si="49"/>
        <v>#VALUE!</v>
      </c>
      <c r="BT28" s="10" t="e">
        <f t="shared" si="50"/>
        <v>#VALUE!</v>
      </c>
      <c r="BU28" s="10" t="e">
        <f t="shared" si="51"/>
        <v>#VALUE!</v>
      </c>
      <c r="BW28" s="10" t="e">
        <f t="shared" si="52"/>
        <v>#VALUE!</v>
      </c>
      <c r="BX28" s="10" t="e">
        <f t="shared" si="53"/>
        <v>#VALUE!</v>
      </c>
      <c r="BY28" s="10" t="e">
        <f t="shared" si="54"/>
        <v>#VALUE!</v>
      </c>
      <c r="BZ28" s="10" t="e">
        <f t="shared" si="55"/>
        <v>#VALUE!</v>
      </c>
      <c r="CA28" s="10" t="e">
        <f t="shared" si="56"/>
        <v>#VALUE!</v>
      </c>
      <c r="CB28" s="10" t="e">
        <f t="shared" si="57"/>
        <v>#VALUE!</v>
      </c>
      <c r="CD28" s="10" t="e">
        <f>MATCH(INDEX($BP$12:$BU$12,1,MATCH(BP28,$BP$15:$BU$15,0)),结果汇总!$AI$10:$AI$13,0)</f>
        <v>#VALUE!</v>
      </c>
      <c r="CE28" s="10" t="e">
        <f>MATCH(INDEX($BP$12:$BU$12,1,MATCH(BQ28,$BP$15:$BU$15,0)),结果汇总!$AI$10:$AI$13,0)</f>
        <v>#VALUE!</v>
      </c>
      <c r="CF28" s="10" t="e">
        <f>MATCH(INDEX($BP$12:$BU$12,1,MATCH(BR28,$BP$15:$BU$15,0)),结果汇总!$AI$10:$AI$13,0)</f>
        <v>#VALUE!</v>
      </c>
      <c r="CG28" s="10" t="e">
        <f>MATCH(INDEX($BP$12:$BU$12,1,MATCH(BS28,$BP$15:$BU$15,0)),结果汇总!$AI$10:$AI$13,0)</f>
        <v>#VALUE!</v>
      </c>
      <c r="CH28" s="10" t="e">
        <f>MATCH(INDEX($BP$12:$BU$12,1,MATCH(BT28,$BP$15:$BU$15,0)),结果汇总!$AI$10:$AI$13,0)</f>
        <v>#VALUE!</v>
      </c>
      <c r="CI28" s="10" t="e">
        <f>MATCH(INDEX($BP$12:$BU$12,1,MATCH(BU28,$BP$15:$BU$15,0)),结果汇总!$AI$10:$AI$13,0)</f>
        <v>#VALUE!</v>
      </c>
      <c r="CK28" s="10">
        <f t="shared" si="58"/>
        <v>0</v>
      </c>
      <c r="CL28" s="10">
        <f t="shared" si="17"/>
        <v>0</v>
      </c>
      <c r="CM28" s="10">
        <f t="shared" si="17"/>
        <v>0</v>
      </c>
      <c r="CN28" s="10">
        <f t="shared" si="17"/>
        <v>0</v>
      </c>
      <c r="CO28" s="10">
        <f t="shared" si="59"/>
        <v>0</v>
      </c>
      <c r="CP28" s="10">
        <f t="shared" si="18"/>
        <v>0</v>
      </c>
      <c r="CQ28" s="10">
        <f t="shared" si="18"/>
        <v>0</v>
      </c>
      <c r="CR28" s="10">
        <f t="shared" si="18"/>
        <v>0</v>
      </c>
      <c r="CS28" s="10">
        <f t="shared" si="60"/>
        <v>0</v>
      </c>
      <c r="CT28" s="10">
        <f t="shared" si="19"/>
        <v>0</v>
      </c>
      <c r="CU28" s="10">
        <f t="shared" si="19"/>
        <v>0</v>
      </c>
      <c r="CV28" s="10">
        <f t="shared" si="19"/>
        <v>0</v>
      </c>
      <c r="CW28" s="10">
        <f t="shared" si="61"/>
        <v>0</v>
      </c>
      <c r="CX28" s="10">
        <f t="shared" si="20"/>
        <v>0</v>
      </c>
      <c r="CY28" s="10">
        <f t="shared" si="20"/>
        <v>0</v>
      </c>
      <c r="CZ28" s="10">
        <f t="shared" si="20"/>
        <v>0</v>
      </c>
    </row>
    <row r="29" spans="4:104" x14ac:dyDescent="0.15">
      <c r="D29" s="10">
        <v>14</v>
      </c>
      <c r="E29" s="10" t="e">
        <f t="shared" si="21"/>
        <v>#VALUE!</v>
      </c>
      <c r="F29" s="10" t="e">
        <f t="shared" si="1"/>
        <v>#VALUE!</v>
      </c>
      <c r="G29" s="10" t="e">
        <f t="shared" si="2"/>
        <v>#VALUE!</v>
      </c>
      <c r="H29" s="10" t="e">
        <f t="shared" si="22"/>
        <v>#VALUE!</v>
      </c>
      <c r="I29" s="10" t="e">
        <f t="shared" si="3"/>
        <v>#VALUE!</v>
      </c>
      <c r="J29" s="10" t="e">
        <f t="shared" si="23"/>
        <v>#VALUE!</v>
      </c>
      <c r="K29" s="10" t="e">
        <f t="shared" si="4"/>
        <v>#VALUE!</v>
      </c>
      <c r="L29" s="10" t="e">
        <f t="shared" si="5"/>
        <v>#VALUE!</v>
      </c>
      <c r="M29" s="10" t="e">
        <f t="shared" si="24"/>
        <v>#VALUE!</v>
      </c>
      <c r="O29" s="10" t="e">
        <f t="shared" si="25"/>
        <v>#VALUE!</v>
      </c>
      <c r="P29" s="10" t="e">
        <f t="shared" si="6"/>
        <v>#VALUE!</v>
      </c>
      <c r="Q29" s="10" t="e">
        <f t="shared" si="7"/>
        <v>#VALUE!</v>
      </c>
      <c r="R29" s="10" t="e">
        <f t="shared" si="26"/>
        <v>#VALUE!</v>
      </c>
      <c r="S29" s="10" t="e">
        <f t="shared" si="27"/>
        <v>#VALUE!</v>
      </c>
      <c r="T29" s="10" t="e">
        <f t="shared" si="62"/>
        <v>#VALUE!</v>
      </c>
      <c r="U29" s="10" t="e">
        <f t="shared" si="63"/>
        <v>#VALUE!</v>
      </c>
      <c r="V29" s="10" t="e">
        <f t="shared" si="8"/>
        <v>#VALUE!</v>
      </c>
      <c r="W29" s="10" t="e">
        <f t="shared" si="28"/>
        <v>#VALUE!</v>
      </c>
      <c r="Y29" s="10" t="e">
        <f t="shared" si="29"/>
        <v>#VALUE!</v>
      </c>
      <c r="Z29" s="11" t="e">
        <f t="shared" si="30"/>
        <v>#VALUE!</v>
      </c>
      <c r="AA29" s="10" t="e">
        <f t="shared" si="9"/>
        <v>#VALUE!</v>
      </c>
      <c r="AB29" s="10" t="e">
        <f t="shared" si="31"/>
        <v>#VALUE!</v>
      </c>
      <c r="AC29" s="10" t="e">
        <f t="shared" si="32"/>
        <v>#VALUE!</v>
      </c>
      <c r="AD29" s="10" t="e">
        <f t="shared" si="64"/>
        <v>#VALUE!</v>
      </c>
      <c r="AE29" s="10" t="e">
        <f t="shared" si="65"/>
        <v>#VALUE!</v>
      </c>
      <c r="AF29" s="10" t="e">
        <f t="shared" si="10"/>
        <v>#VALUE!</v>
      </c>
      <c r="AG29" s="10" t="e">
        <f t="shared" si="33"/>
        <v>#VALUE!</v>
      </c>
      <c r="AI29" s="13"/>
      <c r="AK29" s="10" t="e">
        <f t="shared" si="34"/>
        <v>#VALUE!</v>
      </c>
      <c r="AL29" s="10" t="e">
        <f t="shared" si="66"/>
        <v>#VALUE!</v>
      </c>
      <c r="AM29" s="10" t="e">
        <f t="shared" si="11"/>
        <v>#VALUE!</v>
      </c>
      <c r="AN29" s="10" t="e">
        <f t="shared" si="35"/>
        <v>#VALUE!</v>
      </c>
      <c r="AO29" s="10" t="e">
        <f t="shared" si="36"/>
        <v>#VALUE!</v>
      </c>
      <c r="AP29" s="10" t="e">
        <f t="shared" si="37"/>
        <v>#VALUE!</v>
      </c>
      <c r="AQ29" s="10" t="e">
        <f t="shared" si="67"/>
        <v>#VALUE!</v>
      </c>
      <c r="AR29" s="10" t="e">
        <f t="shared" si="12"/>
        <v>#VALUE!</v>
      </c>
      <c r="AS29" s="10" t="e">
        <f t="shared" si="68"/>
        <v>#VALUE!</v>
      </c>
      <c r="AU29" s="10" t="e">
        <f t="shared" si="38"/>
        <v>#VALUE!</v>
      </c>
      <c r="AV29" s="10" t="e">
        <f t="shared" si="69"/>
        <v>#VALUE!</v>
      </c>
      <c r="AW29" s="10" t="e">
        <f t="shared" si="13"/>
        <v>#VALUE!</v>
      </c>
      <c r="AX29" s="10" t="e">
        <f t="shared" si="39"/>
        <v>#VALUE!</v>
      </c>
      <c r="AY29" s="10" t="e">
        <f t="shared" si="40"/>
        <v>#VALUE!</v>
      </c>
      <c r="AZ29" s="10" t="e">
        <f t="shared" si="41"/>
        <v>#VALUE!</v>
      </c>
      <c r="BA29" s="10" t="e">
        <f t="shared" si="70"/>
        <v>#VALUE!</v>
      </c>
      <c r="BB29" s="10" t="e">
        <f t="shared" si="14"/>
        <v>#VALUE!</v>
      </c>
      <c r="BC29" s="10" t="e">
        <f t="shared" si="71"/>
        <v>#VALUE!</v>
      </c>
      <c r="BE29" s="10" t="e">
        <f t="shared" si="42"/>
        <v>#VALUE!</v>
      </c>
      <c r="BF29" s="10" t="e">
        <f t="shared" si="72"/>
        <v>#VALUE!</v>
      </c>
      <c r="BG29" s="10" t="e">
        <f t="shared" si="15"/>
        <v>#VALUE!</v>
      </c>
      <c r="BH29" s="10" t="e">
        <f t="shared" si="43"/>
        <v>#VALUE!</v>
      </c>
      <c r="BI29" s="10" t="e">
        <f t="shared" si="44"/>
        <v>#VALUE!</v>
      </c>
      <c r="BJ29" s="10" t="e">
        <f t="shared" si="45"/>
        <v>#VALUE!</v>
      </c>
      <c r="BK29" s="10" t="e">
        <f t="shared" si="73"/>
        <v>#VALUE!</v>
      </c>
      <c r="BL29" s="10" t="e">
        <f t="shared" si="16"/>
        <v>#VALUE!</v>
      </c>
      <c r="BM29" s="10" t="e">
        <f t="shared" si="74"/>
        <v>#VALUE!</v>
      </c>
      <c r="BP29" s="10" t="e">
        <f t="shared" si="46"/>
        <v>#VALUE!</v>
      </c>
      <c r="BQ29" s="10" t="e">
        <f t="shared" si="47"/>
        <v>#VALUE!</v>
      </c>
      <c r="BR29" s="10" t="e">
        <f t="shared" si="48"/>
        <v>#VALUE!</v>
      </c>
      <c r="BS29" s="10" t="e">
        <f t="shared" si="49"/>
        <v>#VALUE!</v>
      </c>
      <c r="BT29" s="10" t="e">
        <f t="shared" si="50"/>
        <v>#VALUE!</v>
      </c>
      <c r="BU29" s="10" t="e">
        <f t="shared" si="51"/>
        <v>#VALUE!</v>
      </c>
      <c r="BW29" s="10" t="e">
        <f t="shared" si="52"/>
        <v>#VALUE!</v>
      </c>
      <c r="BX29" s="10" t="e">
        <f t="shared" si="53"/>
        <v>#VALUE!</v>
      </c>
      <c r="BY29" s="10" t="e">
        <f t="shared" si="54"/>
        <v>#VALUE!</v>
      </c>
      <c r="BZ29" s="10" t="e">
        <f t="shared" si="55"/>
        <v>#VALUE!</v>
      </c>
      <c r="CA29" s="10" t="e">
        <f t="shared" si="56"/>
        <v>#VALUE!</v>
      </c>
      <c r="CB29" s="10" t="e">
        <f t="shared" si="57"/>
        <v>#VALUE!</v>
      </c>
      <c r="CD29" s="10" t="e">
        <f>MATCH(INDEX($BP$12:$BU$12,1,MATCH(BP29,$BP$15:$BU$15,0)),结果汇总!$AI$10:$AI$13,0)</f>
        <v>#VALUE!</v>
      </c>
      <c r="CE29" s="10" t="e">
        <f>MATCH(INDEX($BP$12:$BU$12,1,MATCH(BQ29,$BP$15:$BU$15,0)),结果汇总!$AI$10:$AI$13,0)</f>
        <v>#VALUE!</v>
      </c>
      <c r="CF29" s="10" t="e">
        <f>MATCH(INDEX($BP$12:$BU$12,1,MATCH(BR29,$BP$15:$BU$15,0)),结果汇总!$AI$10:$AI$13,0)</f>
        <v>#VALUE!</v>
      </c>
      <c r="CG29" s="10" t="e">
        <f>MATCH(INDEX($BP$12:$BU$12,1,MATCH(BS29,$BP$15:$BU$15,0)),结果汇总!$AI$10:$AI$13,0)</f>
        <v>#VALUE!</v>
      </c>
      <c r="CH29" s="10" t="e">
        <f>MATCH(INDEX($BP$12:$BU$12,1,MATCH(BT29,$BP$15:$BU$15,0)),结果汇总!$AI$10:$AI$13,0)</f>
        <v>#VALUE!</v>
      </c>
      <c r="CI29" s="10" t="e">
        <f>MATCH(INDEX($BP$12:$BU$12,1,MATCH(BU29,$BP$15:$BU$15,0)),结果汇总!$AI$10:$AI$13,0)</f>
        <v>#VALUE!</v>
      </c>
      <c r="CK29" s="10">
        <f t="shared" si="58"/>
        <v>0</v>
      </c>
      <c r="CL29" s="10">
        <f t="shared" si="17"/>
        <v>0</v>
      </c>
      <c r="CM29" s="10">
        <f t="shared" si="17"/>
        <v>0</v>
      </c>
      <c r="CN29" s="10">
        <f t="shared" si="17"/>
        <v>0</v>
      </c>
      <c r="CO29" s="10">
        <f t="shared" si="59"/>
        <v>0</v>
      </c>
      <c r="CP29" s="10">
        <f t="shared" si="18"/>
        <v>0</v>
      </c>
      <c r="CQ29" s="10">
        <f t="shared" si="18"/>
        <v>0</v>
      </c>
      <c r="CR29" s="10">
        <f t="shared" si="18"/>
        <v>0</v>
      </c>
      <c r="CS29" s="10">
        <f t="shared" si="60"/>
        <v>0</v>
      </c>
      <c r="CT29" s="10">
        <f t="shared" si="19"/>
        <v>0</v>
      </c>
      <c r="CU29" s="10">
        <f t="shared" si="19"/>
        <v>0</v>
      </c>
      <c r="CV29" s="10">
        <f t="shared" si="19"/>
        <v>0</v>
      </c>
      <c r="CW29" s="10">
        <f t="shared" si="61"/>
        <v>0</v>
      </c>
      <c r="CX29" s="10">
        <f t="shared" si="20"/>
        <v>0</v>
      </c>
      <c r="CY29" s="10">
        <f t="shared" si="20"/>
        <v>0</v>
      </c>
      <c r="CZ29" s="10">
        <f t="shared" si="20"/>
        <v>0</v>
      </c>
    </row>
    <row r="30" spans="4:104" x14ac:dyDescent="0.15">
      <c r="D30" s="10">
        <v>15</v>
      </c>
      <c r="E30" s="10" t="e">
        <f t="shared" si="21"/>
        <v>#VALUE!</v>
      </c>
      <c r="F30" s="10" t="e">
        <f t="shared" si="1"/>
        <v>#VALUE!</v>
      </c>
      <c r="G30" s="10" t="e">
        <f t="shared" si="2"/>
        <v>#VALUE!</v>
      </c>
      <c r="H30" s="10" t="e">
        <f t="shared" si="22"/>
        <v>#VALUE!</v>
      </c>
      <c r="I30" s="10" t="e">
        <f t="shared" si="3"/>
        <v>#VALUE!</v>
      </c>
      <c r="J30" s="10" t="e">
        <f t="shared" si="23"/>
        <v>#VALUE!</v>
      </c>
      <c r="K30" s="10" t="e">
        <f t="shared" si="4"/>
        <v>#VALUE!</v>
      </c>
      <c r="L30" s="10" t="e">
        <f t="shared" si="5"/>
        <v>#VALUE!</v>
      </c>
      <c r="M30" s="10" t="e">
        <f t="shared" si="24"/>
        <v>#VALUE!</v>
      </c>
      <c r="O30" s="10" t="e">
        <f t="shared" si="25"/>
        <v>#VALUE!</v>
      </c>
      <c r="P30" s="10" t="e">
        <f t="shared" si="6"/>
        <v>#VALUE!</v>
      </c>
      <c r="Q30" s="10" t="e">
        <f t="shared" si="7"/>
        <v>#VALUE!</v>
      </c>
      <c r="R30" s="10" t="e">
        <f t="shared" si="26"/>
        <v>#VALUE!</v>
      </c>
      <c r="S30" s="10" t="e">
        <f t="shared" si="27"/>
        <v>#VALUE!</v>
      </c>
      <c r="T30" s="10" t="e">
        <f t="shared" si="62"/>
        <v>#VALUE!</v>
      </c>
      <c r="U30" s="10" t="e">
        <f t="shared" si="63"/>
        <v>#VALUE!</v>
      </c>
      <c r="V30" s="10" t="e">
        <f t="shared" si="8"/>
        <v>#VALUE!</v>
      </c>
      <c r="W30" s="10" t="e">
        <f t="shared" si="28"/>
        <v>#VALUE!</v>
      </c>
      <c r="Y30" s="10" t="e">
        <f t="shared" si="29"/>
        <v>#VALUE!</v>
      </c>
      <c r="Z30" s="11" t="e">
        <f t="shared" si="30"/>
        <v>#VALUE!</v>
      </c>
      <c r="AA30" s="10" t="e">
        <f t="shared" si="9"/>
        <v>#VALUE!</v>
      </c>
      <c r="AB30" s="10" t="e">
        <f t="shared" si="31"/>
        <v>#VALUE!</v>
      </c>
      <c r="AC30" s="10" t="e">
        <f t="shared" si="32"/>
        <v>#VALUE!</v>
      </c>
      <c r="AD30" s="10" t="e">
        <f t="shared" si="64"/>
        <v>#VALUE!</v>
      </c>
      <c r="AE30" s="10" t="e">
        <f t="shared" si="65"/>
        <v>#VALUE!</v>
      </c>
      <c r="AF30" s="10" t="e">
        <f t="shared" si="10"/>
        <v>#VALUE!</v>
      </c>
      <c r="AG30" s="10" t="e">
        <f t="shared" si="33"/>
        <v>#VALUE!</v>
      </c>
      <c r="AI30" s="13"/>
      <c r="AK30" s="10" t="e">
        <f t="shared" si="34"/>
        <v>#VALUE!</v>
      </c>
      <c r="AL30" s="10" t="e">
        <f t="shared" si="66"/>
        <v>#VALUE!</v>
      </c>
      <c r="AM30" s="10" t="e">
        <f t="shared" si="11"/>
        <v>#VALUE!</v>
      </c>
      <c r="AN30" s="10" t="e">
        <f t="shared" si="35"/>
        <v>#VALUE!</v>
      </c>
      <c r="AO30" s="10" t="e">
        <f t="shared" si="36"/>
        <v>#VALUE!</v>
      </c>
      <c r="AP30" s="10" t="e">
        <f t="shared" si="37"/>
        <v>#VALUE!</v>
      </c>
      <c r="AQ30" s="10" t="e">
        <f t="shared" si="67"/>
        <v>#VALUE!</v>
      </c>
      <c r="AR30" s="10" t="e">
        <f t="shared" si="12"/>
        <v>#VALUE!</v>
      </c>
      <c r="AS30" s="10" t="e">
        <f t="shared" si="68"/>
        <v>#VALUE!</v>
      </c>
      <c r="AU30" s="10" t="e">
        <f t="shared" si="38"/>
        <v>#VALUE!</v>
      </c>
      <c r="AV30" s="10" t="e">
        <f t="shared" si="69"/>
        <v>#VALUE!</v>
      </c>
      <c r="AW30" s="10" t="e">
        <f t="shared" si="13"/>
        <v>#VALUE!</v>
      </c>
      <c r="AX30" s="10" t="e">
        <f t="shared" si="39"/>
        <v>#VALUE!</v>
      </c>
      <c r="AY30" s="10" t="e">
        <f t="shared" si="40"/>
        <v>#VALUE!</v>
      </c>
      <c r="AZ30" s="10" t="e">
        <f t="shared" si="41"/>
        <v>#VALUE!</v>
      </c>
      <c r="BA30" s="10" t="e">
        <f t="shared" si="70"/>
        <v>#VALUE!</v>
      </c>
      <c r="BB30" s="10" t="e">
        <f t="shared" si="14"/>
        <v>#VALUE!</v>
      </c>
      <c r="BC30" s="10" t="e">
        <f t="shared" si="71"/>
        <v>#VALUE!</v>
      </c>
      <c r="BE30" s="10" t="e">
        <f t="shared" si="42"/>
        <v>#VALUE!</v>
      </c>
      <c r="BF30" s="10" t="e">
        <f t="shared" si="72"/>
        <v>#VALUE!</v>
      </c>
      <c r="BG30" s="10" t="e">
        <f t="shared" si="15"/>
        <v>#VALUE!</v>
      </c>
      <c r="BH30" s="10" t="e">
        <f t="shared" si="43"/>
        <v>#VALUE!</v>
      </c>
      <c r="BI30" s="10" t="e">
        <f t="shared" si="44"/>
        <v>#VALUE!</v>
      </c>
      <c r="BJ30" s="10" t="e">
        <f t="shared" si="45"/>
        <v>#VALUE!</v>
      </c>
      <c r="BK30" s="10" t="e">
        <f t="shared" si="73"/>
        <v>#VALUE!</v>
      </c>
      <c r="BL30" s="10" t="e">
        <f t="shared" si="16"/>
        <v>#VALUE!</v>
      </c>
      <c r="BM30" s="10" t="e">
        <f t="shared" si="74"/>
        <v>#VALUE!</v>
      </c>
      <c r="BP30" s="10" t="e">
        <f t="shared" si="46"/>
        <v>#VALUE!</v>
      </c>
      <c r="BQ30" s="10" t="e">
        <f t="shared" si="47"/>
        <v>#VALUE!</v>
      </c>
      <c r="BR30" s="10" t="e">
        <f t="shared" si="48"/>
        <v>#VALUE!</v>
      </c>
      <c r="BS30" s="10" t="e">
        <f t="shared" si="49"/>
        <v>#VALUE!</v>
      </c>
      <c r="BT30" s="10" t="e">
        <f t="shared" si="50"/>
        <v>#VALUE!</v>
      </c>
      <c r="BU30" s="10" t="e">
        <f t="shared" si="51"/>
        <v>#VALUE!</v>
      </c>
      <c r="BW30" s="10" t="e">
        <f t="shared" si="52"/>
        <v>#VALUE!</v>
      </c>
      <c r="BX30" s="10" t="e">
        <f t="shared" si="53"/>
        <v>#VALUE!</v>
      </c>
      <c r="BY30" s="10" t="e">
        <f t="shared" si="54"/>
        <v>#VALUE!</v>
      </c>
      <c r="BZ30" s="10" t="e">
        <f t="shared" si="55"/>
        <v>#VALUE!</v>
      </c>
      <c r="CA30" s="10" t="e">
        <f t="shared" si="56"/>
        <v>#VALUE!</v>
      </c>
      <c r="CB30" s="10" t="e">
        <f t="shared" si="57"/>
        <v>#VALUE!</v>
      </c>
      <c r="CD30" s="10" t="e">
        <f>MATCH(INDEX($BP$12:$BU$12,1,MATCH(BP30,$BP$15:$BU$15,0)),结果汇总!$AI$10:$AI$13,0)</f>
        <v>#VALUE!</v>
      </c>
      <c r="CE30" s="10" t="e">
        <f>MATCH(INDEX($BP$12:$BU$12,1,MATCH(BQ30,$BP$15:$BU$15,0)),结果汇总!$AI$10:$AI$13,0)</f>
        <v>#VALUE!</v>
      </c>
      <c r="CF30" s="10" t="e">
        <f>MATCH(INDEX($BP$12:$BU$12,1,MATCH(BR30,$BP$15:$BU$15,0)),结果汇总!$AI$10:$AI$13,0)</f>
        <v>#VALUE!</v>
      </c>
      <c r="CG30" s="10" t="e">
        <f>MATCH(INDEX($BP$12:$BU$12,1,MATCH(BS30,$BP$15:$BU$15,0)),结果汇总!$AI$10:$AI$13,0)</f>
        <v>#VALUE!</v>
      </c>
      <c r="CH30" s="10" t="e">
        <f>MATCH(INDEX($BP$12:$BU$12,1,MATCH(BT30,$BP$15:$BU$15,0)),结果汇总!$AI$10:$AI$13,0)</f>
        <v>#VALUE!</v>
      </c>
      <c r="CI30" s="10" t="e">
        <f>MATCH(INDEX($BP$12:$BU$12,1,MATCH(BU30,$BP$15:$BU$15,0)),结果汇总!$AI$10:$AI$13,0)</f>
        <v>#VALUE!</v>
      </c>
      <c r="CK30" s="10">
        <f t="shared" si="58"/>
        <v>0</v>
      </c>
      <c r="CL30" s="10">
        <f t="shared" si="17"/>
        <v>0</v>
      </c>
      <c r="CM30" s="10">
        <f t="shared" si="17"/>
        <v>0</v>
      </c>
      <c r="CN30" s="10">
        <f t="shared" si="17"/>
        <v>0</v>
      </c>
      <c r="CO30" s="10">
        <f t="shared" si="59"/>
        <v>0</v>
      </c>
      <c r="CP30" s="10">
        <f t="shared" si="18"/>
        <v>0</v>
      </c>
      <c r="CQ30" s="10">
        <f t="shared" si="18"/>
        <v>0</v>
      </c>
      <c r="CR30" s="10">
        <f t="shared" si="18"/>
        <v>0</v>
      </c>
      <c r="CS30" s="10">
        <f t="shared" si="60"/>
        <v>0</v>
      </c>
      <c r="CT30" s="10">
        <f t="shared" si="19"/>
        <v>0</v>
      </c>
      <c r="CU30" s="10">
        <f t="shared" si="19"/>
        <v>0</v>
      </c>
      <c r="CV30" s="10">
        <f t="shared" si="19"/>
        <v>0</v>
      </c>
      <c r="CW30" s="10">
        <f t="shared" si="61"/>
        <v>0</v>
      </c>
      <c r="CX30" s="10">
        <f t="shared" si="20"/>
        <v>0</v>
      </c>
      <c r="CY30" s="10">
        <f t="shared" si="20"/>
        <v>0</v>
      </c>
      <c r="CZ30" s="10">
        <f t="shared" si="20"/>
        <v>0</v>
      </c>
    </row>
    <row r="31" spans="4:104" x14ac:dyDescent="0.15">
      <c r="D31" s="10">
        <v>16</v>
      </c>
      <c r="E31" s="10" t="e">
        <f t="shared" si="21"/>
        <v>#VALUE!</v>
      </c>
      <c r="F31" s="10" t="e">
        <f t="shared" si="1"/>
        <v>#VALUE!</v>
      </c>
      <c r="G31" s="10" t="e">
        <f t="shared" si="2"/>
        <v>#VALUE!</v>
      </c>
      <c r="H31" s="10" t="e">
        <f t="shared" si="22"/>
        <v>#VALUE!</v>
      </c>
      <c r="I31" s="10" t="e">
        <f t="shared" si="3"/>
        <v>#VALUE!</v>
      </c>
      <c r="J31" s="10" t="e">
        <f t="shared" si="23"/>
        <v>#VALUE!</v>
      </c>
      <c r="K31" s="10" t="e">
        <f t="shared" si="4"/>
        <v>#VALUE!</v>
      </c>
      <c r="L31" s="10" t="e">
        <f t="shared" si="5"/>
        <v>#VALUE!</v>
      </c>
      <c r="M31" s="10" t="e">
        <f t="shared" si="24"/>
        <v>#VALUE!</v>
      </c>
      <c r="O31" s="10" t="e">
        <f t="shared" si="25"/>
        <v>#VALUE!</v>
      </c>
      <c r="P31" s="10" t="e">
        <f t="shared" si="6"/>
        <v>#VALUE!</v>
      </c>
      <c r="Q31" s="10" t="e">
        <f t="shared" si="7"/>
        <v>#VALUE!</v>
      </c>
      <c r="R31" s="10" t="e">
        <f t="shared" si="26"/>
        <v>#VALUE!</v>
      </c>
      <c r="S31" s="10" t="e">
        <f t="shared" si="27"/>
        <v>#VALUE!</v>
      </c>
      <c r="T31" s="10" t="e">
        <f t="shared" si="62"/>
        <v>#VALUE!</v>
      </c>
      <c r="U31" s="10" t="e">
        <f t="shared" si="63"/>
        <v>#VALUE!</v>
      </c>
      <c r="V31" s="10" t="e">
        <f t="shared" si="8"/>
        <v>#VALUE!</v>
      </c>
      <c r="W31" s="10" t="e">
        <f t="shared" si="28"/>
        <v>#VALUE!</v>
      </c>
      <c r="Y31" s="10" t="e">
        <f t="shared" si="29"/>
        <v>#VALUE!</v>
      </c>
      <c r="Z31" s="11" t="e">
        <f t="shared" si="30"/>
        <v>#VALUE!</v>
      </c>
      <c r="AA31" s="10" t="e">
        <f t="shared" si="9"/>
        <v>#VALUE!</v>
      </c>
      <c r="AB31" s="10" t="e">
        <f t="shared" si="31"/>
        <v>#VALUE!</v>
      </c>
      <c r="AC31" s="10" t="e">
        <f t="shared" si="32"/>
        <v>#VALUE!</v>
      </c>
      <c r="AD31" s="10" t="e">
        <f t="shared" si="64"/>
        <v>#VALUE!</v>
      </c>
      <c r="AE31" s="10" t="e">
        <f t="shared" si="65"/>
        <v>#VALUE!</v>
      </c>
      <c r="AF31" s="10" t="e">
        <f t="shared" si="10"/>
        <v>#VALUE!</v>
      </c>
      <c r="AG31" s="10" t="e">
        <f t="shared" si="33"/>
        <v>#VALUE!</v>
      </c>
      <c r="AI31" s="13"/>
      <c r="AK31" s="10" t="e">
        <f t="shared" si="34"/>
        <v>#VALUE!</v>
      </c>
      <c r="AL31" s="10" t="e">
        <f t="shared" si="66"/>
        <v>#VALUE!</v>
      </c>
      <c r="AM31" s="10" t="e">
        <f t="shared" si="11"/>
        <v>#VALUE!</v>
      </c>
      <c r="AN31" s="10" t="e">
        <f t="shared" si="35"/>
        <v>#VALUE!</v>
      </c>
      <c r="AO31" s="10" t="e">
        <f t="shared" si="36"/>
        <v>#VALUE!</v>
      </c>
      <c r="AP31" s="10" t="e">
        <f t="shared" si="37"/>
        <v>#VALUE!</v>
      </c>
      <c r="AQ31" s="10" t="e">
        <f t="shared" si="67"/>
        <v>#VALUE!</v>
      </c>
      <c r="AR31" s="10" t="e">
        <f t="shared" si="12"/>
        <v>#VALUE!</v>
      </c>
      <c r="AS31" s="10" t="e">
        <f t="shared" si="68"/>
        <v>#VALUE!</v>
      </c>
      <c r="AU31" s="10" t="e">
        <f t="shared" si="38"/>
        <v>#VALUE!</v>
      </c>
      <c r="AV31" s="10" t="e">
        <f t="shared" si="69"/>
        <v>#VALUE!</v>
      </c>
      <c r="AW31" s="10" t="e">
        <f t="shared" si="13"/>
        <v>#VALUE!</v>
      </c>
      <c r="AX31" s="10" t="e">
        <f t="shared" si="39"/>
        <v>#VALUE!</v>
      </c>
      <c r="AY31" s="10" t="e">
        <f t="shared" si="40"/>
        <v>#VALUE!</v>
      </c>
      <c r="AZ31" s="10" t="e">
        <f t="shared" si="41"/>
        <v>#VALUE!</v>
      </c>
      <c r="BA31" s="10" t="e">
        <f t="shared" si="70"/>
        <v>#VALUE!</v>
      </c>
      <c r="BB31" s="10" t="e">
        <f t="shared" si="14"/>
        <v>#VALUE!</v>
      </c>
      <c r="BC31" s="10" t="e">
        <f t="shared" si="71"/>
        <v>#VALUE!</v>
      </c>
      <c r="BE31" s="10" t="e">
        <f t="shared" si="42"/>
        <v>#VALUE!</v>
      </c>
      <c r="BF31" s="10" t="e">
        <f t="shared" si="72"/>
        <v>#VALUE!</v>
      </c>
      <c r="BG31" s="10" t="e">
        <f t="shared" si="15"/>
        <v>#VALUE!</v>
      </c>
      <c r="BH31" s="10" t="e">
        <f t="shared" si="43"/>
        <v>#VALUE!</v>
      </c>
      <c r="BI31" s="10" t="e">
        <f t="shared" si="44"/>
        <v>#VALUE!</v>
      </c>
      <c r="BJ31" s="10" t="e">
        <f t="shared" si="45"/>
        <v>#VALUE!</v>
      </c>
      <c r="BK31" s="10" t="e">
        <f t="shared" si="73"/>
        <v>#VALUE!</v>
      </c>
      <c r="BL31" s="10" t="e">
        <f t="shared" si="16"/>
        <v>#VALUE!</v>
      </c>
      <c r="BM31" s="10" t="e">
        <f t="shared" si="74"/>
        <v>#VALUE!</v>
      </c>
      <c r="BP31" s="10" t="e">
        <f t="shared" si="46"/>
        <v>#VALUE!</v>
      </c>
      <c r="BQ31" s="10" t="e">
        <f t="shared" si="47"/>
        <v>#VALUE!</v>
      </c>
      <c r="BR31" s="10" t="e">
        <f t="shared" si="48"/>
        <v>#VALUE!</v>
      </c>
      <c r="BS31" s="10" t="e">
        <f t="shared" si="49"/>
        <v>#VALUE!</v>
      </c>
      <c r="BT31" s="10" t="e">
        <f t="shared" si="50"/>
        <v>#VALUE!</v>
      </c>
      <c r="BU31" s="10" t="e">
        <f t="shared" si="51"/>
        <v>#VALUE!</v>
      </c>
      <c r="BW31" s="10" t="e">
        <f t="shared" si="52"/>
        <v>#VALUE!</v>
      </c>
      <c r="BX31" s="10" t="e">
        <f t="shared" si="53"/>
        <v>#VALUE!</v>
      </c>
      <c r="BY31" s="10" t="e">
        <f t="shared" si="54"/>
        <v>#VALUE!</v>
      </c>
      <c r="BZ31" s="10" t="e">
        <f t="shared" si="55"/>
        <v>#VALUE!</v>
      </c>
      <c r="CA31" s="10" t="e">
        <f t="shared" si="56"/>
        <v>#VALUE!</v>
      </c>
      <c r="CB31" s="10" t="e">
        <f t="shared" si="57"/>
        <v>#VALUE!</v>
      </c>
      <c r="CD31" s="10" t="e">
        <f>MATCH(INDEX($BP$12:$BU$12,1,MATCH(BP31,$BP$15:$BU$15,0)),结果汇总!$AI$10:$AI$13,0)</f>
        <v>#VALUE!</v>
      </c>
      <c r="CE31" s="10" t="e">
        <f>MATCH(INDEX($BP$12:$BU$12,1,MATCH(BQ31,$BP$15:$BU$15,0)),结果汇总!$AI$10:$AI$13,0)</f>
        <v>#VALUE!</v>
      </c>
      <c r="CF31" s="10" t="e">
        <f>MATCH(INDEX($BP$12:$BU$12,1,MATCH(BR31,$BP$15:$BU$15,0)),结果汇总!$AI$10:$AI$13,0)</f>
        <v>#VALUE!</v>
      </c>
      <c r="CG31" s="10" t="e">
        <f>MATCH(INDEX($BP$12:$BU$12,1,MATCH(BS31,$BP$15:$BU$15,0)),结果汇总!$AI$10:$AI$13,0)</f>
        <v>#VALUE!</v>
      </c>
      <c r="CH31" s="10" t="e">
        <f>MATCH(INDEX($BP$12:$BU$12,1,MATCH(BT31,$BP$15:$BU$15,0)),结果汇总!$AI$10:$AI$13,0)</f>
        <v>#VALUE!</v>
      </c>
      <c r="CI31" s="10" t="e">
        <f>MATCH(INDEX($BP$12:$BU$12,1,MATCH(BU31,$BP$15:$BU$15,0)),结果汇总!$AI$10:$AI$13,0)</f>
        <v>#VALUE!</v>
      </c>
      <c r="CK31" s="10">
        <f t="shared" si="58"/>
        <v>0</v>
      </c>
      <c r="CL31" s="10">
        <f t="shared" si="17"/>
        <v>0</v>
      </c>
      <c r="CM31" s="10">
        <f t="shared" si="17"/>
        <v>0</v>
      </c>
      <c r="CN31" s="10">
        <f t="shared" si="17"/>
        <v>0</v>
      </c>
      <c r="CO31" s="10">
        <f t="shared" si="59"/>
        <v>0</v>
      </c>
      <c r="CP31" s="10">
        <f t="shared" si="18"/>
        <v>0</v>
      </c>
      <c r="CQ31" s="10">
        <f t="shared" si="18"/>
        <v>0</v>
      </c>
      <c r="CR31" s="10">
        <f t="shared" si="18"/>
        <v>0</v>
      </c>
      <c r="CS31" s="10">
        <f t="shared" si="60"/>
        <v>0</v>
      </c>
      <c r="CT31" s="10">
        <f t="shared" si="19"/>
        <v>0</v>
      </c>
      <c r="CU31" s="10">
        <f t="shared" si="19"/>
        <v>0</v>
      </c>
      <c r="CV31" s="10">
        <f t="shared" si="19"/>
        <v>0</v>
      </c>
      <c r="CW31" s="10">
        <f t="shared" si="61"/>
        <v>0</v>
      </c>
      <c r="CX31" s="10">
        <f t="shared" si="20"/>
        <v>0</v>
      </c>
      <c r="CY31" s="10">
        <f t="shared" si="20"/>
        <v>0</v>
      </c>
      <c r="CZ31" s="10">
        <f t="shared" si="20"/>
        <v>0</v>
      </c>
    </row>
    <row r="32" spans="4:104" x14ac:dyDescent="0.15">
      <c r="D32" s="10">
        <v>17</v>
      </c>
      <c r="E32" s="10" t="e">
        <f t="shared" si="21"/>
        <v>#VALUE!</v>
      </c>
      <c r="F32" s="10" t="e">
        <f t="shared" si="1"/>
        <v>#VALUE!</v>
      </c>
      <c r="G32" s="10" t="e">
        <f t="shared" si="2"/>
        <v>#VALUE!</v>
      </c>
      <c r="H32" s="10" t="e">
        <f t="shared" si="22"/>
        <v>#VALUE!</v>
      </c>
      <c r="I32" s="10" t="e">
        <f t="shared" si="3"/>
        <v>#VALUE!</v>
      </c>
      <c r="J32" s="10" t="e">
        <f t="shared" si="23"/>
        <v>#VALUE!</v>
      </c>
      <c r="K32" s="10" t="e">
        <f t="shared" si="4"/>
        <v>#VALUE!</v>
      </c>
      <c r="L32" s="10" t="e">
        <f t="shared" si="5"/>
        <v>#VALUE!</v>
      </c>
      <c r="M32" s="10" t="e">
        <f t="shared" si="24"/>
        <v>#VALUE!</v>
      </c>
      <c r="O32" s="10" t="e">
        <f t="shared" si="25"/>
        <v>#VALUE!</v>
      </c>
      <c r="P32" s="10" t="e">
        <f t="shared" si="6"/>
        <v>#VALUE!</v>
      </c>
      <c r="Q32" s="10" t="e">
        <f t="shared" si="7"/>
        <v>#VALUE!</v>
      </c>
      <c r="R32" s="10" t="e">
        <f t="shared" si="26"/>
        <v>#VALUE!</v>
      </c>
      <c r="S32" s="10" t="e">
        <f t="shared" si="27"/>
        <v>#VALUE!</v>
      </c>
      <c r="T32" s="10" t="e">
        <f t="shared" si="62"/>
        <v>#VALUE!</v>
      </c>
      <c r="U32" s="10" t="e">
        <f t="shared" si="63"/>
        <v>#VALUE!</v>
      </c>
      <c r="V32" s="10" t="e">
        <f t="shared" si="8"/>
        <v>#VALUE!</v>
      </c>
      <c r="W32" s="10" t="e">
        <f t="shared" si="28"/>
        <v>#VALUE!</v>
      </c>
      <c r="Y32" s="10" t="e">
        <f t="shared" si="29"/>
        <v>#VALUE!</v>
      </c>
      <c r="Z32" s="11" t="e">
        <f t="shared" si="30"/>
        <v>#VALUE!</v>
      </c>
      <c r="AA32" s="10" t="e">
        <f t="shared" si="9"/>
        <v>#VALUE!</v>
      </c>
      <c r="AB32" s="10" t="e">
        <f t="shared" si="31"/>
        <v>#VALUE!</v>
      </c>
      <c r="AC32" s="10" t="e">
        <f t="shared" si="32"/>
        <v>#VALUE!</v>
      </c>
      <c r="AD32" s="10" t="e">
        <f t="shared" si="64"/>
        <v>#VALUE!</v>
      </c>
      <c r="AE32" s="10" t="e">
        <f t="shared" si="65"/>
        <v>#VALUE!</v>
      </c>
      <c r="AF32" s="10" t="e">
        <f t="shared" si="10"/>
        <v>#VALUE!</v>
      </c>
      <c r="AG32" s="10" t="e">
        <f t="shared" si="33"/>
        <v>#VALUE!</v>
      </c>
      <c r="AI32" s="13"/>
      <c r="AK32" s="10" t="e">
        <f t="shared" si="34"/>
        <v>#VALUE!</v>
      </c>
      <c r="AL32" s="10" t="e">
        <f t="shared" si="66"/>
        <v>#VALUE!</v>
      </c>
      <c r="AM32" s="10" t="e">
        <f t="shared" si="11"/>
        <v>#VALUE!</v>
      </c>
      <c r="AN32" s="10" t="e">
        <f t="shared" si="35"/>
        <v>#VALUE!</v>
      </c>
      <c r="AO32" s="10" t="e">
        <f t="shared" si="36"/>
        <v>#VALUE!</v>
      </c>
      <c r="AP32" s="10" t="e">
        <f t="shared" si="37"/>
        <v>#VALUE!</v>
      </c>
      <c r="AQ32" s="10" t="e">
        <f t="shared" si="67"/>
        <v>#VALUE!</v>
      </c>
      <c r="AR32" s="10" t="e">
        <f t="shared" si="12"/>
        <v>#VALUE!</v>
      </c>
      <c r="AS32" s="10" t="e">
        <f t="shared" si="68"/>
        <v>#VALUE!</v>
      </c>
      <c r="AU32" s="10" t="e">
        <f t="shared" si="38"/>
        <v>#VALUE!</v>
      </c>
      <c r="AV32" s="10" t="e">
        <f t="shared" si="69"/>
        <v>#VALUE!</v>
      </c>
      <c r="AW32" s="10" t="e">
        <f t="shared" si="13"/>
        <v>#VALUE!</v>
      </c>
      <c r="AX32" s="10" t="e">
        <f t="shared" si="39"/>
        <v>#VALUE!</v>
      </c>
      <c r="AY32" s="10" t="e">
        <f t="shared" si="40"/>
        <v>#VALUE!</v>
      </c>
      <c r="AZ32" s="10" t="e">
        <f t="shared" si="41"/>
        <v>#VALUE!</v>
      </c>
      <c r="BA32" s="10" t="e">
        <f t="shared" si="70"/>
        <v>#VALUE!</v>
      </c>
      <c r="BB32" s="10" t="e">
        <f t="shared" si="14"/>
        <v>#VALUE!</v>
      </c>
      <c r="BC32" s="10" t="e">
        <f t="shared" si="71"/>
        <v>#VALUE!</v>
      </c>
      <c r="BE32" s="10" t="e">
        <f t="shared" si="42"/>
        <v>#VALUE!</v>
      </c>
      <c r="BF32" s="10" t="e">
        <f t="shared" si="72"/>
        <v>#VALUE!</v>
      </c>
      <c r="BG32" s="10" t="e">
        <f t="shared" si="15"/>
        <v>#VALUE!</v>
      </c>
      <c r="BH32" s="10" t="e">
        <f t="shared" si="43"/>
        <v>#VALUE!</v>
      </c>
      <c r="BI32" s="10" t="e">
        <f t="shared" si="44"/>
        <v>#VALUE!</v>
      </c>
      <c r="BJ32" s="10" t="e">
        <f t="shared" si="45"/>
        <v>#VALUE!</v>
      </c>
      <c r="BK32" s="10" t="e">
        <f t="shared" si="73"/>
        <v>#VALUE!</v>
      </c>
      <c r="BL32" s="10" t="e">
        <f t="shared" si="16"/>
        <v>#VALUE!</v>
      </c>
      <c r="BM32" s="10" t="e">
        <f t="shared" si="74"/>
        <v>#VALUE!</v>
      </c>
      <c r="BP32" s="10" t="e">
        <f t="shared" si="46"/>
        <v>#VALUE!</v>
      </c>
      <c r="BQ32" s="10" t="e">
        <f t="shared" si="47"/>
        <v>#VALUE!</v>
      </c>
      <c r="BR32" s="10" t="e">
        <f t="shared" si="48"/>
        <v>#VALUE!</v>
      </c>
      <c r="BS32" s="10" t="e">
        <f t="shared" si="49"/>
        <v>#VALUE!</v>
      </c>
      <c r="BT32" s="10" t="e">
        <f t="shared" si="50"/>
        <v>#VALUE!</v>
      </c>
      <c r="BU32" s="10" t="e">
        <f t="shared" si="51"/>
        <v>#VALUE!</v>
      </c>
      <c r="BW32" s="10" t="e">
        <f t="shared" si="52"/>
        <v>#VALUE!</v>
      </c>
      <c r="BX32" s="10" t="e">
        <f t="shared" si="53"/>
        <v>#VALUE!</v>
      </c>
      <c r="BY32" s="10" t="e">
        <f t="shared" si="54"/>
        <v>#VALUE!</v>
      </c>
      <c r="BZ32" s="10" t="e">
        <f t="shared" si="55"/>
        <v>#VALUE!</v>
      </c>
      <c r="CA32" s="10" t="e">
        <f t="shared" si="56"/>
        <v>#VALUE!</v>
      </c>
      <c r="CB32" s="10" t="e">
        <f t="shared" si="57"/>
        <v>#VALUE!</v>
      </c>
      <c r="CD32" s="10" t="e">
        <f>MATCH(INDEX($BP$12:$BU$12,1,MATCH(BP32,$BP$15:$BU$15,0)),结果汇总!$AI$10:$AI$13,0)</f>
        <v>#VALUE!</v>
      </c>
      <c r="CE32" s="10" t="e">
        <f>MATCH(INDEX($BP$12:$BU$12,1,MATCH(BQ32,$BP$15:$BU$15,0)),结果汇总!$AI$10:$AI$13,0)</f>
        <v>#VALUE!</v>
      </c>
      <c r="CF32" s="10" t="e">
        <f>MATCH(INDEX($BP$12:$BU$12,1,MATCH(BR32,$BP$15:$BU$15,0)),结果汇总!$AI$10:$AI$13,0)</f>
        <v>#VALUE!</v>
      </c>
      <c r="CG32" s="10" t="e">
        <f>MATCH(INDEX($BP$12:$BU$12,1,MATCH(BS32,$BP$15:$BU$15,0)),结果汇总!$AI$10:$AI$13,0)</f>
        <v>#VALUE!</v>
      </c>
      <c r="CH32" s="10" t="e">
        <f>MATCH(INDEX($BP$12:$BU$12,1,MATCH(BT32,$BP$15:$BU$15,0)),结果汇总!$AI$10:$AI$13,0)</f>
        <v>#VALUE!</v>
      </c>
      <c r="CI32" s="10" t="e">
        <f>MATCH(INDEX($BP$12:$BU$12,1,MATCH(BU32,$BP$15:$BU$15,0)),结果汇总!$AI$10:$AI$13,0)</f>
        <v>#VALUE!</v>
      </c>
      <c r="CK32" s="10">
        <f t="shared" si="58"/>
        <v>0</v>
      </c>
      <c r="CL32" s="10">
        <f t="shared" si="58"/>
        <v>0</v>
      </c>
      <c r="CM32" s="10">
        <f t="shared" si="58"/>
        <v>0</v>
      </c>
      <c r="CN32" s="10">
        <f t="shared" si="58"/>
        <v>0</v>
      </c>
      <c r="CO32" s="10">
        <f t="shared" si="59"/>
        <v>0</v>
      </c>
      <c r="CP32" s="10">
        <f t="shared" si="59"/>
        <v>0</v>
      </c>
      <c r="CQ32" s="10">
        <f t="shared" si="59"/>
        <v>0</v>
      </c>
      <c r="CR32" s="10">
        <f t="shared" si="59"/>
        <v>0</v>
      </c>
      <c r="CS32" s="10">
        <f t="shared" si="60"/>
        <v>0</v>
      </c>
      <c r="CT32" s="10">
        <f t="shared" si="60"/>
        <v>0</v>
      </c>
      <c r="CU32" s="10">
        <f t="shared" si="60"/>
        <v>0</v>
      </c>
      <c r="CV32" s="10">
        <f t="shared" si="60"/>
        <v>0</v>
      </c>
      <c r="CW32" s="10">
        <f t="shared" si="61"/>
        <v>0</v>
      </c>
      <c r="CX32" s="10">
        <f t="shared" si="61"/>
        <v>0</v>
      </c>
      <c r="CY32" s="10">
        <f t="shared" si="61"/>
        <v>0</v>
      </c>
      <c r="CZ32" s="10">
        <f t="shared" si="61"/>
        <v>0</v>
      </c>
    </row>
    <row r="33" spans="4:104" x14ac:dyDescent="0.15">
      <c r="D33" s="10">
        <v>18</v>
      </c>
      <c r="E33" s="10" t="e">
        <f t="shared" si="21"/>
        <v>#VALUE!</v>
      </c>
      <c r="F33" s="10" t="e">
        <f t="shared" si="1"/>
        <v>#VALUE!</v>
      </c>
      <c r="G33" s="10" t="e">
        <f t="shared" si="2"/>
        <v>#VALUE!</v>
      </c>
      <c r="H33" s="10" t="e">
        <f t="shared" si="22"/>
        <v>#VALUE!</v>
      </c>
      <c r="I33" s="10" t="e">
        <f t="shared" si="3"/>
        <v>#VALUE!</v>
      </c>
      <c r="J33" s="10" t="e">
        <f t="shared" si="23"/>
        <v>#VALUE!</v>
      </c>
      <c r="K33" s="10" t="e">
        <f t="shared" si="4"/>
        <v>#VALUE!</v>
      </c>
      <c r="L33" s="10" t="e">
        <f t="shared" si="5"/>
        <v>#VALUE!</v>
      </c>
      <c r="M33" s="10" t="e">
        <f t="shared" si="24"/>
        <v>#VALUE!</v>
      </c>
      <c r="O33" s="10" t="e">
        <f t="shared" si="25"/>
        <v>#VALUE!</v>
      </c>
      <c r="P33" s="10" t="e">
        <f t="shared" si="6"/>
        <v>#VALUE!</v>
      </c>
      <c r="Q33" s="10" t="e">
        <f t="shared" si="7"/>
        <v>#VALUE!</v>
      </c>
      <c r="R33" s="10" t="e">
        <f t="shared" si="26"/>
        <v>#VALUE!</v>
      </c>
      <c r="S33" s="10" t="e">
        <f t="shared" si="27"/>
        <v>#VALUE!</v>
      </c>
      <c r="T33" s="10" t="e">
        <f t="shared" si="62"/>
        <v>#VALUE!</v>
      </c>
      <c r="U33" s="10" t="e">
        <f t="shared" si="63"/>
        <v>#VALUE!</v>
      </c>
      <c r="V33" s="10" t="e">
        <f t="shared" si="8"/>
        <v>#VALUE!</v>
      </c>
      <c r="W33" s="10" t="e">
        <f t="shared" si="28"/>
        <v>#VALUE!</v>
      </c>
      <c r="Y33" s="10" t="e">
        <f t="shared" si="29"/>
        <v>#VALUE!</v>
      </c>
      <c r="Z33" s="11" t="e">
        <f t="shared" si="30"/>
        <v>#VALUE!</v>
      </c>
      <c r="AA33" s="10" t="e">
        <f t="shared" si="9"/>
        <v>#VALUE!</v>
      </c>
      <c r="AB33" s="10" t="e">
        <f t="shared" si="31"/>
        <v>#VALUE!</v>
      </c>
      <c r="AC33" s="10" t="e">
        <f t="shared" si="32"/>
        <v>#VALUE!</v>
      </c>
      <c r="AD33" s="10" t="e">
        <f t="shared" si="64"/>
        <v>#VALUE!</v>
      </c>
      <c r="AE33" s="10" t="e">
        <f t="shared" si="65"/>
        <v>#VALUE!</v>
      </c>
      <c r="AF33" s="10" t="e">
        <f t="shared" si="10"/>
        <v>#VALUE!</v>
      </c>
      <c r="AG33" s="10" t="e">
        <f t="shared" si="33"/>
        <v>#VALUE!</v>
      </c>
      <c r="AI33" s="13"/>
      <c r="AK33" s="10" t="e">
        <f t="shared" si="34"/>
        <v>#VALUE!</v>
      </c>
      <c r="AL33" s="10" t="e">
        <f t="shared" si="66"/>
        <v>#VALUE!</v>
      </c>
      <c r="AM33" s="10" t="e">
        <f t="shared" si="11"/>
        <v>#VALUE!</v>
      </c>
      <c r="AN33" s="10" t="e">
        <f t="shared" si="35"/>
        <v>#VALUE!</v>
      </c>
      <c r="AO33" s="10" t="e">
        <f t="shared" si="36"/>
        <v>#VALUE!</v>
      </c>
      <c r="AP33" s="10" t="e">
        <f t="shared" si="37"/>
        <v>#VALUE!</v>
      </c>
      <c r="AQ33" s="10" t="e">
        <f t="shared" si="67"/>
        <v>#VALUE!</v>
      </c>
      <c r="AR33" s="10" t="e">
        <f t="shared" si="12"/>
        <v>#VALUE!</v>
      </c>
      <c r="AS33" s="10" t="e">
        <f t="shared" si="68"/>
        <v>#VALUE!</v>
      </c>
      <c r="AU33" s="10" t="e">
        <f t="shared" si="38"/>
        <v>#VALUE!</v>
      </c>
      <c r="AV33" s="10" t="e">
        <f t="shared" si="69"/>
        <v>#VALUE!</v>
      </c>
      <c r="AW33" s="10" t="e">
        <f t="shared" si="13"/>
        <v>#VALUE!</v>
      </c>
      <c r="AX33" s="10" t="e">
        <f t="shared" si="39"/>
        <v>#VALUE!</v>
      </c>
      <c r="AY33" s="10" t="e">
        <f t="shared" si="40"/>
        <v>#VALUE!</v>
      </c>
      <c r="AZ33" s="10" t="e">
        <f t="shared" si="41"/>
        <v>#VALUE!</v>
      </c>
      <c r="BA33" s="10" t="e">
        <f t="shared" si="70"/>
        <v>#VALUE!</v>
      </c>
      <c r="BB33" s="10" t="e">
        <f t="shared" si="14"/>
        <v>#VALUE!</v>
      </c>
      <c r="BC33" s="10" t="e">
        <f t="shared" si="71"/>
        <v>#VALUE!</v>
      </c>
      <c r="BE33" s="10" t="e">
        <f t="shared" si="42"/>
        <v>#VALUE!</v>
      </c>
      <c r="BF33" s="10" t="e">
        <f t="shared" si="72"/>
        <v>#VALUE!</v>
      </c>
      <c r="BG33" s="10" t="e">
        <f t="shared" si="15"/>
        <v>#VALUE!</v>
      </c>
      <c r="BH33" s="10" t="e">
        <f t="shared" si="43"/>
        <v>#VALUE!</v>
      </c>
      <c r="BI33" s="10" t="e">
        <f t="shared" si="44"/>
        <v>#VALUE!</v>
      </c>
      <c r="BJ33" s="10" t="e">
        <f t="shared" si="45"/>
        <v>#VALUE!</v>
      </c>
      <c r="BK33" s="10" t="e">
        <f t="shared" si="73"/>
        <v>#VALUE!</v>
      </c>
      <c r="BL33" s="10" t="e">
        <f t="shared" si="16"/>
        <v>#VALUE!</v>
      </c>
      <c r="BM33" s="10" t="e">
        <f t="shared" si="74"/>
        <v>#VALUE!</v>
      </c>
      <c r="BP33" s="10" t="e">
        <f t="shared" si="46"/>
        <v>#VALUE!</v>
      </c>
      <c r="BQ33" s="10" t="e">
        <f t="shared" si="47"/>
        <v>#VALUE!</v>
      </c>
      <c r="BR33" s="10" t="e">
        <f t="shared" si="48"/>
        <v>#VALUE!</v>
      </c>
      <c r="BS33" s="10" t="e">
        <f t="shared" si="49"/>
        <v>#VALUE!</v>
      </c>
      <c r="BT33" s="10" t="e">
        <f t="shared" si="50"/>
        <v>#VALUE!</v>
      </c>
      <c r="BU33" s="10" t="e">
        <f t="shared" si="51"/>
        <v>#VALUE!</v>
      </c>
      <c r="BW33" s="10" t="e">
        <f t="shared" si="52"/>
        <v>#VALUE!</v>
      </c>
      <c r="BX33" s="10" t="e">
        <f t="shared" si="53"/>
        <v>#VALUE!</v>
      </c>
      <c r="BY33" s="10" t="e">
        <f t="shared" si="54"/>
        <v>#VALUE!</v>
      </c>
      <c r="BZ33" s="10" t="e">
        <f t="shared" si="55"/>
        <v>#VALUE!</v>
      </c>
      <c r="CA33" s="10" t="e">
        <f t="shared" si="56"/>
        <v>#VALUE!</v>
      </c>
      <c r="CB33" s="10" t="e">
        <f t="shared" si="57"/>
        <v>#VALUE!</v>
      </c>
      <c r="CD33" s="10" t="e">
        <f>MATCH(INDEX($BP$12:$BU$12,1,MATCH(BP33,$BP$15:$BU$15,0)),结果汇总!$AI$10:$AI$13,0)</f>
        <v>#VALUE!</v>
      </c>
      <c r="CE33" s="10" t="e">
        <f>MATCH(INDEX($BP$12:$BU$12,1,MATCH(BQ33,$BP$15:$BU$15,0)),结果汇总!$AI$10:$AI$13,0)</f>
        <v>#VALUE!</v>
      </c>
      <c r="CF33" s="10" t="e">
        <f>MATCH(INDEX($BP$12:$BU$12,1,MATCH(BR33,$BP$15:$BU$15,0)),结果汇总!$AI$10:$AI$13,0)</f>
        <v>#VALUE!</v>
      </c>
      <c r="CG33" s="10" t="e">
        <f>MATCH(INDEX($BP$12:$BU$12,1,MATCH(BS33,$BP$15:$BU$15,0)),结果汇总!$AI$10:$AI$13,0)</f>
        <v>#VALUE!</v>
      </c>
      <c r="CH33" s="10" t="e">
        <f>MATCH(INDEX($BP$12:$BU$12,1,MATCH(BT33,$BP$15:$BU$15,0)),结果汇总!$AI$10:$AI$13,0)</f>
        <v>#VALUE!</v>
      </c>
      <c r="CI33" s="10" t="e">
        <f>MATCH(INDEX($BP$12:$BU$12,1,MATCH(BU33,$BP$15:$BU$15,0)),结果汇总!$AI$10:$AI$13,0)</f>
        <v>#VALUE!</v>
      </c>
      <c r="CK33" s="10">
        <f t="shared" si="58"/>
        <v>0</v>
      </c>
      <c r="CL33" s="10">
        <f t="shared" si="58"/>
        <v>0</v>
      </c>
      <c r="CM33" s="10">
        <f t="shared" si="58"/>
        <v>0</v>
      </c>
      <c r="CN33" s="10">
        <f t="shared" si="58"/>
        <v>0</v>
      </c>
      <c r="CO33" s="10">
        <f t="shared" si="59"/>
        <v>0</v>
      </c>
      <c r="CP33" s="10">
        <f t="shared" si="59"/>
        <v>0</v>
      </c>
      <c r="CQ33" s="10">
        <f t="shared" si="59"/>
        <v>0</v>
      </c>
      <c r="CR33" s="10">
        <f t="shared" si="59"/>
        <v>0</v>
      </c>
      <c r="CS33" s="10">
        <f t="shared" si="60"/>
        <v>0</v>
      </c>
      <c r="CT33" s="10">
        <f t="shared" si="60"/>
        <v>0</v>
      </c>
      <c r="CU33" s="10">
        <f t="shared" si="60"/>
        <v>0</v>
      </c>
      <c r="CV33" s="10">
        <f t="shared" si="60"/>
        <v>0</v>
      </c>
      <c r="CW33" s="10">
        <f t="shared" si="61"/>
        <v>0</v>
      </c>
      <c r="CX33" s="10">
        <f t="shared" si="61"/>
        <v>0</v>
      </c>
      <c r="CY33" s="10">
        <f t="shared" si="61"/>
        <v>0</v>
      </c>
      <c r="CZ33" s="10">
        <f t="shared" si="61"/>
        <v>0</v>
      </c>
    </row>
    <row r="34" spans="4:104" x14ac:dyDescent="0.15">
      <c r="D34" s="10">
        <v>19</v>
      </c>
      <c r="E34" s="10" t="e">
        <f t="shared" si="21"/>
        <v>#VALUE!</v>
      </c>
      <c r="F34" s="10" t="e">
        <f t="shared" si="1"/>
        <v>#VALUE!</v>
      </c>
      <c r="G34" s="10" t="e">
        <f t="shared" si="2"/>
        <v>#VALUE!</v>
      </c>
      <c r="H34" s="10" t="e">
        <f t="shared" si="22"/>
        <v>#VALUE!</v>
      </c>
      <c r="I34" s="10" t="e">
        <f t="shared" si="3"/>
        <v>#VALUE!</v>
      </c>
      <c r="J34" s="10" t="e">
        <f t="shared" si="23"/>
        <v>#VALUE!</v>
      </c>
      <c r="K34" s="10" t="e">
        <f t="shared" si="4"/>
        <v>#VALUE!</v>
      </c>
      <c r="L34" s="10" t="e">
        <f t="shared" si="5"/>
        <v>#VALUE!</v>
      </c>
      <c r="M34" s="10" t="e">
        <f t="shared" si="24"/>
        <v>#VALUE!</v>
      </c>
      <c r="O34" s="10" t="e">
        <f t="shared" si="25"/>
        <v>#VALUE!</v>
      </c>
      <c r="P34" s="10" t="e">
        <f t="shared" si="6"/>
        <v>#VALUE!</v>
      </c>
      <c r="Q34" s="10" t="e">
        <f t="shared" si="7"/>
        <v>#VALUE!</v>
      </c>
      <c r="R34" s="10" t="e">
        <f t="shared" si="26"/>
        <v>#VALUE!</v>
      </c>
      <c r="S34" s="10" t="e">
        <f t="shared" si="27"/>
        <v>#VALUE!</v>
      </c>
      <c r="T34" s="10" t="e">
        <f t="shared" si="62"/>
        <v>#VALUE!</v>
      </c>
      <c r="U34" s="10" t="e">
        <f t="shared" si="63"/>
        <v>#VALUE!</v>
      </c>
      <c r="V34" s="10" t="e">
        <f t="shared" si="8"/>
        <v>#VALUE!</v>
      </c>
      <c r="W34" s="10" t="e">
        <f t="shared" si="28"/>
        <v>#VALUE!</v>
      </c>
      <c r="Y34" s="10" t="e">
        <f t="shared" si="29"/>
        <v>#VALUE!</v>
      </c>
      <c r="Z34" s="11" t="e">
        <f t="shared" si="30"/>
        <v>#VALUE!</v>
      </c>
      <c r="AA34" s="10" t="e">
        <f t="shared" si="9"/>
        <v>#VALUE!</v>
      </c>
      <c r="AB34" s="10" t="e">
        <f t="shared" si="31"/>
        <v>#VALUE!</v>
      </c>
      <c r="AC34" s="10" t="e">
        <f t="shared" si="32"/>
        <v>#VALUE!</v>
      </c>
      <c r="AD34" s="10" t="e">
        <f t="shared" si="64"/>
        <v>#VALUE!</v>
      </c>
      <c r="AE34" s="10" t="e">
        <f t="shared" si="65"/>
        <v>#VALUE!</v>
      </c>
      <c r="AF34" s="10" t="e">
        <f t="shared" si="10"/>
        <v>#VALUE!</v>
      </c>
      <c r="AG34" s="10" t="e">
        <f t="shared" si="33"/>
        <v>#VALUE!</v>
      </c>
      <c r="AI34" s="13"/>
      <c r="AK34" s="10" t="e">
        <f t="shared" si="34"/>
        <v>#VALUE!</v>
      </c>
      <c r="AL34" s="10" t="e">
        <f t="shared" si="66"/>
        <v>#VALUE!</v>
      </c>
      <c r="AM34" s="10" t="e">
        <f t="shared" si="11"/>
        <v>#VALUE!</v>
      </c>
      <c r="AN34" s="10" t="e">
        <f t="shared" si="35"/>
        <v>#VALUE!</v>
      </c>
      <c r="AO34" s="10" t="e">
        <f t="shared" si="36"/>
        <v>#VALUE!</v>
      </c>
      <c r="AP34" s="10" t="e">
        <f t="shared" si="37"/>
        <v>#VALUE!</v>
      </c>
      <c r="AQ34" s="10" t="e">
        <f t="shared" si="67"/>
        <v>#VALUE!</v>
      </c>
      <c r="AR34" s="10" t="e">
        <f t="shared" si="12"/>
        <v>#VALUE!</v>
      </c>
      <c r="AS34" s="10" t="e">
        <f t="shared" si="68"/>
        <v>#VALUE!</v>
      </c>
      <c r="AU34" s="10" t="e">
        <f t="shared" si="38"/>
        <v>#VALUE!</v>
      </c>
      <c r="AV34" s="10" t="e">
        <f t="shared" si="69"/>
        <v>#VALUE!</v>
      </c>
      <c r="AW34" s="10" t="e">
        <f t="shared" si="13"/>
        <v>#VALUE!</v>
      </c>
      <c r="AX34" s="10" t="e">
        <f t="shared" si="39"/>
        <v>#VALUE!</v>
      </c>
      <c r="AY34" s="10" t="e">
        <f t="shared" si="40"/>
        <v>#VALUE!</v>
      </c>
      <c r="AZ34" s="10" t="e">
        <f t="shared" si="41"/>
        <v>#VALUE!</v>
      </c>
      <c r="BA34" s="10" t="e">
        <f t="shared" si="70"/>
        <v>#VALUE!</v>
      </c>
      <c r="BB34" s="10" t="e">
        <f t="shared" si="14"/>
        <v>#VALUE!</v>
      </c>
      <c r="BC34" s="10" t="e">
        <f t="shared" si="71"/>
        <v>#VALUE!</v>
      </c>
      <c r="BE34" s="10" t="e">
        <f t="shared" si="42"/>
        <v>#VALUE!</v>
      </c>
      <c r="BF34" s="10" t="e">
        <f t="shared" si="72"/>
        <v>#VALUE!</v>
      </c>
      <c r="BG34" s="10" t="e">
        <f t="shared" si="15"/>
        <v>#VALUE!</v>
      </c>
      <c r="BH34" s="10" t="e">
        <f t="shared" si="43"/>
        <v>#VALUE!</v>
      </c>
      <c r="BI34" s="10" t="e">
        <f t="shared" si="44"/>
        <v>#VALUE!</v>
      </c>
      <c r="BJ34" s="10" t="e">
        <f t="shared" si="45"/>
        <v>#VALUE!</v>
      </c>
      <c r="BK34" s="10" t="e">
        <f t="shared" si="73"/>
        <v>#VALUE!</v>
      </c>
      <c r="BL34" s="10" t="e">
        <f t="shared" si="16"/>
        <v>#VALUE!</v>
      </c>
      <c r="BM34" s="10" t="e">
        <f t="shared" si="74"/>
        <v>#VALUE!</v>
      </c>
      <c r="BP34" s="10" t="e">
        <f t="shared" si="46"/>
        <v>#VALUE!</v>
      </c>
      <c r="BQ34" s="10" t="e">
        <f t="shared" si="47"/>
        <v>#VALUE!</v>
      </c>
      <c r="BR34" s="10" t="e">
        <f t="shared" si="48"/>
        <v>#VALUE!</v>
      </c>
      <c r="BS34" s="10" t="e">
        <f t="shared" si="49"/>
        <v>#VALUE!</v>
      </c>
      <c r="BT34" s="10" t="e">
        <f t="shared" si="50"/>
        <v>#VALUE!</v>
      </c>
      <c r="BU34" s="10" t="e">
        <f t="shared" si="51"/>
        <v>#VALUE!</v>
      </c>
      <c r="BW34" s="10" t="e">
        <f t="shared" si="52"/>
        <v>#VALUE!</v>
      </c>
      <c r="BX34" s="10" t="e">
        <f t="shared" si="53"/>
        <v>#VALUE!</v>
      </c>
      <c r="BY34" s="10" t="e">
        <f t="shared" si="54"/>
        <v>#VALUE!</v>
      </c>
      <c r="BZ34" s="10" t="e">
        <f t="shared" si="55"/>
        <v>#VALUE!</v>
      </c>
      <c r="CA34" s="10" t="e">
        <f t="shared" si="56"/>
        <v>#VALUE!</v>
      </c>
      <c r="CB34" s="10" t="e">
        <f t="shared" si="57"/>
        <v>#VALUE!</v>
      </c>
      <c r="CD34" s="10" t="e">
        <f>MATCH(INDEX($BP$12:$BU$12,1,MATCH(BP34,$BP$15:$BU$15,0)),结果汇总!$AI$10:$AI$13,0)</f>
        <v>#VALUE!</v>
      </c>
      <c r="CE34" s="10" t="e">
        <f>MATCH(INDEX($BP$12:$BU$12,1,MATCH(BQ34,$BP$15:$BU$15,0)),结果汇总!$AI$10:$AI$13,0)</f>
        <v>#VALUE!</v>
      </c>
      <c r="CF34" s="10" t="e">
        <f>MATCH(INDEX($BP$12:$BU$12,1,MATCH(BR34,$BP$15:$BU$15,0)),结果汇总!$AI$10:$AI$13,0)</f>
        <v>#VALUE!</v>
      </c>
      <c r="CG34" s="10" t="e">
        <f>MATCH(INDEX($BP$12:$BU$12,1,MATCH(BS34,$BP$15:$BU$15,0)),结果汇总!$AI$10:$AI$13,0)</f>
        <v>#VALUE!</v>
      </c>
      <c r="CH34" s="10" t="e">
        <f>MATCH(INDEX($BP$12:$BU$12,1,MATCH(BT34,$BP$15:$BU$15,0)),结果汇总!$AI$10:$AI$13,0)</f>
        <v>#VALUE!</v>
      </c>
      <c r="CI34" s="10" t="e">
        <f>MATCH(INDEX($BP$12:$BU$12,1,MATCH(BU34,$BP$15:$BU$15,0)),结果汇总!$AI$10:$AI$13,0)</f>
        <v>#VALUE!</v>
      </c>
      <c r="CK34" s="10">
        <f t="shared" si="58"/>
        <v>0</v>
      </c>
      <c r="CL34" s="10">
        <f t="shared" si="58"/>
        <v>0</v>
      </c>
      <c r="CM34" s="10">
        <f t="shared" si="58"/>
        <v>0</v>
      </c>
      <c r="CN34" s="10">
        <f t="shared" si="58"/>
        <v>0</v>
      </c>
      <c r="CO34" s="10">
        <f t="shared" si="59"/>
        <v>0</v>
      </c>
      <c r="CP34" s="10">
        <f t="shared" si="59"/>
        <v>0</v>
      </c>
      <c r="CQ34" s="10">
        <f t="shared" si="59"/>
        <v>0</v>
      </c>
      <c r="CR34" s="10">
        <f t="shared" si="59"/>
        <v>0</v>
      </c>
      <c r="CS34" s="10">
        <f t="shared" si="60"/>
        <v>0</v>
      </c>
      <c r="CT34" s="10">
        <f t="shared" si="60"/>
        <v>0</v>
      </c>
      <c r="CU34" s="10">
        <f t="shared" si="60"/>
        <v>0</v>
      </c>
      <c r="CV34" s="10">
        <f t="shared" si="60"/>
        <v>0</v>
      </c>
      <c r="CW34" s="10">
        <f t="shared" si="61"/>
        <v>0</v>
      </c>
      <c r="CX34" s="10">
        <f t="shared" si="61"/>
        <v>0</v>
      </c>
      <c r="CY34" s="10">
        <f t="shared" si="61"/>
        <v>0</v>
      </c>
      <c r="CZ34" s="10">
        <f t="shared" si="61"/>
        <v>0</v>
      </c>
    </row>
    <row r="35" spans="4:104" x14ac:dyDescent="0.15">
      <c r="D35" s="10">
        <v>20</v>
      </c>
      <c r="E35" s="10" t="e">
        <f t="shared" si="21"/>
        <v>#VALUE!</v>
      </c>
      <c r="F35" s="10" t="e">
        <f t="shared" si="1"/>
        <v>#VALUE!</v>
      </c>
      <c r="G35" s="10" t="e">
        <f t="shared" si="2"/>
        <v>#VALUE!</v>
      </c>
      <c r="H35" s="10" t="e">
        <f t="shared" si="22"/>
        <v>#VALUE!</v>
      </c>
      <c r="I35" s="10" t="e">
        <f t="shared" si="3"/>
        <v>#VALUE!</v>
      </c>
      <c r="J35" s="10" t="e">
        <f t="shared" si="23"/>
        <v>#VALUE!</v>
      </c>
      <c r="K35" s="10" t="e">
        <f t="shared" si="4"/>
        <v>#VALUE!</v>
      </c>
      <c r="L35" s="10" t="e">
        <f t="shared" si="5"/>
        <v>#VALUE!</v>
      </c>
      <c r="M35" s="10" t="e">
        <f t="shared" si="24"/>
        <v>#VALUE!</v>
      </c>
      <c r="O35" s="10" t="e">
        <f t="shared" si="25"/>
        <v>#VALUE!</v>
      </c>
      <c r="P35" s="10" t="e">
        <f t="shared" si="6"/>
        <v>#VALUE!</v>
      </c>
      <c r="Q35" s="10" t="e">
        <f t="shared" si="7"/>
        <v>#VALUE!</v>
      </c>
      <c r="R35" s="10" t="e">
        <f t="shared" si="26"/>
        <v>#VALUE!</v>
      </c>
      <c r="S35" s="10" t="e">
        <f t="shared" si="27"/>
        <v>#VALUE!</v>
      </c>
      <c r="T35" s="10" t="e">
        <f t="shared" si="62"/>
        <v>#VALUE!</v>
      </c>
      <c r="U35" s="10" t="e">
        <f t="shared" si="63"/>
        <v>#VALUE!</v>
      </c>
      <c r="V35" s="10" t="e">
        <f t="shared" si="8"/>
        <v>#VALUE!</v>
      </c>
      <c r="W35" s="10" t="e">
        <f t="shared" si="28"/>
        <v>#VALUE!</v>
      </c>
      <c r="Y35" s="10" t="e">
        <f t="shared" si="29"/>
        <v>#VALUE!</v>
      </c>
      <c r="Z35" s="11" t="e">
        <f t="shared" si="30"/>
        <v>#VALUE!</v>
      </c>
      <c r="AA35" s="10" t="e">
        <f t="shared" si="9"/>
        <v>#VALUE!</v>
      </c>
      <c r="AB35" s="10" t="e">
        <f t="shared" si="31"/>
        <v>#VALUE!</v>
      </c>
      <c r="AC35" s="10" t="e">
        <f t="shared" si="32"/>
        <v>#VALUE!</v>
      </c>
      <c r="AD35" s="10" t="e">
        <f t="shared" si="64"/>
        <v>#VALUE!</v>
      </c>
      <c r="AE35" s="10" t="e">
        <f t="shared" si="65"/>
        <v>#VALUE!</v>
      </c>
      <c r="AF35" s="10" t="e">
        <f t="shared" si="10"/>
        <v>#VALUE!</v>
      </c>
      <c r="AG35" s="10" t="e">
        <f t="shared" si="33"/>
        <v>#VALUE!</v>
      </c>
      <c r="AI35" s="13"/>
      <c r="AK35" s="10" t="e">
        <f t="shared" si="34"/>
        <v>#VALUE!</v>
      </c>
      <c r="AL35" s="10" t="e">
        <f t="shared" si="66"/>
        <v>#VALUE!</v>
      </c>
      <c r="AM35" s="10" t="e">
        <f t="shared" si="11"/>
        <v>#VALUE!</v>
      </c>
      <c r="AN35" s="10" t="e">
        <f t="shared" si="35"/>
        <v>#VALUE!</v>
      </c>
      <c r="AO35" s="10" t="e">
        <f t="shared" si="36"/>
        <v>#VALUE!</v>
      </c>
      <c r="AP35" s="10" t="e">
        <f t="shared" si="37"/>
        <v>#VALUE!</v>
      </c>
      <c r="AQ35" s="10" t="e">
        <f t="shared" si="67"/>
        <v>#VALUE!</v>
      </c>
      <c r="AR35" s="10" t="e">
        <f t="shared" si="12"/>
        <v>#VALUE!</v>
      </c>
      <c r="AS35" s="10" t="e">
        <f t="shared" si="68"/>
        <v>#VALUE!</v>
      </c>
      <c r="AU35" s="10" t="e">
        <f t="shared" si="38"/>
        <v>#VALUE!</v>
      </c>
      <c r="AV35" s="10" t="e">
        <f t="shared" si="69"/>
        <v>#VALUE!</v>
      </c>
      <c r="AW35" s="10" t="e">
        <f t="shared" si="13"/>
        <v>#VALUE!</v>
      </c>
      <c r="AX35" s="10" t="e">
        <f t="shared" si="39"/>
        <v>#VALUE!</v>
      </c>
      <c r="AY35" s="10" t="e">
        <f t="shared" si="40"/>
        <v>#VALUE!</v>
      </c>
      <c r="AZ35" s="10" t="e">
        <f t="shared" si="41"/>
        <v>#VALUE!</v>
      </c>
      <c r="BA35" s="10" t="e">
        <f t="shared" si="70"/>
        <v>#VALUE!</v>
      </c>
      <c r="BB35" s="10" t="e">
        <f t="shared" si="14"/>
        <v>#VALUE!</v>
      </c>
      <c r="BC35" s="10" t="e">
        <f t="shared" si="71"/>
        <v>#VALUE!</v>
      </c>
      <c r="BE35" s="10" t="e">
        <f t="shared" si="42"/>
        <v>#VALUE!</v>
      </c>
      <c r="BF35" s="10" t="e">
        <f t="shared" si="72"/>
        <v>#VALUE!</v>
      </c>
      <c r="BG35" s="10" t="e">
        <f t="shared" si="15"/>
        <v>#VALUE!</v>
      </c>
      <c r="BH35" s="10" t="e">
        <f t="shared" si="43"/>
        <v>#VALUE!</v>
      </c>
      <c r="BI35" s="10" t="e">
        <f t="shared" si="44"/>
        <v>#VALUE!</v>
      </c>
      <c r="BJ35" s="10" t="e">
        <f t="shared" si="45"/>
        <v>#VALUE!</v>
      </c>
      <c r="BK35" s="10" t="e">
        <f t="shared" si="73"/>
        <v>#VALUE!</v>
      </c>
      <c r="BL35" s="10" t="e">
        <f t="shared" si="16"/>
        <v>#VALUE!</v>
      </c>
      <c r="BM35" s="10" t="e">
        <f t="shared" si="74"/>
        <v>#VALUE!</v>
      </c>
      <c r="BP35" s="10" t="e">
        <f t="shared" si="46"/>
        <v>#VALUE!</v>
      </c>
      <c r="BQ35" s="10" t="e">
        <f t="shared" si="47"/>
        <v>#VALUE!</v>
      </c>
      <c r="BR35" s="10" t="e">
        <f t="shared" si="48"/>
        <v>#VALUE!</v>
      </c>
      <c r="BS35" s="10" t="e">
        <f t="shared" si="49"/>
        <v>#VALUE!</v>
      </c>
      <c r="BT35" s="10" t="e">
        <f t="shared" si="50"/>
        <v>#VALUE!</v>
      </c>
      <c r="BU35" s="10" t="e">
        <f t="shared" si="51"/>
        <v>#VALUE!</v>
      </c>
      <c r="BW35" s="10" t="e">
        <f t="shared" si="52"/>
        <v>#VALUE!</v>
      </c>
      <c r="BX35" s="10" t="e">
        <f t="shared" si="53"/>
        <v>#VALUE!</v>
      </c>
      <c r="BY35" s="10" t="e">
        <f t="shared" si="54"/>
        <v>#VALUE!</v>
      </c>
      <c r="BZ35" s="10" t="e">
        <f t="shared" si="55"/>
        <v>#VALUE!</v>
      </c>
      <c r="CA35" s="10" t="e">
        <f t="shared" si="56"/>
        <v>#VALUE!</v>
      </c>
      <c r="CB35" s="10" t="e">
        <f t="shared" si="57"/>
        <v>#VALUE!</v>
      </c>
      <c r="CD35" s="10" t="e">
        <f>MATCH(INDEX($BP$12:$BU$12,1,MATCH(BP35,$BP$15:$BU$15,0)),结果汇总!$AI$10:$AI$13,0)</f>
        <v>#VALUE!</v>
      </c>
      <c r="CE35" s="10" t="e">
        <f>MATCH(INDEX($BP$12:$BU$12,1,MATCH(BQ35,$BP$15:$BU$15,0)),结果汇总!$AI$10:$AI$13,0)</f>
        <v>#VALUE!</v>
      </c>
      <c r="CF35" s="10" t="e">
        <f>MATCH(INDEX($BP$12:$BU$12,1,MATCH(BR35,$BP$15:$BU$15,0)),结果汇总!$AI$10:$AI$13,0)</f>
        <v>#VALUE!</v>
      </c>
      <c r="CG35" s="10" t="e">
        <f>MATCH(INDEX($BP$12:$BU$12,1,MATCH(BS35,$BP$15:$BU$15,0)),结果汇总!$AI$10:$AI$13,0)</f>
        <v>#VALUE!</v>
      </c>
      <c r="CH35" s="10" t="e">
        <f>MATCH(INDEX($BP$12:$BU$12,1,MATCH(BT35,$BP$15:$BU$15,0)),结果汇总!$AI$10:$AI$13,0)</f>
        <v>#VALUE!</v>
      </c>
      <c r="CI35" s="10" t="e">
        <f>MATCH(INDEX($BP$12:$BU$12,1,MATCH(BU35,$BP$15:$BU$15,0)),结果汇总!$AI$10:$AI$13,0)</f>
        <v>#VALUE!</v>
      </c>
      <c r="CK35" s="10">
        <f t="shared" si="58"/>
        <v>0</v>
      </c>
      <c r="CL35" s="10">
        <f t="shared" si="58"/>
        <v>0</v>
      </c>
      <c r="CM35" s="10">
        <f t="shared" si="58"/>
        <v>0</v>
      </c>
      <c r="CN35" s="10">
        <f t="shared" si="58"/>
        <v>0</v>
      </c>
      <c r="CO35" s="10">
        <f t="shared" si="59"/>
        <v>0</v>
      </c>
      <c r="CP35" s="10">
        <f t="shared" si="59"/>
        <v>0</v>
      </c>
      <c r="CQ35" s="10">
        <f t="shared" si="59"/>
        <v>0</v>
      </c>
      <c r="CR35" s="10">
        <f t="shared" si="59"/>
        <v>0</v>
      </c>
      <c r="CS35" s="10">
        <f t="shared" si="60"/>
        <v>0</v>
      </c>
      <c r="CT35" s="10">
        <f t="shared" si="60"/>
        <v>0</v>
      </c>
      <c r="CU35" s="10">
        <f t="shared" si="60"/>
        <v>0</v>
      </c>
      <c r="CV35" s="10">
        <f t="shared" si="60"/>
        <v>0</v>
      </c>
      <c r="CW35" s="10">
        <f t="shared" si="61"/>
        <v>0</v>
      </c>
      <c r="CX35" s="10">
        <f t="shared" si="61"/>
        <v>0</v>
      </c>
      <c r="CY35" s="10">
        <f t="shared" si="61"/>
        <v>0</v>
      </c>
      <c r="CZ35" s="10">
        <f t="shared" si="61"/>
        <v>0</v>
      </c>
    </row>
    <row r="36" spans="4:104" x14ac:dyDescent="0.15">
      <c r="D36" s="10">
        <v>21</v>
      </c>
      <c r="E36" s="10" t="e">
        <f t="shared" si="21"/>
        <v>#VALUE!</v>
      </c>
      <c r="F36" s="10" t="e">
        <f t="shared" si="1"/>
        <v>#VALUE!</v>
      </c>
      <c r="G36" s="10" t="e">
        <f t="shared" si="2"/>
        <v>#VALUE!</v>
      </c>
      <c r="H36" s="10" t="e">
        <f t="shared" si="22"/>
        <v>#VALUE!</v>
      </c>
      <c r="I36" s="10" t="e">
        <f t="shared" si="3"/>
        <v>#VALUE!</v>
      </c>
      <c r="J36" s="10" t="e">
        <f t="shared" si="23"/>
        <v>#VALUE!</v>
      </c>
      <c r="K36" s="10" t="e">
        <f t="shared" si="4"/>
        <v>#VALUE!</v>
      </c>
      <c r="L36" s="10" t="e">
        <f t="shared" si="5"/>
        <v>#VALUE!</v>
      </c>
      <c r="M36" s="10" t="e">
        <f t="shared" si="24"/>
        <v>#VALUE!</v>
      </c>
      <c r="O36" s="10" t="e">
        <f t="shared" si="25"/>
        <v>#VALUE!</v>
      </c>
      <c r="P36" s="10" t="e">
        <f t="shared" si="6"/>
        <v>#VALUE!</v>
      </c>
      <c r="Q36" s="10" t="e">
        <f t="shared" si="7"/>
        <v>#VALUE!</v>
      </c>
      <c r="R36" s="10" t="e">
        <f t="shared" si="26"/>
        <v>#VALUE!</v>
      </c>
      <c r="S36" s="10" t="e">
        <f t="shared" si="27"/>
        <v>#VALUE!</v>
      </c>
      <c r="T36" s="10" t="e">
        <f t="shared" si="62"/>
        <v>#VALUE!</v>
      </c>
      <c r="U36" s="10" t="e">
        <f t="shared" si="63"/>
        <v>#VALUE!</v>
      </c>
      <c r="V36" s="10" t="e">
        <f t="shared" si="8"/>
        <v>#VALUE!</v>
      </c>
      <c r="W36" s="10" t="e">
        <f t="shared" si="28"/>
        <v>#VALUE!</v>
      </c>
      <c r="Y36" s="10" t="e">
        <f t="shared" si="29"/>
        <v>#VALUE!</v>
      </c>
      <c r="Z36" s="11" t="e">
        <f t="shared" si="30"/>
        <v>#VALUE!</v>
      </c>
      <c r="AA36" s="10" t="e">
        <f t="shared" si="9"/>
        <v>#VALUE!</v>
      </c>
      <c r="AB36" s="10" t="e">
        <f t="shared" si="31"/>
        <v>#VALUE!</v>
      </c>
      <c r="AC36" s="10" t="e">
        <f t="shared" si="32"/>
        <v>#VALUE!</v>
      </c>
      <c r="AD36" s="10" t="e">
        <f t="shared" si="64"/>
        <v>#VALUE!</v>
      </c>
      <c r="AE36" s="10" t="e">
        <f t="shared" si="65"/>
        <v>#VALUE!</v>
      </c>
      <c r="AF36" s="10" t="e">
        <f t="shared" si="10"/>
        <v>#VALUE!</v>
      </c>
      <c r="AG36" s="10" t="e">
        <f t="shared" si="33"/>
        <v>#VALUE!</v>
      </c>
      <c r="AI36" s="13"/>
      <c r="AK36" s="10" t="e">
        <f t="shared" si="34"/>
        <v>#VALUE!</v>
      </c>
      <c r="AL36" s="10" t="e">
        <f t="shared" si="66"/>
        <v>#VALUE!</v>
      </c>
      <c r="AM36" s="10" t="e">
        <f t="shared" si="11"/>
        <v>#VALUE!</v>
      </c>
      <c r="AN36" s="10" t="e">
        <f t="shared" si="35"/>
        <v>#VALUE!</v>
      </c>
      <c r="AO36" s="10" t="e">
        <f t="shared" si="36"/>
        <v>#VALUE!</v>
      </c>
      <c r="AP36" s="10" t="e">
        <f t="shared" si="37"/>
        <v>#VALUE!</v>
      </c>
      <c r="AQ36" s="10" t="e">
        <f t="shared" si="67"/>
        <v>#VALUE!</v>
      </c>
      <c r="AR36" s="10" t="e">
        <f t="shared" si="12"/>
        <v>#VALUE!</v>
      </c>
      <c r="AS36" s="10" t="e">
        <f t="shared" si="68"/>
        <v>#VALUE!</v>
      </c>
      <c r="AU36" s="10" t="e">
        <f t="shared" si="38"/>
        <v>#VALUE!</v>
      </c>
      <c r="AV36" s="10" t="e">
        <f t="shared" si="69"/>
        <v>#VALUE!</v>
      </c>
      <c r="AW36" s="10" t="e">
        <f t="shared" si="13"/>
        <v>#VALUE!</v>
      </c>
      <c r="AX36" s="10" t="e">
        <f t="shared" si="39"/>
        <v>#VALUE!</v>
      </c>
      <c r="AY36" s="10" t="e">
        <f t="shared" si="40"/>
        <v>#VALUE!</v>
      </c>
      <c r="AZ36" s="10" t="e">
        <f t="shared" si="41"/>
        <v>#VALUE!</v>
      </c>
      <c r="BA36" s="10" t="e">
        <f t="shared" si="70"/>
        <v>#VALUE!</v>
      </c>
      <c r="BB36" s="10" t="e">
        <f t="shared" si="14"/>
        <v>#VALUE!</v>
      </c>
      <c r="BC36" s="10" t="e">
        <f t="shared" si="71"/>
        <v>#VALUE!</v>
      </c>
      <c r="BE36" s="10" t="e">
        <f t="shared" si="42"/>
        <v>#VALUE!</v>
      </c>
      <c r="BF36" s="10" t="e">
        <f t="shared" si="72"/>
        <v>#VALUE!</v>
      </c>
      <c r="BG36" s="10" t="e">
        <f t="shared" si="15"/>
        <v>#VALUE!</v>
      </c>
      <c r="BH36" s="10" t="e">
        <f t="shared" si="43"/>
        <v>#VALUE!</v>
      </c>
      <c r="BI36" s="10" t="e">
        <f t="shared" si="44"/>
        <v>#VALUE!</v>
      </c>
      <c r="BJ36" s="10" t="e">
        <f t="shared" si="45"/>
        <v>#VALUE!</v>
      </c>
      <c r="BK36" s="10" t="e">
        <f t="shared" si="73"/>
        <v>#VALUE!</v>
      </c>
      <c r="BL36" s="10" t="e">
        <f t="shared" si="16"/>
        <v>#VALUE!</v>
      </c>
      <c r="BM36" s="10" t="e">
        <f t="shared" si="74"/>
        <v>#VALUE!</v>
      </c>
      <c r="BP36" s="10" t="e">
        <f t="shared" si="46"/>
        <v>#VALUE!</v>
      </c>
      <c r="BQ36" s="10" t="e">
        <f t="shared" si="47"/>
        <v>#VALUE!</v>
      </c>
      <c r="BR36" s="10" t="e">
        <f t="shared" si="48"/>
        <v>#VALUE!</v>
      </c>
      <c r="BS36" s="10" t="e">
        <f t="shared" si="49"/>
        <v>#VALUE!</v>
      </c>
      <c r="BT36" s="10" t="e">
        <f t="shared" si="50"/>
        <v>#VALUE!</v>
      </c>
      <c r="BU36" s="10" t="e">
        <f t="shared" si="51"/>
        <v>#VALUE!</v>
      </c>
      <c r="BW36" s="10" t="e">
        <f t="shared" si="52"/>
        <v>#VALUE!</v>
      </c>
      <c r="BX36" s="10" t="e">
        <f t="shared" si="53"/>
        <v>#VALUE!</v>
      </c>
      <c r="BY36" s="10" t="e">
        <f t="shared" si="54"/>
        <v>#VALUE!</v>
      </c>
      <c r="BZ36" s="10" t="e">
        <f t="shared" si="55"/>
        <v>#VALUE!</v>
      </c>
      <c r="CA36" s="10" t="e">
        <f t="shared" si="56"/>
        <v>#VALUE!</v>
      </c>
      <c r="CB36" s="10" t="e">
        <f t="shared" si="57"/>
        <v>#VALUE!</v>
      </c>
      <c r="CD36" s="10" t="e">
        <f>MATCH(INDEX($BP$12:$BU$12,1,MATCH(BP36,$BP$15:$BU$15,0)),结果汇总!$AI$10:$AI$13,0)</f>
        <v>#VALUE!</v>
      </c>
      <c r="CE36" s="10" t="e">
        <f>MATCH(INDEX($BP$12:$BU$12,1,MATCH(BQ36,$BP$15:$BU$15,0)),结果汇总!$AI$10:$AI$13,0)</f>
        <v>#VALUE!</v>
      </c>
      <c r="CF36" s="10" t="e">
        <f>MATCH(INDEX($BP$12:$BU$12,1,MATCH(BR36,$BP$15:$BU$15,0)),结果汇总!$AI$10:$AI$13,0)</f>
        <v>#VALUE!</v>
      </c>
      <c r="CG36" s="10" t="e">
        <f>MATCH(INDEX($BP$12:$BU$12,1,MATCH(BS36,$BP$15:$BU$15,0)),结果汇总!$AI$10:$AI$13,0)</f>
        <v>#VALUE!</v>
      </c>
      <c r="CH36" s="10" t="e">
        <f>MATCH(INDEX($BP$12:$BU$12,1,MATCH(BT36,$BP$15:$BU$15,0)),结果汇总!$AI$10:$AI$13,0)</f>
        <v>#VALUE!</v>
      </c>
      <c r="CI36" s="10" t="e">
        <f>MATCH(INDEX($BP$12:$BU$12,1,MATCH(BU36,$BP$15:$BU$15,0)),结果汇总!$AI$10:$AI$13,0)</f>
        <v>#VALUE!</v>
      </c>
      <c r="CK36" s="10">
        <f t="shared" si="58"/>
        <v>0</v>
      </c>
      <c r="CL36" s="10">
        <f t="shared" si="58"/>
        <v>0</v>
      </c>
      <c r="CM36" s="10">
        <f t="shared" si="58"/>
        <v>0</v>
      </c>
      <c r="CN36" s="10">
        <f t="shared" si="58"/>
        <v>0</v>
      </c>
      <c r="CO36" s="10">
        <f t="shared" si="59"/>
        <v>0</v>
      </c>
      <c r="CP36" s="10">
        <f t="shared" si="59"/>
        <v>0</v>
      </c>
      <c r="CQ36" s="10">
        <f t="shared" si="59"/>
        <v>0</v>
      </c>
      <c r="CR36" s="10">
        <f t="shared" si="59"/>
        <v>0</v>
      </c>
      <c r="CS36" s="10">
        <f t="shared" si="60"/>
        <v>0</v>
      </c>
      <c r="CT36" s="10">
        <f t="shared" si="60"/>
        <v>0</v>
      </c>
      <c r="CU36" s="10">
        <f t="shared" si="60"/>
        <v>0</v>
      </c>
      <c r="CV36" s="10">
        <f t="shared" si="60"/>
        <v>0</v>
      </c>
      <c r="CW36" s="10">
        <f t="shared" si="61"/>
        <v>0</v>
      </c>
      <c r="CX36" s="10">
        <f t="shared" si="61"/>
        <v>0</v>
      </c>
      <c r="CY36" s="10">
        <f t="shared" si="61"/>
        <v>0</v>
      </c>
      <c r="CZ36" s="10">
        <f t="shared" si="61"/>
        <v>0</v>
      </c>
    </row>
    <row r="37" spans="4:104" x14ac:dyDescent="0.15">
      <c r="D37" s="10">
        <v>22</v>
      </c>
      <c r="E37" s="10" t="e">
        <f t="shared" si="21"/>
        <v>#VALUE!</v>
      </c>
      <c r="F37" s="10" t="e">
        <f t="shared" si="1"/>
        <v>#VALUE!</v>
      </c>
      <c r="G37" s="10" t="e">
        <f t="shared" si="2"/>
        <v>#VALUE!</v>
      </c>
      <c r="H37" s="10" t="e">
        <f t="shared" si="22"/>
        <v>#VALUE!</v>
      </c>
      <c r="I37" s="10" t="e">
        <f t="shared" si="3"/>
        <v>#VALUE!</v>
      </c>
      <c r="J37" s="10" t="e">
        <f t="shared" si="23"/>
        <v>#VALUE!</v>
      </c>
      <c r="K37" s="10" t="e">
        <f t="shared" si="4"/>
        <v>#VALUE!</v>
      </c>
      <c r="L37" s="10" t="e">
        <f t="shared" si="5"/>
        <v>#VALUE!</v>
      </c>
      <c r="M37" s="10" t="e">
        <f t="shared" si="24"/>
        <v>#VALUE!</v>
      </c>
      <c r="O37" s="10" t="e">
        <f t="shared" si="25"/>
        <v>#VALUE!</v>
      </c>
      <c r="P37" s="10" t="e">
        <f t="shared" si="6"/>
        <v>#VALUE!</v>
      </c>
      <c r="Q37" s="10" t="e">
        <f t="shared" si="7"/>
        <v>#VALUE!</v>
      </c>
      <c r="R37" s="10" t="e">
        <f t="shared" si="26"/>
        <v>#VALUE!</v>
      </c>
      <c r="S37" s="10" t="e">
        <f t="shared" si="27"/>
        <v>#VALUE!</v>
      </c>
      <c r="T37" s="10" t="e">
        <f t="shared" si="62"/>
        <v>#VALUE!</v>
      </c>
      <c r="U37" s="10" t="e">
        <f t="shared" si="63"/>
        <v>#VALUE!</v>
      </c>
      <c r="V37" s="10" t="e">
        <f t="shared" si="8"/>
        <v>#VALUE!</v>
      </c>
      <c r="W37" s="10" t="e">
        <f t="shared" si="28"/>
        <v>#VALUE!</v>
      </c>
      <c r="Y37" s="10" t="e">
        <f t="shared" si="29"/>
        <v>#VALUE!</v>
      </c>
      <c r="Z37" s="11" t="e">
        <f t="shared" si="30"/>
        <v>#VALUE!</v>
      </c>
      <c r="AA37" s="10" t="e">
        <f t="shared" si="9"/>
        <v>#VALUE!</v>
      </c>
      <c r="AB37" s="10" t="e">
        <f t="shared" si="31"/>
        <v>#VALUE!</v>
      </c>
      <c r="AC37" s="10" t="e">
        <f t="shared" si="32"/>
        <v>#VALUE!</v>
      </c>
      <c r="AD37" s="10" t="e">
        <f t="shared" si="64"/>
        <v>#VALUE!</v>
      </c>
      <c r="AE37" s="10" t="e">
        <f t="shared" si="65"/>
        <v>#VALUE!</v>
      </c>
      <c r="AF37" s="10" t="e">
        <f t="shared" si="10"/>
        <v>#VALUE!</v>
      </c>
      <c r="AG37" s="10" t="e">
        <f t="shared" si="33"/>
        <v>#VALUE!</v>
      </c>
      <c r="AI37" s="13"/>
      <c r="AK37" s="10" t="e">
        <f t="shared" si="34"/>
        <v>#VALUE!</v>
      </c>
      <c r="AL37" s="10" t="e">
        <f t="shared" si="66"/>
        <v>#VALUE!</v>
      </c>
      <c r="AM37" s="10" t="e">
        <f t="shared" si="11"/>
        <v>#VALUE!</v>
      </c>
      <c r="AN37" s="10" t="e">
        <f t="shared" si="35"/>
        <v>#VALUE!</v>
      </c>
      <c r="AO37" s="10" t="e">
        <f t="shared" si="36"/>
        <v>#VALUE!</v>
      </c>
      <c r="AP37" s="10" t="e">
        <f t="shared" si="37"/>
        <v>#VALUE!</v>
      </c>
      <c r="AQ37" s="10" t="e">
        <f t="shared" si="67"/>
        <v>#VALUE!</v>
      </c>
      <c r="AR37" s="10" t="e">
        <f t="shared" si="12"/>
        <v>#VALUE!</v>
      </c>
      <c r="AS37" s="10" t="e">
        <f t="shared" si="68"/>
        <v>#VALUE!</v>
      </c>
      <c r="AU37" s="10" t="e">
        <f t="shared" si="38"/>
        <v>#VALUE!</v>
      </c>
      <c r="AV37" s="10" t="e">
        <f t="shared" si="69"/>
        <v>#VALUE!</v>
      </c>
      <c r="AW37" s="10" t="e">
        <f t="shared" si="13"/>
        <v>#VALUE!</v>
      </c>
      <c r="AX37" s="10" t="e">
        <f t="shared" si="39"/>
        <v>#VALUE!</v>
      </c>
      <c r="AY37" s="10" t="e">
        <f t="shared" si="40"/>
        <v>#VALUE!</v>
      </c>
      <c r="AZ37" s="10" t="e">
        <f t="shared" si="41"/>
        <v>#VALUE!</v>
      </c>
      <c r="BA37" s="10" t="e">
        <f t="shared" si="70"/>
        <v>#VALUE!</v>
      </c>
      <c r="BB37" s="10" t="e">
        <f t="shared" si="14"/>
        <v>#VALUE!</v>
      </c>
      <c r="BC37" s="10" t="e">
        <f t="shared" si="71"/>
        <v>#VALUE!</v>
      </c>
      <c r="BE37" s="10" t="e">
        <f t="shared" si="42"/>
        <v>#VALUE!</v>
      </c>
      <c r="BF37" s="10" t="e">
        <f t="shared" si="72"/>
        <v>#VALUE!</v>
      </c>
      <c r="BG37" s="10" t="e">
        <f t="shared" si="15"/>
        <v>#VALUE!</v>
      </c>
      <c r="BH37" s="10" t="e">
        <f t="shared" si="43"/>
        <v>#VALUE!</v>
      </c>
      <c r="BI37" s="10" t="e">
        <f t="shared" si="44"/>
        <v>#VALUE!</v>
      </c>
      <c r="BJ37" s="10" t="e">
        <f t="shared" si="45"/>
        <v>#VALUE!</v>
      </c>
      <c r="BK37" s="10" t="e">
        <f t="shared" si="73"/>
        <v>#VALUE!</v>
      </c>
      <c r="BL37" s="10" t="e">
        <f t="shared" si="16"/>
        <v>#VALUE!</v>
      </c>
      <c r="BM37" s="10" t="e">
        <f t="shared" si="74"/>
        <v>#VALUE!</v>
      </c>
      <c r="BP37" s="10" t="e">
        <f t="shared" si="46"/>
        <v>#VALUE!</v>
      </c>
      <c r="BQ37" s="10" t="e">
        <f t="shared" si="47"/>
        <v>#VALUE!</v>
      </c>
      <c r="BR37" s="10" t="e">
        <f t="shared" si="48"/>
        <v>#VALUE!</v>
      </c>
      <c r="BS37" s="10" t="e">
        <f t="shared" si="49"/>
        <v>#VALUE!</v>
      </c>
      <c r="BT37" s="10" t="e">
        <f t="shared" si="50"/>
        <v>#VALUE!</v>
      </c>
      <c r="BU37" s="10" t="e">
        <f t="shared" si="51"/>
        <v>#VALUE!</v>
      </c>
      <c r="BW37" s="10" t="e">
        <f t="shared" si="52"/>
        <v>#VALUE!</v>
      </c>
      <c r="BX37" s="10" t="e">
        <f t="shared" si="53"/>
        <v>#VALUE!</v>
      </c>
      <c r="BY37" s="10" t="e">
        <f t="shared" si="54"/>
        <v>#VALUE!</v>
      </c>
      <c r="BZ37" s="10" t="e">
        <f t="shared" si="55"/>
        <v>#VALUE!</v>
      </c>
      <c r="CA37" s="10" t="e">
        <f t="shared" si="56"/>
        <v>#VALUE!</v>
      </c>
      <c r="CB37" s="10" t="e">
        <f t="shared" si="57"/>
        <v>#VALUE!</v>
      </c>
      <c r="CD37" s="10" t="e">
        <f>MATCH(INDEX($BP$12:$BU$12,1,MATCH(BP37,$BP$15:$BU$15,0)),结果汇总!$AI$10:$AI$13,0)</f>
        <v>#VALUE!</v>
      </c>
      <c r="CE37" s="10" t="e">
        <f>MATCH(INDEX($BP$12:$BU$12,1,MATCH(BQ37,$BP$15:$BU$15,0)),结果汇总!$AI$10:$AI$13,0)</f>
        <v>#VALUE!</v>
      </c>
      <c r="CF37" s="10" t="e">
        <f>MATCH(INDEX($BP$12:$BU$12,1,MATCH(BR37,$BP$15:$BU$15,0)),结果汇总!$AI$10:$AI$13,0)</f>
        <v>#VALUE!</v>
      </c>
      <c r="CG37" s="10" t="e">
        <f>MATCH(INDEX($BP$12:$BU$12,1,MATCH(BS37,$BP$15:$BU$15,0)),结果汇总!$AI$10:$AI$13,0)</f>
        <v>#VALUE!</v>
      </c>
      <c r="CH37" s="10" t="e">
        <f>MATCH(INDEX($BP$12:$BU$12,1,MATCH(BT37,$BP$15:$BU$15,0)),结果汇总!$AI$10:$AI$13,0)</f>
        <v>#VALUE!</v>
      </c>
      <c r="CI37" s="10" t="e">
        <f>MATCH(INDEX($BP$12:$BU$12,1,MATCH(BU37,$BP$15:$BU$15,0)),结果汇总!$AI$10:$AI$13,0)</f>
        <v>#VALUE!</v>
      </c>
      <c r="CK37" s="10">
        <f t="shared" si="58"/>
        <v>0</v>
      </c>
      <c r="CL37" s="10">
        <f t="shared" si="58"/>
        <v>0</v>
      </c>
      <c r="CM37" s="10">
        <f t="shared" si="58"/>
        <v>0</v>
      </c>
      <c r="CN37" s="10">
        <f t="shared" si="58"/>
        <v>0</v>
      </c>
      <c r="CO37" s="10">
        <f t="shared" si="59"/>
        <v>0</v>
      </c>
      <c r="CP37" s="10">
        <f t="shared" si="59"/>
        <v>0</v>
      </c>
      <c r="CQ37" s="10">
        <f t="shared" si="59"/>
        <v>0</v>
      </c>
      <c r="CR37" s="10">
        <f t="shared" si="59"/>
        <v>0</v>
      </c>
      <c r="CS37" s="10">
        <f t="shared" si="60"/>
        <v>0</v>
      </c>
      <c r="CT37" s="10">
        <f t="shared" si="60"/>
        <v>0</v>
      </c>
      <c r="CU37" s="10">
        <f t="shared" si="60"/>
        <v>0</v>
      </c>
      <c r="CV37" s="10">
        <f t="shared" si="60"/>
        <v>0</v>
      </c>
      <c r="CW37" s="10">
        <f t="shared" si="61"/>
        <v>0</v>
      </c>
      <c r="CX37" s="10">
        <f t="shared" si="61"/>
        <v>0</v>
      </c>
      <c r="CY37" s="10">
        <f t="shared" si="61"/>
        <v>0</v>
      </c>
      <c r="CZ37" s="10">
        <f t="shared" si="61"/>
        <v>0</v>
      </c>
    </row>
    <row r="38" spans="4:104" x14ac:dyDescent="0.15">
      <c r="D38" s="10">
        <v>23</v>
      </c>
      <c r="E38" s="10" t="e">
        <f t="shared" si="21"/>
        <v>#VALUE!</v>
      </c>
      <c r="F38" s="10" t="e">
        <f t="shared" si="1"/>
        <v>#VALUE!</v>
      </c>
      <c r="G38" s="10" t="e">
        <f t="shared" si="2"/>
        <v>#VALUE!</v>
      </c>
      <c r="H38" s="10" t="e">
        <f t="shared" si="22"/>
        <v>#VALUE!</v>
      </c>
      <c r="I38" s="10" t="e">
        <f t="shared" si="3"/>
        <v>#VALUE!</v>
      </c>
      <c r="J38" s="10" t="e">
        <f t="shared" si="23"/>
        <v>#VALUE!</v>
      </c>
      <c r="K38" s="10" t="e">
        <f t="shared" si="4"/>
        <v>#VALUE!</v>
      </c>
      <c r="L38" s="10" t="e">
        <f t="shared" si="5"/>
        <v>#VALUE!</v>
      </c>
      <c r="M38" s="10" t="e">
        <f t="shared" si="24"/>
        <v>#VALUE!</v>
      </c>
      <c r="O38" s="10" t="e">
        <f t="shared" si="25"/>
        <v>#VALUE!</v>
      </c>
      <c r="P38" s="10" t="e">
        <f t="shared" si="6"/>
        <v>#VALUE!</v>
      </c>
      <c r="Q38" s="10" t="e">
        <f t="shared" si="7"/>
        <v>#VALUE!</v>
      </c>
      <c r="R38" s="10" t="e">
        <f t="shared" si="26"/>
        <v>#VALUE!</v>
      </c>
      <c r="S38" s="10" t="e">
        <f t="shared" si="27"/>
        <v>#VALUE!</v>
      </c>
      <c r="T38" s="10" t="e">
        <f t="shared" si="62"/>
        <v>#VALUE!</v>
      </c>
      <c r="U38" s="10" t="e">
        <f t="shared" si="63"/>
        <v>#VALUE!</v>
      </c>
      <c r="V38" s="10" t="e">
        <f t="shared" si="8"/>
        <v>#VALUE!</v>
      </c>
      <c r="W38" s="10" t="e">
        <f t="shared" si="28"/>
        <v>#VALUE!</v>
      </c>
      <c r="Y38" s="10" t="e">
        <f t="shared" si="29"/>
        <v>#VALUE!</v>
      </c>
      <c r="Z38" s="11" t="e">
        <f t="shared" si="30"/>
        <v>#VALUE!</v>
      </c>
      <c r="AA38" s="10" t="e">
        <f t="shared" si="9"/>
        <v>#VALUE!</v>
      </c>
      <c r="AB38" s="10" t="e">
        <f t="shared" si="31"/>
        <v>#VALUE!</v>
      </c>
      <c r="AC38" s="10" t="e">
        <f t="shared" si="32"/>
        <v>#VALUE!</v>
      </c>
      <c r="AD38" s="10" t="e">
        <f t="shared" si="64"/>
        <v>#VALUE!</v>
      </c>
      <c r="AE38" s="10" t="e">
        <f t="shared" si="65"/>
        <v>#VALUE!</v>
      </c>
      <c r="AF38" s="10" t="e">
        <f t="shared" si="10"/>
        <v>#VALUE!</v>
      </c>
      <c r="AG38" s="10" t="e">
        <f t="shared" si="33"/>
        <v>#VALUE!</v>
      </c>
      <c r="AI38" s="13"/>
      <c r="AK38" s="10" t="e">
        <f t="shared" si="34"/>
        <v>#VALUE!</v>
      </c>
      <c r="AL38" s="10" t="e">
        <f t="shared" si="66"/>
        <v>#VALUE!</v>
      </c>
      <c r="AM38" s="10" t="e">
        <f t="shared" si="11"/>
        <v>#VALUE!</v>
      </c>
      <c r="AN38" s="10" t="e">
        <f t="shared" si="35"/>
        <v>#VALUE!</v>
      </c>
      <c r="AO38" s="10" t="e">
        <f t="shared" si="36"/>
        <v>#VALUE!</v>
      </c>
      <c r="AP38" s="10" t="e">
        <f t="shared" si="37"/>
        <v>#VALUE!</v>
      </c>
      <c r="AQ38" s="10" t="e">
        <f t="shared" si="67"/>
        <v>#VALUE!</v>
      </c>
      <c r="AR38" s="10" t="e">
        <f t="shared" si="12"/>
        <v>#VALUE!</v>
      </c>
      <c r="AS38" s="10" t="e">
        <f t="shared" si="68"/>
        <v>#VALUE!</v>
      </c>
      <c r="AU38" s="10" t="e">
        <f t="shared" si="38"/>
        <v>#VALUE!</v>
      </c>
      <c r="AV38" s="10" t="e">
        <f t="shared" si="69"/>
        <v>#VALUE!</v>
      </c>
      <c r="AW38" s="10" t="e">
        <f t="shared" si="13"/>
        <v>#VALUE!</v>
      </c>
      <c r="AX38" s="10" t="e">
        <f t="shared" si="39"/>
        <v>#VALUE!</v>
      </c>
      <c r="AY38" s="10" t="e">
        <f t="shared" si="40"/>
        <v>#VALUE!</v>
      </c>
      <c r="AZ38" s="10" t="e">
        <f t="shared" si="41"/>
        <v>#VALUE!</v>
      </c>
      <c r="BA38" s="10" t="e">
        <f t="shared" si="70"/>
        <v>#VALUE!</v>
      </c>
      <c r="BB38" s="10" t="e">
        <f t="shared" si="14"/>
        <v>#VALUE!</v>
      </c>
      <c r="BC38" s="10" t="e">
        <f t="shared" si="71"/>
        <v>#VALUE!</v>
      </c>
      <c r="BE38" s="10" t="e">
        <f t="shared" si="42"/>
        <v>#VALUE!</v>
      </c>
      <c r="BF38" s="10" t="e">
        <f t="shared" si="72"/>
        <v>#VALUE!</v>
      </c>
      <c r="BG38" s="10" t="e">
        <f t="shared" si="15"/>
        <v>#VALUE!</v>
      </c>
      <c r="BH38" s="10" t="e">
        <f t="shared" si="43"/>
        <v>#VALUE!</v>
      </c>
      <c r="BI38" s="10" t="e">
        <f t="shared" si="44"/>
        <v>#VALUE!</v>
      </c>
      <c r="BJ38" s="10" t="e">
        <f t="shared" si="45"/>
        <v>#VALUE!</v>
      </c>
      <c r="BK38" s="10" t="e">
        <f t="shared" si="73"/>
        <v>#VALUE!</v>
      </c>
      <c r="BL38" s="10" t="e">
        <f t="shared" si="16"/>
        <v>#VALUE!</v>
      </c>
      <c r="BM38" s="10" t="e">
        <f t="shared" si="74"/>
        <v>#VALUE!</v>
      </c>
      <c r="BP38" s="10" t="e">
        <f t="shared" si="46"/>
        <v>#VALUE!</v>
      </c>
      <c r="BQ38" s="10" t="e">
        <f t="shared" si="47"/>
        <v>#VALUE!</v>
      </c>
      <c r="BR38" s="10" t="e">
        <f t="shared" si="48"/>
        <v>#VALUE!</v>
      </c>
      <c r="BS38" s="10" t="e">
        <f t="shared" si="49"/>
        <v>#VALUE!</v>
      </c>
      <c r="BT38" s="10" t="e">
        <f t="shared" si="50"/>
        <v>#VALUE!</v>
      </c>
      <c r="BU38" s="10" t="e">
        <f t="shared" si="51"/>
        <v>#VALUE!</v>
      </c>
      <c r="BW38" s="10" t="e">
        <f t="shared" si="52"/>
        <v>#VALUE!</v>
      </c>
      <c r="BX38" s="10" t="e">
        <f t="shared" si="53"/>
        <v>#VALUE!</v>
      </c>
      <c r="BY38" s="10" t="e">
        <f t="shared" si="54"/>
        <v>#VALUE!</v>
      </c>
      <c r="BZ38" s="10" t="e">
        <f t="shared" si="55"/>
        <v>#VALUE!</v>
      </c>
      <c r="CA38" s="10" t="e">
        <f t="shared" si="56"/>
        <v>#VALUE!</v>
      </c>
      <c r="CB38" s="10" t="e">
        <f t="shared" si="57"/>
        <v>#VALUE!</v>
      </c>
      <c r="CD38" s="10" t="e">
        <f>MATCH(INDEX($BP$12:$BU$12,1,MATCH(BP38,$BP$15:$BU$15,0)),结果汇总!$AI$10:$AI$13,0)</f>
        <v>#VALUE!</v>
      </c>
      <c r="CE38" s="10" t="e">
        <f>MATCH(INDEX($BP$12:$BU$12,1,MATCH(BQ38,$BP$15:$BU$15,0)),结果汇总!$AI$10:$AI$13,0)</f>
        <v>#VALUE!</v>
      </c>
      <c r="CF38" s="10" t="e">
        <f>MATCH(INDEX($BP$12:$BU$12,1,MATCH(BR38,$BP$15:$BU$15,0)),结果汇总!$AI$10:$AI$13,0)</f>
        <v>#VALUE!</v>
      </c>
      <c r="CG38" s="10" t="e">
        <f>MATCH(INDEX($BP$12:$BU$12,1,MATCH(BS38,$BP$15:$BU$15,0)),结果汇总!$AI$10:$AI$13,0)</f>
        <v>#VALUE!</v>
      </c>
      <c r="CH38" s="10" t="e">
        <f>MATCH(INDEX($BP$12:$BU$12,1,MATCH(BT38,$BP$15:$BU$15,0)),结果汇总!$AI$10:$AI$13,0)</f>
        <v>#VALUE!</v>
      </c>
      <c r="CI38" s="10" t="e">
        <f>MATCH(INDEX($BP$12:$BU$12,1,MATCH(BU38,$BP$15:$BU$15,0)),结果汇总!$AI$10:$AI$13,0)</f>
        <v>#VALUE!</v>
      </c>
      <c r="CK38" s="10">
        <f t="shared" si="58"/>
        <v>0</v>
      </c>
      <c r="CL38" s="10">
        <f t="shared" si="58"/>
        <v>0</v>
      </c>
      <c r="CM38" s="10">
        <f t="shared" si="58"/>
        <v>0</v>
      </c>
      <c r="CN38" s="10">
        <f t="shared" si="58"/>
        <v>0</v>
      </c>
      <c r="CO38" s="10">
        <f t="shared" si="59"/>
        <v>0</v>
      </c>
      <c r="CP38" s="10">
        <f t="shared" si="59"/>
        <v>0</v>
      </c>
      <c r="CQ38" s="10">
        <f t="shared" si="59"/>
        <v>0</v>
      </c>
      <c r="CR38" s="10">
        <f t="shared" si="59"/>
        <v>0</v>
      </c>
      <c r="CS38" s="10">
        <f t="shared" si="60"/>
        <v>0</v>
      </c>
      <c r="CT38" s="10">
        <f t="shared" si="60"/>
        <v>0</v>
      </c>
      <c r="CU38" s="10">
        <f t="shared" si="60"/>
        <v>0</v>
      </c>
      <c r="CV38" s="10">
        <f t="shared" si="60"/>
        <v>0</v>
      </c>
      <c r="CW38" s="10">
        <f t="shared" si="61"/>
        <v>0</v>
      </c>
      <c r="CX38" s="10">
        <f t="shared" si="61"/>
        <v>0</v>
      </c>
      <c r="CY38" s="10">
        <f t="shared" si="61"/>
        <v>0</v>
      </c>
      <c r="CZ38" s="10">
        <f t="shared" si="61"/>
        <v>0</v>
      </c>
    </row>
    <row r="39" spans="4:104" x14ac:dyDescent="0.15">
      <c r="D39" s="10">
        <v>24</v>
      </c>
      <c r="E39" s="10" t="e">
        <f t="shared" si="21"/>
        <v>#VALUE!</v>
      </c>
      <c r="F39" s="10" t="e">
        <f t="shared" si="1"/>
        <v>#VALUE!</v>
      </c>
      <c r="G39" s="10" t="e">
        <f t="shared" si="2"/>
        <v>#VALUE!</v>
      </c>
      <c r="H39" s="10" t="e">
        <f t="shared" si="22"/>
        <v>#VALUE!</v>
      </c>
      <c r="I39" s="10" t="e">
        <f t="shared" si="3"/>
        <v>#VALUE!</v>
      </c>
      <c r="J39" s="10" t="e">
        <f t="shared" si="23"/>
        <v>#VALUE!</v>
      </c>
      <c r="K39" s="10" t="e">
        <f t="shared" si="4"/>
        <v>#VALUE!</v>
      </c>
      <c r="L39" s="10" t="e">
        <f t="shared" si="5"/>
        <v>#VALUE!</v>
      </c>
      <c r="M39" s="10" t="e">
        <f t="shared" si="24"/>
        <v>#VALUE!</v>
      </c>
      <c r="O39" s="10" t="e">
        <f t="shared" si="25"/>
        <v>#VALUE!</v>
      </c>
      <c r="P39" s="10" t="e">
        <f t="shared" si="6"/>
        <v>#VALUE!</v>
      </c>
      <c r="Q39" s="10" t="e">
        <f t="shared" si="7"/>
        <v>#VALUE!</v>
      </c>
      <c r="R39" s="10" t="e">
        <f t="shared" si="26"/>
        <v>#VALUE!</v>
      </c>
      <c r="S39" s="10" t="e">
        <f t="shared" si="27"/>
        <v>#VALUE!</v>
      </c>
      <c r="T39" s="10" t="e">
        <f t="shared" si="62"/>
        <v>#VALUE!</v>
      </c>
      <c r="U39" s="10" t="e">
        <f t="shared" si="63"/>
        <v>#VALUE!</v>
      </c>
      <c r="V39" s="10" t="e">
        <f t="shared" si="8"/>
        <v>#VALUE!</v>
      </c>
      <c r="W39" s="10" t="e">
        <f t="shared" si="28"/>
        <v>#VALUE!</v>
      </c>
      <c r="Y39" s="10" t="e">
        <f t="shared" si="29"/>
        <v>#VALUE!</v>
      </c>
      <c r="Z39" s="11" t="e">
        <f t="shared" si="30"/>
        <v>#VALUE!</v>
      </c>
      <c r="AA39" s="10" t="e">
        <f t="shared" si="9"/>
        <v>#VALUE!</v>
      </c>
      <c r="AB39" s="10" t="e">
        <f t="shared" si="31"/>
        <v>#VALUE!</v>
      </c>
      <c r="AC39" s="10" t="e">
        <f t="shared" si="32"/>
        <v>#VALUE!</v>
      </c>
      <c r="AD39" s="10" t="e">
        <f t="shared" si="64"/>
        <v>#VALUE!</v>
      </c>
      <c r="AE39" s="10" t="e">
        <f t="shared" si="65"/>
        <v>#VALUE!</v>
      </c>
      <c r="AF39" s="10" t="e">
        <f t="shared" si="10"/>
        <v>#VALUE!</v>
      </c>
      <c r="AG39" s="10" t="e">
        <f t="shared" si="33"/>
        <v>#VALUE!</v>
      </c>
      <c r="AI39" s="13"/>
      <c r="AK39" s="10" t="e">
        <f t="shared" si="34"/>
        <v>#VALUE!</v>
      </c>
      <c r="AL39" s="10" t="e">
        <f t="shared" si="66"/>
        <v>#VALUE!</v>
      </c>
      <c r="AM39" s="10" t="e">
        <f t="shared" si="11"/>
        <v>#VALUE!</v>
      </c>
      <c r="AN39" s="10" t="e">
        <f t="shared" si="35"/>
        <v>#VALUE!</v>
      </c>
      <c r="AO39" s="10" t="e">
        <f t="shared" si="36"/>
        <v>#VALUE!</v>
      </c>
      <c r="AP39" s="10" t="e">
        <f t="shared" si="37"/>
        <v>#VALUE!</v>
      </c>
      <c r="AQ39" s="10" t="e">
        <f t="shared" si="67"/>
        <v>#VALUE!</v>
      </c>
      <c r="AR39" s="10" t="e">
        <f t="shared" si="12"/>
        <v>#VALUE!</v>
      </c>
      <c r="AS39" s="10" t="e">
        <f t="shared" si="68"/>
        <v>#VALUE!</v>
      </c>
      <c r="AU39" s="10" t="e">
        <f t="shared" si="38"/>
        <v>#VALUE!</v>
      </c>
      <c r="AV39" s="10" t="e">
        <f t="shared" si="69"/>
        <v>#VALUE!</v>
      </c>
      <c r="AW39" s="10" t="e">
        <f t="shared" si="13"/>
        <v>#VALUE!</v>
      </c>
      <c r="AX39" s="10" t="e">
        <f t="shared" si="39"/>
        <v>#VALUE!</v>
      </c>
      <c r="AY39" s="10" t="e">
        <f t="shared" si="40"/>
        <v>#VALUE!</v>
      </c>
      <c r="AZ39" s="10" t="e">
        <f t="shared" si="41"/>
        <v>#VALUE!</v>
      </c>
      <c r="BA39" s="10" t="e">
        <f t="shared" si="70"/>
        <v>#VALUE!</v>
      </c>
      <c r="BB39" s="10" t="e">
        <f t="shared" si="14"/>
        <v>#VALUE!</v>
      </c>
      <c r="BC39" s="10" t="e">
        <f t="shared" si="71"/>
        <v>#VALUE!</v>
      </c>
      <c r="BE39" s="10" t="e">
        <f t="shared" si="42"/>
        <v>#VALUE!</v>
      </c>
      <c r="BF39" s="10" t="e">
        <f t="shared" si="72"/>
        <v>#VALUE!</v>
      </c>
      <c r="BG39" s="10" t="e">
        <f t="shared" si="15"/>
        <v>#VALUE!</v>
      </c>
      <c r="BH39" s="10" t="e">
        <f t="shared" si="43"/>
        <v>#VALUE!</v>
      </c>
      <c r="BI39" s="10" t="e">
        <f t="shared" si="44"/>
        <v>#VALUE!</v>
      </c>
      <c r="BJ39" s="10" t="e">
        <f t="shared" si="45"/>
        <v>#VALUE!</v>
      </c>
      <c r="BK39" s="10" t="e">
        <f t="shared" si="73"/>
        <v>#VALUE!</v>
      </c>
      <c r="BL39" s="10" t="e">
        <f t="shared" si="16"/>
        <v>#VALUE!</v>
      </c>
      <c r="BM39" s="10" t="e">
        <f t="shared" si="74"/>
        <v>#VALUE!</v>
      </c>
      <c r="BP39" s="10" t="e">
        <f t="shared" si="46"/>
        <v>#VALUE!</v>
      </c>
      <c r="BQ39" s="10" t="e">
        <f t="shared" si="47"/>
        <v>#VALUE!</v>
      </c>
      <c r="BR39" s="10" t="e">
        <f t="shared" si="48"/>
        <v>#VALUE!</v>
      </c>
      <c r="BS39" s="10" t="e">
        <f t="shared" si="49"/>
        <v>#VALUE!</v>
      </c>
      <c r="BT39" s="10" t="e">
        <f t="shared" si="50"/>
        <v>#VALUE!</v>
      </c>
      <c r="BU39" s="10" t="e">
        <f t="shared" si="51"/>
        <v>#VALUE!</v>
      </c>
      <c r="BW39" s="10" t="e">
        <f t="shared" si="52"/>
        <v>#VALUE!</v>
      </c>
      <c r="BX39" s="10" t="e">
        <f t="shared" si="53"/>
        <v>#VALUE!</v>
      </c>
      <c r="BY39" s="10" t="e">
        <f t="shared" si="54"/>
        <v>#VALUE!</v>
      </c>
      <c r="BZ39" s="10" t="e">
        <f t="shared" si="55"/>
        <v>#VALUE!</v>
      </c>
      <c r="CA39" s="10" t="e">
        <f t="shared" si="56"/>
        <v>#VALUE!</v>
      </c>
      <c r="CB39" s="10" t="e">
        <f t="shared" si="57"/>
        <v>#VALUE!</v>
      </c>
      <c r="CD39" s="10" t="e">
        <f>MATCH(INDEX($BP$12:$BU$12,1,MATCH(BP39,$BP$15:$BU$15,0)),结果汇总!$AI$10:$AI$13,0)</f>
        <v>#VALUE!</v>
      </c>
      <c r="CE39" s="10" t="e">
        <f>MATCH(INDEX($BP$12:$BU$12,1,MATCH(BQ39,$BP$15:$BU$15,0)),结果汇总!$AI$10:$AI$13,0)</f>
        <v>#VALUE!</v>
      </c>
      <c r="CF39" s="10" t="e">
        <f>MATCH(INDEX($BP$12:$BU$12,1,MATCH(BR39,$BP$15:$BU$15,0)),结果汇总!$AI$10:$AI$13,0)</f>
        <v>#VALUE!</v>
      </c>
      <c r="CG39" s="10" t="e">
        <f>MATCH(INDEX($BP$12:$BU$12,1,MATCH(BS39,$BP$15:$BU$15,0)),结果汇总!$AI$10:$AI$13,0)</f>
        <v>#VALUE!</v>
      </c>
      <c r="CH39" s="10" t="e">
        <f>MATCH(INDEX($BP$12:$BU$12,1,MATCH(BT39,$BP$15:$BU$15,0)),结果汇总!$AI$10:$AI$13,0)</f>
        <v>#VALUE!</v>
      </c>
      <c r="CI39" s="10" t="e">
        <f>MATCH(INDEX($BP$12:$BU$12,1,MATCH(BU39,$BP$15:$BU$15,0)),结果汇总!$AI$10:$AI$13,0)</f>
        <v>#VALUE!</v>
      </c>
      <c r="CK39" s="10">
        <f t="shared" si="58"/>
        <v>0</v>
      </c>
      <c r="CL39" s="10">
        <f t="shared" si="58"/>
        <v>0</v>
      </c>
      <c r="CM39" s="10">
        <f t="shared" si="58"/>
        <v>0</v>
      </c>
      <c r="CN39" s="10">
        <f t="shared" si="58"/>
        <v>0</v>
      </c>
      <c r="CO39" s="10">
        <f t="shared" si="59"/>
        <v>0</v>
      </c>
      <c r="CP39" s="10">
        <f t="shared" si="59"/>
        <v>0</v>
      </c>
      <c r="CQ39" s="10">
        <f t="shared" si="59"/>
        <v>0</v>
      </c>
      <c r="CR39" s="10">
        <f t="shared" si="59"/>
        <v>0</v>
      </c>
      <c r="CS39" s="10">
        <f t="shared" si="60"/>
        <v>0</v>
      </c>
      <c r="CT39" s="10">
        <f t="shared" si="60"/>
        <v>0</v>
      </c>
      <c r="CU39" s="10">
        <f t="shared" si="60"/>
        <v>0</v>
      </c>
      <c r="CV39" s="10">
        <f t="shared" si="60"/>
        <v>0</v>
      </c>
      <c r="CW39" s="10">
        <f t="shared" si="61"/>
        <v>0</v>
      </c>
      <c r="CX39" s="10">
        <f t="shared" si="61"/>
        <v>0</v>
      </c>
      <c r="CY39" s="10">
        <f t="shared" si="61"/>
        <v>0</v>
      </c>
      <c r="CZ39" s="10">
        <f t="shared" si="61"/>
        <v>0</v>
      </c>
    </row>
    <row r="40" spans="4:104" x14ac:dyDescent="0.15">
      <c r="D40" s="10">
        <v>25</v>
      </c>
      <c r="E40" s="10" t="e">
        <f t="shared" si="21"/>
        <v>#VALUE!</v>
      </c>
      <c r="F40" s="10" t="e">
        <f t="shared" si="1"/>
        <v>#VALUE!</v>
      </c>
      <c r="G40" s="10" t="e">
        <f t="shared" si="2"/>
        <v>#VALUE!</v>
      </c>
      <c r="H40" s="10" t="e">
        <f t="shared" si="22"/>
        <v>#VALUE!</v>
      </c>
      <c r="I40" s="10" t="e">
        <f t="shared" si="3"/>
        <v>#VALUE!</v>
      </c>
      <c r="J40" s="10" t="e">
        <f t="shared" si="23"/>
        <v>#VALUE!</v>
      </c>
      <c r="K40" s="10" t="e">
        <f t="shared" si="4"/>
        <v>#VALUE!</v>
      </c>
      <c r="L40" s="10" t="e">
        <f t="shared" si="5"/>
        <v>#VALUE!</v>
      </c>
      <c r="M40" s="10" t="e">
        <f t="shared" si="24"/>
        <v>#VALUE!</v>
      </c>
      <c r="O40" s="10" t="e">
        <f t="shared" si="25"/>
        <v>#VALUE!</v>
      </c>
      <c r="P40" s="10" t="e">
        <f t="shared" si="6"/>
        <v>#VALUE!</v>
      </c>
      <c r="Q40" s="10" t="e">
        <f t="shared" si="7"/>
        <v>#VALUE!</v>
      </c>
      <c r="R40" s="10" t="e">
        <f t="shared" si="26"/>
        <v>#VALUE!</v>
      </c>
      <c r="S40" s="10" t="e">
        <f t="shared" si="27"/>
        <v>#VALUE!</v>
      </c>
      <c r="T40" s="10" t="e">
        <f t="shared" si="62"/>
        <v>#VALUE!</v>
      </c>
      <c r="U40" s="10" t="e">
        <f t="shared" si="63"/>
        <v>#VALUE!</v>
      </c>
      <c r="V40" s="10" t="e">
        <f t="shared" si="8"/>
        <v>#VALUE!</v>
      </c>
      <c r="W40" s="10" t="e">
        <f t="shared" si="28"/>
        <v>#VALUE!</v>
      </c>
      <c r="Y40" s="10" t="e">
        <f t="shared" si="29"/>
        <v>#VALUE!</v>
      </c>
      <c r="Z40" s="11" t="e">
        <f t="shared" si="30"/>
        <v>#VALUE!</v>
      </c>
      <c r="AA40" s="10" t="e">
        <f t="shared" si="9"/>
        <v>#VALUE!</v>
      </c>
      <c r="AB40" s="10" t="e">
        <f t="shared" si="31"/>
        <v>#VALUE!</v>
      </c>
      <c r="AC40" s="10" t="e">
        <f t="shared" si="32"/>
        <v>#VALUE!</v>
      </c>
      <c r="AD40" s="10" t="e">
        <f t="shared" si="64"/>
        <v>#VALUE!</v>
      </c>
      <c r="AE40" s="10" t="e">
        <f t="shared" si="65"/>
        <v>#VALUE!</v>
      </c>
      <c r="AF40" s="10" t="e">
        <f t="shared" si="10"/>
        <v>#VALUE!</v>
      </c>
      <c r="AG40" s="10" t="e">
        <f t="shared" si="33"/>
        <v>#VALUE!</v>
      </c>
      <c r="AI40" s="13"/>
      <c r="AK40" s="10" t="e">
        <f t="shared" si="34"/>
        <v>#VALUE!</v>
      </c>
      <c r="AL40" s="10" t="e">
        <f t="shared" si="66"/>
        <v>#VALUE!</v>
      </c>
      <c r="AM40" s="10" t="e">
        <f t="shared" si="11"/>
        <v>#VALUE!</v>
      </c>
      <c r="AN40" s="10" t="e">
        <f t="shared" si="35"/>
        <v>#VALUE!</v>
      </c>
      <c r="AO40" s="10" t="e">
        <f t="shared" si="36"/>
        <v>#VALUE!</v>
      </c>
      <c r="AP40" s="10" t="e">
        <f t="shared" si="37"/>
        <v>#VALUE!</v>
      </c>
      <c r="AQ40" s="10" t="e">
        <f t="shared" si="67"/>
        <v>#VALUE!</v>
      </c>
      <c r="AR40" s="10" t="e">
        <f t="shared" si="12"/>
        <v>#VALUE!</v>
      </c>
      <c r="AS40" s="10" t="e">
        <f t="shared" si="68"/>
        <v>#VALUE!</v>
      </c>
      <c r="AU40" s="10" t="e">
        <f t="shared" si="38"/>
        <v>#VALUE!</v>
      </c>
      <c r="AV40" s="10" t="e">
        <f t="shared" si="69"/>
        <v>#VALUE!</v>
      </c>
      <c r="AW40" s="10" t="e">
        <f t="shared" si="13"/>
        <v>#VALUE!</v>
      </c>
      <c r="AX40" s="10" t="e">
        <f t="shared" si="39"/>
        <v>#VALUE!</v>
      </c>
      <c r="AY40" s="10" t="e">
        <f t="shared" si="40"/>
        <v>#VALUE!</v>
      </c>
      <c r="AZ40" s="10" t="e">
        <f t="shared" si="41"/>
        <v>#VALUE!</v>
      </c>
      <c r="BA40" s="10" t="e">
        <f t="shared" si="70"/>
        <v>#VALUE!</v>
      </c>
      <c r="BB40" s="10" t="e">
        <f t="shared" si="14"/>
        <v>#VALUE!</v>
      </c>
      <c r="BC40" s="10" t="e">
        <f t="shared" si="71"/>
        <v>#VALUE!</v>
      </c>
      <c r="BE40" s="10" t="e">
        <f t="shared" si="42"/>
        <v>#VALUE!</v>
      </c>
      <c r="BF40" s="10" t="e">
        <f t="shared" si="72"/>
        <v>#VALUE!</v>
      </c>
      <c r="BG40" s="10" t="e">
        <f t="shared" si="15"/>
        <v>#VALUE!</v>
      </c>
      <c r="BH40" s="10" t="e">
        <f t="shared" si="43"/>
        <v>#VALUE!</v>
      </c>
      <c r="BI40" s="10" t="e">
        <f t="shared" si="44"/>
        <v>#VALUE!</v>
      </c>
      <c r="BJ40" s="10" t="e">
        <f t="shared" si="45"/>
        <v>#VALUE!</v>
      </c>
      <c r="BK40" s="10" t="e">
        <f t="shared" si="73"/>
        <v>#VALUE!</v>
      </c>
      <c r="BL40" s="10" t="e">
        <f t="shared" si="16"/>
        <v>#VALUE!</v>
      </c>
      <c r="BM40" s="10" t="e">
        <f t="shared" si="74"/>
        <v>#VALUE!</v>
      </c>
      <c r="BP40" s="10" t="e">
        <f t="shared" si="46"/>
        <v>#VALUE!</v>
      </c>
      <c r="BQ40" s="10" t="e">
        <f t="shared" si="47"/>
        <v>#VALUE!</v>
      </c>
      <c r="BR40" s="10" t="e">
        <f t="shared" si="48"/>
        <v>#VALUE!</v>
      </c>
      <c r="BS40" s="10" t="e">
        <f t="shared" si="49"/>
        <v>#VALUE!</v>
      </c>
      <c r="BT40" s="10" t="e">
        <f t="shared" si="50"/>
        <v>#VALUE!</v>
      </c>
      <c r="BU40" s="10" t="e">
        <f t="shared" si="51"/>
        <v>#VALUE!</v>
      </c>
      <c r="BW40" s="10" t="e">
        <f t="shared" si="52"/>
        <v>#VALUE!</v>
      </c>
      <c r="BX40" s="10" t="e">
        <f t="shared" si="53"/>
        <v>#VALUE!</v>
      </c>
      <c r="BY40" s="10" t="e">
        <f t="shared" si="54"/>
        <v>#VALUE!</v>
      </c>
      <c r="BZ40" s="10" t="e">
        <f t="shared" si="55"/>
        <v>#VALUE!</v>
      </c>
      <c r="CA40" s="10" t="e">
        <f t="shared" si="56"/>
        <v>#VALUE!</v>
      </c>
      <c r="CB40" s="10" t="e">
        <f t="shared" si="57"/>
        <v>#VALUE!</v>
      </c>
      <c r="CD40" s="10" t="e">
        <f>MATCH(INDEX($BP$12:$BU$12,1,MATCH(BP40,$BP$15:$BU$15,0)),结果汇总!$AI$10:$AI$13,0)</f>
        <v>#VALUE!</v>
      </c>
      <c r="CE40" s="10" t="e">
        <f>MATCH(INDEX($BP$12:$BU$12,1,MATCH(BQ40,$BP$15:$BU$15,0)),结果汇总!$AI$10:$AI$13,0)</f>
        <v>#VALUE!</v>
      </c>
      <c r="CF40" s="10" t="e">
        <f>MATCH(INDEX($BP$12:$BU$12,1,MATCH(BR40,$BP$15:$BU$15,0)),结果汇总!$AI$10:$AI$13,0)</f>
        <v>#VALUE!</v>
      </c>
      <c r="CG40" s="10" t="e">
        <f>MATCH(INDEX($BP$12:$BU$12,1,MATCH(BS40,$BP$15:$BU$15,0)),结果汇总!$AI$10:$AI$13,0)</f>
        <v>#VALUE!</v>
      </c>
      <c r="CH40" s="10" t="e">
        <f>MATCH(INDEX($BP$12:$BU$12,1,MATCH(BT40,$BP$15:$BU$15,0)),结果汇总!$AI$10:$AI$13,0)</f>
        <v>#VALUE!</v>
      </c>
      <c r="CI40" s="10" t="e">
        <f>MATCH(INDEX($BP$12:$BU$12,1,MATCH(BU40,$BP$15:$BU$15,0)),结果汇总!$AI$10:$AI$13,0)</f>
        <v>#VALUE!</v>
      </c>
      <c r="CK40" s="10">
        <f t="shared" si="58"/>
        <v>0</v>
      </c>
      <c r="CL40" s="10">
        <f t="shared" si="58"/>
        <v>0</v>
      </c>
      <c r="CM40" s="10">
        <f t="shared" si="58"/>
        <v>0</v>
      </c>
      <c r="CN40" s="10">
        <f t="shared" si="58"/>
        <v>0</v>
      </c>
      <c r="CO40" s="10">
        <f t="shared" si="59"/>
        <v>0</v>
      </c>
      <c r="CP40" s="10">
        <f t="shared" si="59"/>
        <v>0</v>
      </c>
      <c r="CQ40" s="10">
        <f t="shared" si="59"/>
        <v>0</v>
      </c>
      <c r="CR40" s="10">
        <f t="shared" si="59"/>
        <v>0</v>
      </c>
      <c r="CS40" s="10">
        <f t="shared" si="60"/>
        <v>0</v>
      </c>
      <c r="CT40" s="10">
        <f t="shared" si="60"/>
        <v>0</v>
      </c>
      <c r="CU40" s="10">
        <f t="shared" si="60"/>
        <v>0</v>
      </c>
      <c r="CV40" s="10">
        <f t="shared" si="60"/>
        <v>0</v>
      </c>
      <c r="CW40" s="10">
        <f t="shared" si="61"/>
        <v>0</v>
      </c>
      <c r="CX40" s="10">
        <f t="shared" si="61"/>
        <v>0</v>
      </c>
      <c r="CY40" s="10">
        <f t="shared" si="61"/>
        <v>0</v>
      </c>
      <c r="CZ40" s="10">
        <f t="shared" si="61"/>
        <v>0</v>
      </c>
    </row>
    <row r="41" spans="4:104" x14ac:dyDescent="0.15">
      <c r="D41" s="10">
        <v>26</v>
      </c>
      <c r="E41" s="10" t="e">
        <f t="shared" si="21"/>
        <v>#VALUE!</v>
      </c>
      <c r="F41" s="10" t="e">
        <f t="shared" si="1"/>
        <v>#VALUE!</v>
      </c>
      <c r="G41" s="10" t="e">
        <f t="shared" si="2"/>
        <v>#VALUE!</v>
      </c>
      <c r="H41" s="10" t="e">
        <f t="shared" si="22"/>
        <v>#VALUE!</v>
      </c>
      <c r="I41" s="10" t="e">
        <f t="shared" si="3"/>
        <v>#VALUE!</v>
      </c>
      <c r="J41" s="10" t="e">
        <f t="shared" si="23"/>
        <v>#VALUE!</v>
      </c>
      <c r="K41" s="10" t="e">
        <f t="shared" si="4"/>
        <v>#VALUE!</v>
      </c>
      <c r="L41" s="10" t="e">
        <f t="shared" si="5"/>
        <v>#VALUE!</v>
      </c>
      <c r="M41" s="10" t="e">
        <f t="shared" si="24"/>
        <v>#VALUE!</v>
      </c>
      <c r="O41" s="10" t="e">
        <f t="shared" si="25"/>
        <v>#VALUE!</v>
      </c>
      <c r="P41" s="10" t="e">
        <f t="shared" si="6"/>
        <v>#VALUE!</v>
      </c>
      <c r="Q41" s="10" t="e">
        <f t="shared" si="7"/>
        <v>#VALUE!</v>
      </c>
      <c r="R41" s="10" t="e">
        <f t="shared" si="26"/>
        <v>#VALUE!</v>
      </c>
      <c r="S41" s="10" t="e">
        <f t="shared" si="27"/>
        <v>#VALUE!</v>
      </c>
      <c r="T41" s="10" t="e">
        <f t="shared" si="62"/>
        <v>#VALUE!</v>
      </c>
      <c r="U41" s="10" t="e">
        <f t="shared" si="63"/>
        <v>#VALUE!</v>
      </c>
      <c r="V41" s="10" t="e">
        <f t="shared" si="8"/>
        <v>#VALUE!</v>
      </c>
      <c r="W41" s="10" t="e">
        <f t="shared" si="28"/>
        <v>#VALUE!</v>
      </c>
      <c r="Y41" s="10" t="e">
        <f t="shared" si="29"/>
        <v>#VALUE!</v>
      </c>
      <c r="Z41" s="11" t="e">
        <f t="shared" si="30"/>
        <v>#VALUE!</v>
      </c>
      <c r="AA41" s="10" t="e">
        <f t="shared" si="9"/>
        <v>#VALUE!</v>
      </c>
      <c r="AB41" s="10" t="e">
        <f t="shared" si="31"/>
        <v>#VALUE!</v>
      </c>
      <c r="AC41" s="10" t="e">
        <f t="shared" si="32"/>
        <v>#VALUE!</v>
      </c>
      <c r="AD41" s="10" t="e">
        <f t="shared" si="64"/>
        <v>#VALUE!</v>
      </c>
      <c r="AE41" s="10" t="e">
        <f t="shared" si="65"/>
        <v>#VALUE!</v>
      </c>
      <c r="AF41" s="10" t="e">
        <f t="shared" si="10"/>
        <v>#VALUE!</v>
      </c>
      <c r="AG41" s="10" t="e">
        <f t="shared" si="33"/>
        <v>#VALUE!</v>
      </c>
      <c r="AI41" s="13"/>
      <c r="AK41" s="10" t="e">
        <f t="shared" si="34"/>
        <v>#VALUE!</v>
      </c>
      <c r="AL41" s="10" t="e">
        <f t="shared" si="66"/>
        <v>#VALUE!</v>
      </c>
      <c r="AM41" s="10" t="e">
        <f t="shared" si="11"/>
        <v>#VALUE!</v>
      </c>
      <c r="AN41" s="10" t="e">
        <f t="shared" si="35"/>
        <v>#VALUE!</v>
      </c>
      <c r="AO41" s="10" t="e">
        <f t="shared" si="36"/>
        <v>#VALUE!</v>
      </c>
      <c r="AP41" s="10" t="e">
        <f t="shared" si="37"/>
        <v>#VALUE!</v>
      </c>
      <c r="AQ41" s="10" t="e">
        <f t="shared" si="67"/>
        <v>#VALUE!</v>
      </c>
      <c r="AR41" s="10" t="e">
        <f t="shared" si="12"/>
        <v>#VALUE!</v>
      </c>
      <c r="AS41" s="10" t="e">
        <f t="shared" si="68"/>
        <v>#VALUE!</v>
      </c>
      <c r="AU41" s="10" t="e">
        <f t="shared" si="38"/>
        <v>#VALUE!</v>
      </c>
      <c r="AV41" s="10" t="e">
        <f t="shared" si="69"/>
        <v>#VALUE!</v>
      </c>
      <c r="AW41" s="10" t="e">
        <f t="shared" si="13"/>
        <v>#VALUE!</v>
      </c>
      <c r="AX41" s="10" t="e">
        <f t="shared" si="39"/>
        <v>#VALUE!</v>
      </c>
      <c r="AY41" s="10" t="e">
        <f t="shared" si="40"/>
        <v>#VALUE!</v>
      </c>
      <c r="AZ41" s="10" t="e">
        <f t="shared" si="41"/>
        <v>#VALUE!</v>
      </c>
      <c r="BA41" s="10" t="e">
        <f t="shared" si="70"/>
        <v>#VALUE!</v>
      </c>
      <c r="BB41" s="10" t="e">
        <f t="shared" si="14"/>
        <v>#VALUE!</v>
      </c>
      <c r="BC41" s="10" t="e">
        <f t="shared" si="71"/>
        <v>#VALUE!</v>
      </c>
      <c r="BE41" s="10" t="e">
        <f t="shared" si="42"/>
        <v>#VALUE!</v>
      </c>
      <c r="BF41" s="10" t="e">
        <f t="shared" si="72"/>
        <v>#VALUE!</v>
      </c>
      <c r="BG41" s="10" t="e">
        <f t="shared" si="15"/>
        <v>#VALUE!</v>
      </c>
      <c r="BH41" s="10" t="e">
        <f t="shared" si="43"/>
        <v>#VALUE!</v>
      </c>
      <c r="BI41" s="10" t="e">
        <f t="shared" si="44"/>
        <v>#VALUE!</v>
      </c>
      <c r="BJ41" s="10" t="e">
        <f t="shared" si="45"/>
        <v>#VALUE!</v>
      </c>
      <c r="BK41" s="10" t="e">
        <f t="shared" si="73"/>
        <v>#VALUE!</v>
      </c>
      <c r="BL41" s="10" t="e">
        <f t="shared" si="16"/>
        <v>#VALUE!</v>
      </c>
      <c r="BM41" s="10" t="e">
        <f t="shared" si="74"/>
        <v>#VALUE!</v>
      </c>
      <c r="BP41" s="10" t="e">
        <f t="shared" si="46"/>
        <v>#VALUE!</v>
      </c>
      <c r="BQ41" s="10" t="e">
        <f t="shared" si="47"/>
        <v>#VALUE!</v>
      </c>
      <c r="BR41" s="10" t="e">
        <f t="shared" si="48"/>
        <v>#VALUE!</v>
      </c>
      <c r="BS41" s="10" t="e">
        <f t="shared" si="49"/>
        <v>#VALUE!</v>
      </c>
      <c r="BT41" s="10" t="e">
        <f t="shared" si="50"/>
        <v>#VALUE!</v>
      </c>
      <c r="BU41" s="10" t="e">
        <f t="shared" si="51"/>
        <v>#VALUE!</v>
      </c>
      <c r="BW41" s="10" t="e">
        <f t="shared" si="52"/>
        <v>#VALUE!</v>
      </c>
      <c r="BX41" s="10" t="e">
        <f t="shared" si="53"/>
        <v>#VALUE!</v>
      </c>
      <c r="BY41" s="10" t="e">
        <f t="shared" si="54"/>
        <v>#VALUE!</v>
      </c>
      <c r="BZ41" s="10" t="e">
        <f t="shared" si="55"/>
        <v>#VALUE!</v>
      </c>
      <c r="CA41" s="10" t="e">
        <f t="shared" si="56"/>
        <v>#VALUE!</v>
      </c>
      <c r="CB41" s="10" t="e">
        <f t="shared" si="57"/>
        <v>#VALUE!</v>
      </c>
      <c r="CD41" s="10" t="e">
        <f>MATCH(INDEX($BP$12:$BU$12,1,MATCH(BP41,$BP$15:$BU$15,0)),结果汇总!$AI$10:$AI$13,0)</f>
        <v>#VALUE!</v>
      </c>
      <c r="CE41" s="10" t="e">
        <f>MATCH(INDEX($BP$12:$BU$12,1,MATCH(BQ41,$BP$15:$BU$15,0)),结果汇总!$AI$10:$AI$13,0)</f>
        <v>#VALUE!</v>
      </c>
      <c r="CF41" s="10" t="e">
        <f>MATCH(INDEX($BP$12:$BU$12,1,MATCH(BR41,$BP$15:$BU$15,0)),结果汇总!$AI$10:$AI$13,0)</f>
        <v>#VALUE!</v>
      </c>
      <c r="CG41" s="10" t="e">
        <f>MATCH(INDEX($BP$12:$BU$12,1,MATCH(BS41,$BP$15:$BU$15,0)),结果汇总!$AI$10:$AI$13,0)</f>
        <v>#VALUE!</v>
      </c>
      <c r="CH41" s="10" t="e">
        <f>MATCH(INDEX($BP$12:$BU$12,1,MATCH(BT41,$BP$15:$BU$15,0)),结果汇总!$AI$10:$AI$13,0)</f>
        <v>#VALUE!</v>
      </c>
      <c r="CI41" s="10" t="e">
        <f>MATCH(INDEX($BP$12:$BU$12,1,MATCH(BU41,$BP$15:$BU$15,0)),结果汇总!$AI$10:$AI$13,0)</f>
        <v>#VALUE!</v>
      </c>
      <c r="CK41" s="10">
        <f t="shared" si="58"/>
        <v>0</v>
      </c>
      <c r="CL41" s="10">
        <f t="shared" si="58"/>
        <v>0</v>
      </c>
      <c r="CM41" s="10">
        <f t="shared" si="58"/>
        <v>0</v>
      </c>
      <c r="CN41" s="10">
        <f t="shared" si="58"/>
        <v>0</v>
      </c>
      <c r="CO41" s="10">
        <f t="shared" si="59"/>
        <v>0</v>
      </c>
      <c r="CP41" s="10">
        <f t="shared" si="59"/>
        <v>0</v>
      </c>
      <c r="CQ41" s="10">
        <f t="shared" si="59"/>
        <v>0</v>
      </c>
      <c r="CR41" s="10">
        <f t="shared" si="59"/>
        <v>0</v>
      </c>
      <c r="CS41" s="10">
        <f t="shared" si="60"/>
        <v>0</v>
      </c>
      <c r="CT41" s="10">
        <f t="shared" si="60"/>
        <v>0</v>
      </c>
      <c r="CU41" s="10">
        <f t="shared" si="60"/>
        <v>0</v>
      </c>
      <c r="CV41" s="10">
        <f t="shared" si="60"/>
        <v>0</v>
      </c>
      <c r="CW41" s="10">
        <f t="shared" si="61"/>
        <v>0</v>
      </c>
      <c r="CX41" s="10">
        <f t="shared" si="61"/>
        <v>0</v>
      </c>
      <c r="CY41" s="10">
        <f t="shared" si="61"/>
        <v>0</v>
      </c>
      <c r="CZ41" s="10">
        <f t="shared" si="61"/>
        <v>0</v>
      </c>
    </row>
    <row r="42" spans="4:104" x14ac:dyDescent="0.15">
      <c r="D42" s="10">
        <v>27</v>
      </c>
      <c r="E42" s="10" t="e">
        <f t="shared" si="21"/>
        <v>#VALUE!</v>
      </c>
      <c r="F42" s="10" t="e">
        <f t="shared" si="1"/>
        <v>#VALUE!</v>
      </c>
      <c r="G42" s="10" t="e">
        <f t="shared" si="2"/>
        <v>#VALUE!</v>
      </c>
      <c r="H42" s="10" t="e">
        <f t="shared" si="22"/>
        <v>#VALUE!</v>
      </c>
      <c r="I42" s="10" t="e">
        <f t="shared" si="3"/>
        <v>#VALUE!</v>
      </c>
      <c r="J42" s="10" t="e">
        <f t="shared" si="23"/>
        <v>#VALUE!</v>
      </c>
      <c r="K42" s="10" t="e">
        <f t="shared" si="4"/>
        <v>#VALUE!</v>
      </c>
      <c r="L42" s="10" t="e">
        <f t="shared" si="5"/>
        <v>#VALUE!</v>
      </c>
      <c r="M42" s="10" t="e">
        <f t="shared" si="24"/>
        <v>#VALUE!</v>
      </c>
      <c r="O42" s="10" t="e">
        <f t="shared" si="25"/>
        <v>#VALUE!</v>
      </c>
      <c r="P42" s="10" t="e">
        <f t="shared" si="6"/>
        <v>#VALUE!</v>
      </c>
      <c r="Q42" s="10" t="e">
        <f t="shared" si="7"/>
        <v>#VALUE!</v>
      </c>
      <c r="R42" s="10" t="e">
        <f t="shared" si="26"/>
        <v>#VALUE!</v>
      </c>
      <c r="S42" s="10" t="e">
        <f t="shared" si="27"/>
        <v>#VALUE!</v>
      </c>
      <c r="T42" s="10" t="e">
        <f t="shared" si="62"/>
        <v>#VALUE!</v>
      </c>
      <c r="U42" s="10" t="e">
        <f t="shared" si="63"/>
        <v>#VALUE!</v>
      </c>
      <c r="V42" s="10" t="e">
        <f t="shared" si="8"/>
        <v>#VALUE!</v>
      </c>
      <c r="W42" s="10" t="e">
        <f t="shared" si="28"/>
        <v>#VALUE!</v>
      </c>
      <c r="Y42" s="10" t="e">
        <f t="shared" si="29"/>
        <v>#VALUE!</v>
      </c>
      <c r="Z42" s="11" t="e">
        <f t="shared" si="30"/>
        <v>#VALUE!</v>
      </c>
      <c r="AA42" s="10" t="e">
        <f t="shared" si="9"/>
        <v>#VALUE!</v>
      </c>
      <c r="AB42" s="10" t="e">
        <f t="shared" si="31"/>
        <v>#VALUE!</v>
      </c>
      <c r="AC42" s="10" t="e">
        <f t="shared" si="32"/>
        <v>#VALUE!</v>
      </c>
      <c r="AD42" s="10" t="e">
        <f t="shared" si="64"/>
        <v>#VALUE!</v>
      </c>
      <c r="AE42" s="10" t="e">
        <f t="shared" si="65"/>
        <v>#VALUE!</v>
      </c>
      <c r="AF42" s="10" t="e">
        <f t="shared" si="10"/>
        <v>#VALUE!</v>
      </c>
      <c r="AG42" s="10" t="e">
        <f t="shared" si="33"/>
        <v>#VALUE!</v>
      </c>
      <c r="AI42" s="13"/>
      <c r="AK42" s="10" t="e">
        <f t="shared" si="34"/>
        <v>#VALUE!</v>
      </c>
      <c r="AL42" s="10" t="e">
        <f t="shared" si="66"/>
        <v>#VALUE!</v>
      </c>
      <c r="AM42" s="10" t="e">
        <f t="shared" si="11"/>
        <v>#VALUE!</v>
      </c>
      <c r="AN42" s="10" t="e">
        <f t="shared" si="35"/>
        <v>#VALUE!</v>
      </c>
      <c r="AO42" s="10" t="e">
        <f t="shared" si="36"/>
        <v>#VALUE!</v>
      </c>
      <c r="AP42" s="10" t="e">
        <f t="shared" si="37"/>
        <v>#VALUE!</v>
      </c>
      <c r="AQ42" s="10" t="e">
        <f t="shared" si="67"/>
        <v>#VALUE!</v>
      </c>
      <c r="AR42" s="10" t="e">
        <f t="shared" si="12"/>
        <v>#VALUE!</v>
      </c>
      <c r="AS42" s="10" t="e">
        <f t="shared" si="68"/>
        <v>#VALUE!</v>
      </c>
      <c r="AU42" s="10" t="e">
        <f t="shared" si="38"/>
        <v>#VALUE!</v>
      </c>
      <c r="AV42" s="10" t="e">
        <f t="shared" si="69"/>
        <v>#VALUE!</v>
      </c>
      <c r="AW42" s="10" t="e">
        <f t="shared" si="13"/>
        <v>#VALUE!</v>
      </c>
      <c r="AX42" s="10" t="e">
        <f t="shared" si="39"/>
        <v>#VALUE!</v>
      </c>
      <c r="AY42" s="10" t="e">
        <f t="shared" si="40"/>
        <v>#VALUE!</v>
      </c>
      <c r="AZ42" s="10" t="e">
        <f t="shared" si="41"/>
        <v>#VALUE!</v>
      </c>
      <c r="BA42" s="10" t="e">
        <f t="shared" si="70"/>
        <v>#VALUE!</v>
      </c>
      <c r="BB42" s="10" t="e">
        <f t="shared" si="14"/>
        <v>#VALUE!</v>
      </c>
      <c r="BC42" s="10" t="e">
        <f t="shared" si="71"/>
        <v>#VALUE!</v>
      </c>
      <c r="BE42" s="10" t="e">
        <f t="shared" si="42"/>
        <v>#VALUE!</v>
      </c>
      <c r="BF42" s="10" t="e">
        <f t="shared" si="72"/>
        <v>#VALUE!</v>
      </c>
      <c r="BG42" s="10" t="e">
        <f t="shared" si="15"/>
        <v>#VALUE!</v>
      </c>
      <c r="BH42" s="10" t="e">
        <f t="shared" si="43"/>
        <v>#VALUE!</v>
      </c>
      <c r="BI42" s="10" t="e">
        <f t="shared" si="44"/>
        <v>#VALUE!</v>
      </c>
      <c r="BJ42" s="10" t="e">
        <f t="shared" si="45"/>
        <v>#VALUE!</v>
      </c>
      <c r="BK42" s="10" t="e">
        <f t="shared" si="73"/>
        <v>#VALUE!</v>
      </c>
      <c r="BL42" s="10" t="e">
        <f t="shared" si="16"/>
        <v>#VALUE!</v>
      </c>
      <c r="BM42" s="10" t="e">
        <f t="shared" si="74"/>
        <v>#VALUE!</v>
      </c>
      <c r="BP42" s="10" t="e">
        <f t="shared" si="46"/>
        <v>#VALUE!</v>
      </c>
      <c r="BQ42" s="10" t="e">
        <f t="shared" si="47"/>
        <v>#VALUE!</v>
      </c>
      <c r="BR42" s="10" t="e">
        <f t="shared" si="48"/>
        <v>#VALUE!</v>
      </c>
      <c r="BS42" s="10" t="e">
        <f t="shared" si="49"/>
        <v>#VALUE!</v>
      </c>
      <c r="BT42" s="10" t="e">
        <f t="shared" si="50"/>
        <v>#VALUE!</v>
      </c>
      <c r="BU42" s="10" t="e">
        <f t="shared" si="51"/>
        <v>#VALUE!</v>
      </c>
      <c r="BW42" s="10" t="e">
        <f t="shared" si="52"/>
        <v>#VALUE!</v>
      </c>
      <c r="BX42" s="10" t="e">
        <f t="shared" si="53"/>
        <v>#VALUE!</v>
      </c>
      <c r="BY42" s="10" t="e">
        <f t="shared" si="54"/>
        <v>#VALUE!</v>
      </c>
      <c r="BZ42" s="10" t="e">
        <f t="shared" si="55"/>
        <v>#VALUE!</v>
      </c>
      <c r="CA42" s="10" t="e">
        <f t="shared" si="56"/>
        <v>#VALUE!</v>
      </c>
      <c r="CB42" s="10" t="e">
        <f t="shared" si="57"/>
        <v>#VALUE!</v>
      </c>
      <c r="CD42" s="10" t="e">
        <f>MATCH(INDEX($BP$12:$BU$12,1,MATCH(BP42,$BP$15:$BU$15,0)),结果汇总!$AI$10:$AI$13,0)</f>
        <v>#VALUE!</v>
      </c>
      <c r="CE42" s="10" t="e">
        <f>MATCH(INDEX($BP$12:$BU$12,1,MATCH(BQ42,$BP$15:$BU$15,0)),结果汇总!$AI$10:$AI$13,0)</f>
        <v>#VALUE!</v>
      </c>
      <c r="CF42" s="10" t="e">
        <f>MATCH(INDEX($BP$12:$BU$12,1,MATCH(BR42,$BP$15:$BU$15,0)),结果汇总!$AI$10:$AI$13,0)</f>
        <v>#VALUE!</v>
      </c>
      <c r="CG42" s="10" t="e">
        <f>MATCH(INDEX($BP$12:$BU$12,1,MATCH(BS42,$BP$15:$BU$15,0)),结果汇总!$AI$10:$AI$13,0)</f>
        <v>#VALUE!</v>
      </c>
      <c r="CH42" s="10" t="e">
        <f>MATCH(INDEX($BP$12:$BU$12,1,MATCH(BT42,$BP$15:$BU$15,0)),结果汇总!$AI$10:$AI$13,0)</f>
        <v>#VALUE!</v>
      </c>
      <c r="CI42" s="10" t="e">
        <f>MATCH(INDEX($BP$12:$BU$12,1,MATCH(BU42,$BP$15:$BU$15,0)),结果汇总!$AI$10:$AI$13,0)</f>
        <v>#VALUE!</v>
      </c>
      <c r="CK42" s="10">
        <f t="shared" si="58"/>
        <v>0</v>
      </c>
      <c r="CL42" s="10">
        <f t="shared" si="58"/>
        <v>0</v>
      </c>
      <c r="CM42" s="10">
        <f t="shared" si="58"/>
        <v>0</v>
      </c>
      <c r="CN42" s="10">
        <f t="shared" si="58"/>
        <v>0</v>
      </c>
      <c r="CO42" s="10">
        <f t="shared" si="59"/>
        <v>0</v>
      </c>
      <c r="CP42" s="10">
        <f t="shared" si="59"/>
        <v>0</v>
      </c>
      <c r="CQ42" s="10">
        <f t="shared" si="59"/>
        <v>0</v>
      </c>
      <c r="CR42" s="10">
        <f t="shared" si="59"/>
        <v>0</v>
      </c>
      <c r="CS42" s="10">
        <f t="shared" si="60"/>
        <v>0</v>
      </c>
      <c r="CT42" s="10">
        <f t="shared" si="60"/>
        <v>0</v>
      </c>
      <c r="CU42" s="10">
        <f t="shared" si="60"/>
        <v>0</v>
      </c>
      <c r="CV42" s="10">
        <f t="shared" si="60"/>
        <v>0</v>
      </c>
      <c r="CW42" s="10">
        <f t="shared" si="61"/>
        <v>0</v>
      </c>
      <c r="CX42" s="10">
        <f t="shared" si="61"/>
        <v>0</v>
      </c>
      <c r="CY42" s="10">
        <f t="shared" si="61"/>
        <v>0</v>
      </c>
      <c r="CZ42" s="10">
        <f t="shared" si="61"/>
        <v>0</v>
      </c>
    </row>
    <row r="43" spans="4:104" x14ac:dyDescent="0.15">
      <c r="D43" s="10">
        <v>28</v>
      </c>
      <c r="E43" s="10" t="e">
        <f t="shared" si="21"/>
        <v>#VALUE!</v>
      </c>
      <c r="F43" s="10" t="e">
        <f t="shared" si="1"/>
        <v>#VALUE!</v>
      </c>
      <c r="G43" s="10" t="e">
        <f t="shared" si="2"/>
        <v>#VALUE!</v>
      </c>
      <c r="H43" s="10" t="e">
        <f t="shared" si="22"/>
        <v>#VALUE!</v>
      </c>
      <c r="I43" s="10" t="e">
        <f t="shared" si="3"/>
        <v>#VALUE!</v>
      </c>
      <c r="J43" s="10" t="e">
        <f t="shared" si="23"/>
        <v>#VALUE!</v>
      </c>
      <c r="K43" s="10" t="e">
        <f t="shared" si="4"/>
        <v>#VALUE!</v>
      </c>
      <c r="L43" s="10" t="e">
        <f t="shared" si="5"/>
        <v>#VALUE!</v>
      </c>
      <c r="M43" s="10" t="e">
        <f t="shared" si="24"/>
        <v>#VALUE!</v>
      </c>
      <c r="O43" s="10" t="e">
        <f t="shared" si="25"/>
        <v>#VALUE!</v>
      </c>
      <c r="P43" s="10" t="e">
        <f t="shared" si="6"/>
        <v>#VALUE!</v>
      </c>
      <c r="Q43" s="10" t="e">
        <f t="shared" si="7"/>
        <v>#VALUE!</v>
      </c>
      <c r="R43" s="10" t="e">
        <f t="shared" si="26"/>
        <v>#VALUE!</v>
      </c>
      <c r="S43" s="10" t="e">
        <f t="shared" si="27"/>
        <v>#VALUE!</v>
      </c>
      <c r="T43" s="10" t="e">
        <f t="shared" si="62"/>
        <v>#VALUE!</v>
      </c>
      <c r="U43" s="10" t="e">
        <f t="shared" si="63"/>
        <v>#VALUE!</v>
      </c>
      <c r="V43" s="10" t="e">
        <f t="shared" si="8"/>
        <v>#VALUE!</v>
      </c>
      <c r="W43" s="10" t="e">
        <f t="shared" si="28"/>
        <v>#VALUE!</v>
      </c>
      <c r="Y43" s="10" t="e">
        <f t="shared" si="29"/>
        <v>#VALUE!</v>
      </c>
      <c r="Z43" s="11" t="e">
        <f t="shared" si="30"/>
        <v>#VALUE!</v>
      </c>
      <c r="AA43" s="10" t="e">
        <f t="shared" si="9"/>
        <v>#VALUE!</v>
      </c>
      <c r="AB43" s="10" t="e">
        <f t="shared" si="31"/>
        <v>#VALUE!</v>
      </c>
      <c r="AC43" s="10" t="e">
        <f t="shared" si="32"/>
        <v>#VALUE!</v>
      </c>
      <c r="AD43" s="10" t="e">
        <f t="shared" si="64"/>
        <v>#VALUE!</v>
      </c>
      <c r="AE43" s="10" t="e">
        <f t="shared" si="65"/>
        <v>#VALUE!</v>
      </c>
      <c r="AF43" s="10" t="e">
        <f t="shared" si="10"/>
        <v>#VALUE!</v>
      </c>
      <c r="AG43" s="10" t="e">
        <f t="shared" si="33"/>
        <v>#VALUE!</v>
      </c>
      <c r="AI43" s="13"/>
      <c r="AK43" s="10" t="e">
        <f t="shared" si="34"/>
        <v>#VALUE!</v>
      </c>
      <c r="AL43" s="10" t="e">
        <f t="shared" si="66"/>
        <v>#VALUE!</v>
      </c>
      <c r="AM43" s="10" t="e">
        <f t="shared" si="11"/>
        <v>#VALUE!</v>
      </c>
      <c r="AN43" s="10" t="e">
        <f t="shared" si="35"/>
        <v>#VALUE!</v>
      </c>
      <c r="AO43" s="10" t="e">
        <f t="shared" si="36"/>
        <v>#VALUE!</v>
      </c>
      <c r="AP43" s="10" t="e">
        <f t="shared" si="37"/>
        <v>#VALUE!</v>
      </c>
      <c r="AQ43" s="10" t="e">
        <f t="shared" si="67"/>
        <v>#VALUE!</v>
      </c>
      <c r="AR43" s="10" t="e">
        <f t="shared" si="12"/>
        <v>#VALUE!</v>
      </c>
      <c r="AS43" s="10" t="e">
        <f t="shared" si="68"/>
        <v>#VALUE!</v>
      </c>
      <c r="AU43" s="10" t="e">
        <f t="shared" si="38"/>
        <v>#VALUE!</v>
      </c>
      <c r="AV43" s="10" t="e">
        <f t="shared" si="69"/>
        <v>#VALUE!</v>
      </c>
      <c r="AW43" s="10" t="e">
        <f t="shared" si="13"/>
        <v>#VALUE!</v>
      </c>
      <c r="AX43" s="10" t="e">
        <f t="shared" si="39"/>
        <v>#VALUE!</v>
      </c>
      <c r="AY43" s="10" t="e">
        <f t="shared" si="40"/>
        <v>#VALUE!</v>
      </c>
      <c r="AZ43" s="10" t="e">
        <f t="shared" si="41"/>
        <v>#VALUE!</v>
      </c>
      <c r="BA43" s="10" t="e">
        <f t="shared" si="70"/>
        <v>#VALUE!</v>
      </c>
      <c r="BB43" s="10" t="e">
        <f t="shared" si="14"/>
        <v>#VALUE!</v>
      </c>
      <c r="BC43" s="10" t="e">
        <f t="shared" si="71"/>
        <v>#VALUE!</v>
      </c>
      <c r="BE43" s="10" t="e">
        <f t="shared" si="42"/>
        <v>#VALUE!</v>
      </c>
      <c r="BF43" s="10" t="e">
        <f t="shared" si="72"/>
        <v>#VALUE!</v>
      </c>
      <c r="BG43" s="10" t="e">
        <f t="shared" si="15"/>
        <v>#VALUE!</v>
      </c>
      <c r="BH43" s="10" t="e">
        <f t="shared" si="43"/>
        <v>#VALUE!</v>
      </c>
      <c r="BI43" s="10" t="e">
        <f t="shared" si="44"/>
        <v>#VALUE!</v>
      </c>
      <c r="BJ43" s="10" t="e">
        <f t="shared" si="45"/>
        <v>#VALUE!</v>
      </c>
      <c r="BK43" s="10" t="e">
        <f t="shared" si="73"/>
        <v>#VALUE!</v>
      </c>
      <c r="BL43" s="10" t="e">
        <f t="shared" si="16"/>
        <v>#VALUE!</v>
      </c>
      <c r="BM43" s="10" t="e">
        <f t="shared" si="74"/>
        <v>#VALUE!</v>
      </c>
      <c r="BP43" s="10" t="e">
        <f t="shared" si="46"/>
        <v>#VALUE!</v>
      </c>
      <c r="BQ43" s="10" t="e">
        <f t="shared" si="47"/>
        <v>#VALUE!</v>
      </c>
      <c r="BR43" s="10" t="e">
        <f t="shared" si="48"/>
        <v>#VALUE!</v>
      </c>
      <c r="BS43" s="10" t="e">
        <f t="shared" si="49"/>
        <v>#VALUE!</v>
      </c>
      <c r="BT43" s="10" t="e">
        <f t="shared" si="50"/>
        <v>#VALUE!</v>
      </c>
      <c r="BU43" s="10" t="e">
        <f t="shared" si="51"/>
        <v>#VALUE!</v>
      </c>
      <c r="BW43" s="10" t="e">
        <f t="shared" si="52"/>
        <v>#VALUE!</v>
      </c>
      <c r="BX43" s="10" t="e">
        <f t="shared" si="53"/>
        <v>#VALUE!</v>
      </c>
      <c r="BY43" s="10" t="e">
        <f t="shared" si="54"/>
        <v>#VALUE!</v>
      </c>
      <c r="BZ43" s="10" t="e">
        <f t="shared" si="55"/>
        <v>#VALUE!</v>
      </c>
      <c r="CA43" s="10" t="e">
        <f t="shared" si="56"/>
        <v>#VALUE!</v>
      </c>
      <c r="CB43" s="10" t="e">
        <f t="shared" si="57"/>
        <v>#VALUE!</v>
      </c>
      <c r="CD43" s="10" t="e">
        <f>MATCH(INDEX($BP$12:$BU$12,1,MATCH(BP43,$BP$15:$BU$15,0)),结果汇总!$AI$10:$AI$13,0)</f>
        <v>#VALUE!</v>
      </c>
      <c r="CE43" s="10" t="e">
        <f>MATCH(INDEX($BP$12:$BU$12,1,MATCH(BQ43,$BP$15:$BU$15,0)),结果汇总!$AI$10:$AI$13,0)</f>
        <v>#VALUE!</v>
      </c>
      <c r="CF43" s="10" t="e">
        <f>MATCH(INDEX($BP$12:$BU$12,1,MATCH(BR43,$BP$15:$BU$15,0)),结果汇总!$AI$10:$AI$13,0)</f>
        <v>#VALUE!</v>
      </c>
      <c r="CG43" s="10" t="e">
        <f>MATCH(INDEX($BP$12:$BU$12,1,MATCH(BS43,$BP$15:$BU$15,0)),结果汇总!$AI$10:$AI$13,0)</f>
        <v>#VALUE!</v>
      </c>
      <c r="CH43" s="10" t="e">
        <f>MATCH(INDEX($BP$12:$BU$12,1,MATCH(BT43,$BP$15:$BU$15,0)),结果汇总!$AI$10:$AI$13,0)</f>
        <v>#VALUE!</v>
      </c>
      <c r="CI43" s="10" t="e">
        <f>MATCH(INDEX($BP$12:$BU$12,1,MATCH(BU43,$BP$15:$BU$15,0)),结果汇总!$AI$10:$AI$13,0)</f>
        <v>#VALUE!</v>
      </c>
      <c r="CK43" s="10">
        <f t="shared" si="58"/>
        <v>0</v>
      </c>
      <c r="CL43" s="10">
        <f t="shared" si="58"/>
        <v>0</v>
      </c>
      <c r="CM43" s="10">
        <f t="shared" si="58"/>
        <v>0</v>
      </c>
      <c r="CN43" s="10">
        <f t="shared" si="58"/>
        <v>0</v>
      </c>
      <c r="CO43" s="10">
        <f t="shared" si="59"/>
        <v>0</v>
      </c>
      <c r="CP43" s="10">
        <f t="shared" si="59"/>
        <v>0</v>
      </c>
      <c r="CQ43" s="10">
        <f t="shared" si="59"/>
        <v>0</v>
      </c>
      <c r="CR43" s="10">
        <f t="shared" si="59"/>
        <v>0</v>
      </c>
      <c r="CS43" s="10">
        <f t="shared" si="60"/>
        <v>0</v>
      </c>
      <c r="CT43" s="10">
        <f t="shared" si="60"/>
        <v>0</v>
      </c>
      <c r="CU43" s="10">
        <f t="shared" si="60"/>
        <v>0</v>
      </c>
      <c r="CV43" s="10">
        <f t="shared" si="60"/>
        <v>0</v>
      </c>
      <c r="CW43" s="10">
        <f t="shared" si="61"/>
        <v>0</v>
      </c>
      <c r="CX43" s="10">
        <f t="shared" si="61"/>
        <v>0</v>
      </c>
      <c r="CY43" s="10">
        <f t="shared" si="61"/>
        <v>0</v>
      </c>
      <c r="CZ43" s="10">
        <f t="shared" si="61"/>
        <v>0</v>
      </c>
    </row>
    <row r="44" spans="4:104" x14ac:dyDescent="0.15">
      <c r="D44" s="10">
        <v>29</v>
      </c>
      <c r="E44" s="10" t="e">
        <f t="shared" si="21"/>
        <v>#VALUE!</v>
      </c>
      <c r="F44" s="10" t="e">
        <f t="shared" si="1"/>
        <v>#VALUE!</v>
      </c>
      <c r="G44" s="10" t="e">
        <f t="shared" si="2"/>
        <v>#VALUE!</v>
      </c>
      <c r="H44" s="10" t="e">
        <f t="shared" si="22"/>
        <v>#VALUE!</v>
      </c>
      <c r="I44" s="10" t="e">
        <f t="shared" si="3"/>
        <v>#VALUE!</v>
      </c>
      <c r="J44" s="10" t="e">
        <f t="shared" si="23"/>
        <v>#VALUE!</v>
      </c>
      <c r="K44" s="10" t="e">
        <f t="shared" si="4"/>
        <v>#VALUE!</v>
      </c>
      <c r="L44" s="10" t="e">
        <f t="shared" si="5"/>
        <v>#VALUE!</v>
      </c>
      <c r="M44" s="10" t="e">
        <f t="shared" si="24"/>
        <v>#VALUE!</v>
      </c>
      <c r="O44" s="10" t="e">
        <f t="shared" si="25"/>
        <v>#VALUE!</v>
      </c>
      <c r="P44" s="10" t="e">
        <f t="shared" si="6"/>
        <v>#VALUE!</v>
      </c>
      <c r="Q44" s="10" t="e">
        <f t="shared" si="7"/>
        <v>#VALUE!</v>
      </c>
      <c r="R44" s="10" t="e">
        <f t="shared" si="26"/>
        <v>#VALUE!</v>
      </c>
      <c r="S44" s="10" t="e">
        <f t="shared" si="27"/>
        <v>#VALUE!</v>
      </c>
      <c r="T44" s="10" t="e">
        <f t="shared" si="62"/>
        <v>#VALUE!</v>
      </c>
      <c r="U44" s="10" t="e">
        <f t="shared" si="63"/>
        <v>#VALUE!</v>
      </c>
      <c r="V44" s="10" t="e">
        <f t="shared" si="8"/>
        <v>#VALUE!</v>
      </c>
      <c r="W44" s="10" t="e">
        <f t="shared" si="28"/>
        <v>#VALUE!</v>
      </c>
      <c r="Y44" s="10" t="e">
        <f t="shared" si="29"/>
        <v>#VALUE!</v>
      </c>
      <c r="Z44" s="11" t="e">
        <f t="shared" si="30"/>
        <v>#VALUE!</v>
      </c>
      <c r="AA44" s="10" t="e">
        <f t="shared" si="9"/>
        <v>#VALUE!</v>
      </c>
      <c r="AB44" s="10" t="e">
        <f t="shared" si="31"/>
        <v>#VALUE!</v>
      </c>
      <c r="AC44" s="10" t="e">
        <f t="shared" si="32"/>
        <v>#VALUE!</v>
      </c>
      <c r="AD44" s="10" t="e">
        <f t="shared" si="64"/>
        <v>#VALUE!</v>
      </c>
      <c r="AE44" s="10" t="e">
        <f t="shared" si="65"/>
        <v>#VALUE!</v>
      </c>
      <c r="AF44" s="10" t="e">
        <f t="shared" si="10"/>
        <v>#VALUE!</v>
      </c>
      <c r="AG44" s="10" t="e">
        <f t="shared" si="33"/>
        <v>#VALUE!</v>
      </c>
      <c r="AI44" s="13"/>
      <c r="AK44" s="10" t="e">
        <f t="shared" si="34"/>
        <v>#VALUE!</v>
      </c>
      <c r="AL44" s="10" t="e">
        <f t="shared" si="66"/>
        <v>#VALUE!</v>
      </c>
      <c r="AM44" s="10" t="e">
        <f t="shared" si="11"/>
        <v>#VALUE!</v>
      </c>
      <c r="AN44" s="10" t="e">
        <f t="shared" si="35"/>
        <v>#VALUE!</v>
      </c>
      <c r="AO44" s="10" t="e">
        <f t="shared" si="36"/>
        <v>#VALUE!</v>
      </c>
      <c r="AP44" s="10" t="e">
        <f t="shared" si="37"/>
        <v>#VALUE!</v>
      </c>
      <c r="AQ44" s="10" t="e">
        <f t="shared" si="67"/>
        <v>#VALUE!</v>
      </c>
      <c r="AR44" s="10" t="e">
        <f t="shared" si="12"/>
        <v>#VALUE!</v>
      </c>
      <c r="AS44" s="10" t="e">
        <f t="shared" si="68"/>
        <v>#VALUE!</v>
      </c>
      <c r="AU44" s="10" t="e">
        <f t="shared" si="38"/>
        <v>#VALUE!</v>
      </c>
      <c r="AV44" s="10" t="e">
        <f t="shared" si="69"/>
        <v>#VALUE!</v>
      </c>
      <c r="AW44" s="10" t="e">
        <f t="shared" si="13"/>
        <v>#VALUE!</v>
      </c>
      <c r="AX44" s="10" t="e">
        <f t="shared" si="39"/>
        <v>#VALUE!</v>
      </c>
      <c r="AY44" s="10" t="e">
        <f t="shared" si="40"/>
        <v>#VALUE!</v>
      </c>
      <c r="AZ44" s="10" t="e">
        <f t="shared" si="41"/>
        <v>#VALUE!</v>
      </c>
      <c r="BA44" s="10" t="e">
        <f t="shared" si="70"/>
        <v>#VALUE!</v>
      </c>
      <c r="BB44" s="10" t="e">
        <f t="shared" si="14"/>
        <v>#VALUE!</v>
      </c>
      <c r="BC44" s="10" t="e">
        <f t="shared" si="71"/>
        <v>#VALUE!</v>
      </c>
      <c r="BE44" s="10" t="e">
        <f t="shared" si="42"/>
        <v>#VALUE!</v>
      </c>
      <c r="BF44" s="10" t="e">
        <f t="shared" si="72"/>
        <v>#VALUE!</v>
      </c>
      <c r="BG44" s="10" t="e">
        <f t="shared" si="15"/>
        <v>#VALUE!</v>
      </c>
      <c r="BH44" s="10" t="e">
        <f t="shared" si="43"/>
        <v>#VALUE!</v>
      </c>
      <c r="BI44" s="10" t="e">
        <f t="shared" si="44"/>
        <v>#VALUE!</v>
      </c>
      <c r="BJ44" s="10" t="e">
        <f t="shared" si="45"/>
        <v>#VALUE!</v>
      </c>
      <c r="BK44" s="10" t="e">
        <f t="shared" si="73"/>
        <v>#VALUE!</v>
      </c>
      <c r="BL44" s="10" t="e">
        <f t="shared" si="16"/>
        <v>#VALUE!</v>
      </c>
      <c r="BM44" s="10" t="e">
        <f t="shared" si="74"/>
        <v>#VALUE!</v>
      </c>
      <c r="BP44" s="10" t="e">
        <f t="shared" si="46"/>
        <v>#VALUE!</v>
      </c>
      <c r="BQ44" s="10" t="e">
        <f t="shared" si="47"/>
        <v>#VALUE!</v>
      </c>
      <c r="BR44" s="10" t="e">
        <f t="shared" si="48"/>
        <v>#VALUE!</v>
      </c>
      <c r="BS44" s="10" t="e">
        <f t="shared" si="49"/>
        <v>#VALUE!</v>
      </c>
      <c r="BT44" s="10" t="e">
        <f t="shared" si="50"/>
        <v>#VALUE!</v>
      </c>
      <c r="BU44" s="10" t="e">
        <f t="shared" si="51"/>
        <v>#VALUE!</v>
      </c>
      <c r="BW44" s="10" t="e">
        <f t="shared" si="52"/>
        <v>#VALUE!</v>
      </c>
      <c r="BX44" s="10" t="e">
        <f t="shared" si="53"/>
        <v>#VALUE!</v>
      </c>
      <c r="BY44" s="10" t="e">
        <f t="shared" si="54"/>
        <v>#VALUE!</v>
      </c>
      <c r="BZ44" s="10" t="e">
        <f t="shared" si="55"/>
        <v>#VALUE!</v>
      </c>
      <c r="CA44" s="10" t="e">
        <f t="shared" si="56"/>
        <v>#VALUE!</v>
      </c>
      <c r="CB44" s="10" t="e">
        <f t="shared" si="57"/>
        <v>#VALUE!</v>
      </c>
      <c r="CD44" s="10" t="e">
        <f>MATCH(INDEX($BP$12:$BU$12,1,MATCH(BP44,$BP$15:$BU$15,0)),结果汇总!$AI$10:$AI$13,0)</f>
        <v>#VALUE!</v>
      </c>
      <c r="CE44" s="10" t="e">
        <f>MATCH(INDEX($BP$12:$BU$12,1,MATCH(BQ44,$BP$15:$BU$15,0)),结果汇总!$AI$10:$AI$13,0)</f>
        <v>#VALUE!</v>
      </c>
      <c r="CF44" s="10" t="e">
        <f>MATCH(INDEX($BP$12:$BU$12,1,MATCH(BR44,$BP$15:$BU$15,0)),结果汇总!$AI$10:$AI$13,0)</f>
        <v>#VALUE!</v>
      </c>
      <c r="CG44" s="10" t="e">
        <f>MATCH(INDEX($BP$12:$BU$12,1,MATCH(BS44,$BP$15:$BU$15,0)),结果汇总!$AI$10:$AI$13,0)</f>
        <v>#VALUE!</v>
      </c>
      <c r="CH44" s="10" t="e">
        <f>MATCH(INDEX($BP$12:$BU$12,1,MATCH(BT44,$BP$15:$BU$15,0)),结果汇总!$AI$10:$AI$13,0)</f>
        <v>#VALUE!</v>
      </c>
      <c r="CI44" s="10" t="e">
        <f>MATCH(INDEX($BP$12:$BU$12,1,MATCH(BU44,$BP$15:$BU$15,0)),结果汇总!$AI$10:$AI$13,0)</f>
        <v>#VALUE!</v>
      </c>
      <c r="CK44" s="10">
        <f t="shared" si="58"/>
        <v>0</v>
      </c>
      <c r="CL44" s="10">
        <f t="shared" si="58"/>
        <v>0</v>
      </c>
      <c r="CM44" s="10">
        <f t="shared" si="58"/>
        <v>0</v>
      </c>
      <c r="CN44" s="10">
        <f t="shared" si="58"/>
        <v>0</v>
      </c>
      <c r="CO44" s="10">
        <f t="shared" si="59"/>
        <v>0</v>
      </c>
      <c r="CP44" s="10">
        <f t="shared" si="59"/>
        <v>0</v>
      </c>
      <c r="CQ44" s="10">
        <f t="shared" si="59"/>
        <v>0</v>
      </c>
      <c r="CR44" s="10">
        <f t="shared" si="59"/>
        <v>0</v>
      </c>
      <c r="CS44" s="10">
        <f t="shared" si="60"/>
        <v>0</v>
      </c>
      <c r="CT44" s="10">
        <f t="shared" si="60"/>
        <v>0</v>
      </c>
      <c r="CU44" s="10">
        <f t="shared" si="60"/>
        <v>0</v>
      </c>
      <c r="CV44" s="10">
        <f t="shared" si="60"/>
        <v>0</v>
      </c>
      <c r="CW44" s="10">
        <f t="shared" si="61"/>
        <v>0</v>
      </c>
      <c r="CX44" s="10">
        <f t="shared" si="61"/>
        <v>0</v>
      </c>
      <c r="CY44" s="10">
        <f t="shared" si="61"/>
        <v>0</v>
      </c>
      <c r="CZ44" s="10">
        <f t="shared" si="61"/>
        <v>0</v>
      </c>
    </row>
    <row r="45" spans="4:104" x14ac:dyDescent="0.15">
      <c r="D45" s="10">
        <v>30</v>
      </c>
      <c r="E45" s="10" t="e">
        <f t="shared" si="21"/>
        <v>#VALUE!</v>
      </c>
      <c r="F45" s="10" t="e">
        <f t="shared" si="1"/>
        <v>#VALUE!</v>
      </c>
      <c r="G45" s="10" t="e">
        <f t="shared" si="2"/>
        <v>#VALUE!</v>
      </c>
      <c r="H45" s="10" t="e">
        <f t="shared" si="22"/>
        <v>#VALUE!</v>
      </c>
      <c r="I45" s="10" t="e">
        <f t="shared" si="3"/>
        <v>#VALUE!</v>
      </c>
      <c r="J45" s="10" t="e">
        <f t="shared" si="23"/>
        <v>#VALUE!</v>
      </c>
      <c r="K45" s="10" t="e">
        <f t="shared" si="4"/>
        <v>#VALUE!</v>
      </c>
      <c r="L45" s="10" t="e">
        <f t="shared" si="5"/>
        <v>#VALUE!</v>
      </c>
      <c r="M45" s="10" t="e">
        <f t="shared" si="24"/>
        <v>#VALUE!</v>
      </c>
      <c r="O45" s="10" t="e">
        <f t="shared" si="25"/>
        <v>#VALUE!</v>
      </c>
      <c r="P45" s="10" t="e">
        <f t="shared" si="6"/>
        <v>#VALUE!</v>
      </c>
      <c r="Q45" s="10" t="e">
        <f t="shared" si="7"/>
        <v>#VALUE!</v>
      </c>
      <c r="R45" s="10" t="e">
        <f t="shared" si="26"/>
        <v>#VALUE!</v>
      </c>
      <c r="S45" s="10" t="e">
        <f t="shared" si="27"/>
        <v>#VALUE!</v>
      </c>
      <c r="T45" s="10" t="e">
        <f t="shared" si="62"/>
        <v>#VALUE!</v>
      </c>
      <c r="U45" s="10" t="e">
        <f t="shared" si="63"/>
        <v>#VALUE!</v>
      </c>
      <c r="V45" s="10" t="e">
        <f t="shared" si="8"/>
        <v>#VALUE!</v>
      </c>
      <c r="W45" s="10" t="e">
        <f t="shared" si="28"/>
        <v>#VALUE!</v>
      </c>
      <c r="Y45" s="10" t="e">
        <f t="shared" si="29"/>
        <v>#VALUE!</v>
      </c>
      <c r="Z45" s="11" t="e">
        <f t="shared" si="30"/>
        <v>#VALUE!</v>
      </c>
      <c r="AA45" s="10" t="e">
        <f t="shared" si="9"/>
        <v>#VALUE!</v>
      </c>
      <c r="AB45" s="10" t="e">
        <f t="shared" si="31"/>
        <v>#VALUE!</v>
      </c>
      <c r="AC45" s="10" t="e">
        <f t="shared" si="32"/>
        <v>#VALUE!</v>
      </c>
      <c r="AD45" s="10" t="e">
        <f t="shared" si="64"/>
        <v>#VALUE!</v>
      </c>
      <c r="AE45" s="10" t="e">
        <f t="shared" si="65"/>
        <v>#VALUE!</v>
      </c>
      <c r="AF45" s="10" t="e">
        <f t="shared" si="10"/>
        <v>#VALUE!</v>
      </c>
      <c r="AG45" s="10" t="e">
        <f t="shared" si="33"/>
        <v>#VALUE!</v>
      </c>
      <c r="AI45" s="13"/>
      <c r="AK45" s="10" t="e">
        <f t="shared" si="34"/>
        <v>#VALUE!</v>
      </c>
      <c r="AL45" s="10" t="e">
        <f t="shared" si="66"/>
        <v>#VALUE!</v>
      </c>
      <c r="AM45" s="10" t="e">
        <f t="shared" si="11"/>
        <v>#VALUE!</v>
      </c>
      <c r="AN45" s="10" t="e">
        <f t="shared" si="35"/>
        <v>#VALUE!</v>
      </c>
      <c r="AO45" s="10" t="e">
        <f t="shared" si="36"/>
        <v>#VALUE!</v>
      </c>
      <c r="AP45" s="10" t="e">
        <f t="shared" si="37"/>
        <v>#VALUE!</v>
      </c>
      <c r="AQ45" s="10" t="e">
        <f t="shared" si="67"/>
        <v>#VALUE!</v>
      </c>
      <c r="AR45" s="10" t="e">
        <f t="shared" si="12"/>
        <v>#VALUE!</v>
      </c>
      <c r="AS45" s="10" t="e">
        <f t="shared" si="68"/>
        <v>#VALUE!</v>
      </c>
      <c r="AU45" s="10" t="e">
        <f t="shared" si="38"/>
        <v>#VALUE!</v>
      </c>
      <c r="AV45" s="10" t="e">
        <f t="shared" si="69"/>
        <v>#VALUE!</v>
      </c>
      <c r="AW45" s="10" t="e">
        <f t="shared" si="13"/>
        <v>#VALUE!</v>
      </c>
      <c r="AX45" s="10" t="e">
        <f t="shared" si="39"/>
        <v>#VALUE!</v>
      </c>
      <c r="AY45" s="10" t="e">
        <f t="shared" si="40"/>
        <v>#VALUE!</v>
      </c>
      <c r="AZ45" s="10" t="e">
        <f t="shared" si="41"/>
        <v>#VALUE!</v>
      </c>
      <c r="BA45" s="10" t="e">
        <f t="shared" si="70"/>
        <v>#VALUE!</v>
      </c>
      <c r="BB45" s="10" t="e">
        <f t="shared" si="14"/>
        <v>#VALUE!</v>
      </c>
      <c r="BC45" s="10" t="e">
        <f t="shared" si="71"/>
        <v>#VALUE!</v>
      </c>
      <c r="BE45" s="10" t="e">
        <f t="shared" si="42"/>
        <v>#VALUE!</v>
      </c>
      <c r="BF45" s="10" t="e">
        <f t="shared" si="72"/>
        <v>#VALUE!</v>
      </c>
      <c r="BG45" s="10" t="e">
        <f t="shared" si="15"/>
        <v>#VALUE!</v>
      </c>
      <c r="BH45" s="10" t="e">
        <f t="shared" si="43"/>
        <v>#VALUE!</v>
      </c>
      <c r="BI45" s="10" t="e">
        <f t="shared" si="44"/>
        <v>#VALUE!</v>
      </c>
      <c r="BJ45" s="10" t="e">
        <f t="shared" si="45"/>
        <v>#VALUE!</v>
      </c>
      <c r="BK45" s="10" t="e">
        <f t="shared" si="73"/>
        <v>#VALUE!</v>
      </c>
      <c r="BL45" s="10" t="e">
        <f t="shared" si="16"/>
        <v>#VALUE!</v>
      </c>
      <c r="BM45" s="10" t="e">
        <f t="shared" si="74"/>
        <v>#VALUE!</v>
      </c>
      <c r="BP45" s="10" t="e">
        <f t="shared" si="46"/>
        <v>#VALUE!</v>
      </c>
      <c r="BQ45" s="10" t="e">
        <f t="shared" si="47"/>
        <v>#VALUE!</v>
      </c>
      <c r="BR45" s="10" t="e">
        <f t="shared" si="48"/>
        <v>#VALUE!</v>
      </c>
      <c r="BS45" s="10" t="e">
        <f t="shared" si="49"/>
        <v>#VALUE!</v>
      </c>
      <c r="BT45" s="10" t="e">
        <f t="shared" si="50"/>
        <v>#VALUE!</v>
      </c>
      <c r="BU45" s="10" t="e">
        <f t="shared" si="51"/>
        <v>#VALUE!</v>
      </c>
      <c r="BW45" s="10" t="e">
        <f t="shared" si="52"/>
        <v>#VALUE!</v>
      </c>
      <c r="BX45" s="10" t="e">
        <f t="shared" si="53"/>
        <v>#VALUE!</v>
      </c>
      <c r="BY45" s="10" t="e">
        <f t="shared" si="54"/>
        <v>#VALUE!</v>
      </c>
      <c r="BZ45" s="10" t="e">
        <f t="shared" si="55"/>
        <v>#VALUE!</v>
      </c>
      <c r="CA45" s="10" t="e">
        <f t="shared" si="56"/>
        <v>#VALUE!</v>
      </c>
      <c r="CB45" s="10" t="e">
        <f t="shared" si="57"/>
        <v>#VALUE!</v>
      </c>
      <c r="CD45" s="10" t="e">
        <f>MATCH(INDEX($BP$12:$BU$12,1,MATCH(BP45,$BP$15:$BU$15,0)),结果汇总!$AI$10:$AI$13,0)</f>
        <v>#VALUE!</v>
      </c>
      <c r="CE45" s="10" t="e">
        <f>MATCH(INDEX($BP$12:$BU$12,1,MATCH(BQ45,$BP$15:$BU$15,0)),结果汇总!$AI$10:$AI$13,0)</f>
        <v>#VALUE!</v>
      </c>
      <c r="CF45" s="10" t="e">
        <f>MATCH(INDEX($BP$12:$BU$12,1,MATCH(BR45,$BP$15:$BU$15,0)),结果汇总!$AI$10:$AI$13,0)</f>
        <v>#VALUE!</v>
      </c>
      <c r="CG45" s="10" t="e">
        <f>MATCH(INDEX($BP$12:$BU$12,1,MATCH(BS45,$BP$15:$BU$15,0)),结果汇总!$AI$10:$AI$13,0)</f>
        <v>#VALUE!</v>
      </c>
      <c r="CH45" s="10" t="e">
        <f>MATCH(INDEX($BP$12:$BU$12,1,MATCH(BT45,$BP$15:$BU$15,0)),结果汇总!$AI$10:$AI$13,0)</f>
        <v>#VALUE!</v>
      </c>
      <c r="CI45" s="10" t="e">
        <f>MATCH(INDEX($BP$12:$BU$12,1,MATCH(BU45,$BP$15:$BU$15,0)),结果汇总!$AI$10:$AI$13,0)</f>
        <v>#VALUE!</v>
      </c>
      <c r="CK45" s="10">
        <f t="shared" si="58"/>
        <v>0</v>
      </c>
      <c r="CL45" s="10">
        <f t="shared" si="58"/>
        <v>0</v>
      </c>
      <c r="CM45" s="10">
        <f t="shared" si="58"/>
        <v>0</v>
      </c>
      <c r="CN45" s="10">
        <f t="shared" si="58"/>
        <v>0</v>
      </c>
      <c r="CO45" s="10">
        <f t="shared" si="59"/>
        <v>0</v>
      </c>
      <c r="CP45" s="10">
        <f t="shared" si="59"/>
        <v>0</v>
      </c>
      <c r="CQ45" s="10">
        <f t="shared" si="59"/>
        <v>0</v>
      </c>
      <c r="CR45" s="10">
        <f t="shared" si="59"/>
        <v>0</v>
      </c>
      <c r="CS45" s="10">
        <f t="shared" si="60"/>
        <v>0</v>
      </c>
      <c r="CT45" s="10">
        <f t="shared" si="60"/>
        <v>0</v>
      </c>
      <c r="CU45" s="10">
        <f t="shared" si="60"/>
        <v>0</v>
      </c>
      <c r="CV45" s="10">
        <f t="shared" si="60"/>
        <v>0</v>
      </c>
      <c r="CW45" s="10">
        <f t="shared" si="61"/>
        <v>0</v>
      </c>
      <c r="CX45" s="10">
        <f t="shared" si="61"/>
        <v>0</v>
      </c>
      <c r="CY45" s="10">
        <f t="shared" si="61"/>
        <v>0</v>
      </c>
      <c r="CZ45" s="10">
        <f t="shared" si="61"/>
        <v>0</v>
      </c>
    </row>
    <row r="46" spans="4:104" x14ac:dyDescent="0.15">
      <c r="D46" s="10">
        <v>31</v>
      </c>
      <c r="E46" s="10" t="e">
        <f t="shared" si="21"/>
        <v>#VALUE!</v>
      </c>
      <c r="F46" s="10" t="e">
        <f t="shared" si="1"/>
        <v>#VALUE!</v>
      </c>
      <c r="G46" s="10" t="e">
        <f t="shared" si="2"/>
        <v>#VALUE!</v>
      </c>
      <c r="H46" s="10" t="e">
        <f t="shared" si="22"/>
        <v>#VALUE!</v>
      </c>
      <c r="I46" s="10" t="e">
        <f t="shared" si="3"/>
        <v>#VALUE!</v>
      </c>
      <c r="J46" s="10" t="e">
        <f t="shared" si="23"/>
        <v>#VALUE!</v>
      </c>
      <c r="K46" s="10" t="e">
        <f t="shared" si="4"/>
        <v>#VALUE!</v>
      </c>
      <c r="L46" s="10" t="e">
        <f t="shared" si="5"/>
        <v>#VALUE!</v>
      </c>
      <c r="M46" s="10" t="e">
        <f t="shared" si="24"/>
        <v>#VALUE!</v>
      </c>
      <c r="O46" s="10" t="e">
        <f t="shared" si="25"/>
        <v>#VALUE!</v>
      </c>
      <c r="P46" s="10" t="e">
        <f t="shared" si="6"/>
        <v>#VALUE!</v>
      </c>
      <c r="Q46" s="10" t="e">
        <f t="shared" si="7"/>
        <v>#VALUE!</v>
      </c>
      <c r="R46" s="10" t="e">
        <f t="shared" si="26"/>
        <v>#VALUE!</v>
      </c>
      <c r="S46" s="10" t="e">
        <f t="shared" si="27"/>
        <v>#VALUE!</v>
      </c>
      <c r="T46" s="10" t="e">
        <f t="shared" si="62"/>
        <v>#VALUE!</v>
      </c>
      <c r="U46" s="10" t="e">
        <f t="shared" si="63"/>
        <v>#VALUE!</v>
      </c>
      <c r="V46" s="10" t="e">
        <f t="shared" si="8"/>
        <v>#VALUE!</v>
      </c>
      <c r="W46" s="10" t="e">
        <f t="shared" si="28"/>
        <v>#VALUE!</v>
      </c>
      <c r="Y46" s="10" t="e">
        <f t="shared" si="29"/>
        <v>#VALUE!</v>
      </c>
      <c r="Z46" s="11" t="e">
        <f t="shared" si="30"/>
        <v>#VALUE!</v>
      </c>
      <c r="AA46" s="10" t="e">
        <f t="shared" si="9"/>
        <v>#VALUE!</v>
      </c>
      <c r="AB46" s="10" t="e">
        <f t="shared" si="31"/>
        <v>#VALUE!</v>
      </c>
      <c r="AC46" s="10" t="e">
        <f t="shared" si="32"/>
        <v>#VALUE!</v>
      </c>
      <c r="AD46" s="10" t="e">
        <f t="shared" si="64"/>
        <v>#VALUE!</v>
      </c>
      <c r="AE46" s="10" t="e">
        <f t="shared" si="65"/>
        <v>#VALUE!</v>
      </c>
      <c r="AF46" s="10" t="e">
        <f t="shared" si="10"/>
        <v>#VALUE!</v>
      </c>
      <c r="AG46" s="10" t="e">
        <f t="shared" si="33"/>
        <v>#VALUE!</v>
      </c>
      <c r="AI46" s="13"/>
      <c r="AK46" s="10" t="e">
        <f t="shared" si="34"/>
        <v>#VALUE!</v>
      </c>
      <c r="AL46" s="10" t="e">
        <f t="shared" si="66"/>
        <v>#VALUE!</v>
      </c>
      <c r="AM46" s="10" t="e">
        <f t="shared" si="11"/>
        <v>#VALUE!</v>
      </c>
      <c r="AN46" s="10" t="e">
        <f t="shared" si="35"/>
        <v>#VALUE!</v>
      </c>
      <c r="AO46" s="10" t="e">
        <f t="shared" si="36"/>
        <v>#VALUE!</v>
      </c>
      <c r="AP46" s="10" t="e">
        <f t="shared" si="37"/>
        <v>#VALUE!</v>
      </c>
      <c r="AQ46" s="10" t="e">
        <f t="shared" si="67"/>
        <v>#VALUE!</v>
      </c>
      <c r="AR46" s="10" t="e">
        <f t="shared" si="12"/>
        <v>#VALUE!</v>
      </c>
      <c r="AS46" s="10" t="e">
        <f t="shared" si="68"/>
        <v>#VALUE!</v>
      </c>
      <c r="AU46" s="10" t="e">
        <f t="shared" si="38"/>
        <v>#VALUE!</v>
      </c>
      <c r="AV46" s="10" t="e">
        <f t="shared" si="69"/>
        <v>#VALUE!</v>
      </c>
      <c r="AW46" s="10" t="e">
        <f t="shared" si="13"/>
        <v>#VALUE!</v>
      </c>
      <c r="AX46" s="10" t="e">
        <f t="shared" si="39"/>
        <v>#VALUE!</v>
      </c>
      <c r="AY46" s="10" t="e">
        <f t="shared" si="40"/>
        <v>#VALUE!</v>
      </c>
      <c r="AZ46" s="10" t="e">
        <f t="shared" si="41"/>
        <v>#VALUE!</v>
      </c>
      <c r="BA46" s="10" t="e">
        <f t="shared" si="70"/>
        <v>#VALUE!</v>
      </c>
      <c r="BB46" s="10" t="e">
        <f t="shared" si="14"/>
        <v>#VALUE!</v>
      </c>
      <c r="BC46" s="10" t="e">
        <f t="shared" si="71"/>
        <v>#VALUE!</v>
      </c>
      <c r="BE46" s="10" t="e">
        <f t="shared" si="42"/>
        <v>#VALUE!</v>
      </c>
      <c r="BF46" s="10" t="e">
        <f t="shared" si="72"/>
        <v>#VALUE!</v>
      </c>
      <c r="BG46" s="10" t="e">
        <f t="shared" si="15"/>
        <v>#VALUE!</v>
      </c>
      <c r="BH46" s="10" t="e">
        <f t="shared" si="43"/>
        <v>#VALUE!</v>
      </c>
      <c r="BI46" s="10" t="e">
        <f t="shared" si="44"/>
        <v>#VALUE!</v>
      </c>
      <c r="BJ46" s="10" t="e">
        <f t="shared" si="45"/>
        <v>#VALUE!</v>
      </c>
      <c r="BK46" s="10" t="e">
        <f t="shared" si="73"/>
        <v>#VALUE!</v>
      </c>
      <c r="BL46" s="10" t="e">
        <f t="shared" si="16"/>
        <v>#VALUE!</v>
      </c>
      <c r="BM46" s="10" t="e">
        <f t="shared" si="74"/>
        <v>#VALUE!</v>
      </c>
      <c r="BP46" s="10" t="e">
        <f t="shared" si="46"/>
        <v>#VALUE!</v>
      </c>
      <c r="BQ46" s="10" t="e">
        <f t="shared" si="47"/>
        <v>#VALUE!</v>
      </c>
      <c r="BR46" s="10" t="e">
        <f t="shared" si="48"/>
        <v>#VALUE!</v>
      </c>
      <c r="BS46" s="10" t="e">
        <f t="shared" si="49"/>
        <v>#VALUE!</v>
      </c>
      <c r="BT46" s="10" t="e">
        <f t="shared" si="50"/>
        <v>#VALUE!</v>
      </c>
      <c r="BU46" s="10" t="e">
        <f t="shared" si="51"/>
        <v>#VALUE!</v>
      </c>
      <c r="BW46" s="10" t="e">
        <f t="shared" si="52"/>
        <v>#VALUE!</v>
      </c>
      <c r="BX46" s="10" t="e">
        <f t="shared" si="53"/>
        <v>#VALUE!</v>
      </c>
      <c r="BY46" s="10" t="e">
        <f t="shared" si="54"/>
        <v>#VALUE!</v>
      </c>
      <c r="BZ46" s="10" t="e">
        <f t="shared" si="55"/>
        <v>#VALUE!</v>
      </c>
      <c r="CA46" s="10" t="e">
        <f t="shared" si="56"/>
        <v>#VALUE!</v>
      </c>
      <c r="CB46" s="10" t="e">
        <f t="shared" si="57"/>
        <v>#VALUE!</v>
      </c>
      <c r="CD46" s="10" t="e">
        <f>MATCH(INDEX($BP$12:$BU$12,1,MATCH(BP46,$BP$15:$BU$15,0)),结果汇总!$AI$10:$AI$13,0)</f>
        <v>#VALUE!</v>
      </c>
      <c r="CE46" s="10" t="e">
        <f>MATCH(INDEX($BP$12:$BU$12,1,MATCH(BQ46,$BP$15:$BU$15,0)),结果汇总!$AI$10:$AI$13,0)</f>
        <v>#VALUE!</v>
      </c>
      <c r="CF46" s="10" t="e">
        <f>MATCH(INDEX($BP$12:$BU$12,1,MATCH(BR46,$BP$15:$BU$15,0)),结果汇总!$AI$10:$AI$13,0)</f>
        <v>#VALUE!</v>
      </c>
      <c r="CG46" s="10" t="e">
        <f>MATCH(INDEX($BP$12:$BU$12,1,MATCH(BS46,$BP$15:$BU$15,0)),结果汇总!$AI$10:$AI$13,0)</f>
        <v>#VALUE!</v>
      </c>
      <c r="CH46" s="10" t="e">
        <f>MATCH(INDEX($BP$12:$BU$12,1,MATCH(BT46,$BP$15:$BU$15,0)),结果汇总!$AI$10:$AI$13,0)</f>
        <v>#VALUE!</v>
      </c>
      <c r="CI46" s="10" t="e">
        <f>MATCH(INDEX($BP$12:$BU$12,1,MATCH(BU46,$BP$15:$BU$15,0)),结果汇总!$AI$10:$AI$13,0)</f>
        <v>#VALUE!</v>
      </c>
      <c r="CK46" s="10">
        <f t="shared" si="58"/>
        <v>0</v>
      </c>
      <c r="CL46" s="10">
        <f t="shared" si="58"/>
        <v>0</v>
      </c>
      <c r="CM46" s="10">
        <f t="shared" si="58"/>
        <v>0</v>
      </c>
      <c r="CN46" s="10">
        <f t="shared" si="58"/>
        <v>0</v>
      </c>
      <c r="CO46" s="10">
        <f t="shared" si="59"/>
        <v>0</v>
      </c>
      <c r="CP46" s="10">
        <f t="shared" si="59"/>
        <v>0</v>
      </c>
      <c r="CQ46" s="10">
        <f t="shared" si="59"/>
        <v>0</v>
      </c>
      <c r="CR46" s="10">
        <f t="shared" si="59"/>
        <v>0</v>
      </c>
      <c r="CS46" s="10">
        <f t="shared" si="60"/>
        <v>0</v>
      </c>
      <c r="CT46" s="10">
        <f t="shared" si="60"/>
        <v>0</v>
      </c>
      <c r="CU46" s="10">
        <f t="shared" si="60"/>
        <v>0</v>
      </c>
      <c r="CV46" s="10">
        <f t="shared" si="60"/>
        <v>0</v>
      </c>
      <c r="CW46" s="10">
        <f t="shared" si="61"/>
        <v>0</v>
      </c>
      <c r="CX46" s="10">
        <f t="shared" si="61"/>
        <v>0</v>
      </c>
      <c r="CY46" s="10">
        <f t="shared" si="61"/>
        <v>0</v>
      </c>
      <c r="CZ46" s="10">
        <f t="shared" si="61"/>
        <v>0</v>
      </c>
    </row>
    <row r="47" spans="4:104" x14ac:dyDescent="0.15">
      <c r="D47" s="10">
        <v>32</v>
      </c>
      <c r="E47" s="10" t="e">
        <f t="shared" si="21"/>
        <v>#VALUE!</v>
      </c>
      <c r="F47" s="10" t="e">
        <f t="shared" si="1"/>
        <v>#VALUE!</v>
      </c>
      <c r="G47" s="10" t="e">
        <f t="shared" si="2"/>
        <v>#VALUE!</v>
      </c>
      <c r="H47" s="10" t="e">
        <f t="shared" si="22"/>
        <v>#VALUE!</v>
      </c>
      <c r="I47" s="10" t="e">
        <f t="shared" si="3"/>
        <v>#VALUE!</v>
      </c>
      <c r="J47" s="10" t="e">
        <f t="shared" si="23"/>
        <v>#VALUE!</v>
      </c>
      <c r="K47" s="10" t="e">
        <f t="shared" si="4"/>
        <v>#VALUE!</v>
      </c>
      <c r="L47" s="10" t="e">
        <f t="shared" si="5"/>
        <v>#VALUE!</v>
      </c>
      <c r="M47" s="10" t="e">
        <f t="shared" si="24"/>
        <v>#VALUE!</v>
      </c>
      <c r="O47" s="10" t="e">
        <f t="shared" si="25"/>
        <v>#VALUE!</v>
      </c>
      <c r="P47" s="10" t="e">
        <f t="shared" si="6"/>
        <v>#VALUE!</v>
      </c>
      <c r="Q47" s="10" t="e">
        <f t="shared" si="7"/>
        <v>#VALUE!</v>
      </c>
      <c r="R47" s="10" t="e">
        <f t="shared" si="26"/>
        <v>#VALUE!</v>
      </c>
      <c r="S47" s="10" t="e">
        <f t="shared" si="27"/>
        <v>#VALUE!</v>
      </c>
      <c r="T47" s="10" t="e">
        <f t="shared" si="62"/>
        <v>#VALUE!</v>
      </c>
      <c r="U47" s="10" t="e">
        <f t="shared" si="63"/>
        <v>#VALUE!</v>
      </c>
      <c r="V47" s="10" t="e">
        <f t="shared" si="8"/>
        <v>#VALUE!</v>
      </c>
      <c r="W47" s="10" t="e">
        <f t="shared" si="28"/>
        <v>#VALUE!</v>
      </c>
      <c r="Y47" s="10" t="e">
        <f t="shared" si="29"/>
        <v>#VALUE!</v>
      </c>
      <c r="Z47" s="11" t="e">
        <f t="shared" si="30"/>
        <v>#VALUE!</v>
      </c>
      <c r="AA47" s="10" t="e">
        <f t="shared" si="9"/>
        <v>#VALUE!</v>
      </c>
      <c r="AB47" s="10" t="e">
        <f t="shared" si="31"/>
        <v>#VALUE!</v>
      </c>
      <c r="AC47" s="10" t="e">
        <f t="shared" si="32"/>
        <v>#VALUE!</v>
      </c>
      <c r="AD47" s="10" t="e">
        <f t="shared" si="64"/>
        <v>#VALUE!</v>
      </c>
      <c r="AE47" s="10" t="e">
        <f t="shared" si="65"/>
        <v>#VALUE!</v>
      </c>
      <c r="AF47" s="10" t="e">
        <f t="shared" si="10"/>
        <v>#VALUE!</v>
      </c>
      <c r="AG47" s="10" t="e">
        <f t="shared" si="33"/>
        <v>#VALUE!</v>
      </c>
      <c r="AI47" s="13"/>
      <c r="AK47" s="10" t="e">
        <f t="shared" si="34"/>
        <v>#VALUE!</v>
      </c>
      <c r="AL47" s="10" t="e">
        <f t="shared" si="66"/>
        <v>#VALUE!</v>
      </c>
      <c r="AM47" s="10" t="e">
        <f t="shared" si="11"/>
        <v>#VALUE!</v>
      </c>
      <c r="AN47" s="10" t="e">
        <f t="shared" si="35"/>
        <v>#VALUE!</v>
      </c>
      <c r="AO47" s="10" t="e">
        <f t="shared" si="36"/>
        <v>#VALUE!</v>
      </c>
      <c r="AP47" s="10" t="e">
        <f t="shared" si="37"/>
        <v>#VALUE!</v>
      </c>
      <c r="AQ47" s="10" t="e">
        <f t="shared" si="67"/>
        <v>#VALUE!</v>
      </c>
      <c r="AR47" s="10" t="e">
        <f t="shared" si="12"/>
        <v>#VALUE!</v>
      </c>
      <c r="AS47" s="10" t="e">
        <f t="shared" si="68"/>
        <v>#VALUE!</v>
      </c>
      <c r="AU47" s="10" t="e">
        <f t="shared" si="38"/>
        <v>#VALUE!</v>
      </c>
      <c r="AV47" s="10" t="e">
        <f t="shared" si="69"/>
        <v>#VALUE!</v>
      </c>
      <c r="AW47" s="10" t="e">
        <f t="shared" si="13"/>
        <v>#VALUE!</v>
      </c>
      <c r="AX47" s="10" t="e">
        <f t="shared" si="39"/>
        <v>#VALUE!</v>
      </c>
      <c r="AY47" s="10" t="e">
        <f t="shared" si="40"/>
        <v>#VALUE!</v>
      </c>
      <c r="AZ47" s="10" t="e">
        <f t="shared" si="41"/>
        <v>#VALUE!</v>
      </c>
      <c r="BA47" s="10" t="e">
        <f t="shared" si="70"/>
        <v>#VALUE!</v>
      </c>
      <c r="BB47" s="10" t="e">
        <f t="shared" si="14"/>
        <v>#VALUE!</v>
      </c>
      <c r="BC47" s="10" t="e">
        <f t="shared" si="71"/>
        <v>#VALUE!</v>
      </c>
      <c r="BE47" s="10" t="e">
        <f t="shared" si="42"/>
        <v>#VALUE!</v>
      </c>
      <c r="BF47" s="10" t="e">
        <f t="shared" si="72"/>
        <v>#VALUE!</v>
      </c>
      <c r="BG47" s="10" t="e">
        <f t="shared" si="15"/>
        <v>#VALUE!</v>
      </c>
      <c r="BH47" s="10" t="e">
        <f t="shared" si="43"/>
        <v>#VALUE!</v>
      </c>
      <c r="BI47" s="10" t="e">
        <f t="shared" si="44"/>
        <v>#VALUE!</v>
      </c>
      <c r="BJ47" s="10" t="e">
        <f t="shared" si="45"/>
        <v>#VALUE!</v>
      </c>
      <c r="BK47" s="10" t="e">
        <f t="shared" si="73"/>
        <v>#VALUE!</v>
      </c>
      <c r="BL47" s="10" t="e">
        <f t="shared" si="16"/>
        <v>#VALUE!</v>
      </c>
      <c r="BM47" s="10" t="e">
        <f t="shared" si="74"/>
        <v>#VALUE!</v>
      </c>
      <c r="BP47" s="10" t="e">
        <f t="shared" si="46"/>
        <v>#VALUE!</v>
      </c>
      <c r="BQ47" s="10" t="e">
        <f t="shared" si="47"/>
        <v>#VALUE!</v>
      </c>
      <c r="BR47" s="10" t="e">
        <f t="shared" si="48"/>
        <v>#VALUE!</v>
      </c>
      <c r="BS47" s="10" t="e">
        <f t="shared" si="49"/>
        <v>#VALUE!</v>
      </c>
      <c r="BT47" s="10" t="e">
        <f t="shared" si="50"/>
        <v>#VALUE!</v>
      </c>
      <c r="BU47" s="10" t="e">
        <f t="shared" si="51"/>
        <v>#VALUE!</v>
      </c>
      <c r="BW47" s="10" t="e">
        <f t="shared" si="52"/>
        <v>#VALUE!</v>
      </c>
      <c r="BX47" s="10" t="e">
        <f t="shared" si="53"/>
        <v>#VALUE!</v>
      </c>
      <c r="BY47" s="10" t="e">
        <f t="shared" si="54"/>
        <v>#VALUE!</v>
      </c>
      <c r="BZ47" s="10" t="e">
        <f t="shared" si="55"/>
        <v>#VALUE!</v>
      </c>
      <c r="CA47" s="10" t="e">
        <f t="shared" si="56"/>
        <v>#VALUE!</v>
      </c>
      <c r="CB47" s="10" t="e">
        <f t="shared" si="57"/>
        <v>#VALUE!</v>
      </c>
      <c r="CD47" s="10" t="e">
        <f>MATCH(INDEX($BP$12:$BU$12,1,MATCH(BP47,$BP$15:$BU$15,0)),结果汇总!$AI$10:$AI$13,0)</f>
        <v>#VALUE!</v>
      </c>
      <c r="CE47" s="10" t="e">
        <f>MATCH(INDEX($BP$12:$BU$12,1,MATCH(BQ47,$BP$15:$BU$15,0)),结果汇总!$AI$10:$AI$13,0)</f>
        <v>#VALUE!</v>
      </c>
      <c r="CF47" s="10" t="e">
        <f>MATCH(INDEX($BP$12:$BU$12,1,MATCH(BR47,$BP$15:$BU$15,0)),结果汇总!$AI$10:$AI$13,0)</f>
        <v>#VALUE!</v>
      </c>
      <c r="CG47" s="10" t="e">
        <f>MATCH(INDEX($BP$12:$BU$12,1,MATCH(BS47,$BP$15:$BU$15,0)),结果汇总!$AI$10:$AI$13,0)</f>
        <v>#VALUE!</v>
      </c>
      <c r="CH47" s="10" t="e">
        <f>MATCH(INDEX($BP$12:$BU$12,1,MATCH(BT47,$BP$15:$BU$15,0)),结果汇总!$AI$10:$AI$13,0)</f>
        <v>#VALUE!</v>
      </c>
      <c r="CI47" s="10" t="e">
        <f>MATCH(INDEX($BP$12:$BU$12,1,MATCH(BU47,$BP$15:$BU$15,0)),结果汇总!$AI$10:$AI$13,0)</f>
        <v>#VALUE!</v>
      </c>
      <c r="CK47" s="10">
        <f t="shared" si="58"/>
        <v>0</v>
      </c>
      <c r="CL47" s="10">
        <f t="shared" si="58"/>
        <v>0</v>
      </c>
      <c r="CM47" s="10">
        <f t="shared" si="58"/>
        <v>0</v>
      </c>
      <c r="CN47" s="10">
        <f t="shared" si="58"/>
        <v>0</v>
      </c>
      <c r="CO47" s="10">
        <f t="shared" si="59"/>
        <v>0</v>
      </c>
      <c r="CP47" s="10">
        <f t="shared" si="59"/>
        <v>0</v>
      </c>
      <c r="CQ47" s="10">
        <f t="shared" si="59"/>
        <v>0</v>
      </c>
      <c r="CR47" s="10">
        <f t="shared" si="59"/>
        <v>0</v>
      </c>
      <c r="CS47" s="10">
        <f t="shared" si="60"/>
        <v>0</v>
      </c>
      <c r="CT47" s="10">
        <f t="shared" si="60"/>
        <v>0</v>
      </c>
      <c r="CU47" s="10">
        <f t="shared" si="60"/>
        <v>0</v>
      </c>
      <c r="CV47" s="10">
        <f t="shared" si="60"/>
        <v>0</v>
      </c>
      <c r="CW47" s="10">
        <f t="shared" si="61"/>
        <v>0</v>
      </c>
      <c r="CX47" s="10">
        <f t="shared" si="61"/>
        <v>0</v>
      </c>
      <c r="CY47" s="10">
        <f t="shared" si="61"/>
        <v>0</v>
      </c>
      <c r="CZ47" s="10">
        <f t="shared" si="61"/>
        <v>0</v>
      </c>
    </row>
    <row r="48" spans="4:104" x14ac:dyDescent="0.15">
      <c r="D48" s="10">
        <v>33</v>
      </c>
      <c r="E48" s="10" t="e">
        <f t="shared" si="21"/>
        <v>#VALUE!</v>
      </c>
      <c r="F48" s="10" t="e">
        <f t="shared" si="1"/>
        <v>#VALUE!</v>
      </c>
      <c r="G48" s="10" t="e">
        <f t="shared" si="2"/>
        <v>#VALUE!</v>
      </c>
      <c r="H48" s="10" t="e">
        <f t="shared" si="22"/>
        <v>#VALUE!</v>
      </c>
      <c r="I48" s="10" t="e">
        <f t="shared" si="3"/>
        <v>#VALUE!</v>
      </c>
      <c r="J48" s="10" t="e">
        <f t="shared" si="23"/>
        <v>#VALUE!</v>
      </c>
      <c r="K48" s="10" t="e">
        <f t="shared" si="4"/>
        <v>#VALUE!</v>
      </c>
      <c r="L48" s="10" t="e">
        <f t="shared" si="5"/>
        <v>#VALUE!</v>
      </c>
      <c r="M48" s="10" t="e">
        <f t="shared" si="24"/>
        <v>#VALUE!</v>
      </c>
      <c r="O48" s="10" t="e">
        <f t="shared" si="25"/>
        <v>#VALUE!</v>
      </c>
      <c r="P48" s="10" t="e">
        <f t="shared" si="6"/>
        <v>#VALUE!</v>
      </c>
      <c r="Q48" s="10" t="e">
        <f t="shared" si="7"/>
        <v>#VALUE!</v>
      </c>
      <c r="R48" s="10" t="e">
        <f t="shared" si="26"/>
        <v>#VALUE!</v>
      </c>
      <c r="S48" s="10" t="e">
        <f t="shared" si="27"/>
        <v>#VALUE!</v>
      </c>
      <c r="T48" s="10" t="e">
        <f t="shared" si="62"/>
        <v>#VALUE!</v>
      </c>
      <c r="U48" s="10" t="e">
        <f t="shared" si="63"/>
        <v>#VALUE!</v>
      </c>
      <c r="V48" s="10" t="e">
        <f t="shared" si="8"/>
        <v>#VALUE!</v>
      </c>
      <c r="W48" s="10" t="e">
        <f t="shared" si="28"/>
        <v>#VALUE!</v>
      </c>
      <c r="Y48" s="10" t="e">
        <f t="shared" si="29"/>
        <v>#VALUE!</v>
      </c>
      <c r="Z48" s="11" t="e">
        <f t="shared" si="30"/>
        <v>#VALUE!</v>
      </c>
      <c r="AA48" s="10" t="e">
        <f t="shared" si="9"/>
        <v>#VALUE!</v>
      </c>
      <c r="AB48" s="10" t="e">
        <f t="shared" si="31"/>
        <v>#VALUE!</v>
      </c>
      <c r="AC48" s="10" t="e">
        <f t="shared" si="32"/>
        <v>#VALUE!</v>
      </c>
      <c r="AD48" s="10" t="e">
        <f t="shared" si="64"/>
        <v>#VALUE!</v>
      </c>
      <c r="AE48" s="10" t="e">
        <f t="shared" si="65"/>
        <v>#VALUE!</v>
      </c>
      <c r="AF48" s="10" t="e">
        <f t="shared" si="10"/>
        <v>#VALUE!</v>
      </c>
      <c r="AG48" s="10" t="e">
        <f t="shared" si="33"/>
        <v>#VALUE!</v>
      </c>
      <c r="AI48" s="13"/>
      <c r="AK48" s="10" t="e">
        <f t="shared" si="34"/>
        <v>#VALUE!</v>
      </c>
      <c r="AL48" s="10" t="e">
        <f t="shared" si="66"/>
        <v>#VALUE!</v>
      </c>
      <c r="AM48" s="10" t="e">
        <f t="shared" si="11"/>
        <v>#VALUE!</v>
      </c>
      <c r="AN48" s="10" t="e">
        <f t="shared" si="35"/>
        <v>#VALUE!</v>
      </c>
      <c r="AO48" s="10" t="e">
        <f t="shared" si="36"/>
        <v>#VALUE!</v>
      </c>
      <c r="AP48" s="10" t="e">
        <f t="shared" si="37"/>
        <v>#VALUE!</v>
      </c>
      <c r="AQ48" s="10" t="e">
        <f t="shared" si="67"/>
        <v>#VALUE!</v>
      </c>
      <c r="AR48" s="10" t="e">
        <f t="shared" si="12"/>
        <v>#VALUE!</v>
      </c>
      <c r="AS48" s="10" t="e">
        <f t="shared" si="68"/>
        <v>#VALUE!</v>
      </c>
      <c r="AU48" s="10" t="e">
        <f t="shared" si="38"/>
        <v>#VALUE!</v>
      </c>
      <c r="AV48" s="10" t="e">
        <f t="shared" si="69"/>
        <v>#VALUE!</v>
      </c>
      <c r="AW48" s="10" t="e">
        <f t="shared" si="13"/>
        <v>#VALUE!</v>
      </c>
      <c r="AX48" s="10" t="e">
        <f t="shared" si="39"/>
        <v>#VALUE!</v>
      </c>
      <c r="AY48" s="10" t="e">
        <f t="shared" si="40"/>
        <v>#VALUE!</v>
      </c>
      <c r="AZ48" s="10" t="e">
        <f t="shared" si="41"/>
        <v>#VALUE!</v>
      </c>
      <c r="BA48" s="10" t="e">
        <f t="shared" si="70"/>
        <v>#VALUE!</v>
      </c>
      <c r="BB48" s="10" t="e">
        <f t="shared" si="14"/>
        <v>#VALUE!</v>
      </c>
      <c r="BC48" s="10" t="e">
        <f t="shared" si="71"/>
        <v>#VALUE!</v>
      </c>
      <c r="BE48" s="10" t="e">
        <f t="shared" si="42"/>
        <v>#VALUE!</v>
      </c>
      <c r="BF48" s="10" t="e">
        <f t="shared" si="72"/>
        <v>#VALUE!</v>
      </c>
      <c r="BG48" s="10" t="e">
        <f t="shared" si="15"/>
        <v>#VALUE!</v>
      </c>
      <c r="BH48" s="10" t="e">
        <f t="shared" si="43"/>
        <v>#VALUE!</v>
      </c>
      <c r="BI48" s="10" t="e">
        <f t="shared" si="44"/>
        <v>#VALUE!</v>
      </c>
      <c r="BJ48" s="10" t="e">
        <f t="shared" si="45"/>
        <v>#VALUE!</v>
      </c>
      <c r="BK48" s="10" t="e">
        <f t="shared" si="73"/>
        <v>#VALUE!</v>
      </c>
      <c r="BL48" s="10" t="e">
        <f t="shared" si="16"/>
        <v>#VALUE!</v>
      </c>
      <c r="BM48" s="10" t="e">
        <f t="shared" si="74"/>
        <v>#VALUE!</v>
      </c>
      <c r="BP48" s="10" t="e">
        <f t="shared" si="46"/>
        <v>#VALUE!</v>
      </c>
      <c r="BQ48" s="10" t="e">
        <f t="shared" si="47"/>
        <v>#VALUE!</v>
      </c>
      <c r="BR48" s="10" t="e">
        <f t="shared" si="48"/>
        <v>#VALUE!</v>
      </c>
      <c r="BS48" s="10" t="e">
        <f t="shared" si="49"/>
        <v>#VALUE!</v>
      </c>
      <c r="BT48" s="10" t="e">
        <f t="shared" si="50"/>
        <v>#VALUE!</v>
      </c>
      <c r="BU48" s="10" t="e">
        <f t="shared" si="51"/>
        <v>#VALUE!</v>
      </c>
      <c r="BW48" s="10" t="e">
        <f t="shared" si="52"/>
        <v>#VALUE!</v>
      </c>
      <c r="BX48" s="10" t="e">
        <f t="shared" si="53"/>
        <v>#VALUE!</v>
      </c>
      <c r="BY48" s="10" t="e">
        <f t="shared" si="54"/>
        <v>#VALUE!</v>
      </c>
      <c r="BZ48" s="10" t="e">
        <f t="shared" si="55"/>
        <v>#VALUE!</v>
      </c>
      <c r="CA48" s="10" t="e">
        <f t="shared" si="56"/>
        <v>#VALUE!</v>
      </c>
      <c r="CB48" s="10" t="e">
        <f t="shared" si="57"/>
        <v>#VALUE!</v>
      </c>
      <c r="CD48" s="10" t="e">
        <f>MATCH(INDEX($BP$12:$BU$12,1,MATCH(BP48,$BP$15:$BU$15,0)),结果汇总!$AI$10:$AI$13,0)</f>
        <v>#VALUE!</v>
      </c>
      <c r="CE48" s="10" t="e">
        <f>MATCH(INDEX($BP$12:$BU$12,1,MATCH(BQ48,$BP$15:$BU$15,0)),结果汇总!$AI$10:$AI$13,0)</f>
        <v>#VALUE!</v>
      </c>
      <c r="CF48" s="10" t="e">
        <f>MATCH(INDEX($BP$12:$BU$12,1,MATCH(BR48,$BP$15:$BU$15,0)),结果汇总!$AI$10:$AI$13,0)</f>
        <v>#VALUE!</v>
      </c>
      <c r="CG48" s="10" t="e">
        <f>MATCH(INDEX($BP$12:$BU$12,1,MATCH(BS48,$BP$15:$BU$15,0)),结果汇总!$AI$10:$AI$13,0)</f>
        <v>#VALUE!</v>
      </c>
      <c r="CH48" s="10" t="e">
        <f>MATCH(INDEX($BP$12:$BU$12,1,MATCH(BT48,$BP$15:$BU$15,0)),结果汇总!$AI$10:$AI$13,0)</f>
        <v>#VALUE!</v>
      </c>
      <c r="CI48" s="10" t="e">
        <f>MATCH(INDEX($BP$12:$BU$12,1,MATCH(BU48,$BP$15:$BU$15,0)),结果汇总!$AI$10:$AI$13,0)</f>
        <v>#VALUE!</v>
      </c>
      <c r="CK48" s="10">
        <f t="shared" si="58"/>
        <v>0</v>
      </c>
      <c r="CL48" s="10">
        <f t="shared" si="58"/>
        <v>0</v>
      </c>
      <c r="CM48" s="10">
        <f t="shared" si="58"/>
        <v>0</v>
      </c>
      <c r="CN48" s="10">
        <f t="shared" si="58"/>
        <v>0</v>
      </c>
      <c r="CO48" s="10">
        <f t="shared" si="59"/>
        <v>0</v>
      </c>
      <c r="CP48" s="10">
        <f t="shared" si="59"/>
        <v>0</v>
      </c>
      <c r="CQ48" s="10">
        <f t="shared" si="59"/>
        <v>0</v>
      </c>
      <c r="CR48" s="10">
        <f t="shared" si="59"/>
        <v>0</v>
      </c>
      <c r="CS48" s="10">
        <f t="shared" si="60"/>
        <v>0</v>
      </c>
      <c r="CT48" s="10">
        <f t="shared" si="60"/>
        <v>0</v>
      </c>
      <c r="CU48" s="10">
        <f t="shared" si="60"/>
        <v>0</v>
      </c>
      <c r="CV48" s="10">
        <f t="shared" si="60"/>
        <v>0</v>
      </c>
      <c r="CW48" s="10">
        <f t="shared" si="61"/>
        <v>0</v>
      </c>
      <c r="CX48" s="10">
        <f t="shared" si="61"/>
        <v>0</v>
      </c>
      <c r="CY48" s="10">
        <f t="shared" si="61"/>
        <v>0</v>
      </c>
      <c r="CZ48" s="10">
        <f t="shared" si="61"/>
        <v>0</v>
      </c>
    </row>
    <row r="49" spans="4:104" x14ac:dyDescent="0.15">
      <c r="D49" s="10">
        <v>34</v>
      </c>
      <c r="E49" s="10" t="e">
        <f t="shared" si="21"/>
        <v>#VALUE!</v>
      </c>
      <c r="F49" s="10" t="e">
        <f t="shared" si="1"/>
        <v>#VALUE!</v>
      </c>
      <c r="G49" s="10" t="e">
        <f t="shared" si="2"/>
        <v>#VALUE!</v>
      </c>
      <c r="H49" s="10" t="e">
        <f t="shared" si="22"/>
        <v>#VALUE!</v>
      </c>
      <c r="I49" s="10" t="e">
        <f t="shared" si="3"/>
        <v>#VALUE!</v>
      </c>
      <c r="J49" s="10" t="e">
        <f t="shared" si="23"/>
        <v>#VALUE!</v>
      </c>
      <c r="K49" s="10" t="e">
        <f t="shared" si="4"/>
        <v>#VALUE!</v>
      </c>
      <c r="L49" s="10" t="e">
        <f t="shared" si="5"/>
        <v>#VALUE!</v>
      </c>
      <c r="M49" s="10" t="e">
        <f t="shared" si="24"/>
        <v>#VALUE!</v>
      </c>
      <c r="O49" s="10" t="e">
        <f t="shared" si="25"/>
        <v>#VALUE!</v>
      </c>
      <c r="P49" s="10" t="e">
        <f t="shared" si="6"/>
        <v>#VALUE!</v>
      </c>
      <c r="Q49" s="10" t="e">
        <f t="shared" si="7"/>
        <v>#VALUE!</v>
      </c>
      <c r="R49" s="10" t="e">
        <f t="shared" si="26"/>
        <v>#VALUE!</v>
      </c>
      <c r="S49" s="10" t="e">
        <f t="shared" si="27"/>
        <v>#VALUE!</v>
      </c>
      <c r="T49" s="10" t="e">
        <f t="shared" si="62"/>
        <v>#VALUE!</v>
      </c>
      <c r="U49" s="10" t="e">
        <f t="shared" si="63"/>
        <v>#VALUE!</v>
      </c>
      <c r="V49" s="10" t="e">
        <f t="shared" si="8"/>
        <v>#VALUE!</v>
      </c>
      <c r="W49" s="10" t="e">
        <f t="shared" si="28"/>
        <v>#VALUE!</v>
      </c>
      <c r="Y49" s="10" t="e">
        <f t="shared" si="29"/>
        <v>#VALUE!</v>
      </c>
      <c r="Z49" s="11" t="e">
        <f t="shared" si="30"/>
        <v>#VALUE!</v>
      </c>
      <c r="AA49" s="10" t="e">
        <f t="shared" si="9"/>
        <v>#VALUE!</v>
      </c>
      <c r="AB49" s="10" t="e">
        <f t="shared" si="31"/>
        <v>#VALUE!</v>
      </c>
      <c r="AC49" s="10" t="e">
        <f t="shared" si="32"/>
        <v>#VALUE!</v>
      </c>
      <c r="AD49" s="10" t="e">
        <f t="shared" si="64"/>
        <v>#VALUE!</v>
      </c>
      <c r="AE49" s="10" t="e">
        <f t="shared" si="65"/>
        <v>#VALUE!</v>
      </c>
      <c r="AF49" s="10" t="e">
        <f t="shared" si="10"/>
        <v>#VALUE!</v>
      </c>
      <c r="AG49" s="10" t="e">
        <f t="shared" si="33"/>
        <v>#VALUE!</v>
      </c>
      <c r="AI49" s="13"/>
      <c r="AK49" s="10" t="e">
        <f t="shared" si="34"/>
        <v>#VALUE!</v>
      </c>
      <c r="AL49" s="10" t="e">
        <f t="shared" si="66"/>
        <v>#VALUE!</v>
      </c>
      <c r="AM49" s="10" t="e">
        <f t="shared" si="11"/>
        <v>#VALUE!</v>
      </c>
      <c r="AN49" s="10" t="e">
        <f t="shared" si="35"/>
        <v>#VALUE!</v>
      </c>
      <c r="AO49" s="10" t="e">
        <f t="shared" si="36"/>
        <v>#VALUE!</v>
      </c>
      <c r="AP49" s="10" t="e">
        <f t="shared" si="37"/>
        <v>#VALUE!</v>
      </c>
      <c r="AQ49" s="10" t="e">
        <f t="shared" si="67"/>
        <v>#VALUE!</v>
      </c>
      <c r="AR49" s="10" t="e">
        <f t="shared" si="12"/>
        <v>#VALUE!</v>
      </c>
      <c r="AS49" s="10" t="e">
        <f t="shared" si="68"/>
        <v>#VALUE!</v>
      </c>
      <c r="AU49" s="10" t="e">
        <f t="shared" si="38"/>
        <v>#VALUE!</v>
      </c>
      <c r="AV49" s="10" t="e">
        <f t="shared" si="69"/>
        <v>#VALUE!</v>
      </c>
      <c r="AW49" s="10" t="e">
        <f t="shared" si="13"/>
        <v>#VALUE!</v>
      </c>
      <c r="AX49" s="10" t="e">
        <f t="shared" si="39"/>
        <v>#VALUE!</v>
      </c>
      <c r="AY49" s="10" t="e">
        <f t="shared" si="40"/>
        <v>#VALUE!</v>
      </c>
      <c r="AZ49" s="10" t="e">
        <f t="shared" si="41"/>
        <v>#VALUE!</v>
      </c>
      <c r="BA49" s="10" t="e">
        <f t="shared" si="70"/>
        <v>#VALUE!</v>
      </c>
      <c r="BB49" s="10" t="e">
        <f t="shared" si="14"/>
        <v>#VALUE!</v>
      </c>
      <c r="BC49" s="10" t="e">
        <f t="shared" si="71"/>
        <v>#VALUE!</v>
      </c>
      <c r="BE49" s="10" t="e">
        <f t="shared" si="42"/>
        <v>#VALUE!</v>
      </c>
      <c r="BF49" s="10" t="e">
        <f t="shared" si="72"/>
        <v>#VALUE!</v>
      </c>
      <c r="BG49" s="10" t="e">
        <f t="shared" si="15"/>
        <v>#VALUE!</v>
      </c>
      <c r="BH49" s="10" t="e">
        <f t="shared" si="43"/>
        <v>#VALUE!</v>
      </c>
      <c r="BI49" s="10" t="e">
        <f t="shared" si="44"/>
        <v>#VALUE!</v>
      </c>
      <c r="BJ49" s="10" t="e">
        <f t="shared" si="45"/>
        <v>#VALUE!</v>
      </c>
      <c r="BK49" s="10" t="e">
        <f t="shared" si="73"/>
        <v>#VALUE!</v>
      </c>
      <c r="BL49" s="10" t="e">
        <f t="shared" si="16"/>
        <v>#VALUE!</v>
      </c>
      <c r="BM49" s="10" t="e">
        <f t="shared" si="74"/>
        <v>#VALUE!</v>
      </c>
      <c r="BP49" s="10" t="e">
        <f t="shared" si="46"/>
        <v>#VALUE!</v>
      </c>
      <c r="BQ49" s="10" t="e">
        <f t="shared" si="47"/>
        <v>#VALUE!</v>
      </c>
      <c r="BR49" s="10" t="e">
        <f t="shared" si="48"/>
        <v>#VALUE!</v>
      </c>
      <c r="BS49" s="10" t="e">
        <f t="shared" si="49"/>
        <v>#VALUE!</v>
      </c>
      <c r="BT49" s="10" t="e">
        <f t="shared" si="50"/>
        <v>#VALUE!</v>
      </c>
      <c r="BU49" s="10" t="e">
        <f t="shared" si="51"/>
        <v>#VALUE!</v>
      </c>
      <c r="BW49" s="10" t="e">
        <f t="shared" si="52"/>
        <v>#VALUE!</v>
      </c>
      <c r="BX49" s="10" t="e">
        <f t="shared" si="53"/>
        <v>#VALUE!</v>
      </c>
      <c r="BY49" s="10" t="e">
        <f t="shared" si="54"/>
        <v>#VALUE!</v>
      </c>
      <c r="BZ49" s="10" t="e">
        <f t="shared" si="55"/>
        <v>#VALUE!</v>
      </c>
      <c r="CA49" s="10" t="e">
        <f t="shared" si="56"/>
        <v>#VALUE!</v>
      </c>
      <c r="CB49" s="10" t="e">
        <f t="shared" si="57"/>
        <v>#VALUE!</v>
      </c>
      <c r="CD49" s="10" t="e">
        <f>MATCH(INDEX($BP$12:$BU$12,1,MATCH(BP49,$BP$15:$BU$15,0)),结果汇总!$AI$10:$AI$13,0)</f>
        <v>#VALUE!</v>
      </c>
      <c r="CE49" s="10" t="e">
        <f>MATCH(INDEX($BP$12:$BU$12,1,MATCH(BQ49,$BP$15:$BU$15,0)),结果汇总!$AI$10:$AI$13,0)</f>
        <v>#VALUE!</v>
      </c>
      <c r="CF49" s="10" t="e">
        <f>MATCH(INDEX($BP$12:$BU$12,1,MATCH(BR49,$BP$15:$BU$15,0)),结果汇总!$AI$10:$AI$13,0)</f>
        <v>#VALUE!</v>
      </c>
      <c r="CG49" s="10" t="e">
        <f>MATCH(INDEX($BP$12:$BU$12,1,MATCH(BS49,$BP$15:$BU$15,0)),结果汇总!$AI$10:$AI$13,0)</f>
        <v>#VALUE!</v>
      </c>
      <c r="CH49" s="10" t="e">
        <f>MATCH(INDEX($BP$12:$BU$12,1,MATCH(BT49,$BP$15:$BU$15,0)),结果汇总!$AI$10:$AI$13,0)</f>
        <v>#VALUE!</v>
      </c>
      <c r="CI49" s="10" t="e">
        <f>MATCH(INDEX($BP$12:$BU$12,1,MATCH(BU49,$BP$15:$BU$15,0)),结果汇总!$AI$10:$AI$13,0)</f>
        <v>#VALUE!</v>
      </c>
      <c r="CK49" s="10">
        <f t="shared" ref="CK49:CN80" si="75">COUNTIFS($CD49:$CI49,CK$15,$CD$15:$CI$15,$CK$14)/COUNTIFS($CD$15:$CI$15,$CK$14)</f>
        <v>0</v>
      </c>
      <c r="CL49" s="10">
        <f t="shared" si="75"/>
        <v>0</v>
      </c>
      <c r="CM49" s="10">
        <f t="shared" si="75"/>
        <v>0</v>
      </c>
      <c r="CN49" s="10">
        <f t="shared" si="75"/>
        <v>0</v>
      </c>
      <c r="CO49" s="10">
        <f t="shared" ref="CO49:CR80" si="76">COUNTIFS($CD49:$CI49,CO$15,$CD$15:$CI$15,$CO$14)/COUNTIFS($CD$15:$CI$15,$CO$14)</f>
        <v>0</v>
      </c>
      <c r="CP49" s="10">
        <f t="shared" si="76"/>
        <v>0</v>
      </c>
      <c r="CQ49" s="10">
        <f t="shared" si="76"/>
        <v>0</v>
      </c>
      <c r="CR49" s="10">
        <f t="shared" si="76"/>
        <v>0</v>
      </c>
      <c r="CS49" s="10">
        <f t="shared" ref="CS49:CV80" si="77">COUNTIFS($CD49:$CI49,CS$15,$CD$15:$CI$15,$CS$14)/COUNTIFS($CD$15:$CI$15,$CS$14)</f>
        <v>0</v>
      </c>
      <c r="CT49" s="10">
        <f t="shared" si="77"/>
        <v>0</v>
      </c>
      <c r="CU49" s="10">
        <f t="shared" si="77"/>
        <v>0</v>
      </c>
      <c r="CV49" s="10">
        <f t="shared" si="77"/>
        <v>0</v>
      </c>
      <c r="CW49" s="10">
        <f t="shared" ref="CW49:CZ80" si="78">COUNTIFS($CD49:$CI49,CW$15,$CD$15:$CI$15,$CW$14)/COUNTIFS($CD$15:$CI$15,$CW$14)</f>
        <v>0</v>
      </c>
      <c r="CX49" s="10">
        <f t="shared" si="78"/>
        <v>0</v>
      </c>
      <c r="CY49" s="10">
        <f t="shared" si="78"/>
        <v>0</v>
      </c>
      <c r="CZ49" s="10">
        <f t="shared" si="78"/>
        <v>0</v>
      </c>
    </row>
    <row r="50" spans="4:104" x14ac:dyDescent="0.15">
      <c r="D50" s="10">
        <v>35</v>
      </c>
      <c r="E50" s="10" t="e">
        <f t="shared" si="21"/>
        <v>#VALUE!</v>
      </c>
      <c r="F50" s="10" t="e">
        <f t="shared" si="1"/>
        <v>#VALUE!</v>
      </c>
      <c r="G50" s="10" t="e">
        <f t="shared" si="2"/>
        <v>#VALUE!</v>
      </c>
      <c r="H50" s="10" t="e">
        <f t="shared" si="22"/>
        <v>#VALUE!</v>
      </c>
      <c r="I50" s="10" t="e">
        <f t="shared" si="3"/>
        <v>#VALUE!</v>
      </c>
      <c r="J50" s="10" t="e">
        <f t="shared" si="23"/>
        <v>#VALUE!</v>
      </c>
      <c r="K50" s="10" t="e">
        <f t="shared" si="4"/>
        <v>#VALUE!</v>
      </c>
      <c r="L50" s="10" t="e">
        <f t="shared" si="5"/>
        <v>#VALUE!</v>
      </c>
      <c r="M50" s="10" t="e">
        <f t="shared" si="24"/>
        <v>#VALUE!</v>
      </c>
      <c r="O50" s="10" t="e">
        <f t="shared" si="25"/>
        <v>#VALUE!</v>
      </c>
      <c r="P50" s="10" t="e">
        <f t="shared" si="6"/>
        <v>#VALUE!</v>
      </c>
      <c r="Q50" s="10" t="e">
        <f t="shared" si="7"/>
        <v>#VALUE!</v>
      </c>
      <c r="R50" s="10" t="e">
        <f t="shared" si="26"/>
        <v>#VALUE!</v>
      </c>
      <c r="S50" s="10" t="e">
        <f t="shared" si="27"/>
        <v>#VALUE!</v>
      </c>
      <c r="T50" s="10" t="e">
        <f t="shared" si="62"/>
        <v>#VALUE!</v>
      </c>
      <c r="U50" s="10" t="e">
        <f t="shared" si="63"/>
        <v>#VALUE!</v>
      </c>
      <c r="V50" s="10" t="e">
        <f t="shared" si="8"/>
        <v>#VALUE!</v>
      </c>
      <c r="W50" s="10" t="e">
        <f t="shared" si="28"/>
        <v>#VALUE!</v>
      </c>
      <c r="Y50" s="10" t="e">
        <f t="shared" si="29"/>
        <v>#VALUE!</v>
      </c>
      <c r="Z50" s="11" t="e">
        <f t="shared" si="30"/>
        <v>#VALUE!</v>
      </c>
      <c r="AA50" s="10" t="e">
        <f t="shared" si="9"/>
        <v>#VALUE!</v>
      </c>
      <c r="AB50" s="10" t="e">
        <f t="shared" si="31"/>
        <v>#VALUE!</v>
      </c>
      <c r="AC50" s="10" t="e">
        <f t="shared" si="32"/>
        <v>#VALUE!</v>
      </c>
      <c r="AD50" s="10" t="e">
        <f t="shared" si="64"/>
        <v>#VALUE!</v>
      </c>
      <c r="AE50" s="10" t="e">
        <f t="shared" si="65"/>
        <v>#VALUE!</v>
      </c>
      <c r="AF50" s="10" t="e">
        <f t="shared" si="10"/>
        <v>#VALUE!</v>
      </c>
      <c r="AG50" s="10" t="e">
        <f t="shared" si="33"/>
        <v>#VALUE!</v>
      </c>
      <c r="AI50" s="13"/>
      <c r="AK50" s="10" t="e">
        <f t="shared" si="34"/>
        <v>#VALUE!</v>
      </c>
      <c r="AL50" s="10" t="e">
        <f t="shared" si="66"/>
        <v>#VALUE!</v>
      </c>
      <c r="AM50" s="10" t="e">
        <f t="shared" si="11"/>
        <v>#VALUE!</v>
      </c>
      <c r="AN50" s="10" t="e">
        <f t="shared" si="35"/>
        <v>#VALUE!</v>
      </c>
      <c r="AO50" s="10" t="e">
        <f t="shared" si="36"/>
        <v>#VALUE!</v>
      </c>
      <c r="AP50" s="10" t="e">
        <f t="shared" si="37"/>
        <v>#VALUE!</v>
      </c>
      <c r="AQ50" s="10" t="e">
        <f t="shared" si="67"/>
        <v>#VALUE!</v>
      </c>
      <c r="AR50" s="10" t="e">
        <f t="shared" si="12"/>
        <v>#VALUE!</v>
      </c>
      <c r="AS50" s="10" t="e">
        <f t="shared" si="68"/>
        <v>#VALUE!</v>
      </c>
      <c r="AU50" s="10" t="e">
        <f t="shared" si="38"/>
        <v>#VALUE!</v>
      </c>
      <c r="AV50" s="10" t="e">
        <f t="shared" si="69"/>
        <v>#VALUE!</v>
      </c>
      <c r="AW50" s="10" t="e">
        <f t="shared" si="13"/>
        <v>#VALUE!</v>
      </c>
      <c r="AX50" s="10" t="e">
        <f t="shared" si="39"/>
        <v>#VALUE!</v>
      </c>
      <c r="AY50" s="10" t="e">
        <f t="shared" si="40"/>
        <v>#VALUE!</v>
      </c>
      <c r="AZ50" s="10" t="e">
        <f t="shared" si="41"/>
        <v>#VALUE!</v>
      </c>
      <c r="BA50" s="10" t="e">
        <f t="shared" si="70"/>
        <v>#VALUE!</v>
      </c>
      <c r="BB50" s="10" t="e">
        <f t="shared" si="14"/>
        <v>#VALUE!</v>
      </c>
      <c r="BC50" s="10" t="e">
        <f t="shared" si="71"/>
        <v>#VALUE!</v>
      </c>
      <c r="BE50" s="10" t="e">
        <f t="shared" si="42"/>
        <v>#VALUE!</v>
      </c>
      <c r="BF50" s="10" t="e">
        <f t="shared" si="72"/>
        <v>#VALUE!</v>
      </c>
      <c r="BG50" s="10" t="e">
        <f t="shared" si="15"/>
        <v>#VALUE!</v>
      </c>
      <c r="BH50" s="10" t="e">
        <f t="shared" si="43"/>
        <v>#VALUE!</v>
      </c>
      <c r="BI50" s="10" t="e">
        <f t="shared" si="44"/>
        <v>#VALUE!</v>
      </c>
      <c r="BJ50" s="10" t="e">
        <f t="shared" si="45"/>
        <v>#VALUE!</v>
      </c>
      <c r="BK50" s="10" t="e">
        <f t="shared" si="73"/>
        <v>#VALUE!</v>
      </c>
      <c r="BL50" s="10" t="e">
        <f t="shared" si="16"/>
        <v>#VALUE!</v>
      </c>
      <c r="BM50" s="10" t="e">
        <f t="shared" si="74"/>
        <v>#VALUE!</v>
      </c>
      <c r="BP50" s="10" t="e">
        <f t="shared" si="46"/>
        <v>#VALUE!</v>
      </c>
      <c r="BQ50" s="10" t="e">
        <f t="shared" si="47"/>
        <v>#VALUE!</v>
      </c>
      <c r="BR50" s="10" t="e">
        <f t="shared" si="48"/>
        <v>#VALUE!</v>
      </c>
      <c r="BS50" s="10" t="e">
        <f t="shared" si="49"/>
        <v>#VALUE!</v>
      </c>
      <c r="BT50" s="10" t="e">
        <f t="shared" si="50"/>
        <v>#VALUE!</v>
      </c>
      <c r="BU50" s="10" t="e">
        <f t="shared" si="51"/>
        <v>#VALUE!</v>
      </c>
      <c r="BW50" s="10" t="e">
        <f t="shared" si="52"/>
        <v>#VALUE!</v>
      </c>
      <c r="BX50" s="10" t="e">
        <f t="shared" si="53"/>
        <v>#VALUE!</v>
      </c>
      <c r="BY50" s="10" t="e">
        <f t="shared" si="54"/>
        <v>#VALUE!</v>
      </c>
      <c r="BZ50" s="10" t="e">
        <f t="shared" si="55"/>
        <v>#VALUE!</v>
      </c>
      <c r="CA50" s="10" t="e">
        <f t="shared" si="56"/>
        <v>#VALUE!</v>
      </c>
      <c r="CB50" s="10" t="e">
        <f t="shared" si="57"/>
        <v>#VALUE!</v>
      </c>
      <c r="CD50" s="10" t="e">
        <f>MATCH(INDEX($BP$12:$BU$12,1,MATCH(BP50,$BP$15:$BU$15,0)),结果汇总!$AI$10:$AI$13,0)</f>
        <v>#VALUE!</v>
      </c>
      <c r="CE50" s="10" t="e">
        <f>MATCH(INDEX($BP$12:$BU$12,1,MATCH(BQ50,$BP$15:$BU$15,0)),结果汇总!$AI$10:$AI$13,0)</f>
        <v>#VALUE!</v>
      </c>
      <c r="CF50" s="10" t="e">
        <f>MATCH(INDEX($BP$12:$BU$12,1,MATCH(BR50,$BP$15:$BU$15,0)),结果汇总!$AI$10:$AI$13,0)</f>
        <v>#VALUE!</v>
      </c>
      <c r="CG50" s="10" t="e">
        <f>MATCH(INDEX($BP$12:$BU$12,1,MATCH(BS50,$BP$15:$BU$15,0)),结果汇总!$AI$10:$AI$13,0)</f>
        <v>#VALUE!</v>
      </c>
      <c r="CH50" s="10" t="e">
        <f>MATCH(INDEX($BP$12:$BU$12,1,MATCH(BT50,$BP$15:$BU$15,0)),结果汇总!$AI$10:$AI$13,0)</f>
        <v>#VALUE!</v>
      </c>
      <c r="CI50" s="10" t="e">
        <f>MATCH(INDEX($BP$12:$BU$12,1,MATCH(BU50,$BP$15:$BU$15,0)),结果汇总!$AI$10:$AI$13,0)</f>
        <v>#VALUE!</v>
      </c>
      <c r="CK50" s="10">
        <f t="shared" si="75"/>
        <v>0</v>
      </c>
      <c r="CL50" s="10">
        <f t="shared" si="75"/>
        <v>0</v>
      </c>
      <c r="CM50" s="10">
        <f t="shared" si="75"/>
        <v>0</v>
      </c>
      <c r="CN50" s="10">
        <f t="shared" si="75"/>
        <v>0</v>
      </c>
      <c r="CO50" s="10">
        <f t="shared" si="76"/>
        <v>0</v>
      </c>
      <c r="CP50" s="10">
        <f t="shared" si="76"/>
        <v>0</v>
      </c>
      <c r="CQ50" s="10">
        <f t="shared" si="76"/>
        <v>0</v>
      </c>
      <c r="CR50" s="10">
        <f t="shared" si="76"/>
        <v>0</v>
      </c>
      <c r="CS50" s="10">
        <f t="shared" si="77"/>
        <v>0</v>
      </c>
      <c r="CT50" s="10">
        <f t="shared" si="77"/>
        <v>0</v>
      </c>
      <c r="CU50" s="10">
        <f t="shared" si="77"/>
        <v>0</v>
      </c>
      <c r="CV50" s="10">
        <f t="shared" si="77"/>
        <v>0</v>
      </c>
      <c r="CW50" s="10">
        <f t="shared" si="78"/>
        <v>0</v>
      </c>
      <c r="CX50" s="10">
        <f t="shared" si="78"/>
        <v>0</v>
      </c>
      <c r="CY50" s="10">
        <f t="shared" si="78"/>
        <v>0</v>
      </c>
      <c r="CZ50" s="10">
        <f t="shared" si="78"/>
        <v>0</v>
      </c>
    </row>
    <row r="51" spans="4:104" x14ac:dyDescent="0.15">
      <c r="D51" s="10">
        <v>36</v>
      </c>
      <c r="E51" s="10" t="e">
        <f t="shared" si="21"/>
        <v>#VALUE!</v>
      </c>
      <c r="F51" s="10" t="e">
        <f t="shared" si="1"/>
        <v>#VALUE!</v>
      </c>
      <c r="G51" s="10" t="e">
        <f t="shared" si="2"/>
        <v>#VALUE!</v>
      </c>
      <c r="H51" s="10" t="e">
        <f t="shared" si="22"/>
        <v>#VALUE!</v>
      </c>
      <c r="I51" s="10" t="e">
        <f t="shared" si="3"/>
        <v>#VALUE!</v>
      </c>
      <c r="J51" s="10" t="e">
        <f t="shared" si="23"/>
        <v>#VALUE!</v>
      </c>
      <c r="K51" s="10" t="e">
        <f t="shared" si="4"/>
        <v>#VALUE!</v>
      </c>
      <c r="L51" s="10" t="e">
        <f t="shared" si="5"/>
        <v>#VALUE!</v>
      </c>
      <c r="M51" s="10" t="e">
        <f t="shared" si="24"/>
        <v>#VALUE!</v>
      </c>
      <c r="O51" s="10" t="e">
        <f t="shared" si="25"/>
        <v>#VALUE!</v>
      </c>
      <c r="P51" s="10" t="e">
        <f t="shared" si="6"/>
        <v>#VALUE!</v>
      </c>
      <c r="Q51" s="10" t="e">
        <f t="shared" si="7"/>
        <v>#VALUE!</v>
      </c>
      <c r="R51" s="10" t="e">
        <f t="shared" si="26"/>
        <v>#VALUE!</v>
      </c>
      <c r="S51" s="10" t="e">
        <f t="shared" si="27"/>
        <v>#VALUE!</v>
      </c>
      <c r="T51" s="10" t="e">
        <f t="shared" si="62"/>
        <v>#VALUE!</v>
      </c>
      <c r="U51" s="10" t="e">
        <f t="shared" si="63"/>
        <v>#VALUE!</v>
      </c>
      <c r="V51" s="10" t="e">
        <f t="shared" si="8"/>
        <v>#VALUE!</v>
      </c>
      <c r="W51" s="10" t="e">
        <f t="shared" si="28"/>
        <v>#VALUE!</v>
      </c>
      <c r="Y51" s="10" t="e">
        <f t="shared" si="29"/>
        <v>#VALUE!</v>
      </c>
      <c r="Z51" s="11" t="e">
        <f t="shared" si="30"/>
        <v>#VALUE!</v>
      </c>
      <c r="AA51" s="10" t="e">
        <f t="shared" si="9"/>
        <v>#VALUE!</v>
      </c>
      <c r="AB51" s="10" t="e">
        <f t="shared" si="31"/>
        <v>#VALUE!</v>
      </c>
      <c r="AC51" s="10" t="e">
        <f t="shared" si="32"/>
        <v>#VALUE!</v>
      </c>
      <c r="AD51" s="10" t="e">
        <f t="shared" si="64"/>
        <v>#VALUE!</v>
      </c>
      <c r="AE51" s="10" t="e">
        <f t="shared" si="65"/>
        <v>#VALUE!</v>
      </c>
      <c r="AF51" s="10" t="e">
        <f t="shared" si="10"/>
        <v>#VALUE!</v>
      </c>
      <c r="AG51" s="10" t="e">
        <f t="shared" si="33"/>
        <v>#VALUE!</v>
      </c>
      <c r="AI51" s="13"/>
      <c r="AK51" s="10" t="e">
        <f t="shared" si="34"/>
        <v>#VALUE!</v>
      </c>
      <c r="AL51" s="10" t="e">
        <f t="shared" si="66"/>
        <v>#VALUE!</v>
      </c>
      <c r="AM51" s="10" t="e">
        <f t="shared" si="11"/>
        <v>#VALUE!</v>
      </c>
      <c r="AN51" s="10" t="e">
        <f t="shared" si="35"/>
        <v>#VALUE!</v>
      </c>
      <c r="AO51" s="10" t="e">
        <f t="shared" si="36"/>
        <v>#VALUE!</v>
      </c>
      <c r="AP51" s="10" t="e">
        <f t="shared" si="37"/>
        <v>#VALUE!</v>
      </c>
      <c r="AQ51" s="10" t="e">
        <f t="shared" si="67"/>
        <v>#VALUE!</v>
      </c>
      <c r="AR51" s="10" t="e">
        <f t="shared" si="12"/>
        <v>#VALUE!</v>
      </c>
      <c r="AS51" s="10" t="e">
        <f t="shared" si="68"/>
        <v>#VALUE!</v>
      </c>
      <c r="AU51" s="10" t="e">
        <f t="shared" si="38"/>
        <v>#VALUE!</v>
      </c>
      <c r="AV51" s="10" t="e">
        <f t="shared" si="69"/>
        <v>#VALUE!</v>
      </c>
      <c r="AW51" s="10" t="e">
        <f t="shared" si="13"/>
        <v>#VALUE!</v>
      </c>
      <c r="AX51" s="10" t="e">
        <f t="shared" si="39"/>
        <v>#VALUE!</v>
      </c>
      <c r="AY51" s="10" t="e">
        <f t="shared" si="40"/>
        <v>#VALUE!</v>
      </c>
      <c r="AZ51" s="10" t="e">
        <f t="shared" si="41"/>
        <v>#VALUE!</v>
      </c>
      <c r="BA51" s="10" t="e">
        <f t="shared" si="70"/>
        <v>#VALUE!</v>
      </c>
      <c r="BB51" s="10" t="e">
        <f t="shared" si="14"/>
        <v>#VALUE!</v>
      </c>
      <c r="BC51" s="10" t="e">
        <f t="shared" si="71"/>
        <v>#VALUE!</v>
      </c>
      <c r="BE51" s="10" t="e">
        <f t="shared" si="42"/>
        <v>#VALUE!</v>
      </c>
      <c r="BF51" s="10" t="e">
        <f t="shared" si="72"/>
        <v>#VALUE!</v>
      </c>
      <c r="BG51" s="10" t="e">
        <f t="shared" si="15"/>
        <v>#VALUE!</v>
      </c>
      <c r="BH51" s="10" t="e">
        <f t="shared" si="43"/>
        <v>#VALUE!</v>
      </c>
      <c r="BI51" s="10" t="e">
        <f t="shared" si="44"/>
        <v>#VALUE!</v>
      </c>
      <c r="BJ51" s="10" t="e">
        <f t="shared" si="45"/>
        <v>#VALUE!</v>
      </c>
      <c r="BK51" s="10" t="e">
        <f t="shared" si="73"/>
        <v>#VALUE!</v>
      </c>
      <c r="BL51" s="10" t="e">
        <f t="shared" si="16"/>
        <v>#VALUE!</v>
      </c>
      <c r="BM51" s="10" t="e">
        <f t="shared" si="74"/>
        <v>#VALUE!</v>
      </c>
      <c r="BP51" s="10" t="e">
        <f t="shared" si="46"/>
        <v>#VALUE!</v>
      </c>
      <c r="BQ51" s="10" t="e">
        <f t="shared" si="47"/>
        <v>#VALUE!</v>
      </c>
      <c r="BR51" s="10" t="e">
        <f t="shared" si="48"/>
        <v>#VALUE!</v>
      </c>
      <c r="BS51" s="10" t="e">
        <f t="shared" si="49"/>
        <v>#VALUE!</v>
      </c>
      <c r="BT51" s="10" t="e">
        <f t="shared" si="50"/>
        <v>#VALUE!</v>
      </c>
      <c r="BU51" s="10" t="e">
        <f t="shared" si="51"/>
        <v>#VALUE!</v>
      </c>
      <c r="BW51" s="10" t="e">
        <f t="shared" si="52"/>
        <v>#VALUE!</v>
      </c>
      <c r="BX51" s="10" t="e">
        <f t="shared" si="53"/>
        <v>#VALUE!</v>
      </c>
      <c r="BY51" s="10" t="e">
        <f t="shared" si="54"/>
        <v>#VALUE!</v>
      </c>
      <c r="BZ51" s="10" t="e">
        <f t="shared" si="55"/>
        <v>#VALUE!</v>
      </c>
      <c r="CA51" s="10" t="e">
        <f t="shared" si="56"/>
        <v>#VALUE!</v>
      </c>
      <c r="CB51" s="10" t="e">
        <f t="shared" si="57"/>
        <v>#VALUE!</v>
      </c>
      <c r="CD51" s="10" t="e">
        <f>MATCH(INDEX($BP$12:$BU$12,1,MATCH(BP51,$BP$15:$BU$15,0)),结果汇总!$AI$10:$AI$13,0)</f>
        <v>#VALUE!</v>
      </c>
      <c r="CE51" s="10" t="e">
        <f>MATCH(INDEX($BP$12:$BU$12,1,MATCH(BQ51,$BP$15:$BU$15,0)),结果汇总!$AI$10:$AI$13,0)</f>
        <v>#VALUE!</v>
      </c>
      <c r="CF51" s="10" t="e">
        <f>MATCH(INDEX($BP$12:$BU$12,1,MATCH(BR51,$BP$15:$BU$15,0)),结果汇总!$AI$10:$AI$13,0)</f>
        <v>#VALUE!</v>
      </c>
      <c r="CG51" s="10" t="e">
        <f>MATCH(INDEX($BP$12:$BU$12,1,MATCH(BS51,$BP$15:$BU$15,0)),结果汇总!$AI$10:$AI$13,0)</f>
        <v>#VALUE!</v>
      </c>
      <c r="CH51" s="10" t="e">
        <f>MATCH(INDEX($BP$12:$BU$12,1,MATCH(BT51,$BP$15:$BU$15,0)),结果汇总!$AI$10:$AI$13,0)</f>
        <v>#VALUE!</v>
      </c>
      <c r="CI51" s="10" t="e">
        <f>MATCH(INDEX($BP$12:$BU$12,1,MATCH(BU51,$BP$15:$BU$15,0)),结果汇总!$AI$10:$AI$13,0)</f>
        <v>#VALUE!</v>
      </c>
      <c r="CK51" s="10">
        <f t="shared" si="75"/>
        <v>0</v>
      </c>
      <c r="CL51" s="10">
        <f t="shared" si="75"/>
        <v>0</v>
      </c>
      <c r="CM51" s="10">
        <f t="shared" si="75"/>
        <v>0</v>
      </c>
      <c r="CN51" s="10">
        <f t="shared" si="75"/>
        <v>0</v>
      </c>
      <c r="CO51" s="10">
        <f t="shared" si="76"/>
        <v>0</v>
      </c>
      <c r="CP51" s="10">
        <f t="shared" si="76"/>
        <v>0</v>
      </c>
      <c r="CQ51" s="10">
        <f t="shared" si="76"/>
        <v>0</v>
      </c>
      <c r="CR51" s="10">
        <f t="shared" si="76"/>
        <v>0</v>
      </c>
      <c r="CS51" s="10">
        <f t="shared" si="77"/>
        <v>0</v>
      </c>
      <c r="CT51" s="10">
        <f t="shared" si="77"/>
        <v>0</v>
      </c>
      <c r="CU51" s="10">
        <f t="shared" si="77"/>
        <v>0</v>
      </c>
      <c r="CV51" s="10">
        <f t="shared" si="77"/>
        <v>0</v>
      </c>
      <c r="CW51" s="10">
        <f t="shared" si="78"/>
        <v>0</v>
      </c>
      <c r="CX51" s="10">
        <f t="shared" si="78"/>
        <v>0</v>
      </c>
      <c r="CY51" s="10">
        <f t="shared" si="78"/>
        <v>0</v>
      </c>
      <c r="CZ51" s="10">
        <f t="shared" si="78"/>
        <v>0</v>
      </c>
    </row>
    <row r="52" spans="4:104" x14ac:dyDescent="0.15">
      <c r="D52" s="10">
        <v>37</v>
      </c>
      <c r="E52" s="10" t="e">
        <f t="shared" si="21"/>
        <v>#VALUE!</v>
      </c>
      <c r="F52" s="10" t="e">
        <f t="shared" si="1"/>
        <v>#VALUE!</v>
      </c>
      <c r="G52" s="10" t="e">
        <f t="shared" si="2"/>
        <v>#VALUE!</v>
      </c>
      <c r="H52" s="10" t="e">
        <f t="shared" si="22"/>
        <v>#VALUE!</v>
      </c>
      <c r="I52" s="10" t="e">
        <f t="shared" si="3"/>
        <v>#VALUE!</v>
      </c>
      <c r="J52" s="10" t="e">
        <f t="shared" si="23"/>
        <v>#VALUE!</v>
      </c>
      <c r="K52" s="10" t="e">
        <f t="shared" si="4"/>
        <v>#VALUE!</v>
      </c>
      <c r="L52" s="10" t="e">
        <f t="shared" si="5"/>
        <v>#VALUE!</v>
      </c>
      <c r="M52" s="10" t="e">
        <f t="shared" si="24"/>
        <v>#VALUE!</v>
      </c>
      <c r="O52" s="10" t="e">
        <f t="shared" si="25"/>
        <v>#VALUE!</v>
      </c>
      <c r="P52" s="10" t="e">
        <f t="shared" si="6"/>
        <v>#VALUE!</v>
      </c>
      <c r="Q52" s="10" t="e">
        <f t="shared" si="7"/>
        <v>#VALUE!</v>
      </c>
      <c r="R52" s="10" t="e">
        <f t="shared" si="26"/>
        <v>#VALUE!</v>
      </c>
      <c r="S52" s="10" t="e">
        <f t="shared" si="27"/>
        <v>#VALUE!</v>
      </c>
      <c r="T52" s="10" t="e">
        <f t="shared" si="62"/>
        <v>#VALUE!</v>
      </c>
      <c r="U52" s="10" t="e">
        <f t="shared" si="63"/>
        <v>#VALUE!</v>
      </c>
      <c r="V52" s="10" t="e">
        <f t="shared" si="8"/>
        <v>#VALUE!</v>
      </c>
      <c r="W52" s="10" t="e">
        <f t="shared" si="28"/>
        <v>#VALUE!</v>
      </c>
      <c r="Y52" s="10" t="e">
        <f t="shared" si="29"/>
        <v>#VALUE!</v>
      </c>
      <c r="Z52" s="11" t="e">
        <f t="shared" si="30"/>
        <v>#VALUE!</v>
      </c>
      <c r="AA52" s="10" t="e">
        <f t="shared" si="9"/>
        <v>#VALUE!</v>
      </c>
      <c r="AB52" s="10" t="e">
        <f t="shared" si="31"/>
        <v>#VALUE!</v>
      </c>
      <c r="AC52" s="10" t="e">
        <f t="shared" si="32"/>
        <v>#VALUE!</v>
      </c>
      <c r="AD52" s="10" t="e">
        <f t="shared" si="64"/>
        <v>#VALUE!</v>
      </c>
      <c r="AE52" s="10" t="e">
        <f t="shared" si="65"/>
        <v>#VALUE!</v>
      </c>
      <c r="AF52" s="10" t="e">
        <f t="shared" si="10"/>
        <v>#VALUE!</v>
      </c>
      <c r="AG52" s="10" t="e">
        <f t="shared" si="33"/>
        <v>#VALUE!</v>
      </c>
      <c r="AI52" s="13"/>
      <c r="AK52" s="10" t="e">
        <f t="shared" si="34"/>
        <v>#VALUE!</v>
      </c>
      <c r="AL52" s="10" t="e">
        <f t="shared" si="66"/>
        <v>#VALUE!</v>
      </c>
      <c r="AM52" s="10" t="e">
        <f t="shared" si="11"/>
        <v>#VALUE!</v>
      </c>
      <c r="AN52" s="10" t="e">
        <f t="shared" si="35"/>
        <v>#VALUE!</v>
      </c>
      <c r="AO52" s="10" t="e">
        <f t="shared" si="36"/>
        <v>#VALUE!</v>
      </c>
      <c r="AP52" s="10" t="e">
        <f t="shared" si="37"/>
        <v>#VALUE!</v>
      </c>
      <c r="AQ52" s="10" t="e">
        <f t="shared" si="67"/>
        <v>#VALUE!</v>
      </c>
      <c r="AR52" s="10" t="e">
        <f t="shared" si="12"/>
        <v>#VALUE!</v>
      </c>
      <c r="AS52" s="10" t="e">
        <f t="shared" si="68"/>
        <v>#VALUE!</v>
      </c>
      <c r="AU52" s="10" t="e">
        <f t="shared" si="38"/>
        <v>#VALUE!</v>
      </c>
      <c r="AV52" s="10" t="e">
        <f t="shared" si="69"/>
        <v>#VALUE!</v>
      </c>
      <c r="AW52" s="10" t="e">
        <f t="shared" si="13"/>
        <v>#VALUE!</v>
      </c>
      <c r="AX52" s="10" t="e">
        <f t="shared" si="39"/>
        <v>#VALUE!</v>
      </c>
      <c r="AY52" s="10" t="e">
        <f t="shared" si="40"/>
        <v>#VALUE!</v>
      </c>
      <c r="AZ52" s="10" t="e">
        <f t="shared" si="41"/>
        <v>#VALUE!</v>
      </c>
      <c r="BA52" s="10" t="e">
        <f t="shared" si="70"/>
        <v>#VALUE!</v>
      </c>
      <c r="BB52" s="10" t="e">
        <f t="shared" si="14"/>
        <v>#VALUE!</v>
      </c>
      <c r="BC52" s="10" t="e">
        <f t="shared" si="71"/>
        <v>#VALUE!</v>
      </c>
      <c r="BE52" s="10" t="e">
        <f t="shared" si="42"/>
        <v>#VALUE!</v>
      </c>
      <c r="BF52" s="10" t="e">
        <f t="shared" si="72"/>
        <v>#VALUE!</v>
      </c>
      <c r="BG52" s="10" t="e">
        <f t="shared" si="15"/>
        <v>#VALUE!</v>
      </c>
      <c r="BH52" s="10" t="e">
        <f t="shared" si="43"/>
        <v>#VALUE!</v>
      </c>
      <c r="BI52" s="10" t="e">
        <f t="shared" si="44"/>
        <v>#VALUE!</v>
      </c>
      <c r="BJ52" s="10" t="e">
        <f t="shared" si="45"/>
        <v>#VALUE!</v>
      </c>
      <c r="BK52" s="10" t="e">
        <f t="shared" si="73"/>
        <v>#VALUE!</v>
      </c>
      <c r="BL52" s="10" t="e">
        <f t="shared" si="16"/>
        <v>#VALUE!</v>
      </c>
      <c r="BM52" s="10" t="e">
        <f t="shared" si="74"/>
        <v>#VALUE!</v>
      </c>
      <c r="BP52" s="10" t="e">
        <f t="shared" si="46"/>
        <v>#VALUE!</v>
      </c>
      <c r="BQ52" s="10" t="e">
        <f t="shared" si="47"/>
        <v>#VALUE!</v>
      </c>
      <c r="BR52" s="10" t="e">
        <f t="shared" si="48"/>
        <v>#VALUE!</v>
      </c>
      <c r="BS52" s="10" t="e">
        <f t="shared" si="49"/>
        <v>#VALUE!</v>
      </c>
      <c r="BT52" s="10" t="e">
        <f t="shared" si="50"/>
        <v>#VALUE!</v>
      </c>
      <c r="BU52" s="10" t="e">
        <f t="shared" si="51"/>
        <v>#VALUE!</v>
      </c>
      <c r="BW52" s="10" t="e">
        <f t="shared" si="52"/>
        <v>#VALUE!</v>
      </c>
      <c r="BX52" s="10" t="e">
        <f t="shared" si="53"/>
        <v>#VALUE!</v>
      </c>
      <c r="BY52" s="10" t="e">
        <f t="shared" si="54"/>
        <v>#VALUE!</v>
      </c>
      <c r="BZ52" s="10" t="e">
        <f t="shared" si="55"/>
        <v>#VALUE!</v>
      </c>
      <c r="CA52" s="10" t="e">
        <f t="shared" si="56"/>
        <v>#VALUE!</v>
      </c>
      <c r="CB52" s="10" t="e">
        <f t="shared" si="57"/>
        <v>#VALUE!</v>
      </c>
      <c r="CD52" s="10" t="e">
        <f>MATCH(INDEX($BP$12:$BU$12,1,MATCH(BP52,$BP$15:$BU$15,0)),结果汇总!$AI$10:$AI$13,0)</f>
        <v>#VALUE!</v>
      </c>
      <c r="CE52" s="10" t="e">
        <f>MATCH(INDEX($BP$12:$BU$12,1,MATCH(BQ52,$BP$15:$BU$15,0)),结果汇总!$AI$10:$AI$13,0)</f>
        <v>#VALUE!</v>
      </c>
      <c r="CF52" s="10" t="e">
        <f>MATCH(INDEX($BP$12:$BU$12,1,MATCH(BR52,$BP$15:$BU$15,0)),结果汇总!$AI$10:$AI$13,0)</f>
        <v>#VALUE!</v>
      </c>
      <c r="CG52" s="10" t="e">
        <f>MATCH(INDEX($BP$12:$BU$12,1,MATCH(BS52,$BP$15:$BU$15,0)),结果汇总!$AI$10:$AI$13,0)</f>
        <v>#VALUE!</v>
      </c>
      <c r="CH52" s="10" t="e">
        <f>MATCH(INDEX($BP$12:$BU$12,1,MATCH(BT52,$BP$15:$BU$15,0)),结果汇总!$AI$10:$AI$13,0)</f>
        <v>#VALUE!</v>
      </c>
      <c r="CI52" s="10" t="e">
        <f>MATCH(INDEX($BP$12:$BU$12,1,MATCH(BU52,$BP$15:$BU$15,0)),结果汇总!$AI$10:$AI$13,0)</f>
        <v>#VALUE!</v>
      </c>
      <c r="CK52" s="10">
        <f t="shared" si="75"/>
        <v>0</v>
      </c>
      <c r="CL52" s="10">
        <f t="shared" si="75"/>
        <v>0</v>
      </c>
      <c r="CM52" s="10">
        <f t="shared" si="75"/>
        <v>0</v>
      </c>
      <c r="CN52" s="10">
        <f t="shared" si="75"/>
        <v>0</v>
      </c>
      <c r="CO52" s="10">
        <f t="shared" si="76"/>
        <v>0</v>
      </c>
      <c r="CP52" s="10">
        <f t="shared" si="76"/>
        <v>0</v>
      </c>
      <c r="CQ52" s="10">
        <f t="shared" si="76"/>
        <v>0</v>
      </c>
      <c r="CR52" s="10">
        <f t="shared" si="76"/>
        <v>0</v>
      </c>
      <c r="CS52" s="10">
        <f t="shared" si="77"/>
        <v>0</v>
      </c>
      <c r="CT52" s="10">
        <f t="shared" si="77"/>
        <v>0</v>
      </c>
      <c r="CU52" s="10">
        <f t="shared" si="77"/>
        <v>0</v>
      </c>
      <c r="CV52" s="10">
        <f t="shared" si="77"/>
        <v>0</v>
      </c>
      <c r="CW52" s="10">
        <f t="shared" si="78"/>
        <v>0</v>
      </c>
      <c r="CX52" s="10">
        <f t="shared" si="78"/>
        <v>0</v>
      </c>
      <c r="CY52" s="10">
        <f t="shared" si="78"/>
        <v>0</v>
      </c>
      <c r="CZ52" s="10">
        <f t="shared" si="78"/>
        <v>0</v>
      </c>
    </row>
    <row r="53" spans="4:104" x14ac:dyDescent="0.15">
      <c r="D53" s="10">
        <v>38</v>
      </c>
      <c r="E53" s="10" t="e">
        <f t="shared" si="21"/>
        <v>#VALUE!</v>
      </c>
      <c r="F53" s="10" t="e">
        <f t="shared" si="1"/>
        <v>#VALUE!</v>
      </c>
      <c r="G53" s="10" t="e">
        <f t="shared" si="2"/>
        <v>#VALUE!</v>
      </c>
      <c r="H53" s="10" t="e">
        <f t="shared" si="22"/>
        <v>#VALUE!</v>
      </c>
      <c r="I53" s="10" t="e">
        <f t="shared" si="3"/>
        <v>#VALUE!</v>
      </c>
      <c r="J53" s="10" t="e">
        <f t="shared" si="23"/>
        <v>#VALUE!</v>
      </c>
      <c r="K53" s="10" t="e">
        <f t="shared" si="4"/>
        <v>#VALUE!</v>
      </c>
      <c r="L53" s="10" t="e">
        <f t="shared" si="5"/>
        <v>#VALUE!</v>
      </c>
      <c r="M53" s="10" t="e">
        <f t="shared" si="24"/>
        <v>#VALUE!</v>
      </c>
      <c r="O53" s="10" t="e">
        <f t="shared" si="25"/>
        <v>#VALUE!</v>
      </c>
      <c r="P53" s="10" t="e">
        <f t="shared" si="6"/>
        <v>#VALUE!</v>
      </c>
      <c r="Q53" s="10" t="e">
        <f t="shared" si="7"/>
        <v>#VALUE!</v>
      </c>
      <c r="R53" s="10" t="e">
        <f t="shared" si="26"/>
        <v>#VALUE!</v>
      </c>
      <c r="S53" s="10" t="e">
        <f t="shared" si="27"/>
        <v>#VALUE!</v>
      </c>
      <c r="T53" s="10" t="e">
        <f t="shared" si="62"/>
        <v>#VALUE!</v>
      </c>
      <c r="U53" s="10" t="e">
        <f t="shared" si="63"/>
        <v>#VALUE!</v>
      </c>
      <c r="V53" s="10" t="e">
        <f t="shared" si="8"/>
        <v>#VALUE!</v>
      </c>
      <c r="W53" s="10" t="e">
        <f t="shared" si="28"/>
        <v>#VALUE!</v>
      </c>
      <c r="Y53" s="10" t="e">
        <f t="shared" si="29"/>
        <v>#VALUE!</v>
      </c>
      <c r="Z53" s="11" t="e">
        <f t="shared" si="30"/>
        <v>#VALUE!</v>
      </c>
      <c r="AA53" s="10" t="e">
        <f t="shared" si="9"/>
        <v>#VALUE!</v>
      </c>
      <c r="AB53" s="10" t="e">
        <f t="shared" si="31"/>
        <v>#VALUE!</v>
      </c>
      <c r="AC53" s="10" t="e">
        <f t="shared" si="32"/>
        <v>#VALUE!</v>
      </c>
      <c r="AD53" s="10" t="e">
        <f t="shared" si="64"/>
        <v>#VALUE!</v>
      </c>
      <c r="AE53" s="10" t="e">
        <f t="shared" si="65"/>
        <v>#VALUE!</v>
      </c>
      <c r="AF53" s="10" t="e">
        <f t="shared" si="10"/>
        <v>#VALUE!</v>
      </c>
      <c r="AG53" s="10" t="e">
        <f t="shared" si="33"/>
        <v>#VALUE!</v>
      </c>
      <c r="AI53" s="13"/>
      <c r="AK53" s="10" t="e">
        <f t="shared" si="34"/>
        <v>#VALUE!</v>
      </c>
      <c r="AL53" s="10" t="e">
        <f t="shared" si="66"/>
        <v>#VALUE!</v>
      </c>
      <c r="AM53" s="10" t="e">
        <f t="shared" si="11"/>
        <v>#VALUE!</v>
      </c>
      <c r="AN53" s="10" t="e">
        <f t="shared" si="35"/>
        <v>#VALUE!</v>
      </c>
      <c r="AO53" s="10" t="e">
        <f t="shared" si="36"/>
        <v>#VALUE!</v>
      </c>
      <c r="AP53" s="10" t="e">
        <f t="shared" si="37"/>
        <v>#VALUE!</v>
      </c>
      <c r="AQ53" s="10" t="e">
        <f t="shared" si="67"/>
        <v>#VALUE!</v>
      </c>
      <c r="AR53" s="10" t="e">
        <f t="shared" si="12"/>
        <v>#VALUE!</v>
      </c>
      <c r="AS53" s="10" t="e">
        <f t="shared" si="68"/>
        <v>#VALUE!</v>
      </c>
      <c r="AU53" s="10" t="e">
        <f t="shared" si="38"/>
        <v>#VALUE!</v>
      </c>
      <c r="AV53" s="10" t="e">
        <f t="shared" si="69"/>
        <v>#VALUE!</v>
      </c>
      <c r="AW53" s="10" t="e">
        <f t="shared" si="13"/>
        <v>#VALUE!</v>
      </c>
      <c r="AX53" s="10" t="e">
        <f t="shared" si="39"/>
        <v>#VALUE!</v>
      </c>
      <c r="AY53" s="10" t="e">
        <f t="shared" si="40"/>
        <v>#VALUE!</v>
      </c>
      <c r="AZ53" s="10" t="e">
        <f t="shared" si="41"/>
        <v>#VALUE!</v>
      </c>
      <c r="BA53" s="10" t="e">
        <f t="shared" si="70"/>
        <v>#VALUE!</v>
      </c>
      <c r="BB53" s="10" t="e">
        <f t="shared" si="14"/>
        <v>#VALUE!</v>
      </c>
      <c r="BC53" s="10" t="e">
        <f t="shared" si="71"/>
        <v>#VALUE!</v>
      </c>
      <c r="BE53" s="10" t="e">
        <f t="shared" si="42"/>
        <v>#VALUE!</v>
      </c>
      <c r="BF53" s="10" t="e">
        <f t="shared" si="72"/>
        <v>#VALUE!</v>
      </c>
      <c r="BG53" s="10" t="e">
        <f t="shared" si="15"/>
        <v>#VALUE!</v>
      </c>
      <c r="BH53" s="10" t="e">
        <f t="shared" si="43"/>
        <v>#VALUE!</v>
      </c>
      <c r="BI53" s="10" t="e">
        <f t="shared" si="44"/>
        <v>#VALUE!</v>
      </c>
      <c r="BJ53" s="10" t="e">
        <f t="shared" si="45"/>
        <v>#VALUE!</v>
      </c>
      <c r="BK53" s="10" t="e">
        <f t="shared" si="73"/>
        <v>#VALUE!</v>
      </c>
      <c r="BL53" s="10" t="e">
        <f t="shared" si="16"/>
        <v>#VALUE!</v>
      </c>
      <c r="BM53" s="10" t="e">
        <f t="shared" si="74"/>
        <v>#VALUE!</v>
      </c>
      <c r="BP53" s="10" t="e">
        <f t="shared" si="46"/>
        <v>#VALUE!</v>
      </c>
      <c r="BQ53" s="10" t="e">
        <f t="shared" si="47"/>
        <v>#VALUE!</v>
      </c>
      <c r="BR53" s="10" t="e">
        <f t="shared" si="48"/>
        <v>#VALUE!</v>
      </c>
      <c r="BS53" s="10" t="e">
        <f t="shared" si="49"/>
        <v>#VALUE!</v>
      </c>
      <c r="BT53" s="10" t="e">
        <f t="shared" si="50"/>
        <v>#VALUE!</v>
      </c>
      <c r="BU53" s="10" t="e">
        <f t="shared" si="51"/>
        <v>#VALUE!</v>
      </c>
      <c r="BW53" s="10" t="e">
        <f t="shared" si="52"/>
        <v>#VALUE!</v>
      </c>
      <c r="BX53" s="10" t="e">
        <f t="shared" si="53"/>
        <v>#VALUE!</v>
      </c>
      <c r="BY53" s="10" t="e">
        <f t="shared" si="54"/>
        <v>#VALUE!</v>
      </c>
      <c r="BZ53" s="10" t="e">
        <f t="shared" si="55"/>
        <v>#VALUE!</v>
      </c>
      <c r="CA53" s="10" t="e">
        <f t="shared" si="56"/>
        <v>#VALUE!</v>
      </c>
      <c r="CB53" s="10" t="e">
        <f t="shared" si="57"/>
        <v>#VALUE!</v>
      </c>
      <c r="CD53" s="10" t="e">
        <f>MATCH(INDEX($BP$12:$BU$12,1,MATCH(BP53,$BP$15:$BU$15,0)),结果汇总!$AI$10:$AI$13,0)</f>
        <v>#VALUE!</v>
      </c>
      <c r="CE53" s="10" t="e">
        <f>MATCH(INDEX($BP$12:$BU$12,1,MATCH(BQ53,$BP$15:$BU$15,0)),结果汇总!$AI$10:$AI$13,0)</f>
        <v>#VALUE!</v>
      </c>
      <c r="CF53" s="10" t="e">
        <f>MATCH(INDEX($BP$12:$BU$12,1,MATCH(BR53,$BP$15:$BU$15,0)),结果汇总!$AI$10:$AI$13,0)</f>
        <v>#VALUE!</v>
      </c>
      <c r="CG53" s="10" t="e">
        <f>MATCH(INDEX($BP$12:$BU$12,1,MATCH(BS53,$BP$15:$BU$15,0)),结果汇总!$AI$10:$AI$13,0)</f>
        <v>#VALUE!</v>
      </c>
      <c r="CH53" s="10" t="e">
        <f>MATCH(INDEX($BP$12:$BU$12,1,MATCH(BT53,$BP$15:$BU$15,0)),结果汇总!$AI$10:$AI$13,0)</f>
        <v>#VALUE!</v>
      </c>
      <c r="CI53" s="10" t="e">
        <f>MATCH(INDEX($BP$12:$BU$12,1,MATCH(BU53,$BP$15:$BU$15,0)),结果汇总!$AI$10:$AI$13,0)</f>
        <v>#VALUE!</v>
      </c>
      <c r="CK53" s="10">
        <f t="shared" si="75"/>
        <v>0</v>
      </c>
      <c r="CL53" s="10">
        <f t="shared" si="75"/>
        <v>0</v>
      </c>
      <c r="CM53" s="10">
        <f t="shared" si="75"/>
        <v>0</v>
      </c>
      <c r="CN53" s="10">
        <f t="shared" si="75"/>
        <v>0</v>
      </c>
      <c r="CO53" s="10">
        <f t="shared" si="76"/>
        <v>0</v>
      </c>
      <c r="CP53" s="10">
        <f t="shared" si="76"/>
        <v>0</v>
      </c>
      <c r="CQ53" s="10">
        <f t="shared" si="76"/>
        <v>0</v>
      </c>
      <c r="CR53" s="10">
        <f t="shared" si="76"/>
        <v>0</v>
      </c>
      <c r="CS53" s="10">
        <f t="shared" si="77"/>
        <v>0</v>
      </c>
      <c r="CT53" s="10">
        <f t="shared" si="77"/>
        <v>0</v>
      </c>
      <c r="CU53" s="10">
        <f t="shared" si="77"/>
        <v>0</v>
      </c>
      <c r="CV53" s="10">
        <f t="shared" si="77"/>
        <v>0</v>
      </c>
      <c r="CW53" s="10">
        <f t="shared" si="78"/>
        <v>0</v>
      </c>
      <c r="CX53" s="10">
        <f t="shared" si="78"/>
        <v>0</v>
      </c>
      <c r="CY53" s="10">
        <f t="shared" si="78"/>
        <v>0</v>
      </c>
      <c r="CZ53" s="10">
        <f t="shared" si="78"/>
        <v>0</v>
      </c>
    </row>
    <row r="54" spans="4:104" x14ac:dyDescent="0.15">
      <c r="D54" s="10">
        <v>39</v>
      </c>
      <c r="E54" s="10" t="e">
        <f t="shared" si="21"/>
        <v>#VALUE!</v>
      </c>
      <c r="F54" s="10" t="e">
        <f t="shared" si="1"/>
        <v>#VALUE!</v>
      </c>
      <c r="G54" s="10" t="e">
        <f t="shared" si="2"/>
        <v>#VALUE!</v>
      </c>
      <c r="H54" s="10" t="e">
        <f t="shared" si="22"/>
        <v>#VALUE!</v>
      </c>
      <c r="I54" s="10" t="e">
        <f t="shared" si="3"/>
        <v>#VALUE!</v>
      </c>
      <c r="J54" s="10" t="e">
        <f t="shared" si="23"/>
        <v>#VALUE!</v>
      </c>
      <c r="K54" s="10" t="e">
        <f t="shared" si="4"/>
        <v>#VALUE!</v>
      </c>
      <c r="L54" s="10" t="e">
        <f t="shared" si="5"/>
        <v>#VALUE!</v>
      </c>
      <c r="M54" s="10" t="e">
        <f t="shared" si="24"/>
        <v>#VALUE!</v>
      </c>
      <c r="O54" s="10" t="e">
        <f t="shared" si="25"/>
        <v>#VALUE!</v>
      </c>
      <c r="P54" s="10" t="e">
        <f t="shared" si="6"/>
        <v>#VALUE!</v>
      </c>
      <c r="Q54" s="10" t="e">
        <f t="shared" si="7"/>
        <v>#VALUE!</v>
      </c>
      <c r="R54" s="10" t="e">
        <f t="shared" si="26"/>
        <v>#VALUE!</v>
      </c>
      <c r="S54" s="10" t="e">
        <f t="shared" si="27"/>
        <v>#VALUE!</v>
      </c>
      <c r="T54" s="10" t="e">
        <f t="shared" si="62"/>
        <v>#VALUE!</v>
      </c>
      <c r="U54" s="10" t="e">
        <f t="shared" si="63"/>
        <v>#VALUE!</v>
      </c>
      <c r="V54" s="10" t="e">
        <f t="shared" si="8"/>
        <v>#VALUE!</v>
      </c>
      <c r="W54" s="10" t="e">
        <f t="shared" si="28"/>
        <v>#VALUE!</v>
      </c>
      <c r="Y54" s="10" t="e">
        <f t="shared" si="29"/>
        <v>#VALUE!</v>
      </c>
      <c r="Z54" s="11" t="e">
        <f t="shared" si="30"/>
        <v>#VALUE!</v>
      </c>
      <c r="AA54" s="10" t="e">
        <f t="shared" si="9"/>
        <v>#VALUE!</v>
      </c>
      <c r="AB54" s="10" t="e">
        <f t="shared" si="31"/>
        <v>#VALUE!</v>
      </c>
      <c r="AC54" s="10" t="e">
        <f t="shared" si="32"/>
        <v>#VALUE!</v>
      </c>
      <c r="AD54" s="10" t="e">
        <f t="shared" si="64"/>
        <v>#VALUE!</v>
      </c>
      <c r="AE54" s="10" t="e">
        <f t="shared" si="65"/>
        <v>#VALUE!</v>
      </c>
      <c r="AF54" s="10" t="e">
        <f t="shared" si="10"/>
        <v>#VALUE!</v>
      </c>
      <c r="AG54" s="10" t="e">
        <f t="shared" si="33"/>
        <v>#VALUE!</v>
      </c>
      <c r="AI54" s="13"/>
      <c r="AK54" s="10" t="e">
        <f t="shared" si="34"/>
        <v>#VALUE!</v>
      </c>
      <c r="AL54" s="10" t="e">
        <f t="shared" si="66"/>
        <v>#VALUE!</v>
      </c>
      <c r="AM54" s="10" t="e">
        <f t="shared" si="11"/>
        <v>#VALUE!</v>
      </c>
      <c r="AN54" s="10" t="e">
        <f t="shared" si="35"/>
        <v>#VALUE!</v>
      </c>
      <c r="AO54" s="10" t="e">
        <f t="shared" si="36"/>
        <v>#VALUE!</v>
      </c>
      <c r="AP54" s="10" t="e">
        <f t="shared" si="37"/>
        <v>#VALUE!</v>
      </c>
      <c r="AQ54" s="10" t="e">
        <f t="shared" si="67"/>
        <v>#VALUE!</v>
      </c>
      <c r="AR54" s="10" t="e">
        <f t="shared" si="12"/>
        <v>#VALUE!</v>
      </c>
      <c r="AS54" s="10" t="e">
        <f t="shared" si="68"/>
        <v>#VALUE!</v>
      </c>
      <c r="AU54" s="10" t="e">
        <f t="shared" si="38"/>
        <v>#VALUE!</v>
      </c>
      <c r="AV54" s="10" t="e">
        <f t="shared" si="69"/>
        <v>#VALUE!</v>
      </c>
      <c r="AW54" s="10" t="e">
        <f t="shared" si="13"/>
        <v>#VALUE!</v>
      </c>
      <c r="AX54" s="10" t="e">
        <f t="shared" si="39"/>
        <v>#VALUE!</v>
      </c>
      <c r="AY54" s="10" t="e">
        <f t="shared" si="40"/>
        <v>#VALUE!</v>
      </c>
      <c r="AZ54" s="10" t="e">
        <f t="shared" si="41"/>
        <v>#VALUE!</v>
      </c>
      <c r="BA54" s="10" t="e">
        <f t="shared" si="70"/>
        <v>#VALUE!</v>
      </c>
      <c r="BB54" s="10" t="e">
        <f t="shared" si="14"/>
        <v>#VALUE!</v>
      </c>
      <c r="BC54" s="10" t="e">
        <f t="shared" si="71"/>
        <v>#VALUE!</v>
      </c>
      <c r="BE54" s="10" t="e">
        <f t="shared" si="42"/>
        <v>#VALUE!</v>
      </c>
      <c r="BF54" s="10" t="e">
        <f t="shared" si="72"/>
        <v>#VALUE!</v>
      </c>
      <c r="BG54" s="10" t="e">
        <f t="shared" si="15"/>
        <v>#VALUE!</v>
      </c>
      <c r="BH54" s="10" t="e">
        <f t="shared" si="43"/>
        <v>#VALUE!</v>
      </c>
      <c r="BI54" s="10" t="e">
        <f t="shared" si="44"/>
        <v>#VALUE!</v>
      </c>
      <c r="BJ54" s="10" t="e">
        <f t="shared" si="45"/>
        <v>#VALUE!</v>
      </c>
      <c r="BK54" s="10" t="e">
        <f t="shared" si="73"/>
        <v>#VALUE!</v>
      </c>
      <c r="BL54" s="10" t="e">
        <f t="shared" si="16"/>
        <v>#VALUE!</v>
      </c>
      <c r="BM54" s="10" t="e">
        <f t="shared" si="74"/>
        <v>#VALUE!</v>
      </c>
      <c r="BP54" s="10" t="e">
        <f t="shared" si="46"/>
        <v>#VALUE!</v>
      </c>
      <c r="BQ54" s="10" t="e">
        <f t="shared" si="47"/>
        <v>#VALUE!</v>
      </c>
      <c r="BR54" s="10" t="e">
        <f t="shared" si="48"/>
        <v>#VALUE!</v>
      </c>
      <c r="BS54" s="10" t="e">
        <f t="shared" si="49"/>
        <v>#VALUE!</v>
      </c>
      <c r="BT54" s="10" t="e">
        <f t="shared" si="50"/>
        <v>#VALUE!</v>
      </c>
      <c r="BU54" s="10" t="e">
        <f t="shared" si="51"/>
        <v>#VALUE!</v>
      </c>
      <c r="BW54" s="10" t="e">
        <f t="shared" si="52"/>
        <v>#VALUE!</v>
      </c>
      <c r="BX54" s="10" t="e">
        <f t="shared" si="53"/>
        <v>#VALUE!</v>
      </c>
      <c r="BY54" s="10" t="e">
        <f t="shared" si="54"/>
        <v>#VALUE!</v>
      </c>
      <c r="BZ54" s="10" t="e">
        <f t="shared" si="55"/>
        <v>#VALUE!</v>
      </c>
      <c r="CA54" s="10" t="e">
        <f t="shared" si="56"/>
        <v>#VALUE!</v>
      </c>
      <c r="CB54" s="10" t="e">
        <f t="shared" si="57"/>
        <v>#VALUE!</v>
      </c>
      <c r="CD54" s="10" t="e">
        <f>MATCH(INDEX($BP$12:$BU$12,1,MATCH(BP54,$BP$15:$BU$15,0)),结果汇总!$AI$10:$AI$13,0)</f>
        <v>#VALUE!</v>
      </c>
      <c r="CE54" s="10" t="e">
        <f>MATCH(INDEX($BP$12:$BU$12,1,MATCH(BQ54,$BP$15:$BU$15,0)),结果汇总!$AI$10:$AI$13,0)</f>
        <v>#VALUE!</v>
      </c>
      <c r="CF54" s="10" t="e">
        <f>MATCH(INDEX($BP$12:$BU$12,1,MATCH(BR54,$BP$15:$BU$15,0)),结果汇总!$AI$10:$AI$13,0)</f>
        <v>#VALUE!</v>
      </c>
      <c r="CG54" s="10" t="e">
        <f>MATCH(INDEX($BP$12:$BU$12,1,MATCH(BS54,$BP$15:$BU$15,0)),结果汇总!$AI$10:$AI$13,0)</f>
        <v>#VALUE!</v>
      </c>
      <c r="CH54" s="10" t="e">
        <f>MATCH(INDEX($BP$12:$BU$12,1,MATCH(BT54,$BP$15:$BU$15,0)),结果汇总!$AI$10:$AI$13,0)</f>
        <v>#VALUE!</v>
      </c>
      <c r="CI54" s="10" t="e">
        <f>MATCH(INDEX($BP$12:$BU$12,1,MATCH(BU54,$BP$15:$BU$15,0)),结果汇总!$AI$10:$AI$13,0)</f>
        <v>#VALUE!</v>
      </c>
      <c r="CK54" s="10">
        <f t="shared" si="75"/>
        <v>0</v>
      </c>
      <c r="CL54" s="10">
        <f t="shared" si="75"/>
        <v>0</v>
      </c>
      <c r="CM54" s="10">
        <f t="shared" si="75"/>
        <v>0</v>
      </c>
      <c r="CN54" s="10">
        <f t="shared" si="75"/>
        <v>0</v>
      </c>
      <c r="CO54" s="10">
        <f t="shared" si="76"/>
        <v>0</v>
      </c>
      <c r="CP54" s="10">
        <f t="shared" si="76"/>
        <v>0</v>
      </c>
      <c r="CQ54" s="10">
        <f t="shared" si="76"/>
        <v>0</v>
      </c>
      <c r="CR54" s="10">
        <f t="shared" si="76"/>
        <v>0</v>
      </c>
      <c r="CS54" s="10">
        <f t="shared" si="77"/>
        <v>0</v>
      </c>
      <c r="CT54" s="10">
        <f t="shared" si="77"/>
        <v>0</v>
      </c>
      <c r="CU54" s="10">
        <f t="shared" si="77"/>
        <v>0</v>
      </c>
      <c r="CV54" s="10">
        <f t="shared" si="77"/>
        <v>0</v>
      </c>
      <c r="CW54" s="10">
        <f t="shared" si="78"/>
        <v>0</v>
      </c>
      <c r="CX54" s="10">
        <f t="shared" si="78"/>
        <v>0</v>
      </c>
      <c r="CY54" s="10">
        <f t="shared" si="78"/>
        <v>0</v>
      </c>
      <c r="CZ54" s="10">
        <f t="shared" si="78"/>
        <v>0</v>
      </c>
    </row>
    <row r="55" spans="4:104" x14ac:dyDescent="0.15">
      <c r="D55" s="10">
        <v>40</v>
      </c>
      <c r="E55" s="10" t="e">
        <f t="shared" si="21"/>
        <v>#VALUE!</v>
      </c>
      <c r="F55" s="10" t="e">
        <f t="shared" si="1"/>
        <v>#VALUE!</v>
      </c>
      <c r="G55" s="10" t="e">
        <f t="shared" si="2"/>
        <v>#VALUE!</v>
      </c>
      <c r="H55" s="10" t="e">
        <f t="shared" si="22"/>
        <v>#VALUE!</v>
      </c>
      <c r="I55" s="10" t="e">
        <f t="shared" si="3"/>
        <v>#VALUE!</v>
      </c>
      <c r="J55" s="10" t="e">
        <f t="shared" si="23"/>
        <v>#VALUE!</v>
      </c>
      <c r="K55" s="10" t="e">
        <f t="shared" si="4"/>
        <v>#VALUE!</v>
      </c>
      <c r="L55" s="10" t="e">
        <f t="shared" si="5"/>
        <v>#VALUE!</v>
      </c>
      <c r="M55" s="10" t="e">
        <f t="shared" si="24"/>
        <v>#VALUE!</v>
      </c>
      <c r="O55" s="10" t="e">
        <f t="shared" si="25"/>
        <v>#VALUE!</v>
      </c>
      <c r="P55" s="10" t="e">
        <f t="shared" si="6"/>
        <v>#VALUE!</v>
      </c>
      <c r="Q55" s="10" t="e">
        <f t="shared" si="7"/>
        <v>#VALUE!</v>
      </c>
      <c r="R55" s="10" t="e">
        <f t="shared" si="26"/>
        <v>#VALUE!</v>
      </c>
      <c r="S55" s="10" t="e">
        <f t="shared" si="27"/>
        <v>#VALUE!</v>
      </c>
      <c r="T55" s="10" t="e">
        <f t="shared" si="62"/>
        <v>#VALUE!</v>
      </c>
      <c r="U55" s="10" t="e">
        <f t="shared" si="63"/>
        <v>#VALUE!</v>
      </c>
      <c r="V55" s="10" t="e">
        <f t="shared" si="8"/>
        <v>#VALUE!</v>
      </c>
      <c r="W55" s="10" t="e">
        <f t="shared" si="28"/>
        <v>#VALUE!</v>
      </c>
      <c r="Y55" s="10" t="e">
        <f t="shared" si="29"/>
        <v>#VALUE!</v>
      </c>
      <c r="Z55" s="11" t="e">
        <f t="shared" si="30"/>
        <v>#VALUE!</v>
      </c>
      <c r="AA55" s="10" t="e">
        <f t="shared" si="9"/>
        <v>#VALUE!</v>
      </c>
      <c r="AB55" s="10" t="e">
        <f t="shared" si="31"/>
        <v>#VALUE!</v>
      </c>
      <c r="AC55" s="10" t="e">
        <f t="shared" si="32"/>
        <v>#VALUE!</v>
      </c>
      <c r="AD55" s="10" t="e">
        <f t="shared" si="64"/>
        <v>#VALUE!</v>
      </c>
      <c r="AE55" s="10" t="e">
        <f t="shared" si="65"/>
        <v>#VALUE!</v>
      </c>
      <c r="AF55" s="10" t="e">
        <f t="shared" si="10"/>
        <v>#VALUE!</v>
      </c>
      <c r="AG55" s="10" t="e">
        <f t="shared" si="33"/>
        <v>#VALUE!</v>
      </c>
      <c r="AI55" s="13"/>
      <c r="AK55" s="10" t="e">
        <f t="shared" si="34"/>
        <v>#VALUE!</v>
      </c>
      <c r="AL55" s="10" t="e">
        <f t="shared" si="66"/>
        <v>#VALUE!</v>
      </c>
      <c r="AM55" s="10" t="e">
        <f t="shared" si="11"/>
        <v>#VALUE!</v>
      </c>
      <c r="AN55" s="10" t="e">
        <f t="shared" si="35"/>
        <v>#VALUE!</v>
      </c>
      <c r="AO55" s="10" t="e">
        <f t="shared" si="36"/>
        <v>#VALUE!</v>
      </c>
      <c r="AP55" s="10" t="e">
        <f t="shared" si="37"/>
        <v>#VALUE!</v>
      </c>
      <c r="AQ55" s="10" t="e">
        <f t="shared" si="67"/>
        <v>#VALUE!</v>
      </c>
      <c r="AR55" s="10" t="e">
        <f t="shared" si="12"/>
        <v>#VALUE!</v>
      </c>
      <c r="AS55" s="10" t="e">
        <f t="shared" si="68"/>
        <v>#VALUE!</v>
      </c>
      <c r="AU55" s="10" t="e">
        <f t="shared" si="38"/>
        <v>#VALUE!</v>
      </c>
      <c r="AV55" s="10" t="e">
        <f t="shared" si="69"/>
        <v>#VALUE!</v>
      </c>
      <c r="AW55" s="10" t="e">
        <f t="shared" si="13"/>
        <v>#VALUE!</v>
      </c>
      <c r="AX55" s="10" t="e">
        <f t="shared" si="39"/>
        <v>#VALUE!</v>
      </c>
      <c r="AY55" s="10" t="e">
        <f t="shared" si="40"/>
        <v>#VALUE!</v>
      </c>
      <c r="AZ55" s="10" t="e">
        <f t="shared" si="41"/>
        <v>#VALUE!</v>
      </c>
      <c r="BA55" s="10" t="e">
        <f t="shared" si="70"/>
        <v>#VALUE!</v>
      </c>
      <c r="BB55" s="10" t="e">
        <f t="shared" si="14"/>
        <v>#VALUE!</v>
      </c>
      <c r="BC55" s="10" t="e">
        <f t="shared" si="71"/>
        <v>#VALUE!</v>
      </c>
      <c r="BE55" s="10" t="e">
        <f t="shared" si="42"/>
        <v>#VALUE!</v>
      </c>
      <c r="BF55" s="10" t="e">
        <f t="shared" si="72"/>
        <v>#VALUE!</v>
      </c>
      <c r="BG55" s="10" t="e">
        <f t="shared" si="15"/>
        <v>#VALUE!</v>
      </c>
      <c r="BH55" s="10" t="e">
        <f t="shared" si="43"/>
        <v>#VALUE!</v>
      </c>
      <c r="BI55" s="10" t="e">
        <f t="shared" si="44"/>
        <v>#VALUE!</v>
      </c>
      <c r="BJ55" s="10" t="e">
        <f t="shared" si="45"/>
        <v>#VALUE!</v>
      </c>
      <c r="BK55" s="10" t="e">
        <f t="shared" si="73"/>
        <v>#VALUE!</v>
      </c>
      <c r="BL55" s="10" t="e">
        <f t="shared" si="16"/>
        <v>#VALUE!</v>
      </c>
      <c r="BM55" s="10" t="e">
        <f t="shared" si="74"/>
        <v>#VALUE!</v>
      </c>
      <c r="BP55" s="10" t="e">
        <f t="shared" si="46"/>
        <v>#VALUE!</v>
      </c>
      <c r="BQ55" s="10" t="e">
        <f t="shared" si="47"/>
        <v>#VALUE!</v>
      </c>
      <c r="BR55" s="10" t="e">
        <f t="shared" si="48"/>
        <v>#VALUE!</v>
      </c>
      <c r="BS55" s="10" t="e">
        <f t="shared" si="49"/>
        <v>#VALUE!</v>
      </c>
      <c r="BT55" s="10" t="e">
        <f t="shared" si="50"/>
        <v>#VALUE!</v>
      </c>
      <c r="BU55" s="10" t="e">
        <f t="shared" si="51"/>
        <v>#VALUE!</v>
      </c>
      <c r="BW55" s="10" t="e">
        <f t="shared" si="52"/>
        <v>#VALUE!</v>
      </c>
      <c r="BX55" s="10" t="e">
        <f t="shared" si="53"/>
        <v>#VALUE!</v>
      </c>
      <c r="BY55" s="10" t="e">
        <f t="shared" si="54"/>
        <v>#VALUE!</v>
      </c>
      <c r="BZ55" s="10" t="e">
        <f t="shared" si="55"/>
        <v>#VALUE!</v>
      </c>
      <c r="CA55" s="10" t="e">
        <f t="shared" si="56"/>
        <v>#VALUE!</v>
      </c>
      <c r="CB55" s="10" t="e">
        <f t="shared" si="57"/>
        <v>#VALUE!</v>
      </c>
      <c r="CD55" s="10" t="e">
        <f>MATCH(INDEX($BP$12:$BU$12,1,MATCH(BP55,$BP$15:$BU$15,0)),结果汇总!$AI$10:$AI$13,0)</f>
        <v>#VALUE!</v>
      </c>
      <c r="CE55" s="10" t="e">
        <f>MATCH(INDEX($BP$12:$BU$12,1,MATCH(BQ55,$BP$15:$BU$15,0)),结果汇总!$AI$10:$AI$13,0)</f>
        <v>#VALUE!</v>
      </c>
      <c r="CF55" s="10" t="e">
        <f>MATCH(INDEX($BP$12:$BU$12,1,MATCH(BR55,$BP$15:$BU$15,0)),结果汇总!$AI$10:$AI$13,0)</f>
        <v>#VALUE!</v>
      </c>
      <c r="CG55" s="10" t="e">
        <f>MATCH(INDEX($BP$12:$BU$12,1,MATCH(BS55,$BP$15:$BU$15,0)),结果汇总!$AI$10:$AI$13,0)</f>
        <v>#VALUE!</v>
      </c>
      <c r="CH55" s="10" t="e">
        <f>MATCH(INDEX($BP$12:$BU$12,1,MATCH(BT55,$BP$15:$BU$15,0)),结果汇总!$AI$10:$AI$13,0)</f>
        <v>#VALUE!</v>
      </c>
      <c r="CI55" s="10" t="e">
        <f>MATCH(INDEX($BP$12:$BU$12,1,MATCH(BU55,$BP$15:$BU$15,0)),结果汇总!$AI$10:$AI$13,0)</f>
        <v>#VALUE!</v>
      </c>
      <c r="CK55" s="10">
        <f t="shared" si="75"/>
        <v>0</v>
      </c>
      <c r="CL55" s="10">
        <f t="shared" si="75"/>
        <v>0</v>
      </c>
      <c r="CM55" s="10">
        <f t="shared" si="75"/>
        <v>0</v>
      </c>
      <c r="CN55" s="10">
        <f t="shared" si="75"/>
        <v>0</v>
      </c>
      <c r="CO55" s="10">
        <f t="shared" si="76"/>
        <v>0</v>
      </c>
      <c r="CP55" s="10">
        <f t="shared" si="76"/>
        <v>0</v>
      </c>
      <c r="CQ55" s="10">
        <f t="shared" si="76"/>
        <v>0</v>
      </c>
      <c r="CR55" s="10">
        <f t="shared" si="76"/>
        <v>0</v>
      </c>
      <c r="CS55" s="10">
        <f t="shared" si="77"/>
        <v>0</v>
      </c>
      <c r="CT55" s="10">
        <f t="shared" si="77"/>
        <v>0</v>
      </c>
      <c r="CU55" s="10">
        <f t="shared" si="77"/>
        <v>0</v>
      </c>
      <c r="CV55" s="10">
        <f t="shared" si="77"/>
        <v>0</v>
      </c>
      <c r="CW55" s="10">
        <f t="shared" si="78"/>
        <v>0</v>
      </c>
      <c r="CX55" s="10">
        <f t="shared" si="78"/>
        <v>0</v>
      </c>
      <c r="CY55" s="10">
        <f t="shared" si="78"/>
        <v>0</v>
      </c>
      <c r="CZ55" s="10">
        <f t="shared" si="78"/>
        <v>0</v>
      </c>
    </row>
    <row r="56" spans="4:104" x14ac:dyDescent="0.15">
      <c r="D56" s="10">
        <v>41</v>
      </c>
      <c r="E56" s="10" t="e">
        <f t="shared" si="21"/>
        <v>#VALUE!</v>
      </c>
      <c r="F56" s="10" t="e">
        <f t="shared" si="1"/>
        <v>#VALUE!</v>
      </c>
      <c r="G56" s="10" t="e">
        <f t="shared" si="2"/>
        <v>#VALUE!</v>
      </c>
      <c r="H56" s="10" t="e">
        <f t="shared" si="22"/>
        <v>#VALUE!</v>
      </c>
      <c r="I56" s="10" t="e">
        <f t="shared" si="3"/>
        <v>#VALUE!</v>
      </c>
      <c r="J56" s="10" t="e">
        <f t="shared" si="23"/>
        <v>#VALUE!</v>
      </c>
      <c r="K56" s="10" t="e">
        <f t="shared" si="4"/>
        <v>#VALUE!</v>
      </c>
      <c r="L56" s="10" t="e">
        <f t="shared" si="5"/>
        <v>#VALUE!</v>
      </c>
      <c r="M56" s="10" t="e">
        <f t="shared" si="24"/>
        <v>#VALUE!</v>
      </c>
      <c r="O56" s="10" t="e">
        <f t="shared" si="25"/>
        <v>#VALUE!</v>
      </c>
      <c r="P56" s="10" t="e">
        <f t="shared" si="6"/>
        <v>#VALUE!</v>
      </c>
      <c r="Q56" s="10" t="e">
        <f t="shared" si="7"/>
        <v>#VALUE!</v>
      </c>
      <c r="R56" s="10" t="e">
        <f t="shared" si="26"/>
        <v>#VALUE!</v>
      </c>
      <c r="S56" s="10" t="e">
        <f t="shared" si="27"/>
        <v>#VALUE!</v>
      </c>
      <c r="T56" s="10" t="e">
        <f t="shared" si="62"/>
        <v>#VALUE!</v>
      </c>
      <c r="U56" s="10" t="e">
        <f t="shared" si="63"/>
        <v>#VALUE!</v>
      </c>
      <c r="V56" s="10" t="e">
        <f t="shared" si="8"/>
        <v>#VALUE!</v>
      </c>
      <c r="W56" s="10" t="e">
        <f t="shared" si="28"/>
        <v>#VALUE!</v>
      </c>
      <c r="Y56" s="10" t="e">
        <f t="shared" si="29"/>
        <v>#VALUE!</v>
      </c>
      <c r="Z56" s="11" t="e">
        <f t="shared" si="30"/>
        <v>#VALUE!</v>
      </c>
      <c r="AA56" s="10" t="e">
        <f t="shared" si="9"/>
        <v>#VALUE!</v>
      </c>
      <c r="AB56" s="10" t="e">
        <f t="shared" si="31"/>
        <v>#VALUE!</v>
      </c>
      <c r="AC56" s="10" t="e">
        <f t="shared" si="32"/>
        <v>#VALUE!</v>
      </c>
      <c r="AD56" s="10" t="e">
        <f t="shared" si="64"/>
        <v>#VALUE!</v>
      </c>
      <c r="AE56" s="10" t="e">
        <f t="shared" si="65"/>
        <v>#VALUE!</v>
      </c>
      <c r="AF56" s="10" t="e">
        <f t="shared" si="10"/>
        <v>#VALUE!</v>
      </c>
      <c r="AG56" s="10" t="e">
        <f t="shared" si="33"/>
        <v>#VALUE!</v>
      </c>
      <c r="AI56" s="13"/>
      <c r="AK56" s="10" t="e">
        <f t="shared" si="34"/>
        <v>#VALUE!</v>
      </c>
      <c r="AL56" s="10" t="e">
        <f t="shared" si="66"/>
        <v>#VALUE!</v>
      </c>
      <c r="AM56" s="10" t="e">
        <f t="shared" si="11"/>
        <v>#VALUE!</v>
      </c>
      <c r="AN56" s="10" t="e">
        <f t="shared" si="35"/>
        <v>#VALUE!</v>
      </c>
      <c r="AO56" s="10" t="e">
        <f t="shared" si="36"/>
        <v>#VALUE!</v>
      </c>
      <c r="AP56" s="10" t="e">
        <f t="shared" si="37"/>
        <v>#VALUE!</v>
      </c>
      <c r="AQ56" s="10" t="e">
        <f t="shared" si="67"/>
        <v>#VALUE!</v>
      </c>
      <c r="AR56" s="10" t="e">
        <f t="shared" si="12"/>
        <v>#VALUE!</v>
      </c>
      <c r="AS56" s="10" t="e">
        <f t="shared" si="68"/>
        <v>#VALUE!</v>
      </c>
      <c r="AU56" s="10" t="e">
        <f t="shared" si="38"/>
        <v>#VALUE!</v>
      </c>
      <c r="AV56" s="10" t="e">
        <f t="shared" si="69"/>
        <v>#VALUE!</v>
      </c>
      <c r="AW56" s="10" t="e">
        <f t="shared" si="13"/>
        <v>#VALUE!</v>
      </c>
      <c r="AX56" s="10" t="e">
        <f t="shared" si="39"/>
        <v>#VALUE!</v>
      </c>
      <c r="AY56" s="10" t="e">
        <f t="shared" si="40"/>
        <v>#VALUE!</v>
      </c>
      <c r="AZ56" s="10" t="e">
        <f t="shared" si="41"/>
        <v>#VALUE!</v>
      </c>
      <c r="BA56" s="10" t="e">
        <f t="shared" si="70"/>
        <v>#VALUE!</v>
      </c>
      <c r="BB56" s="10" t="e">
        <f t="shared" si="14"/>
        <v>#VALUE!</v>
      </c>
      <c r="BC56" s="10" t="e">
        <f t="shared" si="71"/>
        <v>#VALUE!</v>
      </c>
      <c r="BE56" s="10" t="e">
        <f t="shared" si="42"/>
        <v>#VALUE!</v>
      </c>
      <c r="BF56" s="10" t="e">
        <f t="shared" si="72"/>
        <v>#VALUE!</v>
      </c>
      <c r="BG56" s="10" t="e">
        <f t="shared" si="15"/>
        <v>#VALUE!</v>
      </c>
      <c r="BH56" s="10" t="e">
        <f t="shared" si="43"/>
        <v>#VALUE!</v>
      </c>
      <c r="BI56" s="10" t="e">
        <f t="shared" si="44"/>
        <v>#VALUE!</v>
      </c>
      <c r="BJ56" s="10" t="e">
        <f t="shared" si="45"/>
        <v>#VALUE!</v>
      </c>
      <c r="BK56" s="10" t="e">
        <f t="shared" si="73"/>
        <v>#VALUE!</v>
      </c>
      <c r="BL56" s="10" t="e">
        <f t="shared" si="16"/>
        <v>#VALUE!</v>
      </c>
      <c r="BM56" s="10" t="e">
        <f t="shared" si="74"/>
        <v>#VALUE!</v>
      </c>
      <c r="BP56" s="10" t="e">
        <f t="shared" si="46"/>
        <v>#VALUE!</v>
      </c>
      <c r="BQ56" s="10" t="e">
        <f t="shared" si="47"/>
        <v>#VALUE!</v>
      </c>
      <c r="BR56" s="10" t="e">
        <f t="shared" si="48"/>
        <v>#VALUE!</v>
      </c>
      <c r="BS56" s="10" t="e">
        <f t="shared" si="49"/>
        <v>#VALUE!</v>
      </c>
      <c r="BT56" s="10" t="e">
        <f t="shared" si="50"/>
        <v>#VALUE!</v>
      </c>
      <c r="BU56" s="10" t="e">
        <f t="shared" si="51"/>
        <v>#VALUE!</v>
      </c>
      <c r="BW56" s="10" t="e">
        <f t="shared" si="52"/>
        <v>#VALUE!</v>
      </c>
      <c r="BX56" s="10" t="e">
        <f t="shared" si="53"/>
        <v>#VALUE!</v>
      </c>
      <c r="BY56" s="10" t="e">
        <f t="shared" si="54"/>
        <v>#VALUE!</v>
      </c>
      <c r="BZ56" s="10" t="e">
        <f t="shared" si="55"/>
        <v>#VALUE!</v>
      </c>
      <c r="CA56" s="10" t="e">
        <f t="shared" si="56"/>
        <v>#VALUE!</v>
      </c>
      <c r="CB56" s="10" t="e">
        <f t="shared" si="57"/>
        <v>#VALUE!</v>
      </c>
      <c r="CD56" s="10" t="e">
        <f>MATCH(INDEX($BP$12:$BU$12,1,MATCH(BP56,$BP$15:$BU$15,0)),结果汇总!$AI$10:$AI$13,0)</f>
        <v>#VALUE!</v>
      </c>
      <c r="CE56" s="10" t="e">
        <f>MATCH(INDEX($BP$12:$BU$12,1,MATCH(BQ56,$BP$15:$BU$15,0)),结果汇总!$AI$10:$AI$13,0)</f>
        <v>#VALUE!</v>
      </c>
      <c r="CF56" s="10" t="e">
        <f>MATCH(INDEX($BP$12:$BU$12,1,MATCH(BR56,$BP$15:$BU$15,0)),结果汇总!$AI$10:$AI$13,0)</f>
        <v>#VALUE!</v>
      </c>
      <c r="CG56" s="10" t="e">
        <f>MATCH(INDEX($BP$12:$BU$12,1,MATCH(BS56,$BP$15:$BU$15,0)),结果汇总!$AI$10:$AI$13,0)</f>
        <v>#VALUE!</v>
      </c>
      <c r="CH56" s="10" t="e">
        <f>MATCH(INDEX($BP$12:$BU$12,1,MATCH(BT56,$BP$15:$BU$15,0)),结果汇总!$AI$10:$AI$13,0)</f>
        <v>#VALUE!</v>
      </c>
      <c r="CI56" s="10" t="e">
        <f>MATCH(INDEX($BP$12:$BU$12,1,MATCH(BU56,$BP$15:$BU$15,0)),结果汇总!$AI$10:$AI$13,0)</f>
        <v>#VALUE!</v>
      </c>
      <c r="CK56" s="10">
        <f t="shared" si="75"/>
        <v>0</v>
      </c>
      <c r="CL56" s="10">
        <f t="shared" si="75"/>
        <v>0</v>
      </c>
      <c r="CM56" s="10">
        <f t="shared" si="75"/>
        <v>0</v>
      </c>
      <c r="CN56" s="10">
        <f t="shared" si="75"/>
        <v>0</v>
      </c>
      <c r="CO56" s="10">
        <f t="shared" si="76"/>
        <v>0</v>
      </c>
      <c r="CP56" s="10">
        <f t="shared" si="76"/>
        <v>0</v>
      </c>
      <c r="CQ56" s="10">
        <f t="shared" si="76"/>
        <v>0</v>
      </c>
      <c r="CR56" s="10">
        <f t="shared" si="76"/>
        <v>0</v>
      </c>
      <c r="CS56" s="10">
        <f t="shared" si="77"/>
        <v>0</v>
      </c>
      <c r="CT56" s="10">
        <f t="shared" si="77"/>
        <v>0</v>
      </c>
      <c r="CU56" s="10">
        <f t="shared" si="77"/>
        <v>0</v>
      </c>
      <c r="CV56" s="10">
        <f t="shared" si="77"/>
        <v>0</v>
      </c>
      <c r="CW56" s="10">
        <f t="shared" si="78"/>
        <v>0</v>
      </c>
      <c r="CX56" s="10">
        <f t="shared" si="78"/>
        <v>0</v>
      </c>
      <c r="CY56" s="10">
        <f t="shared" si="78"/>
        <v>0</v>
      </c>
      <c r="CZ56" s="10">
        <f t="shared" si="78"/>
        <v>0</v>
      </c>
    </row>
    <row r="57" spans="4:104" x14ac:dyDescent="0.15">
      <c r="D57" s="10">
        <v>42</v>
      </c>
      <c r="E57" s="10" t="e">
        <f t="shared" si="21"/>
        <v>#VALUE!</v>
      </c>
      <c r="F57" s="10" t="e">
        <f t="shared" si="1"/>
        <v>#VALUE!</v>
      </c>
      <c r="G57" s="10" t="e">
        <f t="shared" si="2"/>
        <v>#VALUE!</v>
      </c>
      <c r="H57" s="10" t="e">
        <f t="shared" si="22"/>
        <v>#VALUE!</v>
      </c>
      <c r="I57" s="10" t="e">
        <f t="shared" si="3"/>
        <v>#VALUE!</v>
      </c>
      <c r="J57" s="10" t="e">
        <f t="shared" si="23"/>
        <v>#VALUE!</v>
      </c>
      <c r="K57" s="10" t="e">
        <f t="shared" si="4"/>
        <v>#VALUE!</v>
      </c>
      <c r="L57" s="10" t="e">
        <f t="shared" si="5"/>
        <v>#VALUE!</v>
      </c>
      <c r="M57" s="10" t="e">
        <f t="shared" si="24"/>
        <v>#VALUE!</v>
      </c>
      <c r="O57" s="10" t="e">
        <f t="shared" si="25"/>
        <v>#VALUE!</v>
      </c>
      <c r="P57" s="10" t="e">
        <f t="shared" si="6"/>
        <v>#VALUE!</v>
      </c>
      <c r="Q57" s="10" t="e">
        <f t="shared" si="7"/>
        <v>#VALUE!</v>
      </c>
      <c r="R57" s="10" t="e">
        <f t="shared" si="26"/>
        <v>#VALUE!</v>
      </c>
      <c r="S57" s="10" t="e">
        <f t="shared" si="27"/>
        <v>#VALUE!</v>
      </c>
      <c r="T57" s="10" t="e">
        <f t="shared" si="62"/>
        <v>#VALUE!</v>
      </c>
      <c r="U57" s="10" t="e">
        <f t="shared" si="63"/>
        <v>#VALUE!</v>
      </c>
      <c r="V57" s="10" t="e">
        <f t="shared" si="8"/>
        <v>#VALUE!</v>
      </c>
      <c r="W57" s="10" t="e">
        <f t="shared" si="28"/>
        <v>#VALUE!</v>
      </c>
      <c r="Y57" s="10" t="e">
        <f t="shared" si="29"/>
        <v>#VALUE!</v>
      </c>
      <c r="Z57" s="11" t="e">
        <f t="shared" si="30"/>
        <v>#VALUE!</v>
      </c>
      <c r="AA57" s="10" t="e">
        <f t="shared" si="9"/>
        <v>#VALUE!</v>
      </c>
      <c r="AB57" s="10" t="e">
        <f t="shared" si="31"/>
        <v>#VALUE!</v>
      </c>
      <c r="AC57" s="10" t="e">
        <f t="shared" si="32"/>
        <v>#VALUE!</v>
      </c>
      <c r="AD57" s="10" t="e">
        <f t="shared" si="64"/>
        <v>#VALUE!</v>
      </c>
      <c r="AE57" s="10" t="e">
        <f t="shared" si="65"/>
        <v>#VALUE!</v>
      </c>
      <c r="AF57" s="10" t="e">
        <f t="shared" si="10"/>
        <v>#VALUE!</v>
      </c>
      <c r="AG57" s="10" t="e">
        <f t="shared" si="33"/>
        <v>#VALUE!</v>
      </c>
      <c r="AI57" s="13"/>
      <c r="AK57" s="10" t="e">
        <f t="shared" si="34"/>
        <v>#VALUE!</v>
      </c>
      <c r="AL57" s="10" t="e">
        <f t="shared" si="66"/>
        <v>#VALUE!</v>
      </c>
      <c r="AM57" s="10" t="e">
        <f t="shared" si="11"/>
        <v>#VALUE!</v>
      </c>
      <c r="AN57" s="10" t="e">
        <f t="shared" si="35"/>
        <v>#VALUE!</v>
      </c>
      <c r="AO57" s="10" t="e">
        <f t="shared" si="36"/>
        <v>#VALUE!</v>
      </c>
      <c r="AP57" s="10" t="e">
        <f t="shared" si="37"/>
        <v>#VALUE!</v>
      </c>
      <c r="AQ57" s="10" t="e">
        <f t="shared" si="67"/>
        <v>#VALUE!</v>
      </c>
      <c r="AR57" s="10" t="e">
        <f t="shared" si="12"/>
        <v>#VALUE!</v>
      </c>
      <c r="AS57" s="10" t="e">
        <f t="shared" si="68"/>
        <v>#VALUE!</v>
      </c>
      <c r="AU57" s="10" t="e">
        <f t="shared" si="38"/>
        <v>#VALUE!</v>
      </c>
      <c r="AV57" s="10" t="e">
        <f t="shared" si="69"/>
        <v>#VALUE!</v>
      </c>
      <c r="AW57" s="10" t="e">
        <f t="shared" si="13"/>
        <v>#VALUE!</v>
      </c>
      <c r="AX57" s="10" t="e">
        <f t="shared" si="39"/>
        <v>#VALUE!</v>
      </c>
      <c r="AY57" s="10" t="e">
        <f t="shared" si="40"/>
        <v>#VALUE!</v>
      </c>
      <c r="AZ57" s="10" t="e">
        <f t="shared" si="41"/>
        <v>#VALUE!</v>
      </c>
      <c r="BA57" s="10" t="e">
        <f t="shared" si="70"/>
        <v>#VALUE!</v>
      </c>
      <c r="BB57" s="10" t="e">
        <f t="shared" si="14"/>
        <v>#VALUE!</v>
      </c>
      <c r="BC57" s="10" t="e">
        <f t="shared" si="71"/>
        <v>#VALUE!</v>
      </c>
      <c r="BE57" s="10" t="e">
        <f t="shared" si="42"/>
        <v>#VALUE!</v>
      </c>
      <c r="BF57" s="10" t="e">
        <f t="shared" si="72"/>
        <v>#VALUE!</v>
      </c>
      <c r="BG57" s="10" t="e">
        <f t="shared" si="15"/>
        <v>#VALUE!</v>
      </c>
      <c r="BH57" s="10" t="e">
        <f t="shared" si="43"/>
        <v>#VALUE!</v>
      </c>
      <c r="BI57" s="10" t="e">
        <f t="shared" si="44"/>
        <v>#VALUE!</v>
      </c>
      <c r="BJ57" s="10" t="e">
        <f t="shared" si="45"/>
        <v>#VALUE!</v>
      </c>
      <c r="BK57" s="10" t="e">
        <f t="shared" si="73"/>
        <v>#VALUE!</v>
      </c>
      <c r="BL57" s="10" t="e">
        <f t="shared" si="16"/>
        <v>#VALUE!</v>
      </c>
      <c r="BM57" s="10" t="e">
        <f t="shared" si="74"/>
        <v>#VALUE!</v>
      </c>
      <c r="BP57" s="10" t="e">
        <f t="shared" si="46"/>
        <v>#VALUE!</v>
      </c>
      <c r="BQ57" s="10" t="e">
        <f t="shared" si="47"/>
        <v>#VALUE!</v>
      </c>
      <c r="BR57" s="10" t="e">
        <f t="shared" si="48"/>
        <v>#VALUE!</v>
      </c>
      <c r="BS57" s="10" t="e">
        <f t="shared" si="49"/>
        <v>#VALUE!</v>
      </c>
      <c r="BT57" s="10" t="e">
        <f t="shared" si="50"/>
        <v>#VALUE!</v>
      </c>
      <c r="BU57" s="10" t="e">
        <f t="shared" si="51"/>
        <v>#VALUE!</v>
      </c>
      <c r="BW57" s="10" t="e">
        <f t="shared" si="52"/>
        <v>#VALUE!</v>
      </c>
      <c r="BX57" s="10" t="e">
        <f t="shared" si="53"/>
        <v>#VALUE!</v>
      </c>
      <c r="BY57" s="10" t="e">
        <f t="shared" si="54"/>
        <v>#VALUE!</v>
      </c>
      <c r="BZ57" s="10" t="e">
        <f t="shared" si="55"/>
        <v>#VALUE!</v>
      </c>
      <c r="CA57" s="10" t="e">
        <f t="shared" si="56"/>
        <v>#VALUE!</v>
      </c>
      <c r="CB57" s="10" t="e">
        <f t="shared" si="57"/>
        <v>#VALUE!</v>
      </c>
      <c r="CD57" s="10" t="e">
        <f>MATCH(INDEX($BP$12:$BU$12,1,MATCH(BP57,$BP$15:$BU$15,0)),结果汇总!$AI$10:$AI$13,0)</f>
        <v>#VALUE!</v>
      </c>
      <c r="CE57" s="10" t="e">
        <f>MATCH(INDEX($BP$12:$BU$12,1,MATCH(BQ57,$BP$15:$BU$15,0)),结果汇总!$AI$10:$AI$13,0)</f>
        <v>#VALUE!</v>
      </c>
      <c r="CF57" s="10" t="e">
        <f>MATCH(INDEX($BP$12:$BU$12,1,MATCH(BR57,$BP$15:$BU$15,0)),结果汇总!$AI$10:$AI$13,0)</f>
        <v>#VALUE!</v>
      </c>
      <c r="CG57" s="10" t="e">
        <f>MATCH(INDEX($BP$12:$BU$12,1,MATCH(BS57,$BP$15:$BU$15,0)),结果汇总!$AI$10:$AI$13,0)</f>
        <v>#VALUE!</v>
      </c>
      <c r="CH57" s="10" t="e">
        <f>MATCH(INDEX($BP$12:$BU$12,1,MATCH(BT57,$BP$15:$BU$15,0)),结果汇总!$AI$10:$AI$13,0)</f>
        <v>#VALUE!</v>
      </c>
      <c r="CI57" s="10" t="e">
        <f>MATCH(INDEX($BP$12:$BU$12,1,MATCH(BU57,$BP$15:$BU$15,0)),结果汇总!$AI$10:$AI$13,0)</f>
        <v>#VALUE!</v>
      </c>
      <c r="CK57" s="10">
        <f t="shared" si="75"/>
        <v>0</v>
      </c>
      <c r="CL57" s="10">
        <f t="shared" si="75"/>
        <v>0</v>
      </c>
      <c r="CM57" s="10">
        <f t="shared" si="75"/>
        <v>0</v>
      </c>
      <c r="CN57" s="10">
        <f t="shared" si="75"/>
        <v>0</v>
      </c>
      <c r="CO57" s="10">
        <f t="shared" si="76"/>
        <v>0</v>
      </c>
      <c r="CP57" s="10">
        <f t="shared" si="76"/>
        <v>0</v>
      </c>
      <c r="CQ57" s="10">
        <f t="shared" si="76"/>
        <v>0</v>
      </c>
      <c r="CR57" s="10">
        <f t="shared" si="76"/>
        <v>0</v>
      </c>
      <c r="CS57" s="10">
        <f t="shared" si="77"/>
        <v>0</v>
      </c>
      <c r="CT57" s="10">
        <f t="shared" si="77"/>
        <v>0</v>
      </c>
      <c r="CU57" s="10">
        <f t="shared" si="77"/>
        <v>0</v>
      </c>
      <c r="CV57" s="10">
        <f t="shared" si="77"/>
        <v>0</v>
      </c>
      <c r="CW57" s="10">
        <f t="shared" si="78"/>
        <v>0</v>
      </c>
      <c r="CX57" s="10">
        <f t="shared" si="78"/>
        <v>0</v>
      </c>
      <c r="CY57" s="10">
        <f t="shared" si="78"/>
        <v>0</v>
      </c>
      <c r="CZ57" s="10">
        <f t="shared" si="78"/>
        <v>0</v>
      </c>
    </row>
    <row r="58" spans="4:104" x14ac:dyDescent="0.15">
      <c r="D58" s="10">
        <v>43</v>
      </c>
      <c r="E58" s="10" t="e">
        <f t="shared" si="21"/>
        <v>#VALUE!</v>
      </c>
      <c r="F58" s="10" t="e">
        <f t="shared" si="1"/>
        <v>#VALUE!</v>
      </c>
      <c r="G58" s="10" t="e">
        <f t="shared" si="2"/>
        <v>#VALUE!</v>
      </c>
      <c r="H58" s="10" t="e">
        <f t="shared" si="22"/>
        <v>#VALUE!</v>
      </c>
      <c r="I58" s="10" t="e">
        <f t="shared" si="3"/>
        <v>#VALUE!</v>
      </c>
      <c r="J58" s="10" t="e">
        <f t="shared" si="23"/>
        <v>#VALUE!</v>
      </c>
      <c r="K58" s="10" t="e">
        <f t="shared" si="4"/>
        <v>#VALUE!</v>
      </c>
      <c r="L58" s="10" t="e">
        <f t="shared" si="5"/>
        <v>#VALUE!</v>
      </c>
      <c r="M58" s="10" t="e">
        <f t="shared" si="24"/>
        <v>#VALUE!</v>
      </c>
      <c r="O58" s="10" t="e">
        <f t="shared" si="25"/>
        <v>#VALUE!</v>
      </c>
      <c r="P58" s="10" t="e">
        <f t="shared" si="6"/>
        <v>#VALUE!</v>
      </c>
      <c r="Q58" s="10" t="e">
        <f t="shared" si="7"/>
        <v>#VALUE!</v>
      </c>
      <c r="R58" s="10" t="e">
        <f t="shared" si="26"/>
        <v>#VALUE!</v>
      </c>
      <c r="S58" s="10" t="e">
        <f t="shared" si="27"/>
        <v>#VALUE!</v>
      </c>
      <c r="T58" s="10" t="e">
        <f t="shared" si="62"/>
        <v>#VALUE!</v>
      </c>
      <c r="U58" s="10" t="e">
        <f t="shared" si="63"/>
        <v>#VALUE!</v>
      </c>
      <c r="V58" s="10" t="e">
        <f t="shared" si="8"/>
        <v>#VALUE!</v>
      </c>
      <c r="W58" s="10" t="e">
        <f t="shared" si="28"/>
        <v>#VALUE!</v>
      </c>
      <c r="Y58" s="10" t="e">
        <f t="shared" si="29"/>
        <v>#VALUE!</v>
      </c>
      <c r="Z58" s="11" t="e">
        <f t="shared" si="30"/>
        <v>#VALUE!</v>
      </c>
      <c r="AA58" s="10" t="e">
        <f t="shared" si="9"/>
        <v>#VALUE!</v>
      </c>
      <c r="AB58" s="10" t="e">
        <f t="shared" si="31"/>
        <v>#VALUE!</v>
      </c>
      <c r="AC58" s="10" t="e">
        <f t="shared" si="32"/>
        <v>#VALUE!</v>
      </c>
      <c r="AD58" s="10" t="e">
        <f t="shared" si="64"/>
        <v>#VALUE!</v>
      </c>
      <c r="AE58" s="10" t="e">
        <f t="shared" si="65"/>
        <v>#VALUE!</v>
      </c>
      <c r="AF58" s="10" t="e">
        <f t="shared" si="10"/>
        <v>#VALUE!</v>
      </c>
      <c r="AG58" s="10" t="e">
        <f t="shared" si="33"/>
        <v>#VALUE!</v>
      </c>
      <c r="AI58" s="13"/>
      <c r="AK58" s="10" t="e">
        <f t="shared" si="34"/>
        <v>#VALUE!</v>
      </c>
      <c r="AL58" s="10" t="e">
        <f t="shared" si="66"/>
        <v>#VALUE!</v>
      </c>
      <c r="AM58" s="10" t="e">
        <f t="shared" si="11"/>
        <v>#VALUE!</v>
      </c>
      <c r="AN58" s="10" t="e">
        <f t="shared" si="35"/>
        <v>#VALUE!</v>
      </c>
      <c r="AO58" s="10" t="e">
        <f t="shared" si="36"/>
        <v>#VALUE!</v>
      </c>
      <c r="AP58" s="10" t="e">
        <f t="shared" si="37"/>
        <v>#VALUE!</v>
      </c>
      <c r="AQ58" s="10" t="e">
        <f t="shared" si="67"/>
        <v>#VALUE!</v>
      </c>
      <c r="AR58" s="10" t="e">
        <f t="shared" si="12"/>
        <v>#VALUE!</v>
      </c>
      <c r="AS58" s="10" t="e">
        <f t="shared" si="68"/>
        <v>#VALUE!</v>
      </c>
      <c r="AU58" s="10" t="e">
        <f t="shared" si="38"/>
        <v>#VALUE!</v>
      </c>
      <c r="AV58" s="10" t="e">
        <f t="shared" si="69"/>
        <v>#VALUE!</v>
      </c>
      <c r="AW58" s="10" t="e">
        <f t="shared" si="13"/>
        <v>#VALUE!</v>
      </c>
      <c r="AX58" s="10" t="e">
        <f t="shared" si="39"/>
        <v>#VALUE!</v>
      </c>
      <c r="AY58" s="10" t="e">
        <f t="shared" si="40"/>
        <v>#VALUE!</v>
      </c>
      <c r="AZ58" s="10" t="e">
        <f t="shared" si="41"/>
        <v>#VALUE!</v>
      </c>
      <c r="BA58" s="10" t="e">
        <f t="shared" si="70"/>
        <v>#VALUE!</v>
      </c>
      <c r="BB58" s="10" t="e">
        <f t="shared" si="14"/>
        <v>#VALUE!</v>
      </c>
      <c r="BC58" s="10" t="e">
        <f t="shared" si="71"/>
        <v>#VALUE!</v>
      </c>
      <c r="BE58" s="10" t="e">
        <f t="shared" si="42"/>
        <v>#VALUE!</v>
      </c>
      <c r="BF58" s="10" t="e">
        <f t="shared" si="72"/>
        <v>#VALUE!</v>
      </c>
      <c r="BG58" s="10" t="e">
        <f t="shared" si="15"/>
        <v>#VALUE!</v>
      </c>
      <c r="BH58" s="10" t="e">
        <f t="shared" si="43"/>
        <v>#VALUE!</v>
      </c>
      <c r="BI58" s="10" t="e">
        <f t="shared" si="44"/>
        <v>#VALUE!</v>
      </c>
      <c r="BJ58" s="10" t="e">
        <f t="shared" si="45"/>
        <v>#VALUE!</v>
      </c>
      <c r="BK58" s="10" t="e">
        <f t="shared" si="73"/>
        <v>#VALUE!</v>
      </c>
      <c r="BL58" s="10" t="e">
        <f t="shared" si="16"/>
        <v>#VALUE!</v>
      </c>
      <c r="BM58" s="10" t="e">
        <f t="shared" si="74"/>
        <v>#VALUE!</v>
      </c>
      <c r="BP58" s="10" t="e">
        <f t="shared" si="46"/>
        <v>#VALUE!</v>
      </c>
      <c r="BQ58" s="10" t="e">
        <f t="shared" si="47"/>
        <v>#VALUE!</v>
      </c>
      <c r="BR58" s="10" t="e">
        <f t="shared" si="48"/>
        <v>#VALUE!</v>
      </c>
      <c r="BS58" s="10" t="e">
        <f t="shared" si="49"/>
        <v>#VALUE!</v>
      </c>
      <c r="BT58" s="10" t="e">
        <f t="shared" si="50"/>
        <v>#VALUE!</v>
      </c>
      <c r="BU58" s="10" t="e">
        <f t="shared" si="51"/>
        <v>#VALUE!</v>
      </c>
      <c r="BW58" s="10" t="e">
        <f t="shared" si="52"/>
        <v>#VALUE!</v>
      </c>
      <c r="BX58" s="10" t="e">
        <f t="shared" si="53"/>
        <v>#VALUE!</v>
      </c>
      <c r="BY58" s="10" t="e">
        <f t="shared" si="54"/>
        <v>#VALUE!</v>
      </c>
      <c r="BZ58" s="10" t="e">
        <f t="shared" si="55"/>
        <v>#VALUE!</v>
      </c>
      <c r="CA58" s="10" t="e">
        <f t="shared" si="56"/>
        <v>#VALUE!</v>
      </c>
      <c r="CB58" s="10" t="e">
        <f t="shared" si="57"/>
        <v>#VALUE!</v>
      </c>
      <c r="CD58" s="10" t="e">
        <f>MATCH(INDEX($BP$12:$BU$12,1,MATCH(BP58,$BP$15:$BU$15,0)),结果汇总!$AI$10:$AI$13,0)</f>
        <v>#VALUE!</v>
      </c>
      <c r="CE58" s="10" t="e">
        <f>MATCH(INDEX($BP$12:$BU$12,1,MATCH(BQ58,$BP$15:$BU$15,0)),结果汇总!$AI$10:$AI$13,0)</f>
        <v>#VALUE!</v>
      </c>
      <c r="CF58" s="10" t="e">
        <f>MATCH(INDEX($BP$12:$BU$12,1,MATCH(BR58,$BP$15:$BU$15,0)),结果汇总!$AI$10:$AI$13,0)</f>
        <v>#VALUE!</v>
      </c>
      <c r="CG58" s="10" t="e">
        <f>MATCH(INDEX($BP$12:$BU$12,1,MATCH(BS58,$BP$15:$BU$15,0)),结果汇总!$AI$10:$AI$13,0)</f>
        <v>#VALUE!</v>
      </c>
      <c r="CH58" s="10" t="e">
        <f>MATCH(INDEX($BP$12:$BU$12,1,MATCH(BT58,$BP$15:$BU$15,0)),结果汇总!$AI$10:$AI$13,0)</f>
        <v>#VALUE!</v>
      </c>
      <c r="CI58" s="10" t="e">
        <f>MATCH(INDEX($BP$12:$BU$12,1,MATCH(BU58,$BP$15:$BU$15,0)),结果汇总!$AI$10:$AI$13,0)</f>
        <v>#VALUE!</v>
      </c>
      <c r="CK58" s="10">
        <f t="shared" si="75"/>
        <v>0</v>
      </c>
      <c r="CL58" s="10">
        <f t="shared" si="75"/>
        <v>0</v>
      </c>
      <c r="CM58" s="10">
        <f t="shared" si="75"/>
        <v>0</v>
      </c>
      <c r="CN58" s="10">
        <f t="shared" si="75"/>
        <v>0</v>
      </c>
      <c r="CO58" s="10">
        <f t="shared" si="76"/>
        <v>0</v>
      </c>
      <c r="CP58" s="10">
        <f t="shared" si="76"/>
        <v>0</v>
      </c>
      <c r="CQ58" s="10">
        <f t="shared" si="76"/>
        <v>0</v>
      </c>
      <c r="CR58" s="10">
        <f t="shared" si="76"/>
        <v>0</v>
      </c>
      <c r="CS58" s="10">
        <f t="shared" si="77"/>
        <v>0</v>
      </c>
      <c r="CT58" s="10">
        <f t="shared" si="77"/>
        <v>0</v>
      </c>
      <c r="CU58" s="10">
        <f t="shared" si="77"/>
        <v>0</v>
      </c>
      <c r="CV58" s="10">
        <f t="shared" si="77"/>
        <v>0</v>
      </c>
      <c r="CW58" s="10">
        <f t="shared" si="78"/>
        <v>0</v>
      </c>
      <c r="CX58" s="10">
        <f t="shared" si="78"/>
        <v>0</v>
      </c>
      <c r="CY58" s="10">
        <f t="shared" si="78"/>
        <v>0</v>
      </c>
      <c r="CZ58" s="10">
        <f t="shared" si="78"/>
        <v>0</v>
      </c>
    </row>
    <row r="59" spans="4:104" x14ac:dyDescent="0.15">
      <c r="D59" s="10">
        <v>44</v>
      </c>
      <c r="E59" s="10" t="e">
        <f t="shared" si="21"/>
        <v>#VALUE!</v>
      </c>
      <c r="F59" s="10" t="e">
        <f t="shared" si="1"/>
        <v>#VALUE!</v>
      </c>
      <c r="G59" s="10" t="e">
        <f t="shared" si="2"/>
        <v>#VALUE!</v>
      </c>
      <c r="H59" s="10" t="e">
        <f t="shared" si="22"/>
        <v>#VALUE!</v>
      </c>
      <c r="I59" s="10" t="e">
        <f t="shared" si="3"/>
        <v>#VALUE!</v>
      </c>
      <c r="J59" s="10" t="e">
        <f t="shared" si="23"/>
        <v>#VALUE!</v>
      </c>
      <c r="K59" s="10" t="e">
        <f t="shared" si="4"/>
        <v>#VALUE!</v>
      </c>
      <c r="L59" s="10" t="e">
        <f t="shared" si="5"/>
        <v>#VALUE!</v>
      </c>
      <c r="M59" s="10" t="e">
        <f t="shared" si="24"/>
        <v>#VALUE!</v>
      </c>
      <c r="O59" s="10" t="e">
        <f t="shared" si="25"/>
        <v>#VALUE!</v>
      </c>
      <c r="P59" s="10" t="e">
        <f t="shared" si="6"/>
        <v>#VALUE!</v>
      </c>
      <c r="Q59" s="10" t="e">
        <f t="shared" si="7"/>
        <v>#VALUE!</v>
      </c>
      <c r="R59" s="10" t="e">
        <f t="shared" si="26"/>
        <v>#VALUE!</v>
      </c>
      <c r="S59" s="10" t="e">
        <f t="shared" si="27"/>
        <v>#VALUE!</v>
      </c>
      <c r="T59" s="10" t="e">
        <f t="shared" si="62"/>
        <v>#VALUE!</v>
      </c>
      <c r="U59" s="10" t="e">
        <f t="shared" si="63"/>
        <v>#VALUE!</v>
      </c>
      <c r="V59" s="10" t="e">
        <f t="shared" si="8"/>
        <v>#VALUE!</v>
      </c>
      <c r="W59" s="10" t="e">
        <f t="shared" si="28"/>
        <v>#VALUE!</v>
      </c>
      <c r="Y59" s="10" t="e">
        <f t="shared" si="29"/>
        <v>#VALUE!</v>
      </c>
      <c r="Z59" s="11" t="e">
        <f t="shared" si="30"/>
        <v>#VALUE!</v>
      </c>
      <c r="AA59" s="10" t="e">
        <f t="shared" si="9"/>
        <v>#VALUE!</v>
      </c>
      <c r="AB59" s="10" t="e">
        <f t="shared" si="31"/>
        <v>#VALUE!</v>
      </c>
      <c r="AC59" s="10" t="e">
        <f t="shared" si="32"/>
        <v>#VALUE!</v>
      </c>
      <c r="AD59" s="10" t="e">
        <f t="shared" si="64"/>
        <v>#VALUE!</v>
      </c>
      <c r="AE59" s="10" t="e">
        <f t="shared" si="65"/>
        <v>#VALUE!</v>
      </c>
      <c r="AF59" s="10" t="e">
        <f t="shared" si="10"/>
        <v>#VALUE!</v>
      </c>
      <c r="AG59" s="10" t="e">
        <f t="shared" si="33"/>
        <v>#VALUE!</v>
      </c>
      <c r="AI59" s="13"/>
      <c r="AK59" s="10" t="e">
        <f t="shared" si="34"/>
        <v>#VALUE!</v>
      </c>
      <c r="AL59" s="10" t="e">
        <f t="shared" si="66"/>
        <v>#VALUE!</v>
      </c>
      <c r="AM59" s="10" t="e">
        <f t="shared" si="11"/>
        <v>#VALUE!</v>
      </c>
      <c r="AN59" s="10" t="e">
        <f t="shared" si="35"/>
        <v>#VALUE!</v>
      </c>
      <c r="AO59" s="10" t="e">
        <f t="shared" si="36"/>
        <v>#VALUE!</v>
      </c>
      <c r="AP59" s="10" t="e">
        <f t="shared" si="37"/>
        <v>#VALUE!</v>
      </c>
      <c r="AQ59" s="10" t="e">
        <f t="shared" si="67"/>
        <v>#VALUE!</v>
      </c>
      <c r="AR59" s="10" t="e">
        <f t="shared" si="12"/>
        <v>#VALUE!</v>
      </c>
      <c r="AS59" s="10" t="e">
        <f t="shared" si="68"/>
        <v>#VALUE!</v>
      </c>
      <c r="AU59" s="10" t="e">
        <f t="shared" si="38"/>
        <v>#VALUE!</v>
      </c>
      <c r="AV59" s="10" t="e">
        <f t="shared" si="69"/>
        <v>#VALUE!</v>
      </c>
      <c r="AW59" s="10" t="e">
        <f t="shared" si="13"/>
        <v>#VALUE!</v>
      </c>
      <c r="AX59" s="10" t="e">
        <f t="shared" si="39"/>
        <v>#VALUE!</v>
      </c>
      <c r="AY59" s="10" t="e">
        <f t="shared" si="40"/>
        <v>#VALUE!</v>
      </c>
      <c r="AZ59" s="10" t="e">
        <f t="shared" si="41"/>
        <v>#VALUE!</v>
      </c>
      <c r="BA59" s="10" t="e">
        <f t="shared" si="70"/>
        <v>#VALUE!</v>
      </c>
      <c r="BB59" s="10" t="e">
        <f t="shared" si="14"/>
        <v>#VALUE!</v>
      </c>
      <c r="BC59" s="10" t="e">
        <f t="shared" si="71"/>
        <v>#VALUE!</v>
      </c>
      <c r="BE59" s="10" t="e">
        <f t="shared" si="42"/>
        <v>#VALUE!</v>
      </c>
      <c r="BF59" s="10" t="e">
        <f t="shared" si="72"/>
        <v>#VALUE!</v>
      </c>
      <c r="BG59" s="10" t="e">
        <f t="shared" si="15"/>
        <v>#VALUE!</v>
      </c>
      <c r="BH59" s="10" t="e">
        <f t="shared" si="43"/>
        <v>#VALUE!</v>
      </c>
      <c r="BI59" s="10" t="e">
        <f t="shared" si="44"/>
        <v>#VALUE!</v>
      </c>
      <c r="BJ59" s="10" t="e">
        <f t="shared" si="45"/>
        <v>#VALUE!</v>
      </c>
      <c r="BK59" s="10" t="e">
        <f t="shared" si="73"/>
        <v>#VALUE!</v>
      </c>
      <c r="BL59" s="10" t="e">
        <f t="shared" si="16"/>
        <v>#VALUE!</v>
      </c>
      <c r="BM59" s="10" t="e">
        <f t="shared" si="74"/>
        <v>#VALUE!</v>
      </c>
      <c r="BP59" s="10" t="e">
        <f t="shared" si="46"/>
        <v>#VALUE!</v>
      </c>
      <c r="BQ59" s="10" t="e">
        <f t="shared" si="47"/>
        <v>#VALUE!</v>
      </c>
      <c r="BR59" s="10" t="e">
        <f t="shared" si="48"/>
        <v>#VALUE!</v>
      </c>
      <c r="BS59" s="10" t="e">
        <f t="shared" si="49"/>
        <v>#VALUE!</v>
      </c>
      <c r="BT59" s="10" t="e">
        <f t="shared" si="50"/>
        <v>#VALUE!</v>
      </c>
      <c r="BU59" s="10" t="e">
        <f t="shared" si="51"/>
        <v>#VALUE!</v>
      </c>
      <c r="BW59" s="10" t="e">
        <f t="shared" si="52"/>
        <v>#VALUE!</v>
      </c>
      <c r="BX59" s="10" t="e">
        <f t="shared" si="53"/>
        <v>#VALUE!</v>
      </c>
      <c r="BY59" s="10" t="e">
        <f t="shared" si="54"/>
        <v>#VALUE!</v>
      </c>
      <c r="BZ59" s="10" t="e">
        <f t="shared" si="55"/>
        <v>#VALUE!</v>
      </c>
      <c r="CA59" s="10" t="e">
        <f t="shared" si="56"/>
        <v>#VALUE!</v>
      </c>
      <c r="CB59" s="10" t="e">
        <f t="shared" si="57"/>
        <v>#VALUE!</v>
      </c>
      <c r="CD59" s="10" t="e">
        <f>MATCH(INDEX($BP$12:$BU$12,1,MATCH(BP59,$BP$15:$BU$15,0)),结果汇总!$AI$10:$AI$13,0)</f>
        <v>#VALUE!</v>
      </c>
      <c r="CE59" s="10" t="e">
        <f>MATCH(INDEX($BP$12:$BU$12,1,MATCH(BQ59,$BP$15:$BU$15,0)),结果汇总!$AI$10:$AI$13,0)</f>
        <v>#VALUE!</v>
      </c>
      <c r="CF59" s="10" t="e">
        <f>MATCH(INDEX($BP$12:$BU$12,1,MATCH(BR59,$BP$15:$BU$15,0)),结果汇总!$AI$10:$AI$13,0)</f>
        <v>#VALUE!</v>
      </c>
      <c r="CG59" s="10" t="e">
        <f>MATCH(INDEX($BP$12:$BU$12,1,MATCH(BS59,$BP$15:$BU$15,0)),结果汇总!$AI$10:$AI$13,0)</f>
        <v>#VALUE!</v>
      </c>
      <c r="CH59" s="10" t="e">
        <f>MATCH(INDEX($BP$12:$BU$12,1,MATCH(BT59,$BP$15:$BU$15,0)),结果汇总!$AI$10:$AI$13,0)</f>
        <v>#VALUE!</v>
      </c>
      <c r="CI59" s="10" t="e">
        <f>MATCH(INDEX($BP$12:$BU$12,1,MATCH(BU59,$BP$15:$BU$15,0)),结果汇总!$AI$10:$AI$13,0)</f>
        <v>#VALUE!</v>
      </c>
      <c r="CK59" s="10">
        <f t="shared" si="75"/>
        <v>0</v>
      </c>
      <c r="CL59" s="10">
        <f t="shared" si="75"/>
        <v>0</v>
      </c>
      <c r="CM59" s="10">
        <f t="shared" si="75"/>
        <v>0</v>
      </c>
      <c r="CN59" s="10">
        <f t="shared" si="75"/>
        <v>0</v>
      </c>
      <c r="CO59" s="10">
        <f t="shared" si="76"/>
        <v>0</v>
      </c>
      <c r="CP59" s="10">
        <f t="shared" si="76"/>
        <v>0</v>
      </c>
      <c r="CQ59" s="10">
        <f t="shared" si="76"/>
        <v>0</v>
      </c>
      <c r="CR59" s="10">
        <f t="shared" si="76"/>
        <v>0</v>
      </c>
      <c r="CS59" s="10">
        <f t="shared" si="77"/>
        <v>0</v>
      </c>
      <c r="CT59" s="10">
        <f t="shared" si="77"/>
        <v>0</v>
      </c>
      <c r="CU59" s="10">
        <f t="shared" si="77"/>
        <v>0</v>
      </c>
      <c r="CV59" s="10">
        <f t="shared" si="77"/>
        <v>0</v>
      </c>
      <c r="CW59" s="10">
        <f t="shared" si="78"/>
        <v>0</v>
      </c>
      <c r="CX59" s="10">
        <f t="shared" si="78"/>
        <v>0</v>
      </c>
      <c r="CY59" s="10">
        <f t="shared" si="78"/>
        <v>0</v>
      </c>
      <c r="CZ59" s="10">
        <f t="shared" si="78"/>
        <v>0</v>
      </c>
    </row>
    <row r="60" spans="4:104" x14ac:dyDescent="0.15">
      <c r="D60" s="10">
        <v>45</v>
      </c>
      <c r="E60" s="10" t="e">
        <f t="shared" si="21"/>
        <v>#VALUE!</v>
      </c>
      <c r="F60" s="10" t="e">
        <f t="shared" si="1"/>
        <v>#VALUE!</v>
      </c>
      <c r="G60" s="10" t="e">
        <f t="shared" si="2"/>
        <v>#VALUE!</v>
      </c>
      <c r="H60" s="10" t="e">
        <f t="shared" si="22"/>
        <v>#VALUE!</v>
      </c>
      <c r="I60" s="10" t="e">
        <f t="shared" si="3"/>
        <v>#VALUE!</v>
      </c>
      <c r="J60" s="10" t="e">
        <f t="shared" si="23"/>
        <v>#VALUE!</v>
      </c>
      <c r="K60" s="10" t="e">
        <f t="shared" si="4"/>
        <v>#VALUE!</v>
      </c>
      <c r="L60" s="10" t="e">
        <f t="shared" si="5"/>
        <v>#VALUE!</v>
      </c>
      <c r="M60" s="10" t="e">
        <f t="shared" si="24"/>
        <v>#VALUE!</v>
      </c>
      <c r="O60" s="10" t="e">
        <f t="shared" si="25"/>
        <v>#VALUE!</v>
      </c>
      <c r="P60" s="10" t="e">
        <f t="shared" si="6"/>
        <v>#VALUE!</v>
      </c>
      <c r="Q60" s="10" t="e">
        <f t="shared" si="7"/>
        <v>#VALUE!</v>
      </c>
      <c r="R60" s="10" t="e">
        <f t="shared" si="26"/>
        <v>#VALUE!</v>
      </c>
      <c r="S60" s="10" t="e">
        <f t="shared" si="27"/>
        <v>#VALUE!</v>
      </c>
      <c r="T60" s="10" t="e">
        <f t="shared" si="62"/>
        <v>#VALUE!</v>
      </c>
      <c r="U60" s="10" t="e">
        <f t="shared" si="63"/>
        <v>#VALUE!</v>
      </c>
      <c r="V60" s="10" t="e">
        <f t="shared" si="8"/>
        <v>#VALUE!</v>
      </c>
      <c r="W60" s="10" t="e">
        <f t="shared" si="28"/>
        <v>#VALUE!</v>
      </c>
      <c r="Y60" s="10" t="e">
        <f t="shared" si="29"/>
        <v>#VALUE!</v>
      </c>
      <c r="Z60" s="11" t="e">
        <f t="shared" si="30"/>
        <v>#VALUE!</v>
      </c>
      <c r="AA60" s="10" t="e">
        <f t="shared" si="9"/>
        <v>#VALUE!</v>
      </c>
      <c r="AB60" s="10" t="e">
        <f t="shared" si="31"/>
        <v>#VALUE!</v>
      </c>
      <c r="AC60" s="10" t="e">
        <f t="shared" si="32"/>
        <v>#VALUE!</v>
      </c>
      <c r="AD60" s="10" t="e">
        <f t="shared" si="64"/>
        <v>#VALUE!</v>
      </c>
      <c r="AE60" s="10" t="e">
        <f t="shared" si="65"/>
        <v>#VALUE!</v>
      </c>
      <c r="AF60" s="10" t="e">
        <f t="shared" si="10"/>
        <v>#VALUE!</v>
      </c>
      <c r="AG60" s="10" t="e">
        <f t="shared" si="33"/>
        <v>#VALUE!</v>
      </c>
      <c r="AI60" s="13"/>
      <c r="AK60" s="10" t="e">
        <f t="shared" si="34"/>
        <v>#VALUE!</v>
      </c>
      <c r="AL60" s="10" t="e">
        <f t="shared" si="66"/>
        <v>#VALUE!</v>
      </c>
      <c r="AM60" s="10" t="e">
        <f t="shared" si="11"/>
        <v>#VALUE!</v>
      </c>
      <c r="AN60" s="10" t="e">
        <f t="shared" si="35"/>
        <v>#VALUE!</v>
      </c>
      <c r="AO60" s="10" t="e">
        <f t="shared" si="36"/>
        <v>#VALUE!</v>
      </c>
      <c r="AP60" s="10" t="e">
        <f t="shared" si="37"/>
        <v>#VALUE!</v>
      </c>
      <c r="AQ60" s="10" t="e">
        <f t="shared" si="67"/>
        <v>#VALUE!</v>
      </c>
      <c r="AR60" s="10" t="e">
        <f t="shared" si="12"/>
        <v>#VALUE!</v>
      </c>
      <c r="AS60" s="10" t="e">
        <f t="shared" si="68"/>
        <v>#VALUE!</v>
      </c>
      <c r="AU60" s="10" t="e">
        <f t="shared" si="38"/>
        <v>#VALUE!</v>
      </c>
      <c r="AV60" s="10" t="e">
        <f t="shared" si="69"/>
        <v>#VALUE!</v>
      </c>
      <c r="AW60" s="10" t="e">
        <f t="shared" si="13"/>
        <v>#VALUE!</v>
      </c>
      <c r="AX60" s="10" t="e">
        <f t="shared" si="39"/>
        <v>#VALUE!</v>
      </c>
      <c r="AY60" s="10" t="e">
        <f t="shared" si="40"/>
        <v>#VALUE!</v>
      </c>
      <c r="AZ60" s="10" t="e">
        <f t="shared" si="41"/>
        <v>#VALUE!</v>
      </c>
      <c r="BA60" s="10" t="e">
        <f t="shared" si="70"/>
        <v>#VALUE!</v>
      </c>
      <c r="BB60" s="10" t="e">
        <f t="shared" si="14"/>
        <v>#VALUE!</v>
      </c>
      <c r="BC60" s="10" t="e">
        <f t="shared" si="71"/>
        <v>#VALUE!</v>
      </c>
      <c r="BE60" s="10" t="e">
        <f t="shared" si="42"/>
        <v>#VALUE!</v>
      </c>
      <c r="BF60" s="10" t="e">
        <f t="shared" si="72"/>
        <v>#VALUE!</v>
      </c>
      <c r="BG60" s="10" t="e">
        <f t="shared" si="15"/>
        <v>#VALUE!</v>
      </c>
      <c r="BH60" s="10" t="e">
        <f t="shared" si="43"/>
        <v>#VALUE!</v>
      </c>
      <c r="BI60" s="10" t="e">
        <f t="shared" si="44"/>
        <v>#VALUE!</v>
      </c>
      <c r="BJ60" s="10" t="e">
        <f t="shared" si="45"/>
        <v>#VALUE!</v>
      </c>
      <c r="BK60" s="10" t="e">
        <f t="shared" si="73"/>
        <v>#VALUE!</v>
      </c>
      <c r="BL60" s="10" t="e">
        <f t="shared" si="16"/>
        <v>#VALUE!</v>
      </c>
      <c r="BM60" s="10" t="e">
        <f t="shared" si="74"/>
        <v>#VALUE!</v>
      </c>
      <c r="BP60" s="10" t="e">
        <f t="shared" si="46"/>
        <v>#VALUE!</v>
      </c>
      <c r="BQ60" s="10" t="e">
        <f t="shared" si="47"/>
        <v>#VALUE!</v>
      </c>
      <c r="BR60" s="10" t="e">
        <f t="shared" si="48"/>
        <v>#VALUE!</v>
      </c>
      <c r="BS60" s="10" t="e">
        <f t="shared" si="49"/>
        <v>#VALUE!</v>
      </c>
      <c r="BT60" s="10" t="e">
        <f t="shared" si="50"/>
        <v>#VALUE!</v>
      </c>
      <c r="BU60" s="10" t="e">
        <f t="shared" si="51"/>
        <v>#VALUE!</v>
      </c>
      <c r="BW60" s="10" t="e">
        <f t="shared" si="52"/>
        <v>#VALUE!</v>
      </c>
      <c r="BX60" s="10" t="e">
        <f t="shared" si="53"/>
        <v>#VALUE!</v>
      </c>
      <c r="BY60" s="10" t="e">
        <f t="shared" si="54"/>
        <v>#VALUE!</v>
      </c>
      <c r="BZ60" s="10" t="e">
        <f t="shared" si="55"/>
        <v>#VALUE!</v>
      </c>
      <c r="CA60" s="10" t="e">
        <f t="shared" si="56"/>
        <v>#VALUE!</v>
      </c>
      <c r="CB60" s="10" t="e">
        <f t="shared" si="57"/>
        <v>#VALUE!</v>
      </c>
      <c r="CD60" s="10" t="e">
        <f>MATCH(INDEX($BP$12:$BU$12,1,MATCH(BP60,$BP$15:$BU$15,0)),结果汇总!$AI$10:$AI$13,0)</f>
        <v>#VALUE!</v>
      </c>
      <c r="CE60" s="10" t="e">
        <f>MATCH(INDEX($BP$12:$BU$12,1,MATCH(BQ60,$BP$15:$BU$15,0)),结果汇总!$AI$10:$AI$13,0)</f>
        <v>#VALUE!</v>
      </c>
      <c r="CF60" s="10" t="e">
        <f>MATCH(INDEX($BP$12:$BU$12,1,MATCH(BR60,$BP$15:$BU$15,0)),结果汇总!$AI$10:$AI$13,0)</f>
        <v>#VALUE!</v>
      </c>
      <c r="CG60" s="10" t="e">
        <f>MATCH(INDEX($BP$12:$BU$12,1,MATCH(BS60,$BP$15:$BU$15,0)),结果汇总!$AI$10:$AI$13,0)</f>
        <v>#VALUE!</v>
      </c>
      <c r="CH60" s="10" t="e">
        <f>MATCH(INDEX($BP$12:$BU$12,1,MATCH(BT60,$BP$15:$BU$15,0)),结果汇总!$AI$10:$AI$13,0)</f>
        <v>#VALUE!</v>
      </c>
      <c r="CI60" s="10" t="e">
        <f>MATCH(INDEX($BP$12:$BU$12,1,MATCH(BU60,$BP$15:$BU$15,0)),结果汇总!$AI$10:$AI$13,0)</f>
        <v>#VALUE!</v>
      </c>
      <c r="CK60" s="10">
        <f t="shared" si="75"/>
        <v>0</v>
      </c>
      <c r="CL60" s="10">
        <f t="shared" si="75"/>
        <v>0</v>
      </c>
      <c r="CM60" s="10">
        <f t="shared" si="75"/>
        <v>0</v>
      </c>
      <c r="CN60" s="10">
        <f t="shared" si="75"/>
        <v>0</v>
      </c>
      <c r="CO60" s="10">
        <f t="shared" si="76"/>
        <v>0</v>
      </c>
      <c r="CP60" s="10">
        <f t="shared" si="76"/>
        <v>0</v>
      </c>
      <c r="CQ60" s="10">
        <f t="shared" si="76"/>
        <v>0</v>
      </c>
      <c r="CR60" s="10">
        <f t="shared" si="76"/>
        <v>0</v>
      </c>
      <c r="CS60" s="10">
        <f t="shared" si="77"/>
        <v>0</v>
      </c>
      <c r="CT60" s="10">
        <f t="shared" si="77"/>
        <v>0</v>
      </c>
      <c r="CU60" s="10">
        <f t="shared" si="77"/>
        <v>0</v>
      </c>
      <c r="CV60" s="10">
        <f t="shared" si="77"/>
        <v>0</v>
      </c>
      <c r="CW60" s="10">
        <f t="shared" si="78"/>
        <v>0</v>
      </c>
      <c r="CX60" s="10">
        <f t="shared" si="78"/>
        <v>0</v>
      </c>
      <c r="CY60" s="10">
        <f t="shared" si="78"/>
        <v>0</v>
      </c>
      <c r="CZ60" s="10">
        <f t="shared" si="78"/>
        <v>0</v>
      </c>
    </row>
    <row r="61" spans="4:104" x14ac:dyDescent="0.15">
      <c r="D61" s="10">
        <v>46</v>
      </c>
      <c r="E61" s="10" t="e">
        <f t="shared" si="21"/>
        <v>#VALUE!</v>
      </c>
      <c r="F61" s="10" t="e">
        <f t="shared" si="1"/>
        <v>#VALUE!</v>
      </c>
      <c r="G61" s="10" t="e">
        <f t="shared" si="2"/>
        <v>#VALUE!</v>
      </c>
      <c r="H61" s="10" t="e">
        <f t="shared" si="22"/>
        <v>#VALUE!</v>
      </c>
      <c r="I61" s="10" t="e">
        <f t="shared" si="3"/>
        <v>#VALUE!</v>
      </c>
      <c r="J61" s="10" t="e">
        <f t="shared" si="23"/>
        <v>#VALUE!</v>
      </c>
      <c r="K61" s="10" t="e">
        <f t="shared" si="4"/>
        <v>#VALUE!</v>
      </c>
      <c r="L61" s="10" t="e">
        <f t="shared" si="5"/>
        <v>#VALUE!</v>
      </c>
      <c r="M61" s="10" t="e">
        <f t="shared" si="24"/>
        <v>#VALUE!</v>
      </c>
      <c r="O61" s="10" t="e">
        <f t="shared" si="25"/>
        <v>#VALUE!</v>
      </c>
      <c r="P61" s="10" t="e">
        <f t="shared" si="6"/>
        <v>#VALUE!</v>
      </c>
      <c r="Q61" s="10" t="e">
        <f t="shared" si="7"/>
        <v>#VALUE!</v>
      </c>
      <c r="R61" s="10" t="e">
        <f t="shared" si="26"/>
        <v>#VALUE!</v>
      </c>
      <c r="S61" s="10" t="e">
        <f t="shared" si="27"/>
        <v>#VALUE!</v>
      </c>
      <c r="T61" s="10" t="e">
        <f t="shared" si="62"/>
        <v>#VALUE!</v>
      </c>
      <c r="U61" s="10" t="e">
        <f t="shared" si="63"/>
        <v>#VALUE!</v>
      </c>
      <c r="V61" s="10" t="e">
        <f t="shared" si="8"/>
        <v>#VALUE!</v>
      </c>
      <c r="W61" s="10" t="e">
        <f t="shared" si="28"/>
        <v>#VALUE!</v>
      </c>
      <c r="Y61" s="10" t="e">
        <f t="shared" si="29"/>
        <v>#VALUE!</v>
      </c>
      <c r="Z61" s="11" t="e">
        <f t="shared" si="30"/>
        <v>#VALUE!</v>
      </c>
      <c r="AA61" s="10" t="e">
        <f t="shared" si="9"/>
        <v>#VALUE!</v>
      </c>
      <c r="AB61" s="10" t="e">
        <f t="shared" si="31"/>
        <v>#VALUE!</v>
      </c>
      <c r="AC61" s="10" t="e">
        <f t="shared" si="32"/>
        <v>#VALUE!</v>
      </c>
      <c r="AD61" s="10" t="e">
        <f t="shared" si="64"/>
        <v>#VALUE!</v>
      </c>
      <c r="AE61" s="10" t="e">
        <f t="shared" si="65"/>
        <v>#VALUE!</v>
      </c>
      <c r="AF61" s="10" t="e">
        <f t="shared" si="10"/>
        <v>#VALUE!</v>
      </c>
      <c r="AG61" s="10" t="e">
        <f t="shared" si="33"/>
        <v>#VALUE!</v>
      </c>
      <c r="AI61" s="13"/>
      <c r="AK61" s="10" t="e">
        <f t="shared" si="34"/>
        <v>#VALUE!</v>
      </c>
      <c r="AL61" s="10" t="e">
        <f t="shared" si="66"/>
        <v>#VALUE!</v>
      </c>
      <c r="AM61" s="10" t="e">
        <f t="shared" si="11"/>
        <v>#VALUE!</v>
      </c>
      <c r="AN61" s="10" t="e">
        <f t="shared" si="35"/>
        <v>#VALUE!</v>
      </c>
      <c r="AO61" s="10" t="e">
        <f t="shared" si="36"/>
        <v>#VALUE!</v>
      </c>
      <c r="AP61" s="10" t="e">
        <f t="shared" si="37"/>
        <v>#VALUE!</v>
      </c>
      <c r="AQ61" s="10" t="e">
        <f t="shared" si="67"/>
        <v>#VALUE!</v>
      </c>
      <c r="AR61" s="10" t="e">
        <f t="shared" si="12"/>
        <v>#VALUE!</v>
      </c>
      <c r="AS61" s="10" t="e">
        <f t="shared" si="68"/>
        <v>#VALUE!</v>
      </c>
      <c r="AU61" s="10" t="e">
        <f t="shared" si="38"/>
        <v>#VALUE!</v>
      </c>
      <c r="AV61" s="10" t="e">
        <f t="shared" si="69"/>
        <v>#VALUE!</v>
      </c>
      <c r="AW61" s="10" t="e">
        <f t="shared" si="13"/>
        <v>#VALUE!</v>
      </c>
      <c r="AX61" s="10" t="e">
        <f t="shared" si="39"/>
        <v>#VALUE!</v>
      </c>
      <c r="AY61" s="10" t="e">
        <f t="shared" si="40"/>
        <v>#VALUE!</v>
      </c>
      <c r="AZ61" s="10" t="e">
        <f t="shared" si="41"/>
        <v>#VALUE!</v>
      </c>
      <c r="BA61" s="10" t="e">
        <f t="shared" si="70"/>
        <v>#VALUE!</v>
      </c>
      <c r="BB61" s="10" t="e">
        <f t="shared" si="14"/>
        <v>#VALUE!</v>
      </c>
      <c r="BC61" s="10" t="e">
        <f t="shared" si="71"/>
        <v>#VALUE!</v>
      </c>
      <c r="BE61" s="10" t="e">
        <f t="shared" si="42"/>
        <v>#VALUE!</v>
      </c>
      <c r="BF61" s="10" t="e">
        <f t="shared" si="72"/>
        <v>#VALUE!</v>
      </c>
      <c r="BG61" s="10" t="e">
        <f t="shared" si="15"/>
        <v>#VALUE!</v>
      </c>
      <c r="BH61" s="10" t="e">
        <f t="shared" si="43"/>
        <v>#VALUE!</v>
      </c>
      <c r="BI61" s="10" t="e">
        <f t="shared" si="44"/>
        <v>#VALUE!</v>
      </c>
      <c r="BJ61" s="10" t="e">
        <f t="shared" si="45"/>
        <v>#VALUE!</v>
      </c>
      <c r="BK61" s="10" t="e">
        <f t="shared" si="73"/>
        <v>#VALUE!</v>
      </c>
      <c r="BL61" s="10" t="e">
        <f t="shared" si="16"/>
        <v>#VALUE!</v>
      </c>
      <c r="BM61" s="10" t="e">
        <f t="shared" si="74"/>
        <v>#VALUE!</v>
      </c>
      <c r="BP61" s="10" t="e">
        <f t="shared" si="46"/>
        <v>#VALUE!</v>
      </c>
      <c r="BQ61" s="10" t="e">
        <f t="shared" si="47"/>
        <v>#VALUE!</v>
      </c>
      <c r="BR61" s="10" t="e">
        <f t="shared" si="48"/>
        <v>#VALUE!</v>
      </c>
      <c r="BS61" s="10" t="e">
        <f t="shared" si="49"/>
        <v>#VALUE!</v>
      </c>
      <c r="BT61" s="10" t="e">
        <f t="shared" si="50"/>
        <v>#VALUE!</v>
      </c>
      <c r="BU61" s="10" t="e">
        <f t="shared" si="51"/>
        <v>#VALUE!</v>
      </c>
      <c r="BW61" s="10" t="e">
        <f t="shared" si="52"/>
        <v>#VALUE!</v>
      </c>
      <c r="BX61" s="10" t="e">
        <f t="shared" si="53"/>
        <v>#VALUE!</v>
      </c>
      <c r="BY61" s="10" t="e">
        <f t="shared" si="54"/>
        <v>#VALUE!</v>
      </c>
      <c r="BZ61" s="10" t="e">
        <f t="shared" si="55"/>
        <v>#VALUE!</v>
      </c>
      <c r="CA61" s="10" t="e">
        <f t="shared" si="56"/>
        <v>#VALUE!</v>
      </c>
      <c r="CB61" s="10" t="e">
        <f t="shared" si="57"/>
        <v>#VALUE!</v>
      </c>
      <c r="CD61" s="10" t="e">
        <f>MATCH(INDEX($BP$12:$BU$12,1,MATCH(BP61,$BP$15:$BU$15,0)),结果汇总!$AI$10:$AI$13,0)</f>
        <v>#VALUE!</v>
      </c>
      <c r="CE61" s="10" t="e">
        <f>MATCH(INDEX($BP$12:$BU$12,1,MATCH(BQ61,$BP$15:$BU$15,0)),结果汇总!$AI$10:$AI$13,0)</f>
        <v>#VALUE!</v>
      </c>
      <c r="CF61" s="10" t="e">
        <f>MATCH(INDEX($BP$12:$BU$12,1,MATCH(BR61,$BP$15:$BU$15,0)),结果汇总!$AI$10:$AI$13,0)</f>
        <v>#VALUE!</v>
      </c>
      <c r="CG61" s="10" t="e">
        <f>MATCH(INDEX($BP$12:$BU$12,1,MATCH(BS61,$BP$15:$BU$15,0)),结果汇总!$AI$10:$AI$13,0)</f>
        <v>#VALUE!</v>
      </c>
      <c r="CH61" s="10" t="e">
        <f>MATCH(INDEX($BP$12:$BU$12,1,MATCH(BT61,$BP$15:$BU$15,0)),结果汇总!$AI$10:$AI$13,0)</f>
        <v>#VALUE!</v>
      </c>
      <c r="CI61" s="10" t="e">
        <f>MATCH(INDEX($BP$12:$BU$12,1,MATCH(BU61,$BP$15:$BU$15,0)),结果汇总!$AI$10:$AI$13,0)</f>
        <v>#VALUE!</v>
      </c>
      <c r="CK61" s="10">
        <f t="shared" si="75"/>
        <v>0</v>
      </c>
      <c r="CL61" s="10">
        <f t="shared" si="75"/>
        <v>0</v>
      </c>
      <c r="CM61" s="10">
        <f t="shared" si="75"/>
        <v>0</v>
      </c>
      <c r="CN61" s="10">
        <f t="shared" si="75"/>
        <v>0</v>
      </c>
      <c r="CO61" s="10">
        <f t="shared" si="76"/>
        <v>0</v>
      </c>
      <c r="CP61" s="10">
        <f t="shared" si="76"/>
        <v>0</v>
      </c>
      <c r="CQ61" s="10">
        <f t="shared" si="76"/>
        <v>0</v>
      </c>
      <c r="CR61" s="10">
        <f t="shared" si="76"/>
        <v>0</v>
      </c>
      <c r="CS61" s="10">
        <f t="shared" si="77"/>
        <v>0</v>
      </c>
      <c r="CT61" s="10">
        <f t="shared" si="77"/>
        <v>0</v>
      </c>
      <c r="CU61" s="10">
        <f t="shared" si="77"/>
        <v>0</v>
      </c>
      <c r="CV61" s="10">
        <f t="shared" si="77"/>
        <v>0</v>
      </c>
      <c r="CW61" s="10">
        <f t="shared" si="78"/>
        <v>0</v>
      </c>
      <c r="CX61" s="10">
        <f t="shared" si="78"/>
        <v>0</v>
      </c>
      <c r="CY61" s="10">
        <f t="shared" si="78"/>
        <v>0</v>
      </c>
      <c r="CZ61" s="10">
        <f t="shared" si="78"/>
        <v>0</v>
      </c>
    </row>
    <row r="62" spans="4:104" x14ac:dyDescent="0.15">
      <c r="D62" s="10">
        <v>47</v>
      </c>
      <c r="E62" s="10" t="e">
        <f t="shared" si="21"/>
        <v>#VALUE!</v>
      </c>
      <c r="F62" s="10" t="e">
        <f t="shared" si="1"/>
        <v>#VALUE!</v>
      </c>
      <c r="G62" s="10" t="e">
        <f t="shared" si="2"/>
        <v>#VALUE!</v>
      </c>
      <c r="H62" s="10" t="e">
        <f t="shared" si="22"/>
        <v>#VALUE!</v>
      </c>
      <c r="I62" s="10" t="e">
        <f t="shared" si="3"/>
        <v>#VALUE!</v>
      </c>
      <c r="J62" s="10" t="e">
        <f t="shared" si="23"/>
        <v>#VALUE!</v>
      </c>
      <c r="K62" s="10" t="e">
        <f t="shared" si="4"/>
        <v>#VALUE!</v>
      </c>
      <c r="L62" s="10" t="e">
        <f t="shared" si="5"/>
        <v>#VALUE!</v>
      </c>
      <c r="M62" s="10" t="e">
        <f t="shared" si="24"/>
        <v>#VALUE!</v>
      </c>
      <c r="O62" s="10" t="e">
        <f t="shared" si="25"/>
        <v>#VALUE!</v>
      </c>
      <c r="P62" s="10" t="e">
        <f t="shared" si="6"/>
        <v>#VALUE!</v>
      </c>
      <c r="Q62" s="10" t="e">
        <f t="shared" si="7"/>
        <v>#VALUE!</v>
      </c>
      <c r="R62" s="10" t="e">
        <f t="shared" si="26"/>
        <v>#VALUE!</v>
      </c>
      <c r="S62" s="10" t="e">
        <f t="shared" si="27"/>
        <v>#VALUE!</v>
      </c>
      <c r="T62" s="10" t="e">
        <f t="shared" si="62"/>
        <v>#VALUE!</v>
      </c>
      <c r="U62" s="10" t="e">
        <f t="shared" si="63"/>
        <v>#VALUE!</v>
      </c>
      <c r="V62" s="10" t="e">
        <f t="shared" si="8"/>
        <v>#VALUE!</v>
      </c>
      <c r="W62" s="10" t="e">
        <f t="shared" si="28"/>
        <v>#VALUE!</v>
      </c>
      <c r="Y62" s="10" t="e">
        <f t="shared" si="29"/>
        <v>#VALUE!</v>
      </c>
      <c r="Z62" s="11" t="e">
        <f t="shared" si="30"/>
        <v>#VALUE!</v>
      </c>
      <c r="AA62" s="10" t="e">
        <f t="shared" si="9"/>
        <v>#VALUE!</v>
      </c>
      <c r="AB62" s="10" t="e">
        <f t="shared" si="31"/>
        <v>#VALUE!</v>
      </c>
      <c r="AC62" s="10" t="e">
        <f t="shared" si="32"/>
        <v>#VALUE!</v>
      </c>
      <c r="AD62" s="10" t="e">
        <f t="shared" si="64"/>
        <v>#VALUE!</v>
      </c>
      <c r="AE62" s="10" t="e">
        <f t="shared" si="65"/>
        <v>#VALUE!</v>
      </c>
      <c r="AF62" s="10" t="e">
        <f t="shared" si="10"/>
        <v>#VALUE!</v>
      </c>
      <c r="AG62" s="10" t="e">
        <f t="shared" si="33"/>
        <v>#VALUE!</v>
      </c>
      <c r="AI62" s="13"/>
      <c r="AK62" s="10" t="e">
        <f t="shared" si="34"/>
        <v>#VALUE!</v>
      </c>
      <c r="AL62" s="10" t="e">
        <f t="shared" si="66"/>
        <v>#VALUE!</v>
      </c>
      <c r="AM62" s="10" t="e">
        <f t="shared" si="11"/>
        <v>#VALUE!</v>
      </c>
      <c r="AN62" s="10" t="e">
        <f t="shared" si="35"/>
        <v>#VALUE!</v>
      </c>
      <c r="AO62" s="10" t="e">
        <f t="shared" si="36"/>
        <v>#VALUE!</v>
      </c>
      <c r="AP62" s="10" t="e">
        <f t="shared" si="37"/>
        <v>#VALUE!</v>
      </c>
      <c r="AQ62" s="10" t="e">
        <f t="shared" si="67"/>
        <v>#VALUE!</v>
      </c>
      <c r="AR62" s="10" t="e">
        <f t="shared" si="12"/>
        <v>#VALUE!</v>
      </c>
      <c r="AS62" s="10" t="e">
        <f t="shared" si="68"/>
        <v>#VALUE!</v>
      </c>
      <c r="AU62" s="10" t="e">
        <f t="shared" si="38"/>
        <v>#VALUE!</v>
      </c>
      <c r="AV62" s="10" t="e">
        <f t="shared" si="69"/>
        <v>#VALUE!</v>
      </c>
      <c r="AW62" s="10" t="e">
        <f t="shared" si="13"/>
        <v>#VALUE!</v>
      </c>
      <c r="AX62" s="10" t="e">
        <f t="shared" si="39"/>
        <v>#VALUE!</v>
      </c>
      <c r="AY62" s="10" t="e">
        <f t="shared" si="40"/>
        <v>#VALUE!</v>
      </c>
      <c r="AZ62" s="10" t="e">
        <f t="shared" si="41"/>
        <v>#VALUE!</v>
      </c>
      <c r="BA62" s="10" t="e">
        <f t="shared" si="70"/>
        <v>#VALUE!</v>
      </c>
      <c r="BB62" s="10" t="e">
        <f t="shared" si="14"/>
        <v>#VALUE!</v>
      </c>
      <c r="BC62" s="10" t="e">
        <f t="shared" si="71"/>
        <v>#VALUE!</v>
      </c>
      <c r="BE62" s="10" t="e">
        <f t="shared" si="42"/>
        <v>#VALUE!</v>
      </c>
      <c r="BF62" s="10" t="e">
        <f t="shared" si="72"/>
        <v>#VALUE!</v>
      </c>
      <c r="BG62" s="10" t="e">
        <f t="shared" si="15"/>
        <v>#VALUE!</v>
      </c>
      <c r="BH62" s="10" t="e">
        <f t="shared" si="43"/>
        <v>#VALUE!</v>
      </c>
      <c r="BI62" s="10" t="e">
        <f t="shared" si="44"/>
        <v>#VALUE!</v>
      </c>
      <c r="BJ62" s="10" t="e">
        <f t="shared" si="45"/>
        <v>#VALUE!</v>
      </c>
      <c r="BK62" s="10" t="e">
        <f t="shared" si="73"/>
        <v>#VALUE!</v>
      </c>
      <c r="BL62" s="10" t="e">
        <f t="shared" si="16"/>
        <v>#VALUE!</v>
      </c>
      <c r="BM62" s="10" t="e">
        <f t="shared" si="74"/>
        <v>#VALUE!</v>
      </c>
      <c r="BP62" s="10" t="e">
        <f t="shared" si="46"/>
        <v>#VALUE!</v>
      </c>
      <c r="BQ62" s="10" t="e">
        <f t="shared" si="47"/>
        <v>#VALUE!</v>
      </c>
      <c r="BR62" s="10" t="e">
        <f t="shared" si="48"/>
        <v>#VALUE!</v>
      </c>
      <c r="BS62" s="10" t="e">
        <f t="shared" si="49"/>
        <v>#VALUE!</v>
      </c>
      <c r="BT62" s="10" t="e">
        <f t="shared" si="50"/>
        <v>#VALUE!</v>
      </c>
      <c r="BU62" s="10" t="e">
        <f t="shared" si="51"/>
        <v>#VALUE!</v>
      </c>
      <c r="BW62" s="10" t="e">
        <f t="shared" si="52"/>
        <v>#VALUE!</v>
      </c>
      <c r="BX62" s="10" t="e">
        <f t="shared" si="53"/>
        <v>#VALUE!</v>
      </c>
      <c r="BY62" s="10" t="e">
        <f t="shared" si="54"/>
        <v>#VALUE!</v>
      </c>
      <c r="BZ62" s="10" t="e">
        <f t="shared" si="55"/>
        <v>#VALUE!</v>
      </c>
      <c r="CA62" s="10" t="e">
        <f t="shared" si="56"/>
        <v>#VALUE!</v>
      </c>
      <c r="CB62" s="10" t="e">
        <f t="shared" si="57"/>
        <v>#VALUE!</v>
      </c>
      <c r="CD62" s="10" t="e">
        <f>MATCH(INDEX($BP$12:$BU$12,1,MATCH(BP62,$BP$15:$BU$15,0)),结果汇总!$AI$10:$AI$13,0)</f>
        <v>#VALUE!</v>
      </c>
      <c r="CE62" s="10" t="e">
        <f>MATCH(INDEX($BP$12:$BU$12,1,MATCH(BQ62,$BP$15:$BU$15,0)),结果汇总!$AI$10:$AI$13,0)</f>
        <v>#VALUE!</v>
      </c>
      <c r="CF62" s="10" t="e">
        <f>MATCH(INDEX($BP$12:$BU$12,1,MATCH(BR62,$BP$15:$BU$15,0)),结果汇总!$AI$10:$AI$13,0)</f>
        <v>#VALUE!</v>
      </c>
      <c r="CG62" s="10" t="e">
        <f>MATCH(INDEX($BP$12:$BU$12,1,MATCH(BS62,$BP$15:$BU$15,0)),结果汇总!$AI$10:$AI$13,0)</f>
        <v>#VALUE!</v>
      </c>
      <c r="CH62" s="10" t="e">
        <f>MATCH(INDEX($BP$12:$BU$12,1,MATCH(BT62,$BP$15:$BU$15,0)),结果汇总!$AI$10:$AI$13,0)</f>
        <v>#VALUE!</v>
      </c>
      <c r="CI62" s="10" t="e">
        <f>MATCH(INDEX($BP$12:$BU$12,1,MATCH(BU62,$BP$15:$BU$15,0)),结果汇总!$AI$10:$AI$13,0)</f>
        <v>#VALUE!</v>
      </c>
      <c r="CK62" s="10">
        <f t="shared" si="75"/>
        <v>0</v>
      </c>
      <c r="CL62" s="10">
        <f t="shared" si="75"/>
        <v>0</v>
      </c>
      <c r="CM62" s="10">
        <f t="shared" si="75"/>
        <v>0</v>
      </c>
      <c r="CN62" s="10">
        <f t="shared" si="75"/>
        <v>0</v>
      </c>
      <c r="CO62" s="10">
        <f t="shared" si="76"/>
        <v>0</v>
      </c>
      <c r="CP62" s="10">
        <f t="shared" si="76"/>
        <v>0</v>
      </c>
      <c r="CQ62" s="10">
        <f t="shared" si="76"/>
        <v>0</v>
      </c>
      <c r="CR62" s="10">
        <f t="shared" si="76"/>
        <v>0</v>
      </c>
      <c r="CS62" s="10">
        <f t="shared" si="77"/>
        <v>0</v>
      </c>
      <c r="CT62" s="10">
        <f t="shared" si="77"/>
        <v>0</v>
      </c>
      <c r="CU62" s="10">
        <f t="shared" si="77"/>
        <v>0</v>
      </c>
      <c r="CV62" s="10">
        <f t="shared" si="77"/>
        <v>0</v>
      </c>
      <c r="CW62" s="10">
        <f t="shared" si="78"/>
        <v>0</v>
      </c>
      <c r="CX62" s="10">
        <f t="shared" si="78"/>
        <v>0</v>
      </c>
      <c r="CY62" s="10">
        <f t="shared" si="78"/>
        <v>0</v>
      </c>
      <c r="CZ62" s="10">
        <f t="shared" si="78"/>
        <v>0</v>
      </c>
    </row>
    <row r="63" spans="4:104" x14ac:dyDescent="0.15">
      <c r="D63" s="10">
        <v>48</v>
      </c>
      <c r="E63" s="10" t="e">
        <f t="shared" si="21"/>
        <v>#VALUE!</v>
      </c>
      <c r="F63" s="10" t="e">
        <f t="shared" si="1"/>
        <v>#VALUE!</v>
      </c>
      <c r="G63" s="10" t="e">
        <f t="shared" si="2"/>
        <v>#VALUE!</v>
      </c>
      <c r="H63" s="10" t="e">
        <f t="shared" si="22"/>
        <v>#VALUE!</v>
      </c>
      <c r="I63" s="10" t="e">
        <f t="shared" si="3"/>
        <v>#VALUE!</v>
      </c>
      <c r="J63" s="10" t="e">
        <f t="shared" si="23"/>
        <v>#VALUE!</v>
      </c>
      <c r="K63" s="10" t="e">
        <f t="shared" si="4"/>
        <v>#VALUE!</v>
      </c>
      <c r="L63" s="10" t="e">
        <f t="shared" si="5"/>
        <v>#VALUE!</v>
      </c>
      <c r="M63" s="10" t="e">
        <f t="shared" si="24"/>
        <v>#VALUE!</v>
      </c>
      <c r="O63" s="10" t="e">
        <f t="shared" si="25"/>
        <v>#VALUE!</v>
      </c>
      <c r="P63" s="10" t="e">
        <f t="shared" si="6"/>
        <v>#VALUE!</v>
      </c>
      <c r="Q63" s="10" t="e">
        <f t="shared" si="7"/>
        <v>#VALUE!</v>
      </c>
      <c r="R63" s="10" t="e">
        <f t="shared" si="26"/>
        <v>#VALUE!</v>
      </c>
      <c r="S63" s="10" t="e">
        <f t="shared" si="27"/>
        <v>#VALUE!</v>
      </c>
      <c r="T63" s="10" t="e">
        <f t="shared" si="62"/>
        <v>#VALUE!</v>
      </c>
      <c r="U63" s="10" t="e">
        <f t="shared" si="63"/>
        <v>#VALUE!</v>
      </c>
      <c r="V63" s="10" t="e">
        <f t="shared" si="8"/>
        <v>#VALUE!</v>
      </c>
      <c r="W63" s="10" t="e">
        <f t="shared" si="28"/>
        <v>#VALUE!</v>
      </c>
      <c r="Y63" s="10" t="e">
        <f t="shared" si="29"/>
        <v>#VALUE!</v>
      </c>
      <c r="Z63" s="11" t="e">
        <f t="shared" si="30"/>
        <v>#VALUE!</v>
      </c>
      <c r="AA63" s="10" t="e">
        <f t="shared" si="9"/>
        <v>#VALUE!</v>
      </c>
      <c r="AB63" s="10" t="e">
        <f t="shared" si="31"/>
        <v>#VALUE!</v>
      </c>
      <c r="AC63" s="10" t="e">
        <f t="shared" si="32"/>
        <v>#VALUE!</v>
      </c>
      <c r="AD63" s="10" t="e">
        <f t="shared" si="64"/>
        <v>#VALUE!</v>
      </c>
      <c r="AE63" s="10" t="e">
        <f t="shared" si="65"/>
        <v>#VALUE!</v>
      </c>
      <c r="AF63" s="10" t="e">
        <f t="shared" si="10"/>
        <v>#VALUE!</v>
      </c>
      <c r="AG63" s="10" t="e">
        <f t="shared" si="33"/>
        <v>#VALUE!</v>
      </c>
      <c r="AI63" s="13"/>
      <c r="AK63" s="10" t="e">
        <f t="shared" si="34"/>
        <v>#VALUE!</v>
      </c>
      <c r="AL63" s="10" t="e">
        <f t="shared" si="66"/>
        <v>#VALUE!</v>
      </c>
      <c r="AM63" s="10" t="e">
        <f t="shared" si="11"/>
        <v>#VALUE!</v>
      </c>
      <c r="AN63" s="10" t="e">
        <f t="shared" si="35"/>
        <v>#VALUE!</v>
      </c>
      <c r="AO63" s="10" t="e">
        <f t="shared" si="36"/>
        <v>#VALUE!</v>
      </c>
      <c r="AP63" s="10" t="e">
        <f t="shared" si="37"/>
        <v>#VALUE!</v>
      </c>
      <c r="AQ63" s="10" t="e">
        <f t="shared" si="67"/>
        <v>#VALUE!</v>
      </c>
      <c r="AR63" s="10" t="e">
        <f t="shared" si="12"/>
        <v>#VALUE!</v>
      </c>
      <c r="AS63" s="10" t="e">
        <f t="shared" si="68"/>
        <v>#VALUE!</v>
      </c>
      <c r="AU63" s="10" t="e">
        <f t="shared" si="38"/>
        <v>#VALUE!</v>
      </c>
      <c r="AV63" s="10" t="e">
        <f t="shared" si="69"/>
        <v>#VALUE!</v>
      </c>
      <c r="AW63" s="10" t="e">
        <f t="shared" si="13"/>
        <v>#VALUE!</v>
      </c>
      <c r="AX63" s="10" t="e">
        <f t="shared" si="39"/>
        <v>#VALUE!</v>
      </c>
      <c r="AY63" s="10" t="e">
        <f t="shared" si="40"/>
        <v>#VALUE!</v>
      </c>
      <c r="AZ63" s="10" t="e">
        <f t="shared" si="41"/>
        <v>#VALUE!</v>
      </c>
      <c r="BA63" s="10" t="e">
        <f t="shared" si="70"/>
        <v>#VALUE!</v>
      </c>
      <c r="BB63" s="10" t="e">
        <f t="shared" si="14"/>
        <v>#VALUE!</v>
      </c>
      <c r="BC63" s="10" t="e">
        <f t="shared" si="71"/>
        <v>#VALUE!</v>
      </c>
      <c r="BE63" s="10" t="e">
        <f t="shared" si="42"/>
        <v>#VALUE!</v>
      </c>
      <c r="BF63" s="10" t="e">
        <f t="shared" si="72"/>
        <v>#VALUE!</v>
      </c>
      <c r="BG63" s="10" t="e">
        <f t="shared" si="15"/>
        <v>#VALUE!</v>
      </c>
      <c r="BH63" s="10" t="e">
        <f t="shared" si="43"/>
        <v>#VALUE!</v>
      </c>
      <c r="BI63" s="10" t="e">
        <f t="shared" si="44"/>
        <v>#VALUE!</v>
      </c>
      <c r="BJ63" s="10" t="e">
        <f t="shared" si="45"/>
        <v>#VALUE!</v>
      </c>
      <c r="BK63" s="10" t="e">
        <f t="shared" si="73"/>
        <v>#VALUE!</v>
      </c>
      <c r="BL63" s="10" t="e">
        <f t="shared" si="16"/>
        <v>#VALUE!</v>
      </c>
      <c r="BM63" s="10" t="e">
        <f t="shared" si="74"/>
        <v>#VALUE!</v>
      </c>
      <c r="BP63" s="10" t="e">
        <f t="shared" si="46"/>
        <v>#VALUE!</v>
      </c>
      <c r="BQ63" s="10" t="e">
        <f t="shared" si="47"/>
        <v>#VALUE!</v>
      </c>
      <c r="BR63" s="10" t="e">
        <f t="shared" si="48"/>
        <v>#VALUE!</v>
      </c>
      <c r="BS63" s="10" t="e">
        <f t="shared" si="49"/>
        <v>#VALUE!</v>
      </c>
      <c r="BT63" s="10" t="e">
        <f t="shared" si="50"/>
        <v>#VALUE!</v>
      </c>
      <c r="BU63" s="10" t="e">
        <f t="shared" si="51"/>
        <v>#VALUE!</v>
      </c>
      <c r="BW63" s="10" t="e">
        <f t="shared" si="52"/>
        <v>#VALUE!</v>
      </c>
      <c r="BX63" s="10" t="e">
        <f t="shared" si="53"/>
        <v>#VALUE!</v>
      </c>
      <c r="BY63" s="10" t="e">
        <f t="shared" si="54"/>
        <v>#VALUE!</v>
      </c>
      <c r="BZ63" s="10" t="e">
        <f t="shared" si="55"/>
        <v>#VALUE!</v>
      </c>
      <c r="CA63" s="10" t="e">
        <f t="shared" si="56"/>
        <v>#VALUE!</v>
      </c>
      <c r="CB63" s="10" t="e">
        <f t="shared" si="57"/>
        <v>#VALUE!</v>
      </c>
      <c r="CD63" s="10" t="e">
        <f>MATCH(INDEX($BP$12:$BU$12,1,MATCH(BP63,$BP$15:$BU$15,0)),结果汇总!$AI$10:$AI$13,0)</f>
        <v>#VALUE!</v>
      </c>
      <c r="CE63" s="10" t="e">
        <f>MATCH(INDEX($BP$12:$BU$12,1,MATCH(BQ63,$BP$15:$BU$15,0)),结果汇总!$AI$10:$AI$13,0)</f>
        <v>#VALUE!</v>
      </c>
      <c r="CF63" s="10" t="e">
        <f>MATCH(INDEX($BP$12:$BU$12,1,MATCH(BR63,$BP$15:$BU$15,0)),结果汇总!$AI$10:$AI$13,0)</f>
        <v>#VALUE!</v>
      </c>
      <c r="CG63" s="10" t="e">
        <f>MATCH(INDEX($BP$12:$BU$12,1,MATCH(BS63,$BP$15:$BU$15,0)),结果汇总!$AI$10:$AI$13,0)</f>
        <v>#VALUE!</v>
      </c>
      <c r="CH63" s="10" t="e">
        <f>MATCH(INDEX($BP$12:$BU$12,1,MATCH(BT63,$BP$15:$BU$15,0)),结果汇总!$AI$10:$AI$13,0)</f>
        <v>#VALUE!</v>
      </c>
      <c r="CI63" s="10" t="e">
        <f>MATCH(INDEX($BP$12:$BU$12,1,MATCH(BU63,$BP$15:$BU$15,0)),结果汇总!$AI$10:$AI$13,0)</f>
        <v>#VALUE!</v>
      </c>
      <c r="CK63" s="10">
        <f t="shared" si="75"/>
        <v>0</v>
      </c>
      <c r="CL63" s="10">
        <f t="shared" si="75"/>
        <v>0</v>
      </c>
      <c r="CM63" s="10">
        <f t="shared" si="75"/>
        <v>0</v>
      </c>
      <c r="CN63" s="10">
        <f t="shared" si="75"/>
        <v>0</v>
      </c>
      <c r="CO63" s="10">
        <f t="shared" si="76"/>
        <v>0</v>
      </c>
      <c r="CP63" s="10">
        <f t="shared" si="76"/>
        <v>0</v>
      </c>
      <c r="CQ63" s="10">
        <f t="shared" si="76"/>
        <v>0</v>
      </c>
      <c r="CR63" s="10">
        <f t="shared" si="76"/>
        <v>0</v>
      </c>
      <c r="CS63" s="10">
        <f t="shared" si="77"/>
        <v>0</v>
      </c>
      <c r="CT63" s="10">
        <f t="shared" si="77"/>
        <v>0</v>
      </c>
      <c r="CU63" s="10">
        <f t="shared" si="77"/>
        <v>0</v>
      </c>
      <c r="CV63" s="10">
        <f t="shared" si="77"/>
        <v>0</v>
      </c>
      <c r="CW63" s="10">
        <f t="shared" si="78"/>
        <v>0</v>
      </c>
      <c r="CX63" s="10">
        <f t="shared" si="78"/>
        <v>0</v>
      </c>
      <c r="CY63" s="10">
        <f t="shared" si="78"/>
        <v>0</v>
      </c>
      <c r="CZ63" s="10">
        <f t="shared" si="78"/>
        <v>0</v>
      </c>
    </row>
    <row r="64" spans="4:104" x14ac:dyDescent="0.15">
      <c r="D64" s="10">
        <v>49</v>
      </c>
      <c r="E64" s="10" t="e">
        <f t="shared" si="21"/>
        <v>#VALUE!</v>
      </c>
      <c r="F64" s="10" t="e">
        <f t="shared" si="1"/>
        <v>#VALUE!</v>
      </c>
      <c r="G64" s="10" t="e">
        <f t="shared" si="2"/>
        <v>#VALUE!</v>
      </c>
      <c r="H64" s="10" t="e">
        <f t="shared" si="22"/>
        <v>#VALUE!</v>
      </c>
      <c r="I64" s="10" t="e">
        <f t="shared" si="3"/>
        <v>#VALUE!</v>
      </c>
      <c r="J64" s="10" t="e">
        <f t="shared" si="23"/>
        <v>#VALUE!</v>
      </c>
      <c r="K64" s="10" t="e">
        <f t="shared" si="4"/>
        <v>#VALUE!</v>
      </c>
      <c r="L64" s="10" t="e">
        <f t="shared" si="5"/>
        <v>#VALUE!</v>
      </c>
      <c r="M64" s="10" t="e">
        <f t="shared" si="24"/>
        <v>#VALUE!</v>
      </c>
      <c r="O64" s="10" t="e">
        <f t="shared" si="25"/>
        <v>#VALUE!</v>
      </c>
      <c r="P64" s="10" t="e">
        <f t="shared" si="6"/>
        <v>#VALUE!</v>
      </c>
      <c r="Q64" s="10" t="e">
        <f t="shared" si="7"/>
        <v>#VALUE!</v>
      </c>
      <c r="R64" s="10" t="e">
        <f t="shared" si="26"/>
        <v>#VALUE!</v>
      </c>
      <c r="S64" s="10" t="e">
        <f t="shared" si="27"/>
        <v>#VALUE!</v>
      </c>
      <c r="T64" s="10" t="e">
        <f t="shared" si="62"/>
        <v>#VALUE!</v>
      </c>
      <c r="U64" s="10" t="e">
        <f t="shared" si="63"/>
        <v>#VALUE!</v>
      </c>
      <c r="V64" s="10" t="e">
        <f t="shared" si="8"/>
        <v>#VALUE!</v>
      </c>
      <c r="W64" s="10" t="e">
        <f t="shared" si="28"/>
        <v>#VALUE!</v>
      </c>
      <c r="Y64" s="10" t="e">
        <f t="shared" si="29"/>
        <v>#VALUE!</v>
      </c>
      <c r="Z64" s="11" t="e">
        <f t="shared" si="30"/>
        <v>#VALUE!</v>
      </c>
      <c r="AA64" s="10" t="e">
        <f t="shared" si="9"/>
        <v>#VALUE!</v>
      </c>
      <c r="AB64" s="10" t="e">
        <f t="shared" si="31"/>
        <v>#VALUE!</v>
      </c>
      <c r="AC64" s="10" t="e">
        <f t="shared" si="32"/>
        <v>#VALUE!</v>
      </c>
      <c r="AD64" s="10" t="e">
        <f t="shared" si="64"/>
        <v>#VALUE!</v>
      </c>
      <c r="AE64" s="10" t="e">
        <f t="shared" si="65"/>
        <v>#VALUE!</v>
      </c>
      <c r="AF64" s="10" t="e">
        <f t="shared" si="10"/>
        <v>#VALUE!</v>
      </c>
      <c r="AG64" s="10" t="e">
        <f t="shared" si="33"/>
        <v>#VALUE!</v>
      </c>
      <c r="AI64" s="13"/>
      <c r="AK64" s="10" t="e">
        <f t="shared" si="34"/>
        <v>#VALUE!</v>
      </c>
      <c r="AL64" s="10" t="e">
        <f t="shared" si="66"/>
        <v>#VALUE!</v>
      </c>
      <c r="AM64" s="10" t="e">
        <f t="shared" si="11"/>
        <v>#VALUE!</v>
      </c>
      <c r="AN64" s="10" t="e">
        <f t="shared" si="35"/>
        <v>#VALUE!</v>
      </c>
      <c r="AO64" s="10" t="e">
        <f t="shared" si="36"/>
        <v>#VALUE!</v>
      </c>
      <c r="AP64" s="10" t="e">
        <f t="shared" si="37"/>
        <v>#VALUE!</v>
      </c>
      <c r="AQ64" s="10" t="e">
        <f t="shared" si="67"/>
        <v>#VALUE!</v>
      </c>
      <c r="AR64" s="10" t="e">
        <f t="shared" si="12"/>
        <v>#VALUE!</v>
      </c>
      <c r="AS64" s="10" t="e">
        <f t="shared" si="68"/>
        <v>#VALUE!</v>
      </c>
      <c r="AU64" s="10" t="e">
        <f t="shared" si="38"/>
        <v>#VALUE!</v>
      </c>
      <c r="AV64" s="10" t="e">
        <f t="shared" si="69"/>
        <v>#VALUE!</v>
      </c>
      <c r="AW64" s="10" t="e">
        <f t="shared" si="13"/>
        <v>#VALUE!</v>
      </c>
      <c r="AX64" s="10" t="e">
        <f t="shared" si="39"/>
        <v>#VALUE!</v>
      </c>
      <c r="AY64" s="10" t="e">
        <f t="shared" si="40"/>
        <v>#VALUE!</v>
      </c>
      <c r="AZ64" s="10" t="e">
        <f t="shared" si="41"/>
        <v>#VALUE!</v>
      </c>
      <c r="BA64" s="10" t="e">
        <f t="shared" si="70"/>
        <v>#VALUE!</v>
      </c>
      <c r="BB64" s="10" t="e">
        <f t="shared" si="14"/>
        <v>#VALUE!</v>
      </c>
      <c r="BC64" s="10" t="e">
        <f t="shared" si="71"/>
        <v>#VALUE!</v>
      </c>
      <c r="BE64" s="10" t="e">
        <f t="shared" si="42"/>
        <v>#VALUE!</v>
      </c>
      <c r="BF64" s="10" t="e">
        <f t="shared" si="72"/>
        <v>#VALUE!</v>
      </c>
      <c r="BG64" s="10" t="e">
        <f t="shared" si="15"/>
        <v>#VALUE!</v>
      </c>
      <c r="BH64" s="10" t="e">
        <f t="shared" si="43"/>
        <v>#VALUE!</v>
      </c>
      <c r="BI64" s="10" t="e">
        <f t="shared" si="44"/>
        <v>#VALUE!</v>
      </c>
      <c r="BJ64" s="10" t="e">
        <f t="shared" si="45"/>
        <v>#VALUE!</v>
      </c>
      <c r="BK64" s="10" t="e">
        <f t="shared" si="73"/>
        <v>#VALUE!</v>
      </c>
      <c r="BL64" s="10" t="e">
        <f t="shared" si="16"/>
        <v>#VALUE!</v>
      </c>
      <c r="BM64" s="10" t="e">
        <f t="shared" si="74"/>
        <v>#VALUE!</v>
      </c>
      <c r="BP64" s="10" t="e">
        <f t="shared" si="46"/>
        <v>#VALUE!</v>
      </c>
      <c r="BQ64" s="10" t="e">
        <f t="shared" si="47"/>
        <v>#VALUE!</v>
      </c>
      <c r="BR64" s="10" t="e">
        <f t="shared" si="48"/>
        <v>#VALUE!</v>
      </c>
      <c r="BS64" s="10" t="e">
        <f t="shared" si="49"/>
        <v>#VALUE!</v>
      </c>
      <c r="BT64" s="10" t="e">
        <f t="shared" si="50"/>
        <v>#VALUE!</v>
      </c>
      <c r="BU64" s="10" t="e">
        <f t="shared" si="51"/>
        <v>#VALUE!</v>
      </c>
      <c r="BW64" s="10" t="e">
        <f t="shared" si="52"/>
        <v>#VALUE!</v>
      </c>
      <c r="BX64" s="10" t="e">
        <f t="shared" si="53"/>
        <v>#VALUE!</v>
      </c>
      <c r="BY64" s="10" t="e">
        <f t="shared" si="54"/>
        <v>#VALUE!</v>
      </c>
      <c r="BZ64" s="10" t="e">
        <f t="shared" si="55"/>
        <v>#VALUE!</v>
      </c>
      <c r="CA64" s="10" t="e">
        <f t="shared" si="56"/>
        <v>#VALUE!</v>
      </c>
      <c r="CB64" s="10" t="e">
        <f t="shared" si="57"/>
        <v>#VALUE!</v>
      </c>
      <c r="CD64" s="10" t="e">
        <f>MATCH(INDEX($BP$12:$BU$12,1,MATCH(BP64,$BP$15:$BU$15,0)),结果汇总!$AI$10:$AI$13,0)</f>
        <v>#VALUE!</v>
      </c>
      <c r="CE64" s="10" t="e">
        <f>MATCH(INDEX($BP$12:$BU$12,1,MATCH(BQ64,$BP$15:$BU$15,0)),结果汇总!$AI$10:$AI$13,0)</f>
        <v>#VALUE!</v>
      </c>
      <c r="CF64" s="10" t="e">
        <f>MATCH(INDEX($BP$12:$BU$12,1,MATCH(BR64,$BP$15:$BU$15,0)),结果汇总!$AI$10:$AI$13,0)</f>
        <v>#VALUE!</v>
      </c>
      <c r="CG64" s="10" t="e">
        <f>MATCH(INDEX($BP$12:$BU$12,1,MATCH(BS64,$BP$15:$BU$15,0)),结果汇总!$AI$10:$AI$13,0)</f>
        <v>#VALUE!</v>
      </c>
      <c r="CH64" s="10" t="e">
        <f>MATCH(INDEX($BP$12:$BU$12,1,MATCH(BT64,$BP$15:$BU$15,0)),结果汇总!$AI$10:$AI$13,0)</f>
        <v>#VALUE!</v>
      </c>
      <c r="CI64" s="10" t="e">
        <f>MATCH(INDEX($BP$12:$BU$12,1,MATCH(BU64,$BP$15:$BU$15,0)),结果汇总!$AI$10:$AI$13,0)</f>
        <v>#VALUE!</v>
      </c>
      <c r="CK64" s="10">
        <f t="shared" si="75"/>
        <v>0</v>
      </c>
      <c r="CL64" s="10">
        <f t="shared" si="75"/>
        <v>0</v>
      </c>
      <c r="CM64" s="10">
        <f t="shared" si="75"/>
        <v>0</v>
      </c>
      <c r="CN64" s="10">
        <f t="shared" si="75"/>
        <v>0</v>
      </c>
      <c r="CO64" s="10">
        <f t="shared" si="76"/>
        <v>0</v>
      </c>
      <c r="CP64" s="10">
        <f t="shared" si="76"/>
        <v>0</v>
      </c>
      <c r="CQ64" s="10">
        <f t="shared" si="76"/>
        <v>0</v>
      </c>
      <c r="CR64" s="10">
        <f t="shared" si="76"/>
        <v>0</v>
      </c>
      <c r="CS64" s="10">
        <f t="shared" si="77"/>
        <v>0</v>
      </c>
      <c r="CT64" s="10">
        <f t="shared" si="77"/>
        <v>0</v>
      </c>
      <c r="CU64" s="10">
        <f t="shared" si="77"/>
        <v>0</v>
      </c>
      <c r="CV64" s="10">
        <f t="shared" si="77"/>
        <v>0</v>
      </c>
      <c r="CW64" s="10">
        <f t="shared" si="78"/>
        <v>0</v>
      </c>
      <c r="CX64" s="10">
        <f t="shared" si="78"/>
        <v>0</v>
      </c>
      <c r="CY64" s="10">
        <f t="shared" si="78"/>
        <v>0</v>
      </c>
      <c r="CZ64" s="10">
        <f t="shared" si="78"/>
        <v>0</v>
      </c>
    </row>
    <row r="65" spans="4:104" x14ac:dyDescent="0.15">
      <c r="D65" s="10">
        <v>50</v>
      </c>
      <c r="E65" s="10" t="e">
        <f t="shared" si="21"/>
        <v>#VALUE!</v>
      </c>
      <c r="F65" s="10" t="e">
        <f t="shared" si="1"/>
        <v>#VALUE!</v>
      </c>
      <c r="G65" s="10" t="e">
        <f t="shared" si="2"/>
        <v>#VALUE!</v>
      </c>
      <c r="H65" s="10" t="e">
        <f t="shared" si="22"/>
        <v>#VALUE!</v>
      </c>
      <c r="I65" s="10" t="e">
        <f t="shared" si="3"/>
        <v>#VALUE!</v>
      </c>
      <c r="J65" s="10" t="e">
        <f t="shared" si="23"/>
        <v>#VALUE!</v>
      </c>
      <c r="K65" s="10" t="e">
        <f t="shared" si="4"/>
        <v>#VALUE!</v>
      </c>
      <c r="L65" s="10" t="e">
        <f t="shared" si="5"/>
        <v>#VALUE!</v>
      </c>
      <c r="M65" s="10" t="e">
        <f t="shared" si="24"/>
        <v>#VALUE!</v>
      </c>
      <c r="O65" s="10" t="e">
        <f t="shared" si="25"/>
        <v>#VALUE!</v>
      </c>
      <c r="P65" s="10" t="e">
        <f t="shared" si="6"/>
        <v>#VALUE!</v>
      </c>
      <c r="Q65" s="10" t="e">
        <f t="shared" si="7"/>
        <v>#VALUE!</v>
      </c>
      <c r="R65" s="10" t="e">
        <f t="shared" si="26"/>
        <v>#VALUE!</v>
      </c>
      <c r="S65" s="10" t="e">
        <f t="shared" si="27"/>
        <v>#VALUE!</v>
      </c>
      <c r="T65" s="10" t="e">
        <f t="shared" si="62"/>
        <v>#VALUE!</v>
      </c>
      <c r="U65" s="10" t="e">
        <f t="shared" si="63"/>
        <v>#VALUE!</v>
      </c>
      <c r="V65" s="10" t="e">
        <f t="shared" si="8"/>
        <v>#VALUE!</v>
      </c>
      <c r="W65" s="10" t="e">
        <f t="shared" si="28"/>
        <v>#VALUE!</v>
      </c>
      <c r="Y65" s="10" t="e">
        <f t="shared" si="29"/>
        <v>#VALUE!</v>
      </c>
      <c r="Z65" s="11" t="e">
        <f t="shared" si="30"/>
        <v>#VALUE!</v>
      </c>
      <c r="AA65" s="10" t="e">
        <f t="shared" si="9"/>
        <v>#VALUE!</v>
      </c>
      <c r="AB65" s="10" t="e">
        <f t="shared" si="31"/>
        <v>#VALUE!</v>
      </c>
      <c r="AC65" s="10" t="e">
        <f t="shared" si="32"/>
        <v>#VALUE!</v>
      </c>
      <c r="AD65" s="10" t="e">
        <f t="shared" si="64"/>
        <v>#VALUE!</v>
      </c>
      <c r="AE65" s="10" t="e">
        <f t="shared" si="65"/>
        <v>#VALUE!</v>
      </c>
      <c r="AF65" s="10" t="e">
        <f t="shared" si="10"/>
        <v>#VALUE!</v>
      </c>
      <c r="AG65" s="10" t="e">
        <f t="shared" si="33"/>
        <v>#VALUE!</v>
      </c>
      <c r="AI65" s="13"/>
      <c r="AK65" s="10" t="e">
        <f t="shared" si="34"/>
        <v>#VALUE!</v>
      </c>
      <c r="AL65" s="10" t="e">
        <f t="shared" si="66"/>
        <v>#VALUE!</v>
      </c>
      <c r="AM65" s="10" t="e">
        <f t="shared" si="11"/>
        <v>#VALUE!</v>
      </c>
      <c r="AN65" s="10" t="e">
        <f t="shared" si="35"/>
        <v>#VALUE!</v>
      </c>
      <c r="AO65" s="10" t="e">
        <f t="shared" si="36"/>
        <v>#VALUE!</v>
      </c>
      <c r="AP65" s="10" t="e">
        <f t="shared" si="37"/>
        <v>#VALUE!</v>
      </c>
      <c r="AQ65" s="10" t="e">
        <f t="shared" si="67"/>
        <v>#VALUE!</v>
      </c>
      <c r="AR65" s="10" t="e">
        <f t="shared" si="12"/>
        <v>#VALUE!</v>
      </c>
      <c r="AS65" s="10" t="e">
        <f t="shared" si="68"/>
        <v>#VALUE!</v>
      </c>
      <c r="AU65" s="10" t="e">
        <f t="shared" si="38"/>
        <v>#VALUE!</v>
      </c>
      <c r="AV65" s="10" t="e">
        <f t="shared" si="69"/>
        <v>#VALUE!</v>
      </c>
      <c r="AW65" s="10" t="e">
        <f t="shared" si="13"/>
        <v>#VALUE!</v>
      </c>
      <c r="AX65" s="10" t="e">
        <f t="shared" si="39"/>
        <v>#VALUE!</v>
      </c>
      <c r="AY65" s="10" t="e">
        <f t="shared" si="40"/>
        <v>#VALUE!</v>
      </c>
      <c r="AZ65" s="10" t="e">
        <f t="shared" si="41"/>
        <v>#VALUE!</v>
      </c>
      <c r="BA65" s="10" t="e">
        <f t="shared" si="70"/>
        <v>#VALUE!</v>
      </c>
      <c r="BB65" s="10" t="e">
        <f t="shared" si="14"/>
        <v>#VALUE!</v>
      </c>
      <c r="BC65" s="10" t="e">
        <f t="shared" si="71"/>
        <v>#VALUE!</v>
      </c>
      <c r="BE65" s="10" t="e">
        <f t="shared" si="42"/>
        <v>#VALUE!</v>
      </c>
      <c r="BF65" s="10" t="e">
        <f t="shared" si="72"/>
        <v>#VALUE!</v>
      </c>
      <c r="BG65" s="10" t="e">
        <f t="shared" si="15"/>
        <v>#VALUE!</v>
      </c>
      <c r="BH65" s="10" t="e">
        <f t="shared" si="43"/>
        <v>#VALUE!</v>
      </c>
      <c r="BI65" s="10" t="e">
        <f t="shared" si="44"/>
        <v>#VALUE!</v>
      </c>
      <c r="BJ65" s="10" t="e">
        <f t="shared" si="45"/>
        <v>#VALUE!</v>
      </c>
      <c r="BK65" s="10" t="e">
        <f t="shared" si="73"/>
        <v>#VALUE!</v>
      </c>
      <c r="BL65" s="10" t="e">
        <f t="shared" si="16"/>
        <v>#VALUE!</v>
      </c>
      <c r="BM65" s="10" t="e">
        <f t="shared" si="74"/>
        <v>#VALUE!</v>
      </c>
      <c r="BP65" s="10" t="e">
        <f t="shared" si="46"/>
        <v>#VALUE!</v>
      </c>
      <c r="BQ65" s="10" t="e">
        <f t="shared" si="47"/>
        <v>#VALUE!</v>
      </c>
      <c r="BR65" s="10" t="e">
        <f t="shared" si="48"/>
        <v>#VALUE!</v>
      </c>
      <c r="BS65" s="10" t="e">
        <f t="shared" si="49"/>
        <v>#VALUE!</v>
      </c>
      <c r="BT65" s="10" t="e">
        <f t="shared" si="50"/>
        <v>#VALUE!</v>
      </c>
      <c r="BU65" s="10" t="e">
        <f t="shared" si="51"/>
        <v>#VALUE!</v>
      </c>
      <c r="BW65" s="10" t="e">
        <f t="shared" si="52"/>
        <v>#VALUE!</v>
      </c>
      <c r="BX65" s="10" t="e">
        <f t="shared" si="53"/>
        <v>#VALUE!</v>
      </c>
      <c r="BY65" s="10" t="e">
        <f t="shared" si="54"/>
        <v>#VALUE!</v>
      </c>
      <c r="BZ65" s="10" t="e">
        <f t="shared" si="55"/>
        <v>#VALUE!</v>
      </c>
      <c r="CA65" s="10" t="e">
        <f t="shared" si="56"/>
        <v>#VALUE!</v>
      </c>
      <c r="CB65" s="10" t="e">
        <f t="shared" si="57"/>
        <v>#VALUE!</v>
      </c>
      <c r="CD65" s="10" t="e">
        <f>MATCH(INDEX($BP$12:$BU$12,1,MATCH(BP65,$BP$15:$BU$15,0)),结果汇总!$AI$10:$AI$13,0)</f>
        <v>#VALUE!</v>
      </c>
      <c r="CE65" s="10" t="e">
        <f>MATCH(INDEX($BP$12:$BU$12,1,MATCH(BQ65,$BP$15:$BU$15,0)),结果汇总!$AI$10:$AI$13,0)</f>
        <v>#VALUE!</v>
      </c>
      <c r="CF65" s="10" t="e">
        <f>MATCH(INDEX($BP$12:$BU$12,1,MATCH(BR65,$BP$15:$BU$15,0)),结果汇总!$AI$10:$AI$13,0)</f>
        <v>#VALUE!</v>
      </c>
      <c r="CG65" s="10" t="e">
        <f>MATCH(INDEX($BP$12:$BU$12,1,MATCH(BS65,$BP$15:$BU$15,0)),结果汇总!$AI$10:$AI$13,0)</f>
        <v>#VALUE!</v>
      </c>
      <c r="CH65" s="10" t="e">
        <f>MATCH(INDEX($BP$12:$BU$12,1,MATCH(BT65,$BP$15:$BU$15,0)),结果汇总!$AI$10:$AI$13,0)</f>
        <v>#VALUE!</v>
      </c>
      <c r="CI65" s="10" t="e">
        <f>MATCH(INDEX($BP$12:$BU$12,1,MATCH(BU65,$BP$15:$BU$15,0)),结果汇总!$AI$10:$AI$13,0)</f>
        <v>#VALUE!</v>
      </c>
      <c r="CK65" s="10">
        <f t="shared" si="75"/>
        <v>0</v>
      </c>
      <c r="CL65" s="10">
        <f t="shared" si="75"/>
        <v>0</v>
      </c>
      <c r="CM65" s="10">
        <f t="shared" si="75"/>
        <v>0</v>
      </c>
      <c r="CN65" s="10">
        <f t="shared" si="75"/>
        <v>0</v>
      </c>
      <c r="CO65" s="10">
        <f t="shared" si="76"/>
        <v>0</v>
      </c>
      <c r="CP65" s="10">
        <f t="shared" si="76"/>
        <v>0</v>
      </c>
      <c r="CQ65" s="10">
        <f t="shared" si="76"/>
        <v>0</v>
      </c>
      <c r="CR65" s="10">
        <f t="shared" si="76"/>
        <v>0</v>
      </c>
      <c r="CS65" s="10">
        <f t="shared" si="77"/>
        <v>0</v>
      </c>
      <c r="CT65" s="10">
        <f t="shared" si="77"/>
        <v>0</v>
      </c>
      <c r="CU65" s="10">
        <f t="shared" si="77"/>
        <v>0</v>
      </c>
      <c r="CV65" s="10">
        <f t="shared" si="77"/>
        <v>0</v>
      </c>
      <c r="CW65" s="10">
        <f t="shared" si="78"/>
        <v>0</v>
      </c>
      <c r="CX65" s="10">
        <f t="shared" si="78"/>
        <v>0</v>
      </c>
      <c r="CY65" s="10">
        <f t="shared" si="78"/>
        <v>0</v>
      </c>
      <c r="CZ65" s="10">
        <f t="shared" si="78"/>
        <v>0</v>
      </c>
    </row>
    <row r="66" spans="4:104" x14ac:dyDescent="0.15">
      <c r="D66" s="10">
        <v>51</v>
      </c>
      <c r="E66" s="10" t="e">
        <f t="shared" si="21"/>
        <v>#VALUE!</v>
      </c>
      <c r="F66" s="10" t="e">
        <f t="shared" si="1"/>
        <v>#VALUE!</v>
      </c>
      <c r="G66" s="10" t="e">
        <f t="shared" si="2"/>
        <v>#VALUE!</v>
      </c>
      <c r="H66" s="10" t="e">
        <f t="shared" si="22"/>
        <v>#VALUE!</v>
      </c>
      <c r="I66" s="10" t="e">
        <f t="shared" si="3"/>
        <v>#VALUE!</v>
      </c>
      <c r="J66" s="10" t="e">
        <f t="shared" si="23"/>
        <v>#VALUE!</v>
      </c>
      <c r="K66" s="10" t="e">
        <f t="shared" si="4"/>
        <v>#VALUE!</v>
      </c>
      <c r="L66" s="10" t="e">
        <f t="shared" si="5"/>
        <v>#VALUE!</v>
      </c>
      <c r="M66" s="10" t="e">
        <f t="shared" si="24"/>
        <v>#VALUE!</v>
      </c>
      <c r="O66" s="10" t="e">
        <f t="shared" si="25"/>
        <v>#VALUE!</v>
      </c>
      <c r="P66" s="10" t="e">
        <f t="shared" si="6"/>
        <v>#VALUE!</v>
      </c>
      <c r="Q66" s="10" t="e">
        <f t="shared" si="7"/>
        <v>#VALUE!</v>
      </c>
      <c r="R66" s="10" t="e">
        <f t="shared" si="26"/>
        <v>#VALUE!</v>
      </c>
      <c r="S66" s="10" t="e">
        <f t="shared" si="27"/>
        <v>#VALUE!</v>
      </c>
      <c r="T66" s="10" t="e">
        <f t="shared" si="62"/>
        <v>#VALUE!</v>
      </c>
      <c r="U66" s="10" t="e">
        <f t="shared" si="63"/>
        <v>#VALUE!</v>
      </c>
      <c r="V66" s="10" t="e">
        <f t="shared" si="8"/>
        <v>#VALUE!</v>
      </c>
      <c r="W66" s="10" t="e">
        <f t="shared" si="28"/>
        <v>#VALUE!</v>
      </c>
      <c r="Y66" s="10" t="e">
        <f t="shared" si="29"/>
        <v>#VALUE!</v>
      </c>
      <c r="Z66" s="11" t="e">
        <f t="shared" si="30"/>
        <v>#VALUE!</v>
      </c>
      <c r="AA66" s="10" t="e">
        <f t="shared" si="9"/>
        <v>#VALUE!</v>
      </c>
      <c r="AB66" s="10" t="e">
        <f t="shared" si="31"/>
        <v>#VALUE!</v>
      </c>
      <c r="AC66" s="10" t="e">
        <f t="shared" si="32"/>
        <v>#VALUE!</v>
      </c>
      <c r="AD66" s="10" t="e">
        <f t="shared" si="64"/>
        <v>#VALUE!</v>
      </c>
      <c r="AE66" s="10" t="e">
        <f t="shared" si="65"/>
        <v>#VALUE!</v>
      </c>
      <c r="AF66" s="10" t="e">
        <f t="shared" si="10"/>
        <v>#VALUE!</v>
      </c>
      <c r="AG66" s="10" t="e">
        <f t="shared" si="33"/>
        <v>#VALUE!</v>
      </c>
      <c r="AI66" s="13"/>
      <c r="AK66" s="10" t="e">
        <f t="shared" si="34"/>
        <v>#VALUE!</v>
      </c>
      <c r="AL66" s="10" t="e">
        <f t="shared" si="66"/>
        <v>#VALUE!</v>
      </c>
      <c r="AM66" s="10" t="e">
        <f t="shared" si="11"/>
        <v>#VALUE!</v>
      </c>
      <c r="AN66" s="10" t="e">
        <f t="shared" si="35"/>
        <v>#VALUE!</v>
      </c>
      <c r="AO66" s="10" t="e">
        <f t="shared" si="36"/>
        <v>#VALUE!</v>
      </c>
      <c r="AP66" s="10" t="e">
        <f t="shared" si="37"/>
        <v>#VALUE!</v>
      </c>
      <c r="AQ66" s="10" t="e">
        <f t="shared" si="67"/>
        <v>#VALUE!</v>
      </c>
      <c r="AR66" s="10" t="e">
        <f t="shared" si="12"/>
        <v>#VALUE!</v>
      </c>
      <c r="AS66" s="10" t="e">
        <f t="shared" si="68"/>
        <v>#VALUE!</v>
      </c>
      <c r="AU66" s="10" t="e">
        <f t="shared" si="38"/>
        <v>#VALUE!</v>
      </c>
      <c r="AV66" s="10" t="e">
        <f t="shared" si="69"/>
        <v>#VALUE!</v>
      </c>
      <c r="AW66" s="10" t="e">
        <f t="shared" si="13"/>
        <v>#VALUE!</v>
      </c>
      <c r="AX66" s="10" t="e">
        <f t="shared" si="39"/>
        <v>#VALUE!</v>
      </c>
      <c r="AY66" s="10" t="e">
        <f t="shared" si="40"/>
        <v>#VALUE!</v>
      </c>
      <c r="AZ66" s="10" t="e">
        <f t="shared" si="41"/>
        <v>#VALUE!</v>
      </c>
      <c r="BA66" s="10" t="e">
        <f t="shared" si="70"/>
        <v>#VALUE!</v>
      </c>
      <c r="BB66" s="10" t="e">
        <f t="shared" si="14"/>
        <v>#VALUE!</v>
      </c>
      <c r="BC66" s="10" t="e">
        <f t="shared" si="71"/>
        <v>#VALUE!</v>
      </c>
      <c r="BE66" s="10" t="e">
        <f t="shared" si="42"/>
        <v>#VALUE!</v>
      </c>
      <c r="BF66" s="10" t="e">
        <f t="shared" si="72"/>
        <v>#VALUE!</v>
      </c>
      <c r="BG66" s="10" t="e">
        <f t="shared" si="15"/>
        <v>#VALUE!</v>
      </c>
      <c r="BH66" s="10" t="e">
        <f t="shared" si="43"/>
        <v>#VALUE!</v>
      </c>
      <c r="BI66" s="10" t="e">
        <f t="shared" si="44"/>
        <v>#VALUE!</v>
      </c>
      <c r="BJ66" s="10" t="e">
        <f t="shared" si="45"/>
        <v>#VALUE!</v>
      </c>
      <c r="BK66" s="10" t="e">
        <f t="shared" si="73"/>
        <v>#VALUE!</v>
      </c>
      <c r="BL66" s="10" t="e">
        <f t="shared" si="16"/>
        <v>#VALUE!</v>
      </c>
      <c r="BM66" s="10" t="e">
        <f t="shared" si="74"/>
        <v>#VALUE!</v>
      </c>
      <c r="BP66" s="10" t="e">
        <f t="shared" si="46"/>
        <v>#VALUE!</v>
      </c>
      <c r="BQ66" s="10" t="e">
        <f t="shared" si="47"/>
        <v>#VALUE!</v>
      </c>
      <c r="BR66" s="10" t="e">
        <f t="shared" si="48"/>
        <v>#VALUE!</v>
      </c>
      <c r="BS66" s="10" t="e">
        <f t="shared" si="49"/>
        <v>#VALUE!</v>
      </c>
      <c r="BT66" s="10" t="e">
        <f t="shared" si="50"/>
        <v>#VALUE!</v>
      </c>
      <c r="BU66" s="10" t="e">
        <f t="shared" si="51"/>
        <v>#VALUE!</v>
      </c>
      <c r="BW66" s="10" t="e">
        <f t="shared" si="52"/>
        <v>#VALUE!</v>
      </c>
      <c r="BX66" s="10" t="e">
        <f t="shared" si="53"/>
        <v>#VALUE!</v>
      </c>
      <c r="BY66" s="10" t="e">
        <f t="shared" si="54"/>
        <v>#VALUE!</v>
      </c>
      <c r="BZ66" s="10" t="e">
        <f t="shared" si="55"/>
        <v>#VALUE!</v>
      </c>
      <c r="CA66" s="10" t="e">
        <f t="shared" si="56"/>
        <v>#VALUE!</v>
      </c>
      <c r="CB66" s="10" t="e">
        <f t="shared" si="57"/>
        <v>#VALUE!</v>
      </c>
      <c r="CD66" s="10" t="e">
        <f>MATCH(INDEX($BP$12:$BU$12,1,MATCH(BP66,$BP$15:$BU$15,0)),结果汇总!$AI$10:$AI$13,0)</f>
        <v>#VALUE!</v>
      </c>
      <c r="CE66" s="10" t="e">
        <f>MATCH(INDEX($BP$12:$BU$12,1,MATCH(BQ66,$BP$15:$BU$15,0)),结果汇总!$AI$10:$AI$13,0)</f>
        <v>#VALUE!</v>
      </c>
      <c r="CF66" s="10" t="e">
        <f>MATCH(INDEX($BP$12:$BU$12,1,MATCH(BR66,$BP$15:$BU$15,0)),结果汇总!$AI$10:$AI$13,0)</f>
        <v>#VALUE!</v>
      </c>
      <c r="CG66" s="10" t="e">
        <f>MATCH(INDEX($BP$12:$BU$12,1,MATCH(BS66,$BP$15:$BU$15,0)),结果汇总!$AI$10:$AI$13,0)</f>
        <v>#VALUE!</v>
      </c>
      <c r="CH66" s="10" t="e">
        <f>MATCH(INDEX($BP$12:$BU$12,1,MATCH(BT66,$BP$15:$BU$15,0)),结果汇总!$AI$10:$AI$13,0)</f>
        <v>#VALUE!</v>
      </c>
      <c r="CI66" s="10" t="e">
        <f>MATCH(INDEX($BP$12:$BU$12,1,MATCH(BU66,$BP$15:$BU$15,0)),结果汇总!$AI$10:$AI$13,0)</f>
        <v>#VALUE!</v>
      </c>
      <c r="CK66" s="10">
        <f t="shared" si="75"/>
        <v>0</v>
      </c>
      <c r="CL66" s="10">
        <f t="shared" si="75"/>
        <v>0</v>
      </c>
      <c r="CM66" s="10">
        <f t="shared" si="75"/>
        <v>0</v>
      </c>
      <c r="CN66" s="10">
        <f t="shared" si="75"/>
        <v>0</v>
      </c>
      <c r="CO66" s="10">
        <f t="shared" si="76"/>
        <v>0</v>
      </c>
      <c r="CP66" s="10">
        <f t="shared" si="76"/>
        <v>0</v>
      </c>
      <c r="CQ66" s="10">
        <f t="shared" si="76"/>
        <v>0</v>
      </c>
      <c r="CR66" s="10">
        <f t="shared" si="76"/>
        <v>0</v>
      </c>
      <c r="CS66" s="10">
        <f t="shared" si="77"/>
        <v>0</v>
      </c>
      <c r="CT66" s="10">
        <f t="shared" si="77"/>
        <v>0</v>
      </c>
      <c r="CU66" s="10">
        <f t="shared" si="77"/>
        <v>0</v>
      </c>
      <c r="CV66" s="10">
        <f t="shared" si="77"/>
        <v>0</v>
      </c>
      <c r="CW66" s="10">
        <f t="shared" si="78"/>
        <v>0</v>
      </c>
      <c r="CX66" s="10">
        <f t="shared" si="78"/>
        <v>0</v>
      </c>
      <c r="CY66" s="10">
        <f t="shared" si="78"/>
        <v>0</v>
      </c>
      <c r="CZ66" s="10">
        <f t="shared" si="78"/>
        <v>0</v>
      </c>
    </row>
    <row r="67" spans="4:104" x14ac:dyDescent="0.15">
      <c r="D67" s="10">
        <v>52</v>
      </c>
      <c r="E67" s="10" t="e">
        <f t="shared" si="21"/>
        <v>#VALUE!</v>
      </c>
      <c r="F67" s="10" t="e">
        <f t="shared" si="1"/>
        <v>#VALUE!</v>
      </c>
      <c r="G67" s="10" t="e">
        <f t="shared" si="2"/>
        <v>#VALUE!</v>
      </c>
      <c r="H67" s="10" t="e">
        <f t="shared" si="22"/>
        <v>#VALUE!</v>
      </c>
      <c r="I67" s="10" t="e">
        <f t="shared" si="3"/>
        <v>#VALUE!</v>
      </c>
      <c r="J67" s="10" t="e">
        <f t="shared" si="23"/>
        <v>#VALUE!</v>
      </c>
      <c r="K67" s="10" t="e">
        <f t="shared" si="4"/>
        <v>#VALUE!</v>
      </c>
      <c r="L67" s="10" t="e">
        <f t="shared" si="5"/>
        <v>#VALUE!</v>
      </c>
      <c r="M67" s="10" t="e">
        <f t="shared" si="24"/>
        <v>#VALUE!</v>
      </c>
      <c r="O67" s="10" t="e">
        <f t="shared" si="25"/>
        <v>#VALUE!</v>
      </c>
      <c r="P67" s="10" t="e">
        <f t="shared" si="6"/>
        <v>#VALUE!</v>
      </c>
      <c r="Q67" s="10" t="e">
        <f t="shared" si="7"/>
        <v>#VALUE!</v>
      </c>
      <c r="R67" s="10" t="e">
        <f t="shared" si="26"/>
        <v>#VALUE!</v>
      </c>
      <c r="S67" s="10" t="e">
        <f t="shared" si="27"/>
        <v>#VALUE!</v>
      </c>
      <c r="T67" s="10" t="e">
        <f t="shared" si="62"/>
        <v>#VALUE!</v>
      </c>
      <c r="U67" s="10" t="e">
        <f t="shared" si="63"/>
        <v>#VALUE!</v>
      </c>
      <c r="V67" s="10" t="e">
        <f t="shared" si="8"/>
        <v>#VALUE!</v>
      </c>
      <c r="W67" s="10" t="e">
        <f t="shared" si="28"/>
        <v>#VALUE!</v>
      </c>
      <c r="Y67" s="10" t="e">
        <f t="shared" si="29"/>
        <v>#VALUE!</v>
      </c>
      <c r="Z67" s="11" t="e">
        <f t="shared" si="30"/>
        <v>#VALUE!</v>
      </c>
      <c r="AA67" s="10" t="e">
        <f t="shared" si="9"/>
        <v>#VALUE!</v>
      </c>
      <c r="AB67" s="10" t="e">
        <f t="shared" si="31"/>
        <v>#VALUE!</v>
      </c>
      <c r="AC67" s="10" t="e">
        <f t="shared" si="32"/>
        <v>#VALUE!</v>
      </c>
      <c r="AD67" s="10" t="e">
        <f t="shared" si="64"/>
        <v>#VALUE!</v>
      </c>
      <c r="AE67" s="10" t="e">
        <f t="shared" si="65"/>
        <v>#VALUE!</v>
      </c>
      <c r="AF67" s="10" t="e">
        <f t="shared" si="10"/>
        <v>#VALUE!</v>
      </c>
      <c r="AG67" s="10" t="e">
        <f t="shared" si="33"/>
        <v>#VALUE!</v>
      </c>
      <c r="AI67" s="13"/>
      <c r="AK67" s="10" t="e">
        <f t="shared" si="34"/>
        <v>#VALUE!</v>
      </c>
      <c r="AL67" s="10" t="e">
        <f t="shared" si="66"/>
        <v>#VALUE!</v>
      </c>
      <c r="AM67" s="10" t="e">
        <f t="shared" si="11"/>
        <v>#VALUE!</v>
      </c>
      <c r="AN67" s="10" t="e">
        <f t="shared" si="35"/>
        <v>#VALUE!</v>
      </c>
      <c r="AO67" s="10" t="e">
        <f t="shared" si="36"/>
        <v>#VALUE!</v>
      </c>
      <c r="AP67" s="10" t="e">
        <f t="shared" si="37"/>
        <v>#VALUE!</v>
      </c>
      <c r="AQ67" s="10" t="e">
        <f t="shared" si="67"/>
        <v>#VALUE!</v>
      </c>
      <c r="AR67" s="10" t="e">
        <f t="shared" si="12"/>
        <v>#VALUE!</v>
      </c>
      <c r="AS67" s="10" t="e">
        <f t="shared" si="68"/>
        <v>#VALUE!</v>
      </c>
      <c r="AU67" s="10" t="e">
        <f t="shared" si="38"/>
        <v>#VALUE!</v>
      </c>
      <c r="AV67" s="10" t="e">
        <f t="shared" si="69"/>
        <v>#VALUE!</v>
      </c>
      <c r="AW67" s="10" t="e">
        <f t="shared" si="13"/>
        <v>#VALUE!</v>
      </c>
      <c r="AX67" s="10" t="e">
        <f t="shared" si="39"/>
        <v>#VALUE!</v>
      </c>
      <c r="AY67" s="10" t="e">
        <f t="shared" si="40"/>
        <v>#VALUE!</v>
      </c>
      <c r="AZ67" s="10" t="e">
        <f t="shared" si="41"/>
        <v>#VALUE!</v>
      </c>
      <c r="BA67" s="10" t="e">
        <f t="shared" si="70"/>
        <v>#VALUE!</v>
      </c>
      <c r="BB67" s="10" t="e">
        <f t="shared" si="14"/>
        <v>#VALUE!</v>
      </c>
      <c r="BC67" s="10" t="e">
        <f t="shared" si="71"/>
        <v>#VALUE!</v>
      </c>
      <c r="BE67" s="10" t="e">
        <f t="shared" si="42"/>
        <v>#VALUE!</v>
      </c>
      <c r="BF67" s="10" t="e">
        <f t="shared" si="72"/>
        <v>#VALUE!</v>
      </c>
      <c r="BG67" s="10" t="e">
        <f t="shared" si="15"/>
        <v>#VALUE!</v>
      </c>
      <c r="BH67" s="10" t="e">
        <f t="shared" si="43"/>
        <v>#VALUE!</v>
      </c>
      <c r="BI67" s="10" t="e">
        <f t="shared" si="44"/>
        <v>#VALUE!</v>
      </c>
      <c r="BJ67" s="10" t="e">
        <f t="shared" si="45"/>
        <v>#VALUE!</v>
      </c>
      <c r="BK67" s="10" t="e">
        <f t="shared" si="73"/>
        <v>#VALUE!</v>
      </c>
      <c r="BL67" s="10" t="e">
        <f t="shared" si="16"/>
        <v>#VALUE!</v>
      </c>
      <c r="BM67" s="10" t="e">
        <f t="shared" si="74"/>
        <v>#VALUE!</v>
      </c>
      <c r="BP67" s="10" t="e">
        <f t="shared" si="46"/>
        <v>#VALUE!</v>
      </c>
      <c r="BQ67" s="10" t="e">
        <f t="shared" si="47"/>
        <v>#VALUE!</v>
      </c>
      <c r="BR67" s="10" t="e">
        <f t="shared" si="48"/>
        <v>#VALUE!</v>
      </c>
      <c r="BS67" s="10" t="e">
        <f t="shared" si="49"/>
        <v>#VALUE!</v>
      </c>
      <c r="BT67" s="10" t="e">
        <f t="shared" si="50"/>
        <v>#VALUE!</v>
      </c>
      <c r="BU67" s="10" t="e">
        <f t="shared" si="51"/>
        <v>#VALUE!</v>
      </c>
      <c r="BW67" s="10" t="e">
        <f t="shared" si="52"/>
        <v>#VALUE!</v>
      </c>
      <c r="BX67" s="10" t="e">
        <f t="shared" si="53"/>
        <v>#VALUE!</v>
      </c>
      <c r="BY67" s="10" t="e">
        <f t="shared" si="54"/>
        <v>#VALUE!</v>
      </c>
      <c r="BZ67" s="10" t="e">
        <f t="shared" si="55"/>
        <v>#VALUE!</v>
      </c>
      <c r="CA67" s="10" t="e">
        <f t="shared" si="56"/>
        <v>#VALUE!</v>
      </c>
      <c r="CB67" s="10" t="e">
        <f t="shared" si="57"/>
        <v>#VALUE!</v>
      </c>
      <c r="CD67" s="10" t="e">
        <f>MATCH(INDEX($BP$12:$BU$12,1,MATCH(BP67,$BP$15:$BU$15,0)),结果汇总!$AI$10:$AI$13,0)</f>
        <v>#VALUE!</v>
      </c>
      <c r="CE67" s="10" t="e">
        <f>MATCH(INDEX($BP$12:$BU$12,1,MATCH(BQ67,$BP$15:$BU$15,0)),结果汇总!$AI$10:$AI$13,0)</f>
        <v>#VALUE!</v>
      </c>
      <c r="CF67" s="10" t="e">
        <f>MATCH(INDEX($BP$12:$BU$12,1,MATCH(BR67,$BP$15:$BU$15,0)),结果汇总!$AI$10:$AI$13,0)</f>
        <v>#VALUE!</v>
      </c>
      <c r="CG67" s="10" t="e">
        <f>MATCH(INDEX($BP$12:$BU$12,1,MATCH(BS67,$BP$15:$BU$15,0)),结果汇总!$AI$10:$AI$13,0)</f>
        <v>#VALUE!</v>
      </c>
      <c r="CH67" s="10" t="e">
        <f>MATCH(INDEX($BP$12:$BU$12,1,MATCH(BT67,$BP$15:$BU$15,0)),结果汇总!$AI$10:$AI$13,0)</f>
        <v>#VALUE!</v>
      </c>
      <c r="CI67" s="10" t="e">
        <f>MATCH(INDEX($BP$12:$BU$12,1,MATCH(BU67,$BP$15:$BU$15,0)),结果汇总!$AI$10:$AI$13,0)</f>
        <v>#VALUE!</v>
      </c>
      <c r="CK67" s="10">
        <f t="shared" si="75"/>
        <v>0</v>
      </c>
      <c r="CL67" s="10">
        <f t="shared" si="75"/>
        <v>0</v>
      </c>
      <c r="CM67" s="10">
        <f t="shared" si="75"/>
        <v>0</v>
      </c>
      <c r="CN67" s="10">
        <f t="shared" si="75"/>
        <v>0</v>
      </c>
      <c r="CO67" s="10">
        <f t="shared" si="76"/>
        <v>0</v>
      </c>
      <c r="CP67" s="10">
        <f t="shared" si="76"/>
        <v>0</v>
      </c>
      <c r="CQ67" s="10">
        <f t="shared" si="76"/>
        <v>0</v>
      </c>
      <c r="CR67" s="10">
        <f t="shared" si="76"/>
        <v>0</v>
      </c>
      <c r="CS67" s="10">
        <f t="shared" si="77"/>
        <v>0</v>
      </c>
      <c r="CT67" s="10">
        <f t="shared" si="77"/>
        <v>0</v>
      </c>
      <c r="CU67" s="10">
        <f t="shared" si="77"/>
        <v>0</v>
      </c>
      <c r="CV67" s="10">
        <f t="shared" si="77"/>
        <v>0</v>
      </c>
      <c r="CW67" s="10">
        <f t="shared" si="78"/>
        <v>0</v>
      </c>
      <c r="CX67" s="10">
        <f t="shared" si="78"/>
        <v>0</v>
      </c>
      <c r="CY67" s="10">
        <f t="shared" si="78"/>
        <v>0</v>
      </c>
      <c r="CZ67" s="10">
        <f t="shared" si="78"/>
        <v>0</v>
      </c>
    </row>
    <row r="68" spans="4:104" x14ac:dyDescent="0.15">
      <c r="D68" s="10">
        <v>53</v>
      </c>
      <c r="E68" s="10" t="e">
        <f t="shared" si="21"/>
        <v>#VALUE!</v>
      </c>
      <c r="F68" s="10" t="e">
        <f t="shared" si="1"/>
        <v>#VALUE!</v>
      </c>
      <c r="G68" s="10" t="e">
        <f t="shared" si="2"/>
        <v>#VALUE!</v>
      </c>
      <c r="H68" s="10" t="e">
        <f t="shared" si="22"/>
        <v>#VALUE!</v>
      </c>
      <c r="I68" s="10" t="e">
        <f t="shared" si="3"/>
        <v>#VALUE!</v>
      </c>
      <c r="J68" s="10" t="e">
        <f t="shared" si="23"/>
        <v>#VALUE!</v>
      </c>
      <c r="K68" s="10" t="e">
        <f t="shared" si="4"/>
        <v>#VALUE!</v>
      </c>
      <c r="L68" s="10" t="e">
        <f t="shared" si="5"/>
        <v>#VALUE!</v>
      </c>
      <c r="M68" s="10" t="e">
        <f t="shared" si="24"/>
        <v>#VALUE!</v>
      </c>
      <c r="O68" s="10" t="e">
        <f t="shared" si="25"/>
        <v>#VALUE!</v>
      </c>
      <c r="P68" s="10" t="e">
        <f t="shared" si="6"/>
        <v>#VALUE!</v>
      </c>
      <c r="Q68" s="10" t="e">
        <f t="shared" si="7"/>
        <v>#VALUE!</v>
      </c>
      <c r="R68" s="10" t="e">
        <f t="shared" si="26"/>
        <v>#VALUE!</v>
      </c>
      <c r="S68" s="10" t="e">
        <f t="shared" si="27"/>
        <v>#VALUE!</v>
      </c>
      <c r="T68" s="10" t="e">
        <f t="shared" si="62"/>
        <v>#VALUE!</v>
      </c>
      <c r="U68" s="10" t="e">
        <f t="shared" si="63"/>
        <v>#VALUE!</v>
      </c>
      <c r="V68" s="10" t="e">
        <f t="shared" si="8"/>
        <v>#VALUE!</v>
      </c>
      <c r="W68" s="10" t="e">
        <f t="shared" si="28"/>
        <v>#VALUE!</v>
      </c>
      <c r="Y68" s="10" t="e">
        <f t="shared" si="29"/>
        <v>#VALUE!</v>
      </c>
      <c r="Z68" s="11" t="e">
        <f t="shared" si="30"/>
        <v>#VALUE!</v>
      </c>
      <c r="AA68" s="10" t="e">
        <f t="shared" si="9"/>
        <v>#VALUE!</v>
      </c>
      <c r="AB68" s="10" t="e">
        <f t="shared" si="31"/>
        <v>#VALUE!</v>
      </c>
      <c r="AC68" s="10" t="e">
        <f t="shared" si="32"/>
        <v>#VALUE!</v>
      </c>
      <c r="AD68" s="10" t="e">
        <f t="shared" si="64"/>
        <v>#VALUE!</v>
      </c>
      <c r="AE68" s="10" t="e">
        <f t="shared" si="65"/>
        <v>#VALUE!</v>
      </c>
      <c r="AF68" s="10" t="e">
        <f t="shared" si="10"/>
        <v>#VALUE!</v>
      </c>
      <c r="AG68" s="10" t="e">
        <f t="shared" si="33"/>
        <v>#VALUE!</v>
      </c>
      <c r="AI68" s="13"/>
      <c r="AK68" s="10" t="e">
        <f t="shared" si="34"/>
        <v>#VALUE!</v>
      </c>
      <c r="AL68" s="10" t="e">
        <f t="shared" si="66"/>
        <v>#VALUE!</v>
      </c>
      <c r="AM68" s="10" t="e">
        <f t="shared" si="11"/>
        <v>#VALUE!</v>
      </c>
      <c r="AN68" s="10" t="e">
        <f t="shared" si="35"/>
        <v>#VALUE!</v>
      </c>
      <c r="AO68" s="10" t="e">
        <f t="shared" si="36"/>
        <v>#VALUE!</v>
      </c>
      <c r="AP68" s="10" t="e">
        <f t="shared" si="37"/>
        <v>#VALUE!</v>
      </c>
      <c r="AQ68" s="10" t="e">
        <f t="shared" si="67"/>
        <v>#VALUE!</v>
      </c>
      <c r="AR68" s="10" t="e">
        <f t="shared" si="12"/>
        <v>#VALUE!</v>
      </c>
      <c r="AS68" s="10" t="e">
        <f t="shared" si="68"/>
        <v>#VALUE!</v>
      </c>
      <c r="AU68" s="10" t="e">
        <f t="shared" si="38"/>
        <v>#VALUE!</v>
      </c>
      <c r="AV68" s="10" t="e">
        <f t="shared" si="69"/>
        <v>#VALUE!</v>
      </c>
      <c r="AW68" s="10" t="e">
        <f t="shared" si="13"/>
        <v>#VALUE!</v>
      </c>
      <c r="AX68" s="10" t="e">
        <f t="shared" si="39"/>
        <v>#VALUE!</v>
      </c>
      <c r="AY68" s="10" t="e">
        <f t="shared" si="40"/>
        <v>#VALUE!</v>
      </c>
      <c r="AZ68" s="10" t="e">
        <f t="shared" si="41"/>
        <v>#VALUE!</v>
      </c>
      <c r="BA68" s="10" t="e">
        <f t="shared" si="70"/>
        <v>#VALUE!</v>
      </c>
      <c r="BB68" s="10" t="e">
        <f t="shared" si="14"/>
        <v>#VALUE!</v>
      </c>
      <c r="BC68" s="10" t="e">
        <f t="shared" si="71"/>
        <v>#VALUE!</v>
      </c>
      <c r="BE68" s="10" t="e">
        <f t="shared" si="42"/>
        <v>#VALUE!</v>
      </c>
      <c r="BF68" s="10" t="e">
        <f t="shared" si="72"/>
        <v>#VALUE!</v>
      </c>
      <c r="BG68" s="10" t="e">
        <f t="shared" si="15"/>
        <v>#VALUE!</v>
      </c>
      <c r="BH68" s="10" t="e">
        <f t="shared" si="43"/>
        <v>#VALUE!</v>
      </c>
      <c r="BI68" s="10" t="e">
        <f t="shared" si="44"/>
        <v>#VALUE!</v>
      </c>
      <c r="BJ68" s="10" t="e">
        <f t="shared" si="45"/>
        <v>#VALUE!</v>
      </c>
      <c r="BK68" s="10" t="e">
        <f t="shared" si="73"/>
        <v>#VALUE!</v>
      </c>
      <c r="BL68" s="10" t="e">
        <f t="shared" si="16"/>
        <v>#VALUE!</v>
      </c>
      <c r="BM68" s="10" t="e">
        <f t="shared" si="74"/>
        <v>#VALUE!</v>
      </c>
      <c r="BP68" s="10" t="e">
        <f t="shared" si="46"/>
        <v>#VALUE!</v>
      </c>
      <c r="BQ68" s="10" t="e">
        <f t="shared" si="47"/>
        <v>#VALUE!</v>
      </c>
      <c r="BR68" s="10" t="e">
        <f t="shared" si="48"/>
        <v>#VALUE!</v>
      </c>
      <c r="BS68" s="10" t="e">
        <f t="shared" si="49"/>
        <v>#VALUE!</v>
      </c>
      <c r="BT68" s="10" t="e">
        <f t="shared" si="50"/>
        <v>#VALUE!</v>
      </c>
      <c r="BU68" s="10" t="e">
        <f t="shared" si="51"/>
        <v>#VALUE!</v>
      </c>
      <c r="BW68" s="10" t="e">
        <f t="shared" si="52"/>
        <v>#VALUE!</v>
      </c>
      <c r="BX68" s="10" t="e">
        <f t="shared" si="53"/>
        <v>#VALUE!</v>
      </c>
      <c r="BY68" s="10" t="e">
        <f t="shared" si="54"/>
        <v>#VALUE!</v>
      </c>
      <c r="BZ68" s="10" t="e">
        <f t="shared" si="55"/>
        <v>#VALUE!</v>
      </c>
      <c r="CA68" s="10" t="e">
        <f t="shared" si="56"/>
        <v>#VALUE!</v>
      </c>
      <c r="CB68" s="10" t="e">
        <f t="shared" si="57"/>
        <v>#VALUE!</v>
      </c>
      <c r="CD68" s="10" t="e">
        <f>MATCH(INDEX($BP$12:$BU$12,1,MATCH(BP68,$BP$15:$BU$15,0)),结果汇总!$AI$10:$AI$13,0)</f>
        <v>#VALUE!</v>
      </c>
      <c r="CE68" s="10" t="e">
        <f>MATCH(INDEX($BP$12:$BU$12,1,MATCH(BQ68,$BP$15:$BU$15,0)),结果汇总!$AI$10:$AI$13,0)</f>
        <v>#VALUE!</v>
      </c>
      <c r="CF68" s="10" t="e">
        <f>MATCH(INDEX($BP$12:$BU$12,1,MATCH(BR68,$BP$15:$BU$15,0)),结果汇总!$AI$10:$AI$13,0)</f>
        <v>#VALUE!</v>
      </c>
      <c r="CG68" s="10" t="e">
        <f>MATCH(INDEX($BP$12:$BU$12,1,MATCH(BS68,$BP$15:$BU$15,0)),结果汇总!$AI$10:$AI$13,0)</f>
        <v>#VALUE!</v>
      </c>
      <c r="CH68" s="10" t="e">
        <f>MATCH(INDEX($BP$12:$BU$12,1,MATCH(BT68,$BP$15:$BU$15,0)),结果汇总!$AI$10:$AI$13,0)</f>
        <v>#VALUE!</v>
      </c>
      <c r="CI68" s="10" t="e">
        <f>MATCH(INDEX($BP$12:$BU$12,1,MATCH(BU68,$BP$15:$BU$15,0)),结果汇总!$AI$10:$AI$13,0)</f>
        <v>#VALUE!</v>
      </c>
      <c r="CK68" s="10">
        <f t="shared" si="75"/>
        <v>0</v>
      </c>
      <c r="CL68" s="10">
        <f t="shared" si="75"/>
        <v>0</v>
      </c>
      <c r="CM68" s="10">
        <f t="shared" si="75"/>
        <v>0</v>
      </c>
      <c r="CN68" s="10">
        <f t="shared" si="75"/>
        <v>0</v>
      </c>
      <c r="CO68" s="10">
        <f t="shared" si="76"/>
        <v>0</v>
      </c>
      <c r="CP68" s="10">
        <f t="shared" si="76"/>
        <v>0</v>
      </c>
      <c r="CQ68" s="10">
        <f t="shared" si="76"/>
        <v>0</v>
      </c>
      <c r="CR68" s="10">
        <f t="shared" si="76"/>
        <v>0</v>
      </c>
      <c r="CS68" s="10">
        <f t="shared" si="77"/>
        <v>0</v>
      </c>
      <c r="CT68" s="10">
        <f t="shared" si="77"/>
        <v>0</v>
      </c>
      <c r="CU68" s="10">
        <f t="shared" si="77"/>
        <v>0</v>
      </c>
      <c r="CV68" s="10">
        <f t="shared" si="77"/>
        <v>0</v>
      </c>
      <c r="CW68" s="10">
        <f t="shared" si="78"/>
        <v>0</v>
      </c>
      <c r="CX68" s="10">
        <f t="shared" si="78"/>
        <v>0</v>
      </c>
      <c r="CY68" s="10">
        <f t="shared" si="78"/>
        <v>0</v>
      </c>
      <c r="CZ68" s="10">
        <f t="shared" si="78"/>
        <v>0</v>
      </c>
    </row>
    <row r="69" spans="4:104" x14ac:dyDescent="0.15">
      <c r="D69" s="10">
        <v>54</v>
      </c>
      <c r="E69" s="10" t="e">
        <f t="shared" si="21"/>
        <v>#VALUE!</v>
      </c>
      <c r="F69" s="10" t="e">
        <f t="shared" si="1"/>
        <v>#VALUE!</v>
      </c>
      <c r="G69" s="10" t="e">
        <f t="shared" si="2"/>
        <v>#VALUE!</v>
      </c>
      <c r="H69" s="10" t="e">
        <f t="shared" si="22"/>
        <v>#VALUE!</v>
      </c>
      <c r="I69" s="10" t="e">
        <f t="shared" si="3"/>
        <v>#VALUE!</v>
      </c>
      <c r="J69" s="10" t="e">
        <f t="shared" si="23"/>
        <v>#VALUE!</v>
      </c>
      <c r="K69" s="10" t="e">
        <f t="shared" si="4"/>
        <v>#VALUE!</v>
      </c>
      <c r="L69" s="10" t="e">
        <f t="shared" si="5"/>
        <v>#VALUE!</v>
      </c>
      <c r="M69" s="10" t="e">
        <f t="shared" si="24"/>
        <v>#VALUE!</v>
      </c>
      <c r="O69" s="10" t="e">
        <f t="shared" si="25"/>
        <v>#VALUE!</v>
      </c>
      <c r="P69" s="10" t="e">
        <f t="shared" si="6"/>
        <v>#VALUE!</v>
      </c>
      <c r="Q69" s="10" t="e">
        <f t="shared" si="7"/>
        <v>#VALUE!</v>
      </c>
      <c r="R69" s="10" t="e">
        <f t="shared" si="26"/>
        <v>#VALUE!</v>
      </c>
      <c r="S69" s="10" t="e">
        <f t="shared" si="27"/>
        <v>#VALUE!</v>
      </c>
      <c r="T69" s="10" t="e">
        <f t="shared" si="62"/>
        <v>#VALUE!</v>
      </c>
      <c r="U69" s="10" t="e">
        <f t="shared" si="63"/>
        <v>#VALUE!</v>
      </c>
      <c r="V69" s="10" t="e">
        <f t="shared" si="8"/>
        <v>#VALUE!</v>
      </c>
      <c r="W69" s="10" t="e">
        <f t="shared" si="28"/>
        <v>#VALUE!</v>
      </c>
      <c r="Y69" s="10" t="e">
        <f t="shared" si="29"/>
        <v>#VALUE!</v>
      </c>
      <c r="Z69" s="11" t="e">
        <f t="shared" si="30"/>
        <v>#VALUE!</v>
      </c>
      <c r="AA69" s="10" t="e">
        <f t="shared" si="9"/>
        <v>#VALUE!</v>
      </c>
      <c r="AB69" s="10" t="e">
        <f t="shared" si="31"/>
        <v>#VALUE!</v>
      </c>
      <c r="AC69" s="10" t="e">
        <f t="shared" si="32"/>
        <v>#VALUE!</v>
      </c>
      <c r="AD69" s="10" t="e">
        <f t="shared" si="64"/>
        <v>#VALUE!</v>
      </c>
      <c r="AE69" s="10" t="e">
        <f t="shared" si="65"/>
        <v>#VALUE!</v>
      </c>
      <c r="AF69" s="10" t="e">
        <f t="shared" si="10"/>
        <v>#VALUE!</v>
      </c>
      <c r="AG69" s="10" t="e">
        <f t="shared" si="33"/>
        <v>#VALUE!</v>
      </c>
      <c r="AI69" s="13"/>
      <c r="AK69" s="10" t="e">
        <f t="shared" si="34"/>
        <v>#VALUE!</v>
      </c>
      <c r="AL69" s="10" t="e">
        <f t="shared" si="66"/>
        <v>#VALUE!</v>
      </c>
      <c r="AM69" s="10" t="e">
        <f t="shared" si="11"/>
        <v>#VALUE!</v>
      </c>
      <c r="AN69" s="10" t="e">
        <f t="shared" si="35"/>
        <v>#VALUE!</v>
      </c>
      <c r="AO69" s="10" t="e">
        <f t="shared" si="36"/>
        <v>#VALUE!</v>
      </c>
      <c r="AP69" s="10" t="e">
        <f t="shared" si="37"/>
        <v>#VALUE!</v>
      </c>
      <c r="AQ69" s="10" t="e">
        <f t="shared" si="67"/>
        <v>#VALUE!</v>
      </c>
      <c r="AR69" s="10" t="e">
        <f t="shared" si="12"/>
        <v>#VALUE!</v>
      </c>
      <c r="AS69" s="10" t="e">
        <f t="shared" si="68"/>
        <v>#VALUE!</v>
      </c>
      <c r="AU69" s="10" t="e">
        <f t="shared" si="38"/>
        <v>#VALUE!</v>
      </c>
      <c r="AV69" s="10" t="e">
        <f t="shared" si="69"/>
        <v>#VALUE!</v>
      </c>
      <c r="AW69" s="10" t="e">
        <f t="shared" si="13"/>
        <v>#VALUE!</v>
      </c>
      <c r="AX69" s="10" t="e">
        <f t="shared" si="39"/>
        <v>#VALUE!</v>
      </c>
      <c r="AY69" s="10" t="e">
        <f t="shared" si="40"/>
        <v>#VALUE!</v>
      </c>
      <c r="AZ69" s="10" t="e">
        <f t="shared" si="41"/>
        <v>#VALUE!</v>
      </c>
      <c r="BA69" s="10" t="e">
        <f t="shared" si="70"/>
        <v>#VALUE!</v>
      </c>
      <c r="BB69" s="10" t="e">
        <f t="shared" si="14"/>
        <v>#VALUE!</v>
      </c>
      <c r="BC69" s="10" t="e">
        <f t="shared" si="71"/>
        <v>#VALUE!</v>
      </c>
      <c r="BE69" s="10" t="e">
        <f t="shared" si="42"/>
        <v>#VALUE!</v>
      </c>
      <c r="BF69" s="10" t="e">
        <f t="shared" si="72"/>
        <v>#VALUE!</v>
      </c>
      <c r="BG69" s="10" t="e">
        <f t="shared" si="15"/>
        <v>#VALUE!</v>
      </c>
      <c r="BH69" s="10" t="e">
        <f t="shared" si="43"/>
        <v>#VALUE!</v>
      </c>
      <c r="BI69" s="10" t="e">
        <f t="shared" si="44"/>
        <v>#VALUE!</v>
      </c>
      <c r="BJ69" s="10" t="e">
        <f t="shared" si="45"/>
        <v>#VALUE!</v>
      </c>
      <c r="BK69" s="10" t="e">
        <f t="shared" si="73"/>
        <v>#VALUE!</v>
      </c>
      <c r="BL69" s="10" t="e">
        <f t="shared" si="16"/>
        <v>#VALUE!</v>
      </c>
      <c r="BM69" s="10" t="e">
        <f t="shared" si="74"/>
        <v>#VALUE!</v>
      </c>
      <c r="BP69" s="10" t="e">
        <f t="shared" si="46"/>
        <v>#VALUE!</v>
      </c>
      <c r="BQ69" s="10" t="e">
        <f t="shared" si="47"/>
        <v>#VALUE!</v>
      </c>
      <c r="BR69" s="10" t="e">
        <f t="shared" si="48"/>
        <v>#VALUE!</v>
      </c>
      <c r="BS69" s="10" t="e">
        <f t="shared" si="49"/>
        <v>#VALUE!</v>
      </c>
      <c r="BT69" s="10" t="e">
        <f t="shared" si="50"/>
        <v>#VALUE!</v>
      </c>
      <c r="BU69" s="10" t="e">
        <f t="shared" si="51"/>
        <v>#VALUE!</v>
      </c>
      <c r="BW69" s="10" t="e">
        <f t="shared" si="52"/>
        <v>#VALUE!</v>
      </c>
      <c r="BX69" s="10" t="e">
        <f t="shared" si="53"/>
        <v>#VALUE!</v>
      </c>
      <c r="BY69" s="10" t="e">
        <f t="shared" si="54"/>
        <v>#VALUE!</v>
      </c>
      <c r="BZ69" s="10" t="e">
        <f t="shared" si="55"/>
        <v>#VALUE!</v>
      </c>
      <c r="CA69" s="10" t="e">
        <f t="shared" si="56"/>
        <v>#VALUE!</v>
      </c>
      <c r="CB69" s="10" t="e">
        <f t="shared" si="57"/>
        <v>#VALUE!</v>
      </c>
      <c r="CD69" s="10" t="e">
        <f>MATCH(INDEX($BP$12:$BU$12,1,MATCH(BP69,$BP$15:$BU$15,0)),结果汇总!$AI$10:$AI$13,0)</f>
        <v>#VALUE!</v>
      </c>
      <c r="CE69" s="10" t="e">
        <f>MATCH(INDEX($BP$12:$BU$12,1,MATCH(BQ69,$BP$15:$BU$15,0)),结果汇总!$AI$10:$AI$13,0)</f>
        <v>#VALUE!</v>
      </c>
      <c r="CF69" s="10" t="e">
        <f>MATCH(INDEX($BP$12:$BU$12,1,MATCH(BR69,$BP$15:$BU$15,0)),结果汇总!$AI$10:$AI$13,0)</f>
        <v>#VALUE!</v>
      </c>
      <c r="CG69" s="10" t="e">
        <f>MATCH(INDEX($BP$12:$BU$12,1,MATCH(BS69,$BP$15:$BU$15,0)),结果汇总!$AI$10:$AI$13,0)</f>
        <v>#VALUE!</v>
      </c>
      <c r="CH69" s="10" t="e">
        <f>MATCH(INDEX($BP$12:$BU$12,1,MATCH(BT69,$BP$15:$BU$15,0)),结果汇总!$AI$10:$AI$13,0)</f>
        <v>#VALUE!</v>
      </c>
      <c r="CI69" s="10" t="e">
        <f>MATCH(INDEX($BP$12:$BU$12,1,MATCH(BU69,$BP$15:$BU$15,0)),结果汇总!$AI$10:$AI$13,0)</f>
        <v>#VALUE!</v>
      </c>
      <c r="CK69" s="10">
        <f t="shared" si="75"/>
        <v>0</v>
      </c>
      <c r="CL69" s="10">
        <f t="shared" si="75"/>
        <v>0</v>
      </c>
      <c r="CM69" s="10">
        <f t="shared" si="75"/>
        <v>0</v>
      </c>
      <c r="CN69" s="10">
        <f t="shared" si="75"/>
        <v>0</v>
      </c>
      <c r="CO69" s="10">
        <f t="shared" si="76"/>
        <v>0</v>
      </c>
      <c r="CP69" s="10">
        <f t="shared" si="76"/>
        <v>0</v>
      </c>
      <c r="CQ69" s="10">
        <f t="shared" si="76"/>
        <v>0</v>
      </c>
      <c r="CR69" s="10">
        <f t="shared" si="76"/>
        <v>0</v>
      </c>
      <c r="CS69" s="10">
        <f t="shared" si="77"/>
        <v>0</v>
      </c>
      <c r="CT69" s="10">
        <f t="shared" si="77"/>
        <v>0</v>
      </c>
      <c r="CU69" s="10">
        <f t="shared" si="77"/>
        <v>0</v>
      </c>
      <c r="CV69" s="10">
        <f t="shared" si="77"/>
        <v>0</v>
      </c>
      <c r="CW69" s="10">
        <f t="shared" si="78"/>
        <v>0</v>
      </c>
      <c r="CX69" s="10">
        <f t="shared" si="78"/>
        <v>0</v>
      </c>
      <c r="CY69" s="10">
        <f t="shared" si="78"/>
        <v>0</v>
      </c>
      <c r="CZ69" s="10">
        <f t="shared" si="78"/>
        <v>0</v>
      </c>
    </row>
    <row r="70" spans="4:104" x14ac:dyDescent="0.15">
      <c r="D70" s="10">
        <v>55</v>
      </c>
      <c r="E70" s="10" t="e">
        <f t="shared" si="21"/>
        <v>#VALUE!</v>
      </c>
      <c r="F70" s="10" t="e">
        <f t="shared" si="1"/>
        <v>#VALUE!</v>
      </c>
      <c r="G70" s="10" t="e">
        <f t="shared" si="2"/>
        <v>#VALUE!</v>
      </c>
      <c r="H70" s="10" t="e">
        <f t="shared" si="22"/>
        <v>#VALUE!</v>
      </c>
      <c r="I70" s="10" t="e">
        <f t="shared" si="3"/>
        <v>#VALUE!</v>
      </c>
      <c r="J70" s="10" t="e">
        <f t="shared" si="23"/>
        <v>#VALUE!</v>
      </c>
      <c r="K70" s="10" t="e">
        <f t="shared" si="4"/>
        <v>#VALUE!</v>
      </c>
      <c r="L70" s="10" t="e">
        <f t="shared" si="5"/>
        <v>#VALUE!</v>
      </c>
      <c r="M70" s="10" t="e">
        <f t="shared" si="24"/>
        <v>#VALUE!</v>
      </c>
      <c r="O70" s="10" t="e">
        <f t="shared" si="25"/>
        <v>#VALUE!</v>
      </c>
      <c r="P70" s="10" t="e">
        <f t="shared" si="6"/>
        <v>#VALUE!</v>
      </c>
      <c r="Q70" s="10" t="e">
        <f t="shared" si="7"/>
        <v>#VALUE!</v>
      </c>
      <c r="R70" s="10" t="e">
        <f t="shared" si="26"/>
        <v>#VALUE!</v>
      </c>
      <c r="S70" s="10" t="e">
        <f t="shared" si="27"/>
        <v>#VALUE!</v>
      </c>
      <c r="T70" s="10" t="e">
        <f t="shared" si="62"/>
        <v>#VALUE!</v>
      </c>
      <c r="U70" s="10" t="e">
        <f t="shared" si="63"/>
        <v>#VALUE!</v>
      </c>
      <c r="V70" s="10" t="e">
        <f t="shared" si="8"/>
        <v>#VALUE!</v>
      </c>
      <c r="W70" s="10" t="e">
        <f t="shared" si="28"/>
        <v>#VALUE!</v>
      </c>
      <c r="Y70" s="10" t="e">
        <f t="shared" si="29"/>
        <v>#VALUE!</v>
      </c>
      <c r="Z70" s="11" t="e">
        <f t="shared" si="30"/>
        <v>#VALUE!</v>
      </c>
      <c r="AA70" s="10" t="e">
        <f t="shared" si="9"/>
        <v>#VALUE!</v>
      </c>
      <c r="AB70" s="10" t="e">
        <f t="shared" si="31"/>
        <v>#VALUE!</v>
      </c>
      <c r="AC70" s="10" t="e">
        <f t="shared" si="32"/>
        <v>#VALUE!</v>
      </c>
      <c r="AD70" s="10" t="e">
        <f t="shared" si="64"/>
        <v>#VALUE!</v>
      </c>
      <c r="AE70" s="10" t="e">
        <f t="shared" si="65"/>
        <v>#VALUE!</v>
      </c>
      <c r="AF70" s="10" t="e">
        <f t="shared" si="10"/>
        <v>#VALUE!</v>
      </c>
      <c r="AG70" s="10" t="e">
        <f t="shared" si="33"/>
        <v>#VALUE!</v>
      </c>
      <c r="AI70" s="13"/>
      <c r="AK70" s="10" t="e">
        <f t="shared" si="34"/>
        <v>#VALUE!</v>
      </c>
      <c r="AL70" s="10" t="e">
        <f t="shared" si="66"/>
        <v>#VALUE!</v>
      </c>
      <c r="AM70" s="10" t="e">
        <f t="shared" si="11"/>
        <v>#VALUE!</v>
      </c>
      <c r="AN70" s="10" t="e">
        <f t="shared" si="35"/>
        <v>#VALUE!</v>
      </c>
      <c r="AO70" s="10" t="e">
        <f t="shared" si="36"/>
        <v>#VALUE!</v>
      </c>
      <c r="AP70" s="10" t="e">
        <f t="shared" si="37"/>
        <v>#VALUE!</v>
      </c>
      <c r="AQ70" s="10" t="e">
        <f t="shared" si="67"/>
        <v>#VALUE!</v>
      </c>
      <c r="AR70" s="10" t="e">
        <f t="shared" si="12"/>
        <v>#VALUE!</v>
      </c>
      <c r="AS70" s="10" t="e">
        <f t="shared" si="68"/>
        <v>#VALUE!</v>
      </c>
      <c r="AU70" s="10" t="e">
        <f t="shared" si="38"/>
        <v>#VALUE!</v>
      </c>
      <c r="AV70" s="10" t="e">
        <f t="shared" si="69"/>
        <v>#VALUE!</v>
      </c>
      <c r="AW70" s="10" t="e">
        <f t="shared" si="13"/>
        <v>#VALUE!</v>
      </c>
      <c r="AX70" s="10" t="e">
        <f t="shared" si="39"/>
        <v>#VALUE!</v>
      </c>
      <c r="AY70" s="10" t="e">
        <f t="shared" si="40"/>
        <v>#VALUE!</v>
      </c>
      <c r="AZ70" s="10" t="e">
        <f t="shared" si="41"/>
        <v>#VALUE!</v>
      </c>
      <c r="BA70" s="10" t="e">
        <f t="shared" si="70"/>
        <v>#VALUE!</v>
      </c>
      <c r="BB70" s="10" t="e">
        <f t="shared" si="14"/>
        <v>#VALUE!</v>
      </c>
      <c r="BC70" s="10" t="e">
        <f t="shared" si="71"/>
        <v>#VALUE!</v>
      </c>
      <c r="BE70" s="10" t="e">
        <f t="shared" si="42"/>
        <v>#VALUE!</v>
      </c>
      <c r="BF70" s="10" t="e">
        <f t="shared" si="72"/>
        <v>#VALUE!</v>
      </c>
      <c r="BG70" s="10" t="e">
        <f t="shared" si="15"/>
        <v>#VALUE!</v>
      </c>
      <c r="BH70" s="10" t="e">
        <f t="shared" si="43"/>
        <v>#VALUE!</v>
      </c>
      <c r="BI70" s="10" t="e">
        <f t="shared" si="44"/>
        <v>#VALUE!</v>
      </c>
      <c r="BJ70" s="10" t="e">
        <f t="shared" si="45"/>
        <v>#VALUE!</v>
      </c>
      <c r="BK70" s="10" t="e">
        <f t="shared" si="73"/>
        <v>#VALUE!</v>
      </c>
      <c r="BL70" s="10" t="e">
        <f t="shared" si="16"/>
        <v>#VALUE!</v>
      </c>
      <c r="BM70" s="10" t="e">
        <f t="shared" si="74"/>
        <v>#VALUE!</v>
      </c>
      <c r="BP70" s="10" t="e">
        <f t="shared" si="46"/>
        <v>#VALUE!</v>
      </c>
      <c r="BQ70" s="10" t="e">
        <f t="shared" si="47"/>
        <v>#VALUE!</v>
      </c>
      <c r="BR70" s="10" t="e">
        <f t="shared" si="48"/>
        <v>#VALUE!</v>
      </c>
      <c r="BS70" s="10" t="e">
        <f t="shared" si="49"/>
        <v>#VALUE!</v>
      </c>
      <c r="BT70" s="10" t="e">
        <f t="shared" si="50"/>
        <v>#VALUE!</v>
      </c>
      <c r="BU70" s="10" t="e">
        <f t="shared" si="51"/>
        <v>#VALUE!</v>
      </c>
      <c r="BW70" s="10" t="e">
        <f t="shared" si="52"/>
        <v>#VALUE!</v>
      </c>
      <c r="BX70" s="10" t="e">
        <f t="shared" si="53"/>
        <v>#VALUE!</v>
      </c>
      <c r="BY70" s="10" t="e">
        <f t="shared" si="54"/>
        <v>#VALUE!</v>
      </c>
      <c r="BZ70" s="10" t="e">
        <f t="shared" si="55"/>
        <v>#VALUE!</v>
      </c>
      <c r="CA70" s="10" t="e">
        <f t="shared" si="56"/>
        <v>#VALUE!</v>
      </c>
      <c r="CB70" s="10" t="e">
        <f t="shared" si="57"/>
        <v>#VALUE!</v>
      </c>
      <c r="CD70" s="10" t="e">
        <f>MATCH(INDEX($BP$12:$BU$12,1,MATCH(BP70,$BP$15:$BU$15,0)),结果汇总!$AI$10:$AI$13,0)</f>
        <v>#VALUE!</v>
      </c>
      <c r="CE70" s="10" t="e">
        <f>MATCH(INDEX($BP$12:$BU$12,1,MATCH(BQ70,$BP$15:$BU$15,0)),结果汇总!$AI$10:$AI$13,0)</f>
        <v>#VALUE!</v>
      </c>
      <c r="CF70" s="10" t="e">
        <f>MATCH(INDEX($BP$12:$BU$12,1,MATCH(BR70,$BP$15:$BU$15,0)),结果汇总!$AI$10:$AI$13,0)</f>
        <v>#VALUE!</v>
      </c>
      <c r="CG70" s="10" t="e">
        <f>MATCH(INDEX($BP$12:$BU$12,1,MATCH(BS70,$BP$15:$BU$15,0)),结果汇总!$AI$10:$AI$13,0)</f>
        <v>#VALUE!</v>
      </c>
      <c r="CH70" s="10" t="e">
        <f>MATCH(INDEX($BP$12:$BU$12,1,MATCH(BT70,$BP$15:$BU$15,0)),结果汇总!$AI$10:$AI$13,0)</f>
        <v>#VALUE!</v>
      </c>
      <c r="CI70" s="10" t="e">
        <f>MATCH(INDEX($BP$12:$BU$12,1,MATCH(BU70,$BP$15:$BU$15,0)),结果汇总!$AI$10:$AI$13,0)</f>
        <v>#VALUE!</v>
      </c>
      <c r="CK70" s="10">
        <f t="shared" si="75"/>
        <v>0</v>
      </c>
      <c r="CL70" s="10">
        <f t="shared" si="75"/>
        <v>0</v>
      </c>
      <c r="CM70" s="10">
        <f t="shared" si="75"/>
        <v>0</v>
      </c>
      <c r="CN70" s="10">
        <f t="shared" si="75"/>
        <v>0</v>
      </c>
      <c r="CO70" s="10">
        <f t="shared" si="76"/>
        <v>0</v>
      </c>
      <c r="CP70" s="10">
        <f t="shared" si="76"/>
        <v>0</v>
      </c>
      <c r="CQ70" s="10">
        <f t="shared" si="76"/>
        <v>0</v>
      </c>
      <c r="CR70" s="10">
        <f t="shared" si="76"/>
        <v>0</v>
      </c>
      <c r="CS70" s="10">
        <f t="shared" si="77"/>
        <v>0</v>
      </c>
      <c r="CT70" s="10">
        <f t="shared" si="77"/>
        <v>0</v>
      </c>
      <c r="CU70" s="10">
        <f t="shared" si="77"/>
        <v>0</v>
      </c>
      <c r="CV70" s="10">
        <f t="shared" si="77"/>
        <v>0</v>
      </c>
      <c r="CW70" s="10">
        <f t="shared" si="78"/>
        <v>0</v>
      </c>
      <c r="CX70" s="10">
        <f t="shared" si="78"/>
        <v>0</v>
      </c>
      <c r="CY70" s="10">
        <f t="shared" si="78"/>
        <v>0</v>
      </c>
      <c r="CZ70" s="10">
        <f t="shared" si="78"/>
        <v>0</v>
      </c>
    </row>
    <row r="71" spans="4:104" x14ac:dyDescent="0.15">
      <c r="D71" s="10">
        <v>56</v>
      </c>
      <c r="E71" s="10" t="e">
        <f t="shared" si="21"/>
        <v>#VALUE!</v>
      </c>
      <c r="F71" s="10" t="e">
        <f t="shared" si="1"/>
        <v>#VALUE!</v>
      </c>
      <c r="G71" s="10" t="e">
        <f t="shared" si="2"/>
        <v>#VALUE!</v>
      </c>
      <c r="H71" s="10" t="e">
        <f t="shared" si="22"/>
        <v>#VALUE!</v>
      </c>
      <c r="I71" s="10" t="e">
        <f t="shared" si="3"/>
        <v>#VALUE!</v>
      </c>
      <c r="J71" s="10" t="e">
        <f t="shared" si="23"/>
        <v>#VALUE!</v>
      </c>
      <c r="K71" s="10" t="e">
        <f t="shared" si="4"/>
        <v>#VALUE!</v>
      </c>
      <c r="L71" s="10" t="e">
        <f t="shared" si="5"/>
        <v>#VALUE!</v>
      </c>
      <c r="M71" s="10" t="e">
        <f t="shared" si="24"/>
        <v>#VALUE!</v>
      </c>
      <c r="O71" s="10" t="e">
        <f t="shared" si="25"/>
        <v>#VALUE!</v>
      </c>
      <c r="P71" s="10" t="e">
        <f t="shared" si="6"/>
        <v>#VALUE!</v>
      </c>
      <c r="Q71" s="10" t="e">
        <f t="shared" si="7"/>
        <v>#VALUE!</v>
      </c>
      <c r="R71" s="10" t="e">
        <f t="shared" si="26"/>
        <v>#VALUE!</v>
      </c>
      <c r="S71" s="10" t="e">
        <f t="shared" si="27"/>
        <v>#VALUE!</v>
      </c>
      <c r="T71" s="10" t="e">
        <f t="shared" si="62"/>
        <v>#VALUE!</v>
      </c>
      <c r="U71" s="10" t="e">
        <f t="shared" si="63"/>
        <v>#VALUE!</v>
      </c>
      <c r="V71" s="10" t="e">
        <f t="shared" si="8"/>
        <v>#VALUE!</v>
      </c>
      <c r="W71" s="10" t="e">
        <f t="shared" si="28"/>
        <v>#VALUE!</v>
      </c>
      <c r="Y71" s="10" t="e">
        <f t="shared" si="29"/>
        <v>#VALUE!</v>
      </c>
      <c r="Z71" s="11" t="e">
        <f t="shared" si="30"/>
        <v>#VALUE!</v>
      </c>
      <c r="AA71" s="10" t="e">
        <f t="shared" si="9"/>
        <v>#VALUE!</v>
      </c>
      <c r="AB71" s="10" t="e">
        <f t="shared" si="31"/>
        <v>#VALUE!</v>
      </c>
      <c r="AC71" s="10" t="e">
        <f t="shared" si="32"/>
        <v>#VALUE!</v>
      </c>
      <c r="AD71" s="10" t="e">
        <f t="shared" si="64"/>
        <v>#VALUE!</v>
      </c>
      <c r="AE71" s="10" t="e">
        <f t="shared" si="65"/>
        <v>#VALUE!</v>
      </c>
      <c r="AF71" s="10" t="e">
        <f t="shared" si="10"/>
        <v>#VALUE!</v>
      </c>
      <c r="AG71" s="10" t="e">
        <f t="shared" si="33"/>
        <v>#VALUE!</v>
      </c>
      <c r="AI71" s="13"/>
      <c r="AK71" s="10" t="e">
        <f t="shared" si="34"/>
        <v>#VALUE!</v>
      </c>
      <c r="AL71" s="10" t="e">
        <f t="shared" si="66"/>
        <v>#VALUE!</v>
      </c>
      <c r="AM71" s="10" t="e">
        <f t="shared" si="11"/>
        <v>#VALUE!</v>
      </c>
      <c r="AN71" s="10" t="e">
        <f t="shared" si="35"/>
        <v>#VALUE!</v>
      </c>
      <c r="AO71" s="10" t="e">
        <f t="shared" si="36"/>
        <v>#VALUE!</v>
      </c>
      <c r="AP71" s="10" t="e">
        <f t="shared" si="37"/>
        <v>#VALUE!</v>
      </c>
      <c r="AQ71" s="10" t="e">
        <f t="shared" si="67"/>
        <v>#VALUE!</v>
      </c>
      <c r="AR71" s="10" t="e">
        <f t="shared" si="12"/>
        <v>#VALUE!</v>
      </c>
      <c r="AS71" s="10" t="e">
        <f t="shared" si="68"/>
        <v>#VALUE!</v>
      </c>
      <c r="AU71" s="10" t="e">
        <f t="shared" si="38"/>
        <v>#VALUE!</v>
      </c>
      <c r="AV71" s="10" t="e">
        <f t="shared" si="69"/>
        <v>#VALUE!</v>
      </c>
      <c r="AW71" s="10" t="e">
        <f t="shared" si="13"/>
        <v>#VALUE!</v>
      </c>
      <c r="AX71" s="10" t="e">
        <f t="shared" si="39"/>
        <v>#VALUE!</v>
      </c>
      <c r="AY71" s="10" t="e">
        <f t="shared" si="40"/>
        <v>#VALUE!</v>
      </c>
      <c r="AZ71" s="10" t="e">
        <f t="shared" si="41"/>
        <v>#VALUE!</v>
      </c>
      <c r="BA71" s="10" t="e">
        <f t="shared" si="70"/>
        <v>#VALUE!</v>
      </c>
      <c r="BB71" s="10" t="e">
        <f t="shared" si="14"/>
        <v>#VALUE!</v>
      </c>
      <c r="BC71" s="10" t="e">
        <f t="shared" si="71"/>
        <v>#VALUE!</v>
      </c>
      <c r="BE71" s="10" t="e">
        <f t="shared" si="42"/>
        <v>#VALUE!</v>
      </c>
      <c r="BF71" s="10" t="e">
        <f t="shared" si="72"/>
        <v>#VALUE!</v>
      </c>
      <c r="BG71" s="10" t="e">
        <f t="shared" si="15"/>
        <v>#VALUE!</v>
      </c>
      <c r="BH71" s="10" t="e">
        <f t="shared" si="43"/>
        <v>#VALUE!</v>
      </c>
      <c r="BI71" s="10" t="e">
        <f t="shared" si="44"/>
        <v>#VALUE!</v>
      </c>
      <c r="BJ71" s="10" t="e">
        <f t="shared" si="45"/>
        <v>#VALUE!</v>
      </c>
      <c r="BK71" s="10" t="e">
        <f t="shared" si="73"/>
        <v>#VALUE!</v>
      </c>
      <c r="BL71" s="10" t="e">
        <f t="shared" si="16"/>
        <v>#VALUE!</v>
      </c>
      <c r="BM71" s="10" t="e">
        <f t="shared" si="74"/>
        <v>#VALUE!</v>
      </c>
      <c r="BP71" s="10" t="e">
        <f t="shared" si="46"/>
        <v>#VALUE!</v>
      </c>
      <c r="BQ71" s="10" t="e">
        <f t="shared" si="47"/>
        <v>#VALUE!</v>
      </c>
      <c r="BR71" s="10" t="e">
        <f t="shared" si="48"/>
        <v>#VALUE!</v>
      </c>
      <c r="BS71" s="10" t="e">
        <f t="shared" si="49"/>
        <v>#VALUE!</v>
      </c>
      <c r="BT71" s="10" t="e">
        <f t="shared" si="50"/>
        <v>#VALUE!</v>
      </c>
      <c r="BU71" s="10" t="e">
        <f t="shared" si="51"/>
        <v>#VALUE!</v>
      </c>
      <c r="BW71" s="10" t="e">
        <f t="shared" si="52"/>
        <v>#VALUE!</v>
      </c>
      <c r="BX71" s="10" t="e">
        <f t="shared" si="53"/>
        <v>#VALUE!</v>
      </c>
      <c r="BY71" s="10" t="e">
        <f t="shared" si="54"/>
        <v>#VALUE!</v>
      </c>
      <c r="BZ71" s="10" t="e">
        <f t="shared" si="55"/>
        <v>#VALUE!</v>
      </c>
      <c r="CA71" s="10" t="e">
        <f t="shared" si="56"/>
        <v>#VALUE!</v>
      </c>
      <c r="CB71" s="10" t="e">
        <f t="shared" si="57"/>
        <v>#VALUE!</v>
      </c>
      <c r="CD71" s="10" t="e">
        <f>MATCH(INDEX($BP$12:$BU$12,1,MATCH(BP71,$BP$15:$BU$15,0)),结果汇总!$AI$10:$AI$13,0)</f>
        <v>#VALUE!</v>
      </c>
      <c r="CE71" s="10" t="e">
        <f>MATCH(INDEX($BP$12:$BU$12,1,MATCH(BQ71,$BP$15:$BU$15,0)),结果汇总!$AI$10:$AI$13,0)</f>
        <v>#VALUE!</v>
      </c>
      <c r="CF71" s="10" t="e">
        <f>MATCH(INDEX($BP$12:$BU$12,1,MATCH(BR71,$BP$15:$BU$15,0)),结果汇总!$AI$10:$AI$13,0)</f>
        <v>#VALUE!</v>
      </c>
      <c r="CG71" s="10" t="e">
        <f>MATCH(INDEX($BP$12:$BU$12,1,MATCH(BS71,$BP$15:$BU$15,0)),结果汇总!$AI$10:$AI$13,0)</f>
        <v>#VALUE!</v>
      </c>
      <c r="CH71" s="10" t="e">
        <f>MATCH(INDEX($BP$12:$BU$12,1,MATCH(BT71,$BP$15:$BU$15,0)),结果汇总!$AI$10:$AI$13,0)</f>
        <v>#VALUE!</v>
      </c>
      <c r="CI71" s="10" t="e">
        <f>MATCH(INDEX($BP$12:$BU$12,1,MATCH(BU71,$BP$15:$BU$15,0)),结果汇总!$AI$10:$AI$13,0)</f>
        <v>#VALUE!</v>
      </c>
      <c r="CK71" s="10">
        <f t="shared" si="75"/>
        <v>0</v>
      </c>
      <c r="CL71" s="10">
        <f t="shared" si="75"/>
        <v>0</v>
      </c>
      <c r="CM71" s="10">
        <f t="shared" si="75"/>
        <v>0</v>
      </c>
      <c r="CN71" s="10">
        <f t="shared" si="75"/>
        <v>0</v>
      </c>
      <c r="CO71" s="10">
        <f t="shared" si="76"/>
        <v>0</v>
      </c>
      <c r="CP71" s="10">
        <f t="shared" si="76"/>
        <v>0</v>
      </c>
      <c r="CQ71" s="10">
        <f t="shared" si="76"/>
        <v>0</v>
      </c>
      <c r="CR71" s="10">
        <f t="shared" si="76"/>
        <v>0</v>
      </c>
      <c r="CS71" s="10">
        <f t="shared" si="77"/>
        <v>0</v>
      </c>
      <c r="CT71" s="10">
        <f t="shared" si="77"/>
        <v>0</v>
      </c>
      <c r="CU71" s="10">
        <f t="shared" si="77"/>
        <v>0</v>
      </c>
      <c r="CV71" s="10">
        <f t="shared" si="77"/>
        <v>0</v>
      </c>
      <c r="CW71" s="10">
        <f t="shared" si="78"/>
        <v>0</v>
      </c>
      <c r="CX71" s="10">
        <f t="shared" si="78"/>
        <v>0</v>
      </c>
      <c r="CY71" s="10">
        <f t="shared" si="78"/>
        <v>0</v>
      </c>
      <c r="CZ71" s="10">
        <f t="shared" si="78"/>
        <v>0</v>
      </c>
    </row>
    <row r="72" spans="4:104" x14ac:dyDescent="0.15">
      <c r="D72" s="10">
        <v>57</v>
      </c>
      <c r="E72" s="10" t="e">
        <f t="shared" si="21"/>
        <v>#VALUE!</v>
      </c>
      <c r="F72" s="10" t="e">
        <f t="shared" si="1"/>
        <v>#VALUE!</v>
      </c>
      <c r="G72" s="10" t="e">
        <f t="shared" si="2"/>
        <v>#VALUE!</v>
      </c>
      <c r="H72" s="10" t="e">
        <f t="shared" si="22"/>
        <v>#VALUE!</v>
      </c>
      <c r="I72" s="10" t="e">
        <f t="shared" si="3"/>
        <v>#VALUE!</v>
      </c>
      <c r="J72" s="10" t="e">
        <f t="shared" si="23"/>
        <v>#VALUE!</v>
      </c>
      <c r="K72" s="10" t="e">
        <f t="shared" si="4"/>
        <v>#VALUE!</v>
      </c>
      <c r="L72" s="10" t="e">
        <f t="shared" si="5"/>
        <v>#VALUE!</v>
      </c>
      <c r="M72" s="10" t="e">
        <f t="shared" si="24"/>
        <v>#VALUE!</v>
      </c>
      <c r="O72" s="10" t="e">
        <f t="shared" si="25"/>
        <v>#VALUE!</v>
      </c>
      <c r="P72" s="10" t="e">
        <f t="shared" si="6"/>
        <v>#VALUE!</v>
      </c>
      <c r="Q72" s="10" t="e">
        <f t="shared" si="7"/>
        <v>#VALUE!</v>
      </c>
      <c r="R72" s="10" t="e">
        <f t="shared" si="26"/>
        <v>#VALUE!</v>
      </c>
      <c r="S72" s="10" t="e">
        <f t="shared" si="27"/>
        <v>#VALUE!</v>
      </c>
      <c r="T72" s="10" t="e">
        <f t="shared" si="62"/>
        <v>#VALUE!</v>
      </c>
      <c r="U72" s="10" t="e">
        <f t="shared" si="63"/>
        <v>#VALUE!</v>
      </c>
      <c r="V72" s="10" t="e">
        <f t="shared" si="8"/>
        <v>#VALUE!</v>
      </c>
      <c r="W72" s="10" t="e">
        <f t="shared" si="28"/>
        <v>#VALUE!</v>
      </c>
      <c r="Y72" s="10" t="e">
        <f t="shared" si="29"/>
        <v>#VALUE!</v>
      </c>
      <c r="Z72" s="11" t="e">
        <f t="shared" si="30"/>
        <v>#VALUE!</v>
      </c>
      <c r="AA72" s="10" t="e">
        <f t="shared" si="9"/>
        <v>#VALUE!</v>
      </c>
      <c r="AB72" s="10" t="e">
        <f t="shared" si="31"/>
        <v>#VALUE!</v>
      </c>
      <c r="AC72" s="10" t="e">
        <f t="shared" si="32"/>
        <v>#VALUE!</v>
      </c>
      <c r="AD72" s="10" t="e">
        <f t="shared" si="64"/>
        <v>#VALUE!</v>
      </c>
      <c r="AE72" s="10" t="e">
        <f t="shared" si="65"/>
        <v>#VALUE!</v>
      </c>
      <c r="AF72" s="10" t="e">
        <f t="shared" si="10"/>
        <v>#VALUE!</v>
      </c>
      <c r="AG72" s="10" t="e">
        <f t="shared" si="33"/>
        <v>#VALUE!</v>
      </c>
      <c r="AI72" s="13"/>
      <c r="AK72" s="10" t="e">
        <f t="shared" si="34"/>
        <v>#VALUE!</v>
      </c>
      <c r="AL72" s="10" t="e">
        <f t="shared" si="66"/>
        <v>#VALUE!</v>
      </c>
      <c r="AM72" s="10" t="e">
        <f t="shared" si="11"/>
        <v>#VALUE!</v>
      </c>
      <c r="AN72" s="10" t="e">
        <f t="shared" si="35"/>
        <v>#VALUE!</v>
      </c>
      <c r="AO72" s="10" t="e">
        <f t="shared" si="36"/>
        <v>#VALUE!</v>
      </c>
      <c r="AP72" s="10" t="e">
        <f t="shared" si="37"/>
        <v>#VALUE!</v>
      </c>
      <c r="AQ72" s="10" t="e">
        <f t="shared" si="67"/>
        <v>#VALUE!</v>
      </c>
      <c r="AR72" s="10" t="e">
        <f t="shared" si="12"/>
        <v>#VALUE!</v>
      </c>
      <c r="AS72" s="10" t="e">
        <f t="shared" si="68"/>
        <v>#VALUE!</v>
      </c>
      <c r="AU72" s="10" t="e">
        <f t="shared" si="38"/>
        <v>#VALUE!</v>
      </c>
      <c r="AV72" s="10" t="e">
        <f t="shared" si="69"/>
        <v>#VALUE!</v>
      </c>
      <c r="AW72" s="10" t="e">
        <f t="shared" si="13"/>
        <v>#VALUE!</v>
      </c>
      <c r="AX72" s="10" t="e">
        <f t="shared" si="39"/>
        <v>#VALUE!</v>
      </c>
      <c r="AY72" s="10" t="e">
        <f t="shared" si="40"/>
        <v>#VALUE!</v>
      </c>
      <c r="AZ72" s="10" t="e">
        <f t="shared" si="41"/>
        <v>#VALUE!</v>
      </c>
      <c r="BA72" s="10" t="e">
        <f t="shared" si="70"/>
        <v>#VALUE!</v>
      </c>
      <c r="BB72" s="10" t="e">
        <f t="shared" si="14"/>
        <v>#VALUE!</v>
      </c>
      <c r="BC72" s="10" t="e">
        <f t="shared" si="71"/>
        <v>#VALUE!</v>
      </c>
      <c r="BE72" s="10" t="e">
        <f t="shared" si="42"/>
        <v>#VALUE!</v>
      </c>
      <c r="BF72" s="10" t="e">
        <f t="shared" si="72"/>
        <v>#VALUE!</v>
      </c>
      <c r="BG72" s="10" t="e">
        <f t="shared" si="15"/>
        <v>#VALUE!</v>
      </c>
      <c r="BH72" s="10" t="e">
        <f t="shared" si="43"/>
        <v>#VALUE!</v>
      </c>
      <c r="BI72" s="10" t="e">
        <f t="shared" si="44"/>
        <v>#VALUE!</v>
      </c>
      <c r="BJ72" s="10" t="e">
        <f t="shared" si="45"/>
        <v>#VALUE!</v>
      </c>
      <c r="BK72" s="10" t="e">
        <f t="shared" si="73"/>
        <v>#VALUE!</v>
      </c>
      <c r="BL72" s="10" t="e">
        <f t="shared" si="16"/>
        <v>#VALUE!</v>
      </c>
      <c r="BM72" s="10" t="e">
        <f t="shared" si="74"/>
        <v>#VALUE!</v>
      </c>
      <c r="BP72" s="10" t="e">
        <f t="shared" si="46"/>
        <v>#VALUE!</v>
      </c>
      <c r="BQ72" s="10" t="e">
        <f t="shared" si="47"/>
        <v>#VALUE!</v>
      </c>
      <c r="BR72" s="10" t="e">
        <f t="shared" si="48"/>
        <v>#VALUE!</v>
      </c>
      <c r="BS72" s="10" t="e">
        <f t="shared" si="49"/>
        <v>#VALUE!</v>
      </c>
      <c r="BT72" s="10" t="e">
        <f t="shared" si="50"/>
        <v>#VALUE!</v>
      </c>
      <c r="BU72" s="10" t="e">
        <f t="shared" si="51"/>
        <v>#VALUE!</v>
      </c>
      <c r="BW72" s="10" t="e">
        <f t="shared" si="52"/>
        <v>#VALUE!</v>
      </c>
      <c r="BX72" s="10" t="e">
        <f t="shared" si="53"/>
        <v>#VALUE!</v>
      </c>
      <c r="BY72" s="10" t="e">
        <f t="shared" si="54"/>
        <v>#VALUE!</v>
      </c>
      <c r="BZ72" s="10" t="e">
        <f t="shared" si="55"/>
        <v>#VALUE!</v>
      </c>
      <c r="CA72" s="10" t="e">
        <f t="shared" si="56"/>
        <v>#VALUE!</v>
      </c>
      <c r="CB72" s="10" t="e">
        <f t="shared" si="57"/>
        <v>#VALUE!</v>
      </c>
      <c r="CD72" s="10" t="e">
        <f>MATCH(INDEX($BP$12:$BU$12,1,MATCH(BP72,$BP$15:$BU$15,0)),结果汇总!$AI$10:$AI$13,0)</f>
        <v>#VALUE!</v>
      </c>
      <c r="CE72" s="10" t="e">
        <f>MATCH(INDEX($BP$12:$BU$12,1,MATCH(BQ72,$BP$15:$BU$15,0)),结果汇总!$AI$10:$AI$13,0)</f>
        <v>#VALUE!</v>
      </c>
      <c r="CF72" s="10" t="e">
        <f>MATCH(INDEX($BP$12:$BU$12,1,MATCH(BR72,$BP$15:$BU$15,0)),结果汇总!$AI$10:$AI$13,0)</f>
        <v>#VALUE!</v>
      </c>
      <c r="CG72" s="10" t="e">
        <f>MATCH(INDEX($BP$12:$BU$12,1,MATCH(BS72,$BP$15:$BU$15,0)),结果汇总!$AI$10:$AI$13,0)</f>
        <v>#VALUE!</v>
      </c>
      <c r="CH72" s="10" t="e">
        <f>MATCH(INDEX($BP$12:$BU$12,1,MATCH(BT72,$BP$15:$BU$15,0)),结果汇总!$AI$10:$AI$13,0)</f>
        <v>#VALUE!</v>
      </c>
      <c r="CI72" s="10" t="e">
        <f>MATCH(INDEX($BP$12:$BU$12,1,MATCH(BU72,$BP$15:$BU$15,0)),结果汇总!$AI$10:$AI$13,0)</f>
        <v>#VALUE!</v>
      </c>
      <c r="CK72" s="10">
        <f t="shared" si="75"/>
        <v>0</v>
      </c>
      <c r="CL72" s="10">
        <f t="shared" si="75"/>
        <v>0</v>
      </c>
      <c r="CM72" s="10">
        <f t="shared" si="75"/>
        <v>0</v>
      </c>
      <c r="CN72" s="10">
        <f t="shared" si="75"/>
        <v>0</v>
      </c>
      <c r="CO72" s="10">
        <f t="shared" si="76"/>
        <v>0</v>
      </c>
      <c r="CP72" s="10">
        <f t="shared" si="76"/>
        <v>0</v>
      </c>
      <c r="CQ72" s="10">
        <f t="shared" si="76"/>
        <v>0</v>
      </c>
      <c r="CR72" s="10">
        <f t="shared" si="76"/>
        <v>0</v>
      </c>
      <c r="CS72" s="10">
        <f t="shared" si="77"/>
        <v>0</v>
      </c>
      <c r="CT72" s="10">
        <f t="shared" si="77"/>
        <v>0</v>
      </c>
      <c r="CU72" s="10">
        <f t="shared" si="77"/>
        <v>0</v>
      </c>
      <c r="CV72" s="10">
        <f t="shared" si="77"/>
        <v>0</v>
      </c>
      <c r="CW72" s="10">
        <f t="shared" si="78"/>
        <v>0</v>
      </c>
      <c r="CX72" s="10">
        <f t="shared" si="78"/>
        <v>0</v>
      </c>
      <c r="CY72" s="10">
        <f t="shared" si="78"/>
        <v>0</v>
      </c>
      <c r="CZ72" s="10">
        <f t="shared" si="78"/>
        <v>0</v>
      </c>
    </row>
    <row r="73" spans="4:104" x14ac:dyDescent="0.15">
      <c r="D73" s="10">
        <v>58</v>
      </c>
      <c r="E73" s="10" t="e">
        <f t="shared" si="21"/>
        <v>#VALUE!</v>
      </c>
      <c r="F73" s="10" t="e">
        <f t="shared" si="1"/>
        <v>#VALUE!</v>
      </c>
      <c r="G73" s="10" t="e">
        <f t="shared" si="2"/>
        <v>#VALUE!</v>
      </c>
      <c r="H73" s="10" t="e">
        <f t="shared" si="22"/>
        <v>#VALUE!</v>
      </c>
      <c r="I73" s="10" t="e">
        <f t="shared" si="3"/>
        <v>#VALUE!</v>
      </c>
      <c r="J73" s="10" t="e">
        <f t="shared" si="23"/>
        <v>#VALUE!</v>
      </c>
      <c r="K73" s="10" t="e">
        <f t="shared" si="4"/>
        <v>#VALUE!</v>
      </c>
      <c r="L73" s="10" t="e">
        <f t="shared" si="5"/>
        <v>#VALUE!</v>
      </c>
      <c r="M73" s="10" t="e">
        <f t="shared" si="24"/>
        <v>#VALUE!</v>
      </c>
      <c r="O73" s="10" t="e">
        <f t="shared" si="25"/>
        <v>#VALUE!</v>
      </c>
      <c r="P73" s="10" t="e">
        <f t="shared" si="6"/>
        <v>#VALUE!</v>
      </c>
      <c r="Q73" s="10" t="e">
        <f t="shared" si="7"/>
        <v>#VALUE!</v>
      </c>
      <c r="R73" s="10" t="e">
        <f t="shared" si="26"/>
        <v>#VALUE!</v>
      </c>
      <c r="S73" s="10" t="e">
        <f t="shared" si="27"/>
        <v>#VALUE!</v>
      </c>
      <c r="T73" s="10" t="e">
        <f t="shared" si="62"/>
        <v>#VALUE!</v>
      </c>
      <c r="U73" s="10" t="e">
        <f t="shared" si="63"/>
        <v>#VALUE!</v>
      </c>
      <c r="V73" s="10" t="e">
        <f t="shared" si="8"/>
        <v>#VALUE!</v>
      </c>
      <c r="W73" s="10" t="e">
        <f t="shared" si="28"/>
        <v>#VALUE!</v>
      </c>
      <c r="Y73" s="10" t="e">
        <f t="shared" si="29"/>
        <v>#VALUE!</v>
      </c>
      <c r="Z73" s="11" t="e">
        <f t="shared" si="30"/>
        <v>#VALUE!</v>
      </c>
      <c r="AA73" s="10" t="e">
        <f t="shared" si="9"/>
        <v>#VALUE!</v>
      </c>
      <c r="AB73" s="10" t="e">
        <f t="shared" si="31"/>
        <v>#VALUE!</v>
      </c>
      <c r="AC73" s="10" t="e">
        <f t="shared" si="32"/>
        <v>#VALUE!</v>
      </c>
      <c r="AD73" s="10" t="e">
        <f t="shared" si="64"/>
        <v>#VALUE!</v>
      </c>
      <c r="AE73" s="10" t="e">
        <f t="shared" si="65"/>
        <v>#VALUE!</v>
      </c>
      <c r="AF73" s="10" t="e">
        <f t="shared" si="10"/>
        <v>#VALUE!</v>
      </c>
      <c r="AG73" s="10" t="e">
        <f t="shared" si="33"/>
        <v>#VALUE!</v>
      </c>
      <c r="AI73" s="13"/>
      <c r="AK73" s="10" t="e">
        <f t="shared" si="34"/>
        <v>#VALUE!</v>
      </c>
      <c r="AL73" s="10" t="e">
        <f t="shared" si="66"/>
        <v>#VALUE!</v>
      </c>
      <c r="AM73" s="10" t="e">
        <f t="shared" si="11"/>
        <v>#VALUE!</v>
      </c>
      <c r="AN73" s="10" t="e">
        <f t="shared" si="35"/>
        <v>#VALUE!</v>
      </c>
      <c r="AO73" s="10" t="e">
        <f t="shared" si="36"/>
        <v>#VALUE!</v>
      </c>
      <c r="AP73" s="10" t="e">
        <f t="shared" si="37"/>
        <v>#VALUE!</v>
      </c>
      <c r="AQ73" s="10" t="e">
        <f t="shared" si="67"/>
        <v>#VALUE!</v>
      </c>
      <c r="AR73" s="10" t="e">
        <f t="shared" si="12"/>
        <v>#VALUE!</v>
      </c>
      <c r="AS73" s="10" t="e">
        <f t="shared" si="68"/>
        <v>#VALUE!</v>
      </c>
      <c r="AU73" s="10" t="e">
        <f t="shared" si="38"/>
        <v>#VALUE!</v>
      </c>
      <c r="AV73" s="10" t="e">
        <f t="shared" si="69"/>
        <v>#VALUE!</v>
      </c>
      <c r="AW73" s="10" t="e">
        <f t="shared" si="13"/>
        <v>#VALUE!</v>
      </c>
      <c r="AX73" s="10" t="e">
        <f t="shared" si="39"/>
        <v>#VALUE!</v>
      </c>
      <c r="AY73" s="10" t="e">
        <f t="shared" si="40"/>
        <v>#VALUE!</v>
      </c>
      <c r="AZ73" s="10" t="e">
        <f t="shared" si="41"/>
        <v>#VALUE!</v>
      </c>
      <c r="BA73" s="10" t="e">
        <f t="shared" si="70"/>
        <v>#VALUE!</v>
      </c>
      <c r="BB73" s="10" t="e">
        <f t="shared" si="14"/>
        <v>#VALUE!</v>
      </c>
      <c r="BC73" s="10" t="e">
        <f t="shared" si="71"/>
        <v>#VALUE!</v>
      </c>
      <c r="BE73" s="10" t="e">
        <f t="shared" si="42"/>
        <v>#VALUE!</v>
      </c>
      <c r="BF73" s="10" t="e">
        <f t="shared" si="72"/>
        <v>#VALUE!</v>
      </c>
      <c r="BG73" s="10" t="e">
        <f t="shared" si="15"/>
        <v>#VALUE!</v>
      </c>
      <c r="BH73" s="10" t="e">
        <f t="shared" si="43"/>
        <v>#VALUE!</v>
      </c>
      <c r="BI73" s="10" t="e">
        <f t="shared" si="44"/>
        <v>#VALUE!</v>
      </c>
      <c r="BJ73" s="10" t="e">
        <f t="shared" si="45"/>
        <v>#VALUE!</v>
      </c>
      <c r="BK73" s="10" t="e">
        <f t="shared" si="73"/>
        <v>#VALUE!</v>
      </c>
      <c r="BL73" s="10" t="e">
        <f t="shared" si="16"/>
        <v>#VALUE!</v>
      </c>
      <c r="BM73" s="10" t="e">
        <f t="shared" si="74"/>
        <v>#VALUE!</v>
      </c>
      <c r="BP73" s="10" t="e">
        <f t="shared" si="46"/>
        <v>#VALUE!</v>
      </c>
      <c r="BQ73" s="10" t="e">
        <f t="shared" si="47"/>
        <v>#VALUE!</v>
      </c>
      <c r="BR73" s="10" t="e">
        <f t="shared" si="48"/>
        <v>#VALUE!</v>
      </c>
      <c r="BS73" s="10" t="e">
        <f t="shared" si="49"/>
        <v>#VALUE!</v>
      </c>
      <c r="BT73" s="10" t="e">
        <f t="shared" si="50"/>
        <v>#VALUE!</v>
      </c>
      <c r="BU73" s="10" t="e">
        <f t="shared" si="51"/>
        <v>#VALUE!</v>
      </c>
      <c r="BW73" s="10" t="e">
        <f t="shared" si="52"/>
        <v>#VALUE!</v>
      </c>
      <c r="BX73" s="10" t="e">
        <f t="shared" si="53"/>
        <v>#VALUE!</v>
      </c>
      <c r="BY73" s="10" t="e">
        <f t="shared" si="54"/>
        <v>#VALUE!</v>
      </c>
      <c r="BZ73" s="10" t="e">
        <f t="shared" si="55"/>
        <v>#VALUE!</v>
      </c>
      <c r="CA73" s="10" t="e">
        <f t="shared" si="56"/>
        <v>#VALUE!</v>
      </c>
      <c r="CB73" s="10" t="e">
        <f t="shared" si="57"/>
        <v>#VALUE!</v>
      </c>
      <c r="CD73" s="10" t="e">
        <f>MATCH(INDEX($BP$12:$BU$12,1,MATCH(BP73,$BP$15:$BU$15,0)),结果汇总!$AI$10:$AI$13,0)</f>
        <v>#VALUE!</v>
      </c>
      <c r="CE73" s="10" t="e">
        <f>MATCH(INDEX($BP$12:$BU$12,1,MATCH(BQ73,$BP$15:$BU$15,0)),结果汇总!$AI$10:$AI$13,0)</f>
        <v>#VALUE!</v>
      </c>
      <c r="CF73" s="10" t="e">
        <f>MATCH(INDEX($BP$12:$BU$12,1,MATCH(BR73,$BP$15:$BU$15,0)),结果汇总!$AI$10:$AI$13,0)</f>
        <v>#VALUE!</v>
      </c>
      <c r="CG73" s="10" t="e">
        <f>MATCH(INDEX($BP$12:$BU$12,1,MATCH(BS73,$BP$15:$BU$15,0)),结果汇总!$AI$10:$AI$13,0)</f>
        <v>#VALUE!</v>
      </c>
      <c r="CH73" s="10" t="e">
        <f>MATCH(INDEX($BP$12:$BU$12,1,MATCH(BT73,$BP$15:$BU$15,0)),结果汇总!$AI$10:$AI$13,0)</f>
        <v>#VALUE!</v>
      </c>
      <c r="CI73" s="10" t="e">
        <f>MATCH(INDEX($BP$12:$BU$12,1,MATCH(BU73,$BP$15:$BU$15,0)),结果汇总!$AI$10:$AI$13,0)</f>
        <v>#VALUE!</v>
      </c>
      <c r="CK73" s="10">
        <f t="shared" si="75"/>
        <v>0</v>
      </c>
      <c r="CL73" s="10">
        <f t="shared" si="75"/>
        <v>0</v>
      </c>
      <c r="CM73" s="10">
        <f t="shared" si="75"/>
        <v>0</v>
      </c>
      <c r="CN73" s="10">
        <f t="shared" si="75"/>
        <v>0</v>
      </c>
      <c r="CO73" s="10">
        <f t="shared" si="76"/>
        <v>0</v>
      </c>
      <c r="CP73" s="10">
        <f t="shared" si="76"/>
        <v>0</v>
      </c>
      <c r="CQ73" s="10">
        <f t="shared" si="76"/>
        <v>0</v>
      </c>
      <c r="CR73" s="10">
        <f t="shared" si="76"/>
        <v>0</v>
      </c>
      <c r="CS73" s="10">
        <f t="shared" si="77"/>
        <v>0</v>
      </c>
      <c r="CT73" s="10">
        <f t="shared" si="77"/>
        <v>0</v>
      </c>
      <c r="CU73" s="10">
        <f t="shared" si="77"/>
        <v>0</v>
      </c>
      <c r="CV73" s="10">
        <f t="shared" si="77"/>
        <v>0</v>
      </c>
      <c r="CW73" s="10">
        <f t="shared" si="78"/>
        <v>0</v>
      </c>
      <c r="CX73" s="10">
        <f t="shared" si="78"/>
        <v>0</v>
      </c>
      <c r="CY73" s="10">
        <f t="shared" si="78"/>
        <v>0</v>
      </c>
      <c r="CZ73" s="10">
        <f t="shared" si="78"/>
        <v>0</v>
      </c>
    </row>
    <row r="74" spans="4:104" x14ac:dyDescent="0.15">
      <c r="D74" s="10">
        <v>59</v>
      </c>
      <c r="E74" s="10" t="e">
        <f t="shared" si="21"/>
        <v>#VALUE!</v>
      </c>
      <c r="F74" s="10" t="e">
        <f t="shared" si="1"/>
        <v>#VALUE!</v>
      </c>
      <c r="G74" s="10" t="e">
        <f t="shared" si="2"/>
        <v>#VALUE!</v>
      </c>
      <c r="H74" s="10" t="e">
        <f t="shared" si="22"/>
        <v>#VALUE!</v>
      </c>
      <c r="I74" s="10" t="e">
        <f t="shared" si="3"/>
        <v>#VALUE!</v>
      </c>
      <c r="J74" s="10" t="e">
        <f t="shared" si="23"/>
        <v>#VALUE!</v>
      </c>
      <c r="K74" s="10" t="e">
        <f t="shared" si="4"/>
        <v>#VALUE!</v>
      </c>
      <c r="L74" s="10" t="e">
        <f t="shared" si="5"/>
        <v>#VALUE!</v>
      </c>
      <c r="M74" s="10" t="e">
        <f t="shared" si="24"/>
        <v>#VALUE!</v>
      </c>
      <c r="O74" s="10" t="e">
        <f t="shared" si="25"/>
        <v>#VALUE!</v>
      </c>
      <c r="P74" s="10" t="e">
        <f t="shared" si="6"/>
        <v>#VALUE!</v>
      </c>
      <c r="Q74" s="10" t="e">
        <f t="shared" si="7"/>
        <v>#VALUE!</v>
      </c>
      <c r="R74" s="10" t="e">
        <f t="shared" si="26"/>
        <v>#VALUE!</v>
      </c>
      <c r="S74" s="10" t="e">
        <f t="shared" si="27"/>
        <v>#VALUE!</v>
      </c>
      <c r="T74" s="10" t="e">
        <f t="shared" si="62"/>
        <v>#VALUE!</v>
      </c>
      <c r="U74" s="10" t="e">
        <f t="shared" si="63"/>
        <v>#VALUE!</v>
      </c>
      <c r="V74" s="10" t="e">
        <f t="shared" si="8"/>
        <v>#VALUE!</v>
      </c>
      <c r="W74" s="10" t="e">
        <f t="shared" si="28"/>
        <v>#VALUE!</v>
      </c>
      <c r="Y74" s="10" t="e">
        <f t="shared" si="29"/>
        <v>#VALUE!</v>
      </c>
      <c r="Z74" s="11" t="e">
        <f t="shared" si="30"/>
        <v>#VALUE!</v>
      </c>
      <c r="AA74" s="10" t="e">
        <f t="shared" si="9"/>
        <v>#VALUE!</v>
      </c>
      <c r="AB74" s="10" t="e">
        <f t="shared" si="31"/>
        <v>#VALUE!</v>
      </c>
      <c r="AC74" s="10" t="e">
        <f t="shared" si="32"/>
        <v>#VALUE!</v>
      </c>
      <c r="AD74" s="10" t="e">
        <f t="shared" si="64"/>
        <v>#VALUE!</v>
      </c>
      <c r="AE74" s="10" t="e">
        <f t="shared" si="65"/>
        <v>#VALUE!</v>
      </c>
      <c r="AF74" s="10" t="e">
        <f t="shared" si="10"/>
        <v>#VALUE!</v>
      </c>
      <c r="AG74" s="10" t="e">
        <f t="shared" si="33"/>
        <v>#VALUE!</v>
      </c>
      <c r="AI74" s="13"/>
      <c r="AK74" s="10" t="e">
        <f t="shared" si="34"/>
        <v>#VALUE!</v>
      </c>
      <c r="AL74" s="10" t="e">
        <f t="shared" si="66"/>
        <v>#VALUE!</v>
      </c>
      <c r="AM74" s="10" t="e">
        <f t="shared" si="11"/>
        <v>#VALUE!</v>
      </c>
      <c r="AN74" s="10" t="e">
        <f t="shared" si="35"/>
        <v>#VALUE!</v>
      </c>
      <c r="AO74" s="10" t="e">
        <f t="shared" si="36"/>
        <v>#VALUE!</v>
      </c>
      <c r="AP74" s="10" t="e">
        <f t="shared" si="37"/>
        <v>#VALUE!</v>
      </c>
      <c r="AQ74" s="10" t="e">
        <f t="shared" si="67"/>
        <v>#VALUE!</v>
      </c>
      <c r="AR74" s="10" t="e">
        <f t="shared" si="12"/>
        <v>#VALUE!</v>
      </c>
      <c r="AS74" s="10" t="e">
        <f t="shared" si="68"/>
        <v>#VALUE!</v>
      </c>
      <c r="AU74" s="10" t="e">
        <f t="shared" si="38"/>
        <v>#VALUE!</v>
      </c>
      <c r="AV74" s="10" t="e">
        <f t="shared" si="69"/>
        <v>#VALUE!</v>
      </c>
      <c r="AW74" s="10" t="e">
        <f t="shared" si="13"/>
        <v>#VALUE!</v>
      </c>
      <c r="AX74" s="10" t="e">
        <f t="shared" si="39"/>
        <v>#VALUE!</v>
      </c>
      <c r="AY74" s="10" t="e">
        <f t="shared" si="40"/>
        <v>#VALUE!</v>
      </c>
      <c r="AZ74" s="10" t="e">
        <f t="shared" si="41"/>
        <v>#VALUE!</v>
      </c>
      <c r="BA74" s="10" t="e">
        <f t="shared" si="70"/>
        <v>#VALUE!</v>
      </c>
      <c r="BB74" s="10" t="e">
        <f t="shared" si="14"/>
        <v>#VALUE!</v>
      </c>
      <c r="BC74" s="10" t="e">
        <f t="shared" si="71"/>
        <v>#VALUE!</v>
      </c>
      <c r="BE74" s="10" t="e">
        <f t="shared" si="42"/>
        <v>#VALUE!</v>
      </c>
      <c r="BF74" s="10" t="e">
        <f t="shared" si="72"/>
        <v>#VALUE!</v>
      </c>
      <c r="BG74" s="10" t="e">
        <f t="shared" si="15"/>
        <v>#VALUE!</v>
      </c>
      <c r="BH74" s="10" t="e">
        <f t="shared" si="43"/>
        <v>#VALUE!</v>
      </c>
      <c r="BI74" s="10" t="e">
        <f t="shared" si="44"/>
        <v>#VALUE!</v>
      </c>
      <c r="BJ74" s="10" t="e">
        <f t="shared" si="45"/>
        <v>#VALUE!</v>
      </c>
      <c r="BK74" s="10" t="e">
        <f t="shared" si="73"/>
        <v>#VALUE!</v>
      </c>
      <c r="BL74" s="10" t="e">
        <f t="shared" si="16"/>
        <v>#VALUE!</v>
      </c>
      <c r="BM74" s="10" t="e">
        <f t="shared" si="74"/>
        <v>#VALUE!</v>
      </c>
      <c r="BP74" s="10" t="e">
        <f t="shared" si="46"/>
        <v>#VALUE!</v>
      </c>
      <c r="BQ74" s="10" t="e">
        <f t="shared" si="47"/>
        <v>#VALUE!</v>
      </c>
      <c r="BR74" s="10" t="e">
        <f t="shared" si="48"/>
        <v>#VALUE!</v>
      </c>
      <c r="BS74" s="10" t="e">
        <f t="shared" si="49"/>
        <v>#VALUE!</v>
      </c>
      <c r="BT74" s="10" t="e">
        <f t="shared" si="50"/>
        <v>#VALUE!</v>
      </c>
      <c r="BU74" s="10" t="e">
        <f t="shared" si="51"/>
        <v>#VALUE!</v>
      </c>
      <c r="BW74" s="10" t="e">
        <f t="shared" si="52"/>
        <v>#VALUE!</v>
      </c>
      <c r="BX74" s="10" t="e">
        <f t="shared" si="53"/>
        <v>#VALUE!</v>
      </c>
      <c r="BY74" s="10" t="e">
        <f t="shared" si="54"/>
        <v>#VALUE!</v>
      </c>
      <c r="BZ74" s="10" t="e">
        <f t="shared" si="55"/>
        <v>#VALUE!</v>
      </c>
      <c r="CA74" s="10" t="e">
        <f t="shared" si="56"/>
        <v>#VALUE!</v>
      </c>
      <c r="CB74" s="10" t="e">
        <f t="shared" si="57"/>
        <v>#VALUE!</v>
      </c>
      <c r="CD74" s="10" t="e">
        <f>MATCH(INDEX($BP$12:$BU$12,1,MATCH(BP74,$BP$15:$BU$15,0)),结果汇总!$AI$10:$AI$13,0)</f>
        <v>#VALUE!</v>
      </c>
      <c r="CE74" s="10" t="e">
        <f>MATCH(INDEX($BP$12:$BU$12,1,MATCH(BQ74,$BP$15:$BU$15,0)),结果汇总!$AI$10:$AI$13,0)</f>
        <v>#VALUE!</v>
      </c>
      <c r="CF74" s="10" t="e">
        <f>MATCH(INDEX($BP$12:$BU$12,1,MATCH(BR74,$BP$15:$BU$15,0)),结果汇总!$AI$10:$AI$13,0)</f>
        <v>#VALUE!</v>
      </c>
      <c r="CG74" s="10" t="e">
        <f>MATCH(INDEX($BP$12:$BU$12,1,MATCH(BS74,$BP$15:$BU$15,0)),结果汇总!$AI$10:$AI$13,0)</f>
        <v>#VALUE!</v>
      </c>
      <c r="CH74" s="10" t="e">
        <f>MATCH(INDEX($BP$12:$BU$12,1,MATCH(BT74,$BP$15:$BU$15,0)),结果汇总!$AI$10:$AI$13,0)</f>
        <v>#VALUE!</v>
      </c>
      <c r="CI74" s="10" t="e">
        <f>MATCH(INDEX($BP$12:$BU$12,1,MATCH(BU74,$BP$15:$BU$15,0)),结果汇总!$AI$10:$AI$13,0)</f>
        <v>#VALUE!</v>
      </c>
      <c r="CK74" s="10">
        <f t="shared" si="75"/>
        <v>0</v>
      </c>
      <c r="CL74" s="10">
        <f t="shared" si="75"/>
        <v>0</v>
      </c>
      <c r="CM74" s="10">
        <f t="shared" si="75"/>
        <v>0</v>
      </c>
      <c r="CN74" s="10">
        <f t="shared" si="75"/>
        <v>0</v>
      </c>
      <c r="CO74" s="10">
        <f t="shared" si="76"/>
        <v>0</v>
      </c>
      <c r="CP74" s="10">
        <f t="shared" si="76"/>
        <v>0</v>
      </c>
      <c r="CQ74" s="10">
        <f t="shared" si="76"/>
        <v>0</v>
      </c>
      <c r="CR74" s="10">
        <f t="shared" si="76"/>
        <v>0</v>
      </c>
      <c r="CS74" s="10">
        <f t="shared" si="77"/>
        <v>0</v>
      </c>
      <c r="CT74" s="10">
        <f t="shared" si="77"/>
        <v>0</v>
      </c>
      <c r="CU74" s="10">
        <f t="shared" si="77"/>
        <v>0</v>
      </c>
      <c r="CV74" s="10">
        <f t="shared" si="77"/>
        <v>0</v>
      </c>
      <c r="CW74" s="10">
        <f t="shared" si="78"/>
        <v>0</v>
      </c>
      <c r="CX74" s="10">
        <f t="shared" si="78"/>
        <v>0</v>
      </c>
      <c r="CY74" s="10">
        <f t="shared" si="78"/>
        <v>0</v>
      </c>
      <c r="CZ74" s="10">
        <f t="shared" si="78"/>
        <v>0</v>
      </c>
    </row>
    <row r="75" spans="4:104" x14ac:dyDescent="0.15">
      <c r="D75" s="10">
        <v>60</v>
      </c>
      <c r="E75" s="10" t="e">
        <f t="shared" si="21"/>
        <v>#VALUE!</v>
      </c>
      <c r="F75" s="10" t="e">
        <f t="shared" si="1"/>
        <v>#VALUE!</v>
      </c>
      <c r="G75" s="10" t="e">
        <f t="shared" si="2"/>
        <v>#VALUE!</v>
      </c>
      <c r="H75" s="10" t="e">
        <f t="shared" si="22"/>
        <v>#VALUE!</v>
      </c>
      <c r="I75" s="10" t="e">
        <f t="shared" si="3"/>
        <v>#VALUE!</v>
      </c>
      <c r="J75" s="10" t="e">
        <f t="shared" si="23"/>
        <v>#VALUE!</v>
      </c>
      <c r="K75" s="10" t="e">
        <f t="shared" si="4"/>
        <v>#VALUE!</v>
      </c>
      <c r="L75" s="10" t="e">
        <f t="shared" si="5"/>
        <v>#VALUE!</v>
      </c>
      <c r="M75" s="10" t="e">
        <f t="shared" si="24"/>
        <v>#VALUE!</v>
      </c>
      <c r="O75" s="10" t="e">
        <f t="shared" si="25"/>
        <v>#VALUE!</v>
      </c>
      <c r="P75" s="10" t="e">
        <f t="shared" si="6"/>
        <v>#VALUE!</v>
      </c>
      <c r="Q75" s="10" t="e">
        <f t="shared" si="7"/>
        <v>#VALUE!</v>
      </c>
      <c r="R75" s="10" t="e">
        <f t="shared" si="26"/>
        <v>#VALUE!</v>
      </c>
      <c r="S75" s="10" t="e">
        <f t="shared" si="27"/>
        <v>#VALUE!</v>
      </c>
      <c r="T75" s="10" t="e">
        <f t="shared" si="62"/>
        <v>#VALUE!</v>
      </c>
      <c r="U75" s="10" t="e">
        <f t="shared" si="63"/>
        <v>#VALUE!</v>
      </c>
      <c r="V75" s="10" t="e">
        <f t="shared" si="8"/>
        <v>#VALUE!</v>
      </c>
      <c r="W75" s="10" t="e">
        <f t="shared" si="28"/>
        <v>#VALUE!</v>
      </c>
      <c r="Y75" s="10" t="e">
        <f t="shared" si="29"/>
        <v>#VALUE!</v>
      </c>
      <c r="Z75" s="11" t="e">
        <f t="shared" si="30"/>
        <v>#VALUE!</v>
      </c>
      <c r="AA75" s="10" t="e">
        <f t="shared" si="9"/>
        <v>#VALUE!</v>
      </c>
      <c r="AB75" s="10" t="e">
        <f t="shared" si="31"/>
        <v>#VALUE!</v>
      </c>
      <c r="AC75" s="10" t="e">
        <f t="shared" si="32"/>
        <v>#VALUE!</v>
      </c>
      <c r="AD75" s="10" t="e">
        <f t="shared" si="64"/>
        <v>#VALUE!</v>
      </c>
      <c r="AE75" s="10" t="e">
        <f t="shared" si="65"/>
        <v>#VALUE!</v>
      </c>
      <c r="AF75" s="10" t="e">
        <f t="shared" si="10"/>
        <v>#VALUE!</v>
      </c>
      <c r="AG75" s="10" t="e">
        <f t="shared" si="33"/>
        <v>#VALUE!</v>
      </c>
      <c r="AI75" s="13"/>
      <c r="AK75" s="10" t="e">
        <f t="shared" si="34"/>
        <v>#VALUE!</v>
      </c>
      <c r="AL75" s="10" t="e">
        <f t="shared" si="66"/>
        <v>#VALUE!</v>
      </c>
      <c r="AM75" s="10" t="e">
        <f t="shared" si="11"/>
        <v>#VALUE!</v>
      </c>
      <c r="AN75" s="10" t="e">
        <f t="shared" si="35"/>
        <v>#VALUE!</v>
      </c>
      <c r="AO75" s="10" t="e">
        <f t="shared" si="36"/>
        <v>#VALUE!</v>
      </c>
      <c r="AP75" s="10" t="e">
        <f t="shared" si="37"/>
        <v>#VALUE!</v>
      </c>
      <c r="AQ75" s="10" t="e">
        <f t="shared" si="67"/>
        <v>#VALUE!</v>
      </c>
      <c r="AR75" s="10" t="e">
        <f t="shared" si="12"/>
        <v>#VALUE!</v>
      </c>
      <c r="AS75" s="10" t="e">
        <f t="shared" si="68"/>
        <v>#VALUE!</v>
      </c>
      <c r="AU75" s="10" t="e">
        <f t="shared" si="38"/>
        <v>#VALUE!</v>
      </c>
      <c r="AV75" s="10" t="e">
        <f t="shared" si="69"/>
        <v>#VALUE!</v>
      </c>
      <c r="AW75" s="10" t="e">
        <f t="shared" si="13"/>
        <v>#VALUE!</v>
      </c>
      <c r="AX75" s="10" t="e">
        <f t="shared" si="39"/>
        <v>#VALUE!</v>
      </c>
      <c r="AY75" s="10" t="e">
        <f t="shared" si="40"/>
        <v>#VALUE!</v>
      </c>
      <c r="AZ75" s="10" t="e">
        <f t="shared" si="41"/>
        <v>#VALUE!</v>
      </c>
      <c r="BA75" s="10" t="e">
        <f t="shared" si="70"/>
        <v>#VALUE!</v>
      </c>
      <c r="BB75" s="10" t="e">
        <f t="shared" si="14"/>
        <v>#VALUE!</v>
      </c>
      <c r="BC75" s="10" t="e">
        <f t="shared" si="71"/>
        <v>#VALUE!</v>
      </c>
      <c r="BE75" s="10" t="e">
        <f t="shared" si="42"/>
        <v>#VALUE!</v>
      </c>
      <c r="BF75" s="10" t="e">
        <f t="shared" si="72"/>
        <v>#VALUE!</v>
      </c>
      <c r="BG75" s="10" t="e">
        <f t="shared" si="15"/>
        <v>#VALUE!</v>
      </c>
      <c r="BH75" s="10" t="e">
        <f t="shared" si="43"/>
        <v>#VALUE!</v>
      </c>
      <c r="BI75" s="10" t="e">
        <f t="shared" si="44"/>
        <v>#VALUE!</v>
      </c>
      <c r="BJ75" s="10" t="e">
        <f t="shared" si="45"/>
        <v>#VALUE!</v>
      </c>
      <c r="BK75" s="10" t="e">
        <f t="shared" si="73"/>
        <v>#VALUE!</v>
      </c>
      <c r="BL75" s="10" t="e">
        <f t="shared" si="16"/>
        <v>#VALUE!</v>
      </c>
      <c r="BM75" s="10" t="e">
        <f t="shared" si="74"/>
        <v>#VALUE!</v>
      </c>
      <c r="BP75" s="10" t="e">
        <f t="shared" si="46"/>
        <v>#VALUE!</v>
      </c>
      <c r="BQ75" s="10" t="e">
        <f t="shared" si="47"/>
        <v>#VALUE!</v>
      </c>
      <c r="BR75" s="10" t="e">
        <f t="shared" si="48"/>
        <v>#VALUE!</v>
      </c>
      <c r="BS75" s="10" t="e">
        <f t="shared" si="49"/>
        <v>#VALUE!</v>
      </c>
      <c r="BT75" s="10" t="e">
        <f t="shared" si="50"/>
        <v>#VALUE!</v>
      </c>
      <c r="BU75" s="10" t="e">
        <f t="shared" si="51"/>
        <v>#VALUE!</v>
      </c>
      <c r="BW75" s="10" t="e">
        <f t="shared" si="52"/>
        <v>#VALUE!</v>
      </c>
      <c r="BX75" s="10" t="e">
        <f t="shared" si="53"/>
        <v>#VALUE!</v>
      </c>
      <c r="BY75" s="10" t="e">
        <f t="shared" si="54"/>
        <v>#VALUE!</v>
      </c>
      <c r="BZ75" s="10" t="e">
        <f t="shared" si="55"/>
        <v>#VALUE!</v>
      </c>
      <c r="CA75" s="10" t="e">
        <f t="shared" si="56"/>
        <v>#VALUE!</v>
      </c>
      <c r="CB75" s="10" t="e">
        <f t="shared" si="57"/>
        <v>#VALUE!</v>
      </c>
      <c r="CD75" s="10" t="e">
        <f>MATCH(INDEX($BP$12:$BU$12,1,MATCH(BP75,$BP$15:$BU$15,0)),结果汇总!$AI$10:$AI$13,0)</f>
        <v>#VALUE!</v>
      </c>
      <c r="CE75" s="10" t="e">
        <f>MATCH(INDEX($BP$12:$BU$12,1,MATCH(BQ75,$BP$15:$BU$15,0)),结果汇总!$AI$10:$AI$13,0)</f>
        <v>#VALUE!</v>
      </c>
      <c r="CF75" s="10" t="e">
        <f>MATCH(INDEX($BP$12:$BU$12,1,MATCH(BR75,$BP$15:$BU$15,0)),结果汇总!$AI$10:$AI$13,0)</f>
        <v>#VALUE!</v>
      </c>
      <c r="CG75" s="10" t="e">
        <f>MATCH(INDEX($BP$12:$BU$12,1,MATCH(BS75,$BP$15:$BU$15,0)),结果汇总!$AI$10:$AI$13,0)</f>
        <v>#VALUE!</v>
      </c>
      <c r="CH75" s="10" t="e">
        <f>MATCH(INDEX($BP$12:$BU$12,1,MATCH(BT75,$BP$15:$BU$15,0)),结果汇总!$AI$10:$AI$13,0)</f>
        <v>#VALUE!</v>
      </c>
      <c r="CI75" s="10" t="e">
        <f>MATCH(INDEX($BP$12:$BU$12,1,MATCH(BU75,$BP$15:$BU$15,0)),结果汇总!$AI$10:$AI$13,0)</f>
        <v>#VALUE!</v>
      </c>
      <c r="CK75" s="10">
        <f t="shared" si="75"/>
        <v>0</v>
      </c>
      <c r="CL75" s="10">
        <f t="shared" si="75"/>
        <v>0</v>
      </c>
      <c r="CM75" s="10">
        <f t="shared" si="75"/>
        <v>0</v>
      </c>
      <c r="CN75" s="10">
        <f t="shared" si="75"/>
        <v>0</v>
      </c>
      <c r="CO75" s="10">
        <f t="shared" si="76"/>
        <v>0</v>
      </c>
      <c r="CP75" s="10">
        <f t="shared" si="76"/>
        <v>0</v>
      </c>
      <c r="CQ75" s="10">
        <f t="shared" si="76"/>
        <v>0</v>
      </c>
      <c r="CR75" s="10">
        <f t="shared" si="76"/>
        <v>0</v>
      </c>
      <c r="CS75" s="10">
        <f t="shared" si="77"/>
        <v>0</v>
      </c>
      <c r="CT75" s="10">
        <f t="shared" si="77"/>
        <v>0</v>
      </c>
      <c r="CU75" s="10">
        <f t="shared" si="77"/>
        <v>0</v>
      </c>
      <c r="CV75" s="10">
        <f t="shared" si="77"/>
        <v>0</v>
      </c>
      <c r="CW75" s="10">
        <f t="shared" si="78"/>
        <v>0</v>
      </c>
      <c r="CX75" s="10">
        <f t="shared" si="78"/>
        <v>0</v>
      </c>
      <c r="CY75" s="10">
        <f t="shared" si="78"/>
        <v>0</v>
      </c>
      <c r="CZ75" s="10">
        <f t="shared" si="78"/>
        <v>0</v>
      </c>
    </row>
    <row r="76" spans="4:104" x14ac:dyDescent="0.15">
      <c r="D76" s="10">
        <v>61</v>
      </c>
      <c r="E76" s="10" t="e">
        <f t="shared" si="21"/>
        <v>#VALUE!</v>
      </c>
      <c r="F76" s="10" t="e">
        <f t="shared" si="1"/>
        <v>#VALUE!</v>
      </c>
      <c r="G76" s="10" t="e">
        <f t="shared" si="2"/>
        <v>#VALUE!</v>
      </c>
      <c r="H76" s="10" t="e">
        <f t="shared" si="22"/>
        <v>#VALUE!</v>
      </c>
      <c r="I76" s="10" t="e">
        <f t="shared" si="3"/>
        <v>#VALUE!</v>
      </c>
      <c r="J76" s="10" t="e">
        <f t="shared" si="23"/>
        <v>#VALUE!</v>
      </c>
      <c r="K76" s="10" t="e">
        <f t="shared" si="4"/>
        <v>#VALUE!</v>
      </c>
      <c r="L76" s="10" t="e">
        <f t="shared" si="5"/>
        <v>#VALUE!</v>
      </c>
      <c r="M76" s="10" t="e">
        <f t="shared" si="24"/>
        <v>#VALUE!</v>
      </c>
      <c r="O76" s="10" t="e">
        <f t="shared" si="25"/>
        <v>#VALUE!</v>
      </c>
      <c r="P76" s="10" t="e">
        <f t="shared" si="6"/>
        <v>#VALUE!</v>
      </c>
      <c r="Q76" s="10" t="e">
        <f t="shared" si="7"/>
        <v>#VALUE!</v>
      </c>
      <c r="R76" s="10" t="e">
        <f t="shared" si="26"/>
        <v>#VALUE!</v>
      </c>
      <c r="S76" s="10" t="e">
        <f t="shared" si="27"/>
        <v>#VALUE!</v>
      </c>
      <c r="T76" s="10" t="e">
        <f t="shared" si="62"/>
        <v>#VALUE!</v>
      </c>
      <c r="U76" s="10" t="e">
        <f t="shared" si="63"/>
        <v>#VALUE!</v>
      </c>
      <c r="V76" s="10" t="e">
        <f t="shared" si="8"/>
        <v>#VALUE!</v>
      </c>
      <c r="W76" s="10" t="e">
        <f t="shared" si="28"/>
        <v>#VALUE!</v>
      </c>
      <c r="Y76" s="10" t="e">
        <f t="shared" si="29"/>
        <v>#VALUE!</v>
      </c>
      <c r="Z76" s="11" t="e">
        <f t="shared" si="30"/>
        <v>#VALUE!</v>
      </c>
      <c r="AA76" s="10" t="e">
        <f t="shared" si="9"/>
        <v>#VALUE!</v>
      </c>
      <c r="AB76" s="10" t="e">
        <f t="shared" si="31"/>
        <v>#VALUE!</v>
      </c>
      <c r="AC76" s="10" t="e">
        <f t="shared" si="32"/>
        <v>#VALUE!</v>
      </c>
      <c r="AD76" s="10" t="e">
        <f t="shared" si="64"/>
        <v>#VALUE!</v>
      </c>
      <c r="AE76" s="10" t="e">
        <f t="shared" si="65"/>
        <v>#VALUE!</v>
      </c>
      <c r="AF76" s="10" t="e">
        <f t="shared" si="10"/>
        <v>#VALUE!</v>
      </c>
      <c r="AG76" s="10" t="e">
        <f t="shared" si="33"/>
        <v>#VALUE!</v>
      </c>
      <c r="AI76" s="13"/>
      <c r="AK76" s="10" t="e">
        <f t="shared" si="34"/>
        <v>#VALUE!</v>
      </c>
      <c r="AL76" s="10" t="e">
        <f t="shared" si="66"/>
        <v>#VALUE!</v>
      </c>
      <c r="AM76" s="10" t="e">
        <f t="shared" si="11"/>
        <v>#VALUE!</v>
      </c>
      <c r="AN76" s="10" t="e">
        <f t="shared" si="35"/>
        <v>#VALUE!</v>
      </c>
      <c r="AO76" s="10" t="e">
        <f t="shared" si="36"/>
        <v>#VALUE!</v>
      </c>
      <c r="AP76" s="10" t="e">
        <f t="shared" si="37"/>
        <v>#VALUE!</v>
      </c>
      <c r="AQ76" s="10" t="e">
        <f t="shared" si="67"/>
        <v>#VALUE!</v>
      </c>
      <c r="AR76" s="10" t="e">
        <f t="shared" si="12"/>
        <v>#VALUE!</v>
      </c>
      <c r="AS76" s="10" t="e">
        <f t="shared" si="68"/>
        <v>#VALUE!</v>
      </c>
      <c r="AU76" s="10" t="e">
        <f t="shared" si="38"/>
        <v>#VALUE!</v>
      </c>
      <c r="AV76" s="10" t="e">
        <f t="shared" si="69"/>
        <v>#VALUE!</v>
      </c>
      <c r="AW76" s="10" t="e">
        <f t="shared" si="13"/>
        <v>#VALUE!</v>
      </c>
      <c r="AX76" s="10" t="e">
        <f t="shared" si="39"/>
        <v>#VALUE!</v>
      </c>
      <c r="AY76" s="10" t="e">
        <f t="shared" si="40"/>
        <v>#VALUE!</v>
      </c>
      <c r="AZ76" s="10" t="e">
        <f t="shared" si="41"/>
        <v>#VALUE!</v>
      </c>
      <c r="BA76" s="10" t="e">
        <f t="shared" si="70"/>
        <v>#VALUE!</v>
      </c>
      <c r="BB76" s="10" t="e">
        <f t="shared" si="14"/>
        <v>#VALUE!</v>
      </c>
      <c r="BC76" s="10" t="e">
        <f t="shared" si="71"/>
        <v>#VALUE!</v>
      </c>
      <c r="BE76" s="10" t="e">
        <f t="shared" si="42"/>
        <v>#VALUE!</v>
      </c>
      <c r="BF76" s="10" t="e">
        <f t="shared" si="72"/>
        <v>#VALUE!</v>
      </c>
      <c r="BG76" s="10" t="e">
        <f t="shared" si="15"/>
        <v>#VALUE!</v>
      </c>
      <c r="BH76" s="10" t="e">
        <f t="shared" si="43"/>
        <v>#VALUE!</v>
      </c>
      <c r="BI76" s="10" t="e">
        <f t="shared" si="44"/>
        <v>#VALUE!</v>
      </c>
      <c r="BJ76" s="10" t="e">
        <f t="shared" si="45"/>
        <v>#VALUE!</v>
      </c>
      <c r="BK76" s="10" t="e">
        <f t="shared" si="73"/>
        <v>#VALUE!</v>
      </c>
      <c r="BL76" s="10" t="e">
        <f t="shared" si="16"/>
        <v>#VALUE!</v>
      </c>
      <c r="BM76" s="10" t="e">
        <f t="shared" si="74"/>
        <v>#VALUE!</v>
      </c>
      <c r="BP76" s="10" t="e">
        <f t="shared" si="46"/>
        <v>#VALUE!</v>
      </c>
      <c r="BQ76" s="10" t="e">
        <f t="shared" si="47"/>
        <v>#VALUE!</v>
      </c>
      <c r="BR76" s="10" t="e">
        <f t="shared" si="48"/>
        <v>#VALUE!</v>
      </c>
      <c r="BS76" s="10" t="e">
        <f t="shared" si="49"/>
        <v>#VALUE!</v>
      </c>
      <c r="BT76" s="10" t="e">
        <f t="shared" si="50"/>
        <v>#VALUE!</v>
      </c>
      <c r="BU76" s="10" t="e">
        <f t="shared" si="51"/>
        <v>#VALUE!</v>
      </c>
      <c r="BW76" s="10" t="e">
        <f t="shared" si="52"/>
        <v>#VALUE!</v>
      </c>
      <c r="BX76" s="10" t="e">
        <f t="shared" si="53"/>
        <v>#VALUE!</v>
      </c>
      <c r="BY76" s="10" t="e">
        <f t="shared" si="54"/>
        <v>#VALUE!</v>
      </c>
      <c r="BZ76" s="10" t="e">
        <f t="shared" si="55"/>
        <v>#VALUE!</v>
      </c>
      <c r="CA76" s="10" t="e">
        <f t="shared" si="56"/>
        <v>#VALUE!</v>
      </c>
      <c r="CB76" s="10" t="e">
        <f t="shared" si="57"/>
        <v>#VALUE!</v>
      </c>
      <c r="CD76" s="10" t="e">
        <f>MATCH(INDEX($BP$12:$BU$12,1,MATCH(BP76,$BP$15:$BU$15,0)),结果汇总!$AI$10:$AI$13,0)</f>
        <v>#VALUE!</v>
      </c>
      <c r="CE76" s="10" t="e">
        <f>MATCH(INDEX($BP$12:$BU$12,1,MATCH(BQ76,$BP$15:$BU$15,0)),结果汇总!$AI$10:$AI$13,0)</f>
        <v>#VALUE!</v>
      </c>
      <c r="CF76" s="10" t="e">
        <f>MATCH(INDEX($BP$12:$BU$12,1,MATCH(BR76,$BP$15:$BU$15,0)),结果汇总!$AI$10:$AI$13,0)</f>
        <v>#VALUE!</v>
      </c>
      <c r="CG76" s="10" t="e">
        <f>MATCH(INDEX($BP$12:$BU$12,1,MATCH(BS76,$BP$15:$BU$15,0)),结果汇总!$AI$10:$AI$13,0)</f>
        <v>#VALUE!</v>
      </c>
      <c r="CH76" s="10" t="e">
        <f>MATCH(INDEX($BP$12:$BU$12,1,MATCH(BT76,$BP$15:$BU$15,0)),结果汇总!$AI$10:$AI$13,0)</f>
        <v>#VALUE!</v>
      </c>
      <c r="CI76" s="10" t="e">
        <f>MATCH(INDEX($BP$12:$BU$12,1,MATCH(BU76,$BP$15:$BU$15,0)),结果汇总!$AI$10:$AI$13,0)</f>
        <v>#VALUE!</v>
      </c>
      <c r="CK76" s="10">
        <f t="shared" si="75"/>
        <v>0</v>
      </c>
      <c r="CL76" s="10">
        <f t="shared" si="75"/>
        <v>0</v>
      </c>
      <c r="CM76" s="10">
        <f t="shared" si="75"/>
        <v>0</v>
      </c>
      <c r="CN76" s="10">
        <f t="shared" si="75"/>
        <v>0</v>
      </c>
      <c r="CO76" s="10">
        <f t="shared" si="76"/>
        <v>0</v>
      </c>
      <c r="CP76" s="10">
        <f t="shared" si="76"/>
        <v>0</v>
      </c>
      <c r="CQ76" s="10">
        <f t="shared" si="76"/>
        <v>0</v>
      </c>
      <c r="CR76" s="10">
        <f t="shared" si="76"/>
        <v>0</v>
      </c>
      <c r="CS76" s="10">
        <f t="shared" si="77"/>
        <v>0</v>
      </c>
      <c r="CT76" s="10">
        <f t="shared" si="77"/>
        <v>0</v>
      </c>
      <c r="CU76" s="10">
        <f t="shared" si="77"/>
        <v>0</v>
      </c>
      <c r="CV76" s="10">
        <f t="shared" si="77"/>
        <v>0</v>
      </c>
      <c r="CW76" s="10">
        <f t="shared" si="78"/>
        <v>0</v>
      </c>
      <c r="CX76" s="10">
        <f t="shared" si="78"/>
        <v>0</v>
      </c>
      <c r="CY76" s="10">
        <f t="shared" si="78"/>
        <v>0</v>
      </c>
      <c r="CZ76" s="10">
        <f t="shared" si="78"/>
        <v>0</v>
      </c>
    </row>
    <row r="77" spans="4:104" x14ac:dyDescent="0.15">
      <c r="D77" s="10">
        <v>62</v>
      </c>
      <c r="E77" s="10" t="e">
        <f t="shared" si="21"/>
        <v>#VALUE!</v>
      </c>
      <c r="F77" s="10" t="e">
        <f t="shared" si="1"/>
        <v>#VALUE!</v>
      </c>
      <c r="G77" s="10" t="e">
        <f t="shared" si="2"/>
        <v>#VALUE!</v>
      </c>
      <c r="H77" s="10" t="e">
        <f t="shared" si="22"/>
        <v>#VALUE!</v>
      </c>
      <c r="I77" s="10" t="e">
        <f t="shared" si="3"/>
        <v>#VALUE!</v>
      </c>
      <c r="J77" s="10" t="e">
        <f t="shared" si="23"/>
        <v>#VALUE!</v>
      </c>
      <c r="K77" s="10" t="e">
        <f t="shared" si="4"/>
        <v>#VALUE!</v>
      </c>
      <c r="L77" s="10" t="e">
        <f t="shared" si="5"/>
        <v>#VALUE!</v>
      </c>
      <c r="M77" s="10" t="e">
        <f t="shared" si="24"/>
        <v>#VALUE!</v>
      </c>
      <c r="O77" s="10" t="e">
        <f t="shared" si="25"/>
        <v>#VALUE!</v>
      </c>
      <c r="P77" s="10" t="e">
        <f t="shared" si="6"/>
        <v>#VALUE!</v>
      </c>
      <c r="Q77" s="10" t="e">
        <f t="shared" si="7"/>
        <v>#VALUE!</v>
      </c>
      <c r="R77" s="10" t="e">
        <f t="shared" si="26"/>
        <v>#VALUE!</v>
      </c>
      <c r="S77" s="10" t="e">
        <f t="shared" si="27"/>
        <v>#VALUE!</v>
      </c>
      <c r="T77" s="10" t="e">
        <f t="shared" si="62"/>
        <v>#VALUE!</v>
      </c>
      <c r="U77" s="10" t="e">
        <f t="shared" si="63"/>
        <v>#VALUE!</v>
      </c>
      <c r="V77" s="10" t="e">
        <f t="shared" si="8"/>
        <v>#VALUE!</v>
      </c>
      <c r="W77" s="10" t="e">
        <f t="shared" si="28"/>
        <v>#VALUE!</v>
      </c>
      <c r="Y77" s="10" t="e">
        <f t="shared" si="29"/>
        <v>#VALUE!</v>
      </c>
      <c r="Z77" s="11" t="e">
        <f t="shared" si="30"/>
        <v>#VALUE!</v>
      </c>
      <c r="AA77" s="10" t="e">
        <f t="shared" si="9"/>
        <v>#VALUE!</v>
      </c>
      <c r="AB77" s="10" t="e">
        <f t="shared" si="31"/>
        <v>#VALUE!</v>
      </c>
      <c r="AC77" s="10" t="e">
        <f t="shared" si="32"/>
        <v>#VALUE!</v>
      </c>
      <c r="AD77" s="10" t="e">
        <f t="shared" si="64"/>
        <v>#VALUE!</v>
      </c>
      <c r="AE77" s="10" t="e">
        <f t="shared" si="65"/>
        <v>#VALUE!</v>
      </c>
      <c r="AF77" s="10" t="e">
        <f t="shared" si="10"/>
        <v>#VALUE!</v>
      </c>
      <c r="AG77" s="10" t="e">
        <f t="shared" si="33"/>
        <v>#VALUE!</v>
      </c>
      <c r="AI77" s="13"/>
      <c r="AK77" s="10" t="e">
        <f t="shared" si="34"/>
        <v>#VALUE!</v>
      </c>
      <c r="AL77" s="10" t="e">
        <f t="shared" si="66"/>
        <v>#VALUE!</v>
      </c>
      <c r="AM77" s="10" t="e">
        <f t="shared" si="11"/>
        <v>#VALUE!</v>
      </c>
      <c r="AN77" s="10" t="e">
        <f t="shared" si="35"/>
        <v>#VALUE!</v>
      </c>
      <c r="AO77" s="10" t="e">
        <f t="shared" si="36"/>
        <v>#VALUE!</v>
      </c>
      <c r="AP77" s="10" t="e">
        <f t="shared" si="37"/>
        <v>#VALUE!</v>
      </c>
      <c r="AQ77" s="10" t="e">
        <f t="shared" si="67"/>
        <v>#VALUE!</v>
      </c>
      <c r="AR77" s="10" t="e">
        <f t="shared" si="12"/>
        <v>#VALUE!</v>
      </c>
      <c r="AS77" s="10" t="e">
        <f t="shared" si="68"/>
        <v>#VALUE!</v>
      </c>
      <c r="AU77" s="10" t="e">
        <f t="shared" si="38"/>
        <v>#VALUE!</v>
      </c>
      <c r="AV77" s="10" t="e">
        <f t="shared" si="69"/>
        <v>#VALUE!</v>
      </c>
      <c r="AW77" s="10" t="e">
        <f t="shared" si="13"/>
        <v>#VALUE!</v>
      </c>
      <c r="AX77" s="10" t="e">
        <f t="shared" si="39"/>
        <v>#VALUE!</v>
      </c>
      <c r="AY77" s="10" t="e">
        <f t="shared" si="40"/>
        <v>#VALUE!</v>
      </c>
      <c r="AZ77" s="10" t="e">
        <f t="shared" si="41"/>
        <v>#VALUE!</v>
      </c>
      <c r="BA77" s="10" t="e">
        <f t="shared" si="70"/>
        <v>#VALUE!</v>
      </c>
      <c r="BB77" s="10" t="e">
        <f t="shared" si="14"/>
        <v>#VALUE!</v>
      </c>
      <c r="BC77" s="10" t="e">
        <f t="shared" si="71"/>
        <v>#VALUE!</v>
      </c>
      <c r="BE77" s="10" t="e">
        <f t="shared" si="42"/>
        <v>#VALUE!</v>
      </c>
      <c r="BF77" s="10" t="e">
        <f t="shared" si="72"/>
        <v>#VALUE!</v>
      </c>
      <c r="BG77" s="10" t="e">
        <f t="shared" si="15"/>
        <v>#VALUE!</v>
      </c>
      <c r="BH77" s="10" t="e">
        <f t="shared" si="43"/>
        <v>#VALUE!</v>
      </c>
      <c r="BI77" s="10" t="e">
        <f t="shared" si="44"/>
        <v>#VALUE!</v>
      </c>
      <c r="BJ77" s="10" t="e">
        <f t="shared" si="45"/>
        <v>#VALUE!</v>
      </c>
      <c r="BK77" s="10" t="e">
        <f t="shared" si="73"/>
        <v>#VALUE!</v>
      </c>
      <c r="BL77" s="10" t="e">
        <f t="shared" si="16"/>
        <v>#VALUE!</v>
      </c>
      <c r="BM77" s="10" t="e">
        <f t="shared" si="74"/>
        <v>#VALUE!</v>
      </c>
      <c r="BP77" s="10" t="e">
        <f t="shared" si="46"/>
        <v>#VALUE!</v>
      </c>
      <c r="BQ77" s="10" t="e">
        <f t="shared" si="47"/>
        <v>#VALUE!</v>
      </c>
      <c r="BR77" s="10" t="e">
        <f t="shared" si="48"/>
        <v>#VALUE!</v>
      </c>
      <c r="BS77" s="10" t="e">
        <f t="shared" si="49"/>
        <v>#VALUE!</v>
      </c>
      <c r="BT77" s="10" t="e">
        <f t="shared" si="50"/>
        <v>#VALUE!</v>
      </c>
      <c r="BU77" s="10" t="e">
        <f t="shared" si="51"/>
        <v>#VALUE!</v>
      </c>
      <c r="BW77" s="10" t="e">
        <f t="shared" si="52"/>
        <v>#VALUE!</v>
      </c>
      <c r="BX77" s="10" t="e">
        <f t="shared" si="53"/>
        <v>#VALUE!</v>
      </c>
      <c r="BY77" s="10" t="e">
        <f t="shared" si="54"/>
        <v>#VALUE!</v>
      </c>
      <c r="BZ77" s="10" t="e">
        <f t="shared" si="55"/>
        <v>#VALUE!</v>
      </c>
      <c r="CA77" s="10" t="e">
        <f t="shared" si="56"/>
        <v>#VALUE!</v>
      </c>
      <c r="CB77" s="10" t="e">
        <f t="shared" si="57"/>
        <v>#VALUE!</v>
      </c>
      <c r="CD77" s="10" t="e">
        <f>MATCH(INDEX($BP$12:$BU$12,1,MATCH(BP77,$BP$15:$BU$15,0)),结果汇总!$AI$10:$AI$13,0)</f>
        <v>#VALUE!</v>
      </c>
      <c r="CE77" s="10" t="e">
        <f>MATCH(INDEX($BP$12:$BU$12,1,MATCH(BQ77,$BP$15:$BU$15,0)),结果汇总!$AI$10:$AI$13,0)</f>
        <v>#VALUE!</v>
      </c>
      <c r="CF77" s="10" t="e">
        <f>MATCH(INDEX($BP$12:$BU$12,1,MATCH(BR77,$BP$15:$BU$15,0)),结果汇总!$AI$10:$AI$13,0)</f>
        <v>#VALUE!</v>
      </c>
      <c r="CG77" s="10" t="e">
        <f>MATCH(INDEX($BP$12:$BU$12,1,MATCH(BS77,$BP$15:$BU$15,0)),结果汇总!$AI$10:$AI$13,0)</f>
        <v>#VALUE!</v>
      </c>
      <c r="CH77" s="10" t="e">
        <f>MATCH(INDEX($BP$12:$BU$12,1,MATCH(BT77,$BP$15:$BU$15,0)),结果汇总!$AI$10:$AI$13,0)</f>
        <v>#VALUE!</v>
      </c>
      <c r="CI77" s="10" t="e">
        <f>MATCH(INDEX($BP$12:$BU$12,1,MATCH(BU77,$BP$15:$BU$15,0)),结果汇总!$AI$10:$AI$13,0)</f>
        <v>#VALUE!</v>
      </c>
      <c r="CK77" s="10">
        <f t="shared" si="75"/>
        <v>0</v>
      </c>
      <c r="CL77" s="10">
        <f t="shared" si="75"/>
        <v>0</v>
      </c>
      <c r="CM77" s="10">
        <f t="shared" si="75"/>
        <v>0</v>
      </c>
      <c r="CN77" s="10">
        <f t="shared" si="75"/>
        <v>0</v>
      </c>
      <c r="CO77" s="10">
        <f t="shared" si="76"/>
        <v>0</v>
      </c>
      <c r="CP77" s="10">
        <f t="shared" si="76"/>
        <v>0</v>
      </c>
      <c r="CQ77" s="10">
        <f t="shared" si="76"/>
        <v>0</v>
      </c>
      <c r="CR77" s="10">
        <f t="shared" si="76"/>
        <v>0</v>
      </c>
      <c r="CS77" s="10">
        <f t="shared" si="77"/>
        <v>0</v>
      </c>
      <c r="CT77" s="10">
        <f t="shared" si="77"/>
        <v>0</v>
      </c>
      <c r="CU77" s="10">
        <f t="shared" si="77"/>
        <v>0</v>
      </c>
      <c r="CV77" s="10">
        <f t="shared" si="77"/>
        <v>0</v>
      </c>
      <c r="CW77" s="10">
        <f t="shared" si="78"/>
        <v>0</v>
      </c>
      <c r="CX77" s="10">
        <f t="shared" si="78"/>
        <v>0</v>
      </c>
      <c r="CY77" s="10">
        <f t="shared" si="78"/>
        <v>0</v>
      </c>
      <c r="CZ77" s="10">
        <f t="shared" si="78"/>
        <v>0</v>
      </c>
    </row>
    <row r="78" spans="4:104" x14ac:dyDescent="0.15">
      <c r="D78" s="10">
        <v>63</v>
      </c>
      <c r="E78" s="10" t="e">
        <f t="shared" si="21"/>
        <v>#VALUE!</v>
      </c>
      <c r="F78" s="10" t="e">
        <f t="shared" si="1"/>
        <v>#VALUE!</v>
      </c>
      <c r="G78" s="10" t="e">
        <f t="shared" si="2"/>
        <v>#VALUE!</v>
      </c>
      <c r="H78" s="10" t="e">
        <f t="shared" si="22"/>
        <v>#VALUE!</v>
      </c>
      <c r="I78" s="10" t="e">
        <f t="shared" si="3"/>
        <v>#VALUE!</v>
      </c>
      <c r="J78" s="10" t="e">
        <f t="shared" si="23"/>
        <v>#VALUE!</v>
      </c>
      <c r="K78" s="10" t="e">
        <f t="shared" si="4"/>
        <v>#VALUE!</v>
      </c>
      <c r="L78" s="10" t="e">
        <f t="shared" si="5"/>
        <v>#VALUE!</v>
      </c>
      <c r="M78" s="10" t="e">
        <f t="shared" si="24"/>
        <v>#VALUE!</v>
      </c>
      <c r="O78" s="10" t="e">
        <f t="shared" si="25"/>
        <v>#VALUE!</v>
      </c>
      <c r="P78" s="10" t="e">
        <f t="shared" si="6"/>
        <v>#VALUE!</v>
      </c>
      <c r="Q78" s="10" t="e">
        <f t="shared" si="7"/>
        <v>#VALUE!</v>
      </c>
      <c r="R78" s="10" t="e">
        <f t="shared" si="26"/>
        <v>#VALUE!</v>
      </c>
      <c r="S78" s="10" t="e">
        <f t="shared" si="27"/>
        <v>#VALUE!</v>
      </c>
      <c r="T78" s="10" t="e">
        <f t="shared" si="62"/>
        <v>#VALUE!</v>
      </c>
      <c r="U78" s="10" t="e">
        <f t="shared" si="63"/>
        <v>#VALUE!</v>
      </c>
      <c r="V78" s="10" t="e">
        <f t="shared" si="8"/>
        <v>#VALUE!</v>
      </c>
      <c r="W78" s="10" t="e">
        <f t="shared" si="28"/>
        <v>#VALUE!</v>
      </c>
      <c r="Y78" s="10" t="e">
        <f t="shared" si="29"/>
        <v>#VALUE!</v>
      </c>
      <c r="Z78" s="11" t="e">
        <f t="shared" si="30"/>
        <v>#VALUE!</v>
      </c>
      <c r="AA78" s="10" t="e">
        <f t="shared" si="9"/>
        <v>#VALUE!</v>
      </c>
      <c r="AB78" s="10" t="e">
        <f t="shared" si="31"/>
        <v>#VALUE!</v>
      </c>
      <c r="AC78" s="10" t="e">
        <f t="shared" si="32"/>
        <v>#VALUE!</v>
      </c>
      <c r="AD78" s="10" t="e">
        <f t="shared" si="64"/>
        <v>#VALUE!</v>
      </c>
      <c r="AE78" s="10" t="e">
        <f t="shared" si="65"/>
        <v>#VALUE!</v>
      </c>
      <c r="AF78" s="10" t="e">
        <f t="shared" si="10"/>
        <v>#VALUE!</v>
      </c>
      <c r="AG78" s="10" t="e">
        <f t="shared" si="33"/>
        <v>#VALUE!</v>
      </c>
      <c r="AI78" s="13"/>
      <c r="AK78" s="10" t="e">
        <f t="shared" si="34"/>
        <v>#VALUE!</v>
      </c>
      <c r="AL78" s="10" t="e">
        <f t="shared" si="66"/>
        <v>#VALUE!</v>
      </c>
      <c r="AM78" s="10" t="e">
        <f t="shared" si="11"/>
        <v>#VALUE!</v>
      </c>
      <c r="AN78" s="10" t="e">
        <f t="shared" si="35"/>
        <v>#VALUE!</v>
      </c>
      <c r="AO78" s="10" t="e">
        <f t="shared" si="36"/>
        <v>#VALUE!</v>
      </c>
      <c r="AP78" s="10" t="e">
        <f t="shared" si="37"/>
        <v>#VALUE!</v>
      </c>
      <c r="AQ78" s="10" t="e">
        <f t="shared" si="67"/>
        <v>#VALUE!</v>
      </c>
      <c r="AR78" s="10" t="e">
        <f t="shared" si="12"/>
        <v>#VALUE!</v>
      </c>
      <c r="AS78" s="10" t="e">
        <f t="shared" si="68"/>
        <v>#VALUE!</v>
      </c>
      <c r="AU78" s="10" t="e">
        <f t="shared" si="38"/>
        <v>#VALUE!</v>
      </c>
      <c r="AV78" s="10" t="e">
        <f t="shared" si="69"/>
        <v>#VALUE!</v>
      </c>
      <c r="AW78" s="10" t="e">
        <f t="shared" si="13"/>
        <v>#VALUE!</v>
      </c>
      <c r="AX78" s="10" t="e">
        <f t="shared" si="39"/>
        <v>#VALUE!</v>
      </c>
      <c r="AY78" s="10" t="e">
        <f t="shared" si="40"/>
        <v>#VALUE!</v>
      </c>
      <c r="AZ78" s="10" t="e">
        <f t="shared" si="41"/>
        <v>#VALUE!</v>
      </c>
      <c r="BA78" s="10" t="e">
        <f t="shared" si="70"/>
        <v>#VALUE!</v>
      </c>
      <c r="BB78" s="10" t="e">
        <f t="shared" si="14"/>
        <v>#VALUE!</v>
      </c>
      <c r="BC78" s="10" t="e">
        <f t="shared" si="71"/>
        <v>#VALUE!</v>
      </c>
      <c r="BE78" s="10" t="e">
        <f t="shared" si="42"/>
        <v>#VALUE!</v>
      </c>
      <c r="BF78" s="10" t="e">
        <f t="shared" si="72"/>
        <v>#VALUE!</v>
      </c>
      <c r="BG78" s="10" t="e">
        <f t="shared" si="15"/>
        <v>#VALUE!</v>
      </c>
      <c r="BH78" s="10" t="e">
        <f t="shared" si="43"/>
        <v>#VALUE!</v>
      </c>
      <c r="BI78" s="10" t="e">
        <f t="shared" si="44"/>
        <v>#VALUE!</v>
      </c>
      <c r="BJ78" s="10" t="e">
        <f t="shared" si="45"/>
        <v>#VALUE!</v>
      </c>
      <c r="BK78" s="10" t="e">
        <f t="shared" si="73"/>
        <v>#VALUE!</v>
      </c>
      <c r="BL78" s="10" t="e">
        <f t="shared" si="16"/>
        <v>#VALUE!</v>
      </c>
      <c r="BM78" s="10" t="e">
        <f t="shared" si="74"/>
        <v>#VALUE!</v>
      </c>
      <c r="BP78" s="10" t="e">
        <f t="shared" si="46"/>
        <v>#VALUE!</v>
      </c>
      <c r="BQ78" s="10" t="e">
        <f t="shared" si="47"/>
        <v>#VALUE!</v>
      </c>
      <c r="BR78" s="10" t="e">
        <f t="shared" si="48"/>
        <v>#VALUE!</v>
      </c>
      <c r="BS78" s="10" t="e">
        <f t="shared" si="49"/>
        <v>#VALUE!</v>
      </c>
      <c r="BT78" s="10" t="e">
        <f t="shared" si="50"/>
        <v>#VALUE!</v>
      </c>
      <c r="BU78" s="10" t="e">
        <f t="shared" si="51"/>
        <v>#VALUE!</v>
      </c>
      <c r="BW78" s="10" t="e">
        <f t="shared" si="52"/>
        <v>#VALUE!</v>
      </c>
      <c r="BX78" s="10" t="e">
        <f t="shared" si="53"/>
        <v>#VALUE!</v>
      </c>
      <c r="BY78" s="10" t="e">
        <f t="shared" si="54"/>
        <v>#VALUE!</v>
      </c>
      <c r="BZ78" s="10" t="e">
        <f t="shared" si="55"/>
        <v>#VALUE!</v>
      </c>
      <c r="CA78" s="10" t="e">
        <f t="shared" si="56"/>
        <v>#VALUE!</v>
      </c>
      <c r="CB78" s="10" t="e">
        <f t="shared" si="57"/>
        <v>#VALUE!</v>
      </c>
      <c r="CD78" s="10" t="e">
        <f>MATCH(INDEX($BP$12:$BU$12,1,MATCH(BP78,$BP$15:$BU$15,0)),结果汇总!$AI$10:$AI$13,0)</f>
        <v>#VALUE!</v>
      </c>
      <c r="CE78" s="10" t="e">
        <f>MATCH(INDEX($BP$12:$BU$12,1,MATCH(BQ78,$BP$15:$BU$15,0)),结果汇总!$AI$10:$AI$13,0)</f>
        <v>#VALUE!</v>
      </c>
      <c r="CF78" s="10" t="e">
        <f>MATCH(INDEX($BP$12:$BU$12,1,MATCH(BR78,$BP$15:$BU$15,0)),结果汇总!$AI$10:$AI$13,0)</f>
        <v>#VALUE!</v>
      </c>
      <c r="CG78" s="10" t="e">
        <f>MATCH(INDEX($BP$12:$BU$12,1,MATCH(BS78,$BP$15:$BU$15,0)),结果汇总!$AI$10:$AI$13,0)</f>
        <v>#VALUE!</v>
      </c>
      <c r="CH78" s="10" t="e">
        <f>MATCH(INDEX($BP$12:$BU$12,1,MATCH(BT78,$BP$15:$BU$15,0)),结果汇总!$AI$10:$AI$13,0)</f>
        <v>#VALUE!</v>
      </c>
      <c r="CI78" s="10" t="e">
        <f>MATCH(INDEX($BP$12:$BU$12,1,MATCH(BU78,$BP$15:$BU$15,0)),结果汇总!$AI$10:$AI$13,0)</f>
        <v>#VALUE!</v>
      </c>
      <c r="CK78" s="10">
        <f t="shared" si="75"/>
        <v>0</v>
      </c>
      <c r="CL78" s="10">
        <f t="shared" si="75"/>
        <v>0</v>
      </c>
      <c r="CM78" s="10">
        <f t="shared" si="75"/>
        <v>0</v>
      </c>
      <c r="CN78" s="10">
        <f t="shared" si="75"/>
        <v>0</v>
      </c>
      <c r="CO78" s="10">
        <f t="shared" si="76"/>
        <v>0</v>
      </c>
      <c r="CP78" s="10">
        <f t="shared" si="76"/>
        <v>0</v>
      </c>
      <c r="CQ78" s="10">
        <f t="shared" si="76"/>
        <v>0</v>
      </c>
      <c r="CR78" s="10">
        <f t="shared" si="76"/>
        <v>0</v>
      </c>
      <c r="CS78" s="10">
        <f t="shared" si="77"/>
        <v>0</v>
      </c>
      <c r="CT78" s="10">
        <f t="shared" si="77"/>
        <v>0</v>
      </c>
      <c r="CU78" s="10">
        <f t="shared" si="77"/>
        <v>0</v>
      </c>
      <c r="CV78" s="10">
        <f t="shared" si="77"/>
        <v>0</v>
      </c>
      <c r="CW78" s="10">
        <f t="shared" si="78"/>
        <v>0</v>
      </c>
      <c r="CX78" s="10">
        <f t="shared" si="78"/>
        <v>0</v>
      </c>
      <c r="CY78" s="10">
        <f t="shared" si="78"/>
        <v>0</v>
      </c>
      <c r="CZ78" s="10">
        <f t="shared" si="78"/>
        <v>0</v>
      </c>
    </row>
    <row r="79" spans="4:104" x14ac:dyDescent="0.15">
      <c r="D79" s="10">
        <v>64</v>
      </c>
      <c r="E79" s="10" t="e">
        <f t="shared" si="21"/>
        <v>#VALUE!</v>
      </c>
      <c r="F79" s="10" t="e">
        <f t="shared" si="1"/>
        <v>#VALUE!</v>
      </c>
      <c r="G79" s="10" t="e">
        <f t="shared" si="2"/>
        <v>#VALUE!</v>
      </c>
      <c r="H79" s="10" t="e">
        <f t="shared" si="22"/>
        <v>#VALUE!</v>
      </c>
      <c r="I79" s="10" t="e">
        <f t="shared" si="3"/>
        <v>#VALUE!</v>
      </c>
      <c r="J79" s="10" t="e">
        <f t="shared" si="23"/>
        <v>#VALUE!</v>
      </c>
      <c r="K79" s="10" t="e">
        <f t="shared" si="4"/>
        <v>#VALUE!</v>
      </c>
      <c r="L79" s="10" t="e">
        <f t="shared" si="5"/>
        <v>#VALUE!</v>
      </c>
      <c r="M79" s="10" t="e">
        <f t="shared" si="24"/>
        <v>#VALUE!</v>
      </c>
      <c r="O79" s="10" t="e">
        <f t="shared" si="25"/>
        <v>#VALUE!</v>
      </c>
      <c r="P79" s="10" t="e">
        <f t="shared" si="6"/>
        <v>#VALUE!</v>
      </c>
      <c r="Q79" s="10" t="e">
        <f t="shared" si="7"/>
        <v>#VALUE!</v>
      </c>
      <c r="R79" s="10" t="e">
        <f t="shared" si="26"/>
        <v>#VALUE!</v>
      </c>
      <c r="S79" s="10" t="e">
        <f t="shared" si="27"/>
        <v>#VALUE!</v>
      </c>
      <c r="T79" s="10" t="e">
        <f t="shared" si="62"/>
        <v>#VALUE!</v>
      </c>
      <c r="U79" s="10" t="e">
        <f t="shared" si="63"/>
        <v>#VALUE!</v>
      </c>
      <c r="V79" s="10" t="e">
        <f t="shared" si="8"/>
        <v>#VALUE!</v>
      </c>
      <c r="W79" s="10" t="e">
        <f t="shared" si="28"/>
        <v>#VALUE!</v>
      </c>
      <c r="Y79" s="10" t="e">
        <f t="shared" si="29"/>
        <v>#VALUE!</v>
      </c>
      <c r="Z79" s="11" t="e">
        <f t="shared" si="30"/>
        <v>#VALUE!</v>
      </c>
      <c r="AA79" s="10" t="e">
        <f t="shared" si="9"/>
        <v>#VALUE!</v>
      </c>
      <c r="AB79" s="10" t="e">
        <f t="shared" si="31"/>
        <v>#VALUE!</v>
      </c>
      <c r="AC79" s="10" t="e">
        <f t="shared" si="32"/>
        <v>#VALUE!</v>
      </c>
      <c r="AD79" s="10" t="e">
        <f t="shared" si="64"/>
        <v>#VALUE!</v>
      </c>
      <c r="AE79" s="10" t="e">
        <f t="shared" si="65"/>
        <v>#VALUE!</v>
      </c>
      <c r="AF79" s="10" t="e">
        <f t="shared" si="10"/>
        <v>#VALUE!</v>
      </c>
      <c r="AG79" s="10" t="e">
        <f t="shared" si="33"/>
        <v>#VALUE!</v>
      </c>
      <c r="AI79" s="13"/>
      <c r="AK79" s="10" t="e">
        <f t="shared" si="34"/>
        <v>#VALUE!</v>
      </c>
      <c r="AL79" s="10" t="e">
        <f t="shared" si="66"/>
        <v>#VALUE!</v>
      </c>
      <c r="AM79" s="10" t="e">
        <f t="shared" si="11"/>
        <v>#VALUE!</v>
      </c>
      <c r="AN79" s="10" t="e">
        <f t="shared" si="35"/>
        <v>#VALUE!</v>
      </c>
      <c r="AO79" s="10" t="e">
        <f t="shared" si="36"/>
        <v>#VALUE!</v>
      </c>
      <c r="AP79" s="10" t="e">
        <f t="shared" si="37"/>
        <v>#VALUE!</v>
      </c>
      <c r="AQ79" s="10" t="e">
        <f t="shared" si="67"/>
        <v>#VALUE!</v>
      </c>
      <c r="AR79" s="10" t="e">
        <f t="shared" si="12"/>
        <v>#VALUE!</v>
      </c>
      <c r="AS79" s="10" t="e">
        <f t="shared" si="68"/>
        <v>#VALUE!</v>
      </c>
      <c r="AU79" s="10" t="e">
        <f t="shared" si="38"/>
        <v>#VALUE!</v>
      </c>
      <c r="AV79" s="10" t="e">
        <f t="shared" si="69"/>
        <v>#VALUE!</v>
      </c>
      <c r="AW79" s="10" t="e">
        <f t="shared" si="13"/>
        <v>#VALUE!</v>
      </c>
      <c r="AX79" s="10" t="e">
        <f t="shared" si="39"/>
        <v>#VALUE!</v>
      </c>
      <c r="AY79" s="10" t="e">
        <f t="shared" si="40"/>
        <v>#VALUE!</v>
      </c>
      <c r="AZ79" s="10" t="e">
        <f t="shared" si="41"/>
        <v>#VALUE!</v>
      </c>
      <c r="BA79" s="10" t="e">
        <f t="shared" si="70"/>
        <v>#VALUE!</v>
      </c>
      <c r="BB79" s="10" t="e">
        <f t="shared" si="14"/>
        <v>#VALUE!</v>
      </c>
      <c r="BC79" s="10" t="e">
        <f t="shared" si="71"/>
        <v>#VALUE!</v>
      </c>
      <c r="BE79" s="10" t="e">
        <f t="shared" si="42"/>
        <v>#VALUE!</v>
      </c>
      <c r="BF79" s="10" t="e">
        <f t="shared" si="72"/>
        <v>#VALUE!</v>
      </c>
      <c r="BG79" s="10" t="e">
        <f t="shared" si="15"/>
        <v>#VALUE!</v>
      </c>
      <c r="BH79" s="10" t="e">
        <f t="shared" si="43"/>
        <v>#VALUE!</v>
      </c>
      <c r="BI79" s="10" t="e">
        <f t="shared" si="44"/>
        <v>#VALUE!</v>
      </c>
      <c r="BJ79" s="10" t="e">
        <f t="shared" si="45"/>
        <v>#VALUE!</v>
      </c>
      <c r="BK79" s="10" t="e">
        <f t="shared" si="73"/>
        <v>#VALUE!</v>
      </c>
      <c r="BL79" s="10" t="e">
        <f t="shared" si="16"/>
        <v>#VALUE!</v>
      </c>
      <c r="BM79" s="10" t="e">
        <f t="shared" si="74"/>
        <v>#VALUE!</v>
      </c>
      <c r="BP79" s="10" t="e">
        <f t="shared" si="46"/>
        <v>#VALUE!</v>
      </c>
      <c r="BQ79" s="10" t="e">
        <f t="shared" si="47"/>
        <v>#VALUE!</v>
      </c>
      <c r="BR79" s="10" t="e">
        <f t="shared" si="48"/>
        <v>#VALUE!</v>
      </c>
      <c r="BS79" s="10" t="e">
        <f t="shared" si="49"/>
        <v>#VALUE!</v>
      </c>
      <c r="BT79" s="10" t="e">
        <f t="shared" si="50"/>
        <v>#VALUE!</v>
      </c>
      <c r="BU79" s="10" t="e">
        <f t="shared" si="51"/>
        <v>#VALUE!</v>
      </c>
      <c r="BW79" s="10" t="e">
        <f t="shared" si="52"/>
        <v>#VALUE!</v>
      </c>
      <c r="BX79" s="10" t="e">
        <f t="shared" si="53"/>
        <v>#VALUE!</v>
      </c>
      <c r="BY79" s="10" t="e">
        <f t="shared" si="54"/>
        <v>#VALUE!</v>
      </c>
      <c r="BZ79" s="10" t="e">
        <f t="shared" si="55"/>
        <v>#VALUE!</v>
      </c>
      <c r="CA79" s="10" t="e">
        <f t="shared" si="56"/>
        <v>#VALUE!</v>
      </c>
      <c r="CB79" s="10" t="e">
        <f t="shared" si="57"/>
        <v>#VALUE!</v>
      </c>
      <c r="CD79" s="10" t="e">
        <f>MATCH(INDEX($BP$12:$BU$12,1,MATCH(BP79,$BP$15:$BU$15,0)),结果汇总!$AI$10:$AI$13,0)</f>
        <v>#VALUE!</v>
      </c>
      <c r="CE79" s="10" t="e">
        <f>MATCH(INDEX($BP$12:$BU$12,1,MATCH(BQ79,$BP$15:$BU$15,0)),结果汇总!$AI$10:$AI$13,0)</f>
        <v>#VALUE!</v>
      </c>
      <c r="CF79" s="10" t="e">
        <f>MATCH(INDEX($BP$12:$BU$12,1,MATCH(BR79,$BP$15:$BU$15,0)),结果汇总!$AI$10:$AI$13,0)</f>
        <v>#VALUE!</v>
      </c>
      <c r="CG79" s="10" t="e">
        <f>MATCH(INDEX($BP$12:$BU$12,1,MATCH(BS79,$BP$15:$BU$15,0)),结果汇总!$AI$10:$AI$13,0)</f>
        <v>#VALUE!</v>
      </c>
      <c r="CH79" s="10" t="e">
        <f>MATCH(INDEX($BP$12:$BU$12,1,MATCH(BT79,$BP$15:$BU$15,0)),结果汇总!$AI$10:$AI$13,0)</f>
        <v>#VALUE!</v>
      </c>
      <c r="CI79" s="10" t="e">
        <f>MATCH(INDEX($BP$12:$BU$12,1,MATCH(BU79,$BP$15:$BU$15,0)),结果汇总!$AI$10:$AI$13,0)</f>
        <v>#VALUE!</v>
      </c>
      <c r="CK79" s="10">
        <f t="shared" si="75"/>
        <v>0</v>
      </c>
      <c r="CL79" s="10">
        <f t="shared" si="75"/>
        <v>0</v>
      </c>
      <c r="CM79" s="10">
        <f t="shared" si="75"/>
        <v>0</v>
      </c>
      <c r="CN79" s="10">
        <f t="shared" si="75"/>
        <v>0</v>
      </c>
      <c r="CO79" s="10">
        <f t="shared" si="76"/>
        <v>0</v>
      </c>
      <c r="CP79" s="10">
        <f t="shared" si="76"/>
        <v>0</v>
      </c>
      <c r="CQ79" s="10">
        <f t="shared" si="76"/>
        <v>0</v>
      </c>
      <c r="CR79" s="10">
        <f t="shared" si="76"/>
        <v>0</v>
      </c>
      <c r="CS79" s="10">
        <f t="shared" si="77"/>
        <v>0</v>
      </c>
      <c r="CT79" s="10">
        <f t="shared" si="77"/>
        <v>0</v>
      </c>
      <c r="CU79" s="10">
        <f t="shared" si="77"/>
        <v>0</v>
      </c>
      <c r="CV79" s="10">
        <f t="shared" si="77"/>
        <v>0</v>
      </c>
      <c r="CW79" s="10">
        <f t="shared" si="78"/>
        <v>0</v>
      </c>
      <c r="CX79" s="10">
        <f t="shared" si="78"/>
        <v>0</v>
      </c>
      <c r="CY79" s="10">
        <f t="shared" si="78"/>
        <v>0</v>
      </c>
      <c r="CZ79" s="10">
        <f t="shared" si="78"/>
        <v>0</v>
      </c>
    </row>
    <row r="80" spans="4:104" x14ac:dyDescent="0.15">
      <c r="D80" s="10">
        <v>65</v>
      </c>
      <c r="E80" s="10" t="e">
        <f t="shared" si="21"/>
        <v>#VALUE!</v>
      </c>
      <c r="F80" s="10" t="e">
        <f t="shared" ref="F80:F135" si="79">IF(E80=0,0,E80*$E$5)</f>
        <v>#VALUE!</v>
      </c>
      <c r="G80" s="10" t="e">
        <f t="shared" ref="G80:G135" si="80">F80*$P$7</f>
        <v>#VALUE!</v>
      </c>
      <c r="H80" s="10" t="e">
        <f t="shared" si="22"/>
        <v>#VALUE!</v>
      </c>
      <c r="I80" s="10" t="e">
        <f t="shared" ref="I80:I135" si="81">IF(AND(J80=0,E80&lt;&gt;0),1,H80/(H80+$G$6))</f>
        <v>#VALUE!</v>
      </c>
      <c r="J80" s="10" t="e">
        <f t="shared" si="23"/>
        <v>#VALUE!</v>
      </c>
      <c r="K80" s="10" t="e">
        <f t="shared" ref="K80:K135" si="82">IF(J80=0,0,ROUNDUP(J80,0)*$E$6)</f>
        <v>#VALUE!</v>
      </c>
      <c r="L80" s="10" t="e">
        <f t="shared" ref="L80:L135" si="83">K80*$P$7</f>
        <v>#VALUE!</v>
      </c>
      <c r="M80" s="10" t="e">
        <f t="shared" si="24"/>
        <v>#VALUE!</v>
      </c>
      <c r="O80" s="10" t="e">
        <f t="shared" si="25"/>
        <v>#VALUE!</v>
      </c>
      <c r="P80" s="10" t="e">
        <f t="shared" ref="P80:P135" si="84">IF(O80=0,0,O80*$E$8)</f>
        <v>#VALUE!</v>
      </c>
      <c r="Q80" s="10" t="e">
        <f t="shared" ref="Q80:Q135" si="85">P80*$P$7</f>
        <v>#VALUE!</v>
      </c>
      <c r="R80" s="10" t="e">
        <f t="shared" si="26"/>
        <v>#VALUE!</v>
      </c>
      <c r="S80" s="10" t="e">
        <f t="shared" si="27"/>
        <v>#VALUE!</v>
      </c>
      <c r="T80" s="10" t="e">
        <f t="shared" si="62"/>
        <v>#VALUE!</v>
      </c>
      <c r="U80" s="10" t="e">
        <f t="shared" si="63"/>
        <v>#VALUE!</v>
      </c>
      <c r="V80" s="10" t="e">
        <f t="shared" ref="V80:V135" si="86">U80*$P$7</f>
        <v>#VALUE!</v>
      </c>
      <c r="W80" s="10" t="e">
        <f t="shared" si="28"/>
        <v>#VALUE!</v>
      </c>
      <c r="Y80" s="10" t="e">
        <f t="shared" si="29"/>
        <v>#VALUE!</v>
      </c>
      <c r="Z80" s="11" t="e">
        <f t="shared" si="30"/>
        <v>#VALUE!</v>
      </c>
      <c r="AA80" s="10" t="e">
        <f t="shared" ref="AA80:AA135" si="87">Z80*$P$7</f>
        <v>#VALUE!</v>
      </c>
      <c r="AB80" s="10" t="e">
        <f t="shared" si="31"/>
        <v>#VALUE!</v>
      </c>
      <c r="AC80" s="10" t="e">
        <f t="shared" si="32"/>
        <v>#VALUE!</v>
      </c>
      <c r="AD80" s="10" t="e">
        <f t="shared" si="64"/>
        <v>#VALUE!</v>
      </c>
      <c r="AE80" s="10" t="e">
        <f t="shared" si="65"/>
        <v>#VALUE!</v>
      </c>
      <c r="AF80" s="10" t="e">
        <f t="shared" ref="AF80:AF135" si="88">AE80*$P$7</f>
        <v>#VALUE!</v>
      </c>
      <c r="AG80" s="10" t="e">
        <f t="shared" si="33"/>
        <v>#VALUE!</v>
      </c>
      <c r="AI80" s="13"/>
      <c r="AK80" s="10" t="e">
        <f t="shared" si="34"/>
        <v>#VALUE!</v>
      </c>
      <c r="AL80" s="10" t="e">
        <f t="shared" si="66"/>
        <v>#VALUE!</v>
      </c>
      <c r="AM80" s="10" t="e">
        <f t="shared" ref="AM80:AM135" si="89">AL80*$P$7</f>
        <v>#VALUE!</v>
      </c>
      <c r="AN80" s="10" t="e">
        <f t="shared" si="35"/>
        <v>#VALUE!</v>
      </c>
      <c r="AO80" s="10" t="e">
        <f t="shared" si="36"/>
        <v>#VALUE!</v>
      </c>
      <c r="AP80" s="10" t="e">
        <f t="shared" si="37"/>
        <v>#VALUE!</v>
      </c>
      <c r="AQ80" s="10" t="e">
        <f t="shared" si="67"/>
        <v>#VALUE!</v>
      </c>
      <c r="AR80" s="10" t="e">
        <f t="shared" ref="AR80:AR135" si="90">AQ80*$P$7</f>
        <v>#VALUE!</v>
      </c>
      <c r="AS80" s="10" t="e">
        <f t="shared" si="68"/>
        <v>#VALUE!</v>
      </c>
      <c r="AU80" s="10" t="e">
        <f t="shared" si="38"/>
        <v>#VALUE!</v>
      </c>
      <c r="AV80" s="10" t="e">
        <f t="shared" si="69"/>
        <v>#VALUE!</v>
      </c>
      <c r="AW80" s="10" t="e">
        <f t="shared" ref="AW80:AW135" si="91">AV80*$P$7</f>
        <v>#VALUE!</v>
      </c>
      <c r="AX80" s="10" t="e">
        <f t="shared" si="39"/>
        <v>#VALUE!</v>
      </c>
      <c r="AY80" s="10" t="e">
        <f t="shared" si="40"/>
        <v>#VALUE!</v>
      </c>
      <c r="AZ80" s="10" t="e">
        <f t="shared" si="41"/>
        <v>#VALUE!</v>
      </c>
      <c r="BA80" s="10" t="e">
        <f t="shared" si="70"/>
        <v>#VALUE!</v>
      </c>
      <c r="BB80" s="10" t="e">
        <f t="shared" ref="BB80:BB135" si="92">BA80*$P$7</f>
        <v>#VALUE!</v>
      </c>
      <c r="BC80" s="10" t="e">
        <f t="shared" si="71"/>
        <v>#VALUE!</v>
      </c>
      <c r="BE80" s="10" t="e">
        <f t="shared" si="42"/>
        <v>#VALUE!</v>
      </c>
      <c r="BF80" s="10" t="e">
        <f t="shared" si="72"/>
        <v>#VALUE!</v>
      </c>
      <c r="BG80" s="10" t="e">
        <f t="shared" ref="BG80:BG135" si="93">BF80*$P$7</f>
        <v>#VALUE!</v>
      </c>
      <c r="BH80" s="10" t="e">
        <f t="shared" si="43"/>
        <v>#VALUE!</v>
      </c>
      <c r="BI80" s="10" t="e">
        <f t="shared" si="44"/>
        <v>#VALUE!</v>
      </c>
      <c r="BJ80" s="10" t="e">
        <f t="shared" si="45"/>
        <v>#VALUE!</v>
      </c>
      <c r="BK80" s="10" t="e">
        <f t="shared" si="73"/>
        <v>#VALUE!</v>
      </c>
      <c r="BL80" s="10" t="e">
        <f t="shared" ref="BL80:BL135" si="94">BK80*$P$7</f>
        <v>#VALUE!</v>
      </c>
      <c r="BM80" s="10" t="e">
        <f t="shared" si="74"/>
        <v>#VALUE!</v>
      </c>
      <c r="BP80" s="10" t="e">
        <f t="shared" si="46"/>
        <v>#VALUE!</v>
      </c>
      <c r="BQ80" s="10" t="e">
        <f t="shared" si="47"/>
        <v>#VALUE!</v>
      </c>
      <c r="BR80" s="10" t="e">
        <f t="shared" si="48"/>
        <v>#VALUE!</v>
      </c>
      <c r="BS80" s="10" t="e">
        <f t="shared" si="49"/>
        <v>#VALUE!</v>
      </c>
      <c r="BT80" s="10" t="e">
        <f t="shared" si="50"/>
        <v>#VALUE!</v>
      </c>
      <c r="BU80" s="10" t="e">
        <f t="shared" si="51"/>
        <v>#VALUE!</v>
      </c>
      <c r="BW80" s="10" t="e">
        <f t="shared" si="52"/>
        <v>#VALUE!</v>
      </c>
      <c r="BX80" s="10" t="e">
        <f t="shared" si="53"/>
        <v>#VALUE!</v>
      </c>
      <c r="BY80" s="10" t="e">
        <f t="shared" si="54"/>
        <v>#VALUE!</v>
      </c>
      <c r="BZ80" s="10" t="e">
        <f t="shared" si="55"/>
        <v>#VALUE!</v>
      </c>
      <c r="CA80" s="10" t="e">
        <f t="shared" si="56"/>
        <v>#VALUE!</v>
      </c>
      <c r="CB80" s="10" t="e">
        <f t="shared" si="57"/>
        <v>#VALUE!</v>
      </c>
      <c r="CD80" s="10" t="e">
        <f>MATCH(INDEX($BP$12:$BU$12,1,MATCH(BP80,$BP$15:$BU$15,0)),结果汇总!$AI$10:$AI$13,0)</f>
        <v>#VALUE!</v>
      </c>
      <c r="CE80" s="10" t="e">
        <f>MATCH(INDEX($BP$12:$BU$12,1,MATCH(BQ80,$BP$15:$BU$15,0)),结果汇总!$AI$10:$AI$13,0)</f>
        <v>#VALUE!</v>
      </c>
      <c r="CF80" s="10" t="e">
        <f>MATCH(INDEX($BP$12:$BU$12,1,MATCH(BR80,$BP$15:$BU$15,0)),结果汇总!$AI$10:$AI$13,0)</f>
        <v>#VALUE!</v>
      </c>
      <c r="CG80" s="10" t="e">
        <f>MATCH(INDEX($BP$12:$BU$12,1,MATCH(BS80,$BP$15:$BU$15,0)),结果汇总!$AI$10:$AI$13,0)</f>
        <v>#VALUE!</v>
      </c>
      <c r="CH80" s="10" t="e">
        <f>MATCH(INDEX($BP$12:$BU$12,1,MATCH(BT80,$BP$15:$BU$15,0)),结果汇总!$AI$10:$AI$13,0)</f>
        <v>#VALUE!</v>
      </c>
      <c r="CI80" s="10" t="e">
        <f>MATCH(INDEX($BP$12:$BU$12,1,MATCH(BU80,$BP$15:$BU$15,0)),结果汇总!$AI$10:$AI$13,0)</f>
        <v>#VALUE!</v>
      </c>
      <c r="CK80" s="10">
        <f t="shared" si="75"/>
        <v>0</v>
      </c>
      <c r="CL80" s="10">
        <f t="shared" si="75"/>
        <v>0</v>
      </c>
      <c r="CM80" s="10">
        <f t="shared" si="75"/>
        <v>0</v>
      </c>
      <c r="CN80" s="10">
        <f t="shared" si="75"/>
        <v>0</v>
      </c>
      <c r="CO80" s="10">
        <f t="shared" si="76"/>
        <v>0</v>
      </c>
      <c r="CP80" s="10">
        <f t="shared" si="76"/>
        <v>0</v>
      </c>
      <c r="CQ80" s="10">
        <f t="shared" si="76"/>
        <v>0</v>
      </c>
      <c r="CR80" s="10">
        <f t="shared" si="76"/>
        <v>0</v>
      </c>
      <c r="CS80" s="10">
        <f t="shared" si="77"/>
        <v>0</v>
      </c>
      <c r="CT80" s="10">
        <f t="shared" si="77"/>
        <v>0</v>
      </c>
      <c r="CU80" s="10">
        <f t="shared" si="77"/>
        <v>0</v>
      </c>
      <c r="CV80" s="10">
        <f t="shared" si="77"/>
        <v>0</v>
      </c>
      <c r="CW80" s="10">
        <f t="shared" si="78"/>
        <v>0</v>
      </c>
      <c r="CX80" s="10">
        <f t="shared" si="78"/>
        <v>0</v>
      </c>
      <c r="CY80" s="10">
        <f t="shared" si="78"/>
        <v>0</v>
      </c>
      <c r="CZ80" s="10">
        <f t="shared" si="78"/>
        <v>0</v>
      </c>
    </row>
    <row r="81" spans="4:104" x14ac:dyDescent="0.15">
      <c r="D81" s="10">
        <v>66</v>
      </c>
      <c r="E81" s="10" t="e">
        <f t="shared" ref="E81:E135" si="95">IF(E80-((AL80+AM80+AQ80+AR80)*IF(BS80=1,1,0)+(AV80+AW80+BA80+BB80)*IF(BT80=1,1,0)+(BF80+BG80+BK80+BL80)*IF(BU80=1,1,0))*IF(J80=0,1,I80)/$D$5&lt;$E$16*$P$8,0,
E80-((AL80+AM80+AQ80+AR80)*IF(BS80=1,1,0)+(AV80+AW80+BA80+BB80)*IF(BT80=1,1,0)+(BF80+BG80+BK80+BL80)*IF(BU80=1,1,0))*IF(J80=0,1,I80)/$D$5)</f>
        <v>#VALUE!</v>
      </c>
      <c r="F81" s="10" t="e">
        <f t="shared" si="79"/>
        <v>#VALUE!</v>
      </c>
      <c r="G81" s="10" t="e">
        <f t="shared" si="80"/>
        <v>#VALUE!</v>
      </c>
      <c r="H81" s="10" t="e">
        <f t="shared" ref="H81:H135" si="96">IF(E81=0,0,ROUNDUP(E81/$F$5*$G$5,0))</f>
        <v>#VALUE!</v>
      </c>
      <c r="I81" s="10" t="e">
        <f t="shared" si="81"/>
        <v>#VALUE!</v>
      </c>
      <c r="J81" s="10" t="e">
        <f t="shared" ref="J81:J135" si="97">MAX(J80-((AL80+AM80+AQ80+AR80)*IF(BS80=1,1,0)+(AV80+AW80+BA80+BB80)*IF(BT80=1,1,0)+(BF80+BG80+BK80+BL80)*IF(BU80=1,1,0))*IF(E80=0,1,M80)/$D$6,0)</f>
        <v>#VALUE!</v>
      </c>
      <c r="K81" s="10" t="e">
        <f t="shared" si="82"/>
        <v>#VALUE!</v>
      </c>
      <c r="L81" s="10" t="e">
        <f t="shared" si="83"/>
        <v>#VALUE!</v>
      </c>
      <c r="M81" s="10" t="e">
        <f t="shared" ref="M81:M135" si="98">IF(J81=0,0,1-I81)</f>
        <v>#VALUE!</v>
      </c>
      <c r="O81" s="10" t="e">
        <f t="shared" ref="O81:O135" si="99">IF(O80-((AL80+AM80+AQ80+AR80)*IF(BS80=3,1,0)+(AV80+AW80+BA80+BB80)*IF(BT80=3,1,0)+(BF80+BG80+BK80+BL80)*IF(BU80=3,1,0))*IF(T80=0,1,S80)/$D$8&lt;$O$16*$P$8,0,
O80-((AL80+AM80+AQ80+AR80)*IF(BS80=3,1,0)+(AV80+AW80+BA80+BB80)*IF(BT80=3,1,0)+(BF80+BG80+BK80+BL80)*IF(BU80=3,1,0))*IF(T80=0,1,S80)/$D$8)</f>
        <v>#VALUE!</v>
      </c>
      <c r="P81" s="10" t="e">
        <f t="shared" si="84"/>
        <v>#VALUE!</v>
      </c>
      <c r="Q81" s="10" t="e">
        <f t="shared" si="85"/>
        <v>#VALUE!</v>
      </c>
      <c r="R81" s="10" t="e">
        <f t="shared" ref="R81:R135" si="100">IF(O81=0,0,ROUNDUP(O81/$F$8*$G$8,0))</f>
        <v>#VALUE!</v>
      </c>
      <c r="S81" s="10" t="e">
        <f t="shared" ref="S81:S135" si="101">IF(AND(T81=0,O81&lt;&gt;0),1,R81/(R81+$G$9))</f>
        <v>#VALUE!</v>
      </c>
      <c r="T81" s="10" t="e">
        <f t="shared" si="62"/>
        <v>#VALUE!</v>
      </c>
      <c r="U81" s="10" t="e">
        <f t="shared" si="63"/>
        <v>#VALUE!</v>
      </c>
      <c r="V81" s="10" t="e">
        <f t="shared" si="86"/>
        <v>#VALUE!</v>
      </c>
      <c r="W81" s="10" t="e">
        <f t="shared" ref="W81:W135" si="102">IF(T81=0,0,1-S81)</f>
        <v>#VALUE!</v>
      </c>
      <c r="Y81" s="10" t="e">
        <f t="shared" ref="Y81:Y135" si="103">IF(Y80-((AL80+AM80+AQ80+AR80)*IF(BS80=5,1,0)+(AV80+AW80+BA80+BB80)*IF(BT80=5,1,0)+(BF80+BG80+BK80+BL80)*IF(BU80=5,1,0))*IF(AD80=0,1,AC80)/$D$11&lt;$Y$16*$P$8,0,
Y80-((AL80+AM80+AQ80+AR80)*IF(BS80=5,1,0)+(AV80+AW80+BA80+BB80)*IF(BT80=5,1,0)+(BF80+BG80+BK80+BL80)*IF(BU80=5,1,0))*IF(AD80=0,1,AC80)/$D$11)</f>
        <v>#VALUE!</v>
      </c>
      <c r="Z81" s="11" t="e">
        <f t="shared" ref="Z81:Z135" si="104">IF(Y81=0,0,Y81*$E$11)</f>
        <v>#VALUE!</v>
      </c>
      <c r="AA81" s="10" t="e">
        <f t="shared" si="87"/>
        <v>#VALUE!</v>
      </c>
      <c r="AB81" s="10" t="e">
        <f t="shared" ref="AB81:AB135" si="105">IF(Y81=0,0,ROUNDUP(Y81/$F$11*$G$11,0))</f>
        <v>#VALUE!</v>
      </c>
      <c r="AC81" s="10" t="e">
        <f t="shared" ref="AC81:AC135" si="106">IF(AND(AD81=0,Y81&lt;&gt;0),1,AB81/(AB81+$G$12))</f>
        <v>#VALUE!</v>
      </c>
      <c r="AD81" s="10" t="e">
        <f t="shared" si="64"/>
        <v>#VALUE!</v>
      </c>
      <c r="AE81" s="10" t="e">
        <f t="shared" si="65"/>
        <v>#VALUE!</v>
      </c>
      <c r="AF81" s="10" t="e">
        <f t="shared" si="88"/>
        <v>#VALUE!</v>
      </c>
      <c r="AG81" s="10" t="e">
        <f t="shared" ref="AG81:AG135" si="107">IF(AD81=0,0,1-AC81)</f>
        <v>#VALUE!</v>
      </c>
      <c r="AI81" s="13"/>
      <c r="AK81" s="10" t="e">
        <f t="shared" ref="AK81:AK135" si="108">IF(AK80-((F80+G80+K80+L80)*IF(BR80=2,1,0)+(P80+Q80+U80+V80)*IF(BQ80=2,1,0)+(Z80+AA80+AE80+AF80)*IF(BP80=2,1,0))*IF(AP80=0,1,AO80)/$J$5&lt;$AK$16*$P$8,0,
AK80-((F80+G80+K80+L80)*IF(BR80=2,1,0)+(P80+Q80+U80+V80)*IF(BQ80=2,1,0)+(Z80+AA80+AE80+AF80)*IF(BP80=2,1,0))*IF(AP80=0,1,AO80)/$J$5)</f>
        <v>#VALUE!</v>
      </c>
      <c r="AL81" s="10" t="e">
        <f t="shared" si="66"/>
        <v>#VALUE!</v>
      </c>
      <c r="AM81" s="10" t="e">
        <f t="shared" si="89"/>
        <v>#VALUE!</v>
      </c>
      <c r="AN81" s="10" t="e">
        <f t="shared" ref="AN81:AN135" si="109">IF(AK81=0,0,ROUNDUP(AK81/$L$5*$M$5,0))</f>
        <v>#VALUE!</v>
      </c>
      <c r="AO81" s="10" t="e">
        <f t="shared" ref="AO81:AO135" si="110">IF(AND(AP81=0,AK81&lt;&gt;0),1,AN81/(AN81+$M$6))</f>
        <v>#VALUE!</v>
      </c>
      <c r="AP81" s="10" t="e">
        <f t="shared" ref="AP81:AP135" si="111">MAX(AP80-((F80+G80+K80+L80)*IF(BR80=2,1,0)+(P80+Q80+U80+V80)*IF(BQ80=2,1,0)+(Z80+AA80+AE80+AF80)*IF(BP80=2,1,0))*IF(AK80=0,1,AS80)/$J$6,0)</f>
        <v>#VALUE!</v>
      </c>
      <c r="AQ81" s="10" t="e">
        <f t="shared" si="67"/>
        <v>#VALUE!</v>
      </c>
      <c r="AR81" s="10" t="e">
        <f t="shared" si="90"/>
        <v>#VALUE!</v>
      </c>
      <c r="AS81" s="10" t="e">
        <f t="shared" si="68"/>
        <v>#VALUE!</v>
      </c>
      <c r="AU81" s="10" t="e">
        <f t="shared" ref="AU81:AU135" si="112">IF(AU80-((F80+G80+K80+L80)*IF(BR80=4,1,0)+(P80+Q80+U80+V80)*IF(BQ80=4,1,0)+(Z80+AA80+AE80+AF80)*IF(BP80=4,1,0))*IF(AZ80=0,1,AY80)/$J$8&lt;$AU$16*$P$8,0,
AU80-((F80+G80+K80+L80)*IF(BR80=4,1,0)+(P80+Q80+U80+V80)*IF(BQ80=4,1,0)+(Z80+AA80+AE80+AF80)*IF(BP80=4,1,0))*IF(AZ80=0,1,AY80)/$J$8)</f>
        <v>#VALUE!</v>
      </c>
      <c r="AV81" s="10" t="e">
        <f t="shared" si="69"/>
        <v>#VALUE!</v>
      </c>
      <c r="AW81" s="10" t="e">
        <f t="shared" si="91"/>
        <v>#VALUE!</v>
      </c>
      <c r="AX81" s="10" t="e">
        <f t="shared" ref="AX81:AX135" si="113">IF(AU81=0,0,ROUNDUP(AU81/$L$8*$M$8,0))</f>
        <v>#VALUE!</v>
      </c>
      <c r="AY81" s="10" t="e">
        <f t="shared" ref="AY81:AY135" si="114">IF(AND(AZ81=0,AU81&lt;&gt;0),1,AX81/(AX81+$M$9))</f>
        <v>#VALUE!</v>
      </c>
      <c r="AZ81" s="10" t="e">
        <f t="shared" ref="AZ81:AZ135" si="115">MAX(AZ80-((F80+G80+K80+L80)*IF(BR80=4,1,0)+(P80+Q80+U80+V80)*IF(BQ80=4,1,0)+(Z80+AA80+AE80+AF80)*IF(BP80=4,1,0))*IF(AU80=0,1,BC80)/$J$9,0)</f>
        <v>#VALUE!</v>
      </c>
      <c r="BA81" s="10" t="e">
        <f t="shared" si="70"/>
        <v>#VALUE!</v>
      </c>
      <c r="BB81" s="10" t="e">
        <f t="shared" si="92"/>
        <v>#VALUE!</v>
      </c>
      <c r="BC81" s="10" t="e">
        <f t="shared" si="71"/>
        <v>#VALUE!</v>
      </c>
      <c r="BE81" s="10" t="e">
        <f t="shared" ref="BE81:BE135" si="116">IF(BE80-((F80+G80+K80+L80)*IF(BR80=6,1,0)+(P80+Q80+U80+V80)*IF(BQ80=6,1,0)+(Z80+AA80+AE80+AF80)*IF(BP80=6,1,0))*IF(BJ80=0,1,BI80)/$J$11&lt;$BE$16*$P$8,0,
BE80-((F80+G80+K80+L80)*IF(BR80=6,1,0)+(P80+Q80+U80+V80)*IF(BQ80=6,1,0)+(Z80+AA80+AE80+AF80)*IF(BP80=6,1,0))*IF(BJ80=0,1,BI80)/$J$11)</f>
        <v>#VALUE!</v>
      </c>
      <c r="BF81" s="10" t="e">
        <f t="shared" si="72"/>
        <v>#VALUE!</v>
      </c>
      <c r="BG81" s="10" t="e">
        <f t="shared" si="93"/>
        <v>#VALUE!</v>
      </c>
      <c r="BH81" s="10" t="e">
        <f t="shared" ref="BH81:BH135" si="117">IF(BE81=0,0,ROUNDUP(BE81/$L$11*$M$11,0))</f>
        <v>#VALUE!</v>
      </c>
      <c r="BI81" s="10" t="e">
        <f t="shared" ref="BI81:BI135" si="118">IF(AND(BJ81=0,BE81&lt;&gt;0),1,BH81/(BH81+$M$12))</f>
        <v>#VALUE!</v>
      </c>
      <c r="BJ81" s="10" t="e">
        <f t="shared" ref="BJ81:BJ135" si="119">MAX(BJ80-((F80+G80+K80+L80)*IF(BR80=6,1,0)+(P80+Q80+U80+V80)*IF(BQ80=6,1,0)+(Z80+AA80+AE80+AF80)*IF(BP80=6,1,0))*IF(BE80=0,1,BM80)/$J$12,0)</f>
        <v>#VALUE!</v>
      </c>
      <c r="BK81" s="10" t="e">
        <f t="shared" si="73"/>
        <v>#VALUE!</v>
      </c>
      <c r="BL81" s="10" t="e">
        <f t="shared" si="94"/>
        <v>#VALUE!</v>
      </c>
      <c r="BM81" s="10" t="e">
        <f t="shared" si="74"/>
        <v>#VALUE!</v>
      </c>
      <c r="BP81" s="10" t="e">
        <f t="shared" ref="BP81:BP135" si="120">IF(CB81&gt;0,BU$15,IF(BZ81&gt;0,BS$15,BT$15))</f>
        <v>#VALUE!</v>
      </c>
      <c r="BQ81" s="10" t="e">
        <f t="shared" ref="BQ81:BQ135" si="121">IF(BZ81&gt;0,BS$15,IF(CA81&gt;0,BT$15,BU$15))</f>
        <v>#VALUE!</v>
      </c>
      <c r="BR81" s="10" t="e">
        <f t="shared" ref="BR81:BR135" si="122">IF(BZ81&gt;0,BS$15,IF(CA81&gt;0,BT$15,BU$15))</f>
        <v>#VALUE!</v>
      </c>
      <c r="BS81" s="10" t="e">
        <f t="shared" ref="BS81:BS135" si="123">IF(BY81&gt;0,BR$15,IF(BX81&gt;0,BQ$15,BP$15))</f>
        <v>#VALUE!</v>
      </c>
      <c r="BT81" s="10" t="e">
        <f t="shared" ref="BT81:BT135" si="124">IF(BY81&gt;0,BR$15,IF(BX81&gt;0,BQ$15,BP$15))</f>
        <v>#VALUE!</v>
      </c>
      <c r="BU81" s="10" t="e">
        <f t="shared" ref="BU81:BU135" si="125">IF(BW81&gt;0,BP$15,IF(BX81&gt;0,BQ$15,BR$15))</f>
        <v>#VALUE!</v>
      </c>
      <c r="BW81" s="10" t="e">
        <f t="shared" ref="BW81:BW135" si="126">Y81+AD81*1000</f>
        <v>#VALUE!</v>
      </c>
      <c r="BX81" s="10" t="e">
        <f t="shared" ref="BX81:BX135" si="127">O81+T81*1000</f>
        <v>#VALUE!</v>
      </c>
      <c r="BY81" s="10" t="e">
        <f t="shared" ref="BY81:BY135" si="128">E81+J81*1000</f>
        <v>#VALUE!</v>
      </c>
      <c r="BZ81" s="10" t="e">
        <f t="shared" ref="BZ81:BZ135" si="129">AK81+AP81*1000</f>
        <v>#VALUE!</v>
      </c>
      <c r="CA81" s="10" t="e">
        <f t="shared" ref="CA81:CA135" si="130">AU81+AZ81*1000</f>
        <v>#VALUE!</v>
      </c>
      <c r="CB81" s="10" t="e">
        <f t="shared" ref="CB81:CB135" si="131">BE81+BJ81*1000</f>
        <v>#VALUE!</v>
      </c>
      <c r="CD81" s="10" t="e">
        <f>MATCH(INDEX($BP$12:$BU$12,1,MATCH(BP81,$BP$15:$BU$15,0)),结果汇总!$AI$10:$AI$13,0)</f>
        <v>#VALUE!</v>
      </c>
      <c r="CE81" s="10" t="e">
        <f>MATCH(INDEX($BP$12:$BU$12,1,MATCH(BQ81,$BP$15:$BU$15,0)),结果汇总!$AI$10:$AI$13,0)</f>
        <v>#VALUE!</v>
      </c>
      <c r="CF81" s="10" t="e">
        <f>MATCH(INDEX($BP$12:$BU$12,1,MATCH(BR81,$BP$15:$BU$15,0)),结果汇总!$AI$10:$AI$13,0)</f>
        <v>#VALUE!</v>
      </c>
      <c r="CG81" s="10" t="e">
        <f>MATCH(INDEX($BP$12:$BU$12,1,MATCH(BS81,$BP$15:$BU$15,0)),结果汇总!$AI$10:$AI$13,0)</f>
        <v>#VALUE!</v>
      </c>
      <c r="CH81" s="10" t="e">
        <f>MATCH(INDEX($BP$12:$BU$12,1,MATCH(BT81,$BP$15:$BU$15,0)),结果汇总!$AI$10:$AI$13,0)</f>
        <v>#VALUE!</v>
      </c>
      <c r="CI81" s="10" t="e">
        <f>MATCH(INDEX($BP$12:$BU$12,1,MATCH(BU81,$BP$15:$BU$15,0)),结果汇总!$AI$10:$AI$13,0)</f>
        <v>#VALUE!</v>
      </c>
      <c r="CK81" s="10">
        <f t="shared" ref="CK81:CN112" si="132">COUNTIFS($CD81:$CI81,CK$15,$CD$15:$CI$15,$CK$14)/COUNTIFS($CD$15:$CI$15,$CK$14)</f>
        <v>0</v>
      </c>
      <c r="CL81" s="10">
        <f t="shared" si="132"/>
        <v>0</v>
      </c>
      <c r="CM81" s="10">
        <f t="shared" si="132"/>
        <v>0</v>
      </c>
      <c r="CN81" s="10">
        <f t="shared" si="132"/>
        <v>0</v>
      </c>
      <c r="CO81" s="10">
        <f t="shared" ref="CO81:CR112" si="133">COUNTIFS($CD81:$CI81,CO$15,$CD$15:$CI$15,$CO$14)/COUNTIFS($CD$15:$CI$15,$CO$14)</f>
        <v>0</v>
      </c>
      <c r="CP81" s="10">
        <f t="shared" si="133"/>
        <v>0</v>
      </c>
      <c r="CQ81" s="10">
        <f t="shared" si="133"/>
        <v>0</v>
      </c>
      <c r="CR81" s="10">
        <f t="shared" si="133"/>
        <v>0</v>
      </c>
      <c r="CS81" s="10">
        <f t="shared" ref="CS81:CV112" si="134">COUNTIFS($CD81:$CI81,CS$15,$CD$15:$CI$15,$CS$14)/COUNTIFS($CD$15:$CI$15,$CS$14)</f>
        <v>0</v>
      </c>
      <c r="CT81" s="10">
        <f t="shared" si="134"/>
        <v>0</v>
      </c>
      <c r="CU81" s="10">
        <f t="shared" si="134"/>
        <v>0</v>
      </c>
      <c r="CV81" s="10">
        <f t="shared" si="134"/>
        <v>0</v>
      </c>
      <c r="CW81" s="10">
        <f t="shared" ref="CW81:CZ112" si="135">COUNTIFS($CD81:$CI81,CW$15,$CD$15:$CI$15,$CW$14)/COUNTIFS($CD$15:$CI$15,$CW$14)</f>
        <v>0</v>
      </c>
      <c r="CX81" s="10">
        <f t="shared" si="135"/>
        <v>0</v>
      </c>
      <c r="CY81" s="10">
        <f t="shared" si="135"/>
        <v>0</v>
      </c>
      <c r="CZ81" s="10">
        <f t="shared" si="135"/>
        <v>0</v>
      </c>
    </row>
    <row r="82" spans="4:104" x14ac:dyDescent="0.15">
      <c r="D82" s="10">
        <v>67</v>
      </c>
      <c r="E82" s="10" t="e">
        <f t="shared" si="95"/>
        <v>#VALUE!</v>
      </c>
      <c r="F82" s="10" t="e">
        <f t="shared" si="79"/>
        <v>#VALUE!</v>
      </c>
      <c r="G82" s="10" t="e">
        <f t="shared" si="80"/>
        <v>#VALUE!</v>
      </c>
      <c r="H82" s="10" t="e">
        <f t="shared" si="96"/>
        <v>#VALUE!</v>
      </c>
      <c r="I82" s="10" t="e">
        <f t="shared" si="81"/>
        <v>#VALUE!</v>
      </c>
      <c r="J82" s="10" t="e">
        <f t="shared" si="97"/>
        <v>#VALUE!</v>
      </c>
      <c r="K82" s="10" t="e">
        <f t="shared" si="82"/>
        <v>#VALUE!</v>
      </c>
      <c r="L82" s="10" t="e">
        <f t="shared" si="83"/>
        <v>#VALUE!</v>
      </c>
      <c r="M82" s="10" t="e">
        <f t="shared" si="98"/>
        <v>#VALUE!</v>
      </c>
      <c r="O82" s="10" t="e">
        <f t="shared" si="99"/>
        <v>#VALUE!</v>
      </c>
      <c r="P82" s="10" t="e">
        <f t="shared" si="84"/>
        <v>#VALUE!</v>
      </c>
      <c r="Q82" s="10" t="e">
        <f t="shared" si="85"/>
        <v>#VALUE!</v>
      </c>
      <c r="R82" s="10" t="e">
        <f t="shared" si="100"/>
        <v>#VALUE!</v>
      </c>
      <c r="S82" s="10" t="e">
        <f t="shared" si="101"/>
        <v>#VALUE!</v>
      </c>
      <c r="T82" s="10" t="e">
        <f t="shared" ref="T82:T135" si="136">MAX(T81-((AL81+AM81+AQ81+AR81)*IF(BS81=3,1,0)+(AV81+AW81+BA81+BB81)*IF(BT81=3,1,0)+(BF81+BG81+BK81+BL81)*IF(BU81=3,1,0))*IF(O81=0,1,W81)/$D$9,0)</f>
        <v>#VALUE!</v>
      </c>
      <c r="U82" s="10" t="e">
        <f t="shared" ref="U82:U135" si="137">IF(T82=0,0,ROUNDUP(T82,0)*$E$9)</f>
        <v>#VALUE!</v>
      </c>
      <c r="V82" s="10" t="e">
        <f t="shared" si="86"/>
        <v>#VALUE!</v>
      </c>
      <c r="W82" s="10" t="e">
        <f t="shared" si="102"/>
        <v>#VALUE!</v>
      </c>
      <c r="Y82" s="10" t="e">
        <f t="shared" si="103"/>
        <v>#VALUE!</v>
      </c>
      <c r="Z82" s="11" t="e">
        <f t="shared" si="104"/>
        <v>#VALUE!</v>
      </c>
      <c r="AA82" s="10" t="e">
        <f t="shared" si="87"/>
        <v>#VALUE!</v>
      </c>
      <c r="AB82" s="10" t="e">
        <f t="shared" si="105"/>
        <v>#VALUE!</v>
      </c>
      <c r="AC82" s="10" t="e">
        <f t="shared" si="106"/>
        <v>#VALUE!</v>
      </c>
      <c r="AD82" s="10" t="e">
        <f t="shared" ref="AD82:AD135" si="138">MAX(AD81-((AL81+AM81+AQ81+AR81)*IF(BS81=5,1,0)+(AV81+AW81+BA81+BB81)*IF(BT81=5,1,0)+(BF81+BG81+BK81+BL81)*IF(BU81=5,1,0))*IF(Y81=0,1,AG81)/$D$12,0)</f>
        <v>#VALUE!</v>
      </c>
      <c r="AE82" s="10" t="e">
        <f t="shared" ref="AE82:AE135" si="139">IF(AD82=0,0,ROUNDUP(AD82,0)*$E$12)</f>
        <v>#VALUE!</v>
      </c>
      <c r="AF82" s="10" t="e">
        <f t="shared" si="88"/>
        <v>#VALUE!</v>
      </c>
      <c r="AG82" s="10" t="e">
        <f t="shared" si="107"/>
        <v>#VALUE!</v>
      </c>
      <c r="AI82" s="13"/>
      <c r="AK82" s="10" t="e">
        <f t="shared" si="108"/>
        <v>#VALUE!</v>
      </c>
      <c r="AL82" s="10" t="e">
        <f t="shared" ref="AL82:AL135" si="140">IF(AK82=0,0,AK82*$K$5)</f>
        <v>#VALUE!</v>
      </c>
      <c r="AM82" s="10" t="e">
        <f t="shared" si="89"/>
        <v>#VALUE!</v>
      </c>
      <c r="AN82" s="10" t="e">
        <f t="shared" si="109"/>
        <v>#VALUE!</v>
      </c>
      <c r="AO82" s="10" t="e">
        <f t="shared" si="110"/>
        <v>#VALUE!</v>
      </c>
      <c r="AP82" s="10" t="e">
        <f t="shared" si="111"/>
        <v>#VALUE!</v>
      </c>
      <c r="AQ82" s="10" t="e">
        <f t="shared" ref="AQ82:AQ135" si="141">IF(AP82=0,0,ROUNDUP(AP82,0)*$K$6)</f>
        <v>#VALUE!</v>
      </c>
      <c r="AR82" s="10" t="e">
        <f t="shared" si="90"/>
        <v>#VALUE!</v>
      </c>
      <c r="AS82" s="10" t="e">
        <f t="shared" ref="AS82:AS135" si="142">IF(AP82=0,0,1-AO82)</f>
        <v>#VALUE!</v>
      </c>
      <c r="AU82" s="10" t="e">
        <f t="shared" si="112"/>
        <v>#VALUE!</v>
      </c>
      <c r="AV82" s="10" t="e">
        <f t="shared" ref="AV82:AV135" si="143">IF(AU82=0,0,AU82*$K$8)</f>
        <v>#VALUE!</v>
      </c>
      <c r="AW82" s="10" t="e">
        <f t="shared" si="91"/>
        <v>#VALUE!</v>
      </c>
      <c r="AX82" s="10" t="e">
        <f t="shared" si="113"/>
        <v>#VALUE!</v>
      </c>
      <c r="AY82" s="10" t="e">
        <f t="shared" si="114"/>
        <v>#VALUE!</v>
      </c>
      <c r="AZ82" s="10" t="e">
        <f t="shared" si="115"/>
        <v>#VALUE!</v>
      </c>
      <c r="BA82" s="10" t="e">
        <f t="shared" ref="BA82:BA135" si="144">IF(AZ82=0,0,ROUNDUP(AZ82,0)*$K$9)</f>
        <v>#VALUE!</v>
      </c>
      <c r="BB82" s="10" t="e">
        <f t="shared" si="92"/>
        <v>#VALUE!</v>
      </c>
      <c r="BC82" s="10" t="e">
        <f t="shared" ref="BC82:BC135" si="145">IF(AZ82=0,0,1-AY82)</f>
        <v>#VALUE!</v>
      </c>
      <c r="BE82" s="10" t="e">
        <f t="shared" si="116"/>
        <v>#VALUE!</v>
      </c>
      <c r="BF82" s="10" t="e">
        <f t="shared" ref="BF82:BF135" si="146">IF(BE82=0,0,BE82*$K$11)</f>
        <v>#VALUE!</v>
      </c>
      <c r="BG82" s="10" t="e">
        <f t="shared" si="93"/>
        <v>#VALUE!</v>
      </c>
      <c r="BH82" s="10" t="e">
        <f t="shared" si="117"/>
        <v>#VALUE!</v>
      </c>
      <c r="BI82" s="10" t="e">
        <f t="shared" si="118"/>
        <v>#VALUE!</v>
      </c>
      <c r="BJ82" s="10" t="e">
        <f t="shared" si="119"/>
        <v>#VALUE!</v>
      </c>
      <c r="BK82" s="10" t="e">
        <f t="shared" ref="BK82:BK135" si="147">IF(BJ82=0,0,ROUNDUP(BJ82,0)*$K$12)</f>
        <v>#VALUE!</v>
      </c>
      <c r="BL82" s="10" t="e">
        <f t="shared" si="94"/>
        <v>#VALUE!</v>
      </c>
      <c r="BM82" s="10" t="e">
        <f t="shared" ref="BM82:BM135" si="148">IF(BJ82=0,0,1-BI82)</f>
        <v>#VALUE!</v>
      </c>
      <c r="BP82" s="10" t="e">
        <f t="shared" si="120"/>
        <v>#VALUE!</v>
      </c>
      <c r="BQ82" s="10" t="e">
        <f t="shared" si="121"/>
        <v>#VALUE!</v>
      </c>
      <c r="BR82" s="10" t="e">
        <f t="shared" si="122"/>
        <v>#VALUE!</v>
      </c>
      <c r="BS82" s="10" t="e">
        <f t="shared" si="123"/>
        <v>#VALUE!</v>
      </c>
      <c r="BT82" s="10" t="e">
        <f t="shared" si="124"/>
        <v>#VALUE!</v>
      </c>
      <c r="BU82" s="10" t="e">
        <f t="shared" si="125"/>
        <v>#VALUE!</v>
      </c>
      <c r="BW82" s="10" t="e">
        <f t="shared" si="126"/>
        <v>#VALUE!</v>
      </c>
      <c r="BX82" s="10" t="e">
        <f t="shared" si="127"/>
        <v>#VALUE!</v>
      </c>
      <c r="BY82" s="10" t="e">
        <f t="shared" si="128"/>
        <v>#VALUE!</v>
      </c>
      <c r="BZ82" s="10" t="e">
        <f t="shared" si="129"/>
        <v>#VALUE!</v>
      </c>
      <c r="CA82" s="10" t="e">
        <f t="shared" si="130"/>
        <v>#VALUE!</v>
      </c>
      <c r="CB82" s="10" t="e">
        <f t="shared" si="131"/>
        <v>#VALUE!</v>
      </c>
      <c r="CD82" s="10" t="e">
        <f>MATCH(INDEX($BP$12:$BU$12,1,MATCH(BP82,$BP$15:$BU$15,0)),结果汇总!$AI$10:$AI$13,0)</f>
        <v>#VALUE!</v>
      </c>
      <c r="CE82" s="10" t="e">
        <f>MATCH(INDEX($BP$12:$BU$12,1,MATCH(BQ82,$BP$15:$BU$15,0)),结果汇总!$AI$10:$AI$13,0)</f>
        <v>#VALUE!</v>
      </c>
      <c r="CF82" s="10" t="e">
        <f>MATCH(INDEX($BP$12:$BU$12,1,MATCH(BR82,$BP$15:$BU$15,0)),结果汇总!$AI$10:$AI$13,0)</f>
        <v>#VALUE!</v>
      </c>
      <c r="CG82" s="10" t="e">
        <f>MATCH(INDEX($BP$12:$BU$12,1,MATCH(BS82,$BP$15:$BU$15,0)),结果汇总!$AI$10:$AI$13,0)</f>
        <v>#VALUE!</v>
      </c>
      <c r="CH82" s="10" t="e">
        <f>MATCH(INDEX($BP$12:$BU$12,1,MATCH(BT82,$BP$15:$BU$15,0)),结果汇总!$AI$10:$AI$13,0)</f>
        <v>#VALUE!</v>
      </c>
      <c r="CI82" s="10" t="e">
        <f>MATCH(INDEX($BP$12:$BU$12,1,MATCH(BU82,$BP$15:$BU$15,0)),结果汇总!$AI$10:$AI$13,0)</f>
        <v>#VALUE!</v>
      </c>
      <c r="CK82" s="10">
        <f t="shared" si="132"/>
        <v>0</v>
      </c>
      <c r="CL82" s="10">
        <f t="shared" si="132"/>
        <v>0</v>
      </c>
      <c r="CM82" s="10">
        <f t="shared" si="132"/>
        <v>0</v>
      </c>
      <c r="CN82" s="10">
        <f t="shared" si="132"/>
        <v>0</v>
      </c>
      <c r="CO82" s="10">
        <f t="shared" si="133"/>
        <v>0</v>
      </c>
      <c r="CP82" s="10">
        <f t="shared" si="133"/>
        <v>0</v>
      </c>
      <c r="CQ82" s="10">
        <f t="shared" si="133"/>
        <v>0</v>
      </c>
      <c r="CR82" s="10">
        <f t="shared" si="133"/>
        <v>0</v>
      </c>
      <c r="CS82" s="10">
        <f t="shared" si="134"/>
        <v>0</v>
      </c>
      <c r="CT82" s="10">
        <f t="shared" si="134"/>
        <v>0</v>
      </c>
      <c r="CU82" s="10">
        <f t="shared" si="134"/>
        <v>0</v>
      </c>
      <c r="CV82" s="10">
        <f t="shared" si="134"/>
        <v>0</v>
      </c>
      <c r="CW82" s="10">
        <f t="shared" si="135"/>
        <v>0</v>
      </c>
      <c r="CX82" s="10">
        <f t="shared" si="135"/>
        <v>0</v>
      </c>
      <c r="CY82" s="10">
        <f t="shared" si="135"/>
        <v>0</v>
      </c>
      <c r="CZ82" s="10">
        <f t="shared" si="135"/>
        <v>0</v>
      </c>
    </row>
    <row r="83" spans="4:104" x14ac:dyDescent="0.15">
      <c r="D83" s="10">
        <v>68</v>
      </c>
      <c r="E83" s="10" t="e">
        <f t="shared" si="95"/>
        <v>#VALUE!</v>
      </c>
      <c r="F83" s="10" t="e">
        <f t="shared" si="79"/>
        <v>#VALUE!</v>
      </c>
      <c r="G83" s="10" t="e">
        <f t="shared" si="80"/>
        <v>#VALUE!</v>
      </c>
      <c r="H83" s="10" t="e">
        <f t="shared" si="96"/>
        <v>#VALUE!</v>
      </c>
      <c r="I83" s="10" t="e">
        <f t="shared" si="81"/>
        <v>#VALUE!</v>
      </c>
      <c r="J83" s="10" t="e">
        <f t="shared" si="97"/>
        <v>#VALUE!</v>
      </c>
      <c r="K83" s="10" t="e">
        <f t="shared" si="82"/>
        <v>#VALUE!</v>
      </c>
      <c r="L83" s="10" t="e">
        <f t="shared" si="83"/>
        <v>#VALUE!</v>
      </c>
      <c r="M83" s="10" t="e">
        <f t="shared" si="98"/>
        <v>#VALUE!</v>
      </c>
      <c r="O83" s="10" t="e">
        <f t="shared" si="99"/>
        <v>#VALUE!</v>
      </c>
      <c r="P83" s="10" t="e">
        <f t="shared" si="84"/>
        <v>#VALUE!</v>
      </c>
      <c r="Q83" s="10" t="e">
        <f t="shared" si="85"/>
        <v>#VALUE!</v>
      </c>
      <c r="R83" s="10" t="e">
        <f t="shared" si="100"/>
        <v>#VALUE!</v>
      </c>
      <c r="S83" s="10" t="e">
        <f t="shared" si="101"/>
        <v>#VALUE!</v>
      </c>
      <c r="T83" s="10" t="e">
        <f t="shared" si="136"/>
        <v>#VALUE!</v>
      </c>
      <c r="U83" s="10" t="e">
        <f t="shared" si="137"/>
        <v>#VALUE!</v>
      </c>
      <c r="V83" s="10" t="e">
        <f t="shared" si="86"/>
        <v>#VALUE!</v>
      </c>
      <c r="W83" s="10" t="e">
        <f t="shared" si="102"/>
        <v>#VALUE!</v>
      </c>
      <c r="Y83" s="10" t="e">
        <f t="shared" si="103"/>
        <v>#VALUE!</v>
      </c>
      <c r="Z83" s="11" t="e">
        <f t="shared" si="104"/>
        <v>#VALUE!</v>
      </c>
      <c r="AA83" s="10" t="e">
        <f t="shared" si="87"/>
        <v>#VALUE!</v>
      </c>
      <c r="AB83" s="10" t="e">
        <f t="shared" si="105"/>
        <v>#VALUE!</v>
      </c>
      <c r="AC83" s="10" t="e">
        <f t="shared" si="106"/>
        <v>#VALUE!</v>
      </c>
      <c r="AD83" s="10" t="e">
        <f t="shared" si="138"/>
        <v>#VALUE!</v>
      </c>
      <c r="AE83" s="10" t="e">
        <f t="shared" si="139"/>
        <v>#VALUE!</v>
      </c>
      <c r="AF83" s="10" t="e">
        <f t="shared" si="88"/>
        <v>#VALUE!</v>
      </c>
      <c r="AG83" s="10" t="e">
        <f t="shared" si="107"/>
        <v>#VALUE!</v>
      </c>
      <c r="AI83" s="13"/>
      <c r="AK83" s="10" t="e">
        <f t="shared" si="108"/>
        <v>#VALUE!</v>
      </c>
      <c r="AL83" s="10" t="e">
        <f t="shared" si="140"/>
        <v>#VALUE!</v>
      </c>
      <c r="AM83" s="10" t="e">
        <f t="shared" si="89"/>
        <v>#VALUE!</v>
      </c>
      <c r="AN83" s="10" t="e">
        <f t="shared" si="109"/>
        <v>#VALUE!</v>
      </c>
      <c r="AO83" s="10" t="e">
        <f t="shared" si="110"/>
        <v>#VALUE!</v>
      </c>
      <c r="AP83" s="10" t="e">
        <f t="shared" si="111"/>
        <v>#VALUE!</v>
      </c>
      <c r="AQ83" s="10" t="e">
        <f t="shared" si="141"/>
        <v>#VALUE!</v>
      </c>
      <c r="AR83" s="10" t="e">
        <f t="shared" si="90"/>
        <v>#VALUE!</v>
      </c>
      <c r="AS83" s="10" t="e">
        <f t="shared" si="142"/>
        <v>#VALUE!</v>
      </c>
      <c r="AU83" s="10" t="e">
        <f t="shared" si="112"/>
        <v>#VALUE!</v>
      </c>
      <c r="AV83" s="10" t="e">
        <f t="shared" si="143"/>
        <v>#VALUE!</v>
      </c>
      <c r="AW83" s="10" t="e">
        <f t="shared" si="91"/>
        <v>#VALUE!</v>
      </c>
      <c r="AX83" s="10" t="e">
        <f t="shared" si="113"/>
        <v>#VALUE!</v>
      </c>
      <c r="AY83" s="10" t="e">
        <f t="shared" si="114"/>
        <v>#VALUE!</v>
      </c>
      <c r="AZ83" s="10" t="e">
        <f t="shared" si="115"/>
        <v>#VALUE!</v>
      </c>
      <c r="BA83" s="10" t="e">
        <f t="shared" si="144"/>
        <v>#VALUE!</v>
      </c>
      <c r="BB83" s="10" t="e">
        <f t="shared" si="92"/>
        <v>#VALUE!</v>
      </c>
      <c r="BC83" s="10" t="e">
        <f t="shared" si="145"/>
        <v>#VALUE!</v>
      </c>
      <c r="BE83" s="10" t="e">
        <f t="shared" si="116"/>
        <v>#VALUE!</v>
      </c>
      <c r="BF83" s="10" t="e">
        <f t="shared" si="146"/>
        <v>#VALUE!</v>
      </c>
      <c r="BG83" s="10" t="e">
        <f t="shared" si="93"/>
        <v>#VALUE!</v>
      </c>
      <c r="BH83" s="10" t="e">
        <f t="shared" si="117"/>
        <v>#VALUE!</v>
      </c>
      <c r="BI83" s="10" t="e">
        <f t="shared" si="118"/>
        <v>#VALUE!</v>
      </c>
      <c r="BJ83" s="10" t="e">
        <f t="shared" si="119"/>
        <v>#VALUE!</v>
      </c>
      <c r="BK83" s="10" t="e">
        <f t="shared" si="147"/>
        <v>#VALUE!</v>
      </c>
      <c r="BL83" s="10" t="e">
        <f t="shared" si="94"/>
        <v>#VALUE!</v>
      </c>
      <c r="BM83" s="10" t="e">
        <f t="shared" si="148"/>
        <v>#VALUE!</v>
      </c>
      <c r="BP83" s="10" t="e">
        <f t="shared" si="120"/>
        <v>#VALUE!</v>
      </c>
      <c r="BQ83" s="10" t="e">
        <f t="shared" si="121"/>
        <v>#VALUE!</v>
      </c>
      <c r="BR83" s="10" t="e">
        <f t="shared" si="122"/>
        <v>#VALUE!</v>
      </c>
      <c r="BS83" s="10" t="e">
        <f t="shared" si="123"/>
        <v>#VALUE!</v>
      </c>
      <c r="BT83" s="10" t="e">
        <f t="shared" si="124"/>
        <v>#VALUE!</v>
      </c>
      <c r="BU83" s="10" t="e">
        <f t="shared" si="125"/>
        <v>#VALUE!</v>
      </c>
      <c r="BW83" s="10" t="e">
        <f t="shared" si="126"/>
        <v>#VALUE!</v>
      </c>
      <c r="BX83" s="10" t="e">
        <f t="shared" si="127"/>
        <v>#VALUE!</v>
      </c>
      <c r="BY83" s="10" t="e">
        <f t="shared" si="128"/>
        <v>#VALUE!</v>
      </c>
      <c r="BZ83" s="10" t="e">
        <f t="shared" si="129"/>
        <v>#VALUE!</v>
      </c>
      <c r="CA83" s="10" t="e">
        <f t="shared" si="130"/>
        <v>#VALUE!</v>
      </c>
      <c r="CB83" s="10" t="e">
        <f t="shared" si="131"/>
        <v>#VALUE!</v>
      </c>
      <c r="CD83" s="10" t="e">
        <f>MATCH(INDEX($BP$12:$BU$12,1,MATCH(BP83,$BP$15:$BU$15,0)),结果汇总!$AI$10:$AI$13,0)</f>
        <v>#VALUE!</v>
      </c>
      <c r="CE83" s="10" t="e">
        <f>MATCH(INDEX($BP$12:$BU$12,1,MATCH(BQ83,$BP$15:$BU$15,0)),结果汇总!$AI$10:$AI$13,0)</f>
        <v>#VALUE!</v>
      </c>
      <c r="CF83" s="10" t="e">
        <f>MATCH(INDEX($BP$12:$BU$12,1,MATCH(BR83,$BP$15:$BU$15,0)),结果汇总!$AI$10:$AI$13,0)</f>
        <v>#VALUE!</v>
      </c>
      <c r="CG83" s="10" t="e">
        <f>MATCH(INDEX($BP$12:$BU$12,1,MATCH(BS83,$BP$15:$BU$15,0)),结果汇总!$AI$10:$AI$13,0)</f>
        <v>#VALUE!</v>
      </c>
      <c r="CH83" s="10" t="e">
        <f>MATCH(INDEX($BP$12:$BU$12,1,MATCH(BT83,$BP$15:$BU$15,0)),结果汇总!$AI$10:$AI$13,0)</f>
        <v>#VALUE!</v>
      </c>
      <c r="CI83" s="10" t="e">
        <f>MATCH(INDEX($BP$12:$BU$12,1,MATCH(BU83,$BP$15:$BU$15,0)),结果汇总!$AI$10:$AI$13,0)</f>
        <v>#VALUE!</v>
      </c>
      <c r="CK83" s="10">
        <f t="shared" si="132"/>
        <v>0</v>
      </c>
      <c r="CL83" s="10">
        <f t="shared" si="132"/>
        <v>0</v>
      </c>
      <c r="CM83" s="10">
        <f t="shared" si="132"/>
        <v>0</v>
      </c>
      <c r="CN83" s="10">
        <f t="shared" si="132"/>
        <v>0</v>
      </c>
      <c r="CO83" s="10">
        <f t="shared" si="133"/>
        <v>0</v>
      </c>
      <c r="CP83" s="10">
        <f t="shared" si="133"/>
        <v>0</v>
      </c>
      <c r="CQ83" s="10">
        <f t="shared" si="133"/>
        <v>0</v>
      </c>
      <c r="CR83" s="10">
        <f t="shared" si="133"/>
        <v>0</v>
      </c>
      <c r="CS83" s="10">
        <f t="shared" si="134"/>
        <v>0</v>
      </c>
      <c r="CT83" s="10">
        <f t="shared" si="134"/>
        <v>0</v>
      </c>
      <c r="CU83" s="10">
        <f t="shared" si="134"/>
        <v>0</v>
      </c>
      <c r="CV83" s="10">
        <f t="shared" si="134"/>
        <v>0</v>
      </c>
      <c r="CW83" s="10">
        <f t="shared" si="135"/>
        <v>0</v>
      </c>
      <c r="CX83" s="10">
        <f t="shared" si="135"/>
        <v>0</v>
      </c>
      <c r="CY83" s="10">
        <f t="shared" si="135"/>
        <v>0</v>
      </c>
      <c r="CZ83" s="10">
        <f t="shared" si="135"/>
        <v>0</v>
      </c>
    </row>
    <row r="84" spans="4:104" x14ac:dyDescent="0.15">
      <c r="D84" s="10">
        <v>69</v>
      </c>
      <c r="E84" s="10" t="e">
        <f t="shared" si="95"/>
        <v>#VALUE!</v>
      </c>
      <c r="F84" s="10" t="e">
        <f t="shared" si="79"/>
        <v>#VALUE!</v>
      </c>
      <c r="G84" s="10" t="e">
        <f t="shared" si="80"/>
        <v>#VALUE!</v>
      </c>
      <c r="H84" s="10" t="e">
        <f t="shared" si="96"/>
        <v>#VALUE!</v>
      </c>
      <c r="I84" s="10" t="e">
        <f t="shared" si="81"/>
        <v>#VALUE!</v>
      </c>
      <c r="J84" s="10" t="e">
        <f t="shared" si="97"/>
        <v>#VALUE!</v>
      </c>
      <c r="K84" s="10" t="e">
        <f t="shared" si="82"/>
        <v>#VALUE!</v>
      </c>
      <c r="L84" s="10" t="e">
        <f t="shared" si="83"/>
        <v>#VALUE!</v>
      </c>
      <c r="M84" s="10" t="e">
        <f t="shared" si="98"/>
        <v>#VALUE!</v>
      </c>
      <c r="O84" s="10" t="e">
        <f t="shared" si="99"/>
        <v>#VALUE!</v>
      </c>
      <c r="P84" s="10" t="e">
        <f t="shared" si="84"/>
        <v>#VALUE!</v>
      </c>
      <c r="Q84" s="10" t="e">
        <f t="shared" si="85"/>
        <v>#VALUE!</v>
      </c>
      <c r="R84" s="10" t="e">
        <f t="shared" si="100"/>
        <v>#VALUE!</v>
      </c>
      <c r="S84" s="10" t="e">
        <f t="shared" si="101"/>
        <v>#VALUE!</v>
      </c>
      <c r="T84" s="10" t="e">
        <f t="shared" si="136"/>
        <v>#VALUE!</v>
      </c>
      <c r="U84" s="10" t="e">
        <f t="shared" si="137"/>
        <v>#VALUE!</v>
      </c>
      <c r="V84" s="10" t="e">
        <f t="shared" si="86"/>
        <v>#VALUE!</v>
      </c>
      <c r="W84" s="10" t="e">
        <f t="shared" si="102"/>
        <v>#VALUE!</v>
      </c>
      <c r="Y84" s="10" t="e">
        <f t="shared" si="103"/>
        <v>#VALUE!</v>
      </c>
      <c r="Z84" s="11" t="e">
        <f t="shared" si="104"/>
        <v>#VALUE!</v>
      </c>
      <c r="AA84" s="10" t="e">
        <f t="shared" si="87"/>
        <v>#VALUE!</v>
      </c>
      <c r="AB84" s="10" t="e">
        <f t="shared" si="105"/>
        <v>#VALUE!</v>
      </c>
      <c r="AC84" s="10" t="e">
        <f t="shared" si="106"/>
        <v>#VALUE!</v>
      </c>
      <c r="AD84" s="10" t="e">
        <f t="shared" si="138"/>
        <v>#VALUE!</v>
      </c>
      <c r="AE84" s="10" t="e">
        <f t="shared" si="139"/>
        <v>#VALUE!</v>
      </c>
      <c r="AF84" s="10" t="e">
        <f t="shared" si="88"/>
        <v>#VALUE!</v>
      </c>
      <c r="AG84" s="10" t="e">
        <f t="shared" si="107"/>
        <v>#VALUE!</v>
      </c>
      <c r="AI84" s="13"/>
      <c r="AK84" s="10" t="e">
        <f t="shared" si="108"/>
        <v>#VALUE!</v>
      </c>
      <c r="AL84" s="10" t="e">
        <f t="shared" si="140"/>
        <v>#VALUE!</v>
      </c>
      <c r="AM84" s="10" t="e">
        <f t="shared" si="89"/>
        <v>#VALUE!</v>
      </c>
      <c r="AN84" s="10" t="e">
        <f t="shared" si="109"/>
        <v>#VALUE!</v>
      </c>
      <c r="AO84" s="10" t="e">
        <f t="shared" si="110"/>
        <v>#VALUE!</v>
      </c>
      <c r="AP84" s="10" t="e">
        <f t="shared" si="111"/>
        <v>#VALUE!</v>
      </c>
      <c r="AQ84" s="10" t="e">
        <f t="shared" si="141"/>
        <v>#VALUE!</v>
      </c>
      <c r="AR84" s="10" t="e">
        <f t="shared" si="90"/>
        <v>#VALUE!</v>
      </c>
      <c r="AS84" s="10" t="e">
        <f t="shared" si="142"/>
        <v>#VALUE!</v>
      </c>
      <c r="AU84" s="10" t="e">
        <f t="shared" si="112"/>
        <v>#VALUE!</v>
      </c>
      <c r="AV84" s="10" t="e">
        <f t="shared" si="143"/>
        <v>#VALUE!</v>
      </c>
      <c r="AW84" s="10" t="e">
        <f t="shared" si="91"/>
        <v>#VALUE!</v>
      </c>
      <c r="AX84" s="10" t="e">
        <f t="shared" si="113"/>
        <v>#VALUE!</v>
      </c>
      <c r="AY84" s="10" t="e">
        <f t="shared" si="114"/>
        <v>#VALUE!</v>
      </c>
      <c r="AZ84" s="10" t="e">
        <f t="shared" si="115"/>
        <v>#VALUE!</v>
      </c>
      <c r="BA84" s="10" t="e">
        <f t="shared" si="144"/>
        <v>#VALUE!</v>
      </c>
      <c r="BB84" s="10" t="e">
        <f t="shared" si="92"/>
        <v>#VALUE!</v>
      </c>
      <c r="BC84" s="10" t="e">
        <f t="shared" si="145"/>
        <v>#VALUE!</v>
      </c>
      <c r="BE84" s="10" t="e">
        <f t="shared" si="116"/>
        <v>#VALUE!</v>
      </c>
      <c r="BF84" s="10" t="e">
        <f t="shared" si="146"/>
        <v>#VALUE!</v>
      </c>
      <c r="BG84" s="10" t="e">
        <f t="shared" si="93"/>
        <v>#VALUE!</v>
      </c>
      <c r="BH84" s="10" t="e">
        <f t="shared" si="117"/>
        <v>#VALUE!</v>
      </c>
      <c r="BI84" s="10" t="e">
        <f t="shared" si="118"/>
        <v>#VALUE!</v>
      </c>
      <c r="BJ84" s="10" t="e">
        <f t="shared" si="119"/>
        <v>#VALUE!</v>
      </c>
      <c r="BK84" s="10" t="e">
        <f t="shared" si="147"/>
        <v>#VALUE!</v>
      </c>
      <c r="BL84" s="10" t="e">
        <f t="shared" si="94"/>
        <v>#VALUE!</v>
      </c>
      <c r="BM84" s="10" t="e">
        <f t="shared" si="148"/>
        <v>#VALUE!</v>
      </c>
      <c r="BP84" s="10" t="e">
        <f t="shared" si="120"/>
        <v>#VALUE!</v>
      </c>
      <c r="BQ84" s="10" t="e">
        <f t="shared" si="121"/>
        <v>#VALUE!</v>
      </c>
      <c r="BR84" s="10" t="e">
        <f t="shared" si="122"/>
        <v>#VALUE!</v>
      </c>
      <c r="BS84" s="10" t="e">
        <f t="shared" si="123"/>
        <v>#VALUE!</v>
      </c>
      <c r="BT84" s="10" t="e">
        <f t="shared" si="124"/>
        <v>#VALUE!</v>
      </c>
      <c r="BU84" s="10" t="e">
        <f t="shared" si="125"/>
        <v>#VALUE!</v>
      </c>
      <c r="BW84" s="10" t="e">
        <f t="shared" si="126"/>
        <v>#VALUE!</v>
      </c>
      <c r="BX84" s="10" t="e">
        <f t="shared" si="127"/>
        <v>#VALUE!</v>
      </c>
      <c r="BY84" s="10" t="e">
        <f t="shared" si="128"/>
        <v>#VALUE!</v>
      </c>
      <c r="BZ84" s="10" t="e">
        <f t="shared" si="129"/>
        <v>#VALUE!</v>
      </c>
      <c r="CA84" s="10" t="e">
        <f t="shared" si="130"/>
        <v>#VALUE!</v>
      </c>
      <c r="CB84" s="10" t="e">
        <f t="shared" si="131"/>
        <v>#VALUE!</v>
      </c>
      <c r="CD84" s="10" t="e">
        <f>MATCH(INDEX($BP$12:$BU$12,1,MATCH(BP84,$BP$15:$BU$15,0)),结果汇总!$AI$10:$AI$13,0)</f>
        <v>#VALUE!</v>
      </c>
      <c r="CE84" s="10" t="e">
        <f>MATCH(INDEX($BP$12:$BU$12,1,MATCH(BQ84,$BP$15:$BU$15,0)),结果汇总!$AI$10:$AI$13,0)</f>
        <v>#VALUE!</v>
      </c>
      <c r="CF84" s="10" t="e">
        <f>MATCH(INDEX($BP$12:$BU$12,1,MATCH(BR84,$BP$15:$BU$15,0)),结果汇总!$AI$10:$AI$13,0)</f>
        <v>#VALUE!</v>
      </c>
      <c r="CG84" s="10" t="e">
        <f>MATCH(INDEX($BP$12:$BU$12,1,MATCH(BS84,$BP$15:$BU$15,0)),结果汇总!$AI$10:$AI$13,0)</f>
        <v>#VALUE!</v>
      </c>
      <c r="CH84" s="10" t="e">
        <f>MATCH(INDEX($BP$12:$BU$12,1,MATCH(BT84,$BP$15:$BU$15,0)),结果汇总!$AI$10:$AI$13,0)</f>
        <v>#VALUE!</v>
      </c>
      <c r="CI84" s="10" t="e">
        <f>MATCH(INDEX($BP$12:$BU$12,1,MATCH(BU84,$BP$15:$BU$15,0)),结果汇总!$AI$10:$AI$13,0)</f>
        <v>#VALUE!</v>
      </c>
      <c r="CK84" s="10">
        <f t="shared" si="132"/>
        <v>0</v>
      </c>
      <c r="CL84" s="10">
        <f t="shared" si="132"/>
        <v>0</v>
      </c>
      <c r="CM84" s="10">
        <f t="shared" si="132"/>
        <v>0</v>
      </c>
      <c r="CN84" s="10">
        <f t="shared" si="132"/>
        <v>0</v>
      </c>
      <c r="CO84" s="10">
        <f t="shared" si="133"/>
        <v>0</v>
      </c>
      <c r="CP84" s="10">
        <f t="shared" si="133"/>
        <v>0</v>
      </c>
      <c r="CQ84" s="10">
        <f t="shared" si="133"/>
        <v>0</v>
      </c>
      <c r="CR84" s="10">
        <f t="shared" si="133"/>
        <v>0</v>
      </c>
      <c r="CS84" s="10">
        <f t="shared" si="134"/>
        <v>0</v>
      </c>
      <c r="CT84" s="10">
        <f t="shared" si="134"/>
        <v>0</v>
      </c>
      <c r="CU84" s="10">
        <f t="shared" si="134"/>
        <v>0</v>
      </c>
      <c r="CV84" s="10">
        <f t="shared" si="134"/>
        <v>0</v>
      </c>
      <c r="CW84" s="10">
        <f t="shared" si="135"/>
        <v>0</v>
      </c>
      <c r="CX84" s="10">
        <f t="shared" si="135"/>
        <v>0</v>
      </c>
      <c r="CY84" s="10">
        <f t="shared" si="135"/>
        <v>0</v>
      </c>
      <c r="CZ84" s="10">
        <f t="shared" si="135"/>
        <v>0</v>
      </c>
    </row>
    <row r="85" spans="4:104" x14ac:dyDescent="0.15">
      <c r="D85" s="10">
        <v>70</v>
      </c>
      <c r="E85" s="10" t="e">
        <f t="shared" si="95"/>
        <v>#VALUE!</v>
      </c>
      <c r="F85" s="10" t="e">
        <f t="shared" si="79"/>
        <v>#VALUE!</v>
      </c>
      <c r="G85" s="10" t="e">
        <f t="shared" si="80"/>
        <v>#VALUE!</v>
      </c>
      <c r="H85" s="10" t="e">
        <f t="shared" si="96"/>
        <v>#VALUE!</v>
      </c>
      <c r="I85" s="10" t="e">
        <f t="shared" si="81"/>
        <v>#VALUE!</v>
      </c>
      <c r="J85" s="10" t="e">
        <f t="shared" si="97"/>
        <v>#VALUE!</v>
      </c>
      <c r="K85" s="10" t="e">
        <f t="shared" si="82"/>
        <v>#VALUE!</v>
      </c>
      <c r="L85" s="10" t="e">
        <f t="shared" si="83"/>
        <v>#VALUE!</v>
      </c>
      <c r="M85" s="10" t="e">
        <f t="shared" si="98"/>
        <v>#VALUE!</v>
      </c>
      <c r="O85" s="10" t="e">
        <f t="shared" si="99"/>
        <v>#VALUE!</v>
      </c>
      <c r="P85" s="10" t="e">
        <f t="shared" si="84"/>
        <v>#VALUE!</v>
      </c>
      <c r="Q85" s="10" t="e">
        <f t="shared" si="85"/>
        <v>#VALUE!</v>
      </c>
      <c r="R85" s="10" t="e">
        <f t="shared" si="100"/>
        <v>#VALUE!</v>
      </c>
      <c r="S85" s="10" t="e">
        <f t="shared" si="101"/>
        <v>#VALUE!</v>
      </c>
      <c r="T85" s="10" t="e">
        <f t="shared" si="136"/>
        <v>#VALUE!</v>
      </c>
      <c r="U85" s="10" t="e">
        <f t="shared" si="137"/>
        <v>#VALUE!</v>
      </c>
      <c r="V85" s="10" t="e">
        <f t="shared" si="86"/>
        <v>#VALUE!</v>
      </c>
      <c r="W85" s="10" t="e">
        <f t="shared" si="102"/>
        <v>#VALUE!</v>
      </c>
      <c r="Y85" s="10" t="e">
        <f t="shared" si="103"/>
        <v>#VALUE!</v>
      </c>
      <c r="Z85" s="11" t="e">
        <f t="shared" si="104"/>
        <v>#VALUE!</v>
      </c>
      <c r="AA85" s="10" t="e">
        <f t="shared" si="87"/>
        <v>#VALUE!</v>
      </c>
      <c r="AB85" s="10" t="e">
        <f t="shared" si="105"/>
        <v>#VALUE!</v>
      </c>
      <c r="AC85" s="10" t="e">
        <f t="shared" si="106"/>
        <v>#VALUE!</v>
      </c>
      <c r="AD85" s="10" t="e">
        <f t="shared" si="138"/>
        <v>#VALUE!</v>
      </c>
      <c r="AE85" s="10" t="e">
        <f t="shared" si="139"/>
        <v>#VALUE!</v>
      </c>
      <c r="AF85" s="10" t="e">
        <f t="shared" si="88"/>
        <v>#VALUE!</v>
      </c>
      <c r="AG85" s="10" t="e">
        <f t="shared" si="107"/>
        <v>#VALUE!</v>
      </c>
      <c r="AI85" s="13"/>
      <c r="AK85" s="10" t="e">
        <f t="shared" si="108"/>
        <v>#VALUE!</v>
      </c>
      <c r="AL85" s="10" t="e">
        <f t="shared" si="140"/>
        <v>#VALUE!</v>
      </c>
      <c r="AM85" s="10" t="e">
        <f t="shared" si="89"/>
        <v>#VALUE!</v>
      </c>
      <c r="AN85" s="10" t="e">
        <f t="shared" si="109"/>
        <v>#VALUE!</v>
      </c>
      <c r="AO85" s="10" t="e">
        <f t="shared" si="110"/>
        <v>#VALUE!</v>
      </c>
      <c r="AP85" s="10" t="e">
        <f t="shared" si="111"/>
        <v>#VALUE!</v>
      </c>
      <c r="AQ85" s="10" t="e">
        <f t="shared" si="141"/>
        <v>#VALUE!</v>
      </c>
      <c r="AR85" s="10" t="e">
        <f t="shared" si="90"/>
        <v>#VALUE!</v>
      </c>
      <c r="AS85" s="10" t="e">
        <f t="shared" si="142"/>
        <v>#VALUE!</v>
      </c>
      <c r="AU85" s="10" t="e">
        <f t="shared" si="112"/>
        <v>#VALUE!</v>
      </c>
      <c r="AV85" s="10" t="e">
        <f t="shared" si="143"/>
        <v>#VALUE!</v>
      </c>
      <c r="AW85" s="10" t="e">
        <f t="shared" si="91"/>
        <v>#VALUE!</v>
      </c>
      <c r="AX85" s="10" t="e">
        <f t="shared" si="113"/>
        <v>#VALUE!</v>
      </c>
      <c r="AY85" s="10" t="e">
        <f t="shared" si="114"/>
        <v>#VALUE!</v>
      </c>
      <c r="AZ85" s="10" t="e">
        <f t="shared" si="115"/>
        <v>#VALUE!</v>
      </c>
      <c r="BA85" s="10" t="e">
        <f t="shared" si="144"/>
        <v>#VALUE!</v>
      </c>
      <c r="BB85" s="10" t="e">
        <f t="shared" si="92"/>
        <v>#VALUE!</v>
      </c>
      <c r="BC85" s="10" t="e">
        <f t="shared" si="145"/>
        <v>#VALUE!</v>
      </c>
      <c r="BE85" s="10" t="e">
        <f t="shared" si="116"/>
        <v>#VALUE!</v>
      </c>
      <c r="BF85" s="10" t="e">
        <f t="shared" si="146"/>
        <v>#VALUE!</v>
      </c>
      <c r="BG85" s="10" t="e">
        <f t="shared" si="93"/>
        <v>#VALUE!</v>
      </c>
      <c r="BH85" s="10" t="e">
        <f t="shared" si="117"/>
        <v>#VALUE!</v>
      </c>
      <c r="BI85" s="10" t="e">
        <f t="shared" si="118"/>
        <v>#VALUE!</v>
      </c>
      <c r="BJ85" s="10" t="e">
        <f t="shared" si="119"/>
        <v>#VALUE!</v>
      </c>
      <c r="BK85" s="10" t="e">
        <f t="shared" si="147"/>
        <v>#VALUE!</v>
      </c>
      <c r="BL85" s="10" t="e">
        <f t="shared" si="94"/>
        <v>#VALUE!</v>
      </c>
      <c r="BM85" s="10" t="e">
        <f t="shared" si="148"/>
        <v>#VALUE!</v>
      </c>
      <c r="BP85" s="10" t="e">
        <f t="shared" si="120"/>
        <v>#VALUE!</v>
      </c>
      <c r="BQ85" s="10" t="e">
        <f t="shared" si="121"/>
        <v>#VALUE!</v>
      </c>
      <c r="BR85" s="10" t="e">
        <f t="shared" si="122"/>
        <v>#VALUE!</v>
      </c>
      <c r="BS85" s="10" t="e">
        <f t="shared" si="123"/>
        <v>#VALUE!</v>
      </c>
      <c r="BT85" s="10" t="e">
        <f t="shared" si="124"/>
        <v>#VALUE!</v>
      </c>
      <c r="BU85" s="10" t="e">
        <f t="shared" si="125"/>
        <v>#VALUE!</v>
      </c>
      <c r="BW85" s="10" t="e">
        <f t="shared" si="126"/>
        <v>#VALUE!</v>
      </c>
      <c r="BX85" s="10" t="e">
        <f t="shared" si="127"/>
        <v>#VALUE!</v>
      </c>
      <c r="BY85" s="10" t="e">
        <f t="shared" si="128"/>
        <v>#VALUE!</v>
      </c>
      <c r="BZ85" s="10" t="e">
        <f t="shared" si="129"/>
        <v>#VALUE!</v>
      </c>
      <c r="CA85" s="10" t="e">
        <f t="shared" si="130"/>
        <v>#VALUE!</v>
      </c>
      <c r="CB85" s="10" t="e">
        <f t="shared" si="131"/>
        <v>#VALUE!</v>
      </c>
      <c r="CD85" s="10" t="e">
        <f>MATCH(INDEX($BP$12:$BU$12,1,MATCH(BP85,$BP$15:$BU$15,0)),结果汇总!$AI$10:$AI$13,0)</f>
        <v>#VALUE!</v>
      </c>
      <c r="CE85" s="10" t="e">
        <f>MATCH(INDEX($BP$12:$BU$12,1,MATCH(BQ85,$BP$15:$BU$15,0)),结果汇总!$AI$10:$AI$13,0)</f>
        <v>#VALUE!</v>
      </c>
      <c r="CF85" s="10" t="e">
        <f>MATCH(INDEX($BP$12:$BU$12,1,MATCH(BR85,$BP$15:$BU$15,0)),结果汇总!$AI$10:$AI$13,0)</f>
        <v>#VALUE!</v>
      </c>
      <c r="CG85" s="10" t="e">
        <f>MATCH(INDEX($BP$12:$BU$12,1,MATCH(BS85,$BP$15:$BU$15,0)),结果汇总!$AI$10:$AI$13,0)</f>
        <v>#VALUE!</v>
      </c>
      <c r="CH85" s="10" t="e">
        <f>MATCH(INDEX($BP$12:$BU$12,1,MATCH(BT85,$BP$15:$BU$15,0)),结果汇总!$AI$10:$AI$13,0)</f>
        <v>#VALUE!</v>
      </c>
      <c r="CI85" s="10" t="e">
        <f>MATCH(INDEX($BP$12:$BU$12,1,MATCH(BU85,$BP$15:$BU$15,0)),结果汇总!$AI$10:$AI$13,0)</f>
        <v>#VALUE!</v>
      </c>
      <c r="CK85" s="10">
        <f t="shared" si="132"/>
        <v>0</v>
      </c>
      <c r="CL85" s="10">
        <f t="shared" si="132"/>
        <v>0</v>
      </c>
      <c r="CM85" s="10">
        <f t="shared" si="132"/>
        <v>0</v>
      </c>
      <c r="CN85" s="10">
        <f t="shared" si="132"/>
        <v>0</v>
      </c>
      <c r="CO85" s="10">
        <f t="shared" si="133"/>
        <v>0</v>
      </c>
      <c r="CP85" s="10">
        <f t="shared" si="133"/>
        <v>0</v>
      </c>
      <c r="CQ85" s="10">
        <f t="shared" si="133"/>
        <v>0</v>
      </c>
      <c r="CR85" s="10">
        <f t="shared" si="133"/>
        <v>0</v>
      </c>
      <c r="CS85" s="10">
        <f t="shared" si="134"/>
        <v>0</v>
      </c>
      <c r="CT85" s="10">
        <f t="shared" si="134"/>
        <v>0</v>
      </c>
      <c r="CU85" s="10">
        <f t="shared" si="134"/>
        <v>0</v>
      </c>
      <c r="CV85" s="10">
        <f t="shared" si="134"/>
        <v>0</v>
      </c>
      <c r="CW85" s="10">
        <f t="shared" si="135"/>
        <v>0</v>
      </c>
      <c r="CX85" s="10">
        <f t="shared" si="135"/>
        <v>0</v>
      </c>
      <c r="CY85" s="10">
        <f t="shared" si="135"/>
        <v>0</v>
      </c>
      <c r="CZ85" s="10">
        <f t="shared" si="135"/>
        <v>0</v>
      </c>
    </row>
    <row r="86" spans="4:104" x14ac:dyDescent="0.15">
      <c r="D86" s="10">
        <v>71</v>
      </c>
      <c r="E86" s="10" t="e">
        <f t="shared" si="95"/>
        <v>#VALUE!</v>
      </c>
      <c r="F86" s="10" t="e">
        <f t="shared" si="79"/>
        <v>#VALUE!</v>
      </c>
      <c r="G86" s="10" t="e">
        <f t="shared" si="80"/>
        <v>#VALUE!</v>
      </c>
      <c r="H86" s="10" t="e">
        <f t="shared" si="96"/>
        <v>#VALUE!</v>
      </c>
      <c r="I86" s="10" t="e">
        <f t="shared" si="81"/>
        <v>#VALUE!</v>
      </c>
      <c r="J86" s="10" t="e">
        <f t="shared" si="97"/>
        <v>#VALUE!</v>
      </c>
      <c r="K86" s="10" t="e">
        <f t="shared" si="82"/>
        <v>#VALUE!</v>
      </c>
      <c r="L86" s="10" t="e">
        <f t="shared" si="83"/>
        <v>#VALUE!</v>
      </c>
      <c r="M86" s="10" t="e">
        <f t="shared" si="98"/>
        <v>#VALUE!</v>
      </c>
      <c r="O86" s="10" t="e">
        <f t="shared" si="99"/>
        <v>#VALUE!</v>
      </c>
      <c r="P86" s="10" t="e">
        <f t="shared" si="84"/>
        <v>#VALUE!</v>
      </c>
      <c r="Q86" s="10" t="e">
        <f t="shared" si="85"/>
        <v>#VALUE!</v>
      </c>
      <c r="R86" s="10" t="e">
        <f t="shared" si="100"/>
        <v>#VALUE!</v>
      </c>
      <c r="S86" s="10" t="e">
        <f t="shared" si="101"/>
        <v>#VALUE!</v>
      </c>
      <c r="T86" s="10" t="e">
        <f t="shared" si="136"/>
        <v>#VALUE!</v>
      </c>
      <c r="U86" s="10" t="e">
        <f t="shared" si="137"/>
        <v>#VALUE!</v>
      </c>
      <c r="V86" s="10" t="e">
        <f t="shared" si="86"/>
        <v>#VALUE!</v>
      </c>
      <c r="W86" s="10" t="e">
        <f t="shared" si="102"/>
        <v>#VALUE!</v>
      </c>
      <c r="Y86" s="10" t="e">
        <f t="shared" si="103"/>
        <v>#VALUE!</v>
      </c>
      <c r="Z86" s="11" t="e">
        <f t="shared" si="104"/>
        <v>#VALUE!</v>
      </c>
      <c r="AA86" s="10" t="e">
        <f t="shared" si="87"/>
        <v>#VALUE!</v>
      </c>
      <c r="AB86" s="10" t="e">
        <f t="shared" si="105"/>
        <v>#VALUE!</v>
      </c>
      <c r="AC86" s="10" t="e">
        <f t="shared" si="106"/>
        <v>#VALUE!</v>
      </c>
      <c r="AD86" s="10" t="e">
        <f t="shared" si="138"/>
        <v>#VALUE!</v>
      </c>
      <c r="AE86" s="10" t="e">
        <f t="shared" si="139"/>
        <v>#VALUE!</v>
      </c>
      <c r="AF86" s="10" t="e">
        <f t="shared" si="88"/>
        <v>#VALUE!</v>
      </c>
      <c r="AG86" s="10" t="e">
        <f t="shared" si="107"/>
        <v>#VALUE!</v>
      </c>
      <c r="AI86" s="13"/>
      <c r="AK86" s="10" t="e">
        <f t="shared" si="108"/>
        <v>#VALUE!</v>
      </c>
      <c r="AL86" s="10" t="e">
        <f t="shared" si="140"/>
        <v>#VALUE!</v>
      </c>
      <c r="AM86" s="10" t="e">
        <f t="shared" si="89"/>
        <v>#VALUE!</v>
      </c>
      <c r="AN86" s="10" t="e">
        <f t="shared" si="109"/>
        <v>#VALUE!</v>
      </c>
      <c r="AO86" s="10" t="e">
        <f t="shared" si="110"/>
        <v>#VALUE!</v>
      </c>
      <c r="AP86" s="10" t="e">
        <f t="shared" si="111"/>
        <v>#VALUE!</v>
      </c>
      <c r="AQ86" s="10" t="e">
        <f t="shared" si="141"/>
        <v>#VALUE!</v>
      </c>
      <c r="AR86" s="10" t="e">
        <f t="shared" si="90"/>
        <v>#VALUE!</v>
      </c>
      <c r="AS86" s="10" t="e">
        <f t="shared" si="142"/>
        <v>#VALUE!</v>
      </c>
      <c r="AU86" s="10" t="e">
        <f t="shared" si="112"/>
        <v>#VALUE!</v>
      </c>
      <c r="AV86" s="10" t="e">
        <f t="shared" si="143"/>
        <v>#VALUE!</v>
      </c>
      <c r="AW86" s="10" t="e">
        <f t="shared" si="91"/>
        <v>#VALUE!</v>
      </c>
      <c r="AX86" s="10" t="e">
        <f t="shared" si="113"/>
        <v>#VALUE!</v>
      </c>
      <c r="AY86" s="10" t="e">
        <f t="shared" si="114"/>
        <v>#VALUE!</v>
      </c>
      <c r="AZ86" s="10" t="e">
        <f t="shared" si="115"/>
        <v>#VALUE!</v>
      </c>
      <c r="BA86" s="10" t="e">
        <f t="shared" si="144"/>
        <v>#VALUE!</v>
      </c>
      <c r="BB86" s="10" t="e">
        <f t="shared" si="92"/>
        <v>#VALUE!</v>
      </c>
      <c r="BC86" s="10" t="e">
        <f t="shared" si="145"/>
        <v>#VALUE!</v>
      </c>
      <c r="BE86" s="10" t="e">
        <f t="shared" si="116"/>
        <v>#VALUE!</v>
      </c>
      <c r="BF86" s="10" t="e">
        <f t="shared" si="146"/>
        <v>#VALUE!</v>
      </c>
      <c r="BG86" s="10" t="e">
        <f t="shared" si="93"/>
        <v>#VALUE!</v>
      </c>
      <c r="BH86" s="10" t="e">
        <f t="shared" si="117"/>
        <v>#VALUE!</v>
      </c>
      <c r="BI86" s="10" t="e">
        <f t="shared" si="118"/>
        <v>#VALUE!</v>
      </c>
      <c r="BJ86" s="10" t="e">
        <f t="shared" si="119"/>
        <v>#VALUE!</v>
      </c>
      <c r="BK86" s="10" t="e">
        <f t="shared" si="147"/>
        <v>#VALUE!</v>
      </c>
      <c r="BL86" s="10" t="e">
        <f t="shared" si="94"/>
        <v>#VALUE!</v>
      </c>
      <c r="BM86" s="10" t="e">
        <f t="shared" si="148"/>
        <v>#VALUE!</v>
      </c>
      <c r="BP86" s="10" t="e">
        <f t="shared" si="120"/>
        <v>#VALUE!</v>
      </c>
      <c r="BQ86" s="10" t="e">
        <f t="shared" si="121"/>
        <v>#VALUE!</v>
      </c>
      <c r="BR86" s="10" t="e">
        <f t="shared" si="122"/>
        <v>#VALUE!</v>
      </c>
      <c r="BS86" s="10" t="e">
        <f t="shared" si="123"/>
        <v>#VALUE!</v>
      </c>
      <c r="BT86" s="10" t="e">
        <f t="shared" si="124"/>
        <v>#VALUE!</v>
      </c>
      <c r="BU86" s="10" t="e">
        <f t="shared" si="125"/>
        <v>#VALUE!</v>
      </c>
      <c r="BW86" s="10" t="e">
        <f t="shared" si="126"/>
        <v>#VALUE!</v>
      </c>
      <c r="BX86" s="10" t="e">
        <f t="shared" si="127"/>
        <v>#VALUE!</v>
      </c>
      <c r="BY86" s="10" t="e">
        <f t="shared" si="128"/>
        <v>#VALUE!</v>
      </c>
      <c r="BZ86" s="10" t="e">
        <f t="shared" si="129"/>
        <v>#VALUE!</v>
      </c>
      <c r="CA86" s="10" t="e">
        <f t="shared" si="130"/>
        <v>#VALUE!</v>
      </c>
      <c r="CB86" s="10" t="e">
        <f t="shared" si="131"/>
        <v>#VALUE!</v>
      </c>
      <c r="CD86" s="10" t="e">
        <f>MATCH(INDEX($BP$12:$BU$12,1,MATCH(BP86,$BP$15:$BU$15,0)),结果汇总!$AI$10:$AI$13,0)</f>
        <v>#VALUE!</v>
      </c>
      <c r="CE86" s="10" t="e">
        <f>MATCH(INDEX($BP$12:$BU$12,1,MATCH(BQ86,$BP$15:$BU$15,0)),结果汇总!$AI$10:$AI$13,0)</f>
        <v>#VALUE!</v>
      </c>
      <c r="CF86" s="10" t="e">
        <f>MATCH(INDEX($BP$12:$BU$12,1,MATCH(BR86,$BP$15:$BU$15,0)),结果汇总!$AI$10:$AI$13,0)</f>
        <v>#VALUE!</v>
      </c>
      <c r="CG86" s="10" t="e">
        <f>MATCH(INDEX($BP$12:$BU$12,1,MATCH(BS86,$BP$15:$BU$15,0)),结果汇总!$AI$10:$AI$13,0)</f>
        <v>#VALUE!</v>
      </c>
      <c r="CH86" s="10" t="e">
        <f>MATCH(INDEX($BP$12:$BU$12,1,MATCH(BT86,$BP$15:$BU$15,0)),结果汇总!$AI$10:$AI$13,0)</f>
        <v>#VALUE!</v>
      </c>
      <c r="CI86" s="10" t="e">
        <f>MATCH(INDEX($BP$12:$BU$12,1,MATCH(BU86,$BP$15:$BU$15,0)),结果汇总!$AI$10:$AI$13,0)</f>
        <v>#VALUE!</v>
      </c>
      <c r="CK86" s="10">
        <f t="shared" si="132"/>
        <v>0</v>
      </c>
      <c r="CL86" s="10">
        <f t="shared" si="132"/>
        <v>0</v>
      </c>
      <c r="CM86" s="10">
        <f t="shared" si="132"/>
        <v>0</v>
      </c>
      <c r="CN86" s="10">
        <f t="shared" si="132"/>
        <v>0</v>
      </c>
      <c r="CO86" s="10">
        <f t="shared" si="133"/>
        <v>0</v>
      </c>
      <c r="CP86" s="10">
        <f t="shared" si="133"/>
        <v>0</v>
      </c>
      <c r="CQ86" s="10">
        <f t="shared" si="133"/>
        <v>0</v>
      </c>
      <c r="CR86" s="10">
        <f t="shared" si="133"/>
        <v>0</v>
      </c>
      <c r="CS86" s="10">
        <f t="shared" si="134"/>
        <v>0</v>
      </c>
      <c r="CT86" s="10">
        <f t="shared" si="134"/>
        <v>0</v>
      </c>
      <c r="CU86" s="10">
        <f t="shared" si="134"/>
        <v>0</v>
      </c>
      <c r="CV86" s="10">
        <f t="shared" si="134"/>
        <v>0</v>
      </c>
      <c r="CW86" s="10">
        <f t="shared" si="135"/>
        <v>0</v>
      </c>
      <c r="CX86" s="10">
        <f t="shared" si="135"/>
        <v>0</v>
      </c>
      <c r="CY86" s="10">
        <f t="shared" si="135"/>
        <v>0</v>
      </c>
      <c r="CZ86" s="10">
        <f t="shared" si="135"/>
        <v>0</v>
      </c>
    </row>
    <row r="87" spans="4:104" x14ac:dyDescent="0.15">
      <c r="D87" s="10">
        <v>72</v>
      </c>
      <c r="E87" s="10" t="e">
        <f t="shared" si="95"/>
        <v>#VALUE!</v>
      </c>
      <c r="F87" s="10" t="e">
        <f t="shared" si="79"/>
        <v>#VALUE!</v>
      </c>
      <c r="G87" s="10" t="e">
        <f t="shared" si="80"/>
        <v>#VALUE!</v>
      </c>
      <c r="H87" s="10" t="e">
        <f t="shared" si="96"/>
        <v>#VALUE!</v>
      </c>
      <c r="I87" s="10" t="e">
        <f t="shared" si="81"/>
        <v>#VALUE!</v>
      </c>
      <c r="J87" s="10" t="e">
        <f t="shared" si="97"/>
        <v>#VALUE!</v>
      </c>
      <c r="K87" s="10" t="e">
        <f t="shared" si="82"/>
        <v>#VALUE!</v>
      </c>
      <c r="L87" s="10" t="e">
        <f t="shared" si="83"/>
        <v>#VALUE!</v>
      </c>
      <c r="M87" s="10" t="e">
        <f t="shared" si="98"/>
        <v>#VALUE!</v>
      </c>
      <c r="O87" s="10" t="e">
        <f t="shared" si="99"/>
        <v>#VALUE!</v>
      </c>
      <c r="P87" s="10" t="e">
        <f t="shared" si="84"/>
        <v>#VALUE!</v>
      </c>
      <c r="Q87" s="10" t="e">
        <f t="shared" si="85"/>
        <v>#VALUE!</v>
      </c>
      <c r="R87" s="10" t="e">
        <f t="shared" si="100"/>
        <v>#VALUE!</v>
      </c>
      <c r="S87" s="10" t="e">
        <f t="shared" si="101"/>
        <v>#VALUE!</v>
      </c>
      <c r="T87" s="10" t="e">
        <f t="shared" si="136"/>
        <v>#VALUE!</v>
      </c>
      <c r="U87" s="10" t="e">
        <f t="shared" si="137"/>
        <v>#VALUE!</v>
      </c>
      <c r="V87" s="10" t="e">
        <f t="shared" si="86"/>
        <v>#VALUE!</v>
      </c>
      <c r="W87" s="10" t="e">
        <f t="shared" si="102"/>
        <v>#VALUE!</v>
      </c>
      <c r="Y87" s="10" t="e">
        <f t="shared" si="103"/>
        <v>#VALUE!</v>
      </c>
      <c r="Z87" s="11" t="e">
        <f t="shared" si="104"/>
        <v>#VALUE!</v>
      </c>
      <c r="AA87" s="10" t="e">
        <f t="shared" si="87"/>
        <v>#VALUE!</v>
      </c>
      <c r="AB87" s="10" t="e">
        <f t="shared" si="105"/>
        <v>#VALUE!</v>
      </c>
      <c r="AC87" s="10" t="e">
        <f t="shared" si="106"/>
        <v>#VALUE!</v>
      </c>
      <c r="AD87" s="10" t="e">
        <f t="shared" si="138"/>
        <v>#VALUE!</v>
      </c>
      <c r="AE87" s="10" t="e">
        <f t="shared" si="139"/>
        <v>#VALUE!</v>
      </c>
      <c r="AF87" s="10" t="e">
        <f t="shared" si="88"/>
        <v>#VALUE!</v>
      </c>
      <c r="AG87" s="10" t="e">
        <f t="shared" si="107"/>
        <v>#VALUE!</v>
      </c>
      <c r="AI87" s="13"/>
      <c r="AK87" s="10" t="e">
        <f t="shared" si="108"/>
        <v>#VALUE!</v>
      </c>
      <c r="AL87" s="10" t="e">
        <f t="shared" si="140"/>
        <v>#VALUE!</v>
      </c>
      <c r="AM87" s="10" t="e">
        <f t="shared" si="89"/>
        <v>#VALUE!</v>
      </c>
      <c r="AN87" s="10" t="e">
        <f t="shared" si="109"/>
        <v>#VALUE!</v>
      </c>
      <c r="AO87" s="10" t="e">
        <f t="shared" si="110"/>
        <v>#VALUE!</v>
      </c>
      <c r="AP87" s="10" t="e">
        <f t="shared" si="111"/>
        <v>#VALUE!</v>
      </c>
      <c r="AQ87" s="10" t="e">
        <f t="shared" si="141"/>
        <v>#VALUE!</v>
      </c>
      <c r="AR87" s="10" t="e">
        <f t="shared" si="90"/>
        <v>#VALUE!</v>
      </c>
      <c r="AS87" s="10" t="e">
        <f t="shared" si="142"/>
        <v>#VALUE!</v>
      </c>
      <c r="AU87" s="10" t="e">
        <f t="shared" si="112"/>
        <v>#VALUE!</v>
      </c>
      <c r="AV87" s="10" t="e">
        <f t="shared" si="143"/>
        <v>#VALUE!</v>
      </c>
      <c r="AW87" s="10" t="e">
        <f t="shared" si="91"/>
        <v>#VALUE!</v>
      </c>
      <c r="AX87" s="10" t="e">
        <f t="shared" si="113"/>
        <v>#VALUE!</v>
      </c>
      <c r="AY87" s="10" t="e">
        <f t="shared" si="114"/>
        <v>#VALUE!</v>
      </c>
      <c r="AZ87" s="10" t="e">
        <f t="shared" si="115"/>
        <v>#VALUE!</v>
      </c>
      <c r="BA87" s="10" t="e">
        <f t="shared" si="144"/>
        <v>#VALUE!</v>
      </c>
      <c r="BB87" s="10" t="e">
        <f t="shared" si="92"/>
        <v>#VALUE!</v>
      </c>
      <c r="BC87" s="10" t="e">
        <f t="shared" si="145"/>
        <v>#VALUE!</v>
      </c>
      <c r="BE87" s="10" t="e">
        <f t="shared" si="116"/>
        <v>#VALUE!</v>
      </c>
      <c r="BF87" s="10" t="e">
        <f t="shared" si="146"/>
        <v>#VALUE!</v>
      </c>
      <c r="BG87" s="10" t="e">
        <f t="shared" si="93"/>
        <v>#VALUE!</v>
      </c>
      <c r="BH87" s="10" t="e">
        <f t="shared" si="117"/>
        <v>#VALUE!</v>
      </c>
      <c r="BI87" s="10" t="e">
        <f t="shared" si="118"/>
        <v>#VALUE!</v>
      </c>
      <c r="BJ87" s="10" t="e">
        <f t="shared" si="119"/>
        <v>#VALUE!</v>
      </c>
      <c r="BK87" s="10" t="e">
        <f t="shared" si="147"/>
        <v>#VALUE!</v>
      </c>
      <c r="BL87" s="10" t="e">
        <f t="shared" si="94"/>
        <v>#VALUE!</v>
      </c>
      <c r="BM87" s="10" t="e">
        <f t="shared" si="148"/>
        <v>#VALUE!</v>
      </c>
      <c r="BP87" s="10" t="e">
        <f t="shared" si="120"/>
        <v>#VALUE!</v>
      </c>
      <c r="BQ87" s="10" t="e">
        <f t="shared" si="121"/>
        <v>#VALUE!</v>
      </c>
      <c r="BR87" s="10" t="e">
        <f t="shared" si="122"/>
        <v>#VALUE!</v>
      </c>
      <c r="BS87" s="10" t="e">
        <f t="shared" si="123"/>
        <v>#VALUE!</v>
      </c>
      <c r="BT87" s="10" t="e">
        <f t="shared" si="124"/>
        <v>#VALUE!</v>
      </c>
      <c r="BU87" s="10" t="e">
        <f t="shared" si="125"/>
        <v>#VALUE!</v>
      </c>
      <c r="BW87" s="10" t="e">
        <f t="shared" si="126"/>
        <v>#VALUE!</v>
      </c>
      <c r="BX87" s="10" t="e">
        <f t="shared" si="127"/>
        <v>#VALUE!</v>
      </c>
      <c r="BY87" s="10" t="e">
        <f t="shared" si="128"/>
        <v>#VALUE!</v>
      </c>
      <c r="BZ87" s="10" t="e">
        <f t="shared" si="129"/>
        <v>#VALUE!</v>
      </c>
      <c r="CA87" s="10" t="e">
        <f t="shared" si="130"/>
        <v>#VALUE!</v>
      </c>
      <c r="CB87" s="10" t="e">
        <f t="shared" si="131"/>
        <v>#VALUE!</v>
      </c>
      <c r="CD87" s="10" t="e">
        <f>MATCH(INDEX($BP$12:$BU$12,1,MATCH(BP87,$BP$15:$BU$15,0)),结果汇总!$AI$10:$AI$13,0)</f>
        <v>#VALUE!</v>
      </c>
      <c r="CE87" s="10" t="e">
        <f>MATCH(INDEX($BP$12:$BU$12,1,MATCH(BQ87,$BP$15:$BU$15,0)),结果汇总!$AI$10:$AI$13,0)</f>
        <v>#VALUE!</v>
      </c>
      <c r="CF87" s="10" t="e">
        <f>MATCH(INDEX($BP$12:$BU$12,1,MATCH(BR87,$BP$15:$BU$15,0)),结果汇总!$AI$10:$AI$13,0)</f>
        <v>#VALUE!</v>
      </c>
      <c r="CG87" s="10" t="e">
        <f>MATCH(INDEX($BP$12:$BU$12,1,MATCH(BS87,$BP$15:$BU$15,0)),结果汇总!$AI$10:$AI$13,0)</f>
        <v>#VALUE!</v>
      </c>
      <c r="CH87" s="10" t="e">
        <f>MATCH(INDEX($BP$12:$BU$12,1,MATCH(BT87,$BP$15:$BU$15,0)),结果汇总!$AI$10:$AI$13,0)</f>
        <v>#VALUE!</v>
      </c>
      <c r="CI87" s="10" t="e">
        <f>MATCH(INDEX($BP$12:$BU$12,1,MATCH(BU87,$BP$15:$BU$15,0)),结果汇总!$AI$10:$AI$13,0)</f>
        <v>#VALUE!</v>
      </c>
      <c r="CK87" s="10">
        <f t="shared" si="132"/>
        <v>0</v>
      </c>
      <c r="CL87" s="10">
        <f t="shared" si="132"/>
        <v>0</v>
      </c>
      <c r="CM87" s="10">
        <f t="shared" si="132"/>
        <v>0</v>
      </c>
      <c r="CN87" s="10">
        <f t="shared" si="132"/>
        <v>0</v>
      </c>
      <c r="CO87" s="10">
        <f t="shared" si="133"/>
        <v>0</v>
      </c>
      <c r="CP87" s="10">
        <f t="shared" si="133"/>
        <v>0</v>
      </c>
      <c r="CQ87" s="10">
        <f t="shared" si="133"/>
        <v>0</v>
      </c>
      <c r="CR87" s="10">
        <f t="shared" si="133"/>
        <v>0</v>
      </c>
      <c r="CS87" s="10">
        <f t="shared" si="134"/>
        <v>0</v>
      </c>
      <c r="CT87" s="10">
        <f t="shared" si="134"/>
        <v>0</v>
      </c>
      <c r="CU87" s="10">
        <f t="shared" si="134"/>
        <v>0</v>
      </c>
      <c r="CV87" s="10">
        <f t="shared" si="134"/>
        <v>0</v>
      </c>
      <c r="CW87" s="10">
        <f t="shared" si="135"/>
        <v>0</v>
      </c>
      <c r="CX87" s="10">
        <f t="shared" si="135"/>
        <v>0</v>
      </c>
      <c r="CY87" s="10">
        <f t="shared" si="135"/>
        <v>0</v>
      </c>
      <c r="CZ87" s="10">
        <f t="shared" si="135"/>
        <v>0</v>
      </c>
    </row>
    <row r="88" spans="4:104" x14ac:dyDescent="0.15">
      <c r="D88" s="10">
        <v>73</v>
      </c>
      <c r="E88" s="10" t="e">
        <f t="shared" si="95"/>
        <v>#VALUE!</v>
      </c>
      <c r="F88" s="10" t="e">
        <f t="shared" si="79"/>
        <v>#VALUE!</v>
      </c>
      <c r="G88" s="10" t="e">
        <f t="shared" si="80"/>
        <v>#VALUE!</v>
      </c>
      <c r="H88" s="10" t="e">
        <f t="shared" si="96"/>
        <v>#VALUE!</v>
      </c>
      <c r="I88" s="10" t="e">
        <f t="shared" si="81"/>
        <v>#VALUE!</v>
      </c>
      <c r="J88" s="10" t="e">
        <f t="shared" si="97"/>
        <v>#VALUE!</v>
      </c>
      <c r="K88" s="10" t="e">
        <f t="shared" si="82"/>
        <v>#VALUE!</v>
      </c>
      <c r="L88" s="10" t="e">
        <f t="shared" si="83"/>
        <v>#VALUE!</v>
      </c>
      <c r="M88" s="10" t="e">
        <f t="shared" si="98"/>
        <v>#VALUE!</v>
      </c>
      <c r="O88" s="10" t="e">
        <f t="shared" si="99"/>
        <v>#VALUE!</v>
      </c>
      <c r="P88" s="10" t="e">
        <f t="shared" si="84"/>
        <v>#VALUE!</v>
      </c>
      <c r="Q88" s="10" t="e">
        <f t="shared" si="85"/>
        <v>#VALUE!</v>
      </c>
      <c r="R88" s="10" t="e">
        <f t="shared" si="100"/>
        <v>#VALUE!</v>
      </c>
      <c r="S88" s="10" t="e">
        <f t="shared" si="101"/>
        <v>#VALUE!</v>
      </c>
      <c r="T88" s="10" t="e">
        <f t="shared" si="136"/>
        <v>#VALUE!</v>
      </c>
      <c r="U88" s="10" t="e">
        <f t="shared" si="137"/>
        <v>#VALUE!</v>
      </c>
      <c r="V88" s="10" t="e">
        <f t="shared" si="86"/>
        <v>#VALUE!</v>
      </c>
      <c r="W88" s="10" t="e">
        <f t="shared" si="102"/>
        <v>#VALUE!</v>
      </c>
      <c r="Y88" s="10" t="e">
        <f t="shared" si="103"/>
        <v>#VALUE!</v>
      </c>
      <c r="Z88" s="11" t="e">
        <f t="shared" si="104"/>
        <v>#VALUE!</v>
      </c>
      <c r="AA88" s="10" t="e">
        <f t="shared" si="87"/>
        <v>#VALUE!</v>
      </c>
      <c r="AB88" s="10" t="e">
        <f t="shared" si="105"/>
        <v>#VALUE!</v>
      </c>
      <c r="AC88" s="10" t="e">
        <f t="shared" si="106"/>
        <v>#VALUE!</v>
      </c>
      <c r="AD88" s="10" t="e">
        <f t="shared" si="138"/>
        <v>#VALUE!</v>
      </c>
      <c r="AE88" s="10" t="e">
        <f t="shared" si="139"/>
        <v>#VALUE!</v>
      </c>
      <c r="AF88" s="10" t="e">
        <f t="shared" si="88"/>
        <v>#VALUE!</v>
      </c>
      <c r="AG88" s="10" t="e">
        <f t="shared" si="107"/>
        <v>#VALUE!</v>
      </c>
      <c r="AI88" s="13"/>
      <c r="AK88" s="10" t="e">
        <f t="shared" si="108"/>
        <v>#VALUE!</v>
      </c>
      <c r="AL88" s="10" t="e">
        <f t="shared" si="140"/>
        <v>#VALUE!</v>
      </c>
      <c r="AM88" s="10" t="e">
        <f t="shared" si="89"/>
        <v>#VALUE!</v>
      </c>
      <c r="AN88" s="10" t="e">
        <f t="shared" si="109"/>
        <v>#VALUE!</v>
      </c>
      <c r="AO88" s="10" t="e">
        <f t="shared" si="110"/>
        <v>#VALUE!</v>
      </c>
      <c r="AP88" s="10" t="e">
        <f t="shared" si="111"/>
        <v>#VALUE!</v>
      </c>
      <c r="AQ88" s="10" t="e">
        <f t="shared" si="141"/>
        <v>#VALUE!</v>
      </c>
      <c r="AR88" s="10" t="e">
        <f t="shared" si="90"/>
        <v>#VALUE!</v>
      </c>
      <c r="AS88" s="10" t="e">
        <f t="shared" si="142"/>
        <v>#VALUE!</v>
      </c>
      <c r="AU88" s="10" t="e">
        <f t="shared" si="112"/>
        <v>#VALUE!</v>
      </c>
      <c r="AV88" s="10" t="e">
        <f t="shared" si="143"/>
        <v>#VALUE!</v>
      </c>
      <c r="AW88" s="10" t="e">
        <f t="shared" si="91"/>
        <v>#VALUE!</v>
      </c>
      <c r="AX88" s="10" t="e">
        <f t="shared" si="113"/>
        <v>#VALUE!</v>
      </c>
      <c r="AY88" s="10" t="e">
        <f t="shared" si="114"/>
        <v>#VALUE!</v>
      </c>
      <c r="AZ88" s="10" t="e">
        <f t="shared" si="115"/>
        <v>#VALUE!</v>
      </c>
      <c r="BA88" s="10" t="e">
        <f t="shared" si="144"/>
        <v>#VALUE!</v>
      </c>
      <c r="BB88" s="10" t="e">
        <f t="shared" si="92"/>
        <v>#VALUE!</v>
      </c>
      <c r="BC88" s="10" t="e">
        <f t="shared" si="145"/>
        <v>#VALUE!</v>
      </c>
      <c r="BE88" s="10" t="e">
        <f t="shared" si="116"/>
        <v>#VALUE!</v>
      </c>
      <c r="BF88" s="10" t="e">
        <f t="shared" si="146"/>
        <v>#VALUE!</v>
      </c>
      <c r="BG88" s="10" t="e">
        <f t="shared" si="93"/>
        <v>#VALUE!</v>
      </c>
      <c r="BH88" s="10" t="e">
        <f t="shared" si="117"/>
        <v>#VALUE!</v>
      </c>
      <c r="BI88" s="10" t="e">
        <f t="shared" si="118"/>
        <v>#VALUE!</v>
      </c>
      <c r="BJ88" s="10" t="e">
        <f t="shared" si="119"/>
        <v>#VALUE!</v>
      </c>
      <c r="BK88" s="10" t="e">
        <f t="shared" si="147"/>
        <v>#VALUE!</v>
      </c>
      <c r="BL88" s="10" t="e">
        <f t="shared" si="94"/>
        <v>#VALUE!</v>
      </c>
      <c r="BM88" s="10" t="e">
        <f t="shared" si="148"/>
        <v>#VALUE!</v>
      </c>
      <c r="BP88" s="10" t="e">
        <f t="shared" si="120"/>
        <v>#VALUE!</v>
      </c>
      <c r="BQ88" s="10" t="e">
        <f t="shared" si="121"/>
        <v>#VALUE!</v>
      </c>
      <c r="BR88" s="10" t="e">
        <f t="shared" si="122"/>
        <v>#VALUE!</v>
      </c>
      <c r="BS88" s="10" t="e">
        <f t="shared" si="123"/>
        <v>#VALUE!</v>
      </c>
      <c r="BT88" s="10" t="e">
        <f t="shared" si="124"/>
        <v>#VALUE!</v>
      </c>
      <c r="BU88" s="10" t="e">
        <f t="shared" si="125"/>
        <v>#VALUE!</v>
      </c>
      <c r="BW88" s="10" t="e">
        <f t="shared" si="126"/>
        <v>#VALUE!</v>
      </c>
      <c r="BX88" s="10" t="e">
        <f t="shared" si="127"/>
        <v>#VALUE!</v>
      </c>
      <c r="BY88" s="10" t="e">
        <f t="shared" si="128"/>
        <v>#VALUE!</v>
      </c>
      <c r="BZ88" s="10" t="e">
        <f t="shared" si="129"/>
        <v>#VALUE!</v>
      </c>
      <c r="CA88" s="10" t="e">
        <f t="shared" si="130"/>
        <v>#VALUE!</v>
      </c>
      <c r="CB88" s="10" t="e">
        <f t="shared" si="131"/>
        <v>#VALUE!</v>
      </c>
      <c r="CD88" s="10" t="e">
        <f>MATCH(INDEX($BP$12:$BU$12,1,MATCH(BP88,$BP$15:$BU$15,0)),结果汇总!$AI$10:$AI$13,0)</f>
        <v>#VALUE!</v>
      </c>
      <c r="CE88" s="10" t="e">
        <f>MATCH(INDEX($BP$12:$BU$12,1,MATCH(BQ88,$BP$15:$BU$15,0)),结果汇总!$AI$10:$AI$13,0)</f>
        <v>#VALUE!</v>
      </c>
      <c r="CF88" s="10" t="e">
        <f>MATCH(INDEX($BP$12:$BU$12,1,MATCH(BR88,$BP$15:$BU$15,0)),结果汇总!$AI$10:$AI$13,0)</f>
        <v>#VALUE!</v>
      </c>
      <c r="CG88" s="10" t="e">
        <f>MATCH(INDEX($BP$12:$BU$12,1,MATCH(BS88,$BP$15:$BU$15,0)),结果汇总!$AI$10:$AI$13,0)</f>
        <v>#VALUE!</v>
      </c>
      <c r="CH88" s="10" t="e">
        <f>MATCH(INDEX($BP$12:$BU$12,1,MATCH(BT88,$BP$15:$BU$15,0)),结果汇总!$AI$10:$AI$13,0)</f>
        <v>#VALUE!</v>
      </c>
      <c r="CI88" s="10" t="e">
        <f>MATCH(INDEX($BP$12:$BU$12,1,MATCH(BU88,$BP$15:$BU$15,0)),结果汇总!$AI$10:$AI$13,0)</f>
        <v>#VALUE!</v>
      </c>
      <c r="CK88" s="10">
        <f t="shared" si="132"/>
        <v>0</v>
      </c>
      <c r="CL88" s="10">
        <f t="shared" si="132"/>
        <v>0</v>
      </c>
      <c r="CM88" s="10">
        <f t="shared" si="132"/>
        <v>0</v>
      </c>
      <c r="CN88" s="10">
        <f t="shared" si="132"/>
        <v>0</v>
      </c>
      <c r="CO88" s="10">
        <f t="shared" si="133"/>
        <v>0</v>
      </c>
      <c r="CP88" s="10">
        <f t="shared" si="133"/>
        <v>0</v>
      </c>
      <c r="CQ88" s="10">
        <f t="shared" si="133"/>
        <v>0</v>
      </c>
      <c r="CR88" s="10">
        <f t="shared" si="133"/>
        <v>0</v>
      </c>
      <c r="CS88" s="10">
        <f t="shared" si="134"/>
        <v>0</v>
      </c>
      <c r="CT88" s="10">
        <f t="shared" si="134"/>
        <v>0</v>
      </c>
      <c r="CU88" s="10">
        <f t="shared" si="134"/>
        <v>0</v>
      </c>
      <c r="CV88" s="10">
        <f t="shared" si="134"/>
        <v>0</v>
      </c>
      <c r="CW88" s="10">
        <f t="shared" si="135"/>
        <v>0</v>
      </c>
      <c r="CX88" s="10">
        <f t="shared" si="135"/>
        <v>0</v>
      </c>
      <c r="CY88" s="10">
        <f t="shared" si="135"/>
        <v>0</v>
      </c>
      <c r="CZ88" s="10">
        <f t="shared" si="135"/>
        <v>0</v>
      </c>
    </row>
    <row r="89" spans="4:104" x14ac:dyDescent="0.15">
      <c r="D89" s="10">
        <v>74</v>
      </c>
      <c r="E89" s="10" t="e">
        <f t="shared" si="95"/>
        <v>#VALUE!</v>
      </c>
      <c r="F89" s="10" t="e">
        <f t="shared" si="79"/>
        <v>#VALUE!</v>
      </c>
      <c r="G89" s="10" t="e">
        <f t="shared" si="80"/>
        <v>#VALUE!</v>
      </c>
      <c r="H89" s="10" t="e">
        <f t="shared" si="96"/>
        <v>#VALUE!</v>
      </c>
      <c r="I89" s="10" t="e">
        <f t="shared" si="81"/>
        <v>#VALUE!</v>
      </c>
      <c r="J89" s="10" t="e">
        <f t="shared" si="97"/>
        <v>#VALUE!</v>
      </c>
      <c r="K89" s="10" t="e">
        <f t="shared" si="82"/>
        <v>#VALUE!</v>
      </c>
      <c r="L89" s="10" t="e">
        <f t="shared" si="83"/>
        <v>#VALUE!</v>
      </c>
      <c r="M89" s="10" t="e">
        <f t="shared" si="98"/>
        <v>#VALUE!</v>
      </c>
      <c r="O89" s="10" t="e">
        <f t="shared" si="99"/>
        <v>#VALUE!</v>
      </c>
      <c r="P89" s="10" t="e">
        <f t="shared" si="84"/>
        <v>#VALUE!</v>
      </c>
      <c r="Q89" s="10" t="e">
        <f t="shared" si="85"/>
        <v>#VALUE!</v>
      </c>
      <c r="R89" s="10" t="e">
        <f t="shared" si="100"/>
        <v>#VALUE!</v>
      </c>
      <c r="S89" s="10" t="e">
        <f t="shared" si="101"/>
        <v>#VALUE!</v>
      </c>
      <c r="T89" s="10" t="e">
        <f t="shared" si="136"/>
        <v>#VALUE!</v>
      </c>
      <c r="U89" s="10" t="e">
        <f t="shared" si="137"/>
        <v>#VALUE!</v>
      </c>
      <c r="V89" s="10" t="e">
        <f t="shared" si="86"/>
        <v>#VALUE!</v>
      </c>
      <c r="W89" s="10" t="e">
        <f t="shared" si="102"/>
        <v>#VALUE!</v>
      </c>
      <c r="Y89" s="10" t="e">
        <f t="shared" si="103"/>
        <v>#VALUE!</v>
      </c>
      <c r="Z89" s="11" t="e">
        <f t="shared" si="104"/>
        <v>#VALUE!</v>
      </c>
      <c r="AA89" s="10" t="e">
        <f t="shared" si="87"/>
        <v>#VALUE!</v>
      </c>
      <c r="AB89" s="10" t="e">
        <f t="shared" si="105"/>
        <v>#VALUE!</v>
      </c>
      <c r="AC89" s="10" t="e">
        <f t="shared" si="106"/>
        <v>#VALUE!</v>
      </c>
      <c r="AD89" s="10" t="e">
        <f t="shared" si="138"/>
        <v>#VALUE!</v>
      </c>
      <c r="AE89" s="10" t="e">
        <f t="shared" si="139"/>
        <v>#VALUE!</v>
      </c>
      <c r="AF89" s="10" t="e">
        <f t="shared" si="88"/>
        <v>#VALUE!</v>
      </c>
      <c r="AG89" s="10" t="e">
        <f t="shared" si="107"/>
        <v>#VALUE!</v>
      </c>
      <c r="AI89" s="13"/>
      <c r="AK89" s="10" t="e">
        <f t="shared" si="108"/>
        <v>#VALUE!</v>
      </c>
      <c r="AL89" s="10" t="e">
        <f t="shared" si="140"/>
        <v>#VALUE!</v>
      </c>
      <c r="AM89" s="10" t="e">
        <f t="shared" si="89"/>
        <v>#VALUE!</v>
      </c>
      <c r="AN89" s="10" t="e">
        <f t="shared" si="109"/>
        <v>#VALUE!</v>
      </c>
      <c r="AO89" s="10" t="e">
        <f t="shared" si="110"/>
        <v>#VALUE!</v>
      </c>
      <c r="AP89" s="10" t="e">
        <f t="shared" si="111"/>
        <v>#VALUE!</v>
      </c>
      <c r="AQ89" s="10" t="e">
        <f t="shared" si="141"/>
        <v>#VALUE!</v>
      </c>
      <c r="AR89" s="10" t="e">
        <f t="shared" si="90"/>
        <v>#VALUE!</v>
      </c>
      <c r="AS89" s="10" t="e">
        <f t="shared" si="142"/>
        <v>#VALUE!</v>
      </c>
      <c r="AU89" s="10" t="e">
        <f t="shared" si="112"/>
        <v>#VALUE!</v>
      </c>
      <c r="AV89" s="10" t="e">
        <f t="shared" si="143"/>
        <v>#VALUE!</v>
      </c>
      <c r="AW89" s="10" t="e">
        <f t="shared" si="91"/>
        <v>#VALUE!</v>
      </c>
      <c r="AX89" s="10" t="e">
        <f t="shared" si="113"/>
        <v>#VALUE!</v>
      </c>
      <c r="AY89" s="10" t="e">
        <f t="shared" si="114"/>
        <v>#VALUE!</v>
      </c>
      <c r="AZ89" s="10" t="e">
        <f t="shared" si="115"/>
        <v>#VALUE!</v>
      </c>
      <c r="BA89" s="10" t="e">
        <f t="shared" si="144"/>
        <v>#VALUE!</v>
      </c>
      <c r="BB89" s="10" t="e">
        <f t="shared" si="92"/>
        <v>#VALUE!</v>
      </c>
      <c r="BC89" s="10" t="e">
        <f t="shared" si="145"/>
        <v>#VALUE!</v>
      </c>
      <c r="BE89" s="10" t="e">
        <f t="shared" si="116"/>
        <v>#VALUE!</v>
      </c>
      <c r="BF89" s="10" t="e">
        <f t="shared" si="146"/>
        <v>#VALUE!</v>
      </c>
      <c r="BG89" s="10" t="e">
        <f t="shared" si="93"/>
        <v>#VALUE!</v>
      </c>
      <c r="BH89" s="10" t="e">
        <f t="shared" si="117"/>
        <v>#VALUE!</v>
      </c>
      <c r="BI89" s="10" t="e">
        <f t="shared" si="118"/>
        <v>#VALUE!</v>
      </c>
      <c r="BJ89" s="10" t="e">
        <f t="shared" si="119"/>
        <v>#VALUE!</v>
      </c>
      <c r="BK89" s="10" t="e">
        <f t="shared" si="147"/>
        <v>#VALUE!</v>
      </c>
      <c r="BL89" s="10" t="e">
        <f t="shared" si="94"/>
        <v>#VALUE!</v>
      </c>
      <c r="BM89" s="10" t="e">
        <f t="shared" si="148"/>
        <v>#VALUE!</v>
      </c>
      <c r="BP89" s="10" t="e">
        <f t="shared" si="120"/>
        <v>#VALUE!</v>
      </c>
      <c r="BQ89" s="10" t="e">
        <f t="shared" si="121"/>
        <v>#VALUE!</v>
      </c>
      <c r="BR89" s="10" t="e">
        <f t="shared" si="122"/>
        <v>#VALUE!</v>
      </c>
      <c r="BS89" s="10" t="e">
        <f t="shared" si="123"/>
        <v>#VALUE!</v>
      </c>
      <c r="BT89" s="10" t="e">
        <f t="shared" si="124"/>
        <v>#VALUE!</v>
      </c>
      <c r="BU89" s="10" t="e">
        <f t="shared" si="125"/>
        <v>#VALUE!</v>
      </c>
      <c r="BW89" s="10" t="e">
        <f t="shared" si="126"/>
        <v>#VALUE!</v>
      </c>
      <c r="BX89" s="10" t="e">
        <f t="shared" si="127"/>
        <v>#VALUE!</v>
      </c>
      <c r="BY89" s="10" t="e">
        <f t="shared" si="128"/>
        <v>#VALUE!</v>
      </c>
      <c r="BZ89" s="10" t="e">
        <f t="shared" si="129"/>
        <v>#VALUE!</v>
      </c>
      <c r="CA89" s="10" t="e">
        <f t="shared" si="130"/>
        <v>#VALUE!</v>
      </c>
      <c r="CB89" s="10" t="e">
        <f t="shared" si="131"/>
        <v>#VALUE!</v>
      </c>
      <c r="CD89" s="10" t="e">
        <f>MATCH(INDEX($BP$12:$BU$12,1,MATCH(BP89,$BP$15:$BU$15,0)),结果汇总!$AI$10:$AI$13,0)</f>
        <v>#VALUE!</v>
      </c>
      <c r="CE89" s="10" t="e">
        <f>MATCH(INDEX($BP$12:$BU$12,1,MATCH(BQ89,$BP$15:$BU$15,0)),结果汇总!$AI$10:$AI$13,0)</f>
        <v>#VALUE!</v>
      </c>
      <c r="CF89" s="10" t="e">
        <f>MATCH(INDEX($BP$12:$BU$12,1,MATCH(BR89,$BP$15:$BU$15,0)),结果汇总!$AI$10:$AI$13,0)</f>
        <v>#VALUE!</v>
      </c>
      <c r="CG89" s="10" t="e">
        <f>MATCH(INDEX($BP$12:$BU$12,1,MATCH(BS89,$BP$15:$BU$15,0)),结果汇总!$AI$10:$AI$13,0)</f>
        <v>#VALUE!</v>
      </c>
      <c r="CH89" s="10" t="e">
        <f>MATCH(INDEX($BP$12:$BU$12,1,MATCH(BT89,$BP$15:$BU$15,0)),结果汇总!$AI$10:$AI$13,0)</f>
        <v>#VALUE!</v>
      </c>
      <c r="CI89" s="10" t="e">
        <f>MATCH(INDEX($BP$12:$BU$12,1,MATCH(BU89,$BP$15:$BU$15,0)),结果汇总!$AI$10:$AI$13,0)</f>
        <v>#VALUE!</v>
      </c>
      <c r="CK89" s="10">
        <f t="shared" si="132"/>
        <v>0</v>
      </c>
      <c r="CL89" s="10">
        <f t="shared" si="132"/>
        <v>0</v>
      </c>
      <c r="CM89" s="10">
        <f t="shared" si="132"/>
        <v>0</v>
      </c>
      <c r="CN89" s="10">
        <f t="shared" si="132"/>
        <v>0</v>
      </c>
      <c r="CO89" s="10">
        <f t="shared" si="133"/>
        <v>0</v>
      </c>
      <c r="CP89" s="10">
        <f t="shared" si="133"/>
        <v>0</v>
      </c>
      <c r="CQ89" s="10">
        <f t="shared" si="133"/>
        <v>0</v>
      </c>
      <c r="CR89" s="10">
        <f t="shared" si="133"/>
        <v>0</v>
      </c>
      <c r="CS89" s="10">
        <f t="shared" si="134"/>
        <v>0</v>
      </c>
      <c r="CT89" s="10">
        <f t="shared" si="134"/>
        <v>0</v>
      </c>
      <c r="CU89" s="10">
        <f t="shared" si="134"/>
        <v>0</v>
      </c>
      <c r="CV89" s="10">
        <f t="shared" si="134"/>
        <v>0</v>
      </c>
      <c r="CW89" s="10">
        <f t="shared" si="135"/>
        <v>0</v>
      </c>
      <c r="CX89" s="10">
        <f t="shared" si="135"/>
        <v>0</v>
      </c>
      <c r="CY89" s="10">
        <f t="shared" si="135"/>
        <v>0</v>
      </c>
      <c r="CZ89" s="10">
        <f t="shared" si="135"/>
        <v>0</v>
      </c>
    </row>
    <row r="90" spans="4:104" x14ac:dyDescent="0.15">
      <c r="D90" s="10">
        <v>75</v>
      </c>
      <c r="E90" s="10" t="e">
        <f t="shared" si="95"/>
        <v>#VALUE!</v>
      </c>
      <c r="F90" s="10" t="e">
        <f t="shared" si="79"/>
        <v>#VALUE!</v>
      </c>
      <c r="G90" s="10" t="e">
        <f t="shared" si="80"/>
        <v>#VALUE!</v>
      </c>
      <c r="H90" s="10" t="e">
        <f t="shared" si="96"/>
        <v>#VALUE!</v>
      </c>
      <c r="I90" s="10" t="e">
        <f t="shared" si="81"/>
        <v>#VALUE!</v>
      </c>
      <c r="J90" s="10" t="e">
        <f t="shared" si="97"/>
        <v>#VALUE!</v>
      </c>
      <c r="K90" s="10" t="e">
        <f t="shared" si="82"/>
        <v>#VALUE!</v>
      </c>
      <c r="L90" s="10" t="e">
        <f t="shared" si="83"/>
        <v>#VALUE!</v>
      </c>
      <c r="M90" s="10" t="e">
        <f t="shared" si="98"/>
        <v>#VALUE!</v>
      </c>
      <c r="O90" s="10" t="e">
        <f t="shared" si="99"/>
        <v>#VALUE!</v>
      </c>
      <c r="P90" s="10" t="e">
        <f t="shared" si="84"/>
        <v>#VALUE!</v>
      </c>
      <c r="Q90" s="10" t="e">
        <f t="shared" si="85"/>
        <v>#VALUE!</v>
      </c>
      <c r="R90" s="10" t="e">
        <f t="shared" si="100"/>
        <v>#VALUE!</v>
      </c>
      <c r="S90" s="10" t="e">
        <f t="shared" si="101"/>
        <v>#VALUE!</v>
      </c>
      <c r="T90" s="10" t="e">
        <f t="shared" si="136"/>
        <v>#VALUE!</v>
      </c>
      <c r="U90" s="10" t="e">
        <f t="shared" si="137"/>
        <v>#VALUE!</v>
      </c>
      <c r="V90" s="10" t="e">
        <f t="shared" si="86"/>
        <v>#VALUE!</v>
      </c>
      <c r="W90" s="10" t="e">
        <f t="shared" si="102"/>
        <v>#VALUE!</v>
      </c>
      <c r="Y90" s="10" t="e">
        <f t="shared" si="103"/>
        <v>#VALUE!</v>
      </c>
      <c r="Z90" s="11" t="e">
        <f t="shared" si="104"/>
        <v>#VALUE!</v>
      </c>
      <c r="AA90" s="10" t="e">
        <f t="shared" si="87"/>
        <v>#VALUE!</v>
      </c>
      <c r="AB90" s="10" t="e">
        <f t="shared" si="105"/>
        <v>#VALUE!</v>
      </c>
      <c r="AC90" s="10" t="e">
        <f t="shared" si="106"/>
        <v>#VALUE!</v>
      </c>
      <c r="AD90" s="10" t="e">
        <f t="shared" si="138"/>
        <v>#VALUE!</v>
      </c>
      <c r="AE90" s="10" t="e">
        <f t="shared" si="139"/>
        <v>#VALUE!</v>
      </c>
      <c r="AF90" s="10" t="e">
        <f t="shared" si="88"/>
        <v>#VALUE!</v>
      </c>
      <c r="AG90" s="10" t="e">
        <f t="shared" si="107"/>
        <v>#VALUE!</v>
      </c>
      <c r="AI90" s="13"/>
      <c r="AK90" s="10" t="e">
        <f t="shared" si="108"/>
        <v>#VALUE!</v>
      </c>
      <c r="AL90" s="10" t="e">
        <f t="shared" si="140"/>
        <v>#VALUE!</v>
      </c>
      <c r="AM90" s="10" t="e">
        <f t="shared" si="89"/>
        <v>#VALUE!</v>
      </c>
      <c r="AN90" s="10" t="e">
        <f t="shared" si="109"/>
        <v>#VALUE!</v>
      </c>
      <c r="AO90" s="10" t="e">
        <f t="shared" si="110"/>
        <v>#VALUE!</v>
      </c>
      <c r="AP90" s="10" t="e">
        <f t="shared" si="111"/>
        <v>#VALUE!</v>
      </c>
      <c r="AQ90" s="10" t="e">
        <f t="shared" si="141"/>
        <v>#VALUE!</v>
      </c>
      <c r="AR90" s="10" t="e">
        <f t="shared" si="90"/>
        <v>#VALUE!</v>
      </c>
      <c r="AS90" s="10" t="e">
        <f t="shared" si="142"/>
        <v>#VALUE!</v>
      </c>
      <c r="AU90" s="10" t="e">
        <f t="shared" si="112"/>
        <v>#VALUE!</v>
      </c>
      <c r="AV90" s="10" t="e">
        <f t="shared" si="143"/>
        <v>#VALUE!</v>
      </c>
      <c r="AW90" s="10" t="e">
        <f t="shared" si="91"/>
        <v>#VALUE!</v>
      </c>
      <c r="AX90" s="10" t="e">
        <f t="shared" si="113"/>
        <v>#VALUE!</v>
      </c>
      <c r="AY90" s="10" t="e">
        <f t="shared" si="114"/>
        <v>#VALUE!</v>
      </c>
      <c r="AZ90" s="10" t="e">
        <f t="shared" si="115"/>
        <v>#VALUE!</v>
      </c>
      <c r="BA90" s="10" t="e">
        <f t="shared" si="144"/>
        <v>#VALUE!</v>
      </c>
      <c r="BB90" s="10" t="e">
        <f t="shared" si="92"/>
        <v>#VALUE!</v>
      </c>
      <c r="BC90" s="10" t="e">
        <f t="shared" si="145"/>
        <v>#VALUE!</v>
      </c>
      <c r="BE90" s="10" t="e">
        <f t="shared" si="116"/>
        <v>#VALUE!</v>
      </c>
      <c r="BF90" s="10" t="e">
        <f t="shared" si="146"/>
        <v>#VALUE!</v>
      </c>
      <c r="BG90" s="10" t="e">
        <f t="shared" si="93"/>
        <v>#VALUE!</v>
      </c>
      <c r="BH90" s="10" t="e">
        <f t="shared" si="117"/>
        <v>#VALUE!</v>
      </c>
      <c r="BI90" s="10" t="e">
        <f t="shared" si="118"/>
        <v>#VALUE!</v>
      </c>
      <c r="BJ90" s="10" t="e">
        <f t="shared" si="119"/>
        <v>#VALUE!</v>
      </c>
      <c r="BK90" s="10" t="e">
        <f t="shared" si="147"/>
        <v>#VALUE!</v>
      </c>
      <c r="BL90" s="10" t="e">
        <f t="shared" si="94"/>
        <v>#VALUE!</v>
      </c>
      <c r="BM90" s="10" t="e">
        <f t="shared" si="148"/>
        <v>#VALUE!</v>
      </c>
      <c r="BP90" s="10" t="e">
        <f t="shared" si="120"/>
        <v>#VALUE!</v>
      </c>
      <c r="BQ90" s="10" t="e">
        <f t="shared" si="121"/>
        <v>#VALUE!</v>
      </c>
      <c r="BR90" s="10" t="e">
        <f t="shared" si="122"/>
        <v>#VALUE!</v>
      </c>
      <c r="BS90" s="10" t="e">
        <f t="shared" si="123"/>
        <v>#VALUE!</v>
      </c>
      <c r="BT90" s="10" t="e">
        <f t="shared" si="124"/>
        <v>#VALUE!</v>
      </c>
      <c r="BU90" s="10" t="e">
        <f t="shared" si="125"/>
        <v>#VALUE!</v>
      </c>
      <c r="BW90" s="10" t="e">
        <f t="shared" si="126"/>
        <v>#VALUE!</v>
      </c>
      <c r="BX90" s="10" t="e">
        <f t="shared" si="127"/>
        <v>#VALUE!</v>
      </c>
      <c r="BY90" s="10" t="e">
        <f t="shared" si="128"/>
        <v>#VALUE!</v>
      </c>
      <c r="BZ90" s="10" t="e">
        <f t="shared" si="129"/>
        <v>#VALUE!</v>
      </c>
      <c r="CA90" s="10" t="e">
        <f t="shared" si="130"/>
        <v>#VALUE!</v>
      </c>
      <c r="CB90" s="10" t="e">
        <f t="shared" si="131"/>
        <v>#VALUE!</v>
      </c>
      <c r="CD90" s="10" t="e">
        <f>MATCH(INDEX($BP$12:$BU$12,1,MATCH(BP90,$BP$15:$BU$15,0)),结果汇总!$AI$10:$AI$13,0)</f>
        <v>#VALUE!</v>
      </c>
      <c r="CE90" s="10" t="e">
        <f>MATCH(INDEX($BP$12:$BU$12,1,MATCH(BQ90,$BP$15:$BU$15,0)),结果汇总!$AI$10:$AI$13,0)</f>
        <v>#VALUE!</v>
      </c>
      <c r="CF90" s="10" t="e">
        <f>MATCH(INDEX($BP$12:$BU$12,1,MATCH(BR90,$BP$15:$BU$15,0)),结果汇总!$AI$10:$AI$13,0)</f>
        <v>#VALUE!</v>
      </c>
      <c r="CG90" s="10" t="e">
        <f>MATCH(INDEX($BP$12:$BU$12,1,MATCH(BS90,$BP$15:$BU$15,0)),结果汇总!$AI$10:$AI$13,0)</f>
        <v>#VALUE!</v>
      </c>
      <c r="CH90" s="10" t="e">
        <f>MATCH(INDEX($BP$12:$BU$12,1,MATCH(BT90,$BP$15:$BU$15,0)),结果汇总!$AI$10:$AI$13,0)</f>
        <v>#VALUE!</v>
      </c>
      <c r="CI90" s="10" t="e">
        <f>MATCH(INDEX($BP$12:$BU$12,1,MATCH(BU90,$BP$15:$BU$15,0)),结果汇总!$AI$10:$AI$13,0)</f>
        <v>#VALUE!</v>
      </c>
      <c r="CK90" s="10">
        <f t="shared" si="132"/>
        <v>0</v>
      </c>
      <c r="CL90" s="10">
        <f t="shared" si="132"/>
        <v>0</v>
      </c>
      <c r="CM90" s="10">
        <f t="shared" si="132"/>
        <v>0</v>
      </c>
      <c r="CN90" s="10">
        <f t="shared" si="132"/>
        <v>0</v>
      </c>
      <c r="CO90" s="10">
        <f t="shared" si="133"/>
        <v>0</v>
      </c>
      <c r="CP90" s="10">
        <f t="shared" si="133"/>
        <v>0</v>
      </c>
      <c r="CQ90" s="10">
        <f t="shared" si="133"/>
        <v>0</v>
      </c>
      <c r="CR90" s="10">
        <f t="shared" si="133"/>
        <v>0</v>
      </c>
      <c r="CS90" s="10">
        <f t="shared" si="134"/>
        <v>0</v>
      </c>
      <c r="CT90" s="10">
        <f t="shared" si="134"/>
        <v>0</v>
      </c>
      <c r="CU90" s="10">
        <f t="shared" si="134"/>
        <v>0</v>
      </c>
      <c r="CV90" s="10">
        <f t="shared" si="134"/>
        <v>0</v>
      </c>
      <c r="CW90" s="10">
        <f t="shared" si="135"/>
        <v>0</v>
      </c>
      <c r="CX90" s="10">
        <f t="shared" si="135"/>
        <v>0</v>
      </c>
      <c r="CY90" s="10">
        <f t="shared" si="135"/>
        <v>0</v>
      </c>
      <c r="CZ90" s="10">
        <f t="shared" si="135"/>
        <v>0</v>
      </c>
    </row>
    <row r="91" spans="4:104" x14ac:dyDescent="0.15">
      <c r="D91" s="10">
        <v>76</v>
      </c>
      <c r="E91" s="10" t="e">
        <f t="shared" si="95"/>
        <v>#VALUE!</v>
      </c>
      <c r="F91" s="10" t="e">
        <f t="shared" si="79"/>
        <v>#VALUE!</v>
      </c>
      <c r="G91" s="10" t="e">
        <f t="shared" si="80"/>
        <v>#VALUE!</v>
      </c>
      <c r="H91" s="10" t="e">
        <f t="shared" si="96"/>
        <v>#VALUE!</v>
      </c>
      <c r="I91" s="10" t="e">
        <f t="shared" si="81"/>
        <v>#VALUE!</v>
      </c>
      <c r="J91" s="10" t="e">
        <f t="shared" si="97"/>
        <v>#VALUE!</v>
      </c>
      <c r="K91" s="10" t="e">
        <f t="shared" si="82"/>
        <v>#VALUE!</v>
      </c>
      <c r="L91" s="10" t="e">
        <f t="shared" si="83"/>
        <v>#VALUE!</v>
      </c>
      <c r="M91" s="10" t="e">
        <f t="shared" si="98"/>
        <v>#VALUE!</v>
      </c>
      <c r="O91" s="10" t="e">
        <f t="shared" si="99"/>
        <v>#VALUE!</v>
      </c>
      <c r="P91" s="10" t="e">
        <f t="shared" si="84"/>
        <v>#VALUE!</v>
      </c>
      <c r="Q91" s="10" t="e">
        <f t="shared" si="85"/>
        <v>#VALUE!</v>
      </c>
      <c r="R91" s="10" t="e">
        <f t="shared" si="100"/>
        <v>#VALUE!</v>
      </c>
      <c r="S91" s="10" t="e">
        <f t="shared" si="101"/>
        <v>#VALUE!</v>
      </c>
      <c r="T91" s="10" t="e">
        <f t="shared" si="136"/>
        <v>#VALUE!</v>
      </c>
      <c r="U91" s="10" t="e">
        <f t="shared" si="137"/>
        <v>#VALUE!</v>
      </c>
      <c r="V91" s="10" t="e">
        <f t="shared" si="86"/>
        <v>#VALUE!</v>
      </c>
      <c r="W91" s="10" t="e">
        <f t="shared" si="102"/>
        <v>#VALUE!</v>
      </c>
      <c r="Y91" s="10" t="e">
        <f t="shared" si="103"/>
        <v>#VALUE!</v>
      </c>
      <c r="Z91" s="11" t="e">
        <f t="shared" si="104"/>
        <v>#VALUE!</v>
      </c>
      <c r="AA91" s="10" t="e">
        <f t="shared" si="87"/>
        <v>#VALUE!</v>
      </c>
      <c r="AB91" s="10" t="e">
        <f t="shared" si="105"/>
        <v>#VALUE!</v>
      </c>
      <c r="AC91" s="10" t="e">
        <f t="shared" si="106"/>
        <v>#VALUE!</v>
      </c>
      <c r="AD91" s="10" t="e">
        <f t="shared" si="138"/>
        <v>#VALUE!</v>
      </c>
      <c r="AE91" s="10" t="e">
        <f t="shared" si="139"/>
        <v>#VALUE!</v>
      </c>
      <c r="AF91" s="10" t="e">
        <f t="shared" si="88"/>
        <v>#VALUE!</v>
      </c>
      <c r="AG91" s="10" t="e">
        <f t="shared" si="107"/>
        <v>#VALUE!</v>
      </c>
      <c r="AI91" s="13"/>
      <c r="AK91" s="10" t="e">
        <f t="shared" si="108"/>
        <v>#VALUE!</v>
      </c>
      <c r="AL91" s="10" t="e">
        <f t="shared" si="140"/>
        <v>#VALUE!</v>
      </c>
      <c r="AM91" s="10" t="e">
        <f t="shared" si="89"/>
        <v>#VALUE!</v>
      </c>
      <c r="AN91" s="10" t="e">
        <f t="shared" si="109"/>
        <v>#VALUE!</v>
      </c>
      <c r="AO91" s="10" t="e">
        <f t="shared" si="110"/>
        <v>#VALUE!</v>
      </c>
      <c r="AP91" s="10" t="e">
        <f t="shared" si="111"/>
        <v>#VALUE!</v>
      </c>
      <c r="AQ91" s="10" t="e">
        <f t="shared" si="141"/>
        <v>#VALUE!</v>
      </c>
      <c r="AR91" s="10" t="e">
        <f t="shared" si="90"/>
        <v>#VALUE!</v>
      </c>
      <c r="AS91" s="10" t="e">
        <f t="shared" si="142"/>
        <v>#VALUE!</v>
      </c>
      <c r="AU91" s="10" t="e">
        <f t="shared" si="112"/>
        <v>#VALUE!</v>
      </c>
      <c r="AV91" s="10" t="e">
        <f t="shared" si="143"/>
        <v>#VALUE!</v>
      </c>
      <c r="AW91" s="10" t="e">
        <f t="shared" si="91"/>
        <v>#VALUE!</v>
      </c>
      <c r="AX91" s="10" t="e">
        <f t="shared" si="113"/>
        <v>#VALUE!</v>
      </c>
      <c r="AY91" s="10" t="e">
        <f t="shared" si="114"/>
        <v>#VALUE!</v>
      </c>
      <c r="AZ91" s="10" t="e">
        <f t="shared" si="115"/>
        <v>#VALUE!</v>
      </c>
      <c r="BA91" s="10" t="e">
        <f t="shared" si="144"/>
        <v>#VALUE!</v>
      </c>
      <c r="BB91" s="10" t="e">
        <f t="shared" si="92"/>
        <v>#VALUE!</v>
      </c>
      <c r="BC91" s="10" t="e">
        <f t="shared" si="145"/>
        <v>#VALUE!</v>
      </c>
      <c r="BE91" s="10" t="e">
        <f t="shared" si="116"/>
        <v>#VALUE!</v>
      </c>
      <c r="BF91" s="10" t="e">
        <f t="shared" si="146"/>
        <v>#VALUE!</v>
      </c>
      <c r="BG91" s="10" t="e">
        <f t="shared" si="93"/>
        <v>#VALUE!</v>
      </c>
      <c r="BH91" s="10" t="e">
        <f t="shared" si="117"/>
        <v>#VALUE!</v>
      </c>
      <c r="BI91" s="10" t="e">
        <f t="shared" si="118"/>
        <v>#VALUE!</v>
      </c>
      <c r="BJ91" s="10" t="e">
        <f t="shared" si="119"/>
        <v>#VALUE!</v>
      </c>
      <c r="BK91" s="10" t="e">
        <f t="shared" si="147"/>
        <v>#VALUE!</v>
      </c>
      <c r="BL91" s="10" t="e">
        <f t="shared" si="94"/>
        <v>#VALUE!</v>
      </c>
      <c r="BM91" s="10" t="e">
        <f t="shared" si="148"/>
        <v>#VALUE!</v>
      </c>
      <c r="BP91" s="10" t="e">
        <f t="shared" si="120"/>
        <v>#VALUE!</v>
      </c>
      <c r="BQ91" s="10" t="e">
        <f t="shared" si="121"/>
        <v>#VALUE!</v>
      </c>
      <c r="BR91" s="10" t="e">
        <f t="shared" si="122"/>
        <v>#VALUE!</v>
      </c>
      <c r="BS91" s="10" t="e">
        <f t="shared" si="123"/>
        <v>#VALUE!</v>
      </c>
      <c r="BT91" s="10" t="e">
        <f t="shared" si="124"/>
        <v>#VALUE!</v>
      </c>
      <c r="BU91" s="10" t="e">
        <f t="shared" si="125"/>
        <v>#VALUE!</v>
      </c>
      <c r="BW91" s="10" t="e">
        <f t="shared" si="126"/>
        <v>#VALUE!</v>
      </c>
      <c r="BX91" s="10" t="e">
        <f t="shared" si="127"/>
        <v>#VALUE!</v>
      </c>
      <c r="BY91" s="10" t="e">
        <f t="shared" si="128"/>
        <v>#VALUE!</v>
      </c>
      <c r="BZ91" s="10" t="e">
        <f t="shared" si="129"/>
        <v>#VALUE!</v>
      </c>
      <c r="CA91" s="10" t="e">
        <f t="shared" si="130"/>
        <v>#VALUE!</v>
      </c>
      <c r="CB91" s="10" t="e">
        <f t="shared" si="131"/>
        <v>#VALUE!</v>
      </c>
      <c r="CD91" s="10" t="e">
        <f>MATCH(INDEX($BP$12:$BU$12,1,MATCH(BP91,$BP$15:$BU$15,0)),结果汇总!$AI$10:$AI$13,0)</f>
        <v>#VALUE!</v>
      </c>
      <c r="CE91" s="10" t="e">
        <f>MATCH(INDEX($BP$12:$BU$12,1,MATCH(BQ91,$BP$15:$BU$15,0)),结果汇总!$AI$10:$AI$13,0)</f>
        <v>#VALUE!</v>
      </c>
      <c r="CF91" s="10" t="e">
        <f>MATCH(INDEX($BP$12:$BU$12,1,MATCH(BR91,$BP$15:$BU$15,0)),结果汇总!$AI$10:$AI$13,0)</f>
        <v>#VALUE!</v>
      </c>
      <c r="CG91" s="10" t="e">
        <f>MATCH(INDEX($BP$12:$BU$12,1,MATCH(BS91,$BP$15:$BU$15,0)),结果汇总!$AI$10:$AI$13,0)</f>
        <v>#VALUE!</v>
      </c>
      <c r="CH91" s="10" t="e">
        <f>MATCH(INDEX($BP$12:$BU$12,1,MATCH(BT91,$BP$15:$BU$15,0)),结果汇总!$AI$10:$AI$13,0)</f>
        <v>#VALUE!</v>
      </c>
      <c r="CI91" s="10" t="e">
        <f>MATCH(INDEX($BP$12:$BU$12,1,MATCH(BU91,$BP$15:$BU$15,0)),结果汇总!$AI$10:$AI$13,0)</f>
        <v>#VALUE!</v>
      </c>
      <c r="CK91" s="10">
        <f t="shared" si="132"/>
        <v>0</v>
      </c>
      <c r="CL91" s="10">
        <f t="shared" si="132"/>
        <v>0</v>
      </c>
      <c r="CM91" s="10">
        <f t="shared" si="132"/>
        <v>0</v>
      </c>
      <c r="CN91" s="10">
        <f t="shared" si="132"/>
        <v>0</v>
      </c>
      <c r="CO91" s="10">
        <f t="shared" si="133"/>
        <v>0</v>
      </c>
      <c r="CP91" s="10">
        <f t="shared" si="133"/>
        <v>0</v>
      </c>
      <c r="CQ91" s="10">
        <f t="shared" si="133"/>
        <v>0</v>
      </c>
      <c r="CR91" s="10">
        <f t="shared" si="133"/>
        <v>0</v>
      </c>
      <c r="CS91" s="10">
        <f t="shared" si="134"/>
        <v>0</v>
      </c>
      <c r="CT91" s="10">
        <f t="shared" si="134"/>
        <v>0</v>
      </c>
      <c r="CU91" s="10">
        <f t="shared" si="134"/>
        <v>0</v>
      </c>
      <c r="CV91" s="10">
        <f t="shared" si="134"/>
        <v>0</v>
      </c>
      <c r="CW91" s="10">
        <f t="shared" si="135"/>
        <v>0</v>
      </c>
      <c r="CX91" s="10">
        <f t="shared" si="135"/>
        <v>0</v>
      </c>
      <c r="CY91" s="10">
        <f t="shared" si="135"/>
        <v>0</v>
      </c>
      <c r="CZ91" s="10">
        <f t="shared" si="135"/>
        <v>0</v>
      </c>
    </row>
    <row r="92" spans="4:104" x14ac:dyDescent="0.15">
      <c r="D92" s="10">
        <v>77</v>
      </c>
      <c r="E92" s="10" t="e">
        <f t="shared" si="95"/>
        <v>#VALUE!</v>
      </c>
      <c r="F92" s="10" t="e">
        <f t="shared" si="79"/>
        <v>#VALUE!</v>
      </c>
      <c r="G92" s="10" t="e">
        <f t="shared" si="80"/>
        <v>#VALUE!</v>
      </c>
      <c r="H92" s="10" t="e">
        <f t="shared" si="96"/>
        <v>#VALUE!</v>
      </c>
      <c r="I92" s="10" t="e">
        <f t="shared" si="81"/>
        <v>#VALUE!</v>
      </c>
      <c r="J92" s="10" t="e">
        <f t="shared" si="97"/>
        <v>#VALUE!</v>
      </c>
      <c r="K92" s="10" t="e">
        <f t="shared" si="82"/>
        <v>#VALUE!</v>
      </c>
      <c r="L92" s="10" t="e">
        <f t="shared" si="83"/>
        <v>#VALUE!</v>
      </c>
      <c r="M92" s="10" t="e">
        <f t="shared" si="98"/>
        <v>#VALUE!</v>
      </c>
      <c r="O92" s="10" t="e">
        <f t="shared" si="99"/>
        <v>#VALUE!</v>
      </c>
      <c r="P92" s="10" t="e">
        <f t="shared" si="84"/>
        <v>#VALUE!</v>
      </c>
      <c r="Q92" s="10" t="e">
        <f t="shared" si="85"/>
        <v>#VALUE!</v>
      </c>
      <c r="R92" s="10" t="e">
        <f t="shared" si="100"/>
        <v>#VALUE!</v>
      </c>
      <c r="S92" s="10" t="e">
        <f t="shared" si="101"/>
        <v>#VALUE!</v>
      </c>
      <c r="T92" s="10" t="e">
        <f t="shared" si="136"/>
        <v>#VALUE!</v>
      </c>
      <c r="U92" s="10" t="e">
        <f t="shared" si="137"/>
        <v>#VALUE!</v>
      </c>
      <c r="V92" s="10" t="e">
        <f t="shared" si="86"/>
        <v>#VALUE!</v>
      </c>
      <c r="W92" s="10" t="e">
        <f t="shared" si="102"/>
        <v>#VALUE!</v>
      </c>
      <c r="Y92" s="10" t="e">
        <f t="shared" si="103"/>
        <v>#VALUE!</v>
      </c>
      <c r="Z92" s="11" t="e">
        <f t="shared" si="104"/>
        <v>#VALUE!</v>
      </c>
      <c r="AA92" s="10" t="e">
        <f t="shared" si="87"/>
        <v>#VALUE!</v>
      </c>
      <c r="AB92" s="10" t="e">
        <f t="shared" si="105"/>
        <v>#VALUE!</v>
      </c>
      <c r="AC92" s="10" t="e">
        <f t="shared" si="106"/>
        <v>#VALUE!</v>
      </c>
      <c r="AD92" s="10" t="e">
        <f t="shared" si="138"/>
        <v>#VALUE!</v>
      </c>
      <c r="AE92" s="10" t="e">
        <f t="shared" si="139"/>
        <v>#VALUE!</v>
      </c>
      <c r="AF92" s="10" t="e">
        <f t="shared" si="88"/>
        <v>#VALUE!</v>
      </c>
      <c r="AG92" s="10" t="e">
        <f t="shared" si="107"/>
        <v>#VALUE!</v>
      </c>
      <c r="AI92" s="13"/>
      <c r="AK92" s="10" t="e">
        <f t="shared" si="108"/>
        <v>#VALUE!</v>
      </c>
      <c r="AL92" s="10" t="e">
        <f t="shared" si="140"/>
        <v>#VALUE!</v>
      </c>
      <c r="AM92" s="10" t="e">
        <f t="shared" si="89"/>
        <v>#VALUE!</v>
      </c>
      <c r="AN92" s="10" t="e">
        <f t="shared" si="109"/>
        <v>#VALUE!</v>
      </c>
      <c r="AO92" s="10" t="e">
        <f t="shared" si="110"/>
        <v>#VALUE!</v>
      </c>
      <c r="AP92" s="10" t="e">
        <f t="shared" si="111"/>
        <v>#VALUE!</v>
      </c>
      <c r="AQ92" s="10" t="e">
        <f t="shared" si="141"/>
        <v>#VALUE!</v>
      </c>
      <c r="AR92" s="10" t="e">
        <f t="shared" si="90"/>
        <v>#VALUE!</v>
      </c>
      <c r="AS92" s="10" t="e">
        <f t="shared" si="142"/>
        <v>#VALUE!</v>
      </c>
      <c r="AU92" s="10" t="e">
        <f t="shared" si="112"/>
        <v>#VALUE!</v>
      </c>
      <c r="AV92" s="10" t="e">
        <f t="shared" si="143"/>
        <v>#VALUE!</v>
      </c>
      <c r="AW92" s="10" t="e">
        <f t="shared" si="91"/>
        <v>#VALUE!</v>
      </c>
      <c r="AX92" s="10" t="e">
        <f t="shared" si="113"/>
        <v>#VALUE!</v>
      </c>
      <c r="AY92" s="10" t="e">
        <f t="shared" si="114"/>
        <v>#VALUE!</v>
      </c>
      <c r="AZ92" s="10" t="e">
        <f t="shared" si="115"/>
        <v>#VALUE!</v>
      </c>
      <c r="BA92" s="10" t="e">
        <f t="shared" si="144"/>
        <v>#VALUE!</v>
      </c>
      <c r="BB92" s="10" t="e">
        <f t="shared" si="92"/>
        <v>#VALUE!</v>
      </c>
      <c r="BC92" s="10" t="e">
        <f t="shared" si="145"/>
        <v>#VALUE!</v>
      </c>
      <c r="BE92" s="10" t="e">
        <f t="shared" si="116"/>
        <v>#VALUE!</v>
      </c>
      <c r="BF92" s="10" t="e">
        <f t="shared" si="146"/>
        <v>#VALUE!</v>
      </c>
      <c r="BG92" s="10" t="e">
        <f t="shared" si="93"/>
        <v>#VALUE!</v>
      </c>
      <c r="BH92" s="10" t="e">
        <f t="shared" si="117"/>
        <v>#VALUE!</v>
      </c>
      <c r="BI92" s="10" t="e">
        <f t="shared" si="118"/>
        <v>#VALUE!</v>
      </c>
      <c r="BJ92" s="10" t="e">
        <f t="shared" si="119"/>
        <v>#VALUE!</v>
      </c>
      <c r="BK92" s="10" t="e">
        <f t="shared" si="147"/>
        <v>#VALUE!</v>
      </c>
      <c r="BL92" s="10" t="e">
        <f t="shared" si="94"/>
        <v>#VALUE!</v>
      </c>
      <c r="BM92" s="10" t="e">
        <f t="shared" si="148"/>
        <v>#VALUE!</v>
      </c>
      <c r="BP92" s="10" t="e">
        <f t="shared" si="120"/>
        <v>#VALUE!</v>
      </c>
      <c r="BQ92" s="10" t="e">
        <f t="shared" si="121"/>
        <v>#VALUE!</v>
      </c>
      <c r="BR92" s="10" t="e">
        <f t="shared" si="122"/>
        <v>#VALUE!</v>
      </c>
      <c r="BS92" s="10" t="e">
        <f t="shared" si="123"/>
        <v>#VALUE!</v>
      </c>
      <c r="BT92" s="10" t="e">
        <f t="shared" si="124"/>
        <v>#VALUE!</v>
      </c>
      <c r="BU92" s="10" t="e">
        <f t="shared" si="125"/>
        <v>#VALUE!</v>
      </c>
      <c r="BW92" s="10" t="e">
        <f t="shared" si="126"/>
        <v>#VALUE!</v>
      </c>
      <c r="BX92" s="10" t="e">
        <f t="shared" si="127"/>
        <v>#VALUE!</v>
      </c>
      <c r="BY92" s="10" t="e">
        <f t="shared" si="128"/>
        <v>#VALUE!</v>
      </c>
      <c r="BZ92" s="10" t="e">
        <f t="shared" si="129"/>
        <v>#VALUE!</v>
      </c>
      <c r="CA92" s="10" t="e">
        <f t="shared" si="130"/>
        <v>#VALUE!</v>
      </c>
      <c r="CB92" s="10" t="e">
        <f t="shared" si="131"/>
        <v>#VALUE!</v>
      </c>
      <c r="CD92" s="10" t="e">
        <f>MATCH(INDEX($BP$12:$BU$12,1,MATCH(BP92,$BP$15:$BU$15,0)),结果汇总!$AI$10:$AI$13,0)</f>
        <v>#VALUE!</v>
      </c>
      <c r="CE92" s="10" t="e">
        <f>MATCH(INDEX($BP$12:$BU$12,1,MATCH(BQ92,$BP$15:$BU$15,0)),结果汇总!$AI$10:$AI$13,0)</f>
        <v>#VALUE!</v>
      </c>
      <c r="CF92" s="10" t="e">
        <f>MATCH(INDEX($BP$12:$BU$12,1,MATCH(BR92,$BP$15:$BU$15,0)),结果汇总!$AI$10:$AI$13,0)</f>
        <v>#VALUE!</v>
      </c>
      <c r="CG92" s="10" t="e">
        <f>MATCH(INDEX($BP$12:$BU$12,1,MATCH(BS92,$BP$15:$BU$15,0)),结果汇总!$AI$10:$AI$13,0)</f>
        <v>#VALUE!</v>
      </c>
      <c r="CH92" s="10" t="e">
        <f>MATCH(INDEX($BP$12:$BU$12,1,MATCH(BT92,$BP$15:$BU$15,0)),结果汇总!$AI$10:$AI$13,0)</f>
        <v>#VALUE!</v>
      </c>
      <c r="CI92" s="10" t="e">
        <f>MATCH(INDEX($BP$12:$BU$12,1,MATCH(BU92,$BP$15:$BU$15,0)),结果汇总!$AI$10:$AI$13,0)</f>
        <v>#VALUE!</v>
      </c>
      <c r="CK92" s="10">
        <f t="shared" si="132"/>
        <v>0</v>
      </c>
      <c r="CL92" s="10">
        <f t="shared" si="132"/>
        <v>0</v>
      </c>
      <c r="CM92" s="10">
        <f t="shared" si="132"/>
        <v>0</v>
      </c>
      <c r="CN92" s="10">
        <f t="shared" si="132"/>
        <v>0</v>
      </c>
      <c r="CO92" s="10">
        <f t="shared" si="133"/>
        <v>0</v>
      </c>
      <c r="CP92" s="10">
        <f t="shared" si="133"/>
        <v>0</v>
      </c>
      <c r="CQ92" s="10">
        <f t="shared" si="133"/>
        <v>0</v>
      </c>
      <c r="CR92" s="10">
        <f t="shared" si="133"/>
        <v>0</v>
      </c>
      <c r="CS92" s="10">
        <f t="shared" si="134"/>
        <v>0</v>
      </c>
      <c r="CT92" s="10">
        <f t="shared" si="134"/>
        <v>0</v>
      </c>
      <c r="CU92" s="10">
        <f t="shared" si="134"/>
        <v>0</v>
      </c>
      <c r="CV92" s="10">
        <f t="shared" si="134"/>
        <v>0</v>
      </c>
      <c r="CW92" s="10">
        <f t="shared" si="135"/>
        <v>0</v>
      </c>
      <c r="CX92" s="10">
        <f t="shared" si="135"/>
        <v>0</v>
      </c>
      <c r="CY92" s="10">
        <f t="shared" si="135"/>
        <v>0</v>
      </c>
      <c r="CZ92" s="10">
        <f t="shared" si="135"/>
        <v>0</v>
      </c>
    </row>
    <row r="93" spans="4:104" x14ac:dyDescent="0.15">
      <c r="D93" s="10">
        <v>78</v>
      </c>
      <c r="E93" s="10" t="e">
        <f t="shared" si="95"/>
        <v>#VALUE!</v>
      </c>
      <c r="F93" s="10" t="e">
        <f t="shared" si="79"/>
        <v>#VALUE!</v>
      </c>
      <c r="G93" s="10" t="e">
        <f t="shared" si="80"/>
        <v>#VALUE!</v>
      </c>
      <c r="H93" s="10" t="e">
        <f t="shared" si="96"/>
        <v>#VALUE!</v>
      </c>
      <c r="I93" s="10" t="e">
        <f t="shared" si="81"/>
        <v>#VALUE!</v>
      </c>
      <c r="J93" s="10" t="e">
        <f t="shared" si="97"/>
        <v>#VALUE!</v>
      </c>
      <c r="K93" s="10" t="e">
        <f t="shared" si="82"/>
        <v>#VALUE!</v>
      </c>
      <c r="L93" s="10" t="e">
        <f t="shared" si="83"/>
        <v>#VALUE!</v>
      </c>
      <c r="M93" s="10" t="e">
        <f t="shared" si="98"/>
        <v>#VALUE!</v>
      </c>
      <c r="O93" s="10" t="e">
        <f t="shared" si="99"/>
        <v>#VALUE!</v>
      </c>
      <c r="P93" s="10" t="e">
        <f t="shared" si="84"/>
        <v>#VALUE!</v>
      </c>
      <c r="Q93" s="10" t="e">
        <f t="shared" si="85"/>
        <v>#VALUE!</v>
      </c>
      <c r="R93" s="10" t="e">
        <f t="shared" si="100"/>
        <v>#VALUE!</v>
      </c>
      <c r="S93" s="10" t="e">
        <f t="shared" si="101"/>
        <v>#VALUE!</v>
      </c>
      <c r="T93" s="10" t="e">
        <f t="shared" si="136"/>
        <v>#VALUE!</v>
      </c>
      <c r="U93" s="10" t="e">
        <f t="shared" si="137"/>
        <v>#VALUE!</v>
      </c>
      <c r="V93" s="10" t="e">
        <f t="shared" si="86"/>
        <v>#VALUE!</v>
      </c>
      <c r="W93" s="10" t="e">
        <f t="shared" si="102"/>
        <v>#VALUE!</v>
      </c>
      <c r="Y93" s="10" t="e">
        <f t="shared" si="103"/>
        <v>#VALUE!</v>
      </c>
      <c r="Z93" s="11" t="e">
        <f t="shared" si="104"/>
        <v>#VALUE!</v>
      </c>
      <c r="AA93" s="10" t="e">
        <f t="shared" si="87"/>
        <v>#VALUE!</v>
      </c>
      <c r="AB93" s="10" t="e">
        <f t="shared" si="105"/>
        <v>#VALUE!</v>
      </c>
      <c r="AC93" s="10" t="e">
        <f t="shared" si="106"/>
        <v>#VALUE!</v>
      </c>
      <c r="AD93" s="10" t="e">
        <f t="shared" si="138"/>
        <v>#VALUE!</v>
      </c>
      <c r="AE93" s="10" t="e">
        <f t="shared" si="139"/>
        <v>#VALUE!</v>
      </c>
      <c r="AF93" s="10" t="e">
        <f t="shared" si="88"/>
        <v>#VALUE!</v>
      </c>
      <c r="AG93" s="10" t="e">
        <f t="shared" si="107"/>
        <v>#VALUE!</v>
      </c>
      <c r="AI93" s="13"/>
      <c r="AK93" s="10" t="e">
        <f t="shared" si="108"/>
        <v>#VALUE!</v>
      </c>
      <c r="AL93" s="10" t="e">
        <f t="shared" si="140"/>
        <v>#VALUE!</v>
      </c>
      <c r="AM93" s="10" t="e">
        <f t="shared" si="89"/>
        <v>#VALUE!</v>
      </c>
      <c r="AN93" s="10" t="e">
        <f t="shared" si="109"/>
        <v>#VALUE!</v>
      </c>
      <c r="AO93" s="10" t="e">
        <f t="shared" si="110"/>
        <v>#VALUE!</v>
      </c>
      <c r="AP93" s="10" t="e">
        <f t="shared" si="111"/>
        <v>#VALUE!</v>
      </c>
      <c r="AQ93" s="10" t="e">
        <f t="shared" si="141"/>
        <v>#VALUE!</v>
      </c>
      <c r="AR93" s="10" t="e">
        <f t="shared" si="90"/>
        <v>#VALUE!</v>
      </c>
      <c r="AS93" s="10" t="e">
        <f t="shared" si="142"/>
        <v>#VALUE!</v>
      </c>
      <c r="AU93" s="10" t="e">
        <f t="shared" si="112"/>
        <v>#VALUE!</v>
      </c>
      <c r="AV93" s="10" t="e">
        <f t="shared" si="143"/>
        <v>#VALUE!</v>
      </c>
      <c r="AW93" s="10" t="e">
        <f t="shared" si="91"/>
        <v>#VALUE!</v>
      </c>
      <c r="AX93" s="10" t="e">
        <f t="shared" si="113"/>
        <v>#VALUE!</v>
      </c>
      <c r="AY93" s="10" t="e">
        <f t="shared" si="114"/>
        <v>#VALUE!</v>
      </c>
      <c r="AZ93" s="10" t="e">
        <f t="shared" si="115"/>
        <v>#VALUE!</v>
      </c>
      <c r="BA93" s="10" t="e">
        <f t="shared" si="144"/>
        <v>#VALUE!</v>
      </c>
      <c r="BB93" s="10" t="e">
        <f t="shared" si="92"/>
        <v>#VALUE!</v>
      </c>
      <c r="BC93" s="10" t="e">
        <f t="shared" si="145"/>
        <v>#VALUE!</v>
      </c>
      <c r="BE93" s="10" t="e">
        <f t="shared" si="116"/>
        <v>#VALUE!</v>
      </c>
      <c r="BF93" s="10" t="e">
        <f t="shared" si="146"/>
        <v>#VALUE!</v>
      </c>
      <c r="BG93" s="10" t="e">
        <f t="shared" si="93"/>
        <v>#VALUE!</v>
      </c>
      <c r="BH93" s="10" t="e">
        <f t="shared" si="117"/>
        <v>#VALUE!</v>
      </c>
      <c r="BI93" s="10" t="e">
        <f t="shared" si="118"/>
        <v>#VALUE!</v>
      </c>
      <c r="BJ93" s="10" t="e">
        <f t="shared" si="119"/>
        <v>#VALUE!</v>
      </c>
      <c r="BK93" s="10" t="e">
        <f t="shared" si="147"/>
        <v>#VALUE!</v>
      </c>
      <c r="BL93" s="10" t="e">
        <f t="shared" si="94"/>
        <v>#VALUE!</v>
      </c>
      <c r="BM93" s="10" t="e">
        <f t="shared" si="148"/>
        <v>#VALUE!</v>
      </c>
      <c r="BP93" s="10" t="e">
        <f t="shared" si="120"/>
        <v>#VALUE!</v>
      </c>
      <c r="BQ93" s="10" t="e">
        <f t="shared" si="121"/>
        <v>#VALUE!</v>
      </c>
      <c r="BR93" s="10" t="e">
        <f t="shared" si="122"/>
        <v>#VALUE!</v>
      </c>
      <c r="BS93" s="10" t="e">
        <f t="shared" si="123"/>
        <v>#VALUE!</v>
      </c>
      <c r="BT93" s="10" t="e">
        <f t="shared" si="124"/>
        <v>#VALUE!</v>
      </c>
      <c r="BU93" s="10" t="e">
        <f t="shared" si="125"/>
        <v>#VALUE!</v>
      </c>
      <c r="BW93" s="10" t="e">
        <f t="shared" si="126"/>
        <v>#VALUE!</v>
      </c>
      <c r="BX93" s="10" t="e">
        <f t="shared" si="127"/>
        <v>#VALUE!</v>
      </c>
      <c r="BY93" s="10" t="e">
        <f t="shared" si="128"/>
        <v>#VALUE!</v>
      </c>
      <c r="BZ93" s="10" t="e">
        <f t="shared" si="129"/>
        <v>#VALUE!</v>
      </c>
      <c r="CA93" s="10" t="e">
        <f t="shared" si="130"/>
        <v>#VALUE!</v>
      </c>
      <c r="CB93" s="10" t="e">
        <f t="shared" si="131"/>
        <v>#VALUE!</v>
      </c>
      <c r="CD93" s="10" t="e">
        <f>MATCH(INDEX($BP$12:$BU$12,1,MATCH(BP93,$BP$15:$BU$15,0)),结果汇总!$AI$10:$AI$13,0)</f>
        <v>#VALUE!</v>
      </c>
      <c r="CE93" s="10" t="e">
        <f>MATCH(INDEX($BP$12:$BU$12,1,MATCH(BQ93,$BP$15:$BU$15,0)),结果汇总!$AI$10:$AI$13,0)</f>
        <v>#VALUE!</v>
      </c>
      <c r="CF93" s="10" t="e">
        <f>MATCH(INDEX($BP$12:$BU$12,1,MATCH(BR93,$BP$15:$BU$15,0)),结果汇总!$AI$10:$AI$13,0)</f>
        <v>#VALUE!</v>
      </c>
      <c r="CG93" s="10" t="e">
        <f>MATCH(INDEX($BP$12:$BU$12,1,MATCH(BS93,$BP$15:$BU$15,0)),结果汇总!$AI$10:$AI$13,0)</f>
        <v>#VALUE!</v>
      </c>
      <c r="CH93" s="10" t="e">
        <f>MATCH(INDEX($BP$12:$BU$12,1,MATCH(BT93,$BP$15:$BU$15,0)),结果汇总!$AI$10:$AI$13,0)</f>
        <v>#VALUE!</v>
      </c>
      <c r="CI93" s="10" t="e">
        <f>MATCH(INDEX($BP$12:$BU$12,1,MATCH(BU93,$BP$15:$BU$15,0)),结果汇总!$AI$10:$AI$13,0)</f>
        <v>#VALUE!</v>
      </c>
      <c r="CK93" s="10">
        <f t="shared" si="132"/>
        <v>0</v>
      </c>
      <c r="CL93" s="10">
        <f t="shared" si="132"/>
        <v>0</v>
      </c>
      <c r="CM93" s="10">
        <f t="shared" si="132"/>
        <v>0</v>
      </c>
      <c r="CN93" s="10">
        <f t="shared" si="132"/>
        <v>0</v>
      </c>
      <c r="CO93" s="10">
        <f t="shared" si="133"/>
        <v>0</v>
      </c>
      <c r="CP93" s="10">
        <f t="shared" si="133"/>
        <v>0</v>
      </c>
      <c r="CQ93" s="10">
        <f t="shared" si="133"/>
        <v>0</v>
      </c>
      <c r="CR93" s="10">
        <f t="shared" si="133"/>
        <v>0</v>
      </c>
      <c r="CS93" s="10">
        <f t="shared" si="134"/>
        <v>0</v>
      </c>
      <c r="CT93" s="10">
        <f t="shared" si="134"/>
        <v>0</v>
      </c>
      <c r="CU93" s="10">
        <f t="shared" si="134"/>
        <v>0</v>
      </c>
      <c r="CV93" s="10">
        <f t="shared" si="134"/>
        <v>0</v>
      </c>
      <c r="CW93" s="10">
        <f t="shared" si="135"/>
        <v>0</v>
      </c>
      <c r="CX93" s="10">
        <f t="shared" si="135"/>
        <v>0</v>
      </c>
      <c r="CY93" s="10">
        <f t="shared" si="135"/>
        <v>0</v>
      </c>
      <c r="CZ93" s="10">
        <f t="shared" si="135"/>
        <v>0</v>
      </c>
    </row>
    <row r="94" spans="4:104" x14ac:dyDescent="0.15">
      <c r="D94" s="10">
        <v>79</v>
      </c>
      <c r="E94" s="10" t="e">
        <f t="shared" si="95"/>
        <v>#VALUE!</v>
      </c>
      <c r="F94" s="10" t="e">
        <f t="shared" si="79"/>
        <v>#VALUE!</v>
      </c>
      <c r="G94" s="10" t="e">
        <f t="shared" si="80"/>
        <v>#VALUE!</v>
      </c>
      <c r="H94" s="10" t="e">
        <f t="shared" si="96"/>
        <v>#VALUE!</v>
      </c>
      <c r="I94" s="10" t="e">
        <f t="shared" si="81"/>
        <v>#VALUE!</v>
      </c>
      <c r="J94" s="10" t="e">
        <f t="shared" si="97"/>
        <v>#VALUE!</v>
      </c>
      <c r="K94" s="10" t="e">
        <f t="shared" si="82"/>
        <v>#VALUE!</v>
      </c>
      <c r="L94" s="10" t="e">
        <f t="shared" si="83"/>
        <v>#VALUE!</v>
      </c>
      <c r="M94" s="10" t="e">
        <f t="shared" si="98"/>
        <v>#VALUE!</v>
      </c>
      <c r="O94" s="10" t="e">
        <f t="shared" si="99"/>
        <v>#VALUE!</v>
      </c>
      <c r="P94" s="10" t="e">
        <f t="shared" si="84"/>
        <v>#VALUE!</v>
      </c>
      <c r="Q94" s="10" t="e">
        <f t="shared" si="85"/>
        <v>#VALUE!</v>
      </c>
      <c r="R94" s="10" t="e">
        <f t="shared" si="100"/>
        <v>#VALUE!</v>
      </c>
      <c r="S94" s="10" t="e">
        <f t="shared" si="101"/>
        <v>#VALUE!</v>
      </c>
      <c r="T94" s="10" t="e">
        <f t="shared" si="136"/>
        <v>#VALUE!</v>
      </c>
      <c r="U94" s="10" t="e">
        <f t="shared" si="137"/>
        <v>#VALUE!</v>
      </c>
      <c r="V94" s="10" t="e">
        <f t="shared" si="86"/>
        <v>#VALUE!</v>
      </c>
      <c r="W94" s="10" t="e">
        <f t="shared" si="102"/>
        <v>#VALUE!</v>
      </c>
      <c r="Y94" s="10" t="e">
        <f t="shared" si="103"/>
        <v>#VALUE!</v>
      </c>
      <c r="Z94" s="11" t="e">
        <f t="shared" si="104"/>
        <v>#VALUE!</v>
      </c>
      <c r="AA94" s="10" t="e">
        <f t="shared" si="87"/>
        <v>#VALUE!</v>
      </c>
      <c r="AB94" s="10" t="e">
        <f t="shared" si="105"/>
        <v>#VALUE!</v>
      </c>
      <c r="AC94" s="10" t="e">
        <f t="shared" si="106"/>
        <v>#VALUE!</v>
      </c>
      <c r="AD94" s="10" t="e">
        <f t="shared" si="138"/>
        <v>#VALUE!</v>
      </c>
      <c r="AE94" s="10" t="e">
        <f t="shared" si="139"/>
        <v>#VALUE!</v>
      </c>
      <c r="AF94" s="10" t="e">
        <f t="shared" si="88"/>
        <v>#VALUE!</v>
      </c>
      <c r="AG94" s="10" t="e">
        <f t="shared" si="107"/>
        <v>#VALUE!</v>
      </c>
      <c r="AI94" s="13"/>
      <c r="AK94" s="10" t="e">
        <f t="shared" si="108"/>
        <v>#VALUE!</v>
      </c>
      <c r="AL94" s="10" t="e">
        <f t="shared" si="140"/>
        <v>#VALUE!</v>
      </c>
      <c r="AM94" s="10" t="e">
        <f t="shared" si="89"/>
        <v>#VALUE!</v>
      </c>
      <c r="AN94" s="10" t="e">
        <f t="shared" si="109"/>
        <v>#VALUE!</v>
      </c>
      <c r="AO94" s="10" t="e">
        <f t="shared" si="110"/>
        <v>#VALUE!</v>
      </c>
      <c r="AP94" s="10" t="e">
        <f t="shared" si="111"/>
        <v>#VALUE!</v>
      </c>
      <c r="AQ94" s="10" t="e">
        <f t="shared" si="141"/>
        <v>#VALUE!</v>
      </c>
      <c r="AR94" s="10" t="e">
        <f t="shared" si="90"/>
        <v>#VALUE!</v>
      </c>
      <c r="AS94" s="10" t="e">
        <f t="shared" si="142"/>
        <v>#VALUE!</v>
      </c>
      <c r="AU94" s="10" t="e">
        <f t="shared" si="112"/>
        <v>#VALUE!</v>
      </c>
      <c r="AV94" s="10" t="e">
        <f t="shared" si="143"/>
        <v>#VALUE!</v>
      </c>
      <c r="AW94" s="10" t="e">
        <f t="shared" si="91"/>
        <v>#VALUE!</v>
      </c>
      <c r="AX94" s="10" t="e">
        <f t="shared" si="113"/>
        <v>#VALUE!</v>
      </c>
      <c r="AY94" s="10" t="e">
        <f t="shared" si="114"/>
        <v>#VALUE!</v>
      </c>
      <c r="AZ94" s="10" t="e">
        <f t="shared" si="115"/>
        <v>#VALUE!</v>
      </c>
      <c r="BA94" s="10" t="e">
        <f t="shared" si="144"/>
        <v>#VALUE!</v>
      </c>
      <c r="BB94" s="10" t="e">
        <f t="shared" si="92"/>
        <v>#VALUE!</v>
      </c>
      <c r="BC94" s="10" t="e">
        <f t="shared" si="145"/>
        <v>#VALUE!</v>
      </c>
      <c r="BE94" s="10" t="e">
        <f t="shared" si="116"/>
        <v>#VALUE!</v>
      </c>
      <c r="BF94" s="10" t="e">
        <f t="shared" si="146"/>
        <v>#VALUE!</v>
      </c>
      <c r="BG94" s="10" t="e">
        <f t="shared" si="93"/>
        <v>#VALUE!</v>
      </c>
      <c r="BH94" s="10" t="e">
        <f t="shared" si="117"/>
        <v>#VALUE!</v>
      </c>
      <c r="BI94" s="10" t="e">
        <f t="shared" si="118"/>
        <v>#VALUE!</v>
      </c>
      <c r="BJ94" s="10" t="e">
        <f t="shared" si="119"/>
        <v>#VALUE!</v>
      </c>
      <c r="BK94" s="10" t="e">
        <f t="shared" si="147"/>
        <v>#VALUE!</v>
      </c>
      <c r="BL94" s="10" t="e">
        <f t="shared" si="94"/>
        <v>#VALUE!</v>
      </c>
      <c r="BM94" s="10" t="e">
        <f t="shared" si="148"/>
        <v>#VALUE!</v>
      </c>
      <c r="BP94" s="10" t="e">
        <f t="shared" si="120"/>
        <v>#VALUE!</v>
      </c>
      <c r="BQ94" s="10" t="e">
        <f t="shared" si="121"/>
        <v>#VALUE!</v>
      </c>
      <c r="BR94" s="10" t="e">
        <f t="shared" si="122"/>
        <v>#VALUE!</v>
      </c>
      <c r="BS94" s="10" t="e">
        <f t="shared" si="123"/>
        <v>#VALUE!</v>
      </c>
      <c r="BT94" s="10" t="e">
        <f t="shared" si="124"/>
        <v>#VALUE!</v>
      </c>
      <c r="BU94" s="10" t="e">
        <f t="shared" si="125"/>
        <v>#VALUE!</v>
      </c>
      <c r="BW94" s="10" t="e">
        <f t="shared" si="126"/>
        <v>#VALUE!</v>
      </c>
      <c r="BX94" s="10" t="e">
        <f t="shared" si="127"/>
        <v>#VALUE!</v>
      </c>
      <c r="BY94" s="10" t="e">
        <f t="shared" si="128"/>
        <v>#VALUE!</v>
      </c>
      <c r="BZ94" s="10" t="e">
        <f t="shared" si="129"/>
        <v>#VALUE!</v>
      </c>
      <c r="CA94" s="10" t="e">
        <f t="shared" si="130"/>
        <v>#VALUE!</v>
      </c>
      <c r="CB94" s="10" t="e">
        <f t="shared" si="131"/>
        <v>#VALUE!</v>
      </c>
      <c r="CD94" s="10" t="e">
        <f>MATCH(INDEX($BP$12:$BU$12,1,MATCH(BP94,$BP$15:$BU$15,0)),结果汇总!$AI$10:$AI$13,0)</f>
        <v>#VALUE!</v>
      </c>
      <c r="CE94" s="10" t="e">
        <f>MATCH(INDEX($BP$12:$BU$12,1,MATCH(BQ94,$BP$15:$BU$15,0)),结果汇总!$AI$10:$AI$13,0)</f>
        <v>#VALUE!</v>
      </c>
      <c r="CF94" s="10" t="e">
        <f>MATCH(INDEX($BP$12:$BU$12,1,MATCH(BR94,$BP$15:$BU$15,0)),结果汇总!$AI$10:$AI$13,0)</f>
        <v>#VALUE!</v>
      </c>
      <c r="CG94" s="10" t="e">
        <f>MATCH(INDEX($BP$12:$BU$12,1,MATCH(BS94,$BP$15:$BU$15,0)),结果汇总!$AI$10:$AI$13,0)</f>
        <v>#VALUE!</v>
      </c>
      <c r="CH94" s="10" t="e">
        <f>MATCH(INDEX($BP$12:$BU$12,1,MATCH(BT94,$BP$15:$BU$15,0)),结果汇总!$AI$10:$AI$13,0)</f>
        <v>#VALUE!</v>
      </c>
      <c r="CI94" s="10" t="e">
        <f>MATCH(INDEX($BP$12:$BU$12,1,MATCH(BU94,$BP$15:$BU$15,0)),结果汇总!$AI$10:$AI$13,0)</f>
        <v>#VALUE!</v>
      </c>
      <c r="CK94" s="10">
        <f t="shared" si="132"/>
        <v>0</v>
      </c>
      <c r="CL94" s="10">
        <f t="shared" si="132"/>
        <v>0</v>
      </c>
      <c r="CM94" s="10">
        <f t="shared" si="132"/>
        <v>0</v>
      </c>
      <c r="CN94" s="10">
        <f t="shared" si="132"/>
        <v>0</v>
      </c>
      <c r="CO94" s="10">
        <f t="shared" si="133"/>
        <v>0</v>
      </c>
      <c r="CP94" s="10">
        <f t="shared" si="133"/>
        <v>0</v>
      </c>
      <c r="CQ94" s="10">
        <f t="shared" si="133"/>
        <v>0</v>
      </c>
      <c r="CR94" s="10">
        <f t="shared" si="133"/>
        <v>0</v>
      </c>
      <c r="CS94" s="10">
        <f t="shared" si="134"/>
        <v>0</v>
      </c>
      <c r="CT94" s="10">
        <f t="shared" si="134"/>
        <v>0</v>
      </c>
      <c r="CU94" s="10">
        <f t="shared" si="134"/>
        <v>0</v>
      </c>
      <c r="CV94" s="10">
        <f t="shared" si="134"/>
        <v>0</v>
      </c>
      <c r="CW94" s="10">
        <f t="shared" si="135"/>
        <v>0</v>
      </c>
      <c r="CX94" s="10">
        <f t="shared" si="135"/>
        <v>0</v>
      </c>
      <c r="CY94" s="10">
        <f t="shared" si="135"/>
        <v>0</v>
      </c>
      <c r="CZ94" s="10">
        <f t="shared" si="135"/>
        <v>0</v>
      </c>
    </row>
    <row r="95" spans="4:104" x14ac:dyDescent="0.15">
      <c r="D95" s="10">
        <v>80</v>
      </c>
      <c r="E95" s="10" t="e">
        <f t="shared" si="95"/>
        <v>#VALUE!</v>
      </c>
      <c r="F95" s="10" t="e">
        <f t="shared" si="79"/>
        <v>#VALUE!</v>
      </c>
      <c r="G95" s="10" t="e">
        <f t="shared" si="80"/>
        <v>#VALUE!</v>
      </c>
      <c r="H95" s="10" t="e">
        <f t="shared" si="96"/>
        <v>#VALUE!</v>
      </c>
      <c r="I95" s="10" t="e">
        <f t="shared" si="81"/>
        <v>#VALUE!</v>
      </c>
      <c r="J95" s="10" t="e">
        <f t="shared" si="97"/>
        <v>#VALUE!</v>
      </c>
      <c r="K95" s="10" t="e">
        <f t="shared" si="82"/>
        <v>#VALUE!</v>
      </c>
      <c r="L95" s="10" t="e">
        <f t="shared" si="83"/>
        <v>#VALUE!</v>
      </c>
      <c r="M95" s="10" t="e">
        <f t="shared" si="98"/>
        <v>#VALUE!</v>
      </c>
      <c r="O95" s="10" t="e">
        <f t="shared" si="99"/>
        <v>#VALUE!</v>
      </c>
      <c r="P95" s="10" t="e">
        <f t="shared" si="84"/>
        <v>#VALUE!</v>
      </c>
      <c r="Q95" s="10" t="e">
        <f t="shared" si="85"/>
        <v>#VALUE!</v>
      </c>
      <c r="R95" s="10" t="e">
        <f t="shared" si="100"/>
        <v>#VALUE!</v>
      </c>
      <c r="S95" s="10" t="e">
        <f t="shared" si="101"/>
        <v>#VALUE!</v>
      </c>
      <c r="T95" s="10" t="e">
        <f t="shared" si="136"/>
        <v>#VALUE!</v>
      </c>
      <c r="U95" s="10" t="e">
        <f t="shared" si="137"/>
        <v>#VALUE!</v>
      </c>
      <c r="V95" s="10" t="e">
        <f t="shared" si="86"/>
        <v>#VALUE!</v>
      </c>
      <c r="W95" s="10" t="e">
        <f t="shared" si="102"/>
        <v>#VALUE!</v>
      </c>
      <c r="Y95" s="10" t="e">
        <f t="shared" si="103"/>
        <v>#VALUE!</v>
      </c>
      <c r="Z95" s="11" t="e">
        <f t="shared" si="104"/>
        <v>#VALUE!</v>
      </c>
      <c r="AA95" s="10" t="e">
        <f t="shared" si="87"/>
        <v>#VALUE!</v>
      </c>
      <c r="AB95" s="10" t="e">
        <f t="shared" si="105"/>
        <v>#VALUE!</v>
      </c>
      <c r="AC95" s="10" t="e">
        <f t="shared" si="106"/>
        <v>#VALUE!</v>
      </c>
      <c r="AD95" s="10" t="e">
        <f t="shared" si="138"/>
        <v>#VALUE!</v>
      </c>
      <c r="AE95" s="10" t="e">
        <f t="shared" si="139"/>
        <v>#VALUE!</v>
      </c>
      <c r="AF95" s="10" t="e">
        <f t="shared" si="88"/>
        <v>#VALUE!</v>
      </c>
      <c r="AG95" s="10" t="e">
        <f t="shared" si="107"/>
        <v>#VALUE!</v>
      </c>
      <c r="AI95" s="13"/>
      <c r="AK95" s="10" t="e">
        <f t="shared" si="108"/>
        <v>#VALUE!</v>
      </c>
      <c r="AL95" s="10" t="e">
        <f t="shared" si="140"/>
        <v>#VALUE!</v>
      </c>
      <c r="AM95" s="10" t="e">
        <f t="shared" si="89"/>
        <v>#VALUE!</v>
      </c>
      <c r="AN95" s="10" t="e">
        <f t="shared" si="109"/>
        <v>#VALUE!</v>
      </c>
      <c r="AO95" s="10" t="e">
        <f t="shared" si="110"/>
        <v>#VALUE!</v>
      </c>
      <c r="AP95" s="10" t="e">
        <f t="shared" si="111"/>
        <v>#VALUE!</v>
      </c>
      <c r="AQ95" s="10" t="e">
        <f t="shared" si="141"/>
        <v>#VALUE!</v>
      </c>
      <c r="AR95" s="10" t="e">
        <f t="shared" si="90"/>
        <v>#VALUE!</v>
      </c>
      <c r="AS95" s="10" t="e">
        <f t="shared" si="142"/>
        <v>#VALUE!</v>
      </c>
      <c r="AU95" s="10" t="e">
        <f t="shared" si="112"/>
        <v>#VALUE!</v>
      </c>
      <c r="AV95" s="10" t="e">
        <f t="shared" si="143"/>
        <v>#VALUE!</v>
      </c>
      <c r="AW95" s="10" t="e">
        <f t="shared" si="91"/>
        <v>#VALUE!</v>
      </c>
      <c r="AX95" s="10" t="e">
        <f t="shared" si="113"/>
        <v>#VALUE!</v>
      </c>
      <c r="AY95" s="10" t="e">
        <f t="shared" si="114"/>
        <v>#VALUE!</v>
      </c>
      <c r="AZ95" s="10" t="e">
        <f t="shared" si="115"/>
        <v>#VALUE!</v>
      </c>
      <c r="BA95" s="10" t="e">
        <f t="shared" si="144"/>
        <v>#VALUE!</v>
      </c>
      <c r="BB95" s="10" t="e">
        <f t="shared" si="92"/>
        <v>#VALUE!</v>
      </c>
      <c r="BC95" s="10" t="e">
        <f t="shared" si="145"/>
        <v>#VALUE!</v>
      </c>
      <c r="BE95" s="10" t="e">
        <f t="shared" si="116"/>
        <v>#VALUE!</v>
      </c>
      <c r="BF95" s="10" t="e">
        <f t="shared" si="146"/>
        <v>#VALUE!</v>
      </c>
      <c r="BG95" s="10" t="e">
        <f t="shared" si="93"/>
        <v>#VALUE!</v>
      </c>
      <c r="BH95" s="10" t="e">
        <f t="shared" si="117"/>
        <v>#VALUE!</v>
      </c>
      <c r="BI95" s="10" t="e">
        <f t="shared" si="118"/>
        <v>#VALUE!</v>
      </c>
      <c r="BJ95" s="10" t="e">
        <f t="shared" si="119"/>
        <v>#VALUE!</v>
      </c>
      <c r="BK95" s="10" t="e">
        <f t="shared" si="147"/>
        <v>#VALUE!</v>
      </c>
      <c r="BL95" s="10" t="e">
        <f t="shared" si="94"/>
        <v>#VALUE!</v>
      </c>
      <c r="BM95" s="10" t="e">
        <f t="shared" si="148"/>
        <v>#VALUE!</v>
      </c>
      <c r="BP95" s="10" t="e">
        <f t="shared" si="120"/>
        <v>#VALUE!</v>
      </c>
      <c r="BQ95" s="10" t="e">
        <f t="shared" si="121"/>
        <v>#VALUE!</v>
      </c>
      <c r="BR95" s="10" t="e">
        <f t="shared" si="122"/>
        <v>#VALUE!</v>
      </c>
      <c r="BS95" s="10" t="e">
        <f t="shared" si="123"/>
        <v>#VALUE!</v>
      </c>
      <c r="BT95" s="10" t="e">
        <f t="shared" si="124"/>
        <v>#VALUE!</v>
      </c>
      <c r="BU95" s="10" t="e">
        <f t="shared" si="125"/>
        <v>#VALUE!</v>
      </c>
      <c r="BW95" s="10" t="e">
        <f t="shared" si="126"/>
        <v>#VALUE!</v>
      </c>
      <c r="BX95" s="10" t="e">
        <f t="shared" si="127"/>
        <v>#VALUE!</v>
      </c>
      <c r="BY95" s="10" t="e">
        <f t="shared" si="128"/>
        <v>#VALUE!</v>
      </c>
      <c r="BZ95" s="10" t="e">
        <f t="shared" si="129"/>
        <v>#VALUE!</v>
      </c>
      <c r="CA95" s="10" t="e">
        <f t="shared" si="130"/>
        <v>#VALUE!</v>
      </c>
      <c r="CB95" s="10" t="e">
        <f t="shared" si="131"/>
        <v>#VALUE!</v>
      </c>
      <c r="CD95" s="10" t="e">
        <f>MATCH(INDEX($BP$12:$BU$12,1,MATCH(BP95,$BP$15:$BU$15,0)),结果汇总!$AI$10:$AI$13,0)</f>
        <v>#VALUE!</v>
      </c>
      <c r="CE95" s="10" t="e">
        <f>MATCH(INDEX($BP$12:$BU$12,1,MATCH(BQ95,$BP$15:$BU$15,0)),结果汇总!$AI$10:$AI$13,0)</f>
        <v>#VALUE!</v>
      </c>
      <c r="CF95" s="10" t="e">
        <f>MATCH(INDEX($BP$12:$BU$12,1,MATCH(BR95,$BP$15:$BU$15,0)),结果汇总!$AI$10:$AI$13,0)</f>
        <v>#VALUE!</v>
      </c>
      <c r="CG95" s="10" t="e">
        <f>MATCH(INDEX($BP$12:$BU$12,1,MATCH(BS95,$BP$15:$BU$15,0)),结果汇总!$AI$10:$AI$13,0)</f>
        <v>#VALUE!</v>
      </c>
      <c r="CH95" s="10" t="e">
        <f>MATCH(INDEX($BP$12:$BU$12,1,MATCH(BT95,$BP$15:$BU$15,0)),结果汇总!$AI$10:$AI$13,0)</f>
        <v>#VALUE!</v>
      </c>
      <c r="CI95" s="10" t="e">
        <f>MATCH(INDEX($BP$12:$BU$12,1,MATCH(BU95,$BP$15:$BU$15,0)),结果汇总!$AI$10:$AI$13,0)</f>
        <v>#VALUE!</v>
      </c>
      <c r="CK95" s="10">
        <f t="shared" si="132"/>
        <v>0</v>
      </c>
      <c r="CL95" s="10">
        <f t="shared" si="132"/>
        <v>0</v>
      </c>
      <c r="CM95" s="10">
        <f t="shared" si="132"/>
        <v>0</v>
      </c>
      <c r="CN95" s="10">
        <f t="shared" si="132"/>
        <v>0</v>
      </c>
      <c r="CO95" s="10">
        <f t="shared" si="133"/>
        <v>0</v>
      </c>
      <c r="CP95" s="10">
        <f t="shared" si="133"/>
        <v>0</v>
      </c>
      <c r="CQ95" s="10">
        <f t="shared" si="133"/>
        <v>0</v>
      </c>
      <c r="CR95" s="10">
        <f t="shared" si="133"/>
        <v>0</v>
      </c>
      <c r="CS95" s="10">
        <f t="shared" si="134"/>
        <v>0</v>
      </c>
      <c r="CT95" s="10">
        <f t="shared" si="134"/>
        <v>0</v>
      </c>
      <c r="CU95" s="10">
        <f t="shared" si="134"/>
        <v>0</v>
      </c>
      <c r="CV95" s="10">
        <f t="shared" si="134"/>
        <v>0</v>
      </c>
      <c r="CW95" s="10">
        <f t="shared" si="135"/>
        <v>0</v>
      </c>
      <c r="CX95" s="10">
        <f t="shared" si="135"/>
        <v>0</v>
      </c>
      <c r="CY95" s="10">
        <f t="shared" si="135"/>
        <v>0</v>
      </c>
      <c r="CZ95" s="10">
        <f t="shared" si="135"/>
        <v>0</v>
      </c>
    </row>
    <row r="96" spans="4:104" x14ac:dyDescent="0.15">
      <c r="D96" s="10">
        <v>81</v>
      </c>
      <c r="E96" s="10" t="e">
        <f t="shared" si="95"/>
        <v>#VALUE!</v>
      </c>
      <c r="F96" s="10" t="e">
        <f t="shared" si="79"/>
        <v>#VALUE!</v>
      </c>
      <c r="G96" s="10" t="e">
        <f t="shared" si="80"/>
        <v>#VALUE!</v>
      </c>
      <c r="H96" s="10" t="e">
        <f t="shared" si="96"/>
        <v>#VALUE!</v>
      </c>
      <c r="I96" s="10" t="e">
        <f t="shared" si="81"/>
        <v>#VALUE!</v>
      </c>
      <c r="J96" s="10" t="e">
        <f t="shared" si="97"/>
        <v>#VALUE!</v>
      </c>
      <c r="K96" s="10" t="e">
        <f t="shared" si="82"/>
        <v>#VALUE!</v>
      </c>
      <c r="L96" s="10" t="e">
        <f t="shared" si="83"/>
        <v>#VALUE!</v>
      </c>
      <c r="M96" s="10" t="e">
        <f t="shared" si="98"/>
        <v>#VALUE!</v>
      </c>
      <c r="O96" s="10" t="e">
        <f t="shared" si="99"/>
        <v>#VALUE!</v>
      </c>
      <c r="P96" s="10" t="e">
        <f t="shared" si="84"/>
        <v>#VALUE!</v>
      </c>
      <c r="Q96" s="10" t="e">
        <f t="shared" si="85"/>
        <v>#VALUE!</v>
      </c>
      <c r="R96" s="10" t="e">
        <f t="shared" si="100"/>
        <v>#VALUE!</v>
      </c>
      <c r="S96" s="10" t="e">
        <f t="shared" si="101"/>
        <v>#VALUE!</v>
      </c>
      <c r="T96" s="10" t="e">
        <f t="shared" si="136"/>
        <v>#VALUE!</v>
      </c>
      <c r="U96" s="10" t="e">
        <f t="shared" si="137"/>
        <v>#VALUE!</v>
      </c>
      <c r="V96" s="10" t="e">
        <f t="shared" si="86"/>
        <v>#VALUE!</v>
      </c>
      <c r="W96" s="10" t="e">
        <f t="shared" si="102"/>
        <v>#VALUE!</v>
      </c>
      <c r="Y96" s="10" t="e">
        <f t="shared" si="103"/>
        <v>#VALUE!</v>
      </c>
      <c r="Z96" s="11" t="e">
        <f t="shared" si="104"/>
        <v>#VALUE!</v>
      </c>
      <c r="AA96" s="10" t="e">
        <f t="shared" si="87"/>
        <v>#VALUE!</v>
      </c>
      <c r="AB96" s="10" t="e">
        <f t="shared" si="105"/>
        <v>#VALUE!</v>
      </c>
      <c r="AC96" s="10" t="e">
        <f t="shared" si="106"/>
        <v>#VALUE!</v>
      </c>
      <c r="AD96" s="10" t="e">
        <f t="shared" si="138"/>
        <v>#VALUE!</v>
      </c>
      <c r="AE96" s="10" t="e">
        <f t="shared" si="139"/>
        <v>#VALUE!</v>
      </c>
      <c r="AF96" s="10" t="e">
        <f t="shared" si="88"/>
        <v>#VALUE!</v>
      </c>
      <c r="AG96" s="10" t="e">
        <f t="shared" si="107"/>
        <v>#VALUE!</v>
      </c>
      <c r="AI96" s="13"/>
      <c r="AK96" s="10" t="e">
        <f t="shared" si="108"/>
        <v>#VALUE!</v>
      </c>
      <c r="AL96" s="10" t="e">
        <f t="shared" si="140"/>
        <v>#VALUE!</v>
      </c>
      <c r="AM96" s="10" t="e">
        <f t="shared" si="89"/>
        <v>#VALUE!</v>
      </c>
      <c r="AN96" s="10" t="e">
        <f t="shared" si="109"/>
        <v>#VALUE!</v>
      </c>
      <c r="AO96" s="10" t="e">
        <f t="shared" si="110"/>
        <v>#VALUE!</v>
      </c>
      <c r="AP96" s="10" t="e">
        <f t="shared" si="111"/>
        <v>#VALUE!</v>
      </c>
      <c r="AQ96" s="10" t="e">
        <f t="shared" si="141"/>
        <v>#VALUE!</v>
      </c>
      <c r="AR96" s="10" t="e">
        <f t="shared" si="90"/>
        <v>#VALUE!</v>
      </c>
      <c r="AS96" s="10" t="e">
        <f t="shared" si="142"/>
        <v>#VALUE!</v>
      </c>
      <c r="AU96" s="10" t="e">
        <f t="shared" si="112"/>
        <v>#VALUE!</v>
      </c>
      <c r="AV96" s="10" t="e">
        <f t="shared" si="143"/>
        <v>#VALUE!</v>
      </c>
      <c r="AW96" s="10" t="e">
        <f t="shared" si="91"/>
        <v>#VALUE!</v>
      </c>
      <c r="AX96" s="10" t="e">
        <f t="shared" si="113"/>
        <v>#VALUE!</v>
      </c>
      <c r="AY96" s="10" t="e">
        <f t="shared" si="114"/>
        <v>#VALUE!</v>
      </c>
      <c r="AZ96" s="10" t="e">
        <f t="shared" si="115"/>
        <v>#VALUE!</v>
      </c>
      <c r="BA96" s="10" t="e">
        <f t="shared" si="144"/>
        <v>#VALUE!</v>
      </c>
      <c r="BB96" s="10" t="e">
        <f t="shared" si="92"/>
        <v>#VALUE!</v>
      </c>
      <c r="BC96" s="10" t="e">
        <f t="shared" si="145"/>
        <v>#VALUE!</v>
      </c>
      <c r="BE96" s="10" t="e">
        <f t="shared" si="116"/>
        <v>#VALUE!</v>
      </c>
      <c r="BF96" s="10" t="e">
        <f t="shared" si="146"/>
        <v>#VALUE!</v>
      </c>
      <c r="BG96" s="10" t="e">
        <f t="shared" si="93"/>
        <v>#VALUE!</v>
      </c>
      <c r="BH96" s="10" t="e">
        <f t="shared" si="117"/>
        <v>#VALUE!</v>
      </c>
      <c r="BI96" s="10" t="e">
        <f t="shared" si="118"/>
        <v>#VALUE!</v>
      </c>
      <c r="BJ96" s="10" t="e">
        <f t="shared" si="119"/>
        <v>#VALUE!</v>
      </c>
      <c r="BK96" s="10" t="e">
        <f t="shared" si="147"/>
        <v>#VALUE!</v>
      </c>
      <c r="BL96" s="10" t="e">
        <f t="shared" si="94"/>
        <v>#VALUE!</v>
      </c>
      <c r="BM96" s="10" t="e">
        <f t="shared" si="148"/>
        <v>#VALUE!</v>
      </c>
      <c r="BP96" s="10" t="e">
        <f t="shared" si="120"/>
        <v>#VALUE!</v>
      </c>
      <c r="BQ96" s="10" t="e">
        <f t="shared" si="121"/>
        <v>#VALUE!</v>
      </c>
      <c r="BR96" s="10" t="e">
        <f t="shared" si="122"/>
        <v>#VALUE!</v>
      </c>
      <c r="BS96" s="10" t="e">
        <f t="shared" si="123"/>
        <v>#VALUE!</v>
      </c>
      <c r="BT96" s="10" t="e">
        <f t="shared" si="124"/>
        <v>#VALUE!</v>
      </c>
      <c r="BU96" s="10" t="e">
        <f t="shared" si="125"/>
        <v>#VALUE!</v>
      </c>
      <c r="BW96" s="10" t="e">
        <f t="shared" si="126"/>
        <v>#VALUE!</v>
      </c>
      <c r="BX96" s="10" t="e">
        <f t="shared" si="127"/>
        <v>#VALUE!</v>
      </c>
      <c r="BY96" s="10" t="e">
        <f t="shared" si="128"/>
        <v>#VALUE!</v>
      </c>
      <c r="BZ96" s="10" t="e">
        <f t="shared" si="129"/>
        <v>#VALUE!</v>
      </c>
      <c r="CA96" s="10" t="e">
        <f t="shared" si="130"/>
        <v>#VALUE!</v>
      </c>
      <c r="CB96" s="10" t="e">
        <f t="shared" si="131"/>
        <v>#VALUE!</v>
      </c>
      <c r="CD96" s="10" t="e">
        <f>MATCH(INDEX($BP$12:$BU$12,1,MATCH(BP96,$BP$15:$BU$15,0)),结果汇总!$AI$10:$AI$13,0)</f>
        <v>#VALUE!</v>
      </c>
      <c r="CE96" s="10" t="e">
        <f>MATCH(INDEX($BP$12:$BU$12,1,MATCH(BQ96,$BP$15:$BU$15,0)),结果汇总!$AI$10:$AI$13,0)</f>
        <v>#VALUE!</v>
      </c>
      <c r="CF96" s="10" t="e">
        <f>MATCH(INDEX($BP$12:$BU$12,1,MATCH(BR96,$BP$15:$BU$15,0)),结果汇总!$AI$10:$AI$13,0)</f>
        <v>#VALUE!</v>
      </c>
      <c r="CG96" s="10" t="e">
        <f>MATCH(INDEX($BP$12:$BU$12,1,MATCH(BS96,$BP$15:$BU$15,0)),结果汇总!$AI$10:$AI$13,0)</f>
        <v>#VALUE!</v>
      </c>
      <c r="CH96" s="10" t="e">
        <f>MATCH(INDEX($BP$12:$BU$12,1,MATCH(BT96,$BP$15:$BU$15,0)),结果汇总!$AI$10:$AI$13,0)</f>
        <v>#VALUE!</v>
      </c>
      <c r="CI96" s="10" t="e">
        <f>MATCH(INDEX($BP$12:$BU$12,1,MATCH(BU96,$BP$15:$BU$15,0)),结果汇总!$AI$10:$AI$13,0)</f>
        <v>#VALUE!</v>
      </c>
      <c r="CK96" s="10">
        <f t="shared" si="132"/>
        <v>0</v>
      </c>
      <c r="CL96" s="10">
        <f t="shared" si="132"/>
        <v>0</v>
      </c>
      <c r="CM96" s="10">
        <f t="shared" si="132"/>
        <v>0</v>
      </c>
      <c r="CN96" s="10">
        <f t="shared" si="132"/>
        <v>0</v>
      </c>
      <c r="CO96" s="10">
        <f t="shared" si="133"/>
        <v>0</v>
      </c>
      <c r="CP96" s="10">
        <f t="shared" si="133"/>
        <v>0</v>
      </c>
      <c r="CQ96" s="10">
        <f t="shared" si="133"/>
        <v>0</v>
      </c>
      <c r="CR96" s="10">
        <f t="shared" si="133"/>
        <v>0</v>
      </c>
      <c r="CS96" s="10">
        <f t="shared" si="134"/>
        <v>0</v>
      </c>
      <c r="CT96" s="10">
        <f t="shared" si="134"/>
        <v>0</v>
      </c>
      <c r="CU96" s="10">
        <f t="shared" si="134"/>
        <v>0</v>
      </c>
      <c r="CV96" s="10">
        <f t="shared" si="134"/>
        <v>0</v>
      </c>
      <c r="CW96" s="10">
        <f t="shared" si="135"/>
        <v>0</v>
      </c>
      <c r="CX96" s="10">
        <f t="shared" si="135"/>
        <v>0</v>
      </c>
      <c r="CY96" s="10">
        <f t="shared" si="135"/>
        <v>0</v>
      </c>
      <c r="CZ96" s="10">
        <f t="shared" si="135"/>
        <v>0</v>
      </c>
    </row>
    <row r="97" spans="4:104" x14ac:dyDescent="0.15">
      <c r="D97" s="10">
        <v>82</v>
      </c>
      <c r="E97" s="10" t="e">
        <f t="shared" si="95"/>
        <v>#VALUE!</v>
      </c>
      <c r="F97" s="10" t="e">
        <f t="shared" si="79"/>
        <v>#VALUE!</v>
      </c>
      <c r="G97" s="10" t="e">
        <f t="shared" si="80"/>
        <v>#VALUE!</v>
      </c>
      <c r="H97" s="10" t="e">
        <f t="shared" si="96"/>
        <v>#VALUE!</v>
      </c>
      <c r="I97" s="10" t="e">
        <f t="shared" si="81"/>
        <v>#VALUE!</v>
      </c>
      <c r="J97" s="10" t="e">
        <f t="shared" si="97"/>
        <v>#VALUE!</v>
      </c>
      <c r="K97" s="10" t="e">
        <f t="shared" si="82"/>
        <v>#VALUE!</v>
      </c>
      <c r="L97" s="10" t="e">
        <f t="shared" si="83"/>
        <v>#VALUE!</v>
      </c>
      <c r="M97" s="10" t="e">
        <f t="shared" si="98"/>
        <v>#VALUE!</v>
      </c>
      <c r="O97" s="10" t="e">
        <f t="shared" si="99"/>
        <v>#VALUE!</v>
      </c>
      <c r="P97" s="10" t="e">
        <f t="shared" si="84"/>
        <v>#VALUE!</v>
      </c>
      <c r="Q97" s="10" t="e">
        <f t="shared" si="85"/>
        <v>#VALUE!</v>
      </c>
      <c r="R97" s="10" t="e">
        <f t="shared" si="100"/>
        <v>#VALUE!</v>
      </c>
      <c r="S97" s="10" t="e">
        <f t="shared" si="101"/>
        <v>#VALUE!</v>
      </c>
      <c r="T97" s="10" t="e">
        <f t="shared" si="136"/>
        <v>#VALUE!</v>
      </c>
      <c r="U97" s="10" t="e">
        <f t="shared" si="137"/>
        <v>#VALUE!</v>
      </c>
      <c r="V97" s="10" t="e">
        <f t="shared" si="86"/>
        <v>#VALUE!</v>
      </c>
      <c r="W97" s="10" t="e">
        <f t="shared" si="102"/>
        <v>#VALUE!</v>
      </c>
      <c r="Y97" s="10" t="e">
        <f t="shared" si="103"/>
        <v>#VALUE!</v>
      </c>
      <c r="Z97" s="11" t="e">
        <f t="shared" si="104"/>
        <v>#VALUE!</v>
      </c>
      <c r="AA97" s="10" t="e">
        <f t="shared" si="87"/>
        <v>#VALUE!</v>
      </c>
      <c r="AB97" s="10" t="e">
        <f t="shared" si="105"/>
        <v>#VALUE!</v>
      </c>
      <c r="AC97" s="10" t="e">
        <f t="shared" si="106"/>
        <v>#VALUE!</v>
      </c>
      <c r="AD97" s="10" t="e">
        <f t="shared" si="138"/>
        <v>#VALUE!</v>
      </c>
      <c r="AE97" s="10" t="e">
        <f t="shared" si="139"/>
        <v>#VALUE!</v>
      </c>
      <c r="AF97" s="10" t="e">
        <f t="shared" si="88"/>
        <v>#VALUE!</v>
      </c>
      <c r="AG97" s="10" t="e">
        <f t="shared" si="107"/>
        <v>#VALUE!</v>
      </c>
      <c r="AI97" s="13"/>
      <c r="AK97" s="10" t="e">
        <f t="shared" si="108"/>
        <v>#VALUE!</v>
      </c>
      <c r="AL97" s="10" t="e">
        <f t="shared" si="140"/>
        <v>#VALUE!</v>
      </c>
      <c r="AM97" s="10" t="e">
        <f t="shared" si="89"/>
        <v>#VALUE!</v>
      </c>
      <c r="AN97" s="10" t="e">
        <f t="shared" si="109"/>
        <v>#VALUE!</v>
      </c>
      <c r="AO97" s="10" t="e">
        <f t="shared" si="110"/>
        <v>#VALUE!</v>
      </c>
      <c r="AP97" s="10" t="e">
        <f t="shared" si="111"/>
        <v>#VALUE!</v>
      </c>
      <c r="AQ97" s="10" t="e">
        <f t="shared" si="141"/>
        <v>#VALUE!</v>
      </c>
      <c r="AR97" s="10" t="e">
        <f t="shared" si="90"/>
        <v>#VALUE!</v>
      </c>
      <c r="AS97" s="10" t="e">
        <f t="shared" si="142"/>
        <v>#VALUE!</v>
      </c>
      <c r="AU97" s="10" t="e">
        <f t="shared" si="112"/>
        <v>#VALUE!</v>
      </c>
      <c r="AV97" s="10" t="e">
        <f t="shared" si="143"/>
        <v>#VALUE!</v>
      </c>
      <c r="AW97" s="10" t="e">
        <f t="shared" si="91"/>
        <v>#VALUE!</v>
      </c>
      <c r="AX97" s="10" t="e">
        <f t="shared" si="113"/>
        <v>#VALUE!</v>
      </c>
      <c r="AY97" s="10" t="e">
        <f t="shared" si="114"/>
        <v>#VALUE!</v>
      </c>
      <c r="AZ97" s="10" t="e">
        <f t="shared" si="115"/>
        <v>#VALUE!</v>
      </c>
      <c r="BA97" s="10" t="e">
        <f t="shared" si="144"/>
        <v>#VALUE!</v>
      </c>
      <c r="BB97" s="10" t="e">
        <f t="shared" si="92"/>
        <v>#VALUE!</v>
      </c>
      <c r="BC97" s="10" t="e">
        <f t="shared" si="145"/>
        <v>#VALUE!</v>
      </c>
      <c r="BE97" s="10" t="e">
        <f t="shared" si="116"/>
        <v>#VALUE!</v>
      </c>
      <c r="BF97" s="10" t="e">
        <f t="shared" si="146"/>
        <v>#VALUE!</v>
      </c>
      <c r="BG97" s="10" t="e">
        <f t="shared" si="93"/>
        <v>#VALUE!</v>
      </c>
      <c r="BH97" s="10" t="e">
        <f t="shared" si="117"/>
        <v>#VALUE!</v>
      </c>
      <c r="BI97" s="10" t="e">
        <f t="shared" si="118"/>
        <v>#VALUE!</v>
      </c>
      <c r="BJ97" s="10" t="e">
        <f t="shared" si="119"/>
        <v>#VALUE!</v>
      </c>
      <c r="BK97" s="10" t="e">
        <f t="shared" si="147"/>
        <v>#VALUE!</v>
      </c>
      <c r="BL97" s="10" t="e">
        <f t="shared" si="94"/>
        <v>#VALUE!</v>
      </c>
      <c r="BM97" s="10" t="e">
        <f t="shared" si="148"/>
        <v>#VALUE!</v>
      </c>
      <c r="BP97" s="10" t="e">
        <f t="shared" si="120"/>
        <v>#VALUE!</v>
      </c>
      <c r="BQ97" s="10" t="e">
        <f t="shared" si="121"/>
        <v>#VALUE!</v>
      </c>
      <c r="BR97" s="10" t="e">
        <f t="shared" si="122"/>
        <v>#VALUE!</v>
      </c>
      <c r="BS97" s="10" t="e">
        <f t="shared" si="123"/>
        <v>#VALUE!</v>
      </c>
      <c r="BT97" s="10" t="e">
        <f t="shared" si="124"/>
        <v>#VALUE!</v>
      </c>
      <c r="BU97" s="10" t="e">
        <f t="shared" si="125"/>
        <v>#VALUE!</v>
      </c>
      <c r="BW97" s="10" t="e">
        <f t="shared" si="126"/>
        <v>#VALUE!</v>
      </c>
      <c r="BX97" s="10" t="e">
        <f t="shared" si="127"/>
        <v>#VALUE!</v>
      </c>
      <c r="BY97" s="10" t="e">
        <f t="shared" si="128"/>
        <v>#VALUE!</v>
      </c>
      <c r="BZ97" s="10" t="e">
        <f t="shared" si="129"/>
        <v>#VALUE!</v>
      </c>
      <c r="CA97" s="10" t="e">
        <f t="shared" si="130"/>
        <v>#VALUE!</v>
      </c>
      <c r="CB97" s="10" t="e">
        <f t="shared" si="131"/>
        <v>#VALUE!</v>
      </c>
      <c r="CD97" s="10" t="e">
        <f>MATCH(INDEX($BP$12:$BU$12,1,MATCH(BP97,$BP$15:$BU$15,0)),结果汇总!$AI$10:$AI$13,0)</f>
        <v>#VALUE!</v>
      </c>
      <c r="CE97" s="10" t="e">
        <f>MATCH(INDEX($BP$12:$BU$12,1,MATCH(BQ97,$BP$15:$BU$15,0)),结果汇总!$AI$10:$AI$13,0)</f>
        <v>#VALUE!</v>
      </c>
      <c r="CF97" s="10" t="e">
        <f>MATCH(INDEX($BP$12:$BU$12,1,MATCH(BR97,$BP$15:$BU$15,0)),结果汇总!$AI$10:$AI$13,0)</f>
        <v>#VALUE!</v>
      </c>
      <c r="CG97" s="10" t="e">
        <f>MATCH(INDEX($BP$12:$BU$12,1,MATCH(BS97,$BP$15:$BU$15,0)),结果汇总!$AI$10:$AI$13,0)</f>
        <v>#VALUE!</v>
      </c>
      <c r="CH97" s="10" t="e">
        <f>MATCH(INDEX($BP$12:$BU$12,1,MATCH(BT97,$BP$15:$BU$15,0)),结果汇总!$AI$10:$AI$13,0)</f>
        <v>#VALUE!</v>
      </c>
      <c r="CI97" s="10" t="e">
        <f>MATCH(INDEX($BP$12:$BU$12,1,MATCH(BU97,$BP$15:$BU$15,0)),结果汇总!$AI$10:$AI$13,0)</f>
        <v>#VALUE!</v>
      </c>
      <c r="CK97" s="10">
        <f t="shared" si="132"/>
        <v>0</v>
      </c>
      <c r="CL97" s="10">
        <f t="shared" si="132"/>
        <v>0</v>
      </c>
      <c r="CM97" s="10">
        <f t="shared" si="132"/>
        <v>0</v>
      </c>
      <c r="CN97" s="10">
        <f t="shared" si="132"/>
        <v>0</v>
      </c>
      <c r="CO97" s="10">
        <f t="shared" si="133"/>
        <v>0</v>
      </c>
      <c r="CP97" s="10">
        <f t="shared" si="133"/>
        <v>0</v>
      </c>
      <c r="CQ97" s="10">
        <f t="shared" si="133"/>
        <v>0</v>
      </c>
      <c r="CR97" s="10">
        <f t="shared" si="133"/>
        <v>0</v>
      </c>
      <c r="CS97" s="10">
        <f t="shared" si="134"/>
        <v>0</v>
      </c>
      <c r="CT97" s="10">
        <f t="shared" si="134"/>
        <v>0</v>
      </c>
      <c r="CU97" s="10">
        <f t="shared" si="134"/>
        <v>0</v>
      </c>
      <c r="CV97" s="10">
        <f t="shared" si="134"/>
        <v>0</v>
      </c>
      <c r="CW97" s="10">
        <f t="shared" si="135"/>
        <v>0</v>
      </c>
      <c r="CX97" s="10">
        <f t="shared" si="135"/>
        <v>0</v>
      </c>
      <c r="CY97" s="10">
        <f t="shared" si="135"/>
        <v>0</v>
      </c>
      <c r="CZ97" s="10">
        <f t="shared" si="135"/>
        <v>0</v>
      </c>
    </row>
    <row r="98" spans="4:104" x14ac:dyDescent="0.15">
      <c r="D98" s="10">
        <v>83</v>
      </c>
      <c r="E98" s="10" t="e">
        <f t="shared" si="95"/>
        <v>#VALUE!</v>
      </c>
      <c r="F98" s="10" t="e">
        <f t="shared" si="79"/>
        <v>#VALUE!</v>
      </c>
      <c r="G98" s="10" t="e">
        <f t="shared" si="80"/>
        <v>#VALUE!</v>
      </c>
      <c r="H98" s="10" t="e">
        <f t="shared" si="96"/>
        <v>#VALUE!</v>
      </c>
      <c r="I98" s="10" t="e">
        <f t="shared" si="81"/>
        <v>#VALUE!</v>
      </c>
      <c r="J98" s="10" t="e">
        <f t="shared" si="97"/>
        <v>#VALUE!</v>
      </c>
      <c r="K98" s="10" t="e">
        <f t="shared" si="82"/>
        <v>#VALUE!</v>
      </c>
      <c r="L98" s="10" t="e">
        <f t="shared" si="83"/>
        <v>#VALUE!</v>
      </c>
      <c r="M98" s="10" t="e">
        <f t="shared" si="98"/>
        <v>#VALUE!</v>
      </c>
      <c r="O98" s="10" t="e">
        <f t="shared" si="99"/>
        <v>#VALUE!</v>
      </c>
      <c r="P98" s="10" t="e">
        <f t="shared" si="84"/>
        <v>#VALUE!</v>
      </c>
      <c r="Q98" s="10" t="e">
        <f t="shared" si="85"/>
        <v>#VALUE!</v>
      </c>
      <c r="R98" s="10" t="e">
        <f t="shared" si="100"/>
        <v>#VALUE!</v>
      </c>
      <c r="S98" s="10" t="e">
        <f t="shared" si="101"/>
        <v>#VALUE!</v>
      </c>
      <c r="T98" s="10" t="e">
        <f t="shared" si="136"/>
        <v>#VALUE!</v>
      </c>
      <c r="U98" s="10" t="e">
        <f t="shared" si="137"/>
        <v>#VALUE!</v>
      </c>
      <c r="V98" s="10" t="e">
        <f t="shared" si="86"/>
        <v>#VALUE!</v>
      </c>
      <c r="W98" s="10" t="e">
        <f t="shared" si="102"/>
        <v>#VALUE!</v>
      </c>
      <c r="Y98" s="10" t="e">
        <f t="shared" si="103"/>
        <v>#VALUE!</v>
      </c>
      <c r="Z98" s="11" t="e">
        <f t="shared" si="104"/>
        <v>#VALUE!</v>
      </c>
      <c r="AA98" s="10" t="e">
        <f t="shared" si="87"/>
        <v>#VALUE!</v>
      </c>
      <c r="AB98" s="10" t="e">
        <f t="shared" si="105"/>
        <v>#VALUE!</v>
      </c>
      <c r="AC98" s="10" t="e">
        <f t="shared" si="106"/>
        <v>#VALUE!</v>
      </c>
      <c r="AD98" s="10" t="e">
        <f t="shared" si="138"/>
        <v>#VALUE!</v>
      </c>
      <c r="AE98" s="10" t="e">
        <f t="shared" si="139"/>
        <v>#VALUE!</v>
      </c>
      <c r="AF98" s="10" t="e">
        <f t="shared" si="88"/>
        <v>#VALUE!</v>
      </c>
      <c r="AG98" s="10" t="e">
        <f t="shared" si="107"/>
        <v>#VALUE!</v>
      </c>
      <c r="AI98" s="13"/>
      <c r="AK98" s="10" t="e">
        <f t="shared" si="108"/>
        <v>#VALUE!</v>
      </c>
      <c r="AL98" s="10" t="e">
        <f t="shared" si="140"/>
        <v>#VALUE!</v>
      </c>
      <c r="AM98" s="10" t="e">
        <f t="shared" si="89"/>
        <v>#VALUE!</v>
      </c>
      <c r="AN98" s="10" t="e">
        <f t="shared" si="109"/>
        <v>#VALUE!</v>
      </c>
      <c r="AO98" s="10" t="e">
        <f t="shared" si="110"/>
        <v>#VALUE!</v>
      </c>
      <c r="AP98" s="10" t="e">
        <f t="shared" si="111"/>
        <v>#VALUE!</v>
      </c>
      <c r="AQ98" s="10" t="e">
        <f t="shared" si="141"/>
        <v>#VALUE!</v>
      </c>
      <c r="AR98" s="10" t="e">
        <f t="shared" si="90"/>
        <v>#VALUE!</v>
      </c>
      <c r="AS98" s="10" t="e">
        <f t="shared" si="142"/>
        <v>#VALUE!</v>
      </c>
      <c r="AU98" s="10" t="e">
        <f t="shared" si="112"/>
        <v>#VALUE!</v>
      </c>
      <c r="AV98" s="10" t="e">
        <f t="shared" si="143"/>
        <v>#VALUE!</v>
      </c>
      <c r="AW98" s="10" t="e">
        <f t="shared" si="91"/>
        <v>#VALUE!</v>
      </c>
      <c r="AX98" s="10" t="e">
        <f t="shared" si="113"/>
        <v>#VALUE!</v>
      </c>
      <c r="AY98" s="10" t="e">
        <f t="shared" si="114"/>
        <v>#VALUE!</v>
      </c>
      <c r="AZ98" s="10" t="e">
        <f t="shared" si="115"/>
        <v>#VALUE!</v>
      </c>
      <c r="BA98" s="10" t="e">
        <f t="shared" si="144"/>
        <v>#VALUE!</v>
      </c>
      <c r="BB98" s="10" t="e">
        <f t="shared" si="92"/>
        <v>#VALUE!</v>
      </c>
      <c r="BC98" s="10" t="e">
        <f t="shared" si="145"/>
        <v>#VALUE!</v>
      </c>
      <c r="BE98" s="10" t="e">
        <f t="shared" si="116"/>
        <v>#VALUE!</v>
      </c>
      <c r="BF98" s="10" t="e">
        <f t="shared" si="146"/>
        <v>#VALUE!</v>
      </c>
      <c r="BG98" s="10" t="e">
        <f t="shared" si="93"/>
        <v>#VALUE!</v>
      </c>
      <c r="BH98" s="10" t="e">
        <f t="shared" si="117"/>
        <v>#VALUE!</v>
      </c>
      <c r="BI98" s="10" t="e">
        <f t="shared" si="118"/>
        <v>#VALUE!</v>
      </c>
      <c r="BJ98" s="10" t="e">
        <f t="shared" si="119"/>
        <v>#VALUE!</v>
      </c>
      <c r="BK98" s="10" t="e">
        <f t="shared" si="147"/>
        <v>#VALUE!</v>
      </c>
      <c r="BL98" s="10" t="e">
        <f t="shared" si="94"/>
        <v>#VALUE!</v>
      </c>
      <c r="BM98" s="10" t="e">
        <f t="shared" si="148"/>
        <v>#VALUE!</v>
      </c>
      <c r="BP98" s="10" t="e">
        <f t="shared" si="120"/>
        <v>#VALUE!</v>
      </c>
      <c r="BQ98" s="10" t="e">
        <f t="shared" si="121"/>
        <v>#VALUE!</v>
      </c>
      <c r="BR98" s="10" t="e">
        <f t="shared" si="122"/>
        <v>#VALUE!</v>
      </c>
      <c r="BS98" s="10" t="e">
        <f t="shared" si="123"/>
        <v>#VALUE!</v>
      </c>
      <c r="BT98" s="10" t="e">
        <f t="shared" si="124"/>
        <v>#VALUE!</v>
      </c>
      <c r="BU98" s="10" t="e">
        <f t="shared" si="125"/>
        <v>#VALUE!</v>
      </c>
      <c r="BW98" s="10" t="e">
        <f t="shared" si="126"/>
        <v>#VALUE!</v>
      </c>
      <c r="BX98" s="10" t="e">
        <f t="shared" si="127"/>
        <v>#VALUE!</v>
      </c>
      <c r="BY98" s="10" t="e">
        <f t="shared" si="128"/>
        <v>#VALUE!</v>
      </c>
      <c r="BZ98" s="10" t="e">
        <f t="shared" si="129"/>
        <v>#VALUE!</v>
      </c>
      <c r="CA98" s="10" t="e">
        <f t="shared" si="130"/>
        <v>#VALUE!</v>
      </c>
      <c r="CB98" s="10" t="e">
        <f t="shared" si="131"/>
        <v>#VALUE!</v>
      </c>
      <c r="CD98" s="10" t="e">
        <f>MATCH(INDEX($BP$12:$BU$12,1,MATCH(BP98,$BP$15:$BU$15,0)),结果汇总!$AI$10:$AI$13,0)</f>
        <v>#VALUE!</v>
      </c>
      <c r="CE98" s="10" t="e">
        <f>MATCH(INDEX($BP$12:$BU$12,1,MATCH(BQ98,$BP$15:$BU$15,0)),结果汇总!$AI$10:$AI$13,0)</f>
        <v>#VALUE!</v>
      </c>
      <c r="CF98" s="10" t="e">
        <f>MATCH(INDEX($BP$12:$BU$12,1,MATCH(BR98,$BP$15:$BU$15,0)),结果汇总!$AI$10:$AI$13,0)</f>
        <v>#VALUE!</v>
      </c>
      <c r="CG98" s="10" t="e">
        <f>MATCH(INDEX($BP$12:$BU$12,1,MATCH(BS98,$BP$15:$BU$15,0)),结果汇总!$AI$10:$AI$13,0)</f>
        <v>#VALUE!</v>
      </c>
      <c r="CH98" s="10" t="e">
        <f>MATCH(INDEX($BP$12:$BU$12,1,MATCH(BT98,$BP$15:$BU$15,0)),结果汇总!$AI$10:$AI$13,0)</f>
        <v>#VALUE!</v>
      </c>
      <c r="CI98" s="10" t="e">
        <f>MATCH(INDEX($BP$12:$BU$12,1,MATCH(BU98,$BP$15:$BU$15,0)),结果汇总!$AI$10:$AI$13,0)</f>
        <v>#VALUE!</v>
      </c>
      <c r="CK98" s="10">
        <f t="shared" si="132"/>
        <v>0</v>
      </c>
      <c r="CL98" s="10">
        <f t="shared" si="132"/>
        <v>0</v>
      </c>
      <c r="CM98" s="10">
        <f t="shared" si="132"/>
        <v>0</v>
      </c>
      <c r="CN98" s="10">
        <f t="shared" si="132"/>
        <v>0</v>
      </c>
      <c r="CO98" s="10">
        <f t="shared" si="133"/>
        <v>0</v>
      </c>
      <c r="CP98" s="10">
        <f t="shared" si="133"/>
        <v>0</v>
      </c>
      <c r="CQ98" s="10">
        <f t="shared" si="133"/>
        <v>0</v>
      </c>
      <c r="CR98" s="10">
        <f t="shared" si="133"/>
        <v>0</v>
      </c>
      <c r="CS98" s="10">
        <f t="shared" si="134"/>
        <v>0</v>
      </c>
      <c r="CT98" s="10">
        <f t="shared" si="134"/>
        <v>0</v>
      </c>
      <c r="CU98" s="10">
        <f t="shared" si="134"/>
        <v>0</v>
      </c>
      <c r="CV98" s="10">
        <f t="shared" si="134"/>
        <v>0</v>
      </c>
      <c r="CW98" s="10">
        <f t="shared" si="135"/>
        <v>0</v>
      </c>
      <c r="CX98" s="10">
        <f t="shared" si="135"/>
        <v>0</v>
      </c>
      <c r="CY98" s="10">
        <f t="shared" si="135"/>
        <v>0</v>
      </c>
      <c r="CZ98" s="10">
        <f t="shared" si="135"/>
        <v>0</v>
      </c>
    </row>
    <row r="99" spans="4:104" x14ac:dyDescent="0.15">
      <c r="D99" s="10">
        <v>84</v>
      </c>
      <c r="E99" s="10" t="e">
        <f t="shared" si="95"/>
        <v>#VALUE!</v>
      </c>
      <c r="F99" s="10" t="e">
        <f t="shared" si="79"/>
        <v>#VALUE!</v>
      </c>
      <c r="G99" s="10" t="e">
        <f t="shared" si="80"/>
        <v>#VALUE!</v>
      </c>
      <c r="H99" s="10" t="e">
        <f t="shared" si="96"/>
        <v>#VALUE!</v>
      </c>
      <c r="I99" s="10" t="e">
        <f t="shared" si="81"/>
        <v>#VALUE!</v>
      </c>
      <c r="J99" s="10" t="e">
        <f t="shared" si="97"/>
        <v>#VALUE!</v>
      </c>
      <c r="K99" s="10" t="e">
        <f t="shared" si="82"/>
        <v>#VALUE!</v>
      </c>
      <c r="L99" s="10" t="e">
        <f t="shared" si="83"/>
        <v>#VALUE!</v>
      </c>
      <c r="M99" s="10" t="e">
        <f t="shared" si="98"/>
        <v>#VALUE!</v>
      </c>
      <c r="O99" s="10" t="e">
        <f t="shared" si="99"/>
        <v>#VALUE!</v>
      </c>
      <c r="P99" s="10" t="e">
        <f t="shared" si="84"/>
        <v>#VALUE!</v>
      </c>
      <c r="Q99" s="10" t="e">
        <f t="shared" si="85"/>
        <v>#VALUE!</v>
      </c>
      <c r="R99" s="10" t="e">
        <f t="shared" si="100"/>
        <v>#VALUE!</v>
      </c>
      <c r="S99" s="10" t="e">
        <f t="shared" si="101"/>
        <v>#VALUE!</v>
      </c>
      <c r="T99" s="10" t="e">
        <f t="shared" si="136"/>
        <v>#VALUE!</v>
      </c>
      <c r="U99" s="10" t="e">
        <f t="shared" si="137"/>
        <v>#VALUE!</v>
      </c>
      <c r="V99" s="10" t="e">
        <f t="shared" si="86"/>
        <v>#VALUE!</v>
      </c>
      <c r="W99" s="10" t="e">
        <f t="shared" si="102"/>
        <v>#VALUE!</v>
      </c>
      <c r="Y99" s="10" t="e">
        <f t="shared" si="103"/>
        <v>#VALUE!</v>
      </c>
      <c r="Z99" s="11" t="e">
        <f t="shared" si="104"/>
        <v>#VALUE!</v>
      </c>
      <c r="AA99" s="10" t="e">
        <f t="shared" si="87"/>
        <v>#VALUE!</v>
      </c>
      <c r="AB99" s="10" t="e">
        <f t="shared" si="105"/>
        <v>#VALUE!</v>
      </c>
      <c r="AC99" s="10" t="e">
        <f t="shared" si="106"/>
        <v>#VALUE!</v>
      </c>
      <c r="AD99" s="10" t="e">
        <f t="shared" si="138"/>
        <v>#VALUE!</v>
      </c>
      <c r="AE99" s="10" t="e">
        <f t="shared" si="139"/>
        <v>#VALUE!</v>
      </c>
      <c r="AF99" s="10" t="e">
        <f t="shared" si="88"/>
        <v>#VALUE!</v>
      </c>
      <c r="AG99" s="10" t="e">
        <f t="shared" si="107"/>
        <v>#VALUE!</v>
      </c>
      <c r="AI99" s="13"/>
      <c r="AK99" s="10" t="e">
        <f t="shared" si="108"/>
        <v>#VALUE!</v>
      </c>
      <c r="AL99" s="10" t="e">
        <f t="shared" si="140"/>
        <v>#VALUE!</v>
      </c>
      <c r="AM99" s="10" t="e">
        <f t="shared" si="89"/>
        <v>#VALUE!</v>
      </c>
      <c r="AN99" s="10" t="e">
        <f t="shared" si="109"/>
        <v>#VALUE!</v>
      </c>
      <c r="AO99" s="10" t="e">
        <f t="shared" si="110"/>
        <v>#VALUE!</v>
      </c>
      <c r="AP99" s="10" t="e">
        <f t="shared" si="111"/>
        <v>#VALUE!</v>
      </c>
      <c r="AQ99" s="10" t="e">
        <f t="shared" si="141"/>
        <v>#VALUE!</v>
      </c>
      <c r="AR99" s="10" t="e">
        <f t="shared" si="90"/>
        <v>#VALUE!</v>
      </c>
      <c r="AS99" s="10" t="e">
        <f t="shared" si="142"/>
        <v>#VALUE!</v>
      </c>
      <c r="AU99" s="10" t="e">
        <f t="shared" si="112"/>
        <v>#VALUE!</v>
      </c>
      <c r="AV99" s="10" t="e">
        <f t="shared" si="143"/>
        <v>#VALUE!</v>
      </c>
      <c r="AW99" s="10" t="e">
        <f t="shared" si="91"/>
        <v>#VALUE!</v>
      </c>
      <c r="AX99" s="10" t="e">
        <f t="shared" si="113"/>
        <v>#VALUE!</v>
      </c>
      <c r="AY99" s="10" t="e">
        <f t="shared" si="114"/>
        <v>#VALUE!</v>
      </c>
      <c r="AZ99" s="10" t="e">
        <f t="shared" si="115"/>
        <v>#VALUE!</v>
      </c>
      <c r="BA99" s="10" t="e">
        <f t="shared" si="144"/>
        <v>#VALUE!</v>
      </c>
      <c r="BB99" s="10" t="e">
        <f t="shared" si="92"/>
        <v>#VALUE!</v>
      </c>
      <c r="BC99" s="10" t="e">
        <f t="shared" si="145"/>
        <v>#VALUE!</v>
      </c>
      <c r="BE99" s="10" t="e">
        <f t="shared" si="116"/>
        <v>#VALUE!</v>
      </c>
      <c r="BF99" s="10" t="e">
        <f t="shared" si="146"/>
        <v>#VALUE!</v>
      </c>
      <c r="BG99" s="10" t="e">
        <f t="shared" si="93"/>
        <v>#VALUE!</v>
      </c>
      <c r="BH99" s="10" t="e">
        <f t="shared" si="117"/>
        <v>#VALUE!</v>
      </c>
      <c r="BI99" s="10" t="e">
        <f t="shared" si="118"/>
        <v>#VALUE!</v>
      </c>
      <c r="BJ99" s="10" t="e">
        <f t="shared" si="119"/>
        <v>#VALUE!</v>
      </c>
      <c r="BK99" s="10" t="e">
        <f t="shared" si="147"/>
        <v>#VALUE!</v>
      </c>
      <c r="BL99" s="10" t="e">
        <f t="shared" si="94"/>
        <v>#VALUE!</v>
      </c>
      <c r="BM99" s="10" t="e">
        <f t="shared" si="148"/>
        <v>#VALUE!</v>
      </c>
      <c r="BP99" s="10" t="e">
        <f t="shared" si="120"/>
        <v>#VALUE!</v>
      </c>
      <c r="BQ99" s="10" t="e">
        <f t="shared" si="121"/>
        <v>#VALUE!</v>
      </c>
      <c r="BR99" s="10" t="e">
        <f t="shared" si="122"/>
        <v>#VALUE!</v>
      </c>
      <c r="BS99" s="10" t="e">
        <f t="shared" si="123"/>
        <v>#VALUE!</v>
      </c>
      <c r="BT99" s="10" t="e">
        <f t="shared" si="124"/>
        <v>#VALUE!</v>
      </c>
      <c r="BU99" s="10" t="e">
        <f t="shared" si="125"/>
        <v>#VALUE!</v>
      </c>
      <c r="BW99" s="10" t="e">
        <f t="shared" si="126"/>
        <v>#VALUE!</v>
      </c>
      <c r="BX99" s="10" t="e">
        <f t="shared" si="127"/>
        <v>#VALUE!</v>
      </c>
      <c r="BY99" s="10" t="e">
        <f t="shared" si="128"/>
        <v>#VALUE!</v>
      </c>
      <c r="BZ99" s="10" t="e">
        <f t="shared" si="129"/>
        <v>#VALUE!</v>
      </c>
      <c r="CA99" s="10" t="e">
        <f t="shared" si="130"/>
        <v>#VALUE!</v>
      </c>
      <c r="CB99" s="10" t="e">
        <f t="shared" si="131"/>
        <v>#VALUE!</v>
      </c>
      <c r="CD99" s="10" t="e">
        <f>MATCH(INDEX($BP$12:$BU$12,1,MATCH(BP99,$BP$15:$BU$15,0)),结果汇总!$AI$10:$AI$13,0)</f>
        <v>#VALUE!</v>
      </c>
      <c r="CE99" s="10" t="e">
        <f>MATCH(INDEX($BP$12:$BU$12,1,MATCH(BQ99,$BP$15:$BU$15,0)),结果汇总!$AI$10:$AI$13,0)</f>
        <v>#VALUE!</v>
      </c>
      <c r="CF99" s="10" t="e">
        <f>MATCH(INDEX($BP$12:$BU$12,1,MATCH(BR99,$BP$15:$BU$15,0)),结果汇总!$AI$10:$AI$13,0)</f>
        <v>#VALUE!</v>
      </c>
      <c r="CG99" s="10" t="e">
        <f>MATCH(INDEX($BP$12:$BU$12,1,MATCH(BS99,$BP$15:$BU$15,0)),结果汇总!$AI$10:$AI$13,0)</f>
        <v>#VALUE!</v>
      </c>
      <c r="CH99" s="10" t="e">
        <f>MATCH(INDEX($BP$12:$BU$12,1,MATCH(BT99,$BP$15:$BU$15,0)),结果汇总!$AI$10:$AI$13,0)</f>
        <v>#VALUE!</v>
      </c>
      <c r="CI99" s="10" t="e">
        <f>MATCH(INDEX($BP$12:$BU$12,1,MATCH(BU99,$BP$15:$BU$15,0)),结果汇总!$AI$10:$AI$13,0)</f>
        <v>#VALUE!</v>
      </c>
      <c r="CK99" s="10">
        <f t="shared" si="132"/>
        <v>0</v>
      </c>
      <c r="CL99" s="10">
        <f t="shared" si="132"/>
        <v>0</v>
      </c>
      <c r="CM99" s="10">
        <f t="shared" si="132"/>
        <v>0</v>
      </c>
      <c r="CN99" s="10">
        <f t="shared" si="132"/>
        <v>0</v>
      </c>
      <c r="CO99" s="10">
        <f t="shared" si="133"/>
        <v>0</v>
      </c>
      <c r="CP99" s="10">
        <f t="shared" si="133"/>
        <v>0</v>
      </c>
      <c r="CQ99" s="10">
        <f t="shared" si="133"/>
        <v>0</v>
      </c>
      <c r="CR99" s="10">
        <f t="shared" si="133"/>
        <v>0</v>
      </c>
      <c r="CS99" s="10">
        <f t="shared" si="134"/>
        <v>0</v>
      </c>
      <c r="CT99" s="10">
        <f t="shared" si="134"/>
        <v>0</v>
      </c>
      <c r="CU99" s="10">
        <f t="shared" si="134"/>
        <v>0</v>
      </c>
      <c r="CV99" s="10">
        <f t="shared" si="134"/>
        <v>0</v>
      </c>
      <c r="CW99" s="10">
        <f t="shared" si="135"/>
        <v>0</v>
      </c>
      <c r="CX99" s="10">
        <f t="shared" si="135"/>
        <v>0</v>
      </c>
      <c r="CY99" s="10">
        <f t="shared" si="135"/>
        <v>0</v>
      </c>
      <c r="CZ99" s="10">
        <f t="shared" si="135"/>
        <v>0</v>
      </c>
    </row>
    <row r="100" spans="4:104" x14ac:dyDescent="0.15">
      <c r="D100" s="10">
        <v>85</v>
      </c>
      <c r="E100" s="10" t="e">
        <f t="shared" si="95"/>
        <v>#VALUE!</v>
      </c>
      <c r="F100" s="10" t="e">
        <f t="shared" si="79"/>
        <v>#VALUE!</v>
      </c>
      <c r="G100" s="10" t="e">
        <f t="shared" si="80"/>
        <v>#VALUE!</v>
      </c>
      <c r="H100" s="10" t="e">
        <f t="shared" si="96"/>
        <v>#VALUE!</v>
      </c>
      <c r="I100" s="10" t="e">
        <f t="shared" si="81"/>
        <v>#VALUE!</v>
      </c>
      <c r="J100" s="10" t="e">
        <f t="shared" si="97"/>
        <v>#VALUE!</v>
      </c>
      <c r="K100" s="10" t="e">
        <f t="shared" si="82"/>
        <v>#VALUE!</v>
      </c>
      <c r="L100" s="10" t="e">
        <f t="shared" si="83"/>
        <v>#VALUE!</v>
      </c>
      <c r="M100" s="10" t="e">
        <f t="shared" si="98"/>
        <v>#VALUE!</v>
      </c>
      <c r="O100" s="10" t="e">
        <f t="shared" si="99"/>
        <v>#VALUE!</v>
      </c>
      <c r="P100" s="10" t="e">
        <f t="shared" si="84"/>
        <v>#VALUE!</v>
      </c>
      <c r="Q100" s="10" t="e">
        <f t="shared" si="85"/>
        <v>#VALUE!</v>
      </c>
      <c r="R100" s="10" t="e">
        <f t="shared" si="100"/>
        <v>#VALUE!</v>
      </c>
      <c r="S100" s="10" t="e">
        <f t="shared" si="101"/>
        <v>#VALUE!</v>
      </c>
      <c r="T100" s="10" t="e">
        <f t="shared" si="136"/>
        <v>#VALUE!</v>
      </c>
      <c r="U100" s="10" t="e">
        <f t="shared" si="137"/>
        <v>#VALUE!</v>
      </c>
      <c r="V100" s="10" t="e">
        <f t="shared" si="86"/>
        <v>#VALUE!</v>
      </c>
      <c r="W100" s="10" t="e">
        <f t="shared" si="102"/>
        <v>#VALUE!</v>
      </c>
      <c r="Y100" s="10" t="e">
        <f t="shared" si="103"/>
        <v>#VALUE!</v>
      </c>
      <c r="Z100" s="11" t="e">
        <f t="shared" si="104"/>
        <v>#VALUE!</v>
      </c>
      <c r="AA100" s="10" t="e">
        <f t="shared" si="87"/>
        <v>#VALUE!</v>
      </c>
      <c r="AB100" s="10" t="e">
        <f t="shared" si="105"/>
        <v>#VALUE!</v>
      </c>
      <c r="AC100" s="10" t="e">
        <f t="shared" si="106"/>
        <v>#VALUE!</v>
      </c>
      <c r="AD100" s="10" t="e">
        <f t="shared" si="138"/>
        <v>#VALUE!</v>
      </c>
      <c r="AE100" s="10" t="e">
        <f t="shared" si="139"/>
        <v>#VALUE!</v>
      </c>
      <c r="AF100" s="10" t="e">
        <f t="shared" si="88"/>
        <v>#VALUE!</v>
      </c>
      <c r="AG100" s="10" t="e">
        <f t="shared" si="107"/>
        <v>#VALUE!</v>
      </c>
      <c r="AI100" s="13"/>
      <c r="AK100" s="10" t="e">
        <f t="shared" si="108"/>
        <v>#VALUE!</v>
      </c>
      <c r="AL100" s="10" t="e">
        <f t="shared" si="140"/>
        <v>#VALUE!</v>
      </c>
      <c r="AM100" s="10" t="e">
        <f t="shared" si="89"/>
        <v>#VALUE!</v>
      </c>
      <c r="AN100" s="10" t="e">
        <f t="shared" si="109"/>
        <v>#VALUE!</v>
      </c>
      <c r="AO100" s="10" t="e">
        <f t="shared" si="110"/>
        <v>#VALUE!</v>
      </c>
      <c r="AP100" s="10" t="e">
        <f t="shared" si="111"/>
        <v>#VALUE!</v>
      </c>
      <c r="AQ100" s="10" t="e">
        <f t="shared" si="141"/>
        <v>#VALUE!</v>
      </c>
      <c r="AR100" s="10" t="e">
        <f t="shared" si="90"/>
        <v>#VALUE!</v>
      </c>
      <c r="AS100" s="10" t="e">
        <f t="shared" si="142"/>
        <v>#VALUE!</v>
      </c>
      <c r="AU100" s="10" t="e">
        <f t="shared" si="112"/>
        <v>#VALUE!</v>
      </c>
      <c r="AV100" s="10" t="e">
        <f t="shared" si="143"/>
        <v>#VALUE!</v>
      </c>
      <c r="AW100" s="10" t="e">
        <f t="shared" si="91"/>
        <v>#VALUE!</v>
      </c>
      <c r="AX100" s="10" t="e">
        <f t="shared" si="113"/>
        <v>#VALUE!</v>
      </c>
      <c r="AY100" s="10" t="e">
        <f t="shared" si="114"/>
        <v>#VALUE!</v>
      </c>
      <c r="AZ100" s="10" t="e">
        <f t="shared" si="115"/>
        <v>#VALUE!</v>
      </c>
      <c r="BA100" s="10" t="e">
        <f t="shared" si="144"/>
        <v>#VALUE!</v>
      </c>
      <c r="BB100" s="10" t="e">
        <f t="shared" si="92"/>
        <v>#VALUE!</v>
      </c>
      <c r="BC100" s="10" t="e">
        <f t="shared" si="145"/>
        <v>#VALUE!</v>
      </c>
      <c r="BE100" s="10" t="e">
        <f t="shared" si="116"/>
        <v>#VALUE!</v>
      </c>
      <c r="BF100" s="10" t="e">
        <f t="shared" si="146"/>
        <v>#VALUE!</v>
      </c>
      <c r="BG100" s="10" t="e">
        <f t="shared" si="93"/>
        <v>#VALUE!</v>
      </c>
      <c r="BH100" s="10" t="e">
        <f t="shared" si="117"/>
        <v>#VALUE!</v>
      </c>
      <c r="BI100" s="10" t="e">
        <f t="shared" si="118"/>
        <v>#VALUE!</v>
      </c>
      <c r="BJ100" s="10" t="e">
        <f t="shared" si="119"/>
        <v>#VALUE!</v>
      </c>
      <c r="BK100" s="10" t="e">
        <f t="shared" si="147"/>
        <v>#VALUE!</v>
      </c>
      <c r="BL100" s="10" t="e">
        <f t="shared" si="94"/>
        <v>#VALUE!</v>
      </c>
      <c r="BM100" s="10" t="e">
        <f t="shared" si="148"/>
        <v>#VALUE!</v>
      </c>
      <c r="BP100" s="10" t="e">
        <f t="shared" si="120"/>
        <v>#VALUE!</v>
      </c>
      <c r="BQ100" s="10" t="e">
        <f t="shared" si="121"/>
        <v>#VALUE!</v>
      </c>
      <c r="BR100" s="10" t="e">
        <f t="shared" si="122"/>
        <v>#VALUE!</v>
      </c>
      <c r="BS100" s="10" t="e">
        <f t="shared" si="123"/>
        <v>#VALUE!</v>
      </c>
      <c r="BT100" s="10" t="e">
        <f t="shared" si="124"/>
        <v>#VALUE!</v>
      </c>
      <c r="BU100" s="10" t="e">
        <f t="shared" si="125"/>
        <v>#VALUE!</v>
      </c>
      <c r="BW100" s="10" t="e">
        <f t="shared" si="126"/>
        <v>#VALUE!</v>
      </c>
      <c r="BX100" s="10" t="e">
        <f t="shared" si="127"/>
        <v>#VALUE!</v>
      </c>
      <c r="BY100" s="10" t="e">
        <f t="shared" si="128"/>
        <v>#VALUE!</v>
      </c>
      <c r="BZ100" s="10" t="e">
        <f t="shared" si="129"/>
        <v>#VALUE!</v>
      </c>
      <c r="CA100" s="10" t="e">
        <f t="shared" si="130"/>
        <v>#VALUE!</v>
      </c>
      <c r="CB100" s="10" t="e">
        <f t="shared" si="131"/>
        <v>#VALUE!</v>
      </c>
      <c r="CD100" s="10" t="e">
        <f>MATCH(INDEX($BP$12:$BU$12,1,MATCH(BP100,$BP$15:$BU$15,0)),结果汇总!$AI$10:$AI$13,0)</f>
        <v>#VALUE!</v>
      </c>
      <c r="CE100" s="10" t="e">
        <f>MATCH(INDEX($BP$12:$BU$12,1,MATCH(BQ100,$BP$15:$BU$15,0)),结果汇总!$AI$10:$AI$13,0)</f>
        <v>#VALUE!</v>
      </c>
      <c r="CF100" s="10" t="e">
        <f>MATCH(INDEX($BP$12:$BU$12,1,MATCH(BR100,$BP$15:$BU$15,0)),结果汇总!$AI$10:$AI$13,0)</f>
        <v>#VALUE!</v>
      </c>
      <c r="CG100" s="10" t="e">
        <f>MATCH(INDEX($BP$12:$BU$12,1,MATCH(BS100,$BP$15:$BU$15,0)),结果汇总!$AI$10:$AI$13,0)</f>
        <v>#VALUE!</v>
      </c>
      <c r="CH100" s="10" t="e">
        <f>MATCH(INDEX($BP$12:$BU$12,1,MATCH(BT100,$BP$15:$BU$15,0)),结果汇总!$AI$10:$AI$13,0)</f>
        <v>#VALUE!</v>
      </c>
      <c r="CI100" s="10" t="e">
        <f>MATCH(INDEX($BP$12:$BU$12,1,MATCH(BU100,$BP$15:$BU$15,0)),结果汇总!$AI$10:$AI$13,0)</f>
        <v>#VALUE!</v>
      </c>
      <c r="CK100" s="10">
        <f t="shared" si="132"/>
        <v>0</v>
      </c>
      <c r="CL100" s="10">
        <f t="shared" si="132"/>
        <v>0</v>
      </c>
      <c r="CM100" s="10">
        <f t="shared" si="132"/>
        <v>0</v>
      </c>
      <c r="CN100" s="10">
        <f t="shared" si="132"/>
        <v>0</v>
      </c>
      <c r="CO100" s="10">
        <f t="shared" si="133"/>
        <v>0</v>
      </c>
      <c r="CP100" s="10">
        <f t="shared" si="133"/>
        <v>0</v>
      </c>
      <c r="CQ100" s="10">
        <f t="shared" si="133"/>
        <v>0</v>
      </c>
      <c r="CR100" s="10">
        <f t="shared" si="133"/>
        <v>0</v>
      </c>
      <c r="CS100" s="10">
        <f t="shared" si="134"/>
        <v>0</v>
      </c>
      <c r="CT100" s="10">
        <f t="shared" si="134"/>
        <v>0</v>
      </c>
      <c r="CU100" s="10">
        <f t="shared" si="134"/>
        <v>0</v>
      </c>
      <c r="CV100" s="10">
        <f t="shared" si="134"/>
        <v>0</v>
      </c>
      <c r="CW100" s="10">
        <f t="shared" si="135"/>
        <v>0</v>
      </c>
      <c r="CX100" s="10">
        <f t="shared" si="135"/>
        <v>0</v>
      </c>
      <c r="CY100" s="10">
        <f t="shared" si="135"/>
        <v>0</v>
      </c>
      <c r="CZ100" s="10">
        <f t="shared" si="135"/>
        <v>0</v>
      </c>
    </row>
    <row r="101" spans="4:104" x14ac:dyDescent="0.15">
      <c r="D101" s="10">
        <v>86</v>
      </c>
      <c r="E101" s="10" t="e">
        <f t="shared" si="95"/>
        <v>#VALUE!</v>
      </c>
      <c r="F101" s="10" t="e">
        <f t="shared" si="79"/>
        <v>#VALUE!</v>
      </c>
      <c r="G101" s="10" t="e">
        <f t="shared" si="80"/>
        <v>#VALUE!</v>
      </c>
      <c r="H101" s="10" t="e">
        <f t="shared" si="96"/>
        <v>#VALUE!</v>
      </c>
      <c r="I101" s="10" t="e">
        <f t="shared" si="81"/>
        <v>#VALUE!</v>
      </c>
      <c r="J101" s="10" t="e">
        <f t="shared" si="97"/>
        <v>#VALUE!</v>
      </c>
      <c r="K101" s="10" t="e">
        <f t="shared" si="82"/>
        <v>#VALUE!</v>
      </c>
      <c r="L101" s="10" t="e">
        <f t="shared" si="83"/>
        <v>#VALUE!</v>
      </c>
      <c r="M101" s="10" t="e">
        <f t="shared" si="98"/>
        <v>#VALUE!</v>
      </c>
      <c r="O101" s="10" t="e">
        <f t="shared" si="99"/>
        <v>#VALUE!</v>
      </c>
      <c r="P101" s="10" t="e">
        <f t="shared" si="84"/>
        <v>#VALUE!</v>
      </c>
      <c r="Q101" s="10" t="e">
        <f t="shared" si="85"/>
        <v>#VALUE!</v>
      </c>
      <c r="R101" s="10" t="e">
        <f t="shared" si="100"/>
        <v>#VALUE!</v>
      </c>
      <c r="S101" s="10" t="e">
        <f t="shared" si="101"/>
        <v>#VALUE!</v>
      </c>
      <c r="T101" s="10" t="e">
        <f t="shared" si="136"/>
        <v>#VALUE!</v>
      </c>
      <c r="U101" s="10" t="e">
        <f t="shared" si="137"/>
        <v>#VALUE!</v>
      </c>
      <c r="V101" s="10" t="e">
        <f t="shared" si="86"/>
        <v>#VALUE!</v>
      </c>
      <c r="W101" s="10" t="e">
        <f t="shared" si="102"/>
        <v>#VALUE!</v>
      </c>
      <c r="Y101" s="10" t="e">
        <f t="shared" si="103"/>
        <v>#VALUE!</v>
      </c>
      <c r="Z101" s="11" t="e">
        <f t="shared" si="104"/>
        <v>#VALUE!</v>
      </c>
      <c r="AA101" s="10" t="e">
        <f t="shared" si="87"/>
        <v>#VALUE!</v>
      </c>
      <c r="AB101" s="10" t="e">
        <f t="shared" si="105"/>
        <v>#VALUE!</v>
      </c>
      <c r="AC101" s="10" t="e">
        <f t="shared" si="106"/>
        <v>#VALUE!</v>
      </c>
      <c r="AD101" s="10" t="e">
        <f t="shared" si="138"/>
        <v>#VALUE!</v>
      </c>
      <c r="AE101" s="10" t="e">
        <f t="shared" si="139"/>
        <v>#VALUE!</v>
      </c>
      <c r="AF101" s="10" t="e">
        <f t="shared" si="88"/>
        <v>#VALUE!</v>
      </c>
      <c r="AG101" s="10" t="e">
        <f t="shared" si="107"/>
        <v>#VALUE!</v>
      </c>
      <c r="AI101" s="13"/>
      <c r="AK101" s="10" t="e">
        <f t="shared" si="108"/>
        <v>#VALUE!</v>
      </c>
      <c r="AL101" s="10" t="e">
        <f t="shared" si="140"/>
        <v>#VALUE!</v>
      </c>
      <c r="AM101" s="10" t="e">
        <f t="shared" si="89"/>
        <v>#VALUE!</v>
      </c>
      <c r="AN101" s="10" t="e">
        <f t="shared" si="109"/>
        <v>#VALUE!</v>
      </c>
      <c r="AO101" s="10" t="e">
        <f t="shared" si="110"/>
        <v>#VALUE!</v>
      </c>
      <c r="AP101" s="10" t="e">
        <f t="shared" si="111"/>
        <v>#VALUE!</v>
      </c>
      <c r="AQ101" s="10" t="e">
        <f t="shared" si="141"/>
        <v>#VALUE!</v>
      </c>
      <c r="AR101" s="10" t="e">
        <f t="shared" si="90"/>
        <v>#VALUE!</v>
      </c>
      <c r="AS101" s="10" t="e">
        <f t="shared" si="142"/>
        <v>#VALUE!</v>
      </c>
      <c r="AU101" s="10" t="e">
        <f t="shared" si="112"/>
        <v>#VALUE!</v>
      </c>
      <c r="AV101" s="10" t="e">
        <f t="shared" si="143"/>
        <v>#VALUE!</v>
      </c>
      <c r="AW101" s="10" t="e">
        <f t="shared" si="91"/>
        <v>#VALUE!</v>
      </c>
      <c r="AX101" s="10" t="e">
        <f t="shared" si="113"/>
        <v>#VALUE!</v>
      </c>
      <c r="AY101" s="10" t="e">
        <f t="shared" si="114"/>
        <v>#VALUE!</v>
      </c>
      <c r="AZ101" s="10" t="e">
        <f t="shared" si="115"/>
        <v>#VALUE!</v>
      </c>
      <c r="BA101" s="10" t="e">
        <f t="shared" si="144"/>
        <v>#VALUE!</v>
      </c>
      <c r="BB101" s="10" t="e">
        <f t="shared" si="92"/>
        <v>#VALUE!</v>
      </c>
      <c r="BC101" s="10" t="e">
        <f t="shared" si="145"/>
        <v>#VALUE!</v>
      </c>
      <c r="BE101" s="10" t="e">
        <f t="shared" si="116"/>
        <v>#VALUE!</v>
      </c>
      <c r="BF101" s="10" t="e">
        <f t="shared" si="146"/>
        <v>#VALUE!</v>
      </c>
      <c r="BG101" s="10" t="e">
        <f t="shared" si="93"/>
        <v>#VALUE!</v>
      </c>
      <c r="BH101" s="10" t="e">
        <f t="shared" si="117"/>
        <v>#VALUE!</v>
      </c>
      <c r="BI101" s="10" t="e">
        <f t="shared" si="118"/>
        <v>#VALUE!</v>
      </c>
      <c r="BJ101" s="10" t="e">
        <f t="shared" si="119"/>
        <v>#VALUE!</v>
      </c>
      <c r="BK101" s="10" t="e">
        <f t="shared" si="147"/>
        <v>#VALUE!</v>
      </c>
      <c r="BL101" s="10" t="e">
        <f t="shared" si="94"/>
        <v>#VALUE!</v>
      </c>
      <c r="BM101" s="10" t="e">
        <f t="shared" si="148"/>
        <v>#VALUE!</v>
      </c>
      <c r="BP101" s="10" t="e">
        <f t="shared" si="120"/>
        <v>#VALUE!</v>
      </c>
      <c r="BQ101" s="10" t="e">
        <f t="shared" si="121"/>
        <v>#VALUE!</v>
      </c>
      <c r="BR101" s="10" t="e">
        <f t="shared" si="122"/>
        <v>#VALUE!</v>
      </c>
      <c r="BS101" s="10" t="e">
        <f t="shared" si="123"/>
        <v>#VALUE!</v>
      </c>
      <c r="BT101" s="10" t="e">
        <f t="shared" si="124"/>
        <v>#VALUE!</v>
      </c>
      <c r="BU101" s="10" t="e">
        <f t="shared" si="125"/>
        <v>#VALUE!</v>
      </c>
      <c r="BW101" s="10" t="e">
        <f t="shared" si="126"/>
        <v>#VALUE!</v>
      </c>
      <c r="BX101" s="10" t="e">
        <f t="shared" si="127"/>
        <v>#VALUE!</v>
      </c>
      <c r="BY101" s="10" t="e">
        <f t="shared" si="128"/>
        <v>#VALUE!</v>
      </c>
      <c r="BZ101" s="10" t="e">
        <f t="shared" si="129"/>
        <v>#VALUE!</v>
      </c>
      <c r="CA101" s="10" t="e">
        <f t="shared" si="130"/>
        <v>#VALUE!</v>
      </c>
      <c r="CB101" s="10" t="e">
        <f t="shared" si="131"/>
        <v>#VALUE!</v>
      </c>
      <c r="CD101" s="10" t="e">
        <f>MATCH(INDEX($BP$12:$BU$12,1,MATCH(BP101,$BP$15:$BU$15,0)),结果汇总!$AI$10:$AI$13,0)</f>
        <v>#VALUE!</v>
      </c>
      <c r="CE101" s="10" t="e">
        <f>MATCH(INDEX($BP$12:$BU$12,1,MATCH(BQ101,$BP$15:$BU$15,0)),结果汇总!$AI$10:$AI$13,0)</f>
        <v>#VALUE!</v>
      </c>
      <c r="CF101" s="10" t="e">
        <f>MATCH(INDEX($BP$12:$BU$12,1,MATCH(BR101,$BP$15:$BU$15,0)),结果汇总!$AI$10:$AI$13,0)</f>
        <v>#VALUE!</v>
      </c>
      <c r="CG101" s="10" t="e">
        <f>MATCH(INDEX($BP$12:$BU$12,1,MATCH(BS101,$BP$15:$BU$15,0)),结果汇总!$AI$10:$AI$13,0)</f>
        <v>#VALUE!</v>
      </c>
      <c r="CH101" s="10" t="e">
        <f>MATCH(INDEX($BP$12:$BU$12,1,MATCH(BT101,$BP$15:$BU$15,0)),结果汇总!$AI$10:$AI$13,0)</f>
        <v>#VALUE!</v>
      </c>
      <c r="CI101" s="10" t="e">
        <f>MATCH(INDEX($BP$12:$BU$12,1,MATCH(BU101,$BP$15:$BU$15,0)),结果汇总!$AI$10:$AI$13,0)</f>
        <v>#VALUE!</v>
      </c>
      <c r="CK101" s="10">
        <f t="shared" si="132"/>
        <v>0</v>
      </c>
      <c r="CL101" s="10">
        <f t="shared" si="132"/>
        <v>0</v>
      </c>
      <c r="CM101" s="10">
        <f t="shared" si="132"/>
        <v>0</v>
      </c>
      <c r="CN101" s="10">
        <f t="shared" si="132"/>
        <v>0</v>
      </c>
      <c r="CO101" s="10">
        <f t="shared" si="133"/>
        <v>0</v>
      </c>
      <c r="CP101" s="10">
        <f t="shared" si="133"/>
        <v>0</v>
      </c>
      <c r="CQ101" s="10">
        <f t="shared" si="133"/>
        <v>0</v>
      </c>
      <c r="CR101" s="10">
        <f t="shared" si="133"/>
        <v>0</v>
      </c>
      <c r="CS101" s="10">
        <f t="shared" si="134"/>
        <v>0</v>
      </c>
      <c r="CT101" s="10">
        <f t="shared" si="134"/>
        <v>0</v>
      </c>
      <c r="CU101" s="10">
        <f t="shared" si="134"/>
        <v>0</v>
      </c>
      <c r="CV101" s="10">
        <f t="shared" si="134"/>
        <v>0</v>
      </c>
      <c r="CW101" s="10">
        <f t="shared" si="135"/>
        <v>0</v>
      </c>
      <c r="CX101" s="10">
        <f t="shared" si="135"/>
        <v>0</v>
      </c>
      <c r="CY101" s="10">
        <f t="shared" si="135"/>
        <v>0</v>
      </c>
      <c r="CZ101" s="10">
        <f t="shared" si="135"/>
        <v>0</v>
      </c>
    </row>
    <row r="102" spans="4:104" x14ac:dyDescent="0.15">
      <c r="D102" s="10">
        <v>87</v>
      </c>
      <c r="E102" s="10" t="e">
        <f t="shared" si="95"/>
        <v>#VALUE!</v>
      </c>
      <c r="F102" s="10" t="e">
        <f t="shared" si="79"/>
        <v>#VALUE!</v>
      </c>
      <c r="G102" s="10" t="e">
        <f t="shared" si="80"/>
        <v>#VALUE!</v>
      </c>
      <c r="H102" s="10" t="e">
        <f t="shared" si="96"/>
        <v>#VALUE!</v>
      </c>
      <c r="I102" s="10" t="e">
        <f t="shared" si="81"/>
        <v>#VALUE!</v>
      </c>
      <c r="J102" s="10" t="e">
        <f t="shared" si="97"/>
        <v>#VALUE!</v>
      </c>
      <c r="K102" s="10" t="e">
        <f t="shared" si="82"/>
        <v>#VALUE!</v>
      </c>
      <c r="L102" s="10" t="e">
        <f t="shared" si="83"/>
        <v>#VALUE!</v>
      </c>
      <c r="M102" s="10" t="e">
        <f t="shared" si="98"/>
        <v>#VALUE!</v>
      </c>
      <c r="O102" s="10" t="e">
        <f t="shared" si="99"/>
        <v>#VALUE!</v>
      </c>
      <c r="P102" s="10" t="e">
        <f t="shared" si="84"/>
        <v>#VALUE!</v>
      </c>
      <c r="Q102" s="10" t="e">
        <f t="shared" si="85"/>
        <v>#VALUE!</v>
      </c>
      <c r="R102" s="10" t="e">
        <f t="shared" si="100"/>
        <v>#VALUE!</v>
      </c>
      <c r="S102" s="10" t="e">
        <f t="shared" si="101"/>
        <v>#VALUE!</v>
      </c>
      <c r="T102" s="10" t="e">
        <f t="shared" si="136"/>
        <v>#VALUE!</v>
      </c>
      <c r="U102" s="10" t="e">
        <f t="shared" si="137"/>
        <v>#VALUE!</v>
      </c>
      <c r="V102" s="10" t="e">
        <f t="shared" si="86"/>
        <v>#VALUE!</v>
      </c>
      <c r="W102" s="10" t="e">
        <f t="shared" si="102"/>
        <v>#VALUE!</v>
      </c>
      <c r="Y102" s="10" t="e">
        <f t="shared" si="103"/>
        <v>#VALUE!</v>
      </c>
      <c r="Z102" s="11" t="e">
        <f t="shared" si="104"/>
        <v>#VALUE!</v>
      </c>
      <c r="AA102" s="10" t="e">
        <f t="shared" si="87"/>
        <v>#VALUE!</v>
      </c>
      <c r="AB102" s="10" t="e">
        <f t="shared" si="105"/>
        <v>#VALUE!</v>
      </c>
      <c r="AC102" s="10" t="e">
        <f t="shared" si="106"/>
        <v>#VALUE!</v>
      </c>
      <c r="AD102" s="10" t="e">
        <f t="shared" si="138"/>
        <v>#VALUE!</v>
      </c>
      <c r="AE102" s="10" t="e">
        <f t="shared" si="139"/>
        <v>#VALUE!</v>
      </c>
      <c r="AF102" s="10" t="e">
        <f t="shared" si="88"/>
        <v>#VALUE!</v>
      </c>
      <c r="AG102" s="10" t="e">
        <f t="shared" si="107"/>
        <v>#VALUE!</v>
      </c>
      <c r="AI102" s="13"/>
      <c r="AK102" s="10" t="e">
        <f t="shared" si="108"/>
        <v>#VALUE!</v>
      </c>
      <c r="AL102" s="10" t="e">
        <f t="shared" si="140"/>
        <v>#VALUE!</v>
      </c>
      <c r="AM102" s="10" t="e">
        <f t="shared" si="89"/>
        <v>#VALUE!</v>
      </c>
      <c r="AN102" s="10" t="e">
        <f t="shared" si="109"/>
        <v>#VALUE!</v>
      </c>
      <c r="AO102" s="10" t="e">
        <f t="shared" si="110"/>
        <v>#VALUE!</v>
      </c>
      <c r="AP102" s="10" t="e">
        <f t="shared" si="111"/>
        <v>#VALUE!</v>
      </c>
      <c r="AQ102" s="10" t="e">
        <f t="shared" si="141"/>
        <v>#VALUE!</v>
      </c>
      <c r="AR102" s="10" t="e">
        <f t="shared" si="90"/>
        <v>#VALUE!</v>
      </c>
      <c r="AS102" s="10" t="e">
        <f t="shared" si="142"/>
        <v>#VALUE!</v>
      </c>
      <c r="AU102" s="10" t="e">
        <f t="shared" si="112"/>
        <v>#VALUE!</v>
      </c>
      <c r="AV102" s="10" t="e">
        <f t="shared" si="143"/>
        <v>#VALUE!</v>
      </c>
      <c r="AW102" s="10" t="e">
        <f t="shared" si="91"/>
        <v>#VALUE!</v>
      </c>
      <c r="AX102" s="10" t="e">
        <f t="shared" si="113"/>
        <v>#VALUE!</v>
      </c>
      <c r="AY102" s="10" t="e">
        <f t="shared" si="114"/>
        <v>#VALUE!</v>
      </c>
      <c r="AZ102" s="10" t="e">
        <f t="shared" si="115"/>
        <v>#VALUE!</v>
      </c>
      <c r="BA102" s="10" t="e">
        <f t="shared" si="144"/>
        <v>#VALUE!</v>
      </c>
      <c r="BB102" s="10" t="e">
        <f t="shared" si="92"/>
        <v>#VALUE!</v>
      </c>
      <c r="BC102" s="10" t="e">
        <f t="shared" si="145"/>
        <v>#VALUE!</v>
      </c>
      <c r="BE102" s="10" t="e">
        <f t="shared" si="116"/>
        <v>#VALUE!</v>
      </c>
      <c r="BF102" s="10" t="e">
        <f t="shared" si="146"/>
        <v>#VALUE!</v>
      </c>
      <c r="BG102" s="10" t="e">
        <f t="shared" si="93"/>
        <v>#VALUE!</v>
      </c>
      <c r="BH102" s="10" t="e">
        <f t="shared" si="117"/>
        <v>#VALUE!</v>
      </c>
      <c r="BI102" s="10" t="e">
        <f t="shared" si="118"/>
        <v>#VALUE!</v>
      </c>
      <c r="BJ102" s="10" t="e">
        <f t="shared" si="119"/>
        <v>#VALUE!</v>
      </c>
      <c r="BK102" s="10" t="e">
        <f t="shared" si="147"/>
        <v>#VALUE!</v>
      </c>
      <c r="BL102" s="10" t="e">
        <f t="shared" si="94"/>
        <v>#VALUE!</v>
      </c>
      <c r="BM102" s="10" t="e">
        <f t="shared" si="148"/>
        <v>#VALUE!</v>
      </c>
      <c r="BP102" s="10" t="e">
        <f t="shared" si="120"/>
        <v>#VALUE!</v>
      </c>
      <c r="BQ102" s="10" t="e">
        <f t="shared" si="121"/>
        <v>#VALUE!</v>
      </c>
      <c r="BR102" s="10" t="e">
        <f t="shared" si="122"/>
        <v>#VALUE!</v>
      </c>
      <c r="BS102" s="10" t="e">
        <f t="shared" si="123"/>
        <v>#VALUE!</v>
      </c>
      <c r="BT102" s="10" t="e">
        <f t="shared" si="124"/>
        <v>#VALUE!</v>
      </c>
      <c r="BU102" s="10" t="e">
        <f t="shared" si="125"/>
        <v>#VALUE!</v>
      </c>
      <c r="BW102" s="10" t="e">
        <f t="shared" si="126"/>
        <v>#VALUE!</v>
      </c>
      <c r="BX102" s="10" t="e">
        <f t="shared" si="127"/>
        <v>#VALUE!</v>
      </c>
      <c r="BY102" s="10" t="e">
        <f t="shared" si="128"/>
        <v>#VALUE!</v>
      </c>
      <c r="BZ102" s="10" t="e">
        <f t="shared" si="129"/>
        <v>#VALUE!</v>
      </c>
      <c r="CA102" s="10" t="e">
        <f t="shared" si="130"/>
        <v>#VALUE!</v>
      </c>
      <c r="CB102" s="10" t="e">
        <f t="shared" si="131"/>
        <v>#VALUE!</v>
      </c>
      <c r="CD102" s="10" t="e">
        <f>MATCH(INDEX($BP$12:$BU$12,1,MATCH(BP102,$BP$15:$BU$15,0)),结果汇总!$AI$10:$AI$13,0)</f>
        <v>#VALUE!</v>
      </c>
      <c r="CE102" s="10" t="e">
        <f>MATCH(INDEX($BP$12:$BU$12,1,MATCH(BQ102,$BP$15:$BU$15,0)),结果汇总!$AI$10:$AI$13,0)</f>
        <v>#VALUE!</v>
      </c>
      <c r="CF102" s="10" t="e">
        <f>MATCH(INDEX($BP$12:$BU$12,1,MATCH(BR102,$BP$15:$BU$15,0)),结果汇总!$AI$10:$AI$13,0)</f>
        <v>#VALUE!</v>
      </c>
      <c r="CG102" s="10" t="e">
        <f>MATCH(INDEX($BP$12:$BU$12,1,MATCH(BS102,$BP$15:$BU$15,0)),结果汇总!$AI$10:$AI$13,0)</f>
        <v>#VALUE!</v>
      </c>
      <c r="CH102" s="10" t="e">
        <f>MATCH(INDEX($BP$12:$BU$12,1,MATCH(BT102,$BP$15:$BU$15,0)),结果汇总!$AI$10:$AI$13,0)</f>
        <v>#VALUE!</v>
      </c>
      <c r="CI102" s="10" t="e">
        <f>MATCH(INDEX($BP$12:$BU$12,1,MATCH(BU102,$BP$15:$BU$15,0)),结果汇总!$AI$10:$AI$13,0)</f>
        <v>#VALUE!</v>
      </c>
      <c r="CK102" s="10">
        <f t="shared" si="132"/>
        <v>0</v>
      </c>
      <c r="CL102" s="10">
        <f t="shared" si="132"/>
        <v>0</v>
      </c>
      <c r="CM102" s="10">
        <f t="shared" si="132"/>
        <v>0</v>
      </c>
      <c r="CN102" s="10">
        <f t="shared" si="132"/>
        <v>0</v>
      </c>
      <c r="CO102" s="10">
        <f t="shared" si="133"/>
        <v>0</v>
      </c>
      <c r="CP102" s="10">
        <f t="shared" si="133"/>
        <v>0</v>
      </c>
      <c r="CQ102" s="10">
        <f t="shared" si="133"/>
        <v>0</v>
      </c>
      <c r="CR102" s="10">
        <f t="shared" si="133"/>
        <v>0</v>
      </c>
      <c r="CS102" s="10">
        <f t="shared" si="134"/>
        <v>0</v>
      </c>
      <c r="CT102" s="10">
        <f t="shared" si="134"/>
        <v>0</v>
      </c>
      <c r="CU102" s="10">
        <f t="shared" si="134"/>
        <v>0</v>
      </c>
      <c r="CV102" s="10">
        <f t="shared" si="134"/>
        <v>0</v>
      </c>
      <c r="CW102" s="10">
        <f t="shared" si="135"/>
        <v>0</v>
      </c>
      <c r="CX102" s="10">
        <f t="shared" si="135"/>
        <v>0</v>
      </c>
      <c r="CY102" s="10">
        <f t="shared" si="135"/>
        <v>0</v>
      </c>
      <c r="CZ102" s="10">
        <f t="shared" si="135"/>
        <v>0</v>
      </c>
    </row>
    <row r="103" spans="4:104" x14ac:dyDescent="0.15">
      <c r="D103" s="10">
        <v>88</v>
      </c>
      <c r="E103" s="10" t="e">
        <f t="shared" si="95"/>
        <v>#VALUE!</v>
      </c>
      <c r="F103" s="10" t="e">
        <f t="shared" si="79"/>
        <v>#VALUE!</v>
      </c>
      <c r="G103" s="10" t="e">
        <f t="shared" si="80"/>
        <v>#VALUE!</v>
      </c>
      <c r="H103" s="10" t="e">
        <f t="shared" si="96"/>
        <v>#VALUE!</v>
      </c>
      <c r="I103" s="10" t="e">
        <f t="shared" si="81"/>
        <v>#VALUE!</v>
      </c>
      <c r="J103" s="10" t="e">
        <f t="shared" si="97"/>
        <v>#VALUE!</v>
      </c>
      <c r="K103" s="10" t="e">
        <f t="shared" si="82"/>
        <v>#VALUE!</v>
      </c>
      <c r="L103" s="10" t="e">
        <f t="shared" si="83"/>
        <v>#VALUE!</v>
      </c>
      <c r="M103" s="10" t="e">
        <f t="shared" si="98"/>
        <v>#VALUE!</v>
      </c>
      <c r="O103" s="10" t="e">
        <f t="shared" si="99"/>
        <v>#VALUE!</v>
      </c>
      <c r="P103" s="10" t="e">
        <f t="shared" si="84"/>
        <v>#VALUE!</v>
      </c>
      <c r="Q103" s="10" t="e">
        <f t="shared" si="85"/>
        <v>#VALUE!</v>
      </c>
      <c r="R103" s="10" t="e">
        <f t="shared" si="100"/>
        <v>#VALUE!</v>
      </c>
      <c r="S103" s="10" t="e">
        <f t="shared" si="101"/>
        <v>#VALUE!</v>
      </c>
      <c r="T103" s="10" t="e">
        <f t="shared" si="136"/>
        <v>#VALUE!</v>
      </c>
      <c r="U103" s="10" t="e">
        <f t="shared" si="137"/>
        <v>#VALUE!</v>
      </c>
      <c r="V103" s="10" t="e">
        <f t="shared" si="86"/>
        <v>#VALUE!</v>
      </c>
      <c r="W103" s="10" t="e">
        <f t="shared" si="102"/>
        <v>#VALUE!</v>
      </c>
      <c r="Y103" s="10" t="e">
        <f t="shared" si="103"/>
        <v>#VALUE!</v>
      </c>
      <c r="Z103" s="11" t="e">
        <f t="shared" si="104"/>
        <v>#VALUE!</v>
      </c>
      <c r="AA103" s="10" t="e">
        <f t="shared" si="87"/>
        <v>#VALUE!</v>
      </c>
      <c r="AB103" s="10" t="e">
        <f t="shared" si="105"/>
        <v>#VALUE!</v>
      </c>
      <c r="AC103" s="10" t="e">
        <f t="shared" si="106"/>
        <v>#VALUE!</v>
      </c>
      <c r="AD103" s="10" t="e">
        <f t="shared" si="138"/>
        <v>#VALUE!</v>
      </c>
      <c r="AE103" s="10" t="e">
        <f t="shared" si="139"/>
        <v>#VALUE!</v>
      </c>
      <c r="AF103" s="10" t="e">
        <f t="shared" si="88"/>
        <v>#VALUE!</v>
      </c>
      <c r="AG103" s="10" t="e">
        <f t="shared" si="107"/>
        <v>#VALUE!</v>
      </c>
      <c r="AI103" s="13"/>
      <c r="AK103" s="10" t="e">
        <f t="shared" si="108"/>
        <v>#VALUE!</v>
      </c>
      <c r="AL103" s="10" t="e">
        <f t="shared" si="140"/>
        <v>#VALUE!</v>
      </c>
      <c r="AM103" s="10" t="e">
        <f t="shared" si="89"/>
        <v>#VALUE!</v>
      </c>
      <c r="AN103" s="10" t="e">
        <f t="shared" si="109"/>
        <v>#VALUE!</v>
      </c>
      <c r="AO103" s="10" t="e">
        <f t="shared" si="110"/>
        <v>#VALUE!</v>
      </c>
      <c r="AP103" s="10" t="e">
        <f t="shared" si="111"/>
        <v>#VALUE!</v>
      </c>
      <c r="AQ103" s="10" t="e">
        <f t="shared" si="141"/>
        <v>#VALUE!</v>
      </c>
      <c r="AR103" s="10" t="e">
        <f t="shared" si="90"/>
        <v>#VALUE!</v>
      </c>
      <c r="AS103" s="10" t="e">
        <f t="shared" si="142"/>
        <v>#VALUE!</v>
      </c>
      <c r="AU103" s="10" t="e">
        <f t="shared" si="112"/>
        <v>#VALUE!</v>
      </c>
      <c r="AV103" s="10" t="e">
        <f t="shared" si="143"/>
        <v>#VALUE!</v>
      </c>
      <c r="AW103" s="10" t="e">
        <f t="shared" si="91"/>
        <v>#VALUE!</v>
      </c>
      <c r="AX103" s="10" t="e">
        <f t="shared" si="113"/>
        <v>#VALUE!</v>
      </c>
      <c r="AY103" s="10" t="e">
        <f t="shared" si="114"/>
        <v>#VALUE!</v>
      </c>
      <c r="AZ103" s="10" t="e">
        <f t="shared" si="115"/>
        <v>#VALUE!</v>
      </c>
      <c r="BA103" s="10" t="e">
        <f t="shared" si="144"/>
        <v>#VALUE!</v>
      </c>
      <c r="BB103" s="10" t="e">
        <f t="shared" si="92"/>
        <v>#VALUE!</v>
      </c>
      <c r="BC103" s="10" t="e">
        <f t="shared" si="145"/>
        <v>#VALUE!</v>
      </c>
      <c r="BE103" s="10" t="e">
        <f t="shared" si="116"/>
        <v>#VALUE!</v>
      </c>
      <c r="BF103" s="10" t="e">
        <f t="shared" si="146"/>
        <v>#VALUE!</v>
      </c>
      <c r="BG103" s="10" t="e">
        <f t="shared" si="93"/>
        <v>#VALUE!</v>
      </c>
      <c r="BH103" s="10" t="e">
        <f t="shared" si="117"/>
        <v>#VALUE!</v>
      </c>
      <c r="BI103" s="10" t="e">
        <f t="shared" si="118"/>
        <v>#VALUE!</v>
      </c>
      <c r="BJ103" s="10" t="e">
        <f t="shared" si="119"/>
        <v>#VALUE!</v>
      </c>
      <c r="BK103" s="10" t="e">
        <f t="shared" si="147"/>
        <v>#VALUE!</v>
      </c>
      <c r="BL103" s="10" t="e">
        <f t="shared" si="94"/>
        <v>#VALUE!</v>
      </c>
      <c r="BM103" s="10" t="e">
        <f t="shared" si="148"/>
        <v>#VALUE!</v>
      </c>
      <c r="BP103" s="10" t="e">
        <f t="shared" si="120"/>
        <v>#VALUE!</v>
      </c>
      <c r="BQ103" s="10" t="e">
        <f t="shared" si="121"/>
        <v>#VALUE!</v>
      </c>
      <c r="BR103" s="10" t="e">
        <f t="shared" si="122"/>
        <v>#VALUE!</v>
      </c>
      <c r="BS103" s="10" t="e">
        <f t="shared" si="123"/>
        <v>#VALUE!</v>
      </c>
      <c r="BT103" s="10" t="e">
        <f t="shared" si="124"/>
        <v>#VALUE!</v>
      </c>
      <c r="BU103" s="10" t="e">
        <f t="shared" si="125"/>
        <v>#VALUE!</v>
      </c>
      <c r="BW103" s="10" t="e">
        <f t="shared" si="126"/>
        <v>#VALUE!</v>
      </c>
      <c r="BX103" s="10" t="e">
        <f t="shared" si="127"/>
        <v>#VALUE!</v>
      </c>
      <c r="BY103" s="10" t="e">
        <f t="shared" si="128"/>
        <v>#VALUE!</v>
      </c>
      <c r="BZ103" s="10" t="e">
        <f t="shared" si="129"/>
        <v>#VALUE!</v>
      </c>
      <c r="CA103" s="10" t="e">
        <f t="shared" si="130"/>
        <v>#VALUE!</v>
      </c>
      <c r="CB103" s="10" t="e">
        <f t="shared" si="131"/>
        <v>#VALUE!</v>
      </c>
      <c r="CD103" s="10" t="e">
        <f>MATCH(INDEX($BP$12:$BU$12,1,MATCH(BP103,$BP$15:$BU$15,0)),结果汇总!$AI$10:$AI$13,0)</f>
        <v>#VALUE!</v>
      </c>
      <c r="CE103" s="10" t="e">
        <f>MATCH(INDEX($BP$12:$BU$12,1,MATCH(BQ103,$BP$15:$BU$15,0)),结果汇总!$AI$10:$AI$13,0)</f>
        <v>#VALUE!</v>
      </c>
      <c r="CF103" s="10" t="e">
        <f>MATCH(INDEX($BP$12:$BU$12,1,MATCH(BR103,$BP$15:$BU$15,0)),结果汇总!$AI$10:$AI$13,0)</f>
        <v>#VALUE!</v>
      </c>
      <c r="CG103" s="10" t="e">
        <f>MATCH(INDEX($BP$12:$BU$12,1,MATCH(BS103,$BP$15:$BU$15,0)),结果汇总!$AI$10:$AI$13,0)</f>
        <v>#VALUE!</v>
      </c>
      <c r="CH103" s="10" t="e">
        <f>MATCH(INDEX($BP$12:$BU$12,1,MATCH(BT103,$BP$15:$BU$15,0)),结果汇总!$AI$10:$AI$13,0)</f>
        <v>#VALUE!</v>
      </c>
      <c r="CI103" s="10" t="e">
        <f>MATCH(INDEX($BP$12:$BU$12,1,MATCH(BU103,$BP$15:$BU$15,0)),结果汇总!$AI$10:$AI$13,0)</f>
        <v>#VALUE!</v>
      </c>
      <c r="CK103" s="10">
        <f t="shared" si="132"/>
        <v>0</v>
      </c>
      <c r="CL103" s="10">
        <f t="shared" si="132"/>
        <v>0</v>
      </c>
      <c r="CM103" s="10">
        <f t="shared" si="132"/>
        <v>0</v>
      </c>
      <c r="CN103" s="10">
        <f t="shared" si="132"/>
        <v>0</v>
      </c>
      <c r="CO103" s="10">
        <f t="shared" si="133"/>
        <v>0</v>
      </c>
      <c r="CP103" s="10">
        <f t="shared" si="133"/>
        <v>0</v>
      </c>
      <c r="CQ103" s="10">
        <f t="shared" si="133"/>
        <v>0</v>
      </c>
      <c r="CR103" s="10">
        <f t="shared" si="133"/>
        <v>0</v>
      </c>
      <c r="CS103" s="10">
        <f t="shared" si="134"/>
        <v>0</v>
      </c>
      <c r="CT103" s="10">
        <f t="shared" si="134"/>
        <v>0</v>
      </c>
      <c r="CU103" s="10">
        <f t="shared" si="134"/>
        <v>0</v>
      </c>
      <c r="CV103" s="10">
        <f t="shared" si="134"/>
        <v>0</v>
      </c>
      <c r="CW103" s="10">
        <f t="shared" si="135"/>
        <v>0</v>
      </c>
      <c r="CX103" s="10">
        <f t="shared" si="135"/>
        <v>0</v>
      </c>
      <c r="CY103" s="10">
        <f t="shared" si="135"/>
        <v>0</v>
      </c>
      <c r="CZ103" s="10">
        <f t="shared" si="135"/>
        <v>0</v>
      </c>
    </row>
    <row r="104" spans="4:104" x14ac:dyDescent="0.15">
      <c r="D104" s="10">
        <v>89</v>
      </c>
      <c r="E104" s="10" t="e">
        <f t="shared" si="95"/>
        <v>#VALUE!</v>
      </c>
      <c r="F104" s="10" t="e">
        <f t="shared" si="79"/>
        <v>#VALUE!</v>
      </c>
      <c r="G104" s="10" t="e">
        <f t="shared" si="80"/>
        <v>#VALUE!</v>
      </c>
      <c r="H104" s="10" t="e">
        <f t="shared" si="96"/>
        <v>#VALUE!</v>
      </c>
      <c r="I104" s="10" t="e">
        <f t="shared" si="81"/>
        <v>#VALUE!</v>
      </c>
      <c r="J104" s="10" t="e">
        <f t="shared" si="97"/>
        <v>#VALUE!</v>
      </c>
      <c r="K104" s="10" t="e">
        <f t="shared" si="82"/>
        <v>#VALUE!</v>
      </c>
      <c r="L104" s="10" t="e">
        <f t="shared" si="83"/>
        <v>#VALUE!</v>
      </c>
      <c r="M104" s="10" t="e">
        <f t="shared" si="98"/>
        <v>#VALUE!</v>
      </c>
      <c r="O104" s="10" t="e">
        <f t="shared" si="99"/>
        <v>#VALUE!</v>
      </c>
      <c r="P104" s="10" t="e">
        <f t="shared" si="84"/>
        <v>#VALUE!</v>
      </c>
      <c r="Q104" s="10" t="e">
        <f t="shared" si="85"/>
        <v>#VALUE!</v>
      </c>
      <c r="R104" s="10" t="e">
        <f t="shared" si="100"/>
        <v>#VALUE!</v>
      </c>
      <c r="S104" s="10" t="e">
        <f t="shared" si="101"/>
        <v>#VALUE!</v>
      </c>
      <c r="T104" s="10" t="e">
        <f t="shared" si="136"/>
        <v>#VALUE!</v>
      </c>
      <c r="U104" s="10" t="e">
        <f t="shared" si="137"/>
        <v>#VALUE!</v>
      </c>
      <c r="V104" s="10" t="e">
        <f t="shared" si="86"/>
        <v>#VALUE!</v>
      </c>
      <c r="W104" s="10" t="e">
        <f t="shared" si="102"/>
        <v>#VALUE!</v>
      </c>
      <c r="Y104" s="10" t="e">
        <f t="shared" si="103"/>
        <v>#VALUE!</v>
      </c>
      <c r="Z104" s="11" t="e">
        <f t="shared" si="104"/>
        <v>#VALUE!</v>
      </c>
      <c r="AA104" s="10" t="e">
        <f t="shared" si="87"/>
        <v>#VALUE!</v>
      </c>
      <c r="AB104" s="10" t="e">
        <f t="shared" si="105"/>
        <v>#VALUE!</v>
      </c>
      <c r="AC104" s="10" t="e">
        <f t="shared" si="106"/>
        <v>#VALUE!</v>
      </c>
      <c r="AD104" s="10" t="e">
        <f t="shared" si="138"/>
        <v>#VALUE!</v>
      </c>
      <c r="AE104" s="10" t="e">
        <f t="shared" si="139"/>
        <v>#VALUE!</v>
      </c>
      <c r="AF104" s="10" t="e">
        <f t="shared" si="88"/>
        <v>#VALUE!</v>
      </c>
      <c r="AG104" s="10" t="e">
        <f t="shared" si="107"/>
        <v>#VALUE!</v>
      </c>
      <c r="AI104" s="13"/>
      <c r="AK104" s="10" t="e">
        <f t="shared" si="108"/>
        <v>#VALUE!</v>
      </c>
      <c r="AL104" s="10" t="e">
        <f t="shared" si="140"/>
        <v>#VALUE!</v>
      </c>
      <c r="AM104" s="10" t="e">
        <f t="shared" si="89"/>
        <v>#VALUE!</v>
      </c>
      <c r="AN104" s="10" t="e">
        <f t="shared" si="109"/>
        <v>#VALUE!</v>
      </c>
      <c r="AO104" s="10" t="e">
        <f t="shared" si="110"/>
        <v>#VALUE!</v>
      </c>
      <c r="AP104" s="10" t="e">
        <f t="shared" si="111"/>
        <v>#VALUE!</v>
      </c>
      <c r="AQ104" s="10" t="e">
        <f t="shared" si="141"/>
        <v>#VALUE!</v>
      </c>
      <c r="AR104" s="10" t="e">
        <f t="shared" si="90"/>
        <v>#VALUE!</v>
      </c>
      <c r="AS104" s="10" t="e">
        <f t="shared" si="142"/>
        <v>#VALUE!</v>
      </c>
      <c r="AU104" s="10" t="e">
        <f t="shared" si="112"/>
        <v>#VALUE!</v>
      </c>
      <c r="AV104" s="10" t="e">
        <f t="shared" si="143"/>
        <v>#VALUE!</v>
      </c>
      <c r="AW104" s="10" t="e">
        <f t="shared" si="91"/>
        <v>#VALUE!</v>
      </c>
      <c r="AX104" s="10" t="e">
        <f t="shared" si="113"/>
        <v>#VALUE!</v>
      </c>
      <c r="AY104" s="10" t="e">
        <f t="shared" si="114"/>
        <v>#VALUE!</v>
      </c>
      <c r="AZ104" s="10" t="e">
        <f t="shared" si="115"/>
        <v>#VALUE!</v>
      </c>
      <c r="BA104" s="10" t="e">
        <f t="shared" si="144"/>
        <v>#VALUE!</v>
      </c>
      <c r="BB104" s="10" t="e">
        <f t="shared" si="92"/>
        <v>#VALUE!</v>
      </c>
      <c r="BC104" s="10" t="e">
        <f t="shared" si="145"/>
        <v>#VALUE!</v>
      </c>
      <c r="BE104" s="10" t="e">
        <f t="shared" si="116"/>
        <v>#VALUE!</v>
      </c>
      <c r="BF104" s="10" t="e">
        <f t="shared" si="146"/>
        <v>#VALUE!</v>
      </c>
      <c r="BG104" s="10" t="e">
        <f t="shared" si="93"/>
        <v>#VALUE!</v>
      </c>
      <c r="BH104" s="10" t="e">
        <f t="shared" si="117"/>
        <v>#VALUE!</v>
      </c>
      <c r="BI104" s="10" t="e">
        <f t="shared" si="118"/>
        <v>#VALUE!</v>
      </c>
      <c r="BJ104" s="10" t="e">
        <f t="shared" si="119"/>
        <v>#VALUE!</v>
      </c>
      <c r="BK104" s="10" t="e">
        <f t="shared" si="147"/>
        <v>#VALUE!</v>
      </c>
      <c r="BL104" s="10" t="e">
        <f t="shared" si="94"/>
        <v>#VALUE!</v>
      </c>
      <c r="BM104" s="10" t="e">
        <f t="shared" si="148"/>
        <v>#VALUE!</v>
      </c>
      <c r="BP104" s="10" t="e">
        <f t="shared" si="120"/>
        <v>#VALUE!</v>
      </c>
      <c r="BQ104" s="10" t="e">
        <f t="shared" si="121"/>
        <v>#VALUE!</v>
      </c>
      <c r="BR104" s="10" t="e">
        <f t="shared" si="122"/>
        <v>#VALUE!</v>
      </c>
      <c r="BS104" s="10" t="e">
        <f t="shared" si="123"/>
        <v>#VALUE!</v>
      </c>
      <c r="BT104" s="10" t="e">
        <f t="shared" si="124"/>
        <v>#VALUE!</v>
      </c>
      <c r="BU104" s="10" t="e">
        <f t="shared" si="125"/>
        <v>#VALUE!</v>
      </c>
      <c r="BW104" s="10" t="e">
        <f>Y104+AD104*1000</f>
        <v>#VALUE!</v>
      </c>
      <c r="BX104" s="10" t="e">
        <f t="shared" si="127"/>
        <v>#VALUE!</v>
      </c>
      <c r="BY104" s="10" t="e">
        <f t="shared" si="128"/>
        <v>#VALUE!</v>
      </c>
      <c r="BZ104" s="10" t="e">
        <f t="shared" si="129"/>
        <v>#VALUE!</v>
      </c>
      <c r="CA104" s="10" t="e">
        <f t="shared" si="130"/>
        <v>#VALUE!</v>
      </c>
      <c r="CB104" s="10" t="e">
        <f t="shared" si="131"/>
        <v>#VALUE!</v>
      </c>
      <c r="CD104" s="10" t="e">
        <f>MATCH(INDEX($BP$12:$BU$12,1,MATCH(BP104,$BP$15:$BU$15,0)),结果汇总!$AI$10:$AI$13,0)</f>
        <v>#VALUE!</v>
      </c>
      <c r="CE104" s="10" t="e">
        <f>MATCH(INDEX($BP$12:$BU$12,1,MATCH(BQ104,$BP$15:$BU$15,0)),结果汇总!$AI$10:$AI$13,0)</f>
        <v>#VALUE!</v>
      </c>
      <c r="CF104" s="10" t="e">
        <f>MATCH(INDEX($BP$12:$BU$12,1,MATCH(BR104,$BP$15:$BU$15,0)),结果汇总!$AI$10:$AI$13,0)</f>
        <v>#VALUE!</v>
      </c>
      <c r="CG104" s="10" t="e">
        <f>MATCH(INDEX($BP$12:$BU$12,1,MATCH(BS104,$BP$15:$BU$15,0)),结果汇总!$AI$10:$AI$13,0)</f>
        <v>#VALUE!</v>
      </c>
      <c r="CH104" s="10" t="e">
        <f>MATCH(INDEX($BP$12:$BU$12,1,MATCH(BT104,$BP$15:$BU$15,0)),结果汇总!$AI$10:$AI$13,0)</f>
        <v>#VALUE!</v>
      </c>
      <c r="CI104" s="10" t="e">
        <f>MATCH(INDEX($BP$12:$BU$12,1,MATCH(BU104,$BP$15:$BU$15,0)),结果汇总!$AI$10:$AI$13,0)</f>
        <v>#VALUE!</v>
      </c>
      <c r="CK104" s="10">
        <f t="shared" si="132"/>
        <v>0</v>
      </c>
      <c r="CL104" s="10">
        <f t="shared" si="132"/>
        <v>0</v>
      </c>
      <c r="CM104" s="10">
        <f t="shared" si="132"/>
        <v>0</v>
      </c>
      <c r="CN104" s="10">
        <f t="shared" si="132"/>
        <v>0</v>
      </c>
      <c r="CO104" s="10">
        <f t="shared" si="133"/>
        <v>0</v>
      </c>
      <c r="CP104" s="10">
        <f t="shared" si="133"/>
        <v>0</v>
      </c>
      <c r="CQ104" s="10">
        <f t="shared" si="133"/>
        <v>0</v>
      </c>
      <c r="CR104" s="10">
        <f t="shared" si="133"/>
        <v>0</v>
      </c>
      <c r="CS104" s="10">
        <f t="shared" si="134"/>
        <v>0</v>
      </c>
      <c r="CT104" s="10">
        <f t="shared" si="134"/>
        <v>0</v>
      </c>
      <c r="CU104" s="10">
        <f t="shared" si="134"/>
        <v>0</v>
      </c>
      <c r="CV104" s="10">
        <f t="shared" si="134"/>
        <v>0</v>
      </c>
      <c r="CW104" s="10">
        <f t="shared" si="135"/>
        <v>0</v>
      </c>
      <c r="CX104" s="10">
        <f t="shared" si="135"/>
        <v>0</v>
      </c>
      <c r="CY104" s="10">
        <f t="shared" si="135"/>
        <v>0</v>
      </c>
      <c r="CZ104" s="10">
        <f t="shared" si="135"/>
        <v>0</v>
      </c>
    </row>
    <row r="105" spans="4:104" x14ac:dyDescent="0.15">
      <c r="D105" s="10">
        <v>90</v>
      </c>
      <c r="E105" s="10" t="e">
        <f t="shared" si="95"/>
        <v>#VALUE!</v>
      </c>
      <c r="F105" s="10" t="e">
        <f t="shared" si="79"/>
        <v>#VALUE!</v>
      </c>
      <c r="G105" s="10" t="e">
        <f t="shared" si="80"/>
        <v>#VALUE!</v>
      </c>
      <c r="H105" s="10" t="e">
        <f t="shared" si="96"/>
        <v>#VALUE!</v>
      </c>
      <c r="I105" s="10" t="e">
        <f t="shared" si="81"/>
        <v>#VALUE!</v>
      </c>
      <c r="J105" s="10" t="e">
        <f t="shared" si="97"/>
        <v>#VALUE!</v>
      </c>
      <c r="K105" s="10" t="e">
        <f t="shared" si="82"/>
        <v>#VALUE!</v>
      </c>
      <c r="L105" s="10" t="e">
        <f t="shared" si="83"/>
        <v>#VALUE!</v>
      </c>
      <c r="M105" s="10" t="e">
        <f t="shared" si="98"/>
        <v>#VALUE!</v>
      </c>
      <c r="O105" s="10" t="e">
        <f t="shared" si="99"/>
        <v>#VALUE!</v>
      </c>
      <c r="P105" s="10" t="e">
        <f t="shared" si="84"/>
        <v>#VALUE!</v>
      </c>
      <c r="Q105" s="10" t="e">
        <f t="shared" si="85"/>
        <v>#VALUE!</v>
      </c>
      <c r="R105" s="10" t="e">
        <f t="shared" si="100"/>
        <v>#VALUE!</v>
      </c>
      <c r="S105" s="10" t="e">
        <f t="shared" si="101"/>
        <v>#VALUE!</v>
      </c>
      <c r="T105" s="10" t="e">
        <f t="shared" si="136"/>
        <v>#VALUE!</v>
      </c>
      <c r="U105" s="10" t="e">
        <f t="shared" si="137"/>
        <v>#VALUE!</v>
      </c>
      <c r="V105" s="10" t="e">
        <f t="shared" si="86"/>
        <v>#VALUE!</v>
      </c>
      <c r="W105" s="10" t="e">
        <f t="shared" si="102"/>
        <v>#VALUE!</v>
      </c>
      <c r="Y105" s="10" t="e">
        <f t="shared" si="103"/>
        <v>#VALUE!</v>
      </c>
      <c r="Z105" s="11" t="e">
        <f t="shared" si="104"/>
        <v>#VALUE!</v>
      </c>
      <c r="AA105" s="10" t="e">
        <f t="shared" si="87"/>
        <v>#VALUE!</v>
      </c>
      <c r="AB105" s="10" t="e">
        <f t="shared" si="105"/>
        <v>#VALUE!</v>
      </c>
      <c r="AC105" s="10" t="e">
        <f t="shared" si="106"/>
        <v>#VALUE!</v>
      </c>
      <c r="AD105" s="10" t="e">
        <f t="shared" si="138"/>
        <v>#VALUE!</v>
      </c>
      <c r="AE105" s="10" t="e">
        <f t="shared" si="139"/>
        <v>#VALUE!</v>
      </c>
      <c r="AF105" s="10" t="e">
        <f t="shared" si="88"/>
        <v>#VALUE!</v>
      </c>
      <c r="AG105" s="10" t="e">
        <f t="shared" si="107"/>
        <v>#VALUE!</v>
      </c>
      <c r="AI105" s="13"/>
      <c r="AK105" s="10" t="e">
        <f t="shared" si="108"/>
        <v>#VALUE!</v>
      </c>
      <c r="AL105" s="10" t="e">
        <f t="shared" si="140"/>
        <v>#VALUE!</v>
      </c>
      <c r="AM105" s="10" t="e">
        <f t="shared" si="89"/>
        <v>#VALUE!</v>
      </c>
      <c r="AN105" s="10" t="e">
        <f t="shared" si="109"/>
        <v>#VALUE!</v>
      </c>
      <c r="AO105" s="10" t="e">
        <f t="shared" si="110"/>
        <v>#VALUE!</v>
      </c>
      <c r="AP105" s="10" t="e">
        <f t="shared" si="111"/>
        <v>#VALUE!</v>
      </c>
      <c r="AQ105" s="10" t="e">
        <f t="shared" si="141"/>
        <v>#VALUE!</v>
      </c>
      <c r="AR105" s="10" t="e">
        <f t="shared" si="90"/>
        <v>#VALUE!</v>
      </c>
      <c r="AS105" s="10" t="e">
        <f t="shared" si="142"/>
        <v>#VALUE!</v>
      </c>
      <c r="AU105" s="10" t="e">
        <f t="shared" si="112"/>
        <v>#VALUE!</v>
      </c>
      <c r="AV105" s="10" t="e">
        <f t="shared" si="143"/>
        <v>#VALUE!</v>
      </c>
      <c r="AW105" s="10" t="e">
        <f t="shared" si="91"/>
        <v>#VALUE!</v>
      </c>
      <c r="AX105" s="10" t="e">
        <f t="shared" si="113"/>
        <v>#VALUE!</v>
      </c>
      <c r="AY105" s="10" t="e">
        <f t="shared" si="114"/>
        <v>#VALUE!</v>
      </c>
      <c r="AZ105" s="10" t="e">
        <f t="shared" si="115"/>
        <v>#VALUE!</v>
      </c>
      <c r="BA105" s="10" t="e">
        <f t="shared" si="144"/>
        <v>#VALUE!</v>
      </c>
      <c r="BB105" s="10" t="e">
        <f t="shared" si="92"/>
        <v>#VALUE!</v>
      </c>
      <c r="BC105" s="10" t="e">
        <f t="shared" si="145"/>
        <v>#VALUE!</v>
      </c>
      <c r="BE105" s="10" t="e">
        <f t="shared" si="116"/>
        <v>#VALUE!</v>
      </c>
      <c r="BF105" s="10" t="e">
        <f t="shared" si="146"/>
        <v>#VALUE!</v>
      </c>
      <c r="BG105" s="10" t="e">
        <f t="shared" si="93"/>
        <v>#VALUE!</v>
      </c>
      <c r="BH105" s="10" t="e">
        <f t="shared" si="117"/>
        <v>#VALUE!</v>
      </c>
      <c r="BI105" s="10" t="e">
        <f t="shared" si="118"/>
        <v>#VALUE!</v>
      </c>
      <c r="BJ105" s="10" t="e">
        <f t="shared" si="119"/>
        <v>#VALUE!</v>
      </c>
      <c r="BK105" s="10" t="e">
        <f t="shared" si="147"/>
        <v>#VALUE!</v>
      </c>
      <c r="BL105" s="10" t="e">
        <f t="shared" si="94"/>
        <v>#VALUE!</v>
      </c>
      <c r="BM105" s="10" t="e">
        <f t="shared" si="148"/>
        <v>#VALUE!</v>
      </c>
      <c r="BP105" s="10" t="e">
        <f t="shared" si="120"/>
        <v>#VALUE!</v>
      </c>
      <c r="BQ105" s="10" t="e">
        <f t="shared" si="121"/>
        <v>#VALUE!</v>
      </c>
      <c r="BR105" s="10" t="e">
        <f t="shared" si="122"/>
        <v>#VALUE!</v>
      </c>
      <c r="BS105" s="10" t="e">
        <f t="shared" si="123"/>
        <v>#VALUE!</v>
      </c>
      <c r="BT105" s="10" t="e">
        <f t="shared" si="124"/>
        <v>#VALUE!</v>
      </c>
      <c r="BU105" s="10" t="e">
        <f t="shared" si="125"/>
        <v>#VALUE!</v>
      </c>
      <c r="BW105" s="10" t="e">
        <f t="shared" si="126"/>
        <v>#VALUE!</v>
      </c>
      <c r="BX105" s="10" t="e">
        <f t="shared" si="127"/>
        <v>#VALUE!</v>
      </c>
      <c r="BY105" s="10" t="e">
        <f t="shared" si="128"/>
        <v>#VALUE!</v>
      </c>
      <c r="BZ105" s="10" t="e">
        <f t="shared" si="129"/>
        <v>#VALUE!</v>
      </c>
      <c r="CA105" s="10" t="e">
        <f t="shared" si="130"/>
        <v>#VALUE!</v>
      </c>
      <c r="CB105" s="10" t="e">
        <f t="shared" si="131"/>
        <v>#VALUE!</v>
      </c>
      <c r="CD105" s="10" t="e">
        <f>MATCH(INDEX($BP$12:$BU$12,1,MATCH(BP105,$BP$15:$BU$15,0)),结果汇总!$AI$10:$AI$13,0)</f>
        <v>#VALUE!</v>
      </c>
      <c r="CE105" s="10" t="e">
        <f>MATCH(INDEX($BP$12:$BU$12,1,MATCH(BQ105,$BP$15:$BU$15,0)),结果汇总!$AI$10:$AI$13,0)</f>
        <v>#VALUE!</v>
      </c>
      <c r="CF105" s="10" t="e">
        <f>MATCH(INDEX($BP$12:$BU$12,1,MATCH(BR105,$BP$15:$BU$15,0)),结果汇总!$AI$10:$AI$13,0)</f>
        <v>#VALUE!</v>
      </c>
      <c r="CG105" s="10" t="e">
        <f>MATCH(INDEX($BP$12:$BU$12,1,MATCH(BS105,$BP$15:$BU$15,0)),结果汇总!$AI$10:$AI$13,0)</f>
        <v>#VALUE!</v>
      </c>
      <c r="CH105" s="10" t="e">
        <f>MATCH(INDEX($BP$12:$BU$12,1,MATCH(BT105,$BP$15:$BU$15,0)),结果汇总!$AI$10:$AI$13,0)</f>
        <v>#VALUE!</v>
      </c>
      <c r="CI105" s="10" t="e">
        <f>MATCH(INDEX($BP$12:$BU$12,1,MATCH(BU105,$BP$15:$BU$15,0)),结果汇总!$AI$10:$AI$13,0)</f>
        <v>#VALUE!</v>
      </c>
      <c r="CK105" s="10">
        <f t="shared" si="132"/>
        <v>0</v>
      </c>
      <c r="CL105" s="10">
        <f t="shared" si="132"/>
        <v>0</v>
      </c>
      <c r="CM105" s="10">
        <f t="shared" si="132"/>
        <v>0</v>
      </c>
      <c r="CN105" s="10">
        <f t="shared" si="132"/>
        <v>0</v>
      </c>
      <c r="CO105" s="10">
        <f t="shared" si="133"/>
        <v>0</v>
      </c>
      <c r="CP105" s="10">
        <f t="shared" si="133"/>
        <v>0</v>
      </c>
      <c r="CQ105" s="10">
        <f t="shared" si="133"/>
        <v>0</v>
      </c>
      <c r="CR105" s="10">
        <f t="shared" si="133"/>
        <v>0</v>
      </c>
      <c r="CS105" s="10">
        <f t="shared" si="134"/>
        <v>0</v>
      </c>
      <c r="CT105" s="10">
        <f t="shared" si="134"/>
        <v>0</v>
      </c>
      <c r="CU105" s="10">
        <f t="shared" si="134"/>
        <v>0</v>
      </c>
      <c r="CV105" s="10">
        <f t="shared" si="134"/>
        <v>0</v>
      </c>
      <c r="CW105" s="10">
        <f t="shared" si="135"/>
        <v>0</v>
      </c>
      <c r="CX105" s="10">
        <f t="shared" si="135"/>
        <v>0</v>
      </c>
      <c r="CY105" s="10">
        <f t="shared" si="135"/>
        <v>0</v>
      </c>
      <c r="CZ105" s="10">
        <f t="shared" si="135"/>
        <v>0</v>
      </c>
    </row>
    <row r="106" spans="4:104" x14ac:dyDescent="0.15">
      <c r="D106" s="10">
        <v>91</v>
      </c>
      <c r="E106" s="10" t="e">
        <f t="shared" si="95"/>
        <v>#VALUE!</v>
      </c>
      <c r="F106" s="10" t="e">
        <f t="shared" si="79"/>
        <v>#VALUE!</v>
      </c>
      <c r="G106" s="10" t="e">
        <f t="shared" si="80"/>
        <v>#VALUE!</v>
      </c>
      <c r="H106" s="10" t="e">
        <f t="shared" si="96"/>
        <v>#VALUE!</v>
      </c>
      <c r="I106" s="10" t="e">
        <f t="shared" si="81"/>
        <v>#VALUE!</v>
      </c>
      <c r="J106" s="10" t="e">
        <f t="shared" si="97"/>
        <v>#VALUE!</v>
      </c>
      <c r="K106" s="10" t="e">
        <f t="shared" si="82"/>
        <v>#VALUE!</v>
      </c>
      <c r="L106" s="10" t="e">
        <f t="shared" si="83"/>
        <v>#VALUE!</v>
      </c>
      <c r="M106" s="10" t="e">
        <f t="shared" si="98"/>
        <v>#VALUE!</v>
      </c>
      <c r="O106" s="10" t="e">
        <f t="shared" si="99"/>
        <v>#VALUE!</v>
      </c>
      <c r="P106" s="10" t="e">
        <f t="shared" si="84"/>
        <v>#VALUE!</v>
      </c>
      <c r="Q106" s="10" t="e">
        <f t="shared" si="85"/>
        <v>#VALUE!</v>
      </c>
      <c r="R106" s="10" t="e">
        <f t="shared" si="100"/>
        <v>#VALUE!</v>
      </c>
      <c r="S106" s="10" t="e">
        <f t="shared" si="101"/>
        <v>#VALUE!</v>
      </c>
      <c r="T106" s="10" t="e">
        <f t="shared" si="136"/>
        <v>#VALUE!</v>
      </c>
      <c r="U106" s="10" t="e">
        <f t="shared" si="137"/>
        <v>#VALUE!</v>
      </c>
      <c r="V106" s="10" t="e">
        <f t="shared" si="86"/>
        <v>#VALUE!</v>
      </c>
      <c r="W106" s="10" t="e">
        <f t="shared" si="102"/>
        <v>#VALUE!</v>
      </c>
      <c r="Y106" s="10" t="e">
        <f t="shared" si="103"/>
        <v>#VALUE!</v>
      </c>
      <c r="Z106" s="11" t="e">
        <f t="shared" si="104"/>
        <v>#VALUE!</v>
      </c>
      <c r="AA106" s="10" t="e">
        <f t="shared" si="87"/>
        <v>#VALUE!</v>
      </c>
      <c r="AB106" s="10" t="e">
        <f t="shared" si="105"/>
        <v>#VALUE!</v>
      </c>
      <c r="AC106" s="10" t="e">
        <f t="shared" si="106"/>
        <v>#VALUE!</v>
      </c>
      <c r="AD106" s="10" t="e">
        <f t="shared" si="138"/>
        <v>#VALUE!</v>
      </c>
      <c r="AE106" s="10" t="e">
        <f t="shared" si="139"/>
        <v>#VALUE!</v>
      </c>
      <c r="AF106" s="10" t="e">
        <f t="shared" si="88"/>
        <v>#VALUE!</v>
      </c>
      <c r="AG106" s="10" t="e">
        <f t="shared" si="107"/>
        <v>#VALUE!</v>
      </c>
      <c r="AI106" s="13"/>
      <c r="AK106" s="10" t="e">
        <f t="shared" si="108"/>
        <v>#VALUE!</v>
      </c>
      <c r="AL106" s="10" t="e">
        <f t="shared" si="140"/>
        <v>#VALUE!</v>
      </c>
      <c r="AM106" s="10" t="e">
        <f t="shared" si="89"/>
        <v>#VALUE!</v>
      </c>
      <c r="AN106" s="10" t="e">
        <f t="shared" si="109"/>
        <v>#VALUE!</v>
      </c>
      <c r="AO106" s="10" t="e">
        <f t="shared" si="110"/>
        <v>#VALUE!</v>
      </c>
      <c r="AP106" s="10" t="e">
        <f t="shared" si="111"/>
        <v>#VALUE!</v>
      </c>
      <c r="AQ106" s="10" t="e">
        <f t="shared" si="141"/>
        <v>#VALUE!</v>
      </c>
      <c r="AR106" s="10" t="e">
        <f t="shared" si="90"/>
        <v>#VALUE!</v>
      </c>
      <c r="AS106" s="10" t="e">
        <f t="shared" si="142"/>
        <v>#VALUE!</v>
      </c>
      <c r="AU106" s="10" t="e">
        <f t="shared" si="112"/>
        <v>#VALUE!</v>
      </c>
      <c r="AV106" s="10" t="e">
        <f t="shared" si="143"/>
        <v>#VALUE!</v>
      </c>
      <c r="AW106" s="10" t="e">
        <f t="shared" si="91"/>
        <v>#VALUE!</v>
      </c>
      <c r="AX106" s="10" t="e">
        <f t="shared" si="113"/>
        <v>#VALUE!</v>
      </c>
      <c r="AY106" s="10" t="e">
        <f t="shared" si="114"/>
        <v>#VALUE!</v>
      </c>
      <c r="AZ106" s="10" t="e">
        <f t="shared" si="115"/>
        <v>#VALUE!</v>
      </c>
      <c r="BA106" s="10" t="e">
        <f t="shared" si="144"/>
        <v>#VALUE!</v>
      </c>
      <c r="BB106" s="10" t="e">
        <f t="shared" si="92"/>
        <v>#VALUE!</v>
      </c>
      <c r="BC106" s="10" t="e">
        <f t="shared" si="145"/>
        <v>#VALUE!</v>
      </c>
      <c r="BE106" s="10" t="e">
        <f t="shared" si="116"/>
        <v>#VALUE!</v>
      </c>
      <c r="BF106" s="10" t="e">
        <f t="shared" si="146"/>
        <v>#VALUE!</v>
      </c>
      <c r="BG106" s="10" t="e">
        <f t="shared" si="93"/>
        <v>#VALUE!</v>
      </c>
      <c r="BH106" s="10" t="e">
        <f t="shared" si="117"/>
        <v>#VALUE!</v>
      </c>
      <c r="BI106" s="10" t="e">
        <f t="shared" si="118"/>
        <v>#VALUE!</v>
      </c>
      <c r="BJ106" s="10" t="e">
        <f t="shared" si="119"/>
        <v>#VALUE!</v>
      </c>
      <c r="BK106" s="10" t="e">
        <f t="shared" si="147"/>
        <v>#VALUE!</v>
      </c>
      <c r="BL106" s="10" t="e">
        <f t="shared" si="94"/>
        <v>#VALUE!</v>
      </c>
      <c r="BM106" s="10" t="e">
        <f t="shared" si="148"/>
        <v>#VALUE!</v>
      </c>
      <c r="BP106" s="10" t="e">
        <f t="shared" si="120"/>
        <v>#VALUE!</v>
      </c>
      <c r="BQ106" s="10" t="e">
        <f t="shared" si="121"/>
        <v>#VALUE!</v>
      </c>
      <c r="BR106" s="10" t="e">
        <f t="shared" si="122"/>
        <v>#VALUE!</v>
      </c>
      <c r="BS106" s="10" t="e">
        <f t="shared" si="123"/>
        <v>#VALUE!</v>
      </c>
      <c r="BT106" s="10" t="e">
        <f t="shared" si="124"/>
        <v>#VALUE!</v>
      </c>
      <c r="BU106" s="10" t="e">
        <f t="shared" si="125"/>
        <v>#VALUE!</v>
      </c>
      <c r="BW106" s="10" t="e">
        <f t="shared" si="126"/>
        <v>#VALUE!</v>
      </c>
      <c r="BX106" s="10" t="e">
        <f t="shared" si="127"/>
        <v>#VALUE!</v>
      </c>
      <c r="BY106" s="10" t="e">
        <f t="shared" si="128"/>
        <v>#VALUE!</v>
      </c>
      <c r="BZ106" s="10" t="e">
        <f t="shared" si="129"/>
        <v>#VALUE!</v>
      </c>
      <c r="CA106" s="10" t="e">
        <f t="shared" si="130"/>
        <v>#VALUE!</v>
      </c>
      <c r="CB106" s="10" t="e">
        <f t="shared" si="131"/>
        <v>#VALUE!</v>
      </c>
      <c r="CD106" s="10" t="e">
        <f>MATCH(INDEX($BP$12:$BU$12,1,MATCH(BP106,$BP$15:$BU$15,0)),结果汇总!$AI$10:$AI$13,0)</f>
        <v>#VALUE!</v>
      </c>
      <c r="CE106" s="10" t="e">
        <f>MATCH(INDEX($BP$12:$BU$12,1,MATCH(BQ106,$BP$15:$BU$15,0)),结果汇总!$AI$10:$AI$13,0)</f>
        <v>#VALUE!</v>
      </c>
      <c r="CF106" s="10" t="e">
        <f>MATCH(INDEX($BP$12:$BU$12,1,MATCH(BR106,$BP$15:$BU$15,0)),结果汇总!$AI$10:$AI$13,0)</f>
        <v>#VALUE!</v>
      </c>
      <c r="CG106" s="10" t="e">
        <f>MATCH(INDEX($BP$12:$BU$12,1,MATCH(BS106,$BP$15:$BU$15,0)),结果汇总!$AI$10:$AI$13,0)</f>
        <v>#VALUE!</v>
      </c>
      <c r="CH106" s="10" t="e">
        <f>MATCH(INDEX($BP$12:$BU$12,1,MATCH(BT106,$BP$15:$BU$15,0)),结果汇总!$AI$10:$AI$13,0)</f>
        <v>#VALUE!</v>
      </c>
      <c r="CI106" s="10" t="e">
        <f>MATCH(INDEX($BP$12:$BU$12,1,MATCH(BU106,$BP$15:$BU$15,0)),结果汇总!$AI$10:$AI$13,0)</f>
        <v>#VALUE!</v>
      </c>
      <c r="CK106" s="10">
        <f t="shared" si="132"/>
        <v>0</v>
      </c>
      <c r="CL106" s="10">
        <f t="shared" si="132"/>
        <v>0</v>
      </c>
      <c r="CM106" s="10">
        <f t="shared" si="132"/>
        <v>0</v>
      </c>
      <c r="CN106" s="10">
        <f t="shared" si="132"/>
        <v>0</v>
      </c>
      <c r="CO106" s="10">
        <f t="shared" si="133"/>
        <v>0</v>
      </c>
      <c r="CP106" s="10">
        <f t="shared" si="133"/>
        <v>0</v>
      </c>
      <c r="CQ106" s="10">
        <f t="shared" si="133"/>
        <v>0</v>
      </c>
      <c r="CR106" s="10">
        <f t="shared" si="133"/>
        <v>0</v>
      </c>
      <c r="CS106" s="10">
        <f t="shared" si="134"/>
        <v>0</v>
      </c>
      <c r="CT106" s="10">
        <f t="shared" si="134"/>
        <v>0</v>
      </c>
      <c r="CU106" s="10">
        <f t="shared" si="134"/>
        <v>0</v>
      </c>
      <c r="CV106" s="10">
        <f t="shared" si="134"/>
        <v>0</v>
      </c>
      <c r="CW106" s="10">
        <f t="shared" si="135"/>
        <v>0</v>
      </c>
      <c r="CX106" s="10">
        <f t="shared" si="135"/>
        <v>0</v>
      </c>
      <c r="CY106" s="10">
        <f t="shared" si="135"/>
        <v>0</v>
      </c>
      <c r="CZ106" s="10">
        <f t="shared" si="135"/>
        <v>0</v>
      </c>
    </row>
    <row r="107" spans="4:104" x14ac:dyDescent="0.15">
      <c r="D107" s="10">
        <v>92</v>
      </c>
      <c r="E107" s="10" t="e">
        <f t="shared" si="95"/>
        <v>#VALUE!</v>
      </c>
      <c r="F107" s="10" t="e">
        <f t="shared" si="79"/>
        <v>#VALUE!</v>
      </c>
      <c r="G107" s="10" t="e">
        <f t="shared" si="80"/>
        <v>#VALUE!</v>
      </c>
      <c r="H107" s="10" t="e">
        <f t="shared" si="96"/>
        <v>#VALUE!</v>
      </c>
      <c r="I107" s="10" t="e">
        <f t="shared" si="81"/>
        <v>#VALUE!</v>
      </c>
      <c r="J107" s="10" t="e">
        <f t="shared" si="97"/>
        <v>#VALUE!</v>
      </c>
      <c r="K107" s="10" t="e">
        <f t="shared" si="82"/>
        <v>#VALUE!</v>
      </c>
      <c r="L107" s="10" t="e">
        <f t="shared" si="83"/>
        <v>#VALUE!</v>
      </c>
      <c r="M107" s="10" t="e">
        <f t="shared" si="98"/>
        <v>#VALUE!</v>
      </c>
      <c r="O107" s="10" t="e">
        <f t="shared" si="99"/>
        <v>#VALUE!</v>
      </c>
      <c r="P107" s="10" t="e">
        <f t="shared" si="84"/>
        <v>#VALUE!</v>
      </c>
      <c r="Q107" s="10" t="e">
        <f t="shared" si="85"/>
        <v>#VALUE!</v>
      </c>
      <c r="R107" s="10" t="e">
        <f t="shared" si="100"/>
        <v>#VALUE!</v>
      </c>
      <c r="S107" s="10" t="e">
        <f t="shared" si="101"/>
        <v>#VALUE!</v>
      </c>
      <c r="T107" s="10" t="e">
        <f t="shared" si="136"/>
        <v>#VALUE!</v>
      </c>
      <c r="U107" s="10" t="e">
        <f t="shared" si="137"/>
        <v>#VALUE!</v>
      </c>
      <c r="V107" s="10" t="e">
        <f t="shared" si="86"/>
        <v>#VALUE!</v>
      </c>
      <c r="W107" s="10" t="e">
        <f t="shared" si="102"/>
        <v>#VALUE!</v>
      </c>
      <c r="Y107" s="10" t="e">
        <f t="shared" si="103"/>
        <v>#VALUE!</v>
      </c>
      <c r="Z107" s="11" t="e">
        <f t="shared" si="104"/>
        <v>#VALUE!</v>
      </c>
      <c r="AA107" s="10" t="e">
        <f t="shared" si="87"/>
        <v>#VALUE!</v>
      </c>
      <c r="AB107" s="10" t="e">
        <f t="shared" si="105"/>
        <v>#VALUE!</v>
      </c>
      <c r="AC107" s="10" t="e">
        <f t="shared" si="106"/>
        <v>#VALUE!</v>
      </c>
      <c r="AD107" s="10" t="e">
        <f t="shared" si="138"/>
        <v>#VALUE!</v>
      </c>
      <c r="AE107" s="10" t="e">
        <f t="shared" si="139"/>
        <v>#VALUE!</v>
      </c>
      <c r="AF107" s="10" t="e">
        <f t="shared" si="88"/>
        <v>#VALUE!</v>
      </c>
      <c r="AG107" s="10" t="e">
        <f t="shared" si="107"/>
        <v>#VALUE!</v>
      </c>
      <c r="AI107" s="13"/>
      <c r="AK107" s="10" t="e">
        <f t="shared" si="108"/>
        <v>#VALUE!</v>
      </c>
      <c r="AL107" s="10" t="e">
        <f t="shared" si="140"/>
        <v>#VALUE!</v>
      </c>
      <c r="AM107" s="10" t="e">
        <f t="shared" si="89"/>
        <v>#VALUE!</v>
      </c>
      <c r="AN107" s="10" t="e">
        <f t="shared" si="109"/>
        <v>#VALUE!</v>
      </c>
      <c r="AO107" s="10" t="e">
        <f t="shared" si="110"/>
        <v>#VALUE!</v>
      </c>
      <c r="AP107" s="10" t="e">
        <f t="shared" si="111"/>
        <v>#VALUE!</v>
      </c>
      <c r="AQ107" s="10" t="e">
        <f t="shared" si="141"/>
        <v>#VALUE!</v>
      </c>
      <c r="AR107" s="10" t="e">
        <f t="shared" si="90"/>
        <v>#VALUE!</v>
      </c>
      <c r="AS107" s="10" t="e">
        <f t="shared" si="142"/>
        <v>#VALUE!</v>
      </c>
      <c r="AU107" s="10" t="e">
        <f t="shared" si="112"/>
        <v>#VALUE!</v>
      </c>
      <c r="AV107" s="10" t="e">
        <f t="shared" si="143"/>
        <v>#VALUE!</v>
      </c>
      <c r="AW107" s="10" t="e">
        <f t="shared" si="91"/>
        <v>#VALUE!</v>
      </c>
      <c r="AX107" s="10" t="e">
        <f t="shared" si="113"/>
        <v>#VALUE!</v>
      </c>
      <c r="AY107" s="10" t="e">
        <f t="shared" si="114"/>
        <v>#VALUE!</v>
      </c>
      <c r="AZ107" s="10" t="e">
        <f t="shared" si="115"/>
        <v>#VALUE!</v>
      </c>
      <c r="BA107" s="10" t="e">
        <f t="shared" si="144"/>
        <v>#VALUE!</v>
      </c>
      <c r="BB107" s="10" t="e">
        <f t="shared" si="92"/>
        <v>#VALUE!</v>
      </c>
      <c r="BC107" s="10" t="e">
        <f t="shared" si="145"/>
        <v>#VALUE!</v>
      </c>
      <c r="BE107" s="10" t="e">
        <f t="shared" si="116"/>
        <v>#VALUE!</v>
      </c>
      <c r="BF107" s="10" t="e">
        <f t="shared" si="146"/>
        <v>#VALUE!</v>
      </c>
      <c r="BG107" s="10" t="e">
        <f t="shared" si="93"/>
        <v>#VALUE!</v>
      </c>
      <c r="BH107" s="10" t="e">
        <f t="shared" si="117"/>
        <v>#VALUE!</v>
      </c>
      <c r="BI107" s="10" t="e">
        <f t="shared" si="118"/>
        <v>#VALUE!</v>
      </c>
      <c r="BJ107" s="10" t="e">
        <f t="shared" si="119"/>
        <v>#VALUE!</v>
      </c>
      <c r="BK107" s="10" t="e">
        <f t="shared" si="147"/>
        <v>#VALUE!</v>
      </c>
      <c r="BL107" s="10" t="e">
        <f t="shared" si="94"/>
        <v>#VALUE!</v>
      </c>
      <c r="BM107" s="10" t="e">
        <f t="shared" si="148"/>
        <v>#VALUE!</v>
      </c>
      <c r="BP107" s="10" t="e">
        <f t="shared" si="120"/>
        <v>#VALUE!</v>
      </c>
      <c r="BQ107" s="10" t="e">
        <f t="shared" si="121"/>
        <v>#VALUE!</v>
      </c>
      <c r="BR107" s="10" t="e">
        <f t="shared" si="122"/>
        <v>#VALUE!</v>
      </c>
      <c r="BS107" s="10" t="e">
        <f t="shared" si="123"/>
        <v>#VALUE!</v>
      </c>
      <c r="BT107" s="10" t="e">
        <f t="shared" si="124"/>
        <v>#VALUE!</v>
      </c>
      <c r="BU107" s="10" t="e">
        <f t="shared" si="125"/>
        <v>#VALUE!</v>
      </c>
      <c r="BW107" s="10" t="e">
        <f t="shared" si="126"/>
        <v>#VALUE!</v>
      </c>
      <c r="BX107" s="10" t="e">
        <f t="shared" si="127"/>
        <v>#VALUE!</v>
      </c>
      <c r="BY107" s="10" t="e">
        <f t="shared" si="128"/>
        <v>#VALUE!</v>
      </c>
      <c r="BZ107" s="10" t="e">
        <f t="shared" si="129"/>
        <v>#VALUE!</v>
      </c>
      <c r="CA107" s="10" t="e">
        <f t="shared" si="130"/>
        <v>#VALUE!</v>
      </c>
      <c r="CB107" s="10" t="e">
        <f t="shared" si="131"/>
        <v>#VALUE!</v>
      </c>
      <c r="CD107" s="10" t="e">
        <f>MATCH(INDEX($BP$12:$BU$12,1,MATCH(BP107,$BP$15:$BU$15,0)),结果汇总!$AI$10:$AI$13,0)</f>
        <v>#VALUE!</v>
      </c>
      <c r="CE107" s="10" t="e">
        <f>MATCH(INDEX($BP$12:$BU$12,1,MATCH(BQ107,$BP$15:$BU$15,0)),结果汇总!$AI$10:$AI$13,0)</f>
        <v>#VALUE!</v>
      </c>
      <c r="CF107" s="10" t="e">
        <f>MATCH(INDEX($BP$12:$BU$12,1,MATCH(BR107,$BP$15:$BU$15,0)),结果汇总!$AI$10:$AI$13,0)</f>
        <v>#VALUE!</v>
      </c>
      <c r="CG107" s="10" t="e">
        <f>MATCH(INDEX($BP$12:$BU$12,1,MATCH(BS107,$BP$15:$BU$15,0)),结果汇总!$AI$10:$AI$13,0)</f>
        <v>#VALUE!</v>
      </c>
      <c r="CH107" s="10" t="e">
        <f>MATCH(INDEX($BP$12:$BU$12,1,MATCH(BT107,$BP$15:$BU$15,0)),结果汇总!$AI$10:$AI$13,0)</f>
        <v>#VALUE!</v>
      </c>
      <c r="CI107" s="10" t="e">
        <f>MATCH(INDEX($BP$12:$BU$12,1,MATCH(BU107,$BP$15:$BU$15,0)),结果汇总!$AI$10:$AI$13,0)</f>
        <v>#VALUE!</v>
      </c>
      <c r="CK107" s="10">
        <f t="shared" si="132"/>
        <v>0</v>
      </c>
      <c r="CL107" s="10">
        <f t="shared" si="132"/>
        <v>0</v>
      </c>
      <c r="CM107" s="10">
        <f t="shared" si="132"/>
        <v>0</v>
      </c>
      <c r="CN107" s="10">
        <f t="shared" si="132"/>
        <v>0</v>
      </c>
      <c r="CO107" s="10">
        <f t="shared" si="133"/>
        <v>0</v>
      </c>
      <c r="CP107" s="10">
        <f t="shared" si="133"/>
        <v>0</v>
      </c>
      <c r="CQ107" s="10">
        <f t="shared" si="133"/>
        <v>0</v>
      </c>
      <c r="CR107" s="10">
        <f t="shared" si="133"/>
        <v>0</v>
      </c>
      <c r="CS107" s="10">
        <f t="shared" si="134"/>
        <v>0</v>
      </c>
      <c r="CT107" s="10">
        <f t="shared" si="134"/>
        <v>0</v>
      </c>
      <c r="CU107" s="10">
        <f t="shared" si="134"/>
        <v>0</v>
      </c>
      <c r="CV107" s="10">
        <f t="shared" si="134"/>
        <v>0</v>
      </c>
      <c r="CW107" s="10">
        <f t="shared" si="135"/>
        <v>0</v>
      </c>
      <c r="CX107" s="10">
        <f t="shared" si="135"/>
        <v>0</v>
      </c>
      <c r="CY107" s="10">
        <f t="shared" si="135"/>
        <v>0</v>
      </c>
      <c r="CZ107" s="10">
        <f t="shared" si="135"/>
        <v>0</v>
      </c>
    </row>
    <row r="108" spans="4:104" x14ac:dyDescent="0.15">
      <c r="D108" s="10">
        <v>93</v>
      </c>
      <c r="E108" s="10" t="e">
        <f t="shared" si="95"/>
        <v>#VALUE!</v>
      </c>
      <c r="F108" s="10" t="e">
        <f t="shared" si="79"/>
        <v>#VALUE!</v>
      </c>
      <c r="G108" s="10" t="e">
        <f t="shared" si="80"/>
        <v>#VALUE!</v>
      </c>
      <c r="H108" s="10" t="e">
        <f t="shared" si="96"/>
        <v>#VALUE!</v>
      </c>
      <c r="I108" s="10" t="e">
        <f t="shared" si="81"/>
        <v>#VALUE!</v>
      </c>
      <c r="J108" s="10" t="e">
        <f t="shared" si="97"/>
        <v>#VALUE!</v>
      </c>
      <c r="K108" s="10" t="e">
        <f t="shared" si="82"/>
        <v>#VALUE!</v>
      </c>
      <c r="L108" s="10" t="e">
        <f t="shared" si="83"/>
        <v>#VALUE!</v>
      </c>
      <c r="M108" s="10" t="e">
        <f t="shared" si="98"/>
        <v>#VALUE!</v>
      </c>
      <c r="O108" s="10" t="e">
        <f t="shared" si="99"/>
        <v>#VALUE!</v>
      </c>
      <c r="P108" s="10" t="e">
        <f t="shared" si="84"/>
        <v>#VALUE!</v>
      </c>
      <c r="Q108" s="10" t="e">
        <f t="shared" si="85"/>
        <v>#VALUE!</v>
      </c>
      <c r="R108" s="10" t="e">
        <f t="shared" si="100"/>
        <v>#VALUE!</v>
      </c>
      <c r="S108" s="10" t="e">
        <f t="shared" si="101"/>
        <v>#VALUE!</v>
      </c>
      <c r="T108" s="10" t="e">
        <f t="shared" si="136"/>
        <v>#VALUE!</v>
      </c>
      <c r="U108" s="10" t="e">
        <f t="shared" si="137"/>
        <v>#VALUE!</v>
      </c>
      <c r="V108" s="10" t="e">
        <f t="shared" si="86"/>
        <v>#VALUE!</v>
      </c>
      <c r="W108" s="10" t="e">
        <f t="shared" si="102"/>
        <v>#VALUE!</v>
      </c>
      <c r="Y108" s="10" t="e">
        <f t="shared" si="103"/>
        <v>#VALUE!</v>
      </c>
      <c r="Z108" s="11" t="e">
        <f t="shared" si="104"/>
        <v>#VALUE!</v>
      </c>
      <c r="AA108" s="10" t="e">
        <f t="shared" si="87"/>
        <v>#VALUE!</v>
      </c>
      <c r="AB108" s="10" t="e">
        <f t="shared" si="105"/>
        <v>#VALUE!</v>
      </c>
      <c r="AC108" s="10" t="e">
        <f t="shared" si="106"/>
        <v>#VALUE!</v>
      </c>
      <c r="AD108" s="10" t="e">
        <f t="shared" si="138"/>
        <v>#VALUE!</v>
      </c>
      <c r="AE108" s="10" t="e">
        <f t="shared" si="139"/>
        <v>#VALUE!</v>
      </c>
      <c r="AF108" s="10" t="e">
        <f t="shared" si="88"/>
        <v>#VALUE!</v>
      </c>
      <c r="AG108" s="10" t="e">
        <f t="shared" si="107"/>
        <v>#VALUE!</v>
      </c>
      <c r="AI108" s="13"/>
      <c r="AK108" s="10" t="e">
        <f t="shared" si="108"/>
        <v>#VALUE!</v>
      </c>
      <c r="AL108" s="10" t="e">
        <f t="shared" si="140"/>
        <v>#VALUE!</v>
      </c>
      <c r="AM108" s="10" t="e">
        <f t="shared" si="89"/>
        <v>#VALUE!</v>
      </c>
      <c r="AN108" s="10" t="e">
        <f t="shared" si="109"/>
        <v>#VALUE!</v>
      </c>
      <c r="AO108" s="10" t="e">
        <f t="shared" si="110"/>
        <v>#VALUE!</v>
      </c>
      <c r="AP108" s="10" t="e">
        <f t="shared" si="111"/>
        <v>#VALUE!</v>
      </c>
      <c r="AQ108" s="10" t="e">
        <f t="shared" si="141"/>
        <v>#VALUE!</v>
      </c>
      <c r="AR108" s="10" t="e">
        <f t="shared" si="90"/>
        <v>#VALUE!</v>
      </c>
      <c r="AS108" s="10" t="e">
        <f t="shared" si="142"/>
        <v>#VALUE!</v>
      </c>
      <c r="AU108" s="10" t="e">
        <f t="shared" si="112"/>
        <v>#VALUE!</v>
      </c>
      <c r="AV108" s="10" t="e">
        <f t="shared" si="143"/>
        <v>#VALUE!</v>
      </c>
      <c r="AW108" s="10" t="e">
        <f t="shared" si="91"/>
        <v>#VALUE!</v>
      </c>
      <c r="AX108" s="10" t="e">
        <f t="shared" si="113"/>
        <v>#VALUE!</v>
      </c>
      <c r="AY108" s="10" t="e">
        <f t="shared" si="114"/>
        <v>#VALUE!</v>
      </c>
      <c r="AZ108" s="10" t="e">
        <f t="shared" si="115"/>
        <v>#VALUE!</v>
      </c>
      <c r="BA108" s="10" t="e">
        <f t="shared" si="144"/>
        <v>#VALUE!</v>
      </c>
      <c r="BB108" s="10" t="e">
        <f t="shared" si="92"/>
        <v>#VALUE!</v>
      </c>
      <c r="BC108" s="10" t="e">
        <f t="shared" si="145"/>
        <v>#VALUE!</v>
      </c>
      <c r="BE108" s="10" t="e">
        <f t="shared" si="116"/>
        <v>#VALUE!</v>
      </c>
      <c r="BF108" s="10" t="e">
        <f t="shared" si="146"/>
        <v>#VALUE!</v>
      </c>
      <c r="BG108" s="10" t="e">
        <f t="shared" si="93"/>
        <v>#VALUE!</v>
      </c>
      <c r="BH108" s="10" t="e">
        <f t="shared" si="117"/>
        <v>#VALUE!</v>
      </c>
      <c r="BI108" s="10" t="e">
        <f t="shared" si="118"/>
        <v>#VALUE!</v>
      </c>
      <c r="BJ108" s="10" t="e">
        <f t="shared" si="119"/>
        <v>#VALUE!</v>
      </c>
      <c r="BK108" s="10" t="e">
        <f t="shared" si="147"/>
        <v>#VALUE!</v>
      </c>
      <c r="BL108" s="10" t="e">
        <f t="shared" si="94"/>
        <v>#VALUE!</v>
      </c>
      <c r="BM108" s="10" t="e">
        <f t="shared" si="148"/>
        <v>#VALUE!</v>
      </c>
      <c r="BP108" s="10" t="e">
        <f t="shared" si="120"/>
        <v>#VALUE!</v>
      </c>
      <c r="BQ108" s="10" t="e">
        <f t="shared" si="121"/>
        <v>#VALUE!</v>
      </c>
      <c r="BR108" s="10" t="e">
        <f t="shared" si="122"/>
        <v>#VALUE!</v>
      </c>
      <c r="BS108" s="10" t="e">
        <f t="shared" si="123"/>
        <v>#VALUE!</v>
      </c>
      <c r="BT108" s="10" t="e">
        <f t="shared" si="124"/>
        <v>#VALUE!</v>
      </c>
      <c r="BU108" s="10" t="e">
        <f t="shared" si="125"/>
        <v>#VALUE!</v>
      </c>
      <c r="BW108" s="10" t="e">
        <f t="shared" si="126"/>
        <v>#VALUE!</v>
      </c>
      <c r="BX108" s="10" t="e">
        <f t="shared" si="127"/>
        <v>#VALUE!</v>
      </c>
      <c r="BY108" s="10" t="e">
        <f t="shared" si="128"/>
        <v>#VALUE!</v>
      </c>
      <c r="BZ108" s="10" t="e">
        <f t="shared" si="129"/>
        <v>#VALUE!</v>
      </c>
      <c r="CA108" s="10" t="e">
        <f t="shared" si="130"/>
        <v>#VALUE!</v>
      </c>
      <c r="CB108" s="10" t="e">
        <f t="shared" si="131"/>
        <v>#VALUE!</v>
      </c>
      <c r="CD108" s="10" t="e">
        <f>MATCH(INDEX($BP$12:$BU$12,1,MATCH(BP108,$BP$15:$BU$15,0)),结果汇总!$AI$10:$AI$13,0)</f>
        <v>#VALUE!</v>
      </c>
      <c r="CE108" s="10" t="e">
        <f>MATCH(INDEX($BP$12:$BU$12,1,MATCH(BQ108,$BP$15:$BU$15,0)),结果汇总!$AI$10:$AI$13,0)</f>
        <v>#VALUE!</v>
      </c>
      <c r="CF108" s="10" t="e">
        <f>MATCH(INDEX($BP$12:$BU$12,1,MATCH(BR108,$BP$15:$BU$15,0)),结果汇总!$AI$10:$AI$13,0)</f>
        <v>#VALUE!</v>
      </c>
      <c r="CG108" s="10" t="e">
        <f>MATCH(INDEX($BP$12:$BU$12,1,MATCH(BS108,$BP$15:$BU$15,0)),结果汇总!$AI$10:$AI$13,0)</f>
        <v>#VALUE!</v>
      </c>
      <c r="CH108" s="10" t="e">
        <f>MATCH(INDEX($BP$12:$BU$12,1,MATCH(BT108,$BP$15:$BU$15,0)),结果汇总!$AI$10:$AI$13,0)</f>
        <v>#VALUE!</v>
      </c>
      <c r="CI108" s="10" t="e">
        <f>MATCH(INDEX($BP$12:$BU$12,1,MATCH(BU108,$BP$15:$BU$15,0)),结果汇总!$AI$10:$AI$13,0)</f>
        <v>#VALUE!</v>
      </c>
      <c r="CK108" s="10">
        <f t="shared" si="132"/>
        <v>0</v>
      </c>
      <c r="CL108" s="10">
        <f t="shared" si="132"/>
        <v>0</v>
      </c>
      <c r="CM108" s="10">
        <f t="shared" si="132"/>
        <v>0</v>
      </c>
      <c r="CN108" s="10">
        <f t="shared" si="132"/>
        <v>0</v>
      </c>
      <c r="CO108" s="10">
        <f t="shared" si="133"/>
        <v>0</v>
      </c>
      <c r="CP108" s="10">
        <f t="shared" si="133"/>
        <v>0</v>
      </c>
      <c r="CQ108" s="10">
        <f t="shared" si="133"/>
        <v>0</v>
      </c>
      <c r="CR108" s="10">
        <f t="shared" si="133"/>
        <v>0</v>
      </c>
      <c r="CS108" s="10">
        <f t="shared" si="134"/>
        <v>0</v>
      </c>
      <c r="CT108" s="10">
        <f t="shared" si="134"/>
        <v>0</v>
      </c>
      <c r="CU108" s="10">
        <f t="shared" si="134"/>
        <v>0</v>
      </c>
      <c r="CV108" s="10">
        <f t="shared" si="134"/>
        <v>0</v>
      </c>
      <c r="CW108" s="10">
        <f t="shared" si="135"/>
        <v>0</v>
      </c>
      <c r="CX108" s="10">
        <f t="shared" si="135"/>
        <v>0</v>
      </c>
      <c r="CY108" s="10">
        <f t="shared" si="135"/>
        <v>0</v>
      </c>
      <c r="CZ108" s="10">
        <f t="shared" si="135"/>
        <v>0</v>
      </c>
    </row>
    <row r="109" spans="4:104" x14ac:dyDescent="0.15">
      <c r="D109" s="10">
        <v>94</v>
      </c>
      <c r="E109" s="10" t="e">
        <f t="shared" si="95"/>
        <v>#VALUE!</v>
      </c>
      <c r="F109" s="10" t="e">
        <f t="shared" si="79"/>
        <v>#VALUE!</v>
      </c>
      <c r="G109" s="10" t="e">
        <f t="shared" si="80"/>
        <v>#VALUE!</v>
      </c>
      <c r="H109" s="10" t="e">
        <f t="shared" si="96"/>
        <v>#VALUE!</v>
      </c>
      <c r="I109" s="10" t="e">
        <f t="shared" si="81"/>
        <v>#VALUE!</v>
      </c>
      <c r="J109" s="10" t="e">
        <f t="shared" si="97"/>
        <v>#VALUE!</v>
      </c>
      <c r="K109" s="10" t="e">
        <f t="shared" si="82"/>
        <v>#VALUE!</v>
      </c>
      <c r="L109" s="10" t="e">
        <f t="shared" si="83"/>
        <v>#VALUE!</v>
      </c>
      <c r="M109" s="10" t="e">
        <f t="shared" si="98"/>
        <v>#VALUE!</v>
      </c>
      <c r="O109" s="10" t="e">
        <f t="shared" si="99"/>
        <v>#VALUE!</v>
      </c>
      <c r="P109" s="10" t="e">
        <f t="shared" si="84"/>
        <v>#VALUE!</v>
      </c>
      <c r="Q109" s="10" t="e">
        <f t="shared" si="85"/>
        <v>#VALUE!</v>
      </c>
      <c r="R109" s="10" t="e">
        <f t="shared" si="100"/>
        <v>#VALUE!</v>
      </c>
      <c r="S109" s="10" t="e">
        <f t="shared" si="101"/>
        <v>#VALUE!</v>
      </c>
      <c r="T109" s="10" t="e">
        <f t="shared" si="136"/>
        <v>#VALUE!</v>
      </c>
      <c r="U109" s="10" t="e">
        <f t="shared" si="137"/>
        <v>#VALUE!</v>
      </c>
      <c r="V109" s="10" t="e">
        <f t="shared" si="86"/>
        <v>#VALUE!</v>
      </c>
      <c r="W109" s="10" t="e">
        <f t="shared" si="102"/>
        <v>#VALUE!</v>
      </c>
      <c r="Y109" s="10" t="e">
        <f t="shared" si="103"/>
        <v>#VALUE!</v>
      </c>
      <c r="Z109" s="11" t="e">
        <f t="shared" si="104"/>
        <v>#VALUE!</v>
      </c>
      <c r="AA109" s="10" t="e">
        <f t="shared" si="87"/>
        <v>#VALUE!</v>
      </c>
      <c r="AB109" s="10" t="e">
        <f t="shared" si="105"/>
        <v>#VALUE!</v>
      </c>
      <c r="AC109" s="10" t="e">
        <f t="shared" si="106"/>
        <v>#VALUE!</v>
      </c>
      <c r="AD109" s="10" t="e">
        <f t="shared" si="138"/>
        <v>#VALUE!</v>
      </c>
      <c r="AE109" s="10" t="e">
        <f t="shared" si="139"/>
        <v>#VALUE!</v>
      </c>
      <c r="AF109" s="10" t="e">
        <f t="shared" si="88"/>
        <v>#VALUE!</v>
      </c>
      <c r="AG109" s="10" t="e">
        <f t="shared" si="107"/>
        <v>#VALUE!</v>
      </c>
      <c r="AI109" s="13"/>
      <c r="AK109" s="10" t="e">
        <f t="shared" si="108"/>
        <v>#VALUE!</v>
      </c>
      <c r="AL109" s="10" t="e">
        <f t="shared" si="140"/>
        <v>#VALUE!</v>
      </c>
      <c r="AM109" s="10" t="e">
        <f t="shared" si="89"/>
        <v>#VALUE!</v>
      </c>
      <c r="AN109" s="10" t="e">
        <f t="shared" si="109"/>
        <v>#VALUE!</v>
      </c>
      <c r="AO109" s="10" t="e">
        <f t="shared" si="110"/>
        <v>#VALUE!</v>
      </c>
      <c r="AP109" s="10" t="e">
        <f t="shared" si="111"/>
        <v>#VALUE!</v>
      </c>
      <c r="AQ109" s="10" t="e">
        <f t="shared" si="141"/>
        <v>#VALUE!</v>
      </c>
      <c r="AR109" s="10" t="e">
        <f t="shared" si="90"/>
        <v>#VALUE!</v>
      </c>
      <c r="AS109" s="10" t="e">
        <f t="shared" si="142"/>
        <v>#VALUE!</v>
      </c>
      <c r="AU109" s="10" t="e">
        <f t="shared" si="112"/>
        <v>#VALUE!</v>
      </c>
      <c r="AV109" s="10" t="e">
        <f t="shared" si="143"/>
        <v>#VALUE!</v>
      </c>
      <c r="AW109" s="10" t="e">
        <f t="shared" si="91"/>
        <v>#VALUE!</v>
      </c>
      <c r="AX109" s="10" t="e">
        <f t="shared" si="113"/>
        <v>#VALUE!</v>
      </c>
      <c r="AY109" s="10" t="e">
        <f t="shared" si="114"/>
        <v>#VALUE!</v>
      </c>
      <c r="AZ109" s="10" t="e">
        <f t="shared" si="115"/>
        <v>#VALUE!</v>
      </c>
      <c r="BA109" s="10" t="e">
        <f t="shared" si="144"/>
        <v>#VALUE!</v>
      </c>
      <c r="BB109" s="10" t="e">
        <f t="shared" si="92"/>
        <v>#VALUE!</v>
      </c>
      <c r="BC109" s="10" t="e">
        <f t="shared" si="145"/>
        <v>#VALUE!</v>
      </c>
      <c r="BE109" s="10" t="e">
        <f t="shared" si="116"/>
        <v>#VALUE!</v>
      </c>
      <c r="BF109" s="10" t="e">
        <f t="shared" si="146"/>
        <v>#VALUE!</v>
      </c>
      <c r="BG109" s="10" t="e">
        <f t="shared" si="93"/>
        <v>#VALUE!</v>
      </c>
      <c r="BH109" s="10" t="e">
        <f t="shared" si="117"/>
        <v>#VALUE!</v>
      </c>
      <c r="BI109" s="10" t="e">
        <f t="shared" si="118"/>
        <v>#VALUE!</v>
      </c>
      <c r="BJ109" s="10" t="e">
        <f t="shared" si="119"/>
        <v>#VALUE!</v>
      </c>
      <c r="BK109" s="10" t="e">
        <f t="shared" si="147"/>
        <v>#VALUE!</v>
      </c>
      <c r="BL109" s="10" t="e">
        <f t="shared" si="94"/>
        <v>#VALUE!</v>
      </c>
      <c r="BM109" s="10" t="e">
        <f t="shared" si="148"/>
        <v>#VALUE!</v>
      </c>
      <c r="BP109" s="10" t="e">
        <f t="shared" si="120"/>
        <v>#VALUE!</v>
      </c>
      <c r="BQ109" s="10" t="e">
        <f t="shared" si="121"/>
        <v>#VALUE!</v>
      </c>
      <c r="BR109" s="10" t="e">
        <f t="shared" si="122"/>
        <v>#VALUE!</v>
      </c>
      <c r="BS109" s="10" t="e">
        <f t="shared" si="123"/>
        <v>#VALUE!</v>
      </c>
      <c r="BT109" s="10" t="e">
        <f t="shared" si="124"/>
        <v>#VALUE!</v>
      </c>
      <c r="BU109" s="10" t="e">
        <f t="shared" si="125"/>
        <v>#VALUE!</v>
      </c>
      <c r="BW109" s="10" t="e">
        <f t="shared" si="126"/>
        <v>#VALUE!</v>
      </c>
      <c r="BX109" s="10" t="e">
        <f t="shared" si="127"/>
        <v>#VALUE!</v>
      </c>
      <c r="BY109" s="10" t="e">
        <f t="shared" si="128"/>
        <v>#VALUE!</v>
      </c>
      <c r="BZ109" s="10" t="e">
        <f t="shared" si="129"/>
        <v>#VALUE!</v>
      </c>
      <c r="CA109" s="10" t="e">
        <f t="shared" si="130"/>
        <v>#VALUE!</v>
      </c>
      <c r="CB109" s="10" t="e">
        <f t="shared" si="131"/>
        <v>#VALUE!</v>
      </c>
      <c r="CD109" s="10" t="e">
        <f>MATCH(INDEX($BP$12:$BU$12,1,MATCH(BP109,$BP$15:$BU$15,0)),结果汇总!$AI$10:$AI$13,0)</f>
        <v>#VALUE!</v>
      </c>
      <c r="CE109" s="10" t="e">
        <f>MATCH(INDEX($BP$12:$BU$12,1,MATCH(BQ109,$BP$15:$BU$15,0)),结果汇总!$AI$10:$AI$13,0)</f>
        <v>#VALUE!</v>
      </c>
      <c r="CF109" s="10" t="e">
        <f>MATCH(INDEX($BP$12:$BU$12,1,MATCH(BR109,$BP$15:$BU$15,0)),结果汇总!$AI$10:$AI$13,0)</f>
        <v>#VALUE!</v>
      </c>
      <c r="CG109" s="10" t="e">
        <f>MATCH(INDEX($BP$12:$BU$12,1,MATCH(BS109,$BP$15:$BU$15,0)),结果汇总!$AI$10:$AI$13,0)</f>
        <v>#VALUE!</v>
      </c>
      <c r="CH109" s="10" t="e">
        <f>MATCH(INDEX($BP$12:$BU$12,1,MATCH(BT109,$BP$15:$BU$15,0)),结果汇总!$AI$10:$AI$13,0)</f>
        <v>#VALUE!</v>
      </c>
      <c r="CI109" s="10" t="e">
        <f>MATCH(INDEX($BP$12:$BU$12,1,MATCH(BU109,$BP$15:$BU$15,0)),结果汇总!$AI$10:$AI$13,0)</f>
        <v>#VALUE!</v>
      </c>
      <c r="CK109" s="10">
        <f t="shared" si="132"/>
        <v>0</v>
      </c>
      <c r="CL109" s="10">
        <f t="shared" si="132"/>
        <v>0</v>
      </c>
      <c r="CM109" s="10">
        <f t="shared" si="132"/>
        <v>0</v>
      </c>
      <c r="CN109" s="10">
        <f t="shared" si="132"/>
        <v>0</v>
      </c>
      <c r="CO109" s="10">
        <f t="shared" si="133"/>
        <v>0</v>
      </c>
      <c r="CP109" s="10">
        <f t="shared" si="133"/>
        <v>0</v>
      </c>
      <c r="CQ109" s="10">
        <f t="shared" si="133"/>
        <v>0</v>
      </c>
      <c r="CR109" s="10">
        <f t="shared" si="133"/>
        <v>0</v>
      </c>
      <c r="CS109" s="10">
        <f t="shared" si="134"/>
        <v>0</v>
      </c>
      <c r="CT109" s="10">
        <f t="shared" si="134"/>
        <v>0</v>
      </c>
      <c r="CU109" s="10">
        <f t="shared" si="134"/>
        <v>0</v>
      </c>
      <c r="CV109" s="10">
        <f t="shared" si="134"/>
        <v>0</v>
      </c>
      <c r="CW109" s="10">
        <f t="shared" si="135"/>
        <v>0</v>
      </c>
      <c r="CX109" s="10">
        <f t="shared" si="135"/>
        <v>0</v>
      </c>
      <c r="CY109" s="10">
        <f t="shared" si="135"/>
        <v>0</v>
      </c>
      <c r="CZ109" s="10">
        <f t="shared" si="135"/>
        <v>0</v>
      </c>
    </row>
    <row r="110" spans="4:104" x14ac:dyDescent="0.15">
      <c r="D110" s="10">
        <v>95</v>
      </c>
      <c r="E110" s="10" t="e">
        <f t="shared" si="95"/>
        <v>#VALUE!</v>
      </c>
      <c r="F110" s="10" t="e">
        <f t="shared" si="79"/>
        <v>#VALUE!</v>
      </c>
      <c r="G110" s="10" t="e">
        <f t="shared" si="80"/>
        <v>#VALUE!</v>
      </c>
      <c r="H110" s="10" t="e">
        <f t="shared" si="96"/>
        <v>#VALUE!</v>
      </c>
      <c r="I110" s="10" t="e">
        <f t="shared" si="81"/>
        <v>#VALUE!</v>
      </c>
      <c r="J110" s="10" t="e">
        <f t="shared" si="97"/>
        <v>#VALUE!</v>
      </c>
      <c r="K110" s="10" t="e">
        <f t="shared" si="82"/>
        <v>#VALUE!</v>
      </c>
      <c r="L110" s="10" t="e">
        <f t="shared" si="83"/>
        <v>#VALUE!</v>
      </c>
      <c r="M110" s="10" t="e">
        <f t="shared" si="98"/>
        <v>#VALUE!</v>
      </c>
      <c r="O110" s="10" t="e">
        <f t="shared" si="99"/>
        <v>#VALUE!</v>
      </c>
      <c r="P110" s="10" t="e">
        <f t="shared" si="84"/>
        <v>#VALUE!</v>
      </c>
      <c r="Q110" s="10" t="e">
        <f t="shared" si="85"/>
        <v>#VALUE!</v>
      </c>
      <c r="R110" s="10" t="e">
        <f t="shared" si="100"/>
        <v>#VALUE!</v>
      </c>
      <c r="S110" s="10" t="e">
        <f t="shared" si="101"/>
        <v>#VALUE!</v>
      </c>
      <c r="T110" s="10" t="e">
        <f t="shared" si="136"/>
        <v>#VALUE!</v>
      </c>
      <c r="U110" s="10" t="e">
        <f t="shared" si="137"/>
        <v>#VALUE!</v>
      </c>
      <c r="V110" s="10" t="e">
        <f t="shared" si="86"/>
        <v>#VALUE!</v>
      </c>
      <c r="W110" s="10" t="e">
        <f t="shared" si="102"/>
        <v>#VALUE!</v>
      </c>
      <c r="Y110" s="10" t="e">
        <f t="shared" si="103"/>
        <v>#VALUE!</v>
      </c>
      <c r="Z110" s="11" t="e">
        <f t="shared" si="104"/>
        <v>#VALUE!</v>
      </c>
      <c r="AA110" s="10" t="e">
        <f t="shared" si="87"/>
        <v>#VALUE!</v>
      </c>
      <c r="AB110" s="10" t="e">
        <f t="shared" si="105"/>
        <v>#VALUE!</v>
      </c>
      <c r="AC110" s="10" t="e">
        <f t="shared" si="106"/>
        <v>#VALUE!</v>
      </c>
      <c r="AD110" s="10" t="e">
        <f t="shared" si="138"/>
        <v>#VALUE!</v>
      </c>
      <c r="AE110" s="10" t="e">
        <f t="shared" si="139"/>
        <v>#VALUE!</v>
      </c>
      <c r="AF110" s="10" t="e">
        <f t="shared" si="88"/>
        <v>#VALUE!</v>
      </c>
      <c r="AG110" s="10" t="e">
        <f t="shared" si="107"/>
        <v>#VALUE!</v>
      </c>
      <c r="AI110" s="13"/>
      <c r="AK110" s="10" t="e">
        <f t="shared" si="108"/>
        <v>#VALUE!</v>
      </c>
      <c r="AL110" s="10" t="e">
        <f t="shared" si="140"/>
        <v>#VALUE!</v>
      </c>
      <c r="AM110" s="10" t="e">
        <f t="shared" si="89"/>
        <v>#VALUE!</v>
      </c>
      <c r="AN110" s="10" t="e">
        <f t="shared" si="109"/>
        <v>#VALUE!</v>
      </c>
      <c r="AO110" s="10" t="e">
        <f t="shared" si="110"/>
        <v>#VALUE!</v>
      </c>
      <c r="AP110" s="10" t="e">
        <f t="shared" si="111"/>
        <v>#VALUE!</v>
      </c>
      <c r="AQ110" s="10" t="e">
        <f t="shared" si="141"/>
        <v>#VALUE!</v>
      </c>
      <c r="AR110" s="10" t="e">
        <f t="shared" si="90"/>
        <v>#VALUE!</v>
      </c>
      <c r="AS110" s="10" t="e">
        <f t="shared" si="142"/>
        <v>#VALUE!</v>
      </c>
      <c r="AU110" s="10" t="e">
        <f t="shared" si="112"/>
        <v>#VALUE!</v>
      </c>
      <c r="AV110" s="10" t="e">
        <f t="shared" si="143"/>
        <v>#VALUE!</v>
      </c>
      <c r="AW110" s="10" t="e">
        <f t="shared" si="91"/>
        <v>#VALUE!</v>
      </c>
      <c r="AX110" s="10" t="e">
        <f t="shared" si="113"/>
        <v>#VALUE!</v>
      </c>
      <c r="AY110" s="10" t="e">
        <f t="shared" si="114"/>
        <v>#VALUE!</v>
      </c>
      <c r="AZ110" s="10" t="e">
        <f t="shared" si="115"/>
        <v>#VALUE!</v>
      </c>
      <c r="BA110" s="10" t="e">
        <f t="shared" si="144"/>
        <v>#VALUE!</v>
      </c>
      <c r="BB110" s="10" t="e">
        <f t="shared" si="92"/>
        <v>#VALUE!</v>
      </c>
      <c r="BC110" s="10" t="e">
        <f t="shared" si="145"/>
        <v>#VALUE!</v>
      </c>
      <c r="BE110" s="10" t="e">
        <f t="shared" si="116"/>
        <v>#VALUE!</v>
      </c>
      <c r="BF110" s="10" t="e">
        <f t="shared" si="146"/>
        <v>#VALUE!</v>
      </c>
      <c r="BG110" s="10" t="e">
        <f t="shared" si="93"/>
        <v>#VALUE!</v>
      </c>
      <c r="BH110" s="10" t="e">
        <f t="shared" si="117"/>
        <v>#VALUE!</v>
      </c>
      <c r="BI110" s="10" t="e">
        <f t="shared" si="118"/>
        <v>#VALUE!</v>
      </c>
      <c r="BJ110" s="10" t="e">
        <f t="shared" si="119"/>
        <v>#VALUE!</v>
      </c>
      <c r="BK110" s="10" t="e">
        <f t="shared" si="147"/>
        <v>#VALUE!</v>
      </c>
      <c r="BL110" s="10" t="e">
        <f t="shared" si="94"/>
        <v>#VALUE!</v>
      </c>
      <c r="BM110" s="10" t="e">
        <f t="shared" si="148"/>
        <v>#VALUE!</v>
      </c>
      <c r="BP110" s="10" t="e">
        <f t="shared" si="120"/>
        <v>#VALUE!</v>
      </c>
      <c r="BQ110" s="10" t="e">
        <f t="shared" si="121"/>
        <v>#VALUE!</v>
      </c>
      <c r="BR110" s="10" t="e">
        <f t="shared" si="122"/>
        <v>#VALUE!</v>
      </c>
      <c r="BS110" s="10" t="e">
        <f t="shared" si="123"/>
        <v>#VALUE!</v>
      </c>
      <c r="BT110" s="10" t="e">
        <f t="shared" si="124"/>
        <v>#VALUE!</v>
      </c>
      <c r="BU110" s="10" t="e">
        <f t="shared" si="125"/>
        <v>#VALUE!</v>
      </c>
      <c r="BW110" s="10" t="e">
        <f t="shared" si="126"/>
        <v>#VALUE!</v>
      </c>
      <c r="BX110" s="10" t="e">
        <f t="shared" si="127"/>
        <v>#VALUE!</v>
      </c>
      <c r="BY110" s="10" t="e">
        <f t="shared" si="128"/>
        <v>#VALUE!</v>
      </c>
      <c r="BZ110" s="10" t="e">
        <f t="shared" si="129"/>
        <v>#VALUE!</v>
      </c>
      <c r="CA110" s="10" t="e">
        <f t="shared" si="130"/>
        <v>#VALUE!</v>
      </c>
      <c r="CB110" s="10" t="e">
        <f t="shared" si="131"/>
        <v>#VALUE!</v>
      </c>
      <c r="CD110" s="10" t="e">
        <f>MATCH(INDEX($BP$12:$BU$12,1,MATCH(BP110,$BP$15:$BU$15,0)),结果汇总!$AI$10:$AI$13,0)</f>
        <v>#VALUE!</v>
      </c>
      <c r="CE110" s="10" t="e">
        <f>MATCH(INDEX($BP$12:$BU$12,1,MATCH(BQ110,$BP$15:$BU$15,0)),结果汇总!$AI$10:$AI$13,0)</f>
        <v>#VALUE!</v>
      </c>
      <c r="CF110" s="10" t="e">
        <f>MATCH(INDEX($BP$12:$BU$12,1,MATCH(BR110,$BP$15:$BU$15,0)),结果汇总!$AI$10:$AI$13,0)</f>
        <v>#VALUE!</v>
      </c>
      <c r="CG110" s="10" t="e">
        <f>MATCH(INDEX($BP$12:$BU$12,1,MATCH(BS110,$BP$15:$BU$15,0)),结果汇总!$AI$10:$AI$13,0)</f>
        <v>#VALUE!</v>
      </c>
      <c r="CH110" s="10" t="e">
        <f>MATCH(INDEX($BP$12:$BU$12,1,MATCH(BT110,$BP$15:$BU$15,0)),结果汇总!$AI$10:$AI$13,0)</f>
        <v>#VALUE!</v>
      </c>
      <c r="CI110" s="10" t="e">
        <f>MATCH(INDEX($BP$12:$BU$12,1,MATCH(BU110,$BP$15:$BU$15,0)),结果汇总!$AI$10:$AI$13,0)</f>
        <v>#VALUE!</v>
      </c>
      <c r="CK110" s="10">
        <f t="shared" si="132"/>
        <v>0</v>
      </c>
      <c r="CL110" s="10">
        <f t="shared" si="132"/>
        <v>0</v>
      </c>
      <c r="CM110" s="10">
        <f t="shared" si="132"/>
        <v>0</v>
      </c>
      <c r="CN110" s="10">
        <f t="shared" si="132"/>
        <v>0</v>
      </c>
      <c r="CO110" s="10">
        <f t="shared" si="133"/>
        <v>0</v>
      </c>
      <c r="CP110" s="10">
        <f t="shared" si="133"/>
        <v>0</v>
      </c>
      <c r="CQ110" s="10">
        <f t="shared" si="133"/>
        <v>0</v>
      </c>
      <c r="CR110" s="10">
        <f t="shared" si="133"/>
        <v>0</v>
      </c>
      <c r="CS110" s="10">
        <f t="shared" si="134"/>
        <v>0</v>
      </c>
      <c r="CT110" s="10">
        <f t="shared" si="134"/>
        <v>0</v>
      </c>
      <c r="CU110" s="10">
        <f t="shared" si="134"/>
        <v>0</v>
      </c>
      <c r="CV110" s="10">
        <f t="shared" si="134"/>
        <v>0</v>
      </c>
      <c r="CW110" s="10">
        <f t="shared" si="135"/>
        <v>0</v>
      </c>
      <c r="CX110" s="10">
        <f t="shared" si="135"/>
        <v>0</v>
      </c>
      <c r="CY110" s="10">
        <f t="shared" si="135"/>
        <v>0</v>
      </c>
      <c r="CZ110" s="10">
        <f t="shared" si="135"/>
        <v>0</v>
      </c>
    </row>
    <row r="111" spans="4:104" x14ac:dyDescent="0.15">
      <c r="D111" s="10">
        <v>96</v>
      </c>
      <c r="E111" s="10" t="e">
        <f t="shared" si="95"/>
        <v>#VALUE!</v>
      </c>
      <c r="F111" s="10" t="e">
        <f t="shared" si="79"/>
        <v>#VALUE!</v>
      </c>
      <c r="G111" s="10" t="e">
        <f t="shared" si="80"/>
        <v>#VALUE!</v>
      </c>
      <c r="H111" s="10" t="e">
        <f t="shared" si="96"/>
        <v>#VALUE!</v>
      </c>
      <c r="I111" s="10" t="e">
        <f t="shared" si="81"/>
        <v>#VALUE!</v>
      </c>
      <c r="J111" s="10" t="e">
        <f t="shared" si="97"/>
        <v>#VALUE!</v>
      </c>
      <c r="K111" s="10" t="e">
        <f t="shared" si="82"/>
        <v>#VALUE!</v>
      </c>
      <c r="L111" s="10" t="e">
        <f t="shared" si="83"/>
        <v>#VALUE!</v>
      </c>
      <c r="M111" s="10" t="e">
        <f t="shared" si="98"/>
        <v>#VALUE!</v>
      </c>
      <c r="O111" s="10" t="e">
        <f t="shared" si="99"/>
        <v>#VALUE!</v>
      </c>
      <c r="P111" s="10" t="e">
        <f t="shared" si="84"/>
        <v>#VALUE!</v>
      </c>
      <c r="Q111" s="10" t="e">
        <f t="shared" si="85"/>
        <v>#VALUE!</v>
      </c>
      <c r="R111" s="10" t="e">
        <f t="shared" si="100"/>
        <v>#VALUE!</v>
      </c>
      <c r="S111" s="10" t="e">
        <f t="shared" si="101"/>
        <v>#VALUE!</v>
      </c>
      <c r="T111" s="10" t="e">
        <f t="shared" si="136"/>
        <v>#VALUE!</v>
      </c>
      <c r="U111" s="10" t="e">
        <f t="shared" si="137"/>
        <v>#VALUE!</v>
      </c>
      <c r="V111" s="10" t="e">
        <f t="shared" si="86"/>
        <v>#VALUE!</v>
      </c>
      <c r="W111" s="10" t="e">
        <f t="shared" si="102"/>
        <v>#VALUE!</v>
      </c>
      <c r="Y111" s="10" t="e">
        <f t="shared" si="103"/>
        <v>#VALUE!</v>
      </c>
      <c r="Z111" s="11" t="e">
        <f t="shared" si="104"/>
        <v>#VALUE!</v>
      </c>
      <c r="AA111" s="10" t="e">
        <f t="shared" si="87"/>
        <v>#VALUE!</v>
      </c>
      <c r="AB111" s="10" t="e">
        <f t="shared" si="105"/>
        <v>#VALUE!</v>
      </c>
      <c r="AC111" s="10" t="e">
        <f t="shared" si="106"/>
        <v>#VALUE!</v>
      </c>
      <c r="AD111" s="10" t="e">
        <f t="shared" si="138"/>
        <v>#VALUE!</v>
      </c>
      <c r="AE111" s="10" t="e">
        <f t="shared" si="139"/>
        <v>#VALUE!</v>
      </c>
      <c r="AF111" s="10" t="e">
        <f t="shared" si="88"/>
        <v>#VALUE!</v>
      </c>
      <c r="AG111" s="10" t="e">
        <f t="shared" si="107"/>
        <v>#VALUE!</v>
      </c>
      <c r="AI111" s="13"/>
      <c r="AK111" s="10" t="e">
        <f t="shared" si="108"/>
        <v>#VALUE!</v>
      </c>
      <c r="AL111" s="10" t="e">
        <f t="shared" si="140"/>
        <v>#VALUE!</v>
      </c>
      <c r="AM111" s="10" t="e">
        <f t="shared" si="89"/>
        <v>#VALUE!</v>
      </c>
      <c r="AN111" s="10" t="e">
        <f t="shared" si="109"/>
        <v>#VALUE!</v>
      </c>
      <c r="AO111" s="10" t="e">
        <f t="shared" si="110"/>
        <v>#VALUE!</v>
      </c>
      <c r="AP111" s="10" t="e">
        <f t="shared" si="111"/>
        <v>#VALUE!</v>
      </c>
      <c r="AQ111" s="10" t="e">
        <f t="shared" si="141"/>
        <v>#VALUE!</v>
      </c>
      <c r="AR111" s="10" t="e">
        <f t="shared" si="90"/>
        <v>#VALUE!</v>
      </c>
      <c r="AS111" s="10" t="e">
        <f t="shared" si="142"/>
        <v>#VALUE!</v>
      </c>
      <c r="AU111" s="10" t="e">
        <f t="shared" si="112"/>
        <v>#VALUE!</v>
      </c>
      <c r="AV111" s="10" t="e">
        <f t="shared" si="143"/>
        <v>#VALUE!</v>
      </c>
      <c r="AW111" s="10" t="e">
        <f t="shared" si="91"/>
        <v>#VALUE!</v>
      </c>
      <c r="AX111" s="10" t="e">
        <f t="shared" si="113"/>
        <v>#VALUE!</v>
      </c>
      <c r="AY111" s="10" t="e">
        <f t="shared" si="114"/>
        <v>#VALUE!</v>
      </c>
      <c r="AZ111" s="10" t="e">
        <f t="shared" si="115"/>
        <v>#VALUE!</v>
      </c>
      <c r="BA111" s="10" t="e">
        <f t="shared" si="144"/>
        <v>#VALUE!</v>
      </c>
      <c r="BB111" s="10" t="e">
        <f t="shared" si="92"/>
        <v>#VALUE!</v>
      </c>
      <c r="BC111" s="10" t="e">
        <f t="shared" si="145"/>
        <v>#VALUE!</v>
      </c>
      <c r="BE111" s="10" t="e">
        <f t="shared" si="116"/>
        <v>#VALUE!</v>
      </c>
      <c r="BF111" s="10" t="e">
        <f t="shared" si="146"/>
        <v>#VALUE!</v>
      </c>
      <c r="BG111" s="10" t="e">
        <f t="shared" si="93"/>
        <v>#VALUE!</v>
      </c>
      <c r="BH111" s="10" t="e">
        <f t="shared" si="117"/>
        <v>#VALUE!</v>
      </c>
      <c r="BI111" s="10" t="e">
        <f t="shared" si="118"/>
        <v>#VALUE!</v>
      </c>
      <c r="BJ111" s="10" t="e">
        <f t="shared" si="119"/>
        <v>#VALUE!</v>
      </c>
      <c r="BK111" s="10" t="e">
        <f t="shared" si="147"/>
        <v>#VALUE!</v>
      </c>
      <c r="BL111" s="10" t="e">
        <f t="shared" si="94"/>
        <v>#VALUE!</v>
      </c>
      <c r="BM111" s="10" t="e">
        <f t="shared" si="148"/>
        <v>#VALUE!</v>
      </c>
      <c r="BP111" s="10" t="e">
        <f t="shared" si="120"/>
        <v>#VALUE!</v>
      </c>
      <c r="BQ111" s="10" t="e">
        <f t="shared" si="121"/>
        <v>#VALUE!</v>
      </c>
      <c r="BR111" s="10" t="e">
        <f t="shared" si="122"/>
        <v>#VALUE!</v>
      </c>
      <c r="BS111" s="10" t="e">
        <f t="shared" si="123"/>
        <v>#VALUE!</v>
      </c>
      <c r="BT111" s="10" t="e">
        <f t="shared" si="124"/>
        <v>#VALUE!</v>
      </c>
      <c r="BU111" s="10" t="e">
        <f t="shared" si="125"/>
        <v>#VALUE!</v>
      </c>
      <c r="BW111" s="10" t="e">
        <f t="shared" si="126"/>
        <v>#VALUE!</v>
      </c>
      <c r="BX111" s="10" t="e">
        <f t="shared" si="127"/>
        <v>#VALUE!</v>
      </c>
      <c r="BY111" s="10" t="e">
        <f t="shared" si="128"/>
        <v>#VALUE!</v>
      </c>
      <c r="BZ111" s="10" t="e">
        <f t="shared" si="129"/>
        <v>#VALUE!</v>
      </c>
      <c r="CA111" s="10" t="e">
        <f t="shared" si="130"/>
        <v>#VALUE!</v>
      </c>
      <c r="CB111" s="10" t="e">
        <f t="shared" si="131"/>
        <v>#VALUE!</v>
      </c>
      <c r="CD111" s="10" t="e">
        <f>MATCH(INDEX($BP$12:$BU$12,1,MATCH(BP111,$BP$15:$BU$15,0)),结果汇总!$AI$10:$AI$13,0)</f>
        <v>#VALUE!</v>
      </c>
      <c r="CE111" s="10" t="e">
        <f>MATCH(INDEX($BP$12:$BU$12,1,MATCH(BQ111,$BP$15:$BU$15,0)),结果汇总!$AI$10:$AI$13,0)</f>
        <v>#VALUE!</v>
      </c>
      <c r="CF111" s="10" t="e">
        <f>MATCH(INDEX($BP$12:$BU$12,1,MATCH(BR111,$BP$15:$BU$15,0)),结果汇总!$AI$10:$AI$13,0)</f>
        <v>#VALUE!</v>
      </c>
      <c r="CG111" s="10" t="e">
        <f>MATCH(INDEX($BP$12:$BU$12,1,MATCH(BS111,$BP$15:$BU$15,0)),结果汇总!$AI$10:$AI$13,0)</f>
        <v>#VALUE!</v>
      </c>
      <c r="CH111" s="10" t="e">
        <f>MATCH(INDEX($BP$12:$BU$12,1,MATCH(BT111,$BP$15:$BU$15,0)),结果汇总!$AI$10:$AI$13,0)</f>
        <v>#VALUE!</v>
      </c>
      <c r="CI111" s="10" t="e">
        <f>MATCH(INDEX($BP$12:$BU$12,1,MATCH(BU111,$BP$15:$BU$15,0)),结果汇总!$AI$10:$AI$13,0)</f>
        <v>#VALUE!</v>
      </c>
      <c r="CK111" s="10">
        <f t="shared" si="132"/>
        <v>0</v>
      </c>
      <c r="CL111" s="10">
        <f t="shared" si="132"/>
        <v>0</v>
      </c>
      <c r="CM111" s="10">
        <f t="shared" si="132"/>
        <v>0</v>
      </c>
      <c r="CN111" s="10">
        <f t="shared" si="132"/>
        <v>0</v>
      </c>
      <c r="CO111" s="10">
        <f t="shared" si="133"/>
        <v>0</v>
      </c>
      <c r="CP111" s="10">
        <f t="shared" si="133"/>
        <v>0</v>
      </c>
      <c r="CQ111" s="10">
        <f t="shared" si="133"/>
        <v>0</v>
      </c>
      <c r="CR111" s="10">
        <f t="shared" si="133"/>
        <v>0</v>
      </c>
      <c r="CS111" s="10">
        <f t="shared" si="134"/>
        <v>0</v>
      </c>
      <c r="CT111" s="10">
        <f t="shared" si="134"/>
        <v>0</v>
      </c>
      <c r="CU111" s="10">
        <f t="shared" si="134"/>
        <v>0</v>
      </c>
      <c r="CV111" s="10">
        <f t="shared" si="134"/>
        <v>0</v>
      </c>
      <c r="CW111" s="10">
        <f t="shared" si="135"/>
        <v>0</v>
      </c>
      <c r="CX111" s="10">
        <f t="shared" si="135"/>
        <v>0</v>
      </c>
      <c r="CY111" s="10">
        <f t="shared" si="135"/>
        <v>0</v>
      </c>
      <c r="CZ111" s="10">
        <f t="shared" si="135"/>
        <v>0</v>
      </c>
    </row>
    <row r="112" spans="4:104" x14ac:dyDescent="0.15">
      <c r="D112" s="10">
        <v>97</v>
      </c>
      <c r="E112" s="10" t="e">
        <f t="shared" si="95"/>
        <v>#VALUE!</v>
      </c>
      <c r="F112" s="10" t="e">
        <f t="shared" si="79"/>
        <v>#VALUE!</v>
      </c>
      <c r="G112" s="10" t="e">
        <f t="shared" si="80"/>
        <v>#VALUE!</v>
      </c>
      <c r="H112" s="10" t="e">
        <f t="shared" si="96"/>
        <v>#VALUE!</v>
      </c>
      <c r="I112" s="10" t="e">
        <f t="shared" si="81"/>
        <v>#VALUE!</v>
      </c>
      <c r="J112" s="10" t="e">
        <f t="shared" si="97"/>
        <v>#VALUE!</v>
      </c>
      <c r="K112" s="10" t="e">
        <f t="shared" si="82"/>
        <v>#VALUE!</v>
      </c>
      <c r="L112" s="10" t="e">
        <f t="shared" si="83"/>
        <v>#VALUE!</v>
      </c>
      <c r="M112" s="10" t="e">
        <f t="shared" si="98"/>
        <v>#VALUE!</v>
      </c>
      <c r="O112" s="10" t="e">
        <f t="shared" si="99"/>
        <v>#VALUE!</v>
      </c>
      <c r="P112" s="10" t="e">
        <f t="shared" si="84"/>
        <v>#VALUE!</v>
      </c>
      <c r="Q112" s="10" t="e">
        <f t="shared" si="85"/>
        <v>#VALUE!</v>
      </c>
      <c r="R112" s="10" t="e">
        <f t="shared" si="100"/>
        <v>#VALUE!</v>
      </c>
      <c r="S112" s="10" t="e">
        <f t="shared" si="101"/>
        <v>#VALUE!</v>
      </c>
      <c r="T112" s="10" t="e">
        <f t="shared" si="136"/>
        <v>#VALUE!</v>
      </c>
      <c r="U112" s="10" t="e">
        <f t="shared" si="137"/>
        <v>#VALUE!</v>
      </c>
      <c r="V112" s="10" t="e">
        <f t="shared" si="86"/>
        <v>#VALUE!</v>
      </c>
      <c r="W112" s="10" t="e">
        <f t="shared" si="102"/>
        <v>#VALUE!</v>
      </c>
      <c r="Y112" s="10" t="e">
        <f t="shared" si="103"/>
        <v>#VALUE!</v>
      </c>
      <c r="Z112" s="11" t="e">
        <f t="shared" si="104"/>
        <v>#VALUE!</v>
      </c>
      <c r="AA112" s="10" t="e">
        <f t="shared" si="87"/>
        <v>#VALUE!</v>
      </c>
      <c r="AB112" s="10" t="e">
        <f t="shared" si="105"/>
        <v>#VALUE!</v>
      </c>
      <c r="AC112" s="10" t="e">
        <f t="shared" si="106"/>
        <v>#VALUE!</v>
      </c>
      <c r="AD112" s="10" t="e">
        <f t="shared" si="138"/>
        <v>#VALUE!</v>
      </c>
      <c r="AE112" s="10" t="e">
        <f t="shared" si="139"/>
        <v>#VALUE!</v>
      </c>
      <c r="AF112" s="10" t="e">
        <f t="shared" si="88"/>
        <v>#VALUE!</v>
      </c>
      <c r="AG112" s="10" t="e">
        <f t="shared" si="107"/>
        <v>#VALUE!</v>
      </c>
      <c r="AI112" s="13"/>
      <c r="AK112" s="10" t="e">
        <f t="shared" si="108"/>
        <v>#VALUE!</v>
      </c>
      <c r="AL112" s="10" t="e">
        <f t="shared" si="140"/>
        <v>#VALUE!</v>
      </c>
      <c r="AM112" s="10" t="e">
        <f t="shared" si="89"/>
        <v>#VALUE!</v>
      </c>
      <c r="AN112" s="10" t="e">
        <f t="shared" si="109"/>
        <v>#VALUE!</v>
      </c>
      <c r="AO112" s="10" t="e">
        <f t="shared" si="110"/>
        <v>#VALUE!</v>
      </c>
      <c r="AP112" s="10" t="e">
        <f t="shared" si="111"/>
        <v>#VALUE!</v>
      </c>
      <c r="AQ112" s="10" t="e">
        <f t="shared" si="141"/>
        <v>#VALUE!</v>
      </c>
      <c r="AR112" s="10" t="e">
        <f t="shared" si="90"/>
        <v>#VALUE!</v>
      </c>
      <c r="AS112" s="10" t="e">
        <f t="shared" si="142"/>
        <v>#VALUE!</v>
      </c>
      <c r="AU112" s="10" t="e">
        <f t="shared" si="112"/>
        <v>#VALUE!</v>
      </c>
      <c r="AV112" s="10" t="e">
        <f t="shared" si="143"/>
        <v>#VALUE!</v>
      </c>
      <c r="AW112" s="10" t="e">
        <f t="shared" si="91"/>
        <v>#VALUE!</v>
      </c>
      <c r="AX112" s="10" t="e">
        <f t="shared" si="113"/>
        <v>#VALUE!</v>
      </c>
      <c r="AY112" s="10" t="e">
        <f t="shared" si="114"/>
        <v>#VALUE!</v>
      </c>
      <c r="AZ112" s="10" t="e">
        <f t="shared" si="115"/>
        <v>#VALUE!</v>
      </c>
      <c r="BA112" s="10" t="e">
        <f t="shared" si="144"/>
        <v>#VALUE!</v>
      </c>
      <c r="BB112" s="10" t="e">
        <f t="shared" si="92"/>
        <v>#VALUE!</v>
      </c>
      <c r="BC112" s="10" t="e">
        <f t="shared" si="145"/>
        <v>#VALUE!</v>
      </c>
      <c r="BE112" s="10" t="e">
        <f t="shared" si="116"/>
        <v>#VALUE!</v>
      </c>
      <c r="BF112" s="10" t="e">
        <f t="shared" si="146"/>
        <v>#VALUE!</v>
      </c>
      <c r="BG112" s="10" t="e">
        <f t="shared" si="93"/>
        <v>#VALUE!</v>
      </c>
      <c r="BH112" s="10" t="e">
        <f t="shared" si="117"/>
        <v>#VALUE!</v>
      </c>
      <c r="BI112" s="10" t="e">
        <f t="shared" si="118"/>
        <v>#VALUE!</v>
      </c>
      <c r="BJ112" s="10" t="e">
        <f t="shared" si="119"/>
        <v>#VALUE!</v>
      </c>
      <c r="BK112" s="10" t="e">
        <f t="shared" si="147"/>
        <v>#VALUE!</v>
      </c>
      <c r="BL112" s="10" t="e">
        <f t="shared" si="94"/>
        <v>#VALUE!</v>
      </c>
      <c r="BM112" s="10" t="e">
        <f t="shared" si="148"/>
        <v>#VALUE!</v>
      </c>
      <c r="BP112" s="10" t="e">
        <f t="shared" si="120"/>
        <v>#VALUE!</v>
      </c>
      <c r="BQ112" s="10" t="e">
        <f t="shared" si="121"/>
        <v>#VALUE!</v>
      </c>
      <c r="BR112" s="10" t="e">
        <f t="shared" si="122"/>
        <v>#VALUE!</v>
      </c>
      <c r="BS112" s="10" t="e">
        <f t="shared" si="123"/>
        <v>#VALUE!</v>
      </c>
      <c r="BT112" s="10" t="e">
        <f t="shared" si="124"/>
        <v>#VALUE!</v>
      </c>
      <c r="BU112" s="10" t="e">
        <f t="shared" si="125"/>
        <v>#VALUE!</v>
      </c>
      <c r="BW112" s="10" t="e">
        <f t="shared" si="126"/>
        <v>#VALUE!</v>
      </c>
      <c r="BX112" s="10" t="e">
        <f t="shared" si="127"/>
        <v>#VALUE!</v>
      </c>
      <c r="BY112" s="10" t="e">
        <f t="shared" si="128"/>
        <v>#VALUE!</v>
      </c>
      <c r="BZ112" s="10" t="e">
        <f t="shared" si="129"/>
        <v>#VALUE!</v>
      </c>
      <c r="CA112" s="10" t="e">
        <f t="shared" si="130"/>
        <v>#VALUE!</v>
      </c>
      <c r="CB112" s="10" t="e">
        <f t="shared" si="131"/>
        <v>#VALUE!</v>
      </c>
      <c r="CD112" s="10" t="e">
        <f>MATCH(INDEX($BP$12:$BU$12,1,MATCH(BP112,$BP$15:$BU$15,0)),结果汇总!$AI$10:$AI$13,0)</f>
        <v>#VALUE!</v>
      </c>
      <c r="CE112" s="10" t="e">
        <f>MATCH(INDEX($BP$12:$BU$12,1,MATCH(BQ112,$BP$15:$BU$15,0)),结果汇总!$AI$10:$AI$13,0)</f>
        <v>#VALUE!</v>
      </c>
      <c r="CF112" s="10" t="e">
        <f>MATCH(INDEX($BP$12:$BU$12,1,MATCH(BR112,$BP$15:$BU$15,0)),结果汇总!$AI$10:$AI$13,0)</f>
        <v>#VALUE!</v>
      </c>
      <c r="CG112" s="10" t="e">
        <f>MATCH(INDEX($BP$12:$BU$12,1,MATCH(BS112,$BP$15:$BU$15,0)),结果汇总!$AI$10:$AI$13,0)</f>
        <v>#VALUE!</v>
      </c>
      <c r="CH112" s="10" t="e">
        <f>MATCH(INDEX($BP$12:$BU$12,1,MATCH(BT112,$BP$15:$BU$15,0)),结果汇总!$AI$10:$AI$13,0)</f>
        <v>#VALUE!</v>
      </c>
      <c r="CI112" s="10" t="e">
        <f>MATCH(INDEX($BP$12:$BU$12,1,MATCH(BU112,$BP$15:$BU$15,0)),结果汇总!$AI$10:$AI$13,0)</f>
        <v>#VALUE!</v>
      </c>
      <c r="CK112" s="10">
        <f t="shared" si="132"/>
        <v>0</v>
      </c>
      <c r="CL112" s="10">
        <f t="shared" si="132"/>
        <v>0</v>
      </c>
      <c r="CM112" s="10">
        <f t="shared" si="132"/>
        <v>0</v>
      </c>
      <c r="CN112" s="10">
        <f t="shared" si="132"/>
        <v>0</v>
      </c>
      <c r="CO112" s="10">
        <f t="shared" si="133"/>
        <v>0</v>
      </c>
      <c r="CP112" s="10">
        <f t="shared" si="133"/>
        <v>0</v>
      </c>
      <c r="CQ112" s="10">
        <f t="shared" si="133"/>
        <v>0</v>
      </c>
      <c r="CR112" s="10">
        <f t="shared" si="133"/>
        <v>0</v>
      </c>
      <c r="CS112" s="10">
        <f t="shared" si="134"/>
        <v>0</v>
      </c>
      <c r="CT112" s="10">
        <f t="shared" si="134"/>
        <v>0</v>
      </c>
      <c r="CU112" s="10">
        <f t="shared" si="134"/>
        <v>0</v>
      </c>
      <c r="CV112" s="10">
        <f t="shared" si="134"/>
        <v>0</v>
      </c>
      <c r="CW112" s="10">
        <f t="shared" si="135"/>
        <v>0</v>
      </c>
      <c r="CX112" s="10">
        <f t="shared" si="135"/>
        <v>0</v>
      </c>
      <c r="CY112" s="10">
        <f t="shared" si="135"/>
        <v>0</v>
      </c>
      <c r="CZ112" s="10">
        <f t="shared" si="135"/>
        <v>0</v>
      </c>
    </row>
    <row r="113" spans="4:104" x14ac:dyDescent="0.15">
      <c r="D113" s="10">
        <v>98</v>
      </c>
      <c r="E113" s="10" t="e">
        <f t="shared" si="95"/>
        <v>#VALUE!</v>
      </c>
      <c r="F113" s="10" t="e">
        <f t="shared" si="79"/>
        <v>#VALUE!</v>
      </c>
      <c r="G113" s="10" t="e">
        <f t="shared" si="80"/>
        <v>#VALUE!</v>
      </c>
      <c r="H113" s="10" t="e">
        <f t="shared" si="96"/>
        <v>#VALUE!</v>
      </c>
      <c r="I113" s="10" t="e">
        <f t="shared" si="81"/>
        <v>#VALUE!</v>
      </c>
      <c r="J113" s="10" t="e">
        <f t="shared" si="97"/>
        <v>#VALUE!</v>
      </c>
      <c r="K113" s="10" t="e">
        <f t="shared" si="82"/>
        <v>#VALUE!</v>
      </c>
      <c r="L113" s="10" t="e">
        <f t="shared" si="83"/>
        <v>#VALUE!</v>
      </c>
      <c r="M113" s="10" t="e">
        <f t="shared" si="98"/>
        <v>#VALUE!</v>
      </c>
      <c r="O113" s="10" t="e">
        <f t="shared" si="99"/>
        <v>#VALUE!</v>
      </c>
      <c r="P113" s="10" t="e">
        <f t="shared" si="84"/>
        <v>#VALUE!</v>
      </c>
      <c r="Q113" s="10" t="e">
        <f t="shared" si="85"/>
        <v>#VALUE!</v>
      </c>
      <c r="R113" s="10" t="e">
        <f t="shared" si="100"/>
        <v>#VALUE!</v>
      </c>
      <c r="S113" s="10" t="e">
        <f t="shared" si="101"/>
        <v>#VALUE!</v>
      </c>
      <c r="T113" s="10" t="e">
        <f t="shared" si="136"/>
        <v>#VALUE!</v>
      </c>
      <c r="U113" s="10" t="e">
        <f t="shared" si="137"/>
        <v>#VALUE!</v>
      </c>
      <c r="V113" s="10" t="e">
        <f t="shared" si="86"/>
        <v>#VALUE!</v>
      </c>
      <c r="W113" s="10" t="e">
        <f t="shared" si="102"/>
        <v>#VALUE!</v>
      </c>
      <c r="Y113" s="10" t="e">
        <f t="shared" si="103"/>
        <v>#VALUE!</v>
      </c>
      <c r="Z113" s="11" t="e">
        <f t="shared" si="104"/>
        <v>#VALUE!</v>
      </c>
      <c r="AA113" s="10" t="e">
        <f t="shared" si="87"/>
        <v>#VALUE!</v>
      </c>
      <c r="AB113" s="10" t="e">
        <f t="shared" si="105"/>
        <v>#VALUE!</v>
      </c>
      <c r="AC113" s="10" t="e">
        <f t="shared" si="106"/>
        <v>#VALUE!</v>
      </c>
      <c r="AD113" s="10" t="e">
        <f t="shared" si="138"/>
        <v>#VALUE!</v>
      </c>
      <c r="AE113" s="10" t="e">
        <f t="shared" si="139"/>
        <v>#VALUE!</v>
      </c>
      <c r="AF113" s="10" t="e">
        <f t="shared" si="88"/>
        <v>#VALUE!</v>
      </c>
      <c r="AG113" s="10" t="e">
        <f t="shared" si="107"/>
        <v>#VALUE!</v>
      </c>
      <c r="AI113" s="13"/>
      <c r="AK113" s="10" t="e">
        <f t="shared" si="108"/>
        <v>#VALUE!</v>
      </c>
      <c r="AL113" s="10" t="e">
        <f t="shared" si="140"/>
        <v>#VALUE!</v>
      </c>
      <c r="AM113" s="10" t="e">
        <f t="shared" si="89"/>
        <v>#VALUE!</v>
      </c>
      <c r="AN113" s="10" t="e">
        <f t="shared" si="109"/>
        <v>#VALUE!</v>
      </c>
      <c r="AO113" s="10" t="e">
        <f t="shared" si="110"/>
        <v>#VALUE!</v>
      </c>
      <c r="AP113" s="10" t="e">
        <f t="shared" si="111"/>
        <v>#VALUE!</v>
      </c>
      <c r="AQ113" s="10" t="e">
        <f t="shared" si="141"/>
        <v>#VALUE!</v>
      </c>
      <c r="AR113" s="10" t="e">
        <f t="shared" si="90"/>
        <v>#VALUE!</v>
      </c>
      <c r="AS113" s="10" t="e">
        <f t="shared" si="142"/>
        <v>#VALUE!</v>
      </c>
      <c r="AU113" s="10" t="e">
        <f t="shared" si="112"/>
        <v>#VALUE!</v>
      </c>
      <c r="AV113" s="10" t="e">
        <f t="shared" si="143"/>
        <v>#VALUE!</v>
      </c>
      <c r="AW113" s="10" t="e">
        <f t="shared" si="91"/>
        <v>#VALUE!</v>
      </c>
      <c r="AX113" s="10" t="e">
        <f t="shared" si="113"/>
        <v>#VALUE!</v>
      </c>
      <c r="AY113" s="10" t="e">
        <f t="shared" si="114"/>
        <v>#VALUE!</v>
      </c>
      <c r="AZ113" s="10" t="e">
        <f t="shared" si="115"/>
        <v>#VALUE!</v>
      </c>
      <c r="BA113" s="10" t="e">
        <f t="shared" si="144"/>
        <v>#VALUE!</v>
      </c>
      <c r="BB113" s="10" t="e">
        <f t="shared" si="92"/>
        <v>#VALUE!</v>
      </c>
      <c r="BC113" s="10" t="e">
        <f t="shared" si="145"/>
        <v>#VALUE!</v>
      </c>
      <c r="BE113" s="10" t="e">
        <f t="shared" si="116"/>
        <v>#VALUE!</v>
      </c>
      <c r="BF113" s="10" t="e">
        <f t="shared" si="146"/>
        <v>#VALUE!</v>
      </c>
      <c r="BG113" s="10" t="e">
        <f t="shared" si="93"/>
        <v>#VALUE!</v>
      </c>
      <c r="BH113" s="10" t="e">
        <f t="shared" si="117"/>
        <v>#VALUE!</v>
      </c>
      <c r="BI113" s="10" t="e">
        <f t="shared" si="118"/>
        <v>#VALUE!</v>
      </c>
      <c r="BJ113" s="10" t="e">
        <f t="shared" si="119"/>
        <v>#VALUE!</v>
      </c>
      <c r="BK113" s="10" t="e">
        <f t="shared" si="147"/>
        <v>#VALUE!</v>
      </c>
      <c r="BL113" s="10" t="e">
        <f t="shared" si="94"/>
        <v>#VALUE!</v>
      </c>
      <c r="BM113" s="10" t="e">
        <f t="shared" si="148"/>
        <v>#VALUE!</v>
      </c>
      <c r="BP113" s="10" t="e">
        <f t="shared" si="120"/>
        <v>#VALUE!</v>
      </c>
      <c r="BQ113" s="10" t="e">
        <f t="shared" si="121"/>
        <v>#VALUE!</v>
      </c>
      <c r="BR113" s="10" t="e">
        <f t="shared" si="122"/>
        <v>#VALUE!</v>
      </c>
      <c r="BS113" s="10" t="e">
        <f t="shared" si="123"/>
        <v>#VALUE!</v>
      </c>
      <c r="BT113" s="10" t="e">
        <f t="shared" si="124"/>
        <v>#VALUE!</v>
      </c>
      <c r="BU113" s="10" t="e">
        <f t="shared" si="125"/>
        <v>#VALUE!</v>
      </c>
      <c r="BW113" s="10" t="e">
        <f t="shared" si="126"/>
        <v>#VALUE!</v>
      </c>
      <c r="BX113" s="10" t="e">
        <f t="shared" si="127"/>
        <v>#VALUE!</v>
      </c>
      <c r="BY113" s="10" t="e">
        <f t="shared" si="128"/>
        <v>#VALUE!</v>
      </c>
      <c r="BZ113" s="10" t="e">
        <f t="shared" si="129"/>
        <v>#VALUE!</v>
      </c>
      <c r="CA113" s="10" t="e">
        <f t="shared" si="130"/>
        <v>#VALUE!</v>
      </c>
      <c r="CB113" s="10" t="e">
        <f t="shared" si="131"/>
        <v>#VALUE!</v>
      </c>
      <c r="CD113" s="10" t="e">
        <f>MATCH(INDEX($BP$12:$BU$12,1,MATCH(BP113,$BP$15:$BU$15,0)),结果汇总!$AI$10:$AI$13,0)</f>
        <v>#VALUE!</v>
      </c>
      <c r="CE113" s="10" t="e">
        <f>MATCH(INDEX($BP$12:$BU$12,1,MATCH(BQ113,$BP$15:$BU$15,0)),结果汇总!$AI$10:$AI$13,0)</f>
        <v>#VALUE!</v>
      </c>
      <c r="CF113" s="10" t="e">
        <f>MATCH(INDEX($BP$12:$BU$12,1,MATCH(BR113,$BP$15:$BU$15,0)),结果汇总!$AI$10:$AI$13,0)</f>
        <v>#VALUE!</v>
      </c>
      <c r="CG113" s="10" t="e">
        <f>MATCH(INDEX($BP$12:$BU$12,1,MATCH(BS113,$BP$15:$BU$15,0)),结果汇总!$AI$10:$AI$13,0)</f>
        <v>#VALUE!</v>
      </c>
      <c r="CH113" s="10" t="e">
        <f>MATCH(INDEX($BP$12:$BU$12,1,MATCH(BT113,$BP$15:$BU$15,0)),结果汇总!$AI$10:$AI$13,0)</f>
        <v>#VALUE!</v>
      </c>
      <c r="CI113" s="10" t="e">
        <f>MATCH(INDEX($BP$12:$BU$12,1,MATCH(BU113,$BP$15:$BU$15,0)),结果汇总!$AI$10:$AI$13,0)</f>
        <v>#VALUE!</v>
      </c>
      <c r="CK113" s="10">
        <f t="shared" ref="CK113:CN135" si="149">COUNTIFS($CD113:$CI113,CK$15,$CD$15:$CI$15,$CK$14)/COUNTIFS($CD$15:$CI$15,$CK$14)</f>
        <v>0</v>
      </c>
      <c r="CL113" s="10">
        <f t="shared" si="149"/>
        <v>0</v>
      </c>
      <c r="CM113" s="10">
        <f t="shared" si="149"/>
        <v>0</v>
      </c>
      <c r="CN113" s="10">
        <f t="shared" si="149"/>
        <v>0</v>
      </c>
      <c r="CO113" s="10">
        <f t="shared" ref="CO113:CR135" si="150">COUNTIFS($CD113:$CI113,CO$15,$CD$15:$CI$15,$CO$14)/COUNTIFS($CD$15:$CI$15,$CO$14)</f>
        <v>0</v>
      </c>
      <c r="CP113" s="10">
        <f t="shared" si="150"/>
        <v>0</v>
      </c>
      <c r="CQ113" s="10">
        <f t="shared" si="150"/>
        <v>0</v>
      </c>
      <c r="CR113" s="10">
        <f t="shared" si="150"/>
        <v>0</v>
      </c>
      <c r="CS113" s="10">
        <f t="shared" ref="CS113:CV135" si="151">COUNTIFS($CD113:$CI113,CS$15,$CD$15:$CI$15,$CS$14)/COUNTIFS($CD$15:$CI$15,$CS$14)</f>
        <v>0</v>
      </c>
      <c r="CT113" s="10">
        <f t="shared" si="151"/>
        <v>0</v>
      </c>
      <c r="CU113" s="10">
        <f t="shared" si="151"/>
        <v>0</v>
      </c>
      <c r="CV113" s="10">
        <f t="shared" si="151"/>
        <v>0</v>
      </c>
      <c r="CW113" s="10">
        <f t="shared" ref="CW113:CZ135" si="152">COUNTIFS($CD113:$CI113,CW$15,$CD$15:$CI$15,$CW$14)/COUNTIFS($CD$15:$CI$15,$CW$14)</f>
        <v>0</v>
      </c>
      <c r="CX113" s="10">
        <f t="shared" si="152"/>
        <v>0</v>
      </c>
      <c r="CY113" s="10">
        <f t="shared" si="152"/>
        <v>0</v>
      </c>
      <c r="CZ113" s="10">
        <f t="shared" si="152"/>
        <v>0</v>
      </c>
    </row>
    <row r="114" spans="4:104" x14ac:dyDescent="0.15">
      <c r="D114" s="10">
        <v>99</v>
      </c>
      <c r="E114" s="10" t="e">
        <f t="shared" si="95"/>
        <v>#VALUE!</v>
      </c>
      <c r="F114" s="10" t="e">
        <f t="shared" si="79"/>
        <v>#VALUE!</v>
      </c>
      <c r="G114" s="10" t="e">
        <f t="shared" si="80"/>
        <v>#VALUE!</v>
      </c>
      <c r="H114" s="10" t="e">
        <f t="shared" si="96"/>
        <v>#VALUE!</v>
      </c>
      <c r="I114" s="10" t="e">
        <f t="shared" si="81"/>
        <v>#VALUE!</v>
      </c>
      <c r="J114" s="10" t="e">
        <f t="shared" si="97"/>
        <v>#VALUE!</v>
      </c>
      <c r="K114" s="10" t="e">
        <f t="shared" si="82"/>
        <v>#VALUE!</v>
      </c>
      <c r="L114" s="10" t="e">
        <f t="shared" si="83"/>
        <v>#VALUE!</v>
      </c>
      <c r="M114" s="10" t="e">
        <f t="shared" si="98"/>
        <v>#VALUE!</v>
      </c>
      <c r="O114" s="10" t="e">
        <f t="shared" si="99"/>
        <v>#VALUE!</v>
      </c>
      <c r="P114" s="10" t="e">
        <f t="shared" si="84"/>
        <v>#VALUE!</v>
      </c>
      <c r="Q114" s="10" t="e">
        <f t="shared" si="85"/>
        <v>#VALUE!</v>
      </c>
      <c r="R114" s="10" t="e">
        <f t="shared" si="100"/>
        <v>#VALUE!</v>
      </c>
      <c r="S114" s="10" t="e">
        <f t="shared" si="101"/>
        <v>#VALUE!</v>
      </c>
      <c r="T114" s="10" t="e">
        <f t="shared" si="136"/>
        <v>#VALUE!</v>
      </c>
      <c r="U114" s="10" t="e">
        <f t="shared" si="137"/>
        <v>#VALUE!</v>
      </c>
      <c r="V114" s="10" t="e">
        <f t="shared" si="86"/>
        <v>#VALUE!</v>
      </c>
      <c r="W114" s="10" t="e">
        <f t="shared" si="102"/>
        <v>#VALUE!</v>
      </c>
      <c r="Y114" s="10" t="e">
        <f t="shared" si="103"/>
        <v>#VALUE!</v>
      </c>
      <c r="Z114" s="11" t="e">
        <f t="shared" si="104"/>
        <v>#VALUE!</v>
      </c>
      <c r="AA114" s="10" t="e">
        <f t="shared" si="87"/>
        <v>#VALUE!</v>
      </c>
      <c r="AB114" s="10" t="e">
        <f t="shared" si="105"/>
        <v>#VALUE!</v>
      </c>
      <c r="AC114" s="10" t="e">
        <f t="shared" si="106"/>
        <v>#VALUE!</v>
      </c>
      <c r="AD114" s="10" t="e">
        <f t="shared" si="138"/>
        <v>#VALUE!</v>
      </c>
      <c r="AE114" s="10" t="e">
        <f t="shared" si="139"/>
        <v>#VALUE!</v>
      </c>
      <c r="AF114" s="10" t="e">
        <f t="shared" si="88"/>
        <v>#VALUE!</v>
      </c>
      <c r="AG114" s="10" t="e">
        <f t="shared" si="107"/>
        <v>#VALUE!</v>
      </c>
      <c r="AI114" s="13"/>
      <c r="AK114" s="10" t="e">
        <f t="shared" si="108"/>
        <v>#VALUE!</v>
      </c>
      <c r="AL114" s="10" t="e">
        <f t="shared" si="140"/>
        <v>#VALUE!</v>
      </c>
      <c r="AM114" s="10" t="e">
        <f t="shared" si="89"/>
        <v>#VALUE!</v>
      </c>
      <c r="AN114" s="10" t="e">
        <f t="shared" si="109"/>
        <v>#VALUE!</v>
      </c>
      <c r="AO114" s="10" t="e">
        <f t="shared" si="110"/>
        <v>#VALUE!</v>
      </c>
      <c r="AP114" s="10" t="e">
        <f t="shared" si="111"/>
        <v>#VALUE!</v>
      </c>
      <c r="AQ114" s="10" t="e">
        <f t="shared" si="141"/>
        <v>#VALUE!</v>
      </c>
      <c r="AR114" s="10" t="e">
        <f t="shared" si="90"/>
        <v>#VALUE!</v>
      </c>
      <c r="AS114" s="10" t="e">
        <f t="shared" si="142"/>
        <v>#VALUE!</v>
      </c>
      <c r="AU114" s="10" t="e">
        <f t="shared" si="112"/>
        <v>#VALUE!</v>
      </c>
      <c r="AV114" s="10" t="e">
        <f t="shared" si="143"/>
        <v>#VALUE!</v>
      </c>
      <c r="AW114" s="10" t="e">
        <f t="shared" si="91"/>
        <v>#VALUE!</v>
      </c>
      <c r="AX114" s="10" t="e">
        <f t="shared" si="113"/>
        <v>#VALUE!</v>
      </c>
      <c r="AY114" s="10" t="e">
        <f t="shared" si="114"/>
        <v>#VALUE!</v>
      </c>
      <c r="AZ114" s="10" t="e">
        <f t="shared" si="115"/>
        <v>#VALUE!</v>
      </c>
      <c r="BA114" s="10" t="e">
        <f t="shared" si="144"/>
        <v>#VALUE!</v>
      </c>
      <c r="BB114" s="10" t="e">
        <f t="shared" si="92"/>
        <v>#VALUE!</v>
      </c>
      <c r="BC114" s="10" t="e">
        <f t="shared" si="145"/>
        <v>#VALUE!</v>
      </c>
      <c r="BE114" s="10" t="e">
        <f t="shared" si="116"/>
        <v>#VALUE!</v>
      </c>
      <c r="BF114" s="10" t="e">
        <f t="shared" si="146"/>
        <v>#VALUE!</v>
      </c>
      <c r="BG114" s="10" t="e">
        <f t="shared" si="93"/>
        <v>#VALUE!</v>
      </c>
      <c r="BH114" s="10" t="e">
        <f t="shared" si="117"/>
        <v>#VALUE!</v>
      </c>
      <c r="BI114" s="10" t="e">
        <f t="shared" si="118"/>
        <v>#VALUE!</v>
      </c>
      <c r="BJ114" s="10" t="e">
        <f t="shared" si="119"/>
        <v>#VALUE!</v>
      </c>
      <c r="BK114" s="10" t="e">
        <f t="shared" si="147"/>
        <v>#VALUE!</v>
      </c>
      <c r="BL114" s="10" t="e">
        <f t="shared" si="94"/>
        <v>#VALUE!</v>
      </c>
      <c r="BM114" s="10" t="e">
        <f t="shared" si="148"/>
        <v>#VALUE!</v>
      </c>
      <c r="BP114" s="10" t="e">
        <f t="shared" si="120"/>
        <v>#VALUE!</v>
      </c>
      <c r="BQ114" s="10" t="e">
        <f t="shared" si="121"/>
        <v>#VALUE!</v>
      </c>
      <c r="BR114" s="10" t="e">
        <f t="shared" si="122"/>
        <v>#VALUE!</v>
      </c>
      <c r="BS114" s="10" t="e">
        <f t="shared" si="123"/>
        <v>#VALUE!</v>
      </c>
      <c r="BT114" s="10" t="e">
        <f t="shared" si="124"/>
        <v>#VALUE!</v>
      </c>
      <c r="BU114" s="10" t="e">
        <f t="shared" si="125"/>
        <v>#VALUE!</v>
      </c>
      <c r="BW114" s="10" t="e">
        <f t="shared" si="126"/>
        <v>#VALUE!</v>
      </c>
      <c r="BX114" s="10" t="e">
        <f t="shared" si="127"/>
        <v>#VALUE!</v>
      </c>
      <c r="BY114" s="10" t="e">
        <f t="shared" si="128"/>
        <v>#VALUE!</v>
      </c>
      <c r="BZ114" s="10" t="e">
        <f t="shared" si="129"/>
        <v>#VALUE!</v>
      </c>
      <c r="CA114" s="10" t="e">
        <f t="shared" si="130"/>
        <v>#VALUE!</v>
      </c>
      <c r="CB114" s="10" t="e">
        <f t="shared" si="131"/>
        <v>#VALUE!</v>
      </c>
      <c r="CD114" s="10" t="e">
        <f>MATCH(INDEX($BP$12:$BU$12,1,MATCH(BP114,$BP$15:$BU$15,0)),结果汇总!$AI$10:$AI$13,0)</f>
        <v>#VALUE!</v>
      </c>
      <c r="CE114" s="10" t="e">
        <f>MATCH(INDEX($BP$12:$BU$12,1,MATCH(BQ114,$BP$15:$BU$15,0)),结果汇总!$AI$10:$AI$13,0)</f>
        <v>#VALUE!</v>
      </c>
      <c r="CF114" s="10" t="e">
        <f>MATCH(INDEX($BP$12:$BU$12,1,MATCH(BR114,$BP$15:$BU$15,0)),结果汇总!$AI$10:$AI$13,0)</f>
        <v>#VALUE!</v>
      </c>
      <c r="CG114" s="10" t="e">
        <f>MATCH(INDEX($BP$12:$BU$12,1,MATCH(BS114,$BP$15:$BU$15,0)),结果汇总!$AI$10:$AI$13,0)</f>
        <v>#VALUE!</v>
      </c>
      <c r="CH114" s="10" t="e">
        <f>MATCH(INDEX($BP$12:$BU$12,1,MATCH(BT114,$BP$15:$BU$15,0)),结果汇总!$AI$10:$AI$13,0)</f>
        <v>#VALUE!</v>
      </c>
      <c r="CI114" s="10" t="e">
        <f>MATCH(INDEX($BP$12:$BU$12,1,MATCH(BU114,$BP$15:$BU$15,0)),结果汇总!$AI$10:$AI$13,0)</f>
        <v>#VALUE!</v>
      </c>
      <c r="CK114" s="10">
        <f t="shared" si="149"/>
        <v>0</v>
      </c>
      <c r="CL114" s="10">
        <f t="shared" si="149"/>
        <v>0</v>
      </c>
      <c r="CM114" s="10">
        <f t="shared" si="149"/>
        <v>0</v>
      </c>
      <c r="CN114" s="10">
        <f t="shared" si="149"/>
        <v>0</v>
      </c>
      <c r="CO114" s="10">
        <f t="shared" si="150"/>
        <v>0</v>
      </c>
      <c r="CP114" s="10">
        <f t="shared" si="150"/>
        <v>0</v>
      </c>
      <c r="CQ114" s="10">
        <f t="shared" si="150"/>
        <v>0</v>
      </c>
      <c r="CR114" s="10">
        <f t="shared" si="150"/>
        <v>0</v>
      </c>
      <c r="CS114" s="10">
        <f t="shared" si="151"/>
        <v>0</v>
      </c>
      <c r="CT114" s="10">
        <f t="shared" si="151"/>
        <v>0</v>
      </c>
      <c r="CU114" s="10">
        <f t="shared" si="151"/>
        <v>0</v>
      </c>
      <c r="CV114" s="10">
        <f t="shared" si="151"/>
        <v>0</v>
      </c>
      <c r="CW114" s="10">
        <f t="shared" si="152"/>
        <v>0</v>
      </c>
      <c r="CX114" s="10">
        <f t="shared" si="152"/>
        <v>0</v>
      </c>
      <c r="CY114" s="10">
        <f t="shared" si="152"/>
        <v>0</v>
      </c>
      <c r="CZ114" s="10">
        <f t="shared" si="152"/>
        <v>0</v>
      </c>
    </row>
    <row r="115" spans="4:104" x14ac:dyDescent="0.15">
      <c r="D115" s="10">
        <v>100</v>
      </c>
      <c r="E115" s="10" t="e">
        <f t="shared" si="95"/>
        <v>#VALUE!</v>
      </c>
      <c r="F115" s="10" t="e">
        <f t="shared" si="79"/>
        <v>#VALUE!</v>
      </c>
      <c r="G115" s="10" t="e">
        <f t="shared" si="80"/>
        <v>#VALUE!</v>
      </c>
      <c r="H115" s="10" t="e">
        <f t="shared" si="96"/>
        <v>#VALUE!</v>
      </c>
      <c r="I115" s="10" t="e">
        <f t="shared" si="81"/>
        <v>#VALUE!</v>
      </c>
      <c r="J115" s="10" t="e">
        <f t="shared" si="97"/>
        <v>#VALUE!</v>
      </c>
      <c r="K115" s="10" t="e">
        <f t="shared" si="82"/>
        <v>#VALUE!</v>
      </c>
      <c r="L115" s="10" t="e">
        <f t="shared" si="83"/>
        <v>#VALUE!</v>
      </c>
      <c r="M115" s="10" t="e">
        <f t="shared" si="98"/>
        <v>#VALUE!</v>
      </c>
      <c r="O115" s="10" t="e">
        <f t="shared" si="99"/>
        <v>#VALUE!</v>
      </c>
      <c r="P115" s="10" t="e">
        <f t="shared" si="84"/>
        <v>#VALUE!</v>
      </c>
      <c r="Q115" s="10" t="e">
        <f t="shared" si="85"/>
        <v>#VALUE!</v>
      </c>
      <c r="R115" s="10" t="e">
        <f t="shared" si="100"/>
        <v>#VALUE!</v>
      </c>
      <c r="S115" s="10" t="e">
        <f t="shared" si="101"/>
        <v>#VALUE!</v>
      </c>
      <c r="T115" s="10" t="e">
        <f t="shared" si="136"/>
        <v>#VALUE!</v>
      </c>
      <c r="U115" s="10" t="e">
        <f t="shared" si="137"/>
        <v>#VALUE!</v>
      </c>
      <c r="V115" s="10" t="e">
        <f t="shared" si="86"/>
        <v>#VALUE!</v>
      </c>
      <c r="W115" s="10" t="e">
        <f t="shared" si="102"/>
        <v>#VALUE!</v>
      </c>
      <c r="Y115" s="10" t="e">
        <f t="shared" si="103"/>
        <v>#VALUE!</v>
      </c>
      <c r="Z115" s="11" t="e">
        <f t="shared" si="104"/>
        <v>#VALUE!</v>
      </c>
      <c r="AA115" s="10" t="e">
        <f t="shared" si="87"/>
        <v>#VALUE!</v>
      </c>
      <c r="AB115" s="10" t="e">
        <f t="shared" si="105"/>
        <v>#VALUE!</v>
      </c>
      <c r="AC115" s="10" t="e">
        <f t="shared" si="106"/>
        <v>#VALUE!</v>
      </c>
      <c r="AD115" s="10" t="e">
        <f t="shared" si="138"/>
        <v>#VALUE!</v>
      </c>
      <c r="AE115" s="10" t="e">
        <f t="shared" si="139"/>
        <v>#VALUE!</v>
      </c>
      <c r="AF115" s="10" t="e">
        <f t="shared" si="88"/>
        <v>#VALUE!</v>
      </c>
      <c r="AG115" s="10" t="e">
        <f t="shared" si="107"/>
        <v>#VALUE!</v>
      </c>
      <c r="AI115" s="13"/>
      <c r="AK115" s="10" t="e">
        <f t="shared" si="108"/>
        <v>#VALUE!</v>
      </c>
      <c r="AL115" s="10" t="e">
        <f t="shared" si="140"/>
        <v>#VALUE!</v>
      </c>
      <c r="AM115" s="10" t="e">
        <f t="shared" si="89"/>
        <v>#VALUE!</v>
      </c>
      <c r="AN115" s="10" t="e">
        <f t="shared" si="109"/>
        <v>#VALUE!</v>
      </c>
      <c r="AO115" s="10" t="e">
        <f t="shared" si="110"/>
        <v>#VALUE!</v>
      </c>
      <c r="AP115" s="10" t="e">
        <f t="shared" si="111"/>
        <v>#VALUE!</v>
      </c>
      <c r="AQ115" s="10" t="e">
        <f t="shared" si="141"/>
        <v>#VALUE!</v>
      </c>
      <c r="AR115" s="10" t="e">
        <f t="shared" si="90"/>
        <v>#VALUE!</v>
      </c>
      <c r="AS115" s="10" t="e">
        <f t="shared" si="142"/>
        <v>#VALUE!</v>
      </c>
      <c r="AU115" s="10" t="e">
        <f t="shared" si="112"/>
        <v>#VALUE!</v>
      </c>
      <c r="AV115" s="10" t="e">
        <f t="shared" si="143"/>
        <v>#VALUE!</v>
      </c>
      <c r="AW115" s="10" t="e">
        <f t="shared" si="91"/>
        <v>#VALUE!</v>
      </c>
      <c r="AX115" s="10" t="e">
        <f t="shared" si="113"/>
        <v>#VALUE!</v>
      </c>
      <c r="AY115" s="10" t="e">
        <f t="shared" si="114"/>
        <v>#VALUE!</v>
      </c>
      <c r="AZ115" s="10" t="e">
        <f t="shared" si="115"/>
        <v>#VALUE!</v>
      </c>
      <c r="BA115" s="10" t="e">
        <f t="shared" si="144"/>
        <v>#VALUE!</v>
      </c>
      <c r="BB115" s="10" t="e">
        <f t="shared" si="92"/>
        <v>#VALUE!</v>
      </c>
      <c r="BC115" s="10" t="e">
        <f t="shared" si="145"/>
        <v>#VALUE!</v>
      </c>
      <c r="BE115" s="10" t="e">
        <f t="shared" si="116"/>
        <v>#VALUE!</v>
      </c>
      <c r="BF115" s="10" t="e">
        <f t="shared" si="146"/>
        <v>#VALUE!</v>
      </c>
      <c r="BG115" s="10" t="e">
        <f t="shared" si="93"/>
        <v>#VALUE!</v>
      </c>
      <c r="BH115" s="10" t="e">
        <f t="shared" si="117"/>
        <v>#VALUE!</v>
      </c>
      <c r="BI115" s="10" t="e">
        <f t="shared" si="118"/>
        <v>#VALUE!</v>
      </c>
      <c r="BJ115" s="10" t="e">
        <f t="shared" si="119"/>
        <v>#VALUE!</v>
      </c>
      <c r="BK115" s="10" t="e">
        <f t="shared" si="147"/>
        <v>#VALUE!</v>
      </c>
      <c r="BL115" s="10" t="e">
        <f t="shared" si="94"/>
        <v>#VALUE!</v>
      </c>
      <c r="BM115" s="10" t="e">
        <f t="shared" si="148"/>
        <v>#VALUE!</v>
      </c>
      <c r="BP115" s="10" t="e">
        <f t="shared" si="120"/>
        <v>#VALUE!</v>
      </c>
      <c r="BQ115" s="10" t="e">
        <f t="shared" si="121"/>
        <v>#VALUE!</v>
      </c>
      <c r="BR115" s="10" t="e">
        <f t="shared" si="122"/>
        <v>#VALUE!</v>
      </c>
      <c r="BS115" s="10" t="e">
        <f t="shared" si="123"/>
        <v>#VALUE!</v>
      </c>
      <c r="BT115" s="10" t="e">
        <f t="shared" si="124"/>
        <v>#VALUE!</v>
      </c>
      <c r="BU115" s="10" t="e">
        <f t="shared" si="125"/>
        <v>#VALUE!</v>
      </c>
      <c r="BW115" s="10" t="e">
        <f t="shared" si="126"/>
        <v>#VALUE!</v>
      </c>
      <c r="BX115" s="10" t="e">
        <f t="shared" si="127"/>
        <v>#VALUE!</v>
      </c>
      <c r="BY115" s="10" t="e">
        <f t="shared" si="128"/>
        <v>#VALUE!</v>
      </c>
      <c r="BZ115" s="10" t="e">
        <f t="shared" si="129"/>
        <v>#VALUE!</v>
      </c>
      <c r="CA115" s="10" t="e">
        <f t="shared" si="130"/>
        <v>#VALUE!</v>
      </c>
      <c r="CB115" s="10" t="e">
        <f t="shared" si="131"/>
        <v>#VALUE!</v>
      </c>
      <c r="CD115" s="10" t="e">
        <f>MATCH(INDEX($BP$12:$BU$12,1,MATCH(BP115,$BP$15:$BU$15,0)),结果汇总!$AI$10:$AI$13,0)</f>
        <v>#VALUE!</v>
      </c>
      <c r="CE115" s="10" t="e">
        <f>MATCH(INDEX($BP$12:$BU$12,1,MATCH(BQ115,$BP$15:$BU$15,0)),结果汇总!$AI$10:$AI$13,0)</f>
        <v>#VALUE!</v>
      </c>
      <c r="CF115" s="10" t="e">
        <f>MATCH(INDEX($BP$12:$BU$12,1,MATCH(BR115,$BP$15:$BU$15,0)),结果汇总!$AI$10:$AI$13,0)</f>
        <v>#VALUE!</v>
      </c>
      <c r="CG115" s="10" t="e">
        <f>MATCH(INDEX($BP$12:$BU$12,1,MATCH(BS115,$BP$15:$BU$15,0)),结果汇总!$AI$10:$AI$13,0)</f>
        <v>#VALUE!</v>
      </c>
      <c r="CH115" s="10" t="e">
        <f>MATCH(INDEX($BP$12:$BU$12,1,MATCH(BT115,$BP$15:$BU$15,0)),结果汇总!$AI$10:$AI$13,0)</f>
        <v>#VALUE!</v>
      </c>
      <c r="CI115" s="10" t="e">
        <f>MATCH(INDEX($BP$12:$BU$12,1,MATCH(BU115,$BP$15:$BU$15,0)),结果汇总!$AI$10:$AI$13,0)</f>
        <v>#VALUE!</v>
      </c>
      <c r="CK115" s="10">
        <f t="shared" si="149"/>
        <v>0</v>
      </c>
      <c r="CL115" s="10">
        <f t="shared" si="149"/>
        <v>0</v>
      </c>
      <c r="CM115" s="10">
        <f t="shared" si="149"/>
        <v>0</v>
      </c>
      <c r="CN115" s="10">
        <f t="shared" si="149"/>
        <v>0</v>
      </c>
      <c r="CO115" s="10">
        <f t="shared" si="150"/>
        <v>0</v>
      </c>
      <c r="CP115" s="10">
        <f t="shared" si="150"/>
        <v>0</v>
      </c>
      <c r="CQ115" s="10">
        <f t="shared" si="150"/>
        <v>0</v>
      </c>
      <c r="CR115" s="10">
        <f t="shared" si="150"/>
        <v>0</v>
      </c>
      <c r="CS115" s="10">
        <f t="shared" si="151"/>
        <v>0</v>
      </c>
      <c r="CT115" s="10">
        <f t="shared" si="151"/>
        <v>0</v>
      </c>
      <c r="CU115" s="10">
        <f t="shared" si="151"/>
        <v>0</v>
      </c>
      <c r="CV115" s="10">
        <f t="shared" si="151"/>
        <v>0</v>
      </c>
      <c r="CW115" s="10">
        <f t="shared" si="152"/>
        <v>0</v>
      </c>
      <c r="CX115" s="10">
        <f t="shared" si="152"/>
        <v>0</v>
      </c>
      <c r="CY115" s="10">
        <f t="shared" si="152"/>
        <v>0</v>
      </c>
      <c r="CZ115" s="10">
        <f t="shared" si="152"/>
        <v>0</v>
      </c>
    </row>
    <row r="116" spans="4:104" x14ac:dyDescent="0.15">
      <c r="D116" s="10">
        <v>101</v>
      </c>
      <c r="E116" s="10" t="e">
        <f t="shared" si="95"/>
        <v>#VALUE!</v>
      </c>
      <c r="F116" s="10" t="e">
        <f t="shared" si="79"/>
        <v>#VALUE!</v>
      </c>
      <c r="G116" s="10" t="e">
        <f t="shared" si="80"/>
        <v>#VALUE!</v>
      </c>
      <c r="H116" s="10" t="e">
        <f t="shared" si="96"/>
        <v>#VALUE!</v>
      </c>
      <c r="I116" s="10" t="e">
        <f t="shared" si="81"/>
        <v>#VALUE!</v>
      </c>
      <c r="J116" s="10" t="e">
        <f t="shared" si="97"/>
        <v>#VALUE!</v>
      </c>
      <c r="K116" s="10" t="e">
        <f t="shared" si="82"/>
        <v>#VALUE!</v>
      </c>
      <c r="L116" s="10" t="e">
        <f t="shared" si="83"/>
        <v>#VALUE!</v>
      </c>
      <c r="M116" s="10" t="e">
        <f t="shared" si="98"/>
        <v>#VALUE!</v>
      </c>
      <c r="O116" s="10" t="e">
        <f t="shared" si="99"/>
        <v>#VALUE!</v>
      </c>
      <c r="P116" s="10" t="e">
        <f t="shared" si="84"/>
        <v>#VALUE!</v>
      </c>
      <c r="Q116" s="10" t="e">
        <f t="shared" si="85"/>
        <v>#VALUE!</v>
      </c>
      <c r="R116" s="10" t="e">
        <f t="shared" si="100"/>
        <v>#VALUE!</v>
      </c>
      <c r="S116" s="10" t="e">
        <f t="shared" si="101"/>
        <v>#VALUE!</v>
      </c>
      <c r="T116" s="10" t="e">
        <f t="shared" si="136"/>
        <v>#VALUE!</v>
      </c>
      <c r="U116" s="10" t="e">
        <f t="shared" si="137"/>
        <v>#VALUE!</v>
      </c>
      <c r="V116" s="10" t="e">
        <f t="shared" si="86"/>
        <v>#VALUE!</v>
      </c>
      <c r="W116" s="10" t="e">
        <f t="shared" si="102"/>
        <v>#VALUE!</v>
      </c>
      <c r="Y116" s="10" t="e">
        <f t="shared" si="103"/>
        <v>#VALUE!</v>
      </c>
      <c r="Z116" s="11" t="e">
        <f t="shared" si="104"/>
        <v>#VALUE!</v>
      </c>
      <c r="AA116" s="10" t="e">
        <f t="shared" si="87"/>
        <v>#VALUE!</v>
      </c>
      <c r="AB116" s="10" t="e">
        <f t="shared" si="105"/>
        <v>#VALUE!</v>
      </c>
      <c r="AC116" s="10" t="e">
        <f t="shared" si="106"/>
        <v>#VALUE!</v>
      </c>
      <c r="AD116" s="10" t="e">
        <f t="shared" si="138"/>
        <v>#VALUE!</v>
      </c>
      <c r="AE116" s="10" t="e">
        <f t="shared" si="139"/>
        <v>#VALUE!</v>
      </c>
      <c r="AF116" s="10" t="e">
        <f t="shared" si="88"/>
        <v>#VALUE!</v>
      </c>
      <c r="AG116" s="10" t="e">
        <f t="shared" si="107"/>
        <v>#VALUE!</v>
      </c>
      <c r="AI116" s="13"/>
      <c r="AK116" s="10" t="e">
        <f t="shared" si="108"/>
        <v>#VALUE!</v>
      </c>
      <c r="AL116" s="10" t="e">
        <f t="shared" si="140"/>
        <v>#VALUE!</v>
      </c>
      <c r="AM116" s="10" t="e">
        <f t="shared" si="89"/>
        <v>#VALUE!</v>
      </c>
      <c r="AN116" s="10" t="e">
        <f t="shared" si="109"/>
        <v>#VALUE!</v>
      </c>
      <c r="AO116" s="10" t="e">
        <f t="shared" si="110"/>
        <v>#VALUE!</v>
      </c>
      <c r="AP116" s="10" t="e">
        <f t="shared" si="111"/>
        <v>#VALUE!</v>
      </c>
      <c r="AQ116" s="10" t="e">
        <f t="shared" si="141"/>
        <v>#VALUE!</v>
      </c>
      <c r="AR116" s="10" t="e">
        <f t="shared" si="90"/>
        <v>#VALUE!</v>
      </c>
      <c r="AS116" s="10" t="e">
        <f t="shared" si="142"/>
        <v>#VALUE!</v>
      </c>
      <c r="AU116" s="10" t="e">
        <f t="shared" si="112"/>
        <v>#VALUE!</v>
      </c>
      <c r="AV116" s="10" t="e">
        <f t="shared" si="143"/>
        <v>#VALUE!</v>
      </c>
      <c r="AW116" s="10" t="e">
        <f t="shared" si="91"/>
        <v>#VALUE!</v>
      </c>
      <c r="AX116" s="10" t="e">
        <f t="shared" si="113"/>
        <v>#VALUE!</v>
      </c>
      <c r="AY116" s="10" t="e">
        <f t="shared" si="114"/>
        <v>#VALUE!</v>
      </c>
      <c r="AZ116" s="10" t="e">
        <f t="shared" si="115"/>
        <v>#VALUE!</v>
      </c>
      <c r="BA116" s="10" t="e">
        <f t="shared" si="144"/>
        <v>#VALUE!</v>
      </c>
      <c r="BB116" s="10" t="e">
        <f t="shared" si="92"/>
        <v>#VALUE!</v>
      </c>
      <c r="BC116" s="10" t="e">
        <f t="shared" si="145"/>
        <v>#VALUE!</v>
      </c>
      <c r="BE116" s="10" t="e">
        <f t="shared" si="116"/>
        <v>#VALUE!</v>
      </c>
      <c r="BF116" s="10" t="e">
        <f t="shared" si="146"/>
        <v>#VALUE!</v>
      </c>
      <c r="BG116" s="10" t="e">
        <f t="shared" si="93"/>
        <v>#VALUE!</v>
      </c>
      <c r="BH116" s="10" t="e">
        <f t="shared" si="117"/>
        <v>#VALUE!</v>
      </c>
      <c r="BI116" s="10" t="e">
        <f t="shared" si="118"/>
        <v>#VALUE!</v>
      </c>
      <c r="BJ116" s="10" t="e">
        <f t="shared" si="119"/>
        <v>#VALUE!</v>
      </c>
      <c r="BK116" s="10" t="e">
        <f t="shared" si="147"/>
        <v>#VALUE!</v>
      </c>
      <c r="BL116" s="10" t="e">
        <f t="shared" si="94"/>
        <v>#VALUE!</v>
      </c>
      <c r="BM116" s="10" t="e">
        <f t="shared" si="148"/>
        <v>#VALUE!</v>
      </c>
      <c r="BP116" s="10" t="e">
        <f t="shared" si="120"/>
        <v>#VALUE!</v>
      </c>
      <c r="BQ116" s="10" t="e">
        <f t="shared" si="121"/>
        <v>#VALUE!</v>
      </c>
      <c r="BR116" s="10" t="e">
        <f t="shared" si="122"/>
        <v>#VALUE!</v>
      </c>
      <c r="BS116" s="10" t="e">
        <f t="shared" si="123"/>
        <v>#VALUE!</v>
      </c>
      <c r="BT116" s="10" t="e">
        <f t="shared" si="124"/>
        <v>#VALUE!</v>
      </c>
      <c r="BU116" s="10" t="e">
        <f t="shared" si="125"/>
        <v>#VALUE!</v>
      </c>
      <c r="BW116" s="10" t="e">
        <f t="shared" si="126"/>
        <v>#VALUE!</v>
      </c>
      <c r="BX116" s="10" t="e">
        <f t="shared" si="127"/>
        <v>#VALUE!</v>
      </c>
      <c r="BY116" s="10" t="e">
        <f t="shared" si="128"/>
        <v>#VALUE!</v>
      </c>
      <c r="BZ116" s="10" t="e">
        <f t="shared" si="129"/>
        <v>#VALUE!</v>
      </c>
      <c r="CA116" s="10" t="e">
        <f t="shared" si="130"/>
        <v>#VALUE!</v>
      </c>
      <c r="CB116" s="10" t="e">
        <f t="shared" si="131"/>
        <v>#VALUE!</v>
      </c>
      <c r="CD116" s="10" t="e">
        <f>MATCH(INDEX($BP$12:$BU$12,1,MATCH(BP116,$BP$15:$BU$15,0)),结果汇总!$AI$10:$AI$13,0)</f>
        <v>#VALUE!</v>
      </c>
      <c r="CE116" s="10" t="e">
        <f>MATCH(INDEX($BP$12:$BU$12,1,MATCH(BQ116,$BP$15:$BU$15,0)),结果汇总!$AI$10:$AI$13,0)</f>
        <v>#VALUE!</v>
      </c>
      <c r="CF116" s="10" t="e">
        <f>MATCH(INDEX($BP$12:$BU$12,1,MATCH(BR116,$BP$15:$BU$15,0)),结果汇总!$AI$10:$AI$13,0)</f>
        <v>#VALUE!</v>
      </c>
      <c r="CG116" s="10" t="e">
        <f>MATCH(INDEX($BP$12:$BU$12,1,MATCH(BS116,$BP$15:$BU$15,0)),结果汇总!$AI$10:$AI$13,0)</f>
        <v>#VALUE!</v>
      </c>
      <c r="CH116" s="10" t="e">
        <f>MATCH(INDEX($BP$12:$BU$12,1,MATCH(BT116,$BP$15:$BU$15,0)),结果汇总!$AI$10:$AI$13,0)</f>
        <v>#VALUE!</v>
      </c>
      <c r="CI116" s="10" t="e">
        <f>MATCH(INDEX($BP$12:$BU$12,1,MATCH(BU116,$BP$15:$BU$15,0)),结果汇总!$AI$10:$AI$13,0)</f>
        <v>#VALUE!</v>
      </c>
      <c r="CK116" s="10">
        <f t="shared" si="149"/>
        <v>0</v>
      </c>
      <c r="CL116" s="10">
        <f t="shared" si="149"/>
        <v>0</v>
      </c>
      <c r="CM116" s="10">
        <f t="shared" si="149"/>
        <v>0</v>
      </c>
      <c r="CN116" s="10">
        <f t="shared" si="149"/>
        <v>0</v>
      </c>
      <c r="CO116" s="10">
        <f t="shared" si="150"/>
        <v>0</v>
      </c>
      <c r="CP116" s="10">
        <f t="shared" si="150"/>
        <v>0</v>
      </c>
      <c r="CQ116" s="10">
        <f t="shared" si="150"/>
        <v>0</v>
      </c>
      <c r="CR116" s="10">
        <f t="shared" si="150"/>
        <v>0</v>
      </c>
      <c r="CS116" s="10">
        <f t="shared" si="151"/>
        <v>0</v>
      </c>
      <c r="CT116" s="10">
        <f t="shared" si="151"/>
        <v>0</v>
      </c>
      <c r="CU116" s="10">
        <f t="shared" si="151"/>
        <v>0</v>
      </c>
      <c r="CV116" s="10">
        <f t="shared" si="151"/>
        <v>0</v>
      </c>
      <c r="CW116" s="10">
        <f t="shared" si="152"/>
        <v>0</v>
      </c>
      <c r="CX116" s="10">
        <f t="shared" si="152"/>
        <v>0</v>
      </c>
      <c r="CY116" s="10">
        <f t="shared" si="152"/>
        <v>0</v>
      </c>
      <c r="CZ116" s="10">
        <f t="shared" si="152"/>
        <v>0</v>
      </c>
    </row>
    <row r="117" spans="4:104" x14ac:dyDescent="0.15">
      <c r="D117" s="10">
        <v>102</v>
      </c>
      <c r="E117" s="10" t="e">
        <f t="shared" si="95"/>
        <v>#VALUE!</v>
      </c>
      <c r="F117" s="10" t="e">
        <f t="shared" si="79"/>
        <v>#VALUE!</v>
      </c>
      <c r="G117" s="10" t="e">
        <f t="shared" si="80"/>
        <v>#VALUE!</v>
      </c>
      <c r="H117" s="10" t="e">
        <f t="shared" si="96"/>
        <v>#VALUE!</v>
      </c>
      <c r="I117" s="10" t="e">
        <f t="shared" si="81"/>
        <v>#VALUE!</v>
      </c>
      <c r="J117" s="10" t="e">
        <f t="shared" si="97"/>
        <v>#VALUE!</v>
      </c>
      <c r="K117" s="10" t="e">
        <f t="shared" si="82"/>
        <v>#VALUE!</v>
      </c>
      <c r="L117" s="10" t="e">
        <f t="shared" si="83"/>
        <v>#VALUE!</v>
      </c>
      <c r="M117" s="10" t="e">
        <f t="shared" si="98"/>
        <v>#VALUE!</v>
      </c>
      <c r="O117" s="10" t="e">
        <f t="shared" si="99"/>
        <v>#VALUE!</v>
      </c>
      <c r="P117" s="10" t="e">
        <f t="shared" si="84"/>
        <v>#VALUE!</v>
      </c>
      <c r="Q117" s="10" t="e">
        <f t="shared" si="85"/>
        <v>#VALUE!</v>
      </c>
      <c r="R117" s="10" t="e">
        <f t="shared" si="100"/>
        <v>#VALUE!</v>
      </c>
      <c r="S117" s="10" t="e">
        <f t="shared" si="101"/>
        <v>#VALUE!</v>
      </c>
      <c r="T117" s="10" t="e">
        <f t="shared" si="136"/>
        <v>#VALUE!</v>
      </c>
      <c r="U117" s="10" t="e">
        <f t="shared" si="137"/>
        <v>#VALUE!</v>
      </c>
      <c r="V117" s="10" t="e">
        <f t="shared" si="86"/>
        <v>#VALUE!</v>
      </c>
      <c r="W117" s="10" t="e">
        <f t="shared" si="102"/>
        <v>#VALUE!</v>
      </c>
      <c r="Y117" s="10" t="e">
        <f t="shared" si="103"/>
        <v>#VALUE!</v>
      </c>
      <c r="Z117" s="11" t="e">
        <f t="shared" si="104"/>
        <v>#VALUE!</v>
      </c>
      <c r="AA117" s="10" t="e">
        <f t="shared" si="87"/>
        <v>#VALUE!</v>
      </c>
      <c r="AB117" s="10" t="e">
        <f t="shared" si="105"/>
        <v>#VALUE!</v>
      </c>
      <c r="AC117" s="10" t="e">
        <f t="shared" si="106"/>
        <v>#VALUE!</v>
      </c>
      <c r="AD117" s="10" t="e">
        <f t="shared" si="138"/>
        <v>#VALUE!</v>
      </c>
      <c r="AE117" s="10" t="e">
        <f t="shared" si="139"/>
        <v>#VALUE!</v>
      </c>
      <c r="AF117" s="10" t="e">
        <f t="shared" si="88"/>
        <v>#VALUE!</v>
      </c>
      <c r="AG117" s="10" t="e">
        <f t="shared" si="107"/>
        <v>#VALUE!</v>
      </c>
      <c r="AI117" s="13"/>
      <c r="AK117" s="10" t="e">
        <f t="shared" si="108"/>
        <v>#VALUE!</v>
      </c>
      <c r="AL117" s="10" t="e">
        <f t="shared" si="140"/>
        <v>#VALUE!</v>
      </c>
      <c r="AM117" s="10" t="e">
        <f t="shared" si="89"/>
        <v>#VALUE!</v>
      </c>
      <c r="AN117" s="10" t="e">
        <f t="shared" si="109"/>
        <v>#VALUE!</v>
      </c>
      <c r="AO117" s="10" t="e">
        <f t="shared" si="110"/>
        <v>#VALUE!</v>
      </c>
      <c r="AP117" s="10" t="e">
        <f t="shared" si="111"/>
        <v>#VALUE!</v>
      </c>
      <c r="AQ117" s="10" t="e">
        <f t="shared" si="141"/>
        <v>#VALUE!</v>
      </c>
      <c r="AR117" s="10" t="e">
        <f t="shared" si="90"/>
        <v>#VALUE!</v>
      </c>
      <c r="AS117" s="10" t="e">
        <f t="shared" si="142"/>
        <v>#VALUE!</v>
      </c>
      <c r="AU117" s="10" t="e">
        <f t="shared" si="112"/>
        <v>#VALUE!</v>
      </c>
      <c r="AV117" s="10" t="e">
        <f t="shared" si="143"/>
        <v>#VALUE!</v>
      </c>
      <c r="AW117" s="10" t="e">
        <f t="shared" si="91"/>
        <v>#VALUE!</v>
      </c>
      <c r="AX117" s="10" t="e">
        <f t="shared" si="113"/>
        <v>#VALUE!</v>
      </c>
      <c r="AY117" s="10" t="e">
        <f t="shared" si="114"/>
        <v>#VALUE!</v>
      </c>
      <c r="AZ117" s="10" t="e">
        <f t="shared" si="115"/>
        <v>#VALUE!</v>
      </c>
      <c r="BA117" s="10" t="e">
        <f t="shared" si="144"/>
        <v>#VALUE!</v>
      </c>
      <c r="BB117" s="10" t="e">
        <f t="shared" si="92"/>
        <v>#VALUE!</v>
      </c>
      <c r="BC117" s="10" t="e">
        <f t="shared" si="145"/>
        <v>#VALUE!</v>
      </c>
      <c r="BE117" s="10" t="e">
        <f t="shared" si="116"/>
        <v>#VALUE!</v>
      </c>
      <c r="BF117" s="10" t="e">
        <f t="shared" si="146"/>
        <v>#VALUE!</v>
      </c>
      <c r="BG117" s="10" t="e">
        <f t="shared" si="93"/>
        <v>#VALUE!</v>
      </c>
      <c r="BH117" s="10" t="e">
        <f t="shared" si="117"/>
        <v>#VALUE!</v>
      </c>
      <c r="BI117" s="10" t="e">
        <f t="shared" si="118"/>
        <v>#VALUE!</v>
      </c>
      <c r="BJ117" s="10" t="e">
        <f t="shared" si="119"/>
        <v>#VALUE!</v>
      </c>
      <c r="BK117" s="10" t="e">
        <f t="shared" si="147"/>
        <v>#VALUE!</v>
      </c>
      <c r="BL117" s="10" t="e">
        <f t="shared" si="94"/>
        <v>#VALUE!</v>
      </c>
      <c r="BM117" s="10" t="e">
        <f t="shared" si="148"/>
        <v>#VALUE!</v>
      </c>
      <c r="BP117" s="10" t="e">
        <f t="shared" si="120"/>
        <v>#VALUE!</v>
      </c>
      <c r="BQ117" s="10" t="e">
        <f t="shared" si="121"/>
        <v>#VALUE!</v>
      </c>
      <c r="BR117" s="10" t="e">
        <f t="shared" si="122"/>
        <v>#VALUE!</v>
      </c>
      <c r="BS117" s="10" t="e">
        <f t="shared" si="123"/>
        <v>#VALUE!</v>
      </c>
      <c r="BT117" s="10" t="e">
        <f t="shared" si="124"/>
        <v>#VALUE!</v>
      </c>
      <c r="BU117" s="10" t="e">
        <f t="shared" si="125"/>
        <v>#VALUE!</v>
      </c>
      <c r="BW117" s="10" t="e">
        <f t="shared" si="126"/>
        <v>#VALUE!</v>
      </c>
      <c r="BX117" s="10" t="e">
        <f t="shared" si="127"/>
        <v>#VALUE!</v>
      </c>
      <c r="BY117" s="10" t="e">
        <f t="shared" si="128"/>
        <v>#VALUE!</v>
      </c>
      <c r="BZ117" s="10" t="e">
        <f t="shared" si="129"/>
        <v>#VALUE!</v>
      </c>
      <c r="CA117" s="10" t="e">
        <f t="shared" si="130"/>
        <v>#VALUE!</v>
      </c>
      <c r="CB117" s="10" t="e">
        <f t="shared" si="131"/>
        <v>#VALUE!</v>
      </c>
      <c r="CD117" s="10" t="e">
        <f>MATCH(INDEX($BP$12:$BU$12,1,MATCH(BP117,$BP$15:$BU$15,0)),结果汇总!$AI$10:$AI$13,0)</f>
        <v>#VALUE!</v>
      </c>
      <c r="CE117" s="10" t="e">
        <f>MATCH(INDEX($BP$12:$BU$12,1,MATCH(BQ117,$BP$15:$BU$15,0)),结果汇总!$AI$10:$AI$13,0)</f>
        <v>#VALUE!</v>
      </c>
      <c r="CF117" s="10" t="e">
        <f>MATCH(INDEX($BP$12:$BU$12,1,MATCH(BR117,$BP$15:$BU$15,0)),结果汇总!$AI$10:$AI$13,0)</f>
        <v>#VALUE!</v>
      </c>
      <c r="CG117" s="10" t="e">
        <f>MATCH(INDEX($BP$12:$BU$12,1,MATCH(BS117,$BP$15:$BU$15,0)),结果汇总!$AI$10:$AI$13,0)</f>
        <v>#VALUE!</v>
      </c>
      <c r="CH117" s="10" t="e">
        <f>MATCH(INDEX($BP$12:$BU$12,1,MATCH(BT117,$BP$15:$BU$15,0)),结果汇总!$AI$10:$AI$13,0)</f>
        <v>#VALUE!</v>
      </c>
      <c r="CI117" s="10" t="e">
        <f>MATCH(INDEX($BP$12:$BU$12,1,MATCH(BU117,$BP$15:$BU$15,0)),结果汇总!$AI$10:$AI$13,0)</f>
        <v>#VALUE!</v>
      </c>
      <c r="CK117" s="10">
        <f t="shared" si="149"/>
        <v>0</v>
      </c>
      <c r="CL117" s="10">
        <f t="shared" si="149"/>
        <v>0</v>
      </c>
      <c r="CM117" s="10">
        <f t="shared" si="149"/>
        <v>0</v>
      </c>
      <c r="CN117" s="10">
        <f t="shared" si="149"/>
        <v>0</v>
      </c>
      <c r="CO117" s="10">
        <f t="shared" si="150"/>
        <v>0</v>
      </c>
      <c r="CP117" s="10">
        <f t="shared" si="150"/>
        <v>0</v>
      </c>
      <c r="CQ117" s="10">
        <f t="shared" si="150"/>
        <v>0</v>
      </c>
      <c r="CR117" s="10">
        <f t="shared" si="150"/>
        <v>0</v>
      </c>
      <c r="CS117" s="10">
        <f t="shared" si="151"/>
        <v>0</v>
      </c>
      <c r="CT117" s="10">
        <f t="shared" si="151"/>
        <v>0</v>
      </c>
      <c r="CU117" s="10">
        <f t="shared" si="151"/>
        <v>0</v>
      </c>
      <c r="CV117" s="10">
        <f t="shared" si="151"/>
        <v>0</v>
      </c>
      <c r="CW117" s="10">
        <f t="shared" si="152"/>
        <v>0</v>
      </c>
      <c r="CX117" s="10">
        <f t="shared" si="152"/>
        <v>0</v>
      </c>
      <c r="CY117" s="10">
        <f t="shared" si="152"/>
        <v>0</v>
      </c>
      <c r="CZ117" s="10">
        <f t="shared" si="152"/>
        <v>0</v>
      </c>
    </row>
    <row r="118" spans="4:104" x14ac:dyDescent="0.15">
      <c r="D118" s="10">
        <v>103</v>
      </c>
      <c r="E118" s="10" t="e">
        <f t="shared" si="95"/>
        <v>#VALUE!</v>
      </c>
      <c r="F118" s="10" t="e">
        <f t="shared" si="79"/>
        <v>#VALUE!</v>
      </c>
      <c r="G118" s="10" t="e">
        <f t="shared" si="80"/>
        <v>#VALUE!</v>
      </c>
      <c r="H118" s="10" t="e">
        <f t="shared" si="96"/>
        <v>#VALUE!</v>
      </c>
      <c r="I118" s="10" t="e">
        <f t="shared" si="81"/>
        <v>#VALUE!</v>
      </c>
      <c r="J118" s="10" t="e">
        <f t="shared" si="97"/>
        <v>#VALUE!</v>
      </c>
      <c r="K118" s="10" t="e">
        <f t="shared" si="82"/>
        <v>#VALUE!</v>
      </c>
      <c r="L118" s="10" t="e">
        <f t="shared" si="83"/>
        <v>#VALUE!</v>
      </c>
      <c r="M118" s="10" t="e">
        <f t="shared" si="98"/>
        <v>#VALUE!</v>
      </c>
      <c r="O118" s="10" t="e">
        <f t="shared" si="99"/>
        <v>#VALUE!</v>
      </c>
      <c r="P118" s="10" t="e">
        <f t="shared" si="84"/>
        <v>#VALUE!</v>
      </c>
      <c r="Q118" s="10" t="e">
        <f t="shared" si="85"/>
        <v>#VALUE!</v>
      </c>
      <c r="R118" s="10" t="e">
        <f t="shared" si="100"/>
        <v>#VALUE!</v>
      </c>
      <c r="S118" s="10" t="e">
        <f t="shared" si="101"/>
        <v>#VALUE!</v>
      </c>
      <c r="T118" s="10" t="e">
        <f t="shared" si="136"/>
        <v>#VALUE!</v>
      </c>
      <c r="U118" s="10" t="e">
        <f t="shared" si="137"/>
        <v>#VALUE!</v>
      </c>
      <c r="V118" s="10" t="e">
        <f t="shared" si="86"/>
        <v>#VALUE!</v>
      </c>
      <c r="W118" s="10" t="e">
        <f t="shared" si="102"/>
        <v>#VALUE!</v>
      </c>
      <c r="Y118" s="10" t="e">
        <f t="shared" si="103"/>
        <v>#VALUE!</v>
      </c>
      <c r="Z118" s="11" t="e">
        <f t="shared" si="104"/>
        <v>#VALUE!</v>
      </c>
      <c r="AA118" s="10" t="e">
        <f t="shared" si="87"/>
        <v>#VALUE!</v>
      </c>
      <c r="AB118" s="10" t="e">
        <f t="shared" si="105"/>
        <v>#VALUE!</v>
      </c>
      <c r="AC118" s="10" t="e">
        <f t="shared" si="106"/>
        <v>#VALUE!</v>
      </c>
      <c r="AD118" s="10" t="e">
        <f t="shared" si="138"/>
        <v>#VALUE!</v>
      </c>
      <c r="AE118" s="10" t="e">
        <f t="shared" si="139"/>
        <v>#VALUE!</v>
      </c>
      <c r="AF118" s="10" t="e">
        <f t="shared" si="88"/>
        <v>#VALUE!</v>
      </c>
      <c r="AG118" s="10" t="e">
        <f t="shared" si="107"/>
        <v>#VALUE!</v>
      </c>
      <c r="AI118" s="13"/>
      <c r="AK118" s="10" t="e">
        <f t="shared" si="108"/>
        <v>#VALUE!</v>
      </c>
      <c r="AL118" s="10" t="e">
        <f t="shared" si="140"/>
        <v>#VALUE!</v>
      </c>
      <c r="AM118" s="10" t="e">
        <f t="shared" si="89"/>
        <v>#VALUE!</v>
      </c>
      <c r="AN118" s="10" t="e">
        <f t="shared" si="109"/>
        <v>#VALUE!</v>
      </c>
      <c r="AO118" s="10" t="e">
        <f t="shared" si="110"/>
        <v>#VALUE!</v>
      </c>
      <c r="AP118" s="10" t="e">
        <f t="shared" si="111"/>
        <v>#VALUE!</v>
      </c>
      <c r="AQ118" s="10" t="e">
        <f t="shared" si="141"/>
        <v>#VALUE!</v>
      </c>
      <c r="AR118" s="10" t="e">
        <f t="shared" si="90"/>
        <v>#VALUE!</v>
      </c>
      <c r="AS118" s="10" t="e">
        <f t="shared" si="142"/>
        <v>#VALUE!</v>
      </c>
      <c r="AU118" s="10" t="e">
        <f t="shared" si="112"/>
        <v>#VALUE!</v>
      </c>
      <c r="AV118" s="10" t="e">
        <f t="shared" si="143"/>
        <v>#VALUE!</v>
      </c>
      <c r="AW118" s="10" t="e">
        <f t="shared" si="91"/>
        <v>#VALUE!</v>
      </c>
      <c r="AX118" s="10" t="e">
        <f t="shared" si="113"/>
        <v>#VALUE!</v>
      </c>
      <c r="AY118" s="10" t="e">
        <f t="shared" si="114"/>
        <v>#VALUE!</v>
      </c>
      <c r="AZ118" s="10" t="e">
        <f t="shared" si="115"/>
        <v>#VALUE!</v>
      </c>
      <c r="BA118" s="10" t="e">
        <f t="shared" si="144"/>
        <v>#VALUE!</v>
      </c>
      <c r="BB118" s="10" t="e">
        <f t="shared" si="92"/>
        <v>#VALUE!</v>
      </c>
      <c r="BC118" s="10" t="e">
        <f t="shared" si="145"/>
        <v>#VALUE!</v>
      </c>
      <c r="BE118" s="10" t="e">
        <f t="shared" si="116"/>
        <v>#VALUE!</v>
      </c>
      <c r="BF118" s="10" t="e">
        <f t="shared" si="146"/>
        <v>#VALUE!</v>
      </c>
      <c r="BG118" s="10" t="e">
        <f t="shared" si="93"/>
        <v>#VALUE!</v>
      </c>
      <c r="BH118" s="10" t="e">
        <f t="shared" si="117"/>
        <v>#VALUE!</v>
      </c>
      <c r="BI118" s="10" t="e">
        <f t="shared" si="118"/>
        <v>#VALUE!</v>
      </c>
      <c r="BJ118" s="10" t="e">
        <f t="shared" si="119"/>
        <v>#VALUE!</v>
      </c>
      <c r="BK118" s="10" t="e">
        <f t="shared" si="147"/>
        <v>#VALUE!</v>
      </c>
      <c r="BL118" s="10" t="e">
        <f t="shared" si="94"/>
        <v>#VALUE!</v>
      </c>
      <c r="BM118" s="10" t="e">
        <f t="shared" si="148"/>
        <v>#VALUE!</v>
      </c>
      <c r="BP118" s="10" t="e">
        <f t="shared" si="120"/>
        <v>#VALUE!</v>
      </c>
      <c r="BQ118" s="10" t="e">
        <f t="shared" si="121"/>
        <v>#VALUE!</v>
      </c>
      <c r="BR118" s="10" t="e">
        <f t="shared" si="122"/>
        <v>#VALUE!</v>
      </c>
      <c r="BS118" s="10" t="e">
        <f t="shared" si="123"/>
        <v>#VALUE!</v>
      </c>
      <c r="BT118" s="10" t="e">
        <f t="shared" si="124"/>
        <v>#VALUE!</v>
      </c>
      <c r="BU118" s="10" t="e">
        <f t="shared" si="125"/>
        <v>#VALUE!</v>
      </c>
      <c r="BW118" s="10" t="e">
        <f t="shared" si="126"/>
        <v>#VALUE!</v>
      </c>
      <c r="BX118" s="10" t="e">
        <f t="shared" si="127"/>
        <v>#VALUE!</v>
      </c>
      <c r="BY118" s="10" t="e">
        <f t="shared" si="128"/>
        <v>#VALUE!</v>
      </c>
      <c r="BZ118" s="10" t="e">
        <f t="shared" si="129"/>
        <v>#VALUE!</v>
      </c>
      <c r="CA118" s="10" t="e">
        <f t="shared" si="130"/>
        <v>#VALUE!</v>
      </c>
      <c r="CB118" s="10" t="e">
        <f t="shared" si="131"/>
        <v>#VALUE!</v>
      </c>
      <c r="CD118" s="10" t="e">
        <f>MATCH(INDEX($BP$12:$BU$12,1,MATCH(BP118,$BP$15:$BU$15,0)),结果汇总!$AI$10:$AI$13,0)</f>
        <v>#VALUE!</v>
      </c>
      <c r="CE118" s="10" t="e">
        <f>MATCH(INDEX($BP$12:$BU$12,1,MATCH(BQ118,$BP$15:$BU$15,0)),结果汇总!$AI$10:$AI$13,0)</f>
        <v>#VALUE!</v>
      </c>
      <c r="CF118" s="10" t="e">
        <f>MATCH(INDEX($BP$12:$BU$12,1,MATCH(BR118,$BP$15:$BU$15,0)),结果汇总!$AI$10:$AI$13,0)</f>
        <v>#VALUE!</v>
      </c>
      <c r="CG118" s="10" t="e">
        <f>MATCH(INDEX($BP$12:$BU$12,1,MATCH(BS118,$BP$15:$BU$15,0)),结果汇总!$AI$10:$AI$13,0)</f>
        <v>#VALUE!</v>
      </c>
      <c r="CH118" s="10" t="e">
        <f>MATCH(INDEX($BP$12:$BU$12,1,MATCH(BT118,$BP$15:$BU$15,0)),结果汇总!$AI$10:$AI$13,0)</f>
        <v>#VALUE!</v>
      </c>
      <c r="CI118" s="10" t="e">
        <f>MATCH(INDEX($BP$12:$BU$12,1,MATCH(BU118,$BP$15:$BU$15,0)),结果汇总!$AI$10:$AI$13,0)</f>
        <v>#VALUE!</v>
      </c>
      <c r="CK118" s="10">
        <f t="shared" si="149"/>
        <v>0</v>
      </c>
      <c r="CL118" s="10">
        <f t="shared" si="149"/>
        <v>0</v>
      </c>
      <c r="CM118" s="10">
        <f t="shared" si="149"/>
        <v>0</v>
      </c>
      <c r="CN118" s="10">
        <f t="shared" si="149"/>
        <v>0</v>
      </c>
      <c r="CO118" s="10">
        <f t="shared" si="150"/>
        <v>0</v>
      </c>
      <c r="CP118" s="10">
        <f t="shared" si="150"/>
        <v>0</v>
      </c>
      <c r="CQ118" s="10">
        <f t="shared" si="150"/>
        <v>0</v>
      </c>
      <c r="CR118" s="10">
        <f t="shared" si="150"/>
        <v>0</v>
      </c>
      <c r="CS118" s="10">
        <f t="shared" si="151"/>
        <v>0</v>
      </c>
      <c r="CT118" s="10">
        <f t="shared" si="151"/>
        <v>0</v>
      </c>
      <c r="CU118" s="10">
        <f t="shared" si="151"/>
        <v>0</v>
      </c>
      <c r="CV118" s="10">
        <f t="shared" si="151"/>
        <v>0</v>
      </c>
      <c r="CW118" s="10">
        <f t="shared" si="152"/>
        <v>0</v>
      </c>
      <c r="CX118" s="10">
        <f t="shared" si="152"/>
        <v>0</v>
      </c>
      <c r="CY118" s="10">
        <f t="shared" si="152"/>
        <v>0</v>
      </c>
      <c r="CZ118" s="10">
        <f t="shared" si="152"/>
        <v>0</v>
      </c>
    </row>
    <row r="119" spans="4:104" x14ac:dyDescent="0.15">
      <c r="D119" s="10">
        <v>104</v>
      </c>
      <c r="E119" s="10" t="e">
        <f t="shared" si="95"/>
        <v>#VALUE!</v>
      </c>
      <c r="F119" s="10" t="e">
        <f t="shared" si="79"/>
        <v>#VALUE!</v>
      </c>
      <c r="G119" s="10" t="e">
        <f t="shared" si="80"/>
        <v>#VALUE!</v>
      </c>
      <c r="H119" s="10" t="e">
        <f t="shared" si="96"/>
        <v>#VALUE!</v>
      </c>
      <c r="I119" s="10" t="e">
        <f t="shared" si="81"/>
        <v>#VALUE!</v>
      </c>
      <c r="J119" s="10" t="e">
        <f t="shared" si="97"/>
        <v>#VALUE!</v>
      </c>
      <c r="K119" s="10" t="e">
        <f t="shared" si="82"/>
        <v>#VALUE!</v>
      </c>
      <c r="L119" s="10" t="e">
        <f t="shared" si="83"/>
        <v>#VALUE!</v>
      </c>
      <c r="M119" s="10" t="e">
        <f t="shared" si="98"/>
        <v>#VALUE!</v>
      </c>
      <c r="O119" s="10" t="e">
        <f t="shared" si="99"/>
        <v>#VALUE!</v>
      </c>
      <c r="P119" s="10" t="e">
        <f t="shared" si="84"/>
        <v>#VALUE!</v>
      </c>
      <c r="Q119" s="10" t="e">
        <f t="shared" si="85"/>
        <v>#VALUE!</v>
      </c>
      <c r="R119" s="10" t="e">
        <f t="shared" si="100"/>
        <v>#VALUE!</v>
      </c>
      <c r="S119" s="10" t="e">
        <f t="shared" si="101"/>
        <v>#VALUE!</v>
      </c>
      <c r="T119" s="10" t="e">
        <f t="shared" si="136"/>
        <v>#VALUE!</v>
      </c>
      <c r="U119" s="10" t="e">
        <f t="shared" si="137"/>
        <v>#VALUE!</v>
      </c>
      <c r="V119" s="10" t="e">
        <f t="shared" si="86"/>
        <v>#VALUE!</v>
      </c>
      <c r="W119" s="10" t="e">
        <f t="shared" si="102"/>
        <v>#VALUE!</v>
      </c>
      <c r="Y119" s="10" t="e">
        <f t="shared" si="103"/>
        <v>#VALUE!</v>
      </c>
      <c r="Z119" s="11" t="e">
        <f t="shared" si="104"/>
        <v>#VALUE!</v>
      </c>
      <c r="AA119" s="10" t="e">
        <f t="shared" si="87"/>
        <v>#VALUE!</v>
      </c>
      <c r="AB119" s="10" t="e">
        <f t="shared" si="105"/>
        <v>#VALUE!</v>
      </c>
      <c r="AC119" s="10" t="e">
        <f t="shared" si="106"/>
        <v>#VALUE!</v>
      </c>
      <c r="AD119" s="10" t="e">
        <f t="shared" si="138"/>
        <v>#VALUE!</v>
      </c>
      <c r="AE119" s="10" t="e">
        <f t="shared" si="139"/>
        <v>#VALUE!</v>
      </c>
      <c r="AF119" s="10" t="e">
        <f t="shared" si="88"/>
        <v>#VALUE!</v>
      </c>
      <c r="AG119" s="10" t="e">
        <f t="shared" si="107"/>
        <v>#VALUE!</v>
      </c>
      <c r="AI119" s="13"/>
      <c r="AK119" s="10" t="e">
        <f t="shared" si="108"/>
        <v>#VALUE!</v>
      </c>
      <c r="AL119" s="10" t="e">
        <f t="shared" si="140"/>
        <v>#VALUE!</v>
      </c>
      <c r="AM119" s="10" t="e">
        <f t="shared" si="89"/>
        <v>#VALUE!</v>
      </c>
      <c r="AN119" s="10" t="e">
        <f t="shared" si="109"/>
        <v>#VALUE!</v>
      </c>
      <c r="AO119" s="10" t="e">
        <f t="shared" si="110"/>
        <v>#VALUE!</v>
      </c>
      <c r="AP119" s="10" t="e">
        <f t="shared" si="111"/>
        <v>#VALUE!</v>
      </c>
      <c r="AQ119" s="10" t="e">
        <f t="shared" si="141"/>
        <v>#VALUE!</v>
      </c>
      <c r="AR119" s="10" t="e">
        <f t="shared" si="90"/>
        <v>#VALUE!</v>
      </c>
      <c r="AS119" s="10" t="e">
        <f t="shared" si="142"/>
        <v>#VALUE!</v>
      </c>
      <c r="AU119" s="10" t="e">
        <f t="shared" si="112"/>
        <v>#VALUE!</v>
      </c>
      <c r="AV119" s="10" t="e">
        <f t="shared" si="143"/>
        <v>#VALUE!</v>
      </c>
      <c r="AW119" s="10" t="e">
        <f t="shared" si="91"/>
        <v>#VALUE!</v>
      </c>
      <c r="AX119" s="10" t="e">
        <f t="shared" si="113"/>
        <v>#VALUE!</v>
      </c>
      <c r="AY119" s="10" t="e">
        <f t="shared" si="114"/>
        <v>#VALUE!</v>
      </c>
      <c r="AZ119" s="10" t="e">
        <f t="shared" si="115"/>
        <v>#VALUE!</v>
      </c>
      <c r="BA119" s="10" t="e">
        <f t="shared" si="144"/>
        <v>#VALUE!</v>
      </c>
      <c r="BB119" s="10" t="e">
        <f t="shared" si="92"/>
        <v>#VALUE!</v>
      </c>
      <c r="BC119" s="10" t="e">
        <f t="shared" si="145"/>
        <v>#VALUE!</v>
      </c>
      <c r="BE119" s="10" t="e">
        <f t="shared" si="116"/>
        <v>#VALUE!</v>
      </c>
      <c r="BF119" s="10" t="e">
        <f t="shared" si="146"/>
        <v>#VALUE!</v>
      </c>
      <c r="BG119" s="10" t="e">
        <f t="shared" si="93"/>
        <v>#VALUE!</v>
      </c>
      <c r="BH119" s="10" t="e">
        <f t="shared" si="117"/>
        <v>#VALUE!</v>
      </c>
      <c r="BI119" s="10" t="e">
        <f t="shared" si="118"/>
        <v>#VALUE!</v>
      </c>
      <c r="BJ119" s="10" t="e">
        <f t="shared" si="119"/>
        <v>#VALUE!</v>
      </c>
      <c r="BK119" s="10" t="e">
        <f t="shared" si="147"/>
        <v>#VALUE!</v>
      </c>
      <c r="BL119" s="10" t="e">
        <f t="shared" si="94"/>
        <v>#VALUE!</v>
      </c>
      <c r="BM119" s="10" t="e">
        <f t="shared" si="148"/>
        <v>#VALUE!</v>
      </c>
      <c r="BP119" s="10" t="e">
        <f t="shared" si="120"/>
        <v>#VALUE!</v>
      </c>
      <c r="BQ119" s="10" t="e">
        <f t="shared" si="121"/>
        <v>#VALUE!</v>
      </c>
      <c r="BR119" s="10" t="e">
        <f t="shared" si="122"/>
        <v>#VALUE!</v>
      </c>
      <c r="BS119" s="10" t="e">
        <f t="shared" si="123"/>
        <v>#VALUE!</v>
      </c>
      <c r="BT119" s="10" t="e">
        <f t="shared" si="124"/>
        <v>#VALUE!</v>
      </c>
      <c r="BU119" s="10" t="e">
        <f t="shared" si="125"/>
        <v>#VALUE!</v>
      </c>
      <c r="BW119" s="10" t="e">
        <f t="shared" si="126"/>
        <v>#VALUE!</v>
      </c>
      <c r="BX119" s="10" t="e">
        <f t="shared" si="127"/>
        <v>#VALUE!</v>
      </c>
      <c r="BY119" s="10" t="e">
        <f t="shared" si="128"/>
        <v>#VALUE!</v>
      </c>
      <c r="BZ119" s="10" t="e">
        <f t="shared" si="129"/>
        <v>#VALUE!</v>
      </c>
      <c r="CA119" s="10" t="e">
        <f t="shared" si="130"/>
        <v>#VALUE!</v>
      </c>
      <c r="CB119" s="10" t="e">
        <f t="shared" si="131"/>
        <v>#VALUE!</v>
      </c>
      <c r="CD119" s="10" t="e">
        <f>MATCH(INDEX($BP$12:$BU$12,1,MATCH(BP119,$BP$15:$BU$15,0)),结果汇总!$AI$10:$AI$13,0)</f>
        <v>#VALUE!</v>
      </c>
      <c r="CE119" s="10" t="e">
        <f>MATCH(INDEX($BP$12:$BU$12,1,MATCH(BQ119,$BP$15:$BU$15,0)),结果汇总!$AI$10:$AI$13,0)</f>
        <v>#VALUE!</v>
      </c>
      <c r="CF119" s="10" t="e">
        <f>MATCH(INDEX($BP$12:$BU$12,1,MATCH(BR119,$BP$15:$BU$15,0)),结果汇总!$AI$10:$AI$13,0)</f>
        <v>#VALUE!</v>
      </c>
      <c r="CG119" s="10" t="e">
        <f>MATCH(INDEX($BP$12:$BU$12,1,MATCH(BS119,$BP$15:$BU$15,0)),结果汇总!$AI$10:$AI$13,0)</f>
        <v>#VALUE!</v>
      </c>
      <c r="CH119" s="10" t="e">
        <f>MATCH(INDEX($BP$12:$BU$12,1,MATCH(BT119,$BP$15:$BU$15,0)),结果汇总!$AI$10:$AI$13,0)</f>
        <v>#VALUE!</v>
      </c>
      <c r="CI119" s="10" t="e">
        <f>MATCH(INDEX($BP$12:$BU$12,1,MATCH(BU119,$BP$15:$BU$15,0)),结果汇总!$AI$10:$AI$13,0)</f>
        <v>#VALUE!</v>
      </c>
      <c r="CK119" s="10">
        <f t="shared" si="149"/>
        <v>0</v>
      </c>
      <c r="CL119" s="10">
        <f t="shared" si="149"/>
        <v>0</v>
      </c>
      <c r="CM119" s="10">
        <f t="shared" si="149"/>
        <v>0</v>
      </c>
      <c r="CN119" s="10">
        <f t="shared" si="149"/>
        <v>0</v>
      </c>
      <c r="CO119" s="10">
        <f t="shared" si="150"/>
        <v>0</v>
      </c>
      <c r="CP119" s="10">
        <f t="shared" si="150"/>
        <v>0</v>
      </c>
      <c r="CQ119" s="10">
        <f t="shared" si="150"/>
        <v>0</v>
      </c>
      <c r="CR119" s="10">
        <f t="shared" si="150"/>
        <v>0</v>
      </c>
      <c r="CS119" s="10">
        <f t="shared" si="151"/>
        <v>0</v>
      </c>
      <c r="CT119" s="10">
        <f t="shared" si="151"/>
        <v>0</v>
      </c>
      <c r="CU119" s="10">
        <f t="shared" si="151"/>
        <v>0</v>
      </c>
      <c r="CV119" s="10">
        <f t="shared" si="151"/>
        <v>0</v>
      </c>
      <c r="CW119" s="10">
        <f t="shared" si="152"/>
        <v>0</v>
      </c>
      <c r="CX119" s="10">
        <f t="shared" si="152"/>
        <v>0</v>
      </c>
      <c r="CY119" s="10">
        <f t="shared" si="152"/>
        <v>0</v>
      </c>
      <c r="CZ119" s="10">
        <f t="shared" si="152"/>
        <v>0</v>
      </c>
    </row>
    <row r="120" spans="4:104" x14ac:dyDescent="0.15">
      <c r="D120" s="10">
        <v>105</v>
      </c>
      <c r="E120" s="10" t="e">
        <f t="shared" si="95"/>
        <v>#VALUE!</v>
      </c>
      <c r="F120" s="10" t="e">
        <f t="shared" si="79"/>
        <v>#VALUE!</v>
      </c>
      <c r="G120" s="10" t="e">
        <f t="shared" si="80"/>
        <v>#VALUE!</v>
      </c>
      <c r="H120" s="10" t="e">
        <f t="shared" si="96"/>
        <v>#VALUE!</v>
      </c>
      <c r="I120" s="10" t="e">
        <f t="shared" si="81"/>
        <v>#VALUE!</v>
      </c>
      <c r="J120" s="10" t="e">
        <f t="shared" si="97"/>
        <v>#VALUE!</v>
      </c>
      <c r="K120" s="10" t="e">
        <f t="shared" si="82"/>
        <v>#VALUE!</v>
      </c>
      <c r="L120" s="10" t="e">
        <f t="shared" si="83"/>
        <v>#VALUE!</v>
      </c>
      <c r="M120" s="10" t="e">
        <f t="shared" si="98"/>
        <v>#VALUE!</v>
      </c>
      <c r="O120" s="10" t="e">
        <f t="shared" si="99"/>
        <v>#VALUE!</v>
      </c>
      <c r="P120" s="10" t="e">
        <f t="shared" si="84"/>
        <v>#VALUE!</v>
      </c>
      <c r="Q120" s="10" t="e">
        <f t="shared" si="85"/>
        <v>#VALUE!</v>
      </c>
      <c r="R120" s="10" t="e">
        <f t="shared" si="100"/>
        <v>#VALUE!</v>
      </c>
      <c r="S120" s="10" t="e">
        <f t="shared" si="101"/>
        <v>#VALUE!</v>
      </c>
      <c r="T120" s="10" t="e">
        <f t="shared" si="136"/>
        <v>#VALUE!</v>
      </c>
      <c r="U120" s="10" t="e">
        <f t="shared" si="137"/>
        <v>#VALUE!</v>
      </c>
      <c r="V120" s="10" t="e">
        <f t="shared" si="86"/>
        <v>#VALUE!</v>
      </c>
      <c r="W120" s="10" t="e">
        <f t="shared" si="102"/>
        <v>#VALUE!</v>
      </c>
      <c r="Y120" s="10" t="e">
        <f t="shared" si="103"/>
        <v>#VALUE!</v>
      </c>
      <c r="Z120" s="11" t="e">
        <f t="shared" si="104"/>
        <v>#VALUE!</v>
      </c>
      <c r="AA120" s="10" t="e">
        <f t="shared" si="87"/>
        <v>#VALUE!</v>
      </c>
      <c r="AB120" s="10" t="e">
        <f t="shared" si="105"/>
        <v>#VALUE!</v>
      </c>
      <c r="AC120" s="10" t="e">
        <f t="shared" si="106"/>
        <v>#VALUE!</v>
      </c>
      <c r="AD120" s="10" t="e">
        <f t="shared" si="138"/>
        <v>#VALUE!</v>
      </c>
      <c r="AE120" s="10" t="e">
        <f t="shared" si="139"/>
        <v>#VALUE!</v>
      </c>
      <c r="AF120" s="10" t="e">
        <f t="shared" si="88"/>
        <v>#VALUE!</v>
      </c>
      <c r="AG120" s="10" t="e">
        <f t="shared" si="107"/>
        <v>#VALUE!</v>
      </c>
      <c r="AI120" s="13"/>
      <c r="AK120" s="10" t="e">
        <f t="shared" si="108"/>
        <v>#VALUE!</v>
      </c>
      <c r="AL120" s="10" t="e">
        <f t="shared" si="140"/>
        <v>#VALUE!</v>
      </c>
      <c r="AM120" s="10" t="e">
        <f t="shared" si="89"/>
        <v>#VALUE!</v>
      </c>
      <c r="AN120" s="10" t="e">
        <f t="shared" si="109"/>
        <v>#VALUE!</v>
      </c>
      <c r="AO120" s="10" t="e">
        <f t="shared" si="110"/>
        <v>#VALUE!</v>
      </c>
      <c r="AP120" s="10" t="e">
        <f t="shared" si="111"/>
        <v>#VALUE!</v>
      </c>
      <c r="AQ120" s="10" t="e">
        <f t="shared" si="141"/>
        <v>#VALUE!</v>
      </c>
      <c r="AR120" s="10" t="e">
        <f t="shared" si="90"/>
        <v>#VALUE!</v>
      </c>
      <c r="AS120" s="10" t="e">
        <f t="shared" si="142"/>
        <v>#VALUE!</v>
      </c>
      <c r="AU120" s="10" t="e">
        <f t="shared" si="112"/>
        <v>#VALUE!</v>
      </c>
      <c r="AV120" s="10" t="e">
        <f t="shared" si="143"/>
        <v>#VALUE!</v>
      </c>
      <c r="AW120" s="10" t="e">
        <f t="shared" si="91"/>
        <v>#VALUE!</v>
      </c>
      <c r="AX120" s="10" t="e">
        <f t="shared" si="113"/>
        <v>#VALUE!</v>
      </c>
      <c r="AY120" s="10" t="e">
        <f t="shared" si="114"/>
        <v>#VALUE!</v>
      </c>
      <c r="AZ120" s="10" t="e">
        <f t="shared" si="115"/>
        <v>#VALUE!</v>
      </c>
      <c r="BA120" s="10" t="e">
        <f t="shared" si="144"/>
        <v>#VALUE!</v>
      </c>
      <c r="BB120" s="10" t="e">
        <f t="shared" si="92"/>
        <v>#VALUE!</v>
      </c>
      <c r="BC120" s="10" t="e">
        <f t="shared" si="145"/>
        <v>#VALUE!</v>
      </c>
      <c r="BE120" s="10" t="e">
        <f t="shared" si="116"/>
        <v>#VALUE!</v>
      </c>
      <c r="BF120" s="10" t="e">
        <f t="shared" si="146"/>
        <v>#VALUE!</v>
      </c>
      <c r="BG120" s="10" t="e">
        <f t="shared" si="93"/>
        <v>#VALUE!</v>
      </c>
      <c r="BH120" s="10" t="e">
        <f t="shared" si="117"/>
        <v>#VALUE!</v>
      </c>
      <c r="BI120" s="10" t="e">
        <f t="shared" si="118"/>
        <v>#VALUE!</v>
      </c>
      <c r="BJ120" s="10" t="e">
        <f t="shared" si="119"/>
        <v>#VALUE!</v>
      </c>
      <c r="BK120" s="10" t="e">
        <f t="shared" si="147"/>
        <v>#VALUE!</v>
      </c>
      <c r="BL120" s="10" t="e">
        <f t="shared" si="94"/>
        <v>#VALUE!</v>
      </c>
      <c r="BM120" s="10" t="e">
        <f t="shared" si="148"/>
        <v>#VALUE!</v>
      </c>
      <c r="BP120" s="10" t="e">
        <f t="shared" si="120"/>
        <v>#VALUE!</v>
      </c>
      <c r="BQ120" s="10" t="e">
        <f t="shared" si="121"/>
        <v>#VALUE!</v>
      </c>
      <c r="BR120" s="10" t="e">
        <f t="shared" si="122"/>
        <v>#VALUE!</v>
      </c>
      <c r="BS120" s="10" t="e">
        <f t="shared" si="123"/>
        <v>#VALUE!</v>
      </c>
      <c r="BT120" s="10" t="e">
        <f t="shared" si="124"/>
        <v>#VALUE!</v>
      </c>
      <c r="BU120" s="10" t="e">
        <f t="shared" si="125"/>
        <v>#VALUE!</v>
      </c>
      <c r="BW120" s="10" t="e">
        <f t="shared" si="126"/>
        <v>#VALUE!</v>
      </c>
      <c r="BX120" s="10" t="e">
        <f t="shared" si="127"/>
        <v>#VALUE!</v>
      </c>
      <c r="BY120" s="10" t="e">
        <f t="shared" si="128"/>
        <v>#VALUE!</v>
      </c>
      <c r="BZ120" s="10" t="e">
        <f t="shared" si="129"/>
        <v>#VALUE!</v>
      </c>
      <c r="CA120" s="10" t="e">
        <f t="shared" si="130"/>
        <v>#VALUE!</v>
      </c>
      <c r="CB120" s="10" t="e">
        <f t="shared" si="131"/>
        <v>#VALUE!</v>
      </c>
      <c r="CD120" s="10" t="e">
        <f>MATCH(INDEX($BP$12:$BU$12,1,MATCH(BP120,$BP$15:$BU$15,0)),结果汇总!$AI$10:$AI$13,0)</f>
        <v>#VALUE!</v>
      </c>
      <c r="CE120" s="10" t="e">
        <f>MATCH(INDEX($BP$12:$BU$12,1,MATCH(BQ120,$BP$15:$BU$15,0)),结果汇总!$AI$10:$AI$13,0)</f>
        <v>#VALUE!</v>
      </c>
      <c r="CF120" s="10" t="e">
        <f>MATCH(INDEX($BP$12:$BU$12,1,MATCH(BR120,$BP$15:$BU$15,0)),结果汇总!$AI$10:$AI$13,0)</f>
        <v>#VALUE!</v>
      </c>
      <c r="CG120" s="10" t="e">
        <f>MATCH(INDEX($BP$12:$BU$12,1,MATCH(BS120,$BP$15:$BU$15,0)),结果汇总!$AI$10:$AI$13,0)</f>
        <v>#VALUE!</v>
      </c>
      <c r="CH120" s="10" t="e">
        <f>MATCH(INDEX($BP$12:$BU$12,1,MATCH(BT120,$BP$15:$BU$15,0)),结果汇总!$AI$10:$AI$13,0)</f>
        <v>#VALUE!</v>
      </c>
      <c r="CI120" s="10" t="e">
        <f>MATCH(INDEX($BP$12:$BU$12,1,MATCH(BU120,$BP$15:$BU$15,0)),结果汇总!$AI$10:$AI$13,0)</f>
        <v>#VALUE!</v>
      </c>
      <c r="CK120" s="10">
        <f t="shared" si="149"/>
        <v>0</v>
      </c>
      <c r="CL120" s="10">
        <f t="shared" si="149"/>
        <v>0</v>
      </c>
      <c r="CM120" s="10">
        <f t="shared" si="149"/>
        <v>0</v>
      </c>
      <c r="CN120" s="10">
        <f t="shared" si="149"/>
        <v>0</v>
      </c>
      <c r="CO120" s="10">
        <f t="shared" si="150"/>
        <v>0</v>
      </c>
      <c r="CP120" s="10">
        <f t="shared" si="150"/>
        <v>0</v>
      </c>
      <c r="CQ120" s="10">
        <f t="shared" si="150"/>
        <v>0</v>
      </c>
      <c r="CR120" s="10">
        <f t="shared" si="150"/>
        <v>0</v>
      </c>
      <c r="CS120" s="10">
        <f t="shared" si="151"/>
        <v>0</v>
      </c>
      <c r="CT120" s="10">
        <f t="shared" si="151"/>
        <v>0</v>
      </c>
      <c r="CU120" s="10">
        <f t="shared" si="151"/>
        <v>0</v>
      </c>
      <c r="CV120" s="10">
        <f t="shared" si="151"/>
        <v>0</v>
      </c>
      <c r="CW120" s="10">
        <f t="shared" si="152"/>
        <v>0</v>
      </c>
      <c r="CX120" s="10">
        <f t="shared" si="152"/>
        <v>0</v>
      </c>
      <c r="CY120" s="10">
        <f t="shared" si="152"/>
        <v>0</v>
      </c>
      <c r="CZ120" s="10">
        <f t="shared" si="152"/>
        <v>0</v>
      </c>
    </row>
    <row r="121" spans="4:104" x14ac:dyDescent="0.15">
      <c r="D121" s="10">
        <v>106</v>
      </c>
      <c r="E121" s="10" t="e">
        <f t="shared" si="95"/>
        <v>#VALUE!</v>
      </c>
      <c r="F121" s="10" t="e">
        <f t="shared" si="79"/>
        <v>#VALUE!</v>
      </c>
      <c r="G121" s="10" t="e">
        <f t="shared" si="80"/>
        <v>#VALUE!</v>
      </c>
      <c r="H121" s="10" t="e">
        <f t="shared" si="96"/>
        <v>#VALUE!</v>
      </c>
      <c r="I121" s="10" t="e">
        <f t="shared" si="81"/>
        <v>#VALUE!</v>
      </c>
      <c r="J121" s="10" t="e">
        <f t="shared" si="97"/>
        <v>#VALUE!</v>
      </c>
      <c r="K121" s="10" t="e">
        <f t="shared" si="82"/>
        <v>#VALUE!</v>
      </c>
      <c r="L121" s="10" t="e">
        <f t="shared" si="83"/>
        <v>#VALUE!</v>
      </c>
      <c r="M121" s="10" t="e">
        <f t="shared" si="98"/>
        <v>#VALUE!</v>
      </c>
      <c r="O121" s="10" t="e">
        <f t="shared" si="99"/>
        <v>#VALUE!</v>
      </c>
      <c r="P121" s="10" t="e">
        <f t="shared" si="84"/>
        <v>#VALUE!</v>
      </c>
      <c r="Q121" s="10" t="e">
        <f t="shared" si="85"/>
        <v>#VALUE!</v>
      </c>
      <c r="R121" s="10" t="e">
        <f t="shared" si="100"/>
        <v>#VALUE!</v>
      </c>
      <c r="S121" s="10" t="e">
        <f t="shared" si="101"/>
        <v>#VALUE!</v>
      </c>
      <c r="T121" s="10" t="e">
        <f t="shared" si="136"/>
        <v>#VALUE!</v>
      </c>
      <c r="U121" s="10" t="e">
        <f t="shared" si="137"/>
        <v>#VALUE!</v>
      </c>
      <c r="V121" s="10" t="e">
        <f t="shared" si="86"/>
        <v>#VALUE!</v>
      </c>
      <c r="W121" s="10" t="e">
        <f t="shared" si="102"/>
        <v>#VALUE!</v>
      </c>
      <c r="Y121" s="10" t="e">
        <f t="shared" si="103"/>
        <v>#VALUE!</v>
      </c>
      <c r="Z121" s="11" t="e">
        <f t="shared" si="104"/>
        <v>#VALUE!</v>
      </c>
      <c r="AA121" s="10" t="e">
        <f t="shared" si="87"/>
        <v>#VALUE!</v>
      </c>
      <c r="AB121" s="10" t="e">
        <f t="shared" si="105"/>
        <v>#VALUE!</v>
      </c>
      <c r="AC121" s="10" t="e">
        <f t="shared" si="106"/>
        <v>#VALUE!</v>
      </c>
      <c r="AD121" s="10" t="e">
        <f t="shared" si="138"/>
        <v>#VALUE!</v>
      </c>
      <c r="AE121" s="10" t="e">
        <f t="shared" si="139"/>
        <v>#VALUE!</v>
      </c>
      <c r="AF121" s="10" t="e">
        <f t="shared" si="88"/>
        <v>#VALUE!</v>
      </c>
      <c r="AG121" s="10" t="e">
        <f t="shared" si="107"/>
        <v>#VALUE!</v>
      </c>
      <c r="AI121" s="13"/>
      <c r="AK121" s="10" t="e">
        <f t="shared" si="108"/>
        <v>#VALUE!</v>
      </c>
      <c r="AL121" s="10" t="e">
        <f t="shared" si="140"/>
        <v>#VALUE!</v>
      </c>
      <c r="AM121" s="10" t="e">
        <f t="shared" si="89"/>
        <v>#VALUE!</v>
      </c>
      <c r="AN121" s="10" t="e">
        <f t="shared" si="109"/>
        <v>#VALUE!</v>
      </c>
      <c r="AO121" s="10" t="e">
        <f t="shared" si="110"/>
        <v>#VALUE!</v>
      </c>
      <c r="AP121" s="10" t="e">
        <f t="shared" si="111"/>
        <v>#VALUE!</v>
      </c>
      <c r="AQ121" s="10" t="e">
        <f t="shared" si="141"/>
        <v>#VALUE!</v>
      </c>
      <c r="AR121" s="10" t="e">
        <f t="shared" si="90"/>
        <v>#VALUE!</v>
      </c>
      <c r="AS121" s="10" t="e">
        <f t="shared" si="142"/>
        <v>#VALUE!</v>
      </c>
      <c r="AU121" s="10" t="e">
        <f t="shared" si="112"/>
        <v>#VALUE!</v>
      </c>
      <c r="AV121" s="10" t="e">
        <f t="shared" si="143"/>
        <v>#VALUE!</v>
      </c>
      <c r="AW121" s="10" t="e">
        <f t="shared" si="91"/>
        <v>#VALUE!</v>
      </c>
      <c r="AX121" s="10" t="e">
        <f t="shared" si="113"/>
        <v>#VALUE!</v>
      </c>
      <c r="AY121" s="10" t="e">
        <f t="shared" si="114"/>
        <v>#VALUE!</v>
      </c>
      <c r="AZ121" s="10" t="e">
        <f t="shared" si="115"/>
        <v>#VALUE!</v>
      </c>
      <c r="BA121" s="10" t="e">
        <f t="shared" si="144"/>
        <v>#VALUE!</v>
      </c>
      <c r="BB121" s="10" t="e">
        <f t="shared" si="92"/>
        <v>#VALUE!</v>
      </c>
      <c r="BC121" s="10" t="e">
        <f t="shared" si="145"/>
        <v>#VALUE!</v>
      </c>
      <c r="BE121" s="10" t="e">
        <f t="shared" si="116"/>
        <v>#VALUE!</v>
      </c>
      <c r="BF121" s="10" t="e">
        <f t="shared" si="146"/>
        <v>#VALUE!</v>
      </c>
      <c r="BG121" s="10" t="e">
        <f t="shared" si="93"/>
        <v>#VALUE!</v>
      </c>
      <c r="BH121" s="10" t="e">
        <f t="shared" si="117"/>
        <v>#VALUE!</v>
      </c>
      <c r="BI121" s="10" t="e">
        <f t="shared" si="118"/>
        <v>#VALUE!</v>
      </c>
      <c r="BJ121" s="10" t="e">
        <f t="shared" si="119"/>
        <v>#VALUE!</v>
      </c>
      <c r="BK121" s="10" t="e">
        <f t="shared" si="147"/>
        <v>#VALUE!</v>
      </c>
      <c r="BL121" s="10" t="e">
        <f t="shared" si="94"/>
        <v>#VALUE!</v>
      </c>
      <c r="BM121" s="10" t="e">
        <f t="shared" si="148"/>
        <v>#VALUE!</v>
      </c>
      <c r="BP121" s="10" t="e">
        <f t="shared" si="120"/>
        <v>#VALUE!</v>
      </c>
      <c r="BQ121" s="10" t="e">
        <f t="shared" si="121"/>
        <v>#VALUE!</v>
      </c>
      <c r="BR121" s="10" t="e">
        <f t="shared" si="122"/>
        <v>#VALUE!</v>
      </c>
      <c r="BS121" s="10" t="e">
        <f t="shared" si="123"/>
        <v>#VALUE!</v>
      </c>
      <c r="BT121" s="10" t="e">
        <f t="shared" si="124"/>
        <v>#VALUE!</v>
      </c>
      <c r="BU121" s="10" t="e">
        <f t="shared" si="125"/>
        <v>#VALUE!</v>
      </c>
      <c r="BW121" s="10" t="e">
        <f t="shared" si="126"/>
        <v>#VALUE!</v>
      </c>
      <c r="BX121" s="10" t="e">
        <f t="shared" si="127"/>
        <v>#VALUE!</v>
      </c>
      <c r="BY121" s="10" t="e">
        <f t="shared" si="128"/>
        <v>#VALUE!</v>
      </c>
      <c r="BZ121" s="10" t="e">
        <f t="shared" si="129"/>
        <v>#VALUE!</v>
      </c>
      <c r="CA121" s="10" t="e">
        <f t="shared" si="130"/>
        <v>#VALUE!</v>
      </c>
      <c r="CB121" s="10" t="e">
        <f t="shared" si="131"/>
        <v>#VALUE!</v>
      </c>
      <c r="CD121" s="10" t="e">
        <f>MATCH(INDEX($BP$12:$BU$12,1,MATCH(BP121,$BP$15:$BU$15,0)),结果汇总!$AI$10:$AI$13,0)</f>
        <v>#VALUE!</v>
      </c>
      <c r="CE121" s="10" t="e">
        <f>MATCH(INDEX($BP$12:$BU$12,1,MATCH(BQ121,$BP$15:$BU$15,0)),结果汇总!$AI$10:$AI$13,0)</f>
        <v>#VALUE!</v>
      </c>
      <c r="CF121" s="10" t="e">
        <f>MATCH(INDEX($BP$12:$BU$12,1,MATCH(BR121,$BP$15:$BU$15,0)),结果汇总!$AI$10:$AI$13,0)</f>
        <v>#VALUE!</v>
      </c>
      <c r="CG121" s="10" t="e">
        <f>MATCH(INDEX($BP$12:$BU$12,1,MATCH(BS121,$BP$15:$BU$15,0)),结果汇总!$AI$10:$AI$13,0)</f>
        <v>#VALUE!</v>
      </c>
      <c r="CH121" s="10" t="e">
        <f>MATCH(INDEX($BP$12:$BU$12,1,MATCH(BT121,$BP$15:$BU$15,0)),结果汇总!$AI$10:$AI$13,0)</f>
        <v>#VALUE!</v>
      </c>
      <c r="CI121" s="10" t="e">
        <f>MATCH(INDEX($BP$12:$BU$12,1,MATCH(BU121,$BP$15:$BU$15,0)),结果汇总!$AI$10:$AI$13,0)</f>
        <v>#VALUE!</v>
      </c>
      <c r="CK121" s="10">
        <f t="shared" si="149"/>
        <v>0</v>
      </c>
      <c r="CL121" s="10">
        <f t="shared" si="149"/>
        <v>0</v>
      </c>
      <c r="CM121" s="10">
        <f t="shared" si="149"/>
        <v>0</v>
      </c>
      <c r="CN121" s="10">
        <f t="shared" si="149"/>
        <v>0</v>
      </c>
      <c r="CO121" s="10">
        <f t="shared" si="150"/>
        <v>0</v>
      </c>
      <c r="CP121" s="10">
        <f t="shared" si="150"/>
        <v>0</v>
      </c>
      <c r="CQ121" s="10">
        <f t="shared" si="150"/>
        <v>0</v>
      </c>
      <c r="CR121" s="10">
        <f t="shared" si="150"/>
        <v>0</v>
      </c>
      <c r="CS121" s="10">
        <f t="shared" si="151"/>
        <v>0</v>
      </c>
      <c r="CT121" s="10">
        <f t="shared" si="151"/>
        <v>0</v>
      </c>
      <c r="CU121" s="10">
        <f t="shared" si="151"/>
        <v>0</v>
      </c>
      <c r="CV121" s="10">
        <f t="shared" si="151"/>
        <v>0</v>
      </c>
      <c r="CW121" s="10">
        <f t="shared" si="152"/>
        <v>0</v>
      </c>
      <c r="CX121" s="10">
        <f t="shared" si="152"/>
        <v>0</v>
      </c>
      <c r="CY121" s="10">
        <f t="shared" si="152"/>
        <v>0</v>
      </c>
      <c r="CZ121" s="10">
        <f t="shared" si="152"/>
        <v>0</v>
      </c>
    </row>
    <row r="122" spans="4:104" x14ac:dyDescent="0.15">
      <c r="D122" s="10">
        <v>107</v>
      </c>
      <c r="E122" s="10" t="e">
        <f t="shared" si="95"/>
        <v>#VALUE!</v>
      </c>
      <c r="F122" s="10" t="e">
        <f t="shared" si="79"/>
        <v>#VALUE!</v>
      </c>
      <c r="G122" s="10" t="e">
        <f t="shared" si="80"/>
        <v>#VALUE!</v>
      </c>
      <c r="H122" s="10" t="e">
        <f t="shared" si="96"/>
        <v>#VALUE!</v>
      </c>
      <c r="I122" s="10" t="e">
        <f t="shared" si="81"/>
        <v>#VALUE!</v>
      </c>
      <c r="J122" s="10" t="e">
        <f t="shared" si="97"/>
        <v>#VALUE!</v>
      </c>
      <c r="K122" s="10" t="e">
        <f t="shared" si="82"/>
        <v>#VALUE!</v>
      </c>
      <c r="L122" s="10" t="e">
        <f t="shared" si="83"/>
        <v>#VALUE!</v>
      </c>
      <c r="M122" s="10" t="e">
        <f t="shared" si="98"/>
        <v>#VALUE!</v>
      </c>
      <c r="O122" s="10" t="e">
        <f t="shared" si="99"/>
        <v>#VALUE!</v>
      </c>
      <c r="P122" s="10" t="e">
        <f t="shared" si="84"/>
        <v>#VALUE!</v>
      </c>
      <c r="Q122" s="10" t="e">
        <f t="shared" si="85"/>
        <v>#VALUE!</v>
      </c>
      <c r="R122" s="10" t="e">
        <f t="shared" si="100"/>
        <v>#VALUE!</v>
      </c>
      <c r="S122" s="10" t="e">
        <f t="shared" si="101"/>
        <v>#VALUE!</v>
      </c>
      <c r="T122" s="10" t="e">
        <f t="shared" si="136"/>
        <v>#VALUE!</v>
      </c>
      <c r="U122" s="10" t="e">
        <f t="shared" si="137"/>
        <v>#VALUE!</v>
      </c>
      <c r="V122" s="10" t="e">
        <f t="shared" si="86"/>
        <v>#VALUE!</v>
      </c>
      <c r="W122" s="10" t="e">
        <f t="shared" si="102"/>
        <v>#VALUE!</v>
      </c>
      <c r="Y122" s="10" t="e">
        <f t="shared" si="103"/>
        <v>#VALUE!</v>
      </c>
      <c r="Z122" s="11" t="e">
        <f t="shared" si="104"/>
        <v>#VALUE!</v>
      </c>
      <c r="AA122" s="10" t="e">
        <f t="shared" si="87"/>
        <v>#VALUE!</v>
      </c>
      <c r="AB122" s="10" t="e">
        <f t="shared" si="105"/>
        <v>#VALUE!</v>
      </c>
      <c r="AC122" s="10" t="e">
        <f t="shared" si="106"/>
        <v>#VALUE!</v>
      </c>
      <c r="AD122" s="10" t="e">
        <f t="shared" si="138"/>
        <v>#VALUE!</v>
      </c>
      <c r="AE122" s="10" t="e">
        <f t="shared" si="139"/>
        <v>#VALUE!</v>
      </c>
      <c r="AF122" s="10" t="e">
        <f t="shared" si="88"/>
        <v>#VALUE!</v>
      </c>
      <c r="AG122" s="10" t="e">
        <f t="shared" si="107"/>
        <v>#VALUE!</v>
      </c>
      <c r="AI122" s="13"/>
      <c r="AK122" s="10" t="e">
        <f t="shared" si="108"/>
        <v>#VALUE!</v>
      </c>
      <c r="AL122" s="10" t="e">
        <f t="shared" si="140"/>
        <v>#VALUE!</v>
      </c>
      <c r="AM122" s="10" t="e">
        <f t="shared" si="89"/>
        <v>#VALUE!</v>
      </c>
      <c r="AN122" s="10" t="e">
        <f t="shared" si="109"/>
        <v>#VALUE!</v>
      </c>
      <c r="AO122" s="10" t="e">
        <f t="shared" si="110"/>
        <v>#VALUE!</v>
      </c>
      <c r="AP122" s="10" t="e">
        <f t="shared" si="111"/>
        <v>#VALUE!</v>
      </c>
      <c r="AQ122" s="10" t="e">
        <f t="shared" si="141"/>
        <v>#VALUE!</v>
      </c>
      <c r="AR122" s="10" t="e">
        <f t="shared" si="90"/>
        <v>#VALUE!</v>
      </c>
      <c r="AS122" s="10" t="e">
        <f t="shared" si="142"/>
        <v>#VALUE!</v>
      </c>
      <c r="AU122" s="10" t="e">
        <f t="shared" si="112"/>
        <v>#VALUE!</v>
      </c>
      <c r="AV122" s="10" t="e">
        <f t="shared" si="143"/>
        <v>#VALUE!</v>
      </c>
      <c r="AW122" s="10" t="e">
        <f t="shared" si="91"/>
        <v>#VALUE!</v>
      </c>
      <c r="AX122" s="10" t="e">
        <f t="shared" si="113"/>
        <v>#VALUE!</v>
      </c>
      <c r="AY122" s="10" t="e">
        <f t="shared" si="114"/>
        <v>#VALUE!</v>
      </c>
      <c r="AZ122" s="10" t="e">
        <f t="shared" si="115"/>
        <v>#VALUE!</v>
      </c>
      <c r="BA122" s="10" t="e">
        <f t="shared" si="144"/>
        <v>#VALUE!</v>
      </c>
      <c r="BB122" s="10" t="e">
        <f t="shared" si="92"/>
        <v>#VALUE!</v>
      </c>
      <c r="BC122" s="10" t="e">
        <f t="shared" si="145"/>
        <v>#VALUE!</v>
      </c>
      <c r="BE122" s="10" t="e">
        <f t="shared" si="116"/>
        <v>#VALUE!</v>
      </c>
      <c r="BF122" s="10" t="e">
        <f t="shared" si="146"/>
        <v>#VALUE!</v>
      </c>
      <c r="BG122" s="10" t="e">
        <f t="shared" si="93"/>
        <v>#VALUE!</v>
      </c>
      <c r="BH122" s="10" t="e">
        <f t="shared" si="117"/>
        <v>#VALUE!</v>
      </c>
      <c r="BI122" s="10" t="e">
        <f t="shared" si="118"/>
        <v>#VALUE!</v>
      </c>
      <c r="BJ122" s="10" t="e">
        <f t="shared" si="119"/>
        <v>#VALUE!</v>
      </c>
      <c r="BK122" s="10" t="e">
        <f t="shared" si="147"/>
        <v>#VALUE!</v>
      </c>
      <c r="BL122" s="10" t="e">
        <f t="shared" si="94"/>
        <v>#VALUE!</v>
      </c>
      <c r="BM122" s="10" t="e">
        <f t="shared" si="148"/>
        <v>#VALUE!</v>
      </c>
      <c r="BP122" s="10" t="e">
        <f t="shared" si="120"/>
        <v>#VALUE!</v>
      </c>
      <c r="BQ122" s="10" t="e">
        <f t="shared" si="121"/>
        <v>#VALUE!</v>
      </c>
      <c r="BR122" s="10" t="e">
        <f t="shared" si="122"/>
        <v>#VALUE!</v>
      </c>
      <c r="BS122" s="10" t="e">
        <f t="shared" si="123"/>
        <v>#VALUE!</v>
      </c>
      <c r="BT122" s="10" t="e">
        <f t="shared" si="124"/>
        <v>#VALUE!</v>
      </c>
      <c r="BU122" s="10" t="e">
        <f t="shared" si="125"/>
        <v>#VALUE!</v>
      </c>
      <c r="BW122" s="10" t="e">
        <f t="shared" si="126"/>
        <v>#VALUE!</v>
      </c>
      <c r="BX122" s="10" t="e">
        <f t="shared" si="127"/>
        <v>#VALUE!</v>
      </c>
      <c r="BY122" s="10" t="e">
        <f t="shared" si="128"/>
        <v>#VALUE!</v>
      </c>
      <c r="BZ122" s="10" t="e">
        <f t="shared" si="129"/>
        <v>#VALUE!</v>
      </c>
      <c r="CA122" s="10" t="e">
        <f t="shared" si="130"/>
        <v>#VALUE!</v>
      </c>
      <c r="CB122" s="10" t="e">
        <f t="shared" si="131"/>
        <v>#VALUE!</v>
      </c>
      <c r="CD122" s="10" t="e">
        <f>MATCH(INDEX($BP$12:$BU$12,1,MATCH(BP122,$BP$15:$BU$15,0)),结果汇总!$AI$10:$AI$13,0)</f>
        <v>#VALUE!</v>
      </c>
      <c r="CE122" s="10" t="e">
        <f>MATCH(INDEX($BP$12:$BU$12,1,MATCH(BQ122,$BP$15:$BU$15,0)),结果汇总!$AI$10:$AI$13,0)</f>
        <v>#VALUE!</v>
      </c>
      <c r="CF122" s="10" t="e">
        <f>MATCH(INDEX($BP$12:$BU$12,1,MATCH(BR122,$BP$15:$BU$15,0)),结果汇总!$AI$10:$AI$13,0)</f>
        <v>#VALUE!</v>
      </c>
      <c r="CG122" s="10" t="e">
        <f>MATCH(INDEX($BP$12:$BU$12,1,MATCH(BS122,$BP$15:$BU$15,0)),结果汇总!$AI$10:$AI$13,0)</f>
        <v>#VALUE!</v>
      </c>
      <c r="CH122" s="10" t="e">
        <f>MATCH(INDEX($BP$12:$BU$12,1,MATCH(BT122,$BP$15:$BU$15,0)),结果汇总!$AI$10:$AI$13,0)</f>
        <v>#VALUE!</v>
      </c>
      <c r="CI122" s="10" t="e">
        <f>MATCH(INDEX($BP$12:$BU$12,1,MATCH(BU122,$BP$15:$BU$15,0)),结果汇总!$AI$10:$AI$13,0)</f>
        <v>#VALUE!</v>
      </c>
      <c r="CK122" s="10">
        <f t="shared" si="149"/>
        <v>0</v>
      </c>
      <c r="CL122" s="10">
        <f t="shared" si="149"/>
        <v>0</v>
      </c>
      <c r="CM122" s="10">
        <f t="shared" si="149"/>
        <v>0</v>
      </c>
      <c r="CN122" s="10">
        <f t="shared" si="149"/>
        <v>0</v>
      </c>
      <c r="CO122" s="10">
        <f t="shared" si="150"/>
        <v>0</v>
      </c>
      <c r="CP122" s="10">
        <f t="shared" si="150"/>
        <v>0</v>
      </c>
      <c r="CQ122" s="10">
        <f t="shared" si="150"/>
        <v>0</v>
      </c>
      <c r="CR122" s="10">
        <f t="shared" si="150"/>
        <v>0</v>
      </c>
      <c r="CS122" s="10">
        <f t="shared" si="151"/>
        <v>0</v>
      </c>
      <c r="CT122" s="10">
        <f t="shared" si="151"/>
        <v>0</v>
      </c>
      <c r="CU122" s="10">
        <f t="shared" si="151"/>
        <v>0</v>
      </c>
      <c r="CV122" s="10">
        <f t="shared" si="151"/>
        <v>0</v>
      </c>
      <c r="CW122" s="10">
        <f t="shared" si="152"/>
        <v>0</v>
      </c>
      <c r="CX122" s="10">
        <f t="shared" si="152"/>
        <v>0</v>
      </c>
      <c r="CY122" s="10">
        <f t="shared" si="152"/>
        <v>0</v>
      </c>
      <c r="CZ122" s="10">
        <f t="shared" si="152"/>
        <v>0</v>
      </c>
    </row>
    <row r="123" spans="4:104" x14ac:dyDescent="0.15">
      <c r="D123" s="10">
        <v>108</v>
      </c>
      <c r="E123" s="10" t="e">
        <f t="shared" si="95"/>
        <v>#VALUE!</v>
      </c>
      <c r="F123" s="10" t="e">
        <f t="shared" si="79"/>
        <v>#VALUE!</v>
      </c>
      <c r="G123" s="10" t="e">
        <f t="shared" si="80"/>
        <v>#VALUE!</v>
      </c>
      <c r="H123" s="10" t="e">
        <f t="shared" si="96"/>
        <v>#VALUE!</v>
      </c>
      <c r="I123" s="10" t="e">
        <f t="shared" si="81"/>
        <v>#VALUE!</v>
      </c>
      <c r="J123" s="10" t="e">
        <f t="shared" si="97"/>
        <v>#VALUE!</v>
      </c>
      <c r="K123" s="10" t="e">
        <f t="shared" si="82"/>
        <v>#VALUE!</v>
      </c>
      <c r="L123" s="10" t="e">
        <f t="shared" si="83"/>
        <v>#VALUE!</v>
      </c>
      <c r="M123" s="10" t="e">
        <f t="shared" si="98"/>
        <v>#VALUE!</v>
      </c>
      <c r="O123" s="10" t="e">
        <f t="shared" si="99"/>
        <v>#VALUE!</v>
      </c>
      <c r="P123" s="10" t="e">
        <f t="shared" si="84"/>
        <v>#VALUE!</v>
      </c>
      <c r="Q123" s="10" t="e">
        <f t="shared" si="85"/>
        <v>#VALUE!</v>
      </c>
      <c r="R123" s="10" t="e">
        <f t="shared" si="100"/>
        <v>#VALUE!</v>
      </c>
      <c r="S123" s="10" t="e">
        <f t="shared" si="101"/>
        <v>#VALUE!</v>
      </c>
      <c r="T123" s="10" t="e">
        <f t="shared" si="136"/>
        <v>#VALUE!</v>
      </c>
      <c r="U123" s="10" t="e">
        <f t="shared" si="137"/>
        <v>#VALUE!</v>
      </c>
      <c r="V123" s="10" t="e">
        <f t="shared" si="86"/>
        <v>#VALUE!</v>
      </c>
      <c r="W123" s="10" t="e">
        <f t="shared" si="102"/>
        <v>#VALUE!</v>
      </c>
      <c r="Y123" s="10" t="e">
        <f t="shared" si="103"/>
        <v>#VALUE!</v>
      </c>
      <c r="Z123" s="11" t="e">
        <f t="shared" si="104"/>
        <v>#VALUE!</v>
      </c>
      <c r="AA123" s="10" t="e">
        <f t="shared" si="87"/>
        <v>#VALUE!</v>
      </c>
      <c r="AB123" s="10" t="e">
        <f t="shared" si="105"/>
        <v>#VALUE!</v>
      </c>
      <c r="AC123" s="10" t="e">
        <f t="shared" si="106"/>
        <v>#VALUE!</v>
      </c>
      <c r="AD123" s="10" t="e">
        <f t="shared" si="138"/>
        <v>#VALUE!</v>
      </c>
      <c r="AE123" s="10" t="e">
        <f t="shared" si="139"/>
        <v>#VALUE!</v>
      </c>
      <c r="AF123" s="10" t="e">
        <f t="shared" si="88"/>
        <v>#VALUE!</v>
      </c>
      <c r="AG123" s="10" t="e">
        <f t="shared" si="107"/>
        <v>#VALUE!</v>
      </c>
      <c r="AI123" s="13"/>
      <c r="AK123" s="10" t="e">
        <f t="shared" si="108"/>
        <v>#VALUE!</v>
      </c>
      <c r="AL123" s="10" t="e">
        <f t="shared" si="140"/>
        <v>#VALUE!</v>
      </c>
      <c r="AM123" s="10" t="e">
        <f t="shared" si="89"/>
        <v>#VALUE!</v>
      </c>
      <c r="AN123" s="10" t="e">
        <f t="shared" si="109"/>
        <v>#VALUE!</v>
      </c>
      <c r="AO123" s="10" t="e">
        <f t="shared" si="110"/>
        <v>#VALUE!</v>
      </c>
      <c r="AP123" s="10" t="e">
        <f t="shared" si="111"/>
        <v>#VALUE!</v>
      </c>
      <c r="AQ123" s="10" t="e">
        <f t="shared" si="141"/>
        <v>#VALUE!</v>
      </c>
      <c r="AR123" s="10" t="e">
        <f t="shared" si="90"/>
        <v>#VALUE!</v>
      </c>
      <c r="AS123" s="10" t="e">
        <f t="shared" si="142"/>
        <v>#VALUE!</v>
      </c>
      <c r="AU123" s="10" t="e">
        <f t="shared" si="112"/>
        <v>#VALUE!</v>
      </c>
      <c r="AV123" s="10" t="e">
        <f t="shared" si="143"/>
        <v>#VALUE!</v>
      </c>
      <c r="AW123" s="10" t="e">
        <f t="shared" si="91"/>
        <v>#VALUE!</v>
      </c>
      <c r="AX123" s="10" t="e">
        <f t="shared" si="113"/>
        <v>#VALUE!</v>
      </c>
      <c r="AY123" s="10" t="e">
        <f t="shared" si="114"/>
        <v>#VALUE!</v>
      </c>
      <c r="AZ123" s="10" t="e">
        <f t="shared" si="115"/>
        <v>#VALUE!</v>
      </c>
      <c r="BA123" s="10" t="e">
        <f t="shared" si="144"/>
        <v>#VALUE!</v>
      </c>
      <c r="BB123" s="10" t="e">
        <f t="shared" si="92"/>
        <v>#VALUE!</v>
      </c>
      <c r="BC123" s="10" t="e">
        <f t="shared" si="145"/>
        <v>#VALUE!</v>
      </c>
      <c r="BE123" s="10" t="e">
        <f t="shared" si="116"/>
        <v>#VALUE!</v>
      </c>
      <c r="BF123" s="10" t="e">
        <f t="shared" si="146"/>
        <v>#VALUE!</v>
      </c>
      <c r="BG123" s="10" t="e">
        <f t="shared" si="93"/>
        <v>#VALUE!</v>
      </c>
      <c r="BH123" s="10" t="e">
        <f t="shared" si="117"/>
        <v>#VALUE!</v>
      </c>
      <c r="BI123" s="10" t="e">
        <f t="shared" si="118"/>
        <v>#VALUE!</v>
      </c>
      <c r="BJ123" s="10" t="e">
        <f t="shared" si="119"/>
        <v>#VALUE!</v>
      </c>
      <c r="BK123" s="10" t="e">
        <f t="shared" si="147"/>
        <v>#VALUE!</v>
      </c>
      <c r="BL123" s="10" t="e">
        <f t="shared" si="94"/>
        <v>#VALUE!</v>
      </c>
      <c r="BM123" s="10" t="e">
        <f t="shared" si="148"/>
        <v>#VALUE!</v>
      </c>
      <c r="BP123" s="10" t="e">
        <f t="shared" si="120"/>
        <v>#VALUE!</v>
      </c>
      <c r="BQ123" s="10" t="e">
        <f t="shared" si="121"/>
        <v>#VALUE!</v>
      </c>
      <c r="BR123" s="10" t="e">
        <f t="shared" si="122"/>
        <v>#VALUE!</v>
      </c>
      <c r="BS123" s="10" t="e">
        <f t="shared" si="123"/>
        <v>#VALUE!</v>
      </c>
      <c r="BT123" s="10" t="e">
        <f t="shared" si="124"/>
        <v>#VALUE!</v>
      </c>
      <c r="BU123" s="10" t="e">
        <f t="shared" si="125"/>
        <v>#VALUE!</v>
      </c>
      <c r="BW123" s="10" t="e">
        <f t="shared" si="126"/>
        <v>#VALUE!</v>
      </c>
      <c r="BX123" s="10" t="e">
        <f t="shared" si="127"/>
        <v>#VALUE!</v>
      </c>
      <c r="BY123" s="10" t="e">
        <f t="shared" si="128"/>
        <v>#VALUE!</v>
      </c>
      <c r="BZ123" s="10" t="e">
        <f t="shared" si="129"/>
        <v>#VALUE!</v>
      </c>
      <c r="CA123" s="10" t="e">
        <f t="shared" si="130"/>
        <v>#VALUE!</v>
      </c>
      <c r="CB123" s="10" t="e">
        <f t="shared" si="131"/>
        <v>#VALUE!</v>
      </c>
      <c r="CD123" s="10" t="e">
        <f>MATCH(INDEX($BP$12:$BU$12,1,MATCH(BP123,$BP$15:$BU$15,0)),结果汇总!$AI$10:$AI$13,0)</f>
        <v>#VALUE!</v>
      </c>
      <c r="CE123" s="10" t="e">
        <f>MATCH(INDEX($BP$12:$BU$12,1,MATCH(BQ123,$BP$15:$BU$15,0)),结果汇总!$AI$10:$AI$13,0)</f>
        <v>#VALUE!</v>
      </c>
      <c r="CF123" s="10" t="e">
        <f>MATCH(INDEX($BP$12:$BU$12,1,MATCH(BR123,$BP$15:$BU$15,0)),结果汇总!$AI$10:$AI$13,0)</f>
        <v>#VALUE!</v>
      </c>
      <c r="CG123" s="10" t="e">
        <f>MATCH(INDEX($BP$12:$BU$12,1,MATCH(BS123,$BP$15:$BU$15,0)),结果汇总!$AI$10:$AI$13,0)</f>
        <v>#VALUE!</v>
      </c>
      <c r="CH123" s="10" t="e">
        <f>MATCH(INDEX($BP$12:$BU$12,1,MATCH(BT123,$BP$15:$BU$15,0)),结果汇总!$AI$10:$AI$13,0)</f>
        <v>#VALUE!</v>
      </c>
      <c r="CI123" s="10" t="e">
        <f>MATCH(INDEX($BP$12:$BU$12,1,MATCH(BU123,$BP$15:$BU$15,0)),结果汇总!$AI$10:$AI$13,0)</f>
        <v>#VALUE!</v>
      </c>
      <c r="CK123" s="10">
        <f t="shared" si="149"/>
        <v>0</v>
      </c>
      <c r="CL123" s="10">
        <f t="shared" si="149"/>
        <v>0</v>
      </c>
      <c r="CM123" s="10">
        <f t="shared" si="149"/>
        <v>0</v>
      </c>
      <c r="CN123" s="10">
        <f t="shared" si="149"/>
        <v>0</v>
      </c>
      <c r="CO123" s="10">
        <f t="shared" si="150"/>
        <v>0</v>
      </c>
      <c r="CP123" s="10">
        <f t="shared" si="150"/>
        <v>0</v>
      </c>
      <c r="CQ123" s="10">
        <f t="shared" si="150"/>
        <v>0</v>
      </c>
      <c r="CR123" s="10">
        <f t="shared" si="150"/>
        <v>0</v>
      </c>
      <c r="CS123" s="10">
        <f t="shared" si="151"/>
        <v>0</v>
      </c>
      <c r="CT123" s="10">
        <f t="shared" si="151"/>
        <v>0</v>
      </c>
      <c r="CU123" s="10">
        <f t="shared" si="151"/>
        <v>0</v>
      </c>
      <c r="CV123" s="10">
        <f t="shared" si="151"/>
        <v>0</v>
      </c>
      <c r="CW123" s="10">
        <f t="shared" si="152"/>
        <v>0</v>
      </c>
      <c r="CX123" s="10">
        <f t="shared" si="152"/>
        <v>0</v>
      </c>
      <c r="CY123" s="10">
        <f t="shared" si="152"/>
        <v>0</v>
      </c>
      <c r="CZ123" s="10">
        <f t="shared" si="152"/>
        <v>0</v>
      </c>
    </row>
    <row r="124" spans="4:104" x14ac:dyDescent="0.15">
      <c r="D124" s="10">
        <v>109</v>
      </c>
      <c r="E124" s="10" t="e">
        <f t="shared" si="95"/>
        <v>#VALUE!</v>
      </c>
      <c r="F124" s="10" t="e">
        <f t="shared" si="79"/>
        <v>#VALUE!</v>
      </c>
      <c r="G124" s="10" t="e">
        <f t="shared" si="80"/>
        <v>#VALUE!</v>
      </c>
      <c r="H124" s="10" t="e">
        <f t="shared" si="96"/>
        <v>#VALUE!</v>
      </c>
      <c r="I124" s="10" t="e">
        <f t="shared" si="81"/>
        <v>#VALUE!</v>
      </c>
      <c r="J124" s="10" t="e">
        <f t="shared" si="97"/>
        <v>#VALUE!</v>
      </c>
      <c r="K124" s="10" t="e">
        <f t="shared" si="82"/>
        <v>#VALUE!</v>
      </c>
      <c r="L124" s="10" t="e">
        <f t="shared" si="83"/>
        <v>#VALUE!</v>
      </c>
      <c r="M124" s="10" t="e">
        <f t="shared" si="98"/>
        <v>#VALUE!</v>
      </c>
      <c r="O124" s="10" t="e">
        <f t="shared" si="99"/>
        <v>#VALUE!</v>
      </c>
      <c r="P124" s="10" t="e">
        <f t="shared" si="84"/>
        <v>#VALUE!</v>
      </c>
      <c r="Q124" s="10" t="e">
        <f t="shared" si="85"/>
        <v>#VALUE!</v>
      </c>
      <c r="R124" s="10" t="e">
        <f t="shared" si="100"/>
        <v>#VALUE!</v>
      </c>
      <c r="S124" s="10" t="e">
        <f t="shared" si="101"/>
        <v>#VALUE!</v>
      </c>
      <c r="T124" s="10" t="e">
        <f t="shared" si="136"/>
        <v>#VALUE!</v>
      </c>
      <c r="U124" s="10" t="e">
        <f t="shared" si="137"/>
        <v>#VALUE!</v>
      </c>
      <c r="V124" s="10" t="e">
        <f t="shared" si="86"/>
        <v>#VALUE!</v>
      </c>
      <c r="W124" s="10" t="e">
        <f t="shared" si="102"/>
        <v>#VALUE!</v>
      </c>
      <c r="Y124" s="10" t="e">
        <f t="shared" si="103"/>
        <v>#VALUE!</v>
      </c>
      <c r="Z124" s="11" t="e">
        <f t="shared" si="104"/>
        <v>#VALUE!</v>
      </c>
      <c r="AA124" s="10" t="e">
        <f t="shared" si="87"/>
        <v>#VALUE!</v>
      </c>
      <c r="AB124" s="10" t="e">
        <f t="shared" si="105"/>
        <v>#VALUE!</v>
      </c>
      <c r="AC124" s="10" t="e">
        <f t="shared" si="106"/>
        <v>#VALUE!</v>
      </c>
      <c r="AD124" s="10" t="e">
        <f t="shared" si="138"/>
        <v>#VALUE!</v>
      </c>
      <c r="AE124" s="10" t="e">
        <f t="shared" si="139"/>
        <v>#VALUE!</v>
      </c>
      <c r="AF124" s="10" t="e">
        <f t="shared" si="88"/>
        <v>#VALUE!</v>
      </c>
      <c r="AG124" s="10" t="e">
        <f t="shared" si="107"/>
        <v>#VALUE!</v>
      </c>
      <c r="AI124" s="13"/>
      <c r="AK124" s="10" t="e">
        <f t="shared" si="108"/>
        <v>#VALUE!</v>
      </c>
      <c r="AL124" s="10" t="e">
        <f t="shared" si="140"/>
        <v>#VALUE!</v>
      </c>
      <c r="AM124" s="10" t="e">
        <f t="shared" si="89"/>
        <v>#VALUE!</v>
      </c>
      <c r="AN124" s="10" t="e">
        <f t="shared" si="109"/>
        <v>#VALUE!</v>
      </c>
      <c r="AO124" s="10" t="e">
        <f t="shared" si="110"/>
        <v>#VALUE!</v>
      </c>
      <c r="AP124" s="10" t="e">
        <f t="shared" si="111"/>
        <v>#VALUE!</v>
      </c>
      <c r="AQ124" s="10" t="e">
        <f t="shared" si="141"/>
        <v>#VALUE!</v>
      </c>
      <c r="AR124" s="10" t="e">
        <f t="shared" si="90"/>
        <v>#VALUE!</v>
      </c>
      <c r="AS124" s="10" t="e">
        <f t="shared" si="142"/>
        <v>#VALUE!</v>
      </c>
      <c r="AU124" s="10" t="e">
        <f t="shared" si="112"/>
        <v>#VALUE!</v>
      </c>
      <c r="AV124" s="10" t="e">
        <f t="shared" si="143"/>
        <v>#VALUE!</v>
      </c>
      <c r="AW124" s="10" t="e">
        <f t="shared" si="91"/>
        <v>#VALUE!</v>
      </c>
      <c r="AX124" s="10" t="e">
        <f t="shared" si="113"/>
        <v>#VALUE!</v>
      </c>
      <c r="AY124" s="10" t="e">
        <f t="shared" si="114"/>
        <v>#VALUE!</v>
      </c>
      <c r="AZ124" s="10" t="e">
        <f t="shared" si="115"/>
        <v>#VALUE!</v>
      </c>
      <c r="BA124" s="10" t="e">
        <f t="shared" si="144"/>
        <v>#VALUE!</v>
      </c>
      <c r="BB124" s="10" t="e">
        <f t="shared" si="92"/>
        <v>#VALUE!</v>
      </c>
      <c r="BC124" s="10" t="e">
        <f t="shared" si="145"/>
        <v>#VALUE!</v>
      </c>
      <c r="BE124" s="10" t="e">
        <f t="shared" si="116"/>
        <v>#VALUE!</v>
      </c>
      <c r="BF124" s="10" t="e">
        <f t="shared" si="146"/>
        <v>#VALUE!</v>
      </c>
      <c r="BG124" s="10" t="e">
        <f t="shared" si="93"/>
        <v>#VALUE!</v>
      </c>
      <c r="BH124" s="10" t="e">
        <f t="shared" si="117"/>
        <v>#VALUE!</v>
      </c>
      <c r="BI124" s="10" t="e">
        <f t="shared" si="118"/>
        <v>#VALUE!</v>
      </c>
      <c r="BJ124" s="10" t="e">
        <f t="shared" si="119"/>
        <v>#VALUE!</v>
      </c>
      <c r="BK124" s="10" t="e">
        <f t="shared" si="147"/>
        <v>#VALUE!</v>
      </c>
      <c r="BL124" s="10" t="e">
        <f t="shared" si="94"/>
        <v>#VALUE!</v>
      </c>
      <c r="BM124" s="10" t="e">
        <f t="shared" si="148"/>
        <v>#VALUE!</v>
      </c>
      <c r="BP124" s="10" t="e">
        <f t="shared" si="120"/>
        <v>#VALUE!</v>
      </c>
      <c r="BQ124" s="10" t="e">
        <f t="shared" si="121"/>
        <v>#VALUE!</v>
      </c>
      <c r="BR124" s="10" t="e">
        <f t="shared" si="122"/>
        <v>#VALUE!</v>
      </c>
      <c r="BS124" s="10" t="e">
        <f t="shared" si="123"/>
        <v>#VALUE!</v>
      </c>
      <c r="BT124" s="10" t="e">
        <f t="shared" si="124"/>
        <v>#VALUE!</v>
      </c>
      <c r="BU124" s="10" t="e">
        <f t="shared" si="125"/>
        <v>#VALUE!</v>
      </c>
      <c r="BW124" s="10" t="e">
        <f t="shared" si="126"/>
        <v>#VALUE!</v>
      </c>
      <c r="BX124" s="10" t="e">
        <f t="shared" si="127"/>
        <v>#VALUE!</v>
      </c>
      <c r="BY124" s="10" t="e">
        <f t="shared" si="128"/>
        <v>#VALUE!</v>
      </c>
      <c r="BZ124" s="10" t="e">
        <f t="shared" si="129"/>
        <v>#VALUE!</v>
      </c>
      <c r="CA124" s="10" t="e">
        <f t="shared" si="130"/>
        <v>#VALUE!</v>
      </c>
      <c r="CB124" s="10" t="e">
        <f t="shared" si="131"/>
        <v>#VALUE!</v>
      </c>
      <c r="CD124" s="10" t="e">
        <f>MATCH(INDEX($BP$12:$BU$12,1,MATCH(BP124,$BP$15:$BU$15,0)),结果汇总!$AI$10:$AI$13,0)</f>
        <v>#VALUE!</v>
      </c>
      <c r="CE124" s="10" t="e">
        <f>MATCH(INDEX($BP$12:$BU$12,1,MATCH(BQ124,$BP$15:$BU$15,0)),结果汇总!$AI$10:$AI$13,0)</f>
        <v>#VALUE!</v>
      </c>
      <c r="CF124" s="10" t="e">
        <f>MATCH(INDEX($BP$12:$BU$12,1,MATCH(BR124,$BP$15:$BU$15,0)),结果汇总!$AI$10:$AI$13,0)</f>
        <v>#VALUE!</v>
      </c>
      <c r="CG124" s="10" t="e">
        <f>MATCH(INDEX($BP$12:$BU$12,1,MATCH(BS124,$BP$15:$BU$15,0)),结果汇总!$AI$10:$AI$13,0)</f>
        <v>#VALUE!</v>
      </c>
      <c r="CH124" s="10" t="e">
        <f>MATCH(INDEX($BP$12:$BU$12,1,MATCH(BT124,$BP$15:$BU$15,0)),结果汇总!$AI$10:$AI$13,0)</f>
        <v>#VALUE!</v>
      </c>
      <c r="CI124" s="10" t="e">
        <f>MATCH(INDEX($BP$12:$BU$12,1,MATCH(BU124,$BP$15:$BU$15,0)),结果汇总!$AI$10:$AI$13,0)</f>
        <v>#VALUE!</v>
      </c>
      <c r="CK124" s="10">
        <f t="shared" si="149"/>
        <v>0</v>
      </c>
      <c r="CL124" s="10">
        <f t="shared" si="149"/>
        <v>0</v>
      </c>
      <c r="CM124" s="10">
        <f t="shared" si="149"/>
        <v>0</v>
      </c>
      <c r="CN124" s="10">
        <f t="shared" si="149"/>
        <v>0</v>
      </c>
      <c r="CO124" s="10">
        <f t="shared" si="150"/>
        <v>0</v>
      </c>
      <c r="CP124" s="10">
        <f t="shared" si="150"/>
        <v>0</v>
      </c>
      <c r="CQ124" s="10">
        <f t="shared" si="150"/>
        <v>0</v>
      </c>
      <c r="CR124" s="10">
        <f t="shared" si="150"/>
        <v>0</v>
      </c>
      <c r="CS124" s="10">
        <f t="shared" si="151"/>
        <v>0</v>
      </c>
      <c r="CT124" s="10">
        <f t="shared" si="151"/>
        <v>0</v>
      </c>
      <c r="CU124" s="10">
        <f t="shared" si="151"/>
        <v>0</v>
      </c>
      <c r="CV124" s="10">
        <f t="shared" si="151"/>
        <v>0</v>
      </c>
      <c r="CW124" s="10">
        <f t="shared" si="152"/>
        <v>0</v>
      </c>
      <c r="CX124" s="10">
        <f t="shared" si="152"/>
        <v>0</v>
      </c>
      <c r="CY124" s="10">
        <f t="shared" si="152"/>
        <v>0</v>
      </c>
      <c r="CZ124" s="10">
        <f t="shared" si="152"/>
        <v>0</v>
      </c>
    </row>
    <row r="125" spans="4:104" x14ac:dyDescent="0.15">
      <c r="D125" s="10">
        <v>110</v>
      </c>
      <c r="E125" s="10" t="e">
        <f t="shared" si="95"/>
        <v>#VALUE!</v>
      </c>
      <c r="F125" s="10" t="e">
        <f t="shared" si="79"/>
        <v>#VALUE!</v>
      </c>
      <c r="G125" s="10" t="e">
        <f t="shared" si="80"/>
        <v>#VALUE!</v>
      </c>
      <c r="H125" s="10" t="e">
        <f t="shared" si="96"/>
        <v>#VALUE!</v>
      </c>
      <c r="I125" s="10" t="e">
        <f t="shared" si="81"/>
        <v>#VALUE!</v>
      </c>
      <c r="J125" s="10" t="e">
        <f t="shared" si="97"/>
        <v>#VALUE!</v>
      </c>
      <c r="K125" s="10" t="e">
        <f t="shared" si="82"/>
        <v>#VALUE!</v>
      </c>
      <c r="L125" s="10" t="e">
        <f t="shared" si="83"/>
        <v>#VALUE!</v>
      </c>
      <c r="M125" s="10" t="e">
        <f t="shared" si="98"/>
        <v>#VALUE!</v>
      </c>
      <c r="O125" s="10" t="e">
        <f t="shared" si="99"/>
        <v>#VALUE!</v>
      </c>
      <c r="P125" s="10" t="e">
        <f t="shared" si="84"/>
        <v>#VALUE!</v>
      </c>
      <c r="Q125" s="10" t="e">
        <f t="shared" si="85"/>
        <v>#VALUE!</v>
      </c>
      <c r="R125" s="10" t="e">
        <f t="shared" si="100"/>
        <v>#VALUE!</v>
      </c>
      <c r="S125" s="10" t="e">
        <f t="shared" si="101"/>
        <v>#VALUE!</v>
      </c>
      <c r="T125" s="10" t="e">
        <f t="shared" si="136"/>
        <v>#VALUE!</v>
      </c>
      <c r="U125" s="10" t="e">
        <f t="shared" si="137"/>
        <v>#VALUE!</v>
      </c>
      <c r="V125" s="10" t="e">
        <f t="shared" si="86"/>
        <v>#VALUE!</v>
      </c>
      <c r="W125" s="10" t="e">
        <f t="shared" si="102"/>
        <v>#VALUE!</v>
      </c>
      <c r="Y125" s="10" t="e">
        <f t="shared" si="103"/>
        <v>#VALUE!</v>
      </c>
      <c r="Z125" s="11" t="e">
        <f t="shared" si="104"/>
        <v>#VALUE!</v>
      </c>
      <c r="AA125" s="10" t="e">
        <f t="shared" si="87"/>
        <v>#VALUE!</v>
      </c>
      <c r="AB125" s="10" t="e">
        <f t="shared" si="105"/>
        <v>#VALUE!</v>
      </c>
      <c r="AC125" s="10" t="e">
        <f t="shared" si="106"/>
        <v>#VALUE!</v>
      </c>
      <c r="AD125" s="10" t="e">
        <f t="shared" si="138"/>
        <v>#VALUE!</v>
      </c>
      <c r="AE125" s="10" t="e">
        <f t="shared" si="139"/>
        <v>#VALUE!</v>
      </c>
      <c r="AF125" s="10" t="e">
        <f t="shared" si="88"/>
        <v>#VALUE!</v>
      </c>
      <c r="AG125" s="10" t="e">
        <f t="shared" si="107"/>
        <v>#VALUE!</v>
      </c>
      <c r="AI125" s="13"/>
      <c r="AK125" s="10" t="e">
        <f t="shared" si="108"/>
        <v>#VALUE!</v>
      </c>
      <c r="AL125" s="10" t="e">
        <f t="shared" si="140"/>
        <v>#VALUE!</v>
      </c>
      <c r="AM125" s="10" t="e">
        <f t="shared" si="89"/>
        <v>#VALUE!</v>
      </c>
      <c r="AN125" s="10" t="e">
        <f t="shared" si="109"/>
        <v>#VALUE!</v>
      </c>
      <c r="AO125" s="10" t="e">
        <f t="shared" si="110"/>
        <v>#VALUE!</v>
      </c>
      <c r="AP125" s="10" t="e">
        <f t="shared" si="111"/>
        <v>#VALUE!</v>
      </c>
      <c r="AQ125" s="10" t="e">
        <f t="shared" si="141"/>
        <v>#VALUE!</v>
      </c>
      <c r="AR125" s="10" t="e">
        <f t="shared" si="90"/>
        <v>#VALUE!</v>
      </c>
      <c r="AS125" s="10" t="e">
        <f t="shared" si="142"/>
        <v>#VALUE!</v>
      </c>
      <c r="AU125" s="10" t="e">
        <f t="shared" si="112"/>
        <v>#VALUE!</v>
      </c>
      <c r="AV125" s="10" t="e">
        <f t="shared" si="143"/>
        <v>#VALUE!</v>
      </c>
      <c r="AW125" s="10" t="e">
        <f t="shared" si="91"/>
        <v>#VALUE!</v>
      </c>
      <c r="AX125" s="10" t="e">
        <f t="shared" si="113"/>
        <v>#VALUE!</v>
      </c>
      <c r="AY125" s="10" t="e">
        <f t="shared" si="114"/>
        <v>#VALUE!</v>
      </c>
      <c r="AZ125" s="10" t="e">
        <f t="shared" si="115"/>
        <v>#VALUE!</v>
      </c>
      <c r="BA125" s="10" t="e">
        <f t="shared" si="144"/>
        <v>#VALUE!</v>
      </c>
      <c r="BB125" s="10" t="e">
        <f t="shared" si="92"/>
        <v>#VALUE!</v>
      </c>
      <c r="BC125" s="10" t="e">
        <f t="shared" si="145"/>
        <v>#VALUE!</v>
      </c>
      <c r="BE125" s="10" t="e">
        <f t="shared" si="116"/>
        <v>#VALUE!</v>
      </c>
      <c r="BF125" s="10" t="e">
        <f t="shared" si="146"/>
        <v>#VALUE!</v>
      </c>
      <c r="BG125" s="10" t="e">
        <f t="shared" si="93"/>
        <v>#VALUE!</v>
      </c>
      <c r="BH125" s="10" t="e">
        <f t="shared" si="117"/>
        <v>#VALUE!</v>
      </c>
      <c r="BI125" s="10" t="e">
        <f t="shared" si="118"/>
        <v>#VALUE!</v>
      </c>
      <c r="BJ125" s="10" t="e">
        <f t="shared" si="119"/>
        <v>#VALUE!</v>
      </c>
      <c r="BK125" s="10" t="e">
        <f t="shared" si="147"/>
        <v>#VALUE!</v>
      </c>
      <c r="BL125" s="10" t="e">
        <f t="shared" si="94"/>
        <v>#VALUE!</v>
      </c>
      <c r="BM125" s="10" t="e">
        <f t="shared" si="148"/>
        <v>#VALUE!</v>
      </c>
      <c r="BP125" s="10" t="e">
        <f t="shared" si="120"/>
        <v>#VALUE!</v>
      </c>
      <c r="BQ125" s="10" t="e">
        <f t="shared" si="121"/>
        <v>#VALUE!</v>
      </c>
      <c r="BR125" s="10" t="e">
        <f t="shared" si="122"/>
        <v>#VALUE!</v>
      </c>
      <c r="BS125" s="10" t="e">
        <f t="shared" si="123"/>
        <v>#VALUE!</v>
      </c>
      <c r="BT125" s="10" t="e">
        <f t="shared" si="124"/>
        <v>#VALUE!</v>
      </c>
      <c r="BU125" s="10" t="e">
        <f t="shared" si="125"/>
        <v>#VALUE!</v>
      </c>
      <c r="BW125" s="10" t="e">
        <f t="shared" si="126"/>
        <v>#VALUE!</v>
      </c>
      <c r="BX125" s="10" t="e">
        <f t="shared" si="127"/>
        <v>#VALUE!</v>
      </c>
      <c r="BY125" s="10" t="e">
        <f t="shared" si="128"/>
        <v>#VALUE!</v>
      </c>
      <c r="BZ125" s="10" t="e">
        <f t="shared" si="129"/>
        <v>#VALUE!</v>
      </c>
      <c r="CA125" s="10" t="e">
        <f t="shared" si="130"/>
        <v>#VALUE!</v>
      </c>
      <c r="CB125" s="10" t="e">
        <f t="shared" si="131"/>
        <v>#VALUE!</v>
      </c>
      <c r="CD125" s="10" t="e">
        <f>MATCH(INDEX($BP$12:$BU$12,1,MATCH(BP125,$BP$15:$BU$15,0)),结果汇总!$AI$10:$AI$13,0)</f>
        <v>#VALUE!</v>
      </c>
      <c r="CE125" s="10" t="e">
        <f>MATCH(INDEX($BP$12:$BU$12,1,MATCH(BQ125,$BP$15:$BU$15,0)),结果汇总!$AI$10:$AI$13,0)</f>
        <v>#VALUE!</v>
      </c>
      <c r="CF125" s="10" t="e">
        <f>MATCH(INDEX($BP$12:$BU$12,1,MATCH(BR125,$BP$15:$BU$15,0)),结果汇总!$AI$10:$AI$13,0)</f>
        <v>#VALUE!</v>
      </c>
      <c r="CG125" s="10" t="e">
        <f>MATCH(INDEX($BP$12:$BU$12,1,MATCH(BS125,$BP$15:$BU$15,0)),结果汇总!$AI$10:$AI$13,0)</f>
        <v>#VALUE!</v>
      </c>
      <c r="CH125" s="10" t="e">
        <f>MATCH(INDEX($BP$12:$BU$12,1,MATCH(BT125,$BP$15:$BU$15,0)),结果汇总!$AI$10:$AI$13,0)</f>
        <v>#VALUE!</v>
      </c>
      <c r="CI125" s="10" t="e">
        <f>MATCH(INDEX($BP$12:$BU$12,1,MATCH(BU125,$BP$15:$BU$15,0)),结果汇总!$AI$10:$AI$13,0)</f>
        <v>#VALUE!</v>
      </c>
      <c r="CK125" s="10">
        <f t="shared" si="149"/>
        <v>0</v>
      </c>
      <c r="CL125" s="10">
        <f t="shared" si="149"/>
        <v>0</v>
      </c>
      <c r="CM125" s="10">
        <f t="shared" si="149"/>
        <v>0</v>
      </c>
      <c r="CN125" s="10">
        <f t="shared" si="149"/>
        <v>0</v>
      </c>
      <c r="CO125" s="10">
        <f t="shared" si="150"/>
        <v>0</v>
      </c>
      <c r="CP125" s="10">
        <f t="shared" si="150"/>
        <v>0</v>
      </c>
      <c r="CQ125" s="10">
        <f t="shared" si="150"/>
        <v>0</v>
      </c>
      <c r="CR125" s="10">
        <f t="shared" si="150"/>
        <v>0</v>
      </c>
      <c r="CS125" s="10">
        <f t="shared" si="151"/>
        <v>0</v>
      </c>
      <c r="CT125" s="10">
        <f t="shared" si="151"/>
        <v>0</v>
      </c>
      <c r="CU125" s="10">
        <f t="shared" si="151"/>
        <v>0</v>
      </c>
      <c r="CV125" s="10">
        <f t="shared" si="151"/>
        <v>0</v>
      </c>
      <c r="CW125" s="10">
        <f t="shared" si="152"/>
        <v>0</v>
      </c>
      <c r="CX125" s="10">
        <f t="shared" si="152"/>
        <v>0</v>
      </c>
      <c r="CY125" s="10">
        <f t="shared" si="152"/>
        <v>0</v>
      </c>
      <c r="CZ125" s="10">
        <f t="shared" si="152"/>
        <v>0</v>
      </c>
    </row>
    <row r="126" spans="4:104" x14ac:dyDescent="0.15">
      <c r="D126" s="10">
        <v>111</v>
      </c>
      <c r="E126" s="10" t="e">
        <f t="shared" si="95"/>
        <v>#VALUE!</v>
      </c>
      <c r="F126" s="10" t="e">
        <f t="shared" si="79"/>
        <v>#VALUE!</v>
      </c>
      <c r="G126" s="10" t="e">
        <f t="shared" si="80"/>
        <v>#VALUE!</v>
      </c>
      <c r="H126" s="10" t="e">
        <f t="shared" si="96"/>
        <v>#VALUE!</v>
      </c>
      <c r="I126" s="10" t="e">
        <f t="shared" si="81"/>
        <v>#VALUE!</v>
      </c>
      <c r="J126" s="10" t="e">
        <f t="shared" si="97"/>
        <v>#VALUE!</v>
      </c>
      <c r="K126" s="10" t="e">
        <f t="shared" si="82"/>
        <v>#VALUE!</v>
      </c>
      <c r="L126" s="10" t="e">
        <f t="shared" si="83"/>
        <v>#VALUE!</v>
      </c>
      <c r="M126" s="10" t="e">
        <f t="shared" si="98"/>
        <v>#VALUE!</v>
      </c>
      <c r="O126" s="10" t="e">
        <f t="shared" si="99"/>
        <v>#VALUE!</v>
      </c>
      <c r="P126" s="10" t="e">
        <f t="shared" si="84"/>
        <v>#VALUE!</v>
      </c>
      <c r="Q126" s="10" t="e">
        <f t="shared" si="85"/>
        <v>#VALUE!</v>
      </c>
      <c r="R126" s="10" t="e">
        <f t="shared" si="100"/>
        <v>#VALUE!</v>
      </c>
      <c r="S126" s="10" t="e">
        <f t="shared" si="101"/>
        <v>#VALUE!</v>
      </c>
      <c r="T126" s="10" t="e">
        <f t="shared" si="136"/>
        <v>#VALUE!</v>
      </c>
      <c r="U126" s="10" t="e">
        <f t="shared" si="137"/>
        <v>#VALUE!</v>
      </c>
      <c r="V126" s="10" t="e">
        <f t="shared" si="86"/>
        <v>#VALUE!</v>
      </c>
      <c r="W126" s="10" t="e">
        <f t="shared" si="102"/>
        <v>#VALUE!</v>
      </c>
      <c r="Y126" s="10" t="e">
        <f t="shared" si="103"/>
        <v>#VALUE!</v>
      </c>
      <c r="Z126" s="11" t="e">
        <f t="shared" si="104"/>
        <v>#VALUE!</v>
      </c>
      <c r="AA126" s="10" t="e">
        <f t="shared" si="87"/>
        <v>#VALUE!</v>
      </c>
      <c r="AB126" s="10" t="e">
        <f t="shared" si="105"/>
        <v>#VALUE!</v>
      </c>
      <c r="AC126" s="10" t="e">
        <f t="shared" si="106"/>
        <v>#VALUE!</v>
      </c>
      <c r="AD126" s="10" t="e">
        <f t="shared" si="138"/>
        <v>#VALUE!</v>
      </c>
      <c r="AE126" s="10" t="e">
        <f t="shared" si="139"/>
        <v>#VALUE!</v>
      </c>
      <c r="AF126" s="10" t="e">
        <f t="shared" si="88"/>
        <v>#VALUE!</v>
      </c>
      <c r="AG126" s="10" t="e">
        <f t="shared" si="107"/>
        <v>#VALUE!</v>
      </c>
      <c r="AI126" s="13"/>
      <c r="AK126" s="10" t="e">
        <f t="shared" si="108"/>
        <v>#VALUE!</v>
      </c>
      <c r="AL126" s="10" t="e">
        <f t="shared" si="140"/>
        <v>#VALUE!</v>
      </c>
      <c r="AM126" s="10" t="e">
        <f t="shared" si="89"/>
        <v>#VALUE!</v>
      </c>
      <c r="AN126" s="10" t="e">
        <f t="shared" si="109"/>
        <v>#VALUE!</v>
      </c>
      <c r="AO126" s="10" t="e">
        <f t="shared" si="110"/>
        <v>#VALUE!</v>
      </c>
      <c r="AP126" s="10" t="e">
        <f t="shared" si="111"/>
        <v>#VALUE!</v>
      </c>
      <c r="AQ126" s="10" t="e">
        <f t="shared" si="141"/>
        <v>#VALUE!</v>
      </c>
      <c r="AR126" s="10" t="e">
        <f t="shared" si="90"/>
        <v>#VALUE!</v>
      </c>
      <c r="AS126" s="10" t="e">
        <f t="shared" si="142"/>
        <v>#VALUE!</v>
      </c>
      <c r="AU126" s="10" t="e">
        <f t="shared" si="112"/>
        <v>#VALUE!</v>
      </c>
      <c r="AV126" s="10" t="e">
        <f t="shared" si="143"/>
        <v>#VALUE!</v>
      </c>
      <c r="AW126" s="10" t="e">
        <f t="shared" si="91"/>
        <v>#VALUE!</v>
      </c>
      <c r="AX126" s="10" t="e">
        <f t="shared" si="113"/>
        <v>#VALUE!</v>
      </c>
      <c r="AY126" s="10" t="e">
        <f t="shared" si="114"/>
        <v>#VALUE!</v>
      </c>
      <c r="AZ126" s="10" t="e">
        <f t="shared" si="115"/>
        <v>#VALUE!</v>
      </c>
      <c r="BA126" s="10" t="e">
        <f t="shared" si="144"/>
        <v>#VALUE!</v>
      </c>
      <c r="BB126" s="10" t="e">
        <f t="shared" si="92"/>
        <v>#VALUE!</v>
      </c>
      <c r="BC126" s="10" t="e">
        <f t="shared" si="145"/>
        <v>#VALUE!</v>
      </c>
      <c r="BE126" s="10" t="e">
        <f t="shared" si="116"/>
        <v>#VALUE!</v>
      </c>
      <c r="BF126" s="10" t="e">
        <f t="shared" si="146"/>
        <v>#VALUE!</v>
      </c>
      <c r="BG126" s="10" t="e">
        <f t="shared" si="93"/>
        <v>#VALUE!</v>
      </c>
      <c r="BH126" s="10" t="e">
        <f t="shared" si="117"/>
        <v>#VALUE!</v>
      </c>
      <c r="BI126" s="10" t="e">
        <f t="shared" si="118"/>
        <v>#VALUE!</v>
      </c>
      <c r="BJ126" s="10" t="e">
        <f t="shared" si="119"/>
        <v>#VALUE!</v>
      </c>
      <c r="BK126" s="10" t="e">
        <f t="shared" si="147"/>
        <v>#VALUE!</v>
      </c>
      <c r="BL126" s="10" t="e">
        <f t="shared" si="94"/>
        <v>#VALUE!</v>
      </c>
      <c r="BM126" s="10" t="e">
        <f t="shared" si="148"/>
        <v>#VALUE!</v>
      </c>
      <c r="BP126" s="10" t="e">
        <f t="shared" si="120"/>
        <v>#VALUE!</v>
      </c>
      <c r="BQ126" s="10" t="e">
        <f t="shared" si="121"/>
        <v>#VALUE!</v>
      </c>
      <c r="BR126" s="10" t="e">
        <f t="shared" si="122"/>
        <v>#VALUE!</v>
      </c>
      <c r="BS126" s="10" t="e">
        <f t="shared" si="123"/>
        <v>#VALUE!</v>
      </c>
      <c r="BT126" s="10" t="e">
        <f t="shared" si="124"/>
        <v>#VALUE!</v>
      </c>
      <c r="BU126" s="10" t="e">
        <f t="shared" si="125"/>
        <v>#VALUE!</v>
      </c>
      <c r="BW126" s="10" t="e">
        <f t="shared" si="126"/>
        <v>#VALUE!</v>
      </c>
      <c r="BX126" s="10" t="e">
        <f t="shared" si="127"/>
        <v>#VALUE!</v>
      </c>
      <c r="BY126" s="10" t="e">
        <f t="shared" si="128"/>
        <v>#VALUE!</v>
      </c>
      <c r="BZ126" s="10" t="e">
        <f t="shared" si="129"/>
        <v>#VALUE!</v>
      </c>
      <c r="CA126" s="10" t="e">
        <f t="shared" si="130"/>
        <v>#VALUE!</v>
      </c>
      <c r="CB126" s="10" t="e">
        <f t="shared" si="131"/>
        <v>#VALUE!</v>
      </c>
      <c r="CD126" s="10" t="e">
        <f>MATCH(INDEX($BP$12:$BU$12,1,MATCH(BP126,$BP$15:$BU$15,0)),结果汇总!$AI$10:$AI$13,0)</f>
        <v>#VALUE!</v>
      </c>
      <c r="CE126" s="10" t="e">
        <f>MATCH(INDEX($BP$12:$BU$12,1,MATCH(BQ126,$BP$15:$BU$15,0)),结果汇总!$AI$10:$AI$13,0)</f>
        <v>#VALUE!</v>
      </c>
      <c r="CF126" s="10" t="e">
        <f>MATCH(INDEX($BP$12:$BU$12,1,MATCH(BR126,$BP$15:$BU$15,0)),结果汇总!$AI$10:$AI$13,0)</f>
        <v>#VALUE!</v>
      </c>
      <c r="CG126" s="10" t="e">
        <f>MATCH(INDEX($BP$12:$BU$12,1,MATCH(BS126,$BP$15:$BU$15,0)),结果汇总!$AI$10:$AI$13,0)</f>
        <v>#VALUE!</v>
      </c>
      <c r="CH126" s="10" t="e">
        <f>MATCH(INDEX($BP$12:$BU$12,1,MATCH(BT126,$BP$15:$BU$15,0)),结果汇总!$AI$10:$AI$13,0)</f>
        <v>#VALUE!</v>
      </c>
      <c r="CI126" s="10" t="e">
        <f>MATCH(INDEX($BP$12:$BU$12,1,MATCH(BU126,$BP$15:$BU$15,0)),结果汇总!$AI$10:$AI$13,0)</f>
        <v>#VALUE!</v>
      </c>
      <c r="CK126" s="10">
        <f t="shared" si="149"/>
        <v>0</v>
      </c>
      <c r="CL126" s="10">
        <f t="shared" si="149"/>
        <v>0</v>
      </c>
      <c r="CM126" s="10">
        <f t="shared" si="149"/>
        <v>0</v>
      </c>
      <c r="CN126" s="10">
        <f t="shared" si="149"/>
        <v>0</v>
      </c>
      <c r="CO126" s="10">
        <f t="shared" si="150"/>
        <v>0</v>
      </c>
      <c r="CP126" s="10">
        <f t="shared" si="150"/>
        <v>0</v>
      </c>
      <c r="CQ126" s="10">
        <f t="shared" si="150"/>
        <v>0</v>
      </c>
      <c r="CR126" s="10">
        <f t="shared" si="150"/>
        <v>0</v>
      </c>
      <c r="CS126" s="10">
        <f t="shared" si="151"/>
        <v>0</v>
      </c>
      <c r="CT126" s="10">
        <f t="shared" si="151"/>
        <v>0</v>
      </c>
      <c r="CU126" s="10">
        <f t="shared" si="151"/>
        <v>0</v>
      </c>
      <c r="CV126" s="10">
        <f t="shared" si="151"/>
        <v>0</v>
      </c>
      <c r="CW126" s="10">
        <f t="shared" si="152"/>
        <v>0</v>
      </c>
      <c r="CX126" s="10">
        <f t="shared" si="152"/>
        <v>0</v>
      </c>
      <c r="CY126" s="10">
        <f t="shared" si="152"/>
        <v>0</v>
      </c>
      <c r="CZ126" s="10">
        <f t="shared" si="152"/>
        <v>0</v>
      </c>
    </row>
    <row r="127" spans="4:104" x14ac:dyDescent="0.15">
      <c r="D127" s="10">
        <v>112</v>
      </c>
      <c r="E127" s="10" t="e">
        <f t="shared" si="95"/>
        <v>#VALUE!</v>
      </c>
      <c r="F127" s="10" t="e">
        <f t="shared" si="79"/>
        <v>#VALUE!</v>
      </c>
      <c r="G127" s="10" t="e">
        <f t="shared" si="80"/>
        <v>#VALUE!</v>
      </c>
      <c r="H127" s="10" t="e">
        <f t="shared" si="96"/>
        <v>#VALUE!</v>
      </c>
      <c r="I127" s="10" t="e">
        <f t="shared" si="81"/>
        <v>#VALUE!</v>
      </c>
      <c r="J127" s="10" t="e">
        <f t="shared" si="97"/>
        <v>#VALUE!</v>
      </c>
      <c r="K127" s="10" t="e">
        <f t="shared" si="82"/>
        <v>#VALUE!</v>
      </c>
      <c r="L127" s="10" t="e">
        <f t="shared" si="83"/>
        <v>#VALUE!</v>
      </c>
      <c r="M127" s="10" t="e">
        <f t="shared" si="98"/>
        <v>#VALUE!</v>
      </c>
      <c r="O127" s="10" t="e">
        <f t="shared" si="99"/>
        <v>#VALUE!</v>
      </c>
      <c r="P127" s="10" t="e">
        <f t="shared" si="84"/>
        <v>#VALUE!</v>
      </c>
      <c r="Q127" s="10" t="e">
        <f t="shared" si="85"/>
        <v>#VALUE!</v>
      </c>
      <c r="R127" s="10" t="e">
        <f t="shared" si="100"/>
        <v>#VALUE!</v>
      </c>
      <c r="S127" s="10" t="e">
        <f t="shared" si="101"/>
        <v>#VALUE!</v>
      </c>
      <c r="T127" s="10" t="e">
        <f t="shared" si="136"/>
        <v>#VALUE!</v>
      </c>
      <c r="U127" s="10" t="e">
        <f t="shared" si="137"/>
        <v>#VALUE!</v>
      </c>
      <c r="V127" s="10" t="e">
        <f t="shared" si="86"/>
        <v>#VALUE!</v>
      </c>
      <c r="W127" s="10" t="e">
        <f t="shared" si="102"/>
        <v>#VALUE!</v>
      </c>
      <c r="Y127" s="10" t="e">
        <f t="shared" si="103"/>
        <v>#VALUE!</v>
      </c>
      <c r="Z127" s="11" t="e">
        <f t="shared" si="104"/>
        <v>#VALUE!</v>
      </c>
      <c r="AA127" s="10" t="e">
        <f t="shared" si="87"/>
        <v>#VALUE!</v>
      </c>
      <c r="AB127" s="10" t="e">
        <f t="shared" si="105"/>
        <v>#VALUE!</v>
      </c>
      <c r="AC127" s="10" t="e">
        <f t="shared" si="106"/>
        <v>#VALUE!</v>
      </c>
      <c r="AD127" s="10" t="e">
        <f t="shared" si="138"/>
        <v>#VALUE!</v>
      </c>
      <c r="AE127" s="10" t="e">
        <f t="shared" si="139"/>
        <v>#VALUE!</v>
      </c>
      <c r="AF127" s="10" t="e">
        <f t="shared" si="88"/>
        <v>#VALUE!</v>
      </c>
      <c r="AG127" s="10" t="e">
        <f t="shared" si="107"/>
        <v>#VALUE!</v>
      </c>
      <c r="AI127" s="13"/>
      <c r="AK127" s="10" t="e">
        <f t="shared" si="108"/>
        <v>#VALUE!</v>
      </c>
      <c r="AL127" s="10" t="e">
        <f t="shared" si="140"/>
        <v>#VALUE!</v>
      </c>
      <c r="AM127" s="10" t="e">
        <f t="shared" si="89"/>
        <v>#VALUE!</v>
      </c>
      <c r="AN127" s="10" t="e">
        <f t="shared" si="109"/>
        <v>#VALUE!</v>
      </c>
      <c r="AO127" s="10" t="e">
        <f t="shared" si="110"/>
        <v>#VALUE!</v>
      </c>
      <c r="AP127" s="10" t="e">
        <f t="shared" si="111"/>
        <v>#VALUE!</v>
      </c>
      <c r="AQ127" s="10" t="e">
        <f t="shared" si="141"/>
        <v>#VALUE!</v>
      </c>
      <c r="AR127" s="10" t="e">
        <f t="shared" si="90"/>
        <v>#VALUE!</v>
      </c>
      <c r="AS127" s="10" t="e">
        <f t="shared" si="142"/>
        <v>#VALUE!</v>
      </c>
      <c r="AU127" s="10" t="e">
        <f t="shared" si="112"/>
        <v>#VALUE!</v>
      </c>
      <c r="AV127" s="10" t="e">
        <f t="shared" si="143"/>
        <v>#VALUE!</v>
      </c>
      <c r="AW127" s="10" t="e">
        <f t="shared" si="91"/>
        <v>#VALUE!</v>
      </c>
      <c r="AX127" s="10" t="e">
        <f t="shared" si="113"/>
        <v>#VALUE!</v>
      </c>
      <c r="AY127" s="10" t="e">
        <f t="shared" si="114"/>
        <v>#VALUE!</v>
      </c>
      <c r="AZ127" s="10" t="e">
        <f t="shared" si="115"/>
        <v>#VALUE!</v>
      </c>
      <c r="BA127" s="10" t="e">
        <f t="shared" si="144"/>
        <v>#VALUE!</v>
      </c>
      <c r="BB127" s="10" t="e">
        <f t="shared" si="92"/>
        <v>#VALUE!</v>
      </c>
      <c r="BC127" s="10" t="e">
        <f t="shared" si="145"/>
        <v>#VALUE!</v>
      </c>
      <c r="BE127" s="10" t="e">
        <f t="shared" si="116"/>
        <v>#VALUE!</v>
      </c>
      <c r="BF127" s="10" t="e">
        <f t="shared" si="146"/>
        <v>#VALUE!</v>
      </c>
      <c r="BG127" s="10" t="e">
        <f t="shared" si="93"/>
        <v>#VALUE!</v>
      </c>
      <c r="BH127" s="10" t="e">
        <f t="shared" si="117"/>
        <v>#VALUE!</v>
      </c>
      <c r="BI127" s="10" t="e">
        <f t="shared" si="118"/>
        <v>#VALUE!</v>
      </c>
      <c r="BJ127" s="10" t="e">
        <f t="shared" si="119"/>
        <v>#VALUE!</v>
      </c>
      <c r="BK127" s="10" t="e">
        <f t="shared" si="147"/>
        <v>#VALUE!</v>
      </c>
      <c r="BL127" s="10" t="e">
        <f t="shared" si="94"/>
        <v>#VALUE!</v>
      </c>
      <c r="BM127" s="10" t="e">
        <f t="shared" si="148"/>
        <v>#VALUE!</v>
      </c>
      <c r="BP127" s="10" t="e">
        <f t="shared" si="120"/>
        <v>#VALUE!</v>
      </c>
      <c r="BQ127" s="10" t="e">
        <f t="shared" si="121"/>
        <v>#VALUE!</v>
      </c>
      <c r="BR127" s="10" t="e">
        <f t="shared" si="122"/>
        <v>#VALUE!</v>
      </c>
      <c r="BS127" s="10" t="e">
        <f t="shared" si="123"/>
        <v>#VALUE!</v>
      </c>
      <c r="BT127" s="10" t="e">
        <f t="shared" si="124"/>
        <v>#VALUE!</v>
      </c>
      <c r="BU127" s="10" t="e">
        <f t="shared" si="125"/>
        <v>#VALUE!</v>
      </c>
      <c r="BW127" s="10" t="e">
        <f t="shared" si="126"/>
        <v>#VALUE!</v>
      </c>
      <c r="BX127" s="10" t="e">
        <f t="shared" si="127"/>
        <v>#VALUE!</v>
      </c>
      <c r="BY127" s="10" t="e">
        <f t="shared" si="128"/>
        <v>#VALUE!</v>
      </c>
      <c r="BZ127" s="10" t="e">
        <f t="shared" si="129"/>
        <v>#VALUE!</v>
      </c>
      <c r="CA127" s="10" t="e">
        <f t="shared" si="130"/>
        <v>#VALUE!</v>
      </c>
      <c r="CB127" s="10" t="e">
        <f t="shared" si="131"/>
        <v>#VALUE!</v>
      </c>
      <c r="CD127" s="10" t="e">
        <f>MATCH(INDEX($BP$12:$BU$12,1,MATCH(BP127,$BP$15:$BU$15,0)),结果汇总!$AI$10:$AI$13,0)</f>
        <v>#VALUE!</v>
      </c>
      <c r="CE127" s="10" t="e">
        <f>MATCH(INDEX($BP$12:$BU$12,1,MATCH(BQ127,$BP$15:$BU$15,0)),结果汇总!$AI$10:$AI$13,0)</f>
        <v>#VALUE!</v>
      </c>
      <c r="CF127" s="10" t="e">
        <f>MATCH(INDEX($BP$12:$BU$12,1,MATCH(BR127,$BP$15:$BU$15,0)),结果汇总!$AI$10:$AI$13,0)</f>
        <v>#VALUE!</v>
      </c>
      <c r="CG127" s="10" t="e">
        <f>MATCH(INDEX($BP$12:$BU$12,1,MATCH(BS127,$BP$15:$BU$15,0)),结果汇总!$AI$10:$AI$13,0)</f>
        <v>#VALUE!</v>
      </c>
      <c r="CH127" s="10" t="e">
        <f>MATCH(INDEX($BP$12:$BU$12,1,MATCH(BT127,$BP$15:$BU$15,0)),结果汇总!$AI$10:$AI$13,0)</f>
        <v>#VALUE!</v>
      </c>
      <c r="CI127" s="10" t="e">
        <f>MATCH(INDEX($BP$12:$BU$12,1,MATCH(BU127,$BP$15:$BU$15,0)),结果汇总!$AI$10:$AI$13,0)</f>
        <v>#VALUE!</v>
      </c>
      <c r="CK127" s="10">
        <f t="shared" si="149"/>
        <v>0</v>
      </c>
      <c r="CL127" s="10">
        <f t="shared" si="149"/>
        <v>0</v>
      </c>
      <c r="CM127" s="10">
        <f t="shared" si="149"/>
        <v>0</v>
      </c>
      <c r="CN127" s="10">
        <f t="shared" si="149"/>
        <v>0</v>
      </c>
      <c r="CO127" s="10">
        <f t="shared" si="150"/>
        <v>0</v>
      </c>
      <c r="CP127" s="10">
        <f t="shared" si="150"/>
        <v>0</v>
      </c>
      <c r="CQ127" s="10">
        <f t="shared" si="150"/>
        <v>0</v>
      </c>
      <c r="CR127" s="10">
        <f t="shared" si="150"/>
        <v>0</v>
      </c>
      <c r="CS127" s="10">
        <f t="shared" si="151"/>
        <v>0</v>
      </c>
      <c r="CT127" s="10">
        <f t="shared" si="151"/>
        <v>0</v>
      </c>
      <c r="CU127" s="10">
        <f t="shared" si="151"/>
        <v>0</v>
      </c>
      <c r="CV127" s="10">
        <f t="shared" si="151"/>
        <v>0</v>
      </c>
      <c r="CW127" s="10">
        <f t="shared" si="152"/>
        <v>0</v>
      </c>
      <c r="CX127" s="10">
        <f t="shared" si="152"/>
        <v>0</v>
      </c>
      <c r="CY127" s="10">
        <f t="shared" si="152"/>
        <v>0</v>
      </c>
      <c r="CZ127" s="10">
        <f t="shared" si="152"/>
        <v>0</v>
      </c>
    </row>
    <row r="128" spans="4:104" x14ac:dyDescent="0.15">
      <c r="D128" s="10">
        <v>113</v>
      </c>
      <c r="E128" s="10" t="e">
        <f t="shared" si="95"/>
        <v>#VALUE!</v>
      </c>
      <c r="F128" s="10" t="e">
        <f t="shared" si="79"/>
        <v>#VALUE!</v>
      </c>
      <c r="G128" s="10" t="e">
        <f t="shared" si="80"/>
        <v>#VALUE!</v>
      </c>
      <c r="H128" s="10" t="e">
        <f t="shared" si="96"/>
        <v>#VALUE!</v>
      </c>
      <c r="I128" s="10" t="e">
        <f t="shared" si="81"/>
        <v>#VALUE!</v>
      </c>
      <c r="J128" s="10" t="e">
        <f t="shared" si="97"/>
        <v>#VALUE!</v>
      </c>
      <c r="K128" s="10" t="e">
        <f t="shared" si="82"/>
        <v>#VALUE!</v>
      </c>
      <c r="L128" s="10" t="e">
        <f t="shared" si="83"/>
        <v>#VALUE!</v>
      </c>
      <c r="M128" s="10" t="e">
        <f t="shared" si="98"/>
        <v>#VALUE!</v>
      </c>
      <c r="O128" s="10" t="e">
        <f t="shared" si="99"/>
        <v>#VALUE!</v>
      </c>
      <c r="P128" s="10" t="e">
        <f t="shared" si="84"/>
        <v>#VALUE!</v>
      </c>
      <c r="Q128" s="10" t="e">
        <f t="shared" si="85"/>
        <v>#VALUE!</v>
      </c>
      <c r="R128" s="10" t="e">
        <f t="shared" si="100"/>
        <v>#VALUE!</v>
      </c>
      <c r="S128" s="10" t="e">
        <f t="shared" si="101"/>
        <v>#VALUE!</v>
      </c>
      <c r="T128" s="10" t="e">
        <f t="shared" si="136"/>
        <v>#VALUE!</v>
      </c>
      <c r="U128" s="10" t="e">
        <f t="shared" si="137"/>
        <v>#VALUE!</v>
      </c>
      <c r="V128" s="10" t="e">
        <f t="shared" si="86"/>
        <v>#VALUE!</v>
      </c>
      <c r="W128" s="10" t="e">
        <f t="shared" si="102"/>
        <v>#VALUE!</v>
      </c>
      <c r="Y128" s="10" t="e">
        <f t="shared" si="103"/>
        <v>#VALUE!</v>
      </c>
      <c r="Z128" s="11" t="e">
        <f t="shared" si="104"/>
        <v>#VALUE!</v>
      </c>
      <c r="AA128" s="10" t="e">
        <f t="shared" si="87"/>
        <v>#VALUE!</v>
      </c>
      <c r="AB128" s="10" t="e">
        <f t="shared" si="105"/>
        <v>#VALUE!</v>
      </c>
      <c r="AC128" s="10" t="e">
        <f t="shared" si="106"/>
        <v>#VALUE!</v>
      </c>
      <c r="AD128" s="10" t="e">
        <f t="shared" si="138"/>
        <v>#VALUE!</v>
      </c>
      <c r="AE128" s="10" t="e">
        <f t="shared" si="139"/>
        <v>#VALUE!</v>
      </c>
      <c r="AF128" s="10" t="e">
        <f t="shared" si="88"/>
        <v>#VALUE!</v>
      </c>
      <c r="AG128" s="10" t="e">
        <f t="shared" si="107"/>
        <v>#VALUE!</v>
      </c>
      <c r="AI128" s="13"/>
      <c r="AK128" s="10" t="e">
        <f t="shared" si="108"/>
        <v>#VALUE!</v>
      </c>
      <c r="AL128" s="10" t="e">
        <f t="shared" si="140"/>
        <v>#VALUE!</v>
      </c>
      <c r="AM128" s="10" t="e">
        <f t="shared" si="89"/>
        <v>#VALUE!</v>
      </c>
      <c r="AN128" s="10" t="e">
        <f t="shared" si="109"/>
        <v>#VALUE!</v>
      </c>
      <c r="AO128" s="10" t="e">
        <f t="shared" si="110"/>
        <v>#VALUE!</v>
      </c>
      <c r="AP128" s="10" t="e">
        <f t="shared" si="111"/>
        <v>#VALUE!</v>
      </c>
      <c r="AQ128" s="10" t="e">
        <f t="shared" si="141"/>
        <v>#VALUE!</v>
      </c>
      <c r="AR128" s="10" t="e">
        <f t="shared" si="90"/>
        <v>#VALUE!</v>
      </c>
      <c r="AS128" s="10" t="e">
        <f t="shared" si="142"/>
        <v>#VALUE!</v>
      </c>
      <c r="AU128" s="10" t="e">
        <f t="shared" si="112"/>
        <v>#VALUE!</v>
      </c>
      <c r="AV128" s="10" t="e">
        <f t="shared" si="143"/>
        <v>#VALUE!</v>
      </c>
      <c r="AW128" s="10" t="e">
        <f t="shared" si="91"/>
        <v>#VALUE!</v>
      </c>
      <c r="AX128" s="10" t="e">
        <f t="shared" si="113"/>
        <v>#VALUE!</v>
      </c>
      <c r="AY128" s="10" t="e">
        <f t="shared" si="114"/>
        <v>#VALUE!</v>
      </c>
      <c r="AZ128" s="10" t="e">
        <f t="shared" si="115"/>
        <v>#VALUE!</v>
      </c>
      <c r="BA128" s="10" t="e">
        <f t="shared" si="144"/>
        <v>#VALUE!</v>
      </c>
      <c r="BB128" s="10" t="e">
        <f t="shared" si="92"/>
        <v>#VALUE!</v>
      </c>
      <c r="BC128" s="10" t="e">
        <f t="shared" si="145"/>
        <v>#VALUE!</v>
      </c>
      <c r="BE128" s="10" t="e">
        <f t="shared" si="116"/>
        <v>#VALUE!</v>
      </c>
      <c r="BF128" s="10" t="e">
        <f t="shared" si="146"/>
        <v>#VALUE!</v>
      </c>
      <c r="BG128" s="10" t="e">
        <f t="shared" si="93"/>
        <v>#VALUE!</v>
      </c>
      <c r="BH128" s="10" t="e">
        <f t="shared" si="117"/>
        <v>#VALUE!</v>
      </c>
      <c r="BI128" s="10" t="e">
        <f t="shared" si="118"/>
        <v>#VALUE!</v>
      </c>
      <c r="BJ128" s="10" t="e">
        <f t="shared" si="119"/>
        <v>#VALUE!</v>
      </c>
      <c r="BK128" s="10" t="e">
        <f t="shared" si="147"/>
        <v>#VALUE!</v>
      </c>
      <c r="BL128" s="10" t="e">
        <f t="shared" si="94"/>
        <v>#VALUE!</v>
      </c>
      <c r="BM128" s="10" t="e">
        <f t="shared" si="148"/>
        <v>#VALUE!</v>
      </c>
      <c r="BP128" s="10" t="e">
        <f t="shared" si="120"/>
        <v>#VALUE!</v>
      </c>
      <c r="BQ128" s="10" t="e">
        <f t="shared" si="121"/>
        <v>#VALUE!</v>
      </c>
      <c r="BR128" s="10" t="e">
        <f t="shared" si="122"/>
        <v>#VALUE!</v>
      </c>
      <c r="BS128" s="10" t="e">
        <f t="shared" si="123"/>
        <v>#VALUE!</v>
      </c>
      <c r="BT128" s="10" t="e">
        <f t="shared" si="124"/>
        <v>#VALUE!</v>
      </c>
      <c r="BU128" s="10" t="e">
        <f t="shared" si="125"/>
        <v>#VALUE!</v>
      </c>
      <c r="BW128" s="10" t="e">
        <f t="shared" si="126"/>
        <v>#VALUE!</v>
      </c>
      <c r="BX128" s="10" t="e">
        <f t="shared" si="127"/>
        <v>#VALUE!</v>
      </c>
      <c r="BY128" s="10" t="e">
        <f t="shared" si="128"/>
        <v>#VALUE!</v>
      </c>
      <c r="BZ128" s="10" t="e">
        <f t="shared" si="129"/>
        <v>#VALUE!</v>
      </c>
      <c r="CA128" s="10" t="e">
        <f t="shared" si="130"/>
        <v>#VALUE!</v>
      </c>
      <c r="CB128" s="10" t="e">
        <f t="shared" si="131"/>
        <v>#VALUE!</v>
      </c>
      <c r="CD128" s="10" t="e">
        <f>MATCH(INDEX($BP$12:$BU$12,1,MATCH(BP128,$BP$15:$BU$15,0)),结果汇总!$AI$10:$AI$13,0)</f>
        <v>#VALUE!</v>
      </c>
      <c r="CE128" s="10" t="e">
        <f>MATCH(INDEX($BP$12:$BU$12,1,MATCH(BQ128,$BP$15:$BU$15,0)),结果汇总!$AI$10:$AI$13,0)</f>
        <v>#VALUE!</v>
      </c>
      <c r="CF128" s="10" t="e">
        <f>MATCH(INDEX($BP$12:$BU$12,1,MATCH(BR128,$BP$15:$BU$15,0)),结果汇总!$AI$10:$AI$13,0)</f>
        <v>#VALUE!</v>
      </c>
      <c r="CG128" s="10" t="e">
        <f>MATCH(INDEX($BP$12:$BU$12,1,MATCH(BS128,$BP$15:$BU$15,0)),结果汇总!$AI$10:$AI$13,0)</f>
        <v>#VALUE!</v>
      </c>
      <c r="CH128" s="10" t="e">
        <f>MATCH(INDEX($BP$12:$BU$12,1,MATCH(BT128,$BP$15:$BU$15,0)),结果汇总!$AI$10:$AI$13,0)</f>
        <v>#VALUE!</v>
      </c>
      <c r="CI128" s="10" t="e">
        <f>MATCH(INDEX($BP$12:$BU$12,1,MATCH(BU128,$BP$15:$BU$15,0)),结果汇总!$AI$10:$AI$13,0)</f>
        <v>#VALUE!</v>
      </c>
      <c r="CK128" s="10">
        <f t="shared" si="149"/>
        <v>0</v>
      </c>
      <c r="CL128" s="10">
        <f t="shared" si="149"/>
        <v>0</v>
      </c>
      <c r="CM128" s="10">
        <f t="shared" si="149"/>
        <v>0</v>
      </c>
      <c r="CN128" s="10">
        <f t="shared" si="149"/>
        <v>0</v>
      </c>
      <c r="CO128" s="10">
        <f t="shared" si="150"/>
        <v>0</v>
      </c>
      <c r="CP128" s="10">
        <f t="shared" si="150"/>
        <v>0</v>
      </c>
      <c r="CQ128" s="10">
        <f t="shared" si="150"/>
        <v>0</v>
      </c>
      <c r="CR128" s="10">
        <f t="shared" si="150"/>
        <v>0</v>
      </c>
      <c r="CS128" s="10">
        <f t="shared" si="151"/>
        <v>0</v>
      </c>
      <c r="CT128" s="10">
        <f t="shared" si="151"/>
        <v>0</v>
      </c>
      <c r="CU128" s="10">
        <f t="shared" si="151"/>
        <v>0</v>
      </c>
      <c r="CV128" s="10">
        <f t="shared" si="151"/>
        <v>0</v>
      </c>
      <c r="CW128" s="10">
        <f t="shared" si="152"/>
        <v>0</v>
      </c>
      <c r="CX128" s="10">
        <f t="shared" si="152"/>
        <v>0</v>
      </c>
      <c r="CY128" s="10">
        <f t="shared" si="152"/>
        <v>0</v>
      </c>
      <c r="CZ128" s="10">
        <f t="shared" si="152"/>
        <v>0</v>
      </c>
    </row>
    <row r="129" spans="4:104" x14ac:dyDescent="0.15">
      <c r="D129" s="10">
        <v>114</v>
      </c>
      <c r="E129" s="10" t="e">
        <f t="shared" si="95"/>
        <v>#VALUE!</v>
      </c>
      <c r="F129" s="10" t="e">
        <f t="shared" si="79"/>
        <v>#VALUE!</v>
      </c>
      <c r="G129" s="10" t="e">
        <f t="shared" si="80"/>
        <v>#VALUE!</v>
      </c>
      <c r="H129" s="10" t="e">
        <f t="shared" si="96"/>
        <v>#VALUE!</v>
      </c>
      <c r="I129" s="10" t="e">
        <f t="shared" si="81"/>
        <v>#VALUE!</v>
      </c>
      <c r="J129" s="10" t="e">
        <f t="shared" si="97"/>
        <v>#VALUE!</v>
      </c>
      <c r="K129" s="10" t="e">
        <f t="shared" si="82"/>
        <v>#VALUE!</v>
      </c>
      <c r="L129" s="10" t="e">
        <f t="shared" si="83"/>
        <v>#VALUE!</v>
      </c>
      <c r="M129" s="10" t="e">
        <f t="shared" si="98"/>
        <v>#VALUE!</v>
      </c>
      <c r="O129" s="10" t="e">
        <f t="shared" si="99"/>
        <v>#VALUE!</v>
      </c>
      <c r="P129" s="10" t="e">
        <f t="shared" si="84"/>
        <v>#VALUE!</v>
      </c>
      <c r="Q129" s="10" t="e">
        <f t="shared" si="85"/>
        <v>#VALUE!</v>
      </c>
      <c r="R129" s="10" t="e">
        <f t="shared" si="100"/>
        <v>#VALUE!</v>
      </c>
      <c r="S129" s="10" t="e">
        <f t="shared" si="101"/>
        <v>#VALUE!</v>
      </c>
      <c r="T129" s="10" t="e">
        <f t="shared" si="136"/>
        <v>#VALUE!</v>
      </c>
      <c r="U129" s="10" t="e">
        <f t="shared" si="137"/>
        <v>#VALUE!</v>
      </c>
      <c r="V129" s="10" t="e">
        <f t="shared" si="86"/>
        <v>#VALUE!</v>
      </c>
      <c r="W129" s="10" t="e">
        <f t="shared" si="102"/>
        <v>#VALUE!</v>
      </c>
      <c r="Y129" s="10" t="e">
        <f t="shared" si="103"/>
        <v>#VALUE!</v>
      </c>
      <c r="Z129" s="11" t="e">
        <f t="shared" si="104"/>
        <v>#VALUE!</v>
      </c>
      <c r="AA129" s="10" t="e">
        <f t="shared" si="87"/>
        <v>#VALUE!</v>
      </c>
      <c r="AB129" s="10" t="e">
        <f t="shared" si="105"/>
        <v>#VALUE!</v>
      </c>
      <c r="AC129" s="10" t="e">
        <f t="shared" si="106"/>
        <v>#VALUE!</v>
      </c>
      <c r="AD129" s="10" t="e">
        <f t="shared" si="138"/>
        <v>#VALUE!</v>
      </c>
      <c r="AE129" s="10" t="e">
        <f t="shared" si="139"/>
        <v>#VALUE!</v>
      </c>
      <c r="AF129" s="10" t="e">
        <f t="shared" si="88"/>
        <v>#VALUE!</v>
      </c>
      <c r="AG129" s="10" t="e">
        <f t="shared" si="107"/>
        <v>#VALUE!</v>
      </c>
      <c r="AI129" s="13"/>
      <c r="AK129" s="10" t="e">
        <f t="shared" si="108"/>
        <v>#VALUE!</v>
      </c>
      <c r="AL129" s="10" t="e">
        <f t="shared" si="140"/>
        <v>#VALUE!</v>
      </c>
      <c r="AM129" s="10" t="e">
        <f t="shared" si="89"/>
        <v>#VALUE!</v>
      </c>
      <c r="AN129" s="10" t="e">
        <f t="shared" si="109"/>
        <v>#VALUE!</v>
      </c>
      <c r="AO129" s="10" t="e">
        <f t="shared" si="110"/>
        <v>#VALUE!</v>
      </c>
      <c r="AP129" s="10" t="e">
        <f t="shared" si="111"/>
        <v>#VALUE!</v>
      </c>
      <c r="AQ129" s="10" t="e">
        <f t="shared" si="141"/>
        <v>#VALUE!</v>
      </c>
      <c r="AR129" s="10" t="e">
        <f t="shared" si="90"/>
        <v>#VALUE!</v>
      </c>
      <c r="AS129" s="10" t="e">
        <f t="shared" si="142"/>
        <v>#VALUE!</v>
      </c>
      <c r="AU129" s="10" t="e">
        <f t="shared" si="112"/>
        <v>#VALUE!</v>
      </c>
      <c r="AV129" s="10" t="e">
        <f t="shared" si="143"/>
        <v>#VALUE!</v>
      </c>
      <c r="AW129" s="10" t="e">
        <f t="shared" si="91"/>
        <v>#VALUE!</v>
      </c>
      <c r="AX129" s="10" t="e">
        <f t="shared" si="113"/>
        <v>#VALUE!</v>
      </c>
      <c r="AY129" s="10" t="e">
        <f t="shared" si="114"/>
        <v>#VALUE!</v>
      </c>
      <c r="AZ129" s="10" t="e">
        <f t="shared" si="115"/>
        <v>#VALUE!</v>
      </c>
      <c r="BA129" s="10" t="e">
        <f t="shared" si="144"/>
        <v>#VALUE!</v>
      </c>
      <c r="BB129" s="10" t="e">
        <f t="shared" si="92"/>
        <v>#VALUE!</v>
      </c>
      <c r="BC129" s="10" t="e">
        <f t="shared" si="145"/>
        <v>#VALUE!</v>
      </c>
      <c r="BE129" s="10" t="e">
        <f t="shared" si="116"/>
        <v>#VALUE!</v>
      </c>
      <c r="BF129" s="10" t="e">
        <f t="shared" si="146"/>
        <v>#VALUE!</v>
      </c>
      <c r="BG129" s="10" t="e">
        <f t="shared" si="93"/>
        <v>#VALUE!</v>
      </c>
      <c r="BH129" s="10" t="e">
        <f t="shared" si="117"/>
        <v>#VALUE!</v>
      </c>
      <c r="BI129" s="10" t="e">
        <f t="shared" si="118"/>
        <v>#VALUE!</v>
      </c>
      <c r="BJ129" s="10" t="e">
        <f t="shared" si="119"/>
        <v>#VALUE!</v>
      </c>
      <c r="BK129" s="10" t="e">
        <f t="shared" si="147"/>
        <v>#VALUE!</v>
      </c>
      <c r="BL129" s="10" t="e">
        <f t="shared" si="94"/>
        <v>#VALUE!</v>
      </c>
      <c r="BM129" s="10" t="e">
        <f t="shared" si="148"/>
        <v>#VALUE!</v>
      </c>
      <c r="BP129" s="10" t="e">
        <f t="shared" si="120"/>
        <v>#VALUE!</v>
      </c>
      <c r="BQ129" s="10" t="e">
        <f t="shared" si="121"/>
        <v>#VALUE!</v>
      </c>
      <c r="BR129" s="10" t="e">
        <f t="shared" si="122"/>
        <v>#VALUE!</v>
      </c>
      <c r="BS129" s="10" t="e">
        <f t="shared" si="123"/>
        <v>#VALUE!</v>
      </c>
      <c r="BT129" s="10" t="e">
        <f t="shared" si="124"/>
        <v>#VALUE!</v>
      </c>
      <c r="BU129" s="10" t="e">
        <f t="shared" si="125"/>
        <v>#VALUE!</v>
      </c>
      <c r="BW129" s="10" t="e">
        <f t="shared" si="126"/>
        <v>#VALUE!</v>
      </c>
      <c r="BX129" s="10" t="e">
        <f t="shared" si="127"/>
        <v>#VALUE!</v>
      </c>
      <c r="BY129" s="10" t="e">
        <f t="shared" si="128"/>
        <v>#VALUE!</v>
      </c>
      <c r="BZ129" s="10" t="e">
        <f t="shared" si="129"/>
        <v>#VALUE!</v>
      </c>
      <c r="CA129" s="10" t="e">
        <f t="shared" si="130"/>
        <v>#VALUE!</v>
      </c>
      <c r="CB129" s="10" t="e">
        <f t="shared" si="131"/>
        <v>#VALUE!</v>
      </c>
      <c r="CD129" s="10" t="e">
        <f>MATCH(INDEX($BP$12:$BU$12,1,MATCH(BP129,$BP$15:$BU$15,0)),结果汇总!$AI$10:$AI$13,0)</f>
        <v>#VALUE!</v>
      </c>
      <c r="CE129" s="10" t="e">
        <f>MATCH(INDEX($BP$12:$BU$12,1,MATCH(BQ129,$BP$15:$BU$15,0)),结果汇总!$AI$10:$AI$13,0)</f>
        <v>#VALUE!</v>
      </c>
      <c r="CF129" s="10" t="e">
        <f>MATCH(INDEX($BP$12:$BU$12,1,MATCH(BR129,$BP$15:$BU$15,0)),结果汇总!$AI$10:$AI$13,0)</f>
        <v>#VALUE!</v>
      </c>
      <c r="CG129" s="10" t="e">
        <f>MATCH(INDEX($BP$12:$BU$12,1,MATCH(BS129,$BP$15:$BU$15,0)),结果汇总!$AI$10:$AI$13,0)</f>
        <v>#VALUE!</v>
      </c>
      <c r="CH129" s="10" t="e">
        <f>MATCH(INDEX($BP$12:$BU$12,1,MATCH(BT129,$BP$15:$BU$15,0)),结果汇总!$AI$10:$AI$13,0)</f>
        <v>#VALUE!</v>
      </c>
      <c r="CI129" s="10" t="e">
        <f>MATCH(INDEX($BP$12:$BU$12,1,MATCH(BU129,$BP$15:$BU$15,0)),结果汇总!$AI$10:$AI$13,0)</f>
        <v>#VALUE!</v>
      </c>
      <c r="CK129" s="10">
        <f t="shared" si="149"/>
        <v>0</v>
      </c>
      <c r="CL129" s="10">
        <f t="shared" si="149"/>
        <v>0</v>
      </c>
      <c r="CM129" s="10">
        <f t="shared" si="149"/>
        <v>0</v>
      </c>
      <c r="CN129" s="10">
        <f t="shared" si="149"/>
        <v>0</v>
      </c>
      <c r="CO129" s="10">
        <f t="shared" si="150"/>
        <v>0</v>
      </c>
      <c r="CP129" s="10">
        <f t="shared" si="150"/>
        <v>0</v>
      </c>
      <c r="CQ129" s="10">
        <f t="shared" si="150"/>
        <v>0</v>
      </c>
      <c r="CR129" s="10">
        <f t="shared" si="150"/>
        <v>0</v>
      </c>
      <c r="CS129" s="10">
        <f t="shared" si="151"/>
        <v>0</v>
      </c>
      <c r="CT129" s="10">
        <f t="shared" si="151"/>
        <v>0</v>
      </c>
      <c r="CU129" s="10">
        <f t="shared" si="151"/>
        <v>0</v>
      </c>
      <c r="CV129" s="10">
        <f t="shared" si="151"/>
        <v>0</v>
      </c>
      <c r="CW129" s="10">
        <f t="shared" si="152"/>
        <v>0</v>
      </c>
      <c r="CX129" s="10">
        <f t="shared" si="152"/>
        <v>0</v>
      </c>
      <c r="CY129" s="10">
        <f t="shared" si="152"/>
        <v>0</v>
      </c>
      <c r="CZ129" s="10">
        <f t="shared" si="152"/>
        <v>0</v>
      </c>
    </row>
    <row r="130" spans="4:104" x14ac:dyDescent="0.15">
      <c r="D130" s="10">
        <v>115</v>
      </c>
      <c r="E130" s="10" t="e">
        <f t="shared" si="95"/>
        <v>#VALUE!</v>
      </c>
      <c r="F130" s="10" t="e">
        <f t="shared" si="79"/>
        <v>#VALUE!</v>
      </c>
      <c r="G130" s="10" t="e">
        <f t="shared" si="80"/>
        <v>#VALUE!</v>
      </c>
      <c r="H130" s="10" t="e">
        <f t="shared" si="96"/>
        <v>#VALUE!</v>
      </c>
      <c r="I130" s="10" t="e">
        <f t="shared" si="81"/>
        <v>#VALUE!</v>
      </c>
      <c r="J130" s="10" t="e">
        <f t="shared" si="97"/>
        <v>#VALUE!</v>
      </c>
      <c r="K130" s="10" t="e">
        <f t="shared" si="82"/>
        <v>#VALUE!</v>
      </c>
      <c r="L130" s="10" t="e">
        <f t="shared" si="83"/>
        <v>#VALUE!</v>
      </c>
      <c r="M130" s="10" t="e">
        <f t="shared" si="98"/>
        <v>#VALUE!</v>
      </c>
      <c r="O130" s="10" t="e">
        <f t="shared" si="99"/>
        <v>#VALUE!</v>
      </c>
      <c r="P130" s="10" t="e">
        <f t="shared" si="84"/>
        <v>#VALUE!</v>
      </c>
      <c r="Q130" s="10" t="e">
        <f t="shared" si="85"/>
        <v>#VALUE!</v>
      </c>
      <c r="R130" s="10" t="e">
        <f t="shared" si="100"/>
        <v>#VALUE!</v>
      </c>
      <c r="S130" s="10" t="e">
        <f t="shared" si="101"/>
        <v>#VALUE!</v>
      </c>
      <c r="T130" s="10" t="e">
        <f t="shared" si="136"/>
        <v>#VALUE!</v>
      </c>
      <c r="U130" s="10" t="e">
        <f t="shared" si="137"/>
        <v>#VALUE!</v>
      </c>
      <c r="V130" s="10" t="e">
        <f t="shared" si="86"/>
        <v>#VALUE!</v>
      </c>
      <c r="W130" s="10" t="e">
        <f t="shared" si="102"/>
        <v>#VALUE!</v>
      </c>
      <c r="Y130" s="10" t="e">
        <f t="shared" si="103"/>
        <v>#VALUE!</v>
      </c>
      <c r="Z130" s="11" t="e">
        <f t="shared" si="104"/>
        <v>#VALUE!</v>
      </c>
      <c r="AA130" s="10" t="e">
        <f t="shared" si="87"/>
        <v>#VALUE!</v>
      </c>
      <c r="AB130" s="10" t="e">
        <f t="shared" si="105"/>
        <v>#VALUE!</v>
      </c>
      <c r="AC130" s="10" t="e">
        <f t="shared" si="106"/>
        <v>#VALUE!</v>
      </c>
      <c r="AD130" s="10" t="e">
        <f t="shared" si="138"/>
        <v>#VALUE!</v>
      </c>
      <c r="AE130" s="10" t="e">
        <f t="shared" si="139"/>
        <v>#VALUE!</v>
      </c>
      <c r="AF130" s="10" t="e">
        <f t="shared" si="88"/>
        <v>#VALUE!</v>
      </c>
      <c r="AG130" s="10" t="e">
        <f t="shared" si="107"/>
        <v>#VALUE!</v>
      </c>
      <c r="AI130" s="13"/>
      <c r="AK130" s="10" t="e">
        <f t="shared" si="108"/>
        <v>#VALUE!</v>
      </c>
      <c r="AL130" s="10" t="e">
        <f t="shared" si="140"/>
        <v>#VALUE!</v>
      </c>
      <c r="AM130" s="10" t="e">
        <f t="shared" si="89"/>
        <v>#VALUE!</v>
      </c>
      <c r="AN130" s="10" t="e">
        <f t="shared" si="109"/>
        <v>#VALUE!</v>
      </c>
      <c r="AO130" s="10" t="e">
        <f t="shared" si="110"/>
        <v>#VALUE!</v>
      </c>
      <c r="AP130" s="10" t="e">
        <f t="shared" si="111"/>
        <v>#VALUE!</v>
      </c>
      <c r="AQ130" s="10" t="e">
        <f t="shared" si="141"/>
        <v>#VALUE!</v>
      </c>
      <c r="AR130" s="10" t="e">
        <f t="shared" si="90"/>
        <v>#VALUE!</v>
      </c>
      <c r="AS130" s="10" t="e">
        <f t="shared" si="142"/>
        <v>#VALUE!</v>
      </c>
      <c r="AU130" s="10" t="e">
        <f t="shared" si="112"/>
        <v>#VALUE!</v>
      </c>
      <c r="AV130" s="10" t="e">
        <f t="shared" si="143"/>
        <v>#VALUE!</v>
      </c>
      <c r="AW130" s="10" t="e">
        <f t="shared" si="91"/>
        <v>#VALUE!</v>
      </c>
      <c r="AX130" s="10" t="e">
        <f t="shared" si="113"/>
        <v>#VALUE!</v>
      </c>
      <c r="AY130" s="10" t="e">
        <f t="shared" si="114"/>
        <v>#VALUE!</v>
      </c>
      <c r="AZ130" s="10" t="e">
        <f t="shared" si="115"/>
        <v>#VALUE!</v>
      </c>
      <c r="BA130" s="10" t="e">
        <f t="shared" si="144"/>
        <v>#VALUE!</v>
      </c>
      <c r="BB130" s="10" t="e">
        <f t="shared" si="92"/>
        <v>#VALUE!</v>
      </c>
      <c r="BC130" s="10" t="e">
        <f t="shared" si="145"/>
        <v>#VALUE!</v>
      </c>
      <c r="BE130" s="10" t="e">
        <f t="shared" si="116"/>
        <v>#VALUE!</v>
      </c>
      <c r="BF130" s="10" t="e">
        <f t="shared" si="146"/>
        <v>#VALUE!</v>
      </c>
      <c r="BG130" s="10" t="e">
        <f t="shared" si="93"/>
        <v>#VALUE!</v>
      </c>
      <c r="BH130" s="10" t="e">
        <f t="shared" si="117"/>
        <v>#VALUE!</v>
      </c>
      <c r="BI130" s="10" t="e">
        <f t="shared" si="118"/>
        <v>#VALUE!</v>
      </c>
      <c r="BJ130" s="10" t="e">
        <f t="shared" si="119"/>
        <v>#VALUE!</v>
      </c>
      <c r="BK130" s="10" t="e">
        <f t="shared" si="147"/>
        <v>#VALUE!</v>
      </c>
      <c r="BL130" s="10" t="e">
        <f t="shared" si="94"/>
        <v>#VALUE!</v>
      </c>
      <c r="BM130" s="10" t="e">
        <f t="shared" si="148"/>
        <v>#VALUE!</v>
      </c>
      <c r="BP130" s="10" t="e">
        <f t="shared" si="120"/>
        <v>#VALUE!</v>
      </c>
      <c r="BQ130" s="10" t="e">
        <f t="shared" si="121"/>
        <v>#VALUE!</v>
      </c>
      <c r="BR130" s="10" t="e">
        <f t="shared" si="122"/>
        <v>#VALUE!</v>
      </c>
      <c r="BS130" s="10" t="e">
        <f t="shared" si="123"/>
        <v>#VALUE!</v>
      </c>
      <c r="BT130" s="10" t="e">
        <f t="shared" si="124"/>
        <v>#VALUE!</v>
      </c>
      <c r="BU130" s="10" t="e">
        <f t="shared" si="125"/>
        <v>#VALUE!</v>
      </c>
      <c r="BW130" s="10" t="e">
        <f t="shared" si="126"/>
        <v>#VALUE!</v>
      </c>
      <c r="BX130" s="10" t="e">
        <f t="shared" si="127"/>
        <v>#VALUE!</v>
      </c>
      <c r="BY130" s="10" t="e">
        <f t="shared" si="128"/>
        <v>#VALUE!</v>
      </c>
      <c r="BZ130" s="10" t="e">
        <f t="shared" si="129"/>
        <v>#VALUE!</v>
      </c>
      <c r="CA130" s="10" t="e">
        <f t="shared" si="130"/>
        <v>#VALUE!</v>
      </c>
      <c r="CB130" s="10" t="e">
        <f t="shared" si="131"/>
        <v>#VALUE!</v>
      </c>
      <c r="CD130" s="10" t="e">
        <f>MATCH(INDEX($BP$12:$BU$12,1,MATCH(BP130,$BP$15:$BU$15,0)),结果汇总!$AI$10:$AI$13,0)</f>
        <v>#VALUE!</v>
      </c>
      <c r="CE130" s="10" t="e">
        <f>MATCH(INDEX($BP$12:$BU$12,1,MATCH(BQ130,$BP$15:$BU$15,0)),结果汇总!$AI$10:$AI$13,0)</f>
        <v>#VALUE!</v>
      </c>
      <c r="CF130" s="10" t="e">
        <f>MATCH(INDEX($BP$12:$BU$12,1,MATCH(BR130,$BP$15:$BU$15,0)),结果汇总!$AI$10:$AI$13,0)</f>
        <v>#VALUE!</v>
      </c>
      <c r="CG130" s="10" t="e">
        <f>MATCH(INDEX($BP$12:$BU$12,1,MATCH(BS130,$BP$15:$BU$15,0)),结果汇总!$AI$10:$AI$13,0)</f>
        <v>#VALUE!</v>
      </c>
      <c r="CH130" s="10" t="e">
        <f>MATCH(INDEX($BP$12:$BU$12,1,MATCH(BT130,$BP$15:$BU$15,0)),结果汇总!$AI$10:$AI$13,0)</f>
        <v>#VALUE!</v>
      </c>
      <c r="CI130" s="10" t="e">
        <f>MATCH(INDEX($BP$12:$BU$12,1,MATCH(BU130,$BP$15:$BU$15,0)),结果汇总!$AI$10:$AI$13,0)</f>
        <v>#VALUE!</v>
      </c>
      <c r="CK130" s="10">
        <f t="shared" si="149"/>
        <v>0</v>
      </c>
      <c r="CL130" s="10">
        <f t="shared" si="149"/>
        <v>0</v>
      </c>
      <c r="CM130" s="10">
        <f t="shared" si="149"/>
        <v>0</v>
      </c>
      <c r="CN130" s="10">
        <f t="shared" si="149"/>
        <v>0</v>
      </c>
      <c r="CO130" s="10">
        <f t="shared" si="150"/>
        <v>0</v>
      </c>
      <c r="CP130" s="10">
        <f t="shared" si="150"/>
        <v>0</v>
      </c>
      <c r="CQ130" s="10">
        <f t="shared" si="150"/>
        <v>0</v>
      </c>
      <c r="CR130" s="10">
        <f t="shared" si="150"/>
        <v>0</v>
      </c>
      <c r="CS130" s="10">
        <f t="shared" si="151"/>
        <v>0</v>
      </c>
      <c r="CT130" s="10">
        <f t="shared" si="151"/>
        <v>0</v>
      </c>
      <c r="CU130" s="10">
        <f t="shared" si="151"/>
        <v>0</v>
      </c>
      <c r="CV130" s="10">
        <f t="shared" si="151"/>
        <v>0</v>
      </c>
      <c r="CW130" s="10">
        <f t="shared" si="152"/>
        <v>0</v>
      </c>
      <c r="CX130" s="10">
        <f t="shared" si="152"/>
        <v>0</v>
      </c>
      <c r="CY130" s="10">
        <f t="shared" si="152"/>
        <v>0</v>
      </c>
      <c r="CZ130" s="10">
        <f t="shared" si="152"/>
        <v>0</v>
      </c>
    </row>
    <row r="131" spans="4:104" x14ac:dyDescent="0.15">
      <c r="D131" s="10">
        <v>116</v>
      </c>
      <c r="E131" s="10" t="e">
        <f t="shared" si="95"/>
        <v>#VALUE!</v>
      </c>
      <c r="F131" s="10" t="e">
        <f t="shared" si="79"/>
        <v>#VALUE!</v>
      </c>
      <c r="G131" s="10" t="e">
        <f t="shared" si="80"/>
        <v>#VALUE!</v>
      </c>
      <c r="H131" s="10" t="e">
        <f t="shared" si="96"/>
        <v>#VALUE!</v>
      </c>
      <c r="I131" s="10" t="e">
        <f t="shared" si="81"/>
        <v>#VALUE!</v>
      </c>
      <c r="J131" s="10" t="e">
        <f t="shared" si="97"/>
        <v>#VALUE!</v>
      </c>
      <c r="K131" s="10" t="e">
        <f t="shared" si="82"/>
        <v>#VALUE!</v>
      </c>
      <c r="L131" s="10" t="e">
        <f t="shared" si="83"/>
        <v>#VALUE!</v>
      </c>
      <c r="M131" s="10" t="e">
        <f t="shared" si="98"/>
        <v>#VALUE!</v>
      </c>
      <c r="O131" s="10" t="e">
        <f t="shared" si="99"/>
        <v>#VALUE!</v>
      </c>
      <c r="P131" s="10" t="e">
        <f t="shared" si="84"/>
        <v>#VALUE!</v>
      </c>
      <c r="Q131" s="10" t="e">
        <f t="shared" si="85"/>
        <v>#VALUE!</v>
      </c>
      <c r="R131" s="10" t="e">
        <f t="shared" si="100"/>
        <v>#VALUE!</v>
      </c>
      <c r="S131" s="10" t="e">
        <f t="shared" si="101"/>
        <v>#VALUE!</v>
      </c>
      <c r="T131" s="10" t="e">
        <f t="shared" si="136"/>
        <v>#VALUE!</v>
      </c>
      <c r="U131" s="10" t="e">
        <f t="shared" si="137"/>
        <v>#VALUE!</v>
      </c>
      <c r="V131" s="10" t="e">
        <f t="shared" si="86"/>
        <v>#VALUE!</v>
      </c>
      <c r="W131" s="10" t="e">
        <f t="shared" si="102"/>
        <v>#VALUE!</v>
      </c>
      <c r="Y131" s="10" t="e">
        <f t="shared" si="103"/>
        <v>#VALUE!</v>
      </c>
      <c r="Z131" s="11" t="e">
        <f t="shared" si="104"/>
        <v>#VALUE!</v>
      </c>
      <c r="AA131" s="10" t="e">
        <f t="shared" si="87"/>
        <v>#VALUE!</v>
      </c>
      <c r="AB131" s="10" t="e">
        <f t="shared" si="105"/>
        <v>#VALUE!</v>
      </c>
      <c r="AC131" s="10" t="e">
        <f t="shared" si="106"/>
        <v>#VALUE!</v>
      </c>
      <c r="AD131" s="10" t="e">
        <f t="shared" si="138"/>
        <v>#VALUE!</v>
      </c>
      <c r="AE131" s="10" t="e">
        <f t="shared" si="139"/>
        <v>#VALUE!</v>
      </c>
      <c r="AF131" s="10" t="e">
        <f t="shared" si="88"/>
        <v>#VALUE!</v>
      </c>
      <c r="AG131" s="10" t="e">
        <f t="shared" si="107"/>
        <v>#VALUE!</v>
      </c>
      <c r="AI131" s="13"/>
      <c r="AK131" s="10" t="e">
        <f t="shared" si="108"/>
        <v>#VALUE!</v>
      </c>
      <c r="AL131" s="10" t="e">
        <f t="shared" si="140"/>
        <v>#VALUE!</v>
      </c>
      <c r="AM131" s="10" t="e">
        <f t="shared" si="89"/>
        <v>#VALUE!</v>
      </c>
      <c r="AN131" s="10" t="e">
        <f t="shared" si="109"/>
        <v>#VALUE!</v>
      </c>
      <c r="AO131" s="10" t="e">
        <f t="shared" si="110"/>
        <v>#VALUE!</v>
      </c>
      <c r="AP131" s="10" t="e">
        <f t="shared" si="111"/>
        <v>#VALUE!</v>
      </c>
      <c r="AQ131" s="10" t="e">
        <f t="shared" si="141"/>
        <v>#VALUE!</v>
      </c>
      <c r="AR131" s="10" t="e">
        <f t="shared" si="90"/>
        <v>#VALUE!</v>
      </c>
      <c r="AS131" s="10" t="e">
        <f t="shared" si="142"/>
        <v>#VALUE!</v>
      </c>
      <c r="AU131" s="10" t="e">
        <f t="shared" si="112"/>
        <v>#VALUE!</v>
      </c>
      <c r="AV131" s="10" t="e">
        <f t="shared" si="143"/>
        <v>#VALUE!</v>
      </c>
      <c r="AW131" s="10" t="e">
        <f t="shared" si="91"/>
        <v>#VALUE!</v>
      </c>
      <c r="AX131" s="10" t="e">
        <f t="shared" si="113"/>
        <v>#VALUE!</v>
      </c>
      <c r="AY131" s="10" t="e">
        <f t="shared" si="114"/>
        <v>#VALUE!</v>
      </c>
      <c r="AZ131" s="10" t="e">
        <f t="shared" si="115"/>
        <v>#VALUE!</v>
      </c>
      <c r="BA131" s="10" t="e">
        <f t="shared" si="144"/>
        <v>#VALUE!</v>
      </c>
      <c r="BB131" s="10" t="e">
        <f t="shared" si="92"/>
        <v>#VALUE!</v>
      </c>
      <c r="BC131" s="10" t="e">
        <f t="shared" si="145"/>
        <v>#VALUE!</v>
      </c>
      <c r="BE131" s="10" t="e">
        <f t="shared" si="116"/>
        <v>#VALUE!</v>
      </c>
      <c r="BF131" s="10" t="e">
        <f t="shared" si="146"/>
        <v>#VALUE!</v>
      </c>
      <c r="BG131" s="10" t="e">
        <f t="shared" si="93"/>
        <v>#VALUE!</v>
      </c>
      <c r="BH131" s="10" t="e">
        <f t="shared" si="117"/>
        <v>#VALUE!</v>
      </c>
      <c r="BI131" s="10" t="e">
        <f t="shared" si="118"/>
        <v>#VALUE!</v>
      </c>
      <c r="BJ131" s="10" t="e">
        <f t="shared" si="119"/>
        <v>#VALUE!</v>
      </c>
      <c r="BK131" s="10" t="e">
        <f t="shared" si="147"/>
        <v>#VALUE!</v>
      </c>
      <c r="BL131" s="10" t="e">
        <f t="shared" si="94"/>
        <v>#VALUE!</v>
      </c>
      <c r="BM131" s="10" t="e">
        <f t="shared" si="148"/>
        <v>#VALUE!</v>
      </c>
      <c r="BP131" s="10" t="e">
        <f t="shared" si="120"/>
        <v>#VALUE!</v>
      </c>
      <c r="BQ131" s="10" t="e">
        <f t="shared" si="121"/>
        <v>#VALUE!</v>
      </c>
      <c r="BR131" s="10" t="e">
        <f t="shared" si="122"/>
        <v>#VALUE!</v>
      </c>
      <c r="BS131" s="10" t="e">
        <f t="shared" si="123"/>
        <v>#VALUE!</v>
      </c>
      <c r="BT131" s="10" t="e">
        <f t="shared" si="124"/>
        <v>#VALUE!</v>
      </c>
      <c r="BU131" s="10" t="e">
        <f t="shared" si="125"/>
        <v>#VALUE!</v>
      </c>
      <c r="BW131" s="10" t="e">
        <f t="shared" si="126"/>
        <v>#VALUE!</v>
      </c>
      <c r="BX131" s="10" t="e">
        <f t="shared" si="127"/>
        <v>#VALUE!</v>
      </c>
      <c r="BY131" s="10" t="e">
        <f t="shared" si="128"/>
        <v>#VALUE!</v>
      </c>
      <c r="BZ131" s="10" t="e">
        <f t="shared" si="129"/>
        <v>#VALUE!</v>
      </c>
      <c r="CA131" s="10" t="e">
        <f t="shared" si="130"/>
        <v>#VALUE!</v>
      </c>
      <c r="CB131" s="10" t="e">
        <f t="shared" si="131"/>
        <v>#VALUE!</v>
      </c>
      <c r="CD131" s="10" t="e">
        <f>MATCH(INDEX($BP$12:$BU$12,1,MATCH(BP131,$BP$15:$BU$15,0)),结果汇总!$AI$10:$AI$13,0)</f>
        <v>#VALUE!</v>
      </c>
      <c r="CE131" s="10" t="e">
        <f>MATCH(INDEX($BP$12:$BU$12,1,MATCH(BQ131,$BP$15:$BU$15,0)),结果汇总!$AI$10:$AI$13,0)</f>
        <v>#VALUE!</v>
      </c>
      <c r="CF131" s="10" t="e">
        <f>MATCH(INDEX($BP$12:$BU$12,1,MATCH(BR131,$BP$15:$BU$15,0)),结果汇总!$AI$10:$AI$13,0)</f>
        <v>#VALUE!</v>
      </c>
      <c r="CG131" s="10" t="e">
        <f>MATCH(INDEX($BP$12:$BU$12,1,MATCH(BS131,$BP$15:$BU$15,0)),结果汇总!$AI$10:$AI$13,0)</f>
        <v>#VALUE!</v>
      </c>
      <c r="CH131" s="10" t="e">
        <f>MATCH(INDEX($BP$12:$BU$12,1,MATCH(BT131,$BP$15:$BU$15,0)),结果汇总!$AI$10:$AI$13,0)</f>
        <v>#VALUE!</v>
      </c>
      <c r="CI131" s="10" t="e">
        <f>MATCH(INDEX($BP$12:$BU$12,1,MATCH(BU131,$BP$15:$BU$15,0)),结果汇总!$AI$10:$AI$13,0)</f>
        <v>#VALUE!</v>
      </c>
      <c r="CK131" s="10">
        <f t="shared" si="149"/>
        <v>0</v>
      </c>
      <c r="CL131" s="10">
        <f t="shared" si="149"/>
        <v>0</v>
      </c>
      <c r="CM131" s="10">
        <f t="shared" si="149"/>
        <v>0</v>
      </c>
      <c r="CN131" s="10">
        <f t="shared" si="149"/>
        <v>0</v>
      </c>
      <c r="CO131" s="10">
        <f t="shared" si="150"/>
        <v>0</v>
      </c>
      <c r="CP131" s="10">
        <f t="shared" si="150"/>
        <v>0</v>
      </c>
      <c r="CQ131" s="10">
        <f t="shared" si="150"/>
        <v>0</v>
      </c>
      <c r="CR131" s="10">
        <f t="shared" si="150"/>
        <v>0</v>
      </c>
      <c r="CS131" s="10">
        <f t="shared" si="151"/>
        <v>0</v>
      </c>
      <c r="CT131" s="10">
        <f t="shared" si="151"/>
        <v>0</v>
      </c>
      <c r="CU131" s="10">
        <f t="shared" si="151"/>
        <v>0</v>
      </c>
      <c r="CV131" s="10">
        <f t="shared" si="151"/>
        <v>0</v>
      </c>
      <c r="CW131" s="10">
        <f t="shared" si="152"/>
        <v>0</v>
      </c>
      <c r="CX131" s="10">
        <f t="shared" si="152"/>
        <v>0</v>
      </c>
      <c r="CY131" s="10">
        <f t="shared" si="152"/>
        <v>0</v>
      </c>
      <c r="CZ131" s="10">
        <f t="shared" si="152"/>
        <v>0</v>
      </c>
    </row>
    <row r="132" spans="4:104" x14ac:dyDescent="0.15">
      <c r="D132" s="10">
        <v>117</v>
      </c>
      <c r="E132" s="10" t="e">
        <f t="shared" si="95"/>
        <v>#VALUE!</v>
      </c>
      <c r="F132" s="10" t="e">
        <f t="shared" si="79"/>
        <v>#VALUE!</v>
      </c>
      <c r="G132" s="10" t="e">
        <f t="shared" si="80"/>
        <v>#VALUE!</v>
      </c>
      <c r="H132" s="10" t="e">
        <f t="shared" si="96"/>
        <v>#VALUE!</v>
      </c>
      <c r="I132" s="10" t="e">
        <f t="shared" si="81"/>
        <v>#VALUE!</v>
      </c>
      <c r="J132" s="10" t="e">
        <f t="shared" si="97"/>
        <v>#VALUE!</v>
      </c>
      <c r="K132" s="10" t="e">
        <f t="shared" si="82"/>
        <v>#VALUE!</v>
      </c>
      <c r="L132" s="10" t="e">
        <f t="shared" si="83"/>
        <v>#VALUE!</v>
      </c>
      <c r="M132" s="10" t="e">
        <f t="shared" si="98"/>
        <v>#VALUE!</v>
      </c>
      <c r="O132" s="10" t="e">
        <f t="shared" si="99"/>
        <v>#VALUE!</v>
      </c>
      <c r="P132" s="10" t="e">
        <f t="shared" si="84"/>
        <v>#VALUE!</v>
      </c>
      <c r="Q132" s="10" t="e">
        <f t="shared" si="85"/>
        <v>#VALUE!</v>
      </c>
      <c r="R132" s="10" t="e">
        <f t="shared" si="100"/>
        <v>#VALUE!</v>
      </c>
      <c r="S132" s="10" t="e">
        <f t="shared" si="101"/>
        <v>#VALUE!</v>
      </c>
      <c r="T132" s="10" t="e">
        <f t="shared" si="136"/>
        <v>#VALUE!</v>
      </c>
      <c r="U132" s="10" t="e">
        <f t="shared" si="137"/>
        <v>#VALUE!</v>
      </c>
      <c r="V132" s="10" t="e">
        <f t="shared" si="86"/>
        <v>#VALUE!</v>
      </c>
      <c r="W132" s="10" t="e">
        <f t="shared" si="102"/>
        <v>#VALUE!</v>
      </c>
      <c r="Y132" s="10" t="e">
        <f t="shared" si="103"/>
        <v>#VALUE!</v>
      </c>
      <c r="Z132" s="11" t="e">
        <f t="shared" si="104"/>
        <v>#VALUE!</v>
      </c>
      <c r="AA132" s="10" t="e">
        <f t="shared" si="87"/>
        <v>#VALUE!</v>
      </c>
      <c r="AB132" s="10" t="e">
        <f t="shared" si="105"/>
        <v>#VALUE!</v>
      </c>
      <c r="AC132" s="10" t="e">
        <f t="shared" si="106"/>
        <v>#VALUE!</v>
      </c>
      <c r="AD132" s="10" t="e">
        <f t="shared" si="138"/>
        <v>#VALUE!</v>
      </c>
      <c r="AE132" s="10" t="e">
        <f t="shared" si="139"/>
        <v>#VALUE!</v>
      </c>
      <c r="AF132" s="10" t="e">
        <f t="shared" si="88"/>
        <v>#VALUE!</v>
      </c>
      <c r="AG132" s="10" t="e">
        <f t="shared" si="107"/>
        <v>#VALUE!</v>
      </c>
      <c r="AI132" s="13"/>
      <c r="AK132" s="10" t="e">
        <f t="shared" si="108"/>
        <v>#VALUE!</v>
      </c>
      <c r="AL132" s="10" t="e">
        <f t="shared" si="140"/>
        <v>#VALUE!</v>
      </c>
      <c r="AM132" s="10" t="e">
        <f t="shared" si="89"/>
        <v>#VALUE!</v>
      </c>
      <c r="AN132" s="10" t="e">
        <f t="shared" si="109"/>
        <v>#VALUE!</v>
      </c>
      <c r="AO132" s="10" t="e">
        <f t="shared" si="110"/>
        <v>#VALUE!</v>
      </c>
      <c r="AP132" s="10" t="e">
        <f t="shared" si="111"/>
        <v>#VALUE!</v>
      </c>
      <c r="AQ132" s="10" t="e">
        <f t="shared" si="141"/>
        <v>#VALUE!</v>
      </c>
      <c r="AR132" s="10" t="e">
        <f t="shared" si="90"/>
        <v>#VALUE!</v>
      </c>
      <c r="AS132" s="10" t="e">
        <f t="shared" si="142"/>
        <v>#VALUE!</v>
      </c>
      <c r="AU132" s="10" t="e">
        <f t="shared" si="112"/>
        <v>#VALUE!</v>
      </c>
      <c r="AV132" s="10" t="e">
        <f t="shared" si="143"/>
        <v>#VALUE!</v>
      </c>
      <c r="AW132" s="10" t="e">
        <f t="shared" si="91"/>
        <v>#VALUE!</v>
      </c>
      <c r="AX132" s="10" t="e">
        <f t="shared" si="113"/>
        <v>#VALUE!</v>
      </c>
      <c r="AY132" s="10" t="e">
        <f t="shared" si="114"/>
        <v>#VALUE!</v>
      </c>
      <c r="AZ132" s="10" t="e">
        <f t="shared" si="115"/>
        <v>#VALUE!</v>
      </c>
      <c r="BA132" s="10" t="e">
        <f t="shared" si="144"/>
        <v>#VALUE!</v>
      </c>
      <c r="BB132" s="10" t="e">
        <f t="shared" si="92"/>
        <v>#VALUE!</v>
      </c>
      <c r="BC132" s="10" t="e">
        <f t="shared" si="145"/>
        <v>#VALUE!</v>
      </c>
      <c r="BE132" s="10" t="e">
        <f t="shared" si="116"/>
        <v>#VALUE!</v>
      </c>
      <c r="BF132" s="10" t="e">
        <f t="shared" si="146"/>
        <v>#VALUE!</v>
      </c>
      <c r="BG132" s="10" t="e">
        <f t="shared" si="93"/>
        <v>#VALUE!</v>
      </c>
      <c r="BH132" s="10" t="e">
        <f t="shared" si="117"/>
        <v>#VALUE!</v>
      </c>
      <c r="BI132" s="10" t="e">
        <f t="shared" si="118"/>
        <v>#VALUE!</v>
      </c>
      <c r="BJ132" s="10" t="e">
        <f t="shared" si="119"/>
        <v>#VALUE!</v>
      </c>
      <c r="BK132" s="10" t="e">
        <f t="shared" si="147"/>
        <v>#VALUE!</v>
      </c>
      <c r="BL132" s="10" t="e">
        <f t="shared" si="94"/>
        <v>#VALUE!</v>
      </c>
      <c r="BM132" s="10" t="e">
        <f t="shared" si="148"/>
        <v>#VALUE!</v>
      </c>
      <c r="BP132" s="10" t="e">
        <f t="shared" si="120"/>
        <v>#VALUE!</v>
      </c>
      <c r="BQ132" s="10" t="e">
        <f t="shared" si="121"/>
        <v>#VALUE!</v>
      </c>
      <c r="BR132" s="10" t="e">
        <f t="shared" si="122"/>
        <v>#VALUE!</v>
      </c>
      <c r="BS132" s="10" t="e">
        <f t="shared" si="123"/>
        <v>#VALUE!</v>
      </c>
      <c r="BT132" s="10" t="e">
        <f t="shared" si="124"/>
        <v>#VALUE!</v>
      </c>
      <c r="BU132" s="10" t="e">
        <f t="shared" si="125"/>
        <v>#VALUE!</v>
      </c>
      <c r="BW132" s="10" t="e">
        <f t="shared" si="126"/>
        <v>#VALUE!</v>
      </c>
      <c r="BX132" s="10" t="e">
        <f t="shared" si="127"/>
        <v>#VALUE!</v>
      </c>
      <c r="BY132" s="10" t="e">
        <f t="shared" si="128"/>
        <v>#VALUE!</v>
      </c>
      <c r="BZ132" s="10" t="e">
        <f t="shared" si="129"/>
        <v>#VALUE!</v>
      </c>
      <c r="CA132" s="10" t="e">
        <f t="shared" si="130"/>
        <v>#VALUE!</v>
      </c>
      <c r="CB132" s="10" t="e">
        <f t="shared" si="131"/>
        <v>#VALUE!</v>
      </c>
      <c r="CD132" s="10" t="e">
        <f>MATCH(INDEX($BP$12:$BU$12,1,MATCH(BP132,$BP$15:$BU$15,0)),结果汇总!$AI$10:$AI$13,0)</f>
        <v>#VALUE!</v>
      </c>
      <c r="CE132" s="10" t="e">
        <f>MATCH(INDEX($BP$12:$BU$12,1,MATCH(BQ132,$BP$15:$BU$15,0)),结果汇总!$AI$10:$AI$13,0)</f>
        <v>#VALUE!</v>
      </c>
      <c r="CF132" s="10" t="e">
        <f>MATCH(INDEX($BP$12:$BU$12,1,MATCH(BR132,$BP$15:$BU$15,0)),结果汇总!$AI$10:$AI$13,0)</f>
        <v>#VALUE!</v>
      </c>
      <c r="CG132" s="10" t="e">
        <f>MATCH(INDEX($BP$12:$BU$12,1,MATCH(BS132,$BP$15:$BU$15,0)),结果汇总!$AI$10:$AI$13,0)</f>
        <v>#VALUE!</v>
      </c>
      <c r="CH132" s="10" t="e">
        <f>MATCH(INDEX($BP$12:$BU$12,1,MATCH(BT132,$BP$15:$BU$15,0)),结果汇总!$AI$10:$AI$13,0)</f>
        <v>#VALUE!</v>
      </c>
      <c r="CI132" s="10" t="e">
        <f>MATCH(INDEX($BP$12:$BU$12,1,MATCH(BU132,$BP$15:$BU$15,0)),结果汇总!$AI$10:$AI$13,0)</f>
        <v>#VALUE!</v>
      </c>
      <c r="CK132" s="10">
        <f t="shared" si="149"/>
        <v>0</v>
      </c>
      <c r="CL132" s="10">
        <f t="shared" si="149"/>
        <v>0</v>
      </c>
      <c r="CM132" s="10">
        <f t="shared" si="149"/>
        <v>0</v>
      </c>
      <c r="CN132" s="10">
        <f t="shared" si="149"/>
        <v>0</v>
      </c>
      <c r="CO132" s="10">
        <f t="shared" si="150"/>
        <v>0</v>
      </c>
      <c r="CP132" s="10">
        <f t="shared" si="150"/>
        <v>0</v>
      </c>
      <c r="CQ132" s="10">
        <f t="shared" si="150"/>
        <v>0</v>
      </c>
      <c r="CR132" s="10">
        <f t="shared" si="150"/>
        <v>0</v>
      </c>
      <c r="CS132" s="10">
        <f t="shared" si="151"/>
        <v>0</v>
      </c>
      <c r="CT132" s="10">
        <f t="shared" si="151"/>
        <v>0</v>
      </c>
      <c r="CU132" s="10">
        <f t="shared" si="151"/>
        <v>0</v>
      </c>
      <c r="CV132" s="10">
        <f t="shared" si="151"/>
        <v>0</v>
      </c>
      <c r="CW132" s="10">
        <f t="shared" si="152"/>
        <v>0</v>
      </c>
      <c r="CX132" s="10">
        <f t="shared" si="152"/>
        <v>0</v>
      </c>
      <c r="CY132" s="10">
        <f t="shared" si="152"/>
        <v>0</v>
      </c>
      <c r="CZ132" s="10">
        <f t="shared" si="152"/>
        <v>0</v>
      </c>
    </row>
    <row r="133" spans="4:104" x14ac:dyDescent="0.15">
      <c r="D133" s="10">
        <v>118</v>
      </c>
      <c r="E133" s="10" t="e">
        <f t="shared" si="95"/>
        <v>#VALUE!</v>
      </c>
      <c r="F133" s="10" t="e">
        <f t="shared" si="79"/>
        <v>#VALUE!</v>
      </c>
      <c r="G133" s="10" t="e">
        <f t="shared" si="80"/>
        <v>#VALUE!</v>
      </c>
      <c r="H133" s="10" t="e">
        <f t="shared" si="96"/>
        <v>#VALUE!</v>
      </c>
      <c r="I133" s="10" t="e">
        <f t="shared" si="81"/>
        <v>#VALUE!</v>
      </c>
      <c r="J133" s="10" t="e">
        <f t="shared" si="97"/>
        <v>#VALUE!</v>
      </c>
      <c r="K133" s="10" t="e">
        <f t="shared" si="82"/>
        <v>#VALUE!</v>
      </c>
      <c r="L133" s="10" t="e">
        <f t="shared" si="83"/>
        <v>#VALUE!</v>
      </c>
      <c r="M133" s="10" t="e">
        <f t="shared" si="98"/>
        <v>#VALUE!</v>
      </c>
      <c r="O133" s="10" t="e">
        <f t="shared" si="99"/>
        <v>#VALUE!</v>
      </c>
      <c r="P133" s="10" t="e">
        <f t="shared" si="84"/>
        <v>#VALUE!</v>
      </c>
      <c r="Q133" s="10" t="e">
        <f t="shared" si="85"/>
        <v>#VALUE!</v>
      </c>
      <c r="R133" s="10" t="e">
        <f t="shared" si="100"/>
        <v>#VALUE!</v>
      </c>
      <c r="S133" s="10" t="e">
        <f t="shared" si="101"/>
        <v>#VALUE!</v>
      </c>
      <c r="T133" s="10" t="e">
        <f t="shared" si="136"/>
        <v>#VALUE!</v>
      </c>
      <c r="U133" s="10" t="e">
        <f t="shared" si="137"/>
        <v>#VALUE!</v>
      </c>
      <c r="V133" s="10" t="e">
        <f t="shared" si="86"/>
        <v>#VALUE!</v>
      </c>
      <c r="W133" s="10" t="e">
        <f t="shared" si="102"/>
        <v>#VALUE!</v>
      </c>
      <c r="Y133" s="10" t="e">
        <f t="shared" si="103"/>
        <v>#VALUE!</v>
      </c>
      <c r="Z133" s="11" t="e">
        <f t="shared" si="104"/>
        <v>#VALUE!</v>
      </c>
      <c r="AA133" s="10" t="e">
        <f t="shared" si="87"/>
        <v>#VALUE!</v>
      </c>
      <c r="AB133" s="10" t="e">
        <f t="shared" si="105"/>
        <v>#VALUE!</v>
      </c>
      <c r="AC133" s="10" t="e">
        <f t="shared" si="106"/>
        <v>#VALUE!</v>
      </c>
      <c r="AD133" s="10" t="e">
        <f t="shared" si="138"/>
        <v>#VALUE!</v>
      </c>
      <c r="AE133" s="10" t="e">
        <f t="shared" si="139"/>
        <v>#VALUE!</v>
      </c>
      <c r="AF133" s="10" t="e">
        <f t="shared" si="88"/>
        <v>#VALUE!</v>
      </c>
      <c r="AG133" s="10" t="e">
        <f t="shared" si="107"/>
        <v>#VALUE!</v>
      </c>
      <c r="AI133" s="13"/>
      <c r="AK133" s="10" t="e">
        <f t="shared" si="108"/>
        <v>#VALUE!</v>
      </c>
      <c r="AL133" s="10" t="e">
        <f t="shared" si="140"/>
        <v>#VALUE!</v>
      </c>
      <c r="AM133" s="10" t="e">
        <f t="shared" si="89"/>
        <v>#VALUE!</v>
      </c>
      <c r="AN133" s="10" t="e">
        <f t="shared" si="109"/>
        <v>#VALUE!</v>
      </c>
      <c r="AO133" s="10" t="e">
        <f t="shared" si="110"/>
        <v>#VALUE!</v>
      </c>
      <c r="AP133" s="10" t="e">
        <f t="shared" si="111"/>
        <v>#VALUE!</v>
      </c>
      <c r="AQ133" s="10" t="e">
        <f t="shared" si="141"/>
        <v>#VALUE!</v>
      </c>
      <c r="AR133" s="10" t="e">
        <f t="shared" si="90"/>
        <v>#VALUE!</v>
      </c>
      <c r="AS133" s="10" t="e">
        <f t="shared" si="142"/>
        <v>#VALUE!</v>
      </c>
      <c r="AU133" s="10" t="e">
        <f t="shared" si="112"/>
        <v>#VALUE!</v>
      </c>
      <c r="AV133" s="10" t="e">
        <f t="shared" si="143"/>
        <v>#VALUE!</v>
      </c>
      <c r="AW133" s="10" t="e">
        <f t="shared" si="91"/>
        <v>#VALUE!</v>
      </c>
      <c r="AX133" s="10" t="e">
        <f t="shared" si="113"/>
        <v>#VALUE!</v>
      </c>
      <c r="AY133" s="10" t="e">
        <f t="shared" si="114"/>
        <v>#VALUE!</v>
      </c>
      <c r="AZ133" s="10" t="e">
        <f t="shared" si="115"/>
        <v>#VALUE!</v>
      </c>
      <c r="BA133" s="10" t="e">
        <f t="shared" si="144"/>
        <v>#VALUE!</v>
      </c>
      <c r="BB133" s="10" t="e">
        <f t="shared" si="92"/>
        <v>#VALUE!</v>
      </c>
      <c r="BC133" s="10" t="e">
        <f t="shared" si="145"/>
        <v>#VALUE!</v>
      </c>
      <c r="BE133" s="10" t="e">
        <f t="shared" si="116"/>
        <v>#VALUE!</v>
      </c>
      <c r="BF133" s="10" t="e">
        <f t="shared" si="146"/>
        <v>#VALUE!</v>
      </c>
      <c r="BG133" s="10" t="e">
        <f t="shared" si="93"/>
        <v>#VALUE!</v>
      </c>
      <c r="BH133" s="10" t="e">
        <f t="shared" si="117"/>
        <v>#VALUE!</v>
      </c>
      <c r="BI133" s="10" t="e">
        <f t="shared" si="118"/>
        <v>#VALUE!</v>
      </c>
      <c r="BJ133" s="10" t="e">
        <f t="shared" si="119"/>
        <v>#VALUE!</v>
      </c>
      <c r="BK133" s="10" t="e">
        <f t="shared" si="147"/>
        <v>#VALUE!</v>
      </c>
      <c r="BL133" s="10" t="e">
        <f t="shared" si="94"/>
        <v>#VALUE!</v>
      </c>
      <c r="BM133" s="10" t="e">
        <f t="shared" si="148"/>
        <v>#VALUE!</v>
      </c>
      <c r="BP133" s="10" t="e">
        <f t="shared" si="120"/>
        <v>#VALUE!</v>
      </c>
      <c r="BQ133" s="10" t="e">
        <f t="shared" si="121"/>
        <v>#VALUE!</v>
      </c>
      <c r="BR133" s="10" t="e">
        <f t="shared" si="122"/>
        <v>#VALUE!</v>
      </c>
      <c r="BS133" s="10" t="e">
        <f t="shared" si="123"/>
        <v>#VALUE!</v>
      </c>
      <c r="BT133" s="10" t="e">
        <f t="shared" si="124"/>
        <v>#VALUE!</v>
      </c>
      <c r="BU133" s="10" t="e">
        <f t="shared" si="125"/>
        <v>#VALUE!</v>
      </c>
      <c r="BW133" s="10" t="e">
        <f t="shared" si="126"/>
        <v>#VALUE!</v>
      </c>
      <c r="BX133" s="10" t="e">
        <f t="shared" si="127"/>
        <v>#VALUE!</v>
      </c>
      <c r="BY133" s="10" t="e">
        <f t="shared" si="128"/>
        <v>#VALUE!</v>
      </c>
      <c r="BZ133" s="10" t="e">
        <f t="shared" si="129"/>
        <v>#VALUE!</v>
      </c>
      <c r="CA133" s="10" t="e">
        <f t="shared" si="130"/>
        <v>#VALUE!</v>
      </c>
      <c r="CB133" s="10" t="e">
        <f t="shared" si="131"/>
        <v>#VALUE!</v>
      </c>
      <c r="CD133" s="10" t="e">
        <f>MATCH(INDEX($BP$12:$BU$12,1,MATCH(BP133,$BP$15:$BU$15,0)),结果汇总!$AI$10:$AI$13,0)</f>
        <v>#VALUE!</v>
      </c>
      <c r="CE133" s="10" t="e">
        <f>MATCH(INDEX($BP$12:$BU$12,1,MATCH(BQ133,$BP$15:$BU$15,0)),结果汇总!$AI$10:$AI$13,0)</f>
        <v>#VALUE!</v>
      </c>
      <c r="CF133" s="10" t="e">
        <f>MATCH(INDEX($BP$12:$BU$12,1,MATCH(BR133,$BP$15:$BU$15,0)),结果汇总!$AI$10:$AI$13,0)</f>
        <v>#VALUE!</v>
      </c>
      <c r="CG133" s="10" t="e">
        <f>MATCH(INDEX($BP$12:$BU$12,1,MATCH(BS133,$BP$15:$BU$15,0)),结果汇总!$AI$10:$AI$13,0)</f>
        <v>#VALUE!</v>
      </c>
      <c r="CH133" s="10" t="e">
        <f>MATCH(INDEX($BP$12:$BU$12,1,MATCH(BT133,$BP$15:$BU$15,0)),结果汇总!$AI$10:$AI$13,0)</f>
        <v>#VALUE!</v>
      </c>
      <c r="CI133" s="10" t="e">
        <f>MATCH(INDEX($BP$12:$BU$12,1,MATCH(BU133,$BP$15:$BU$15,0)),结果汇总!$AI$10:$AI$13,0)</f>
        <v>#VALUE!</v>
      </c>
      <c r="CK133" s="10">
        <f t="shared" si="149"/>
        <v>0</v>
      </c>
      <c r="CL133" s="10">
        <f t="shared" si="149"/>
        <v>0</v>
      </c>
      <c r="CM133" s="10">
        <f t="shared" si="149"/>
        <v>0</v>
      </c>
      <c r="CN133" s="10">
        <f t="shared" si="149"/>
        <v>0</v>
      </c>
      <c r="CO133" s="10">
        <f t="shared" si="150"/>
        <v>0</v>
      </c>
      <c r="CP133" s="10">
        <f t="shared" si="150"/>
        <v>0</v>
      </c>
      <c r="CQ133" s="10">
        <f t="shared" si="150"/>
        <v>0</v>
      </c>
      <c r="CR133" s="10">
        <f t="shared" si="150"/>
        <v>0</v>
      </c>
      <c r="CS133" s="10">
        <f t="shared" si="151"/>
        <v>0</v>
      </c>
      <c r="CT133" s="10">
        <f t="shared" si="151"/>
        <v>0</v>
      </c>
      <c r="CU133" s="10">
        <f t="shared" si="151"/>
        <v>0</v>
      </c>
      <c r="CV133" s="10">
        <f t="shared" si="151"/>
        <v>0</v>
      </c>
      <c r="CW133" s="10">
        <f t="shared" si="152"/>
        <v>0</v>
      </c>
      <c r="CX133" s="10">
        <f t="shared" si="152"/>
        <v>0</v>
      </c>
      <c r="CY133" s="10">
        <f t="shared" si="152"/>
        <v>0</v>
      </c>
      <c r="CZ133" s="10">
        <f t="shared" si="152"/>
        <v>0</v>
      </c>
    </row>
    <row r="134" spans="4:104" x14ac:dyDescent="0.15">
      <c r="D134" s="10">
        <v>119</v>
      </c>
      <c r="E134" s="10" t="e">
        <f t="shared" si="95"/>
        <v>#VALUE!</v>
      </c>
      <c r="F134" s="10" t="e">
        <f t="shared" si="79"/>
        <v>#VALUE!</v>
      </c>
      <c r="G134" s="10" t="e">
        <f t="shared" si="80"/>
        <v>#VALUE!</v>
      </c>
      <c r="H134" s="10" t="e">
        <f t="shared" si="96"/>
        <v>#VALUE!</v>
      </c>
      <c r="I134" s="10" t="e">
        <f t="shared" si="81"/>
        <v>#VALUE!</v>
      </c>
      <c r="J134" s="10" t="e">
        <f t="shared" si="97"/>
        <v>#VALUE!</v>
      </c>
      <c r="K134" s="10" t="e">
        <f t="shared" si="82"/>
        <v>#VALUE!</v>
      </c>
      <c r="L134" s="10" t="e">
        <f t="shared" si="83"/>
        <v>#VALUE!</v>
      </c>
      <c r="M134" s="10" t="e">
        <f t="shared" si="98"/>
        <v>#VALUE!</v>
      </c>
      <c r="O134" s="10" t="e">
        <f t="shared" si="99"/>
        <v>#VALUE!</v>
      </c>
      <c r="P134" s="10" t="e">
        <f t="shared" si="84"/>
        <v>#VALUE!</v>
      </c>
      <c r="Q134" s="10" t="e">
        <f t="shared" si="85"/>
        <v>#VALUE!</v>
      </c>
      <c r="R134" s="10" t="e">
        <f t="shared" si="100"/>
        <v>#VALUE!</v>
      </c>
      <c r="S134" s="10" t="e">
        <f t="shared" si="101"/>
        <v>#VALUE!</v>
      </c>
      <c r="T134" s="10" t="e">
        <f t="shared" si="136"/>
        <v>#VALUE!</v>
      </c>
      <c r="U134" s="10" t="e">
        <f t="shared" si="137"/>
        <v>#VALUE!</v>
      </c>
      <c r="V134" s="10" t="e">
        <f t="shared" si="86"/>
        <v>#VALUE!</v>
      </c>
      <c r="W134" s="10" t="e">
        <f t="shared" si="102"/>
        <v>#VALUE!</v>
      </c>
      <c r="Y134" s="10" t="e">
        <f t="shared" si="103"/>
        <v>#VALUE!</v>
      </c>
      <c r="Z134" s="11" t="e">
        <f t="shared" si="104"/>
        <v>#VALUE!</v>
      </c>
      <c r="AA134" s="10" t="e">
        <f t="shared" si="87"/>
        <v>#VALUE!</v>
      </c>
      <c r="AB134" s="10" t="e">
        <f t="shared" si="105"/>
        <v>#VALUE!</v>
      </c>
      <c r="AC134" s="10" t="e">
        <f t="shared" si="106"/>
        <v>#VALUE!</v>
      </c>
      <c r="AD134" s="10" t="e">
        <f t="shared" si="138"/>
        <v>#VALUE!</v>
      </c>
      <c r="AE134" s="10" t="e">
        <f t="shared" si="139"/>
        <v>#VALUE!</v>
      </c>
      <c r="AF134" s="10" t="e">
        <f t="shared" si="88"/>
        <v>#VALUE!</v>
      </c>
      <c r="AG134" s="10" t="e">
        <f t="shared" si="107"/>
        <v>#VALUE!</v>
      </c>
      <c r="AI134" s="13"/>
      <c r="AK134" s="10" t="e">
        <f t="shared" si="108"/>
        <v>#VALUE!</v>
      </c>
      <c r="AL134" s="10" t="e">
        <f t="shared" si="140"/>
        <v>#VALUE!</v>
      </c>
      <c r="AM134" s="10" t="e">
        <f t="shared" si="89"/>
        <v>#VALUE!</v>
      </c>
      <c r="AN134" s="10" t="e">
        <f t="shared" si="109"/>
        <v>#VALUE!</v>
      </c>
      <c r="AO134" s="10" t="e">
        <f t="shared" si="110"/>
        <v>#VALUE!</v>
      </c>
      <c r="AP134" s="10" t="e">
        <f t="shared" si="111"/>
        <v>#VALUE!</v>
      </c>
      <c r="AQ134" s="10" t="e">
        <f t="shared" si="141"/>
        <v>#VALUE!</v>
      </c>
      <c r="AR134" s="10" t="e">
        <f t="shared" si="90"/>
        <v>#VALUE!</v>
      </c>
      <c r="AS134" s="10" t="e">
        <f t="shared" si="142"/>
        <v>#VALUE!</v>
      </c>
      <c r="AU134" s="10" t="e">
        <f t="shared" si="112"/>
        <v>#VALUE!</v>
      </c>
      <c r="AV134" s="10" t="e">
        <f t="shared" si="143"/>
        <v>#VALUE!</v>
      </c>
      <c r="AW134" s="10" t="e">
        <f t="shared" si="91"/>
        <v>#VALUE!</v>
      </c>
      <c r="AX134" s="10" t="e">
        <f t="shared" si="113"/>
        <v>#VALUE!</v>
      </c>
      <c r="AY134" s="10" t="e">
        <f t="shared" si="114"/>
        <v>#VALUE!</v>
      </c>
      <c r="AZ134" s="10" t="e">
        <f t="shared" si="115"/>
        <v>#VALUE!</v>
      </c>
      <c r="BA134" s="10" t="e">
        <f t="shared" si="144"/>
        <v>#VALUE!</v>
      </c>
      <c r="BB134" s="10" t="e">
        <f t="shared" si="92"/>
        <v>#VALUE!</v>
      </c>
      <c r="BC134" s="10" t="e">
        <f t="shared" si="145"/>
        <v>#VALUE!</v>
      </c>
      <c r="BE134" s="10" t="e">
        <f t="shared" si="116"/>
        <v>#VALUE!</v>
      </c>
      <c r="BF134" s="10" t="e">
        <f t="shared" si="146"/>
        <v>#VALUE!</v>
      </c>
      <c r="BG134" s="10" t="e">
        <f t="shared" si="93"/>
        <v>#VALUE!</v>
      </c>
      <c r="BH134" s="10" t="e">
        <f t="shared" si="117"/>
        <v>#VALUE!</v>
      </c>
      <c r="BI134" s="10" t="e">
        <f t="shared" si="118"/>
        <v>#VALUE!</v>
      </c>
      <c r="BJ134" s="10" t="e">
        <f t="shared" si="119"/>
        <v>#VALUE!</v>
      </c>
      <c r="BK134" s="10" t="e">
        <f t="shared" si="147"/>
        <v>#VALUE!</v>
      </c>
      <c r="BL134" s="10" t="e">
        <f t="shared" si="94"/>
        <v>#VALUE!</v>
      </c>
      <c r="BM134" s="10" t="e">
        <f t="shared" si="148"/>
        <v>#VALUE!</v>
      </c>
      <c r="BP134" s="10" t="e">
        <f t="shared" si="120"/>
        <v>#VALUE!</v>
      </c>
      <c r="BQ134" s="10" t="e">
        <f t="shared" si="121"/>
        <v>#VALUE!</v>
      </c>
      <c r="BR134" s="10" t="e">
        <f t="shared" si="122"/>
        <v>#VALUE!</v>
      </c>
      <c r="BS134" s="10" t="e">
        <f t="shared" si="123"/>
        <v>#VALUE!</v>
      </c>
      <c r="BT134" s="10" t="e">
        <f t="shared" si="124"/>
        <v>#VALUE!</v>
      </c>
      <c r="BU134" s="10" t="e">
        <f t="shared" si="125"/>
        <v>#VALUE!</v>
      </c>
      <c r="BW134" s="10" t="e">
        <f t="shared" si="126"/>
        <v>#VALUE!</v>
      </c>
      <c r="BX134" s="10" t="e">
        <f t="shared" si="127"/>
        <v>#VALUE!</v>
      </c>
      <c r="BY134" s="10" t="e">
        <f t="shared" si="128"/>
        <v>#VALUE!</v>
      </c>
      <c r="BZ134" s="10" t="e">
        <f t="shared" si="129"/>
        <v>#VALUE!</v>
      </c>
      <c r="CA134" s="10" t="e">
        <f t="shared" si="130"/>
        <v>#VALUE!</v>
      </c>
      <c r="CB134" s="10" t="e">
        <f t="shared" si="131"/>
        <v>#VALUE!</v>
      </c>
      <c r="CD134" s="10" t="e">
        <f>MATCH(INDEX($BP$12:$BU$12,1,MATCH(BP134,$BP$15:$BU$15,0)),结果汇总!$AI$10:$AI$13,0)</f>
        <v>#VALUE!</v>
      </c>
      <c r="CE134" s="10" t="e">
        <f>MATCH(INDEX($BP$12:$BU$12,1,MATCH(BQ134,$BP$15:$BU$15,0)),结果汇总!$AI$10:$AI$13,0)</f>
        <v>#VALUE!</v>
      </c>
      <c r="CF134" s="10" t="e">
        <f>MATCH(INDEX($BP$12:$BU$12,1,MATCH(BR134,$BP$15:$BU$15,0)),结果汇总!$AI$10:$AI$13,0)</f>
        <v>#VALUE!</v>
      </c>
      <c r="CG134" s="10" t="e">
        <f>MATCH(INDEX($BP$12:$BU$12,1,MATCH(BS134,$BP$15:$BU$15,0)),结果汇总!$AI$10:$AI$13,0)</f>
        <v>#VALUE!</v>
      </c>
      <c r="CH134" s="10" t="e">
        <f>MATCH(INDEX($BP$12:$BU$12,1,MATCH(BT134,$BP$15:$BU$15,0)),结果汇总!$AI$10:$AI$13,0)</f>
        <v>#VALUE!</v>
      </c>
      <c r="CI134" s="10" t="e">
        <f>MATCH(INDEX($BP$12:$BU$12,1,MATCH(BU134,$BP$15:$BU$15,0)),结果汇总!$AI$10:$AI$13,0)</f>
        <v>#VALUE!</v>
      </c>
      <c r="CK134" s="10">
        <f t="shared" si="149"/>
        <v>0</v>
      </c>
      <c r="CL134" s="10">
        <f t="shared" si="149"/>
        <v>0</v>
      </c>
      <c r="CM134" s="10">
        <f t="shared" si="149"/>
        <v>0</v>
      </c>
      <c r="CN134" s="10">
        <f t="shared" si="149"/>
        <v>0</v>
      </c>
      <c r="CO134" s="10">
        <f t="shared" si="150"/>
        <v>0</v>
      </c>
      <c r="CP134" s="10">
        <f t="shared" si="150"/>
        <v>0</v>
      </c>
      <c r="CQ134" s="10">
        <f t="shared" si="150"/>
        <v>0</v>
      </c>
      <c r="CR134" s="10">
        <f t="shared" si="150"/>
        <v>0</v>
      </c>
      <c r="CS134" s="10">
        <f t="shared" si="151"/>
        <v>0</v>
      </c>
      <c r="CT134" s="10">
        <f t="shared" si="151"/>
        <v>0</v>
      </c>
      <c r="CU134" s="10">
        <f t="shared" si="151"/>
        <v>0</v>
      </c>
      <c r="CV134" s="10">
        <f t="shared" si="151"/>
        <v>0</v>
      </c>
      <c r="CW134" s="10">
        <f t="shared" si="152"/>
        <v>0</v>
      </c>
      <c r="CX134" s="10">
        <f t="shared" si="152"/>
        <v>0</v>
      </c>
      <c r="CY134" s="10">
        <f t="shared" si="152"/>
        <v>0</v>
      </c>
      <c r="CZ134" s="10">
        <f t="shared" si="152"/>
        <v>0</v>
      </c>
    </row>
    <row r="135" spans="4:104" x14ac:dyDescent="0.15">
      <c r="D135" s="10">
        <v>120</v>
      </c>
      <c r="E135" s="10" t="e">
        <f t="shared" si="95"/>
        <v>#VALUE!</v>
      </c>
      <c r="F135" s="10" t="e">
        <f t="shared" si="79"/>
        <v>#VALUE!</v>
      </c>
      <c r="G135" s="10" t="e">
        <f t="shared" si="80"/>
        <v>#VALUE!</v>
      </c>
      <c r="H135" s="10" t="e">
        <f t="shared" si="96"/>
        <v>#VALUE!</v>
      </c>
      <c r="I135" s="10" t="e">
        <f t="shared" si="81"/>
        <v>#VALUE!</v>
      </c>
      <c r="J135" s="10" t="e">
        <f t="shared" si="97"/>
        <v>#VALUE!</v>
      </c>
      <c r="K135" s="10" t="e">
        <f t="shared" si="82"/>
        <v>#VALUE!</v>
      </c>
      <c r="L135" s="10" t="e">
        <f t="shared" si="83"/>
        <v>#VALUE!</v>
      </c>
      <c r="M135" s="10" t="e">
        <f t="shared" si="98"/>
        <v>#VALUE!</v>
      </c>
      <c r="O135" s="10" t="e">
        <f t="shared" si="99"/>
        <v>#VALUE!</v>
      </c>
      <c r="P135" s="10" t="e">
        <f t="shared" si="84"/>
        <v>#VALUE!</v>
      </c>
      <c r="Q135" s="10" t="e">
        <f t="shared" si="85"/>
        <v>#VALUE!</v>
      </c>
      <c r="R135" s="10" t="e">
        <f t="shared" si="100"/>
        <v>#VALUE!</v>
      </c>
      <c r="S135" s="10" t="e">
        <f t="shared" si="101"/>
        <v>#VALUE!</v>
      </c>
      <c r="T135" s="10" t="e">
        <f t="shared" si="136"/>
        <v>#VALUE!</v>
      </c>
      <c r="U135" s="10" t="e">
        <f t="shared" si="137"/>
        <v>#VALUE!</v>
      </c>
      <c r="V135" s="10" t="e">
        <f t="shared" si="86"/>
        <v>#VALUE!</v>
      </c>
      <c r="W135" s="10" t="e">
        <f t="shared" si="102"/>
        <v>#VALUE!</v>
      </c>
      <c r="Y135" s="10" t="e">
        <f t="shared" si="103"/>
        <v>#VALUE!</v>
      </c>
      <c r="Z135" s="11" t="e">
        <f t="shared" si="104"/>
        <v>#VALUE!</v>
      </c>
      <c r="AA135" s="10" t="e">
        <f t="shared" si="87"/>
        <v>#VALUE!</v>
      </c>
      <c r="AB135" s="10" t="e">
        <f t="shared" si="105"/>
        <v>#VALUE!</v>
      </c>
      <c r="AC135" s="10" t="e">
        <f t="shared" si="106"/>
        <v>#VALUE!</v>
      </c>
      <c r="AD135" s="10" t="e">
        <f t="shared" si="138"/>
        <v>#VALUE!</v>
      </c>
      <c r="AE135" s="10" t="e">
        <f t="shared" si="139"/>
        <v>#VALUE!</v>
      </c>
      <c r="AF135" s="10" t="e">
        <f t="shared" si="88"/>
        <v>#VALUE!</v>
      </c>
      <c r="AG135" s="10" t="e">
        <f t="shared" si="107"/>
        <v>#VALUE!</v>
      </c>
      <c r="AI135" s="13"/>
      <c r="AK135" s="10" t="e">
        <f t="shared" si="108"/>
        <v>#VALUE!</v>
      </c>
      <c r="AL135" s="10" t="e">
        <f t="shared" si="140"/>
        <v>#VALUE!</v>
      </c>
      <c r="AM135" s="10" t="e">
        <f t="shared" si="89"/>
        <v>#VALUE!</v>
      </c>
      <c r="AN135" s="10" t="e">
        <f t="shared" si="109"/>
        <v>#VALUE!</v>
      </c>
      <c r="AO135" s="10" t="e">
        <f t="shared" si="110"/>
        <v>#VALUE!</v>
      </c>
      <c r="AP135" s="10" t="e">
        <f t="shared" si="111"/>
        <v>#VALUE!</v>
      </c>
      <c r="AQ135" s="10" t="e">
        <f t="shared" si="141"/>
        <v>#VALUE!</v>
      </c>
      <c r="AR135" s="10" t="e">
        <f t="shared" si="90"/>
        <v>#VALUE!</v>
      </c>
      <c r="AS135" s="10" t="e">
        <f t="shared" si="142"/>
        <v>#VALUE!</v>
      </c>
      <c r="AU135" s="10" t="e">
        <f t="shared" si="112"/>
        <v>#VALUE!</v>
      </c>
      <c r="AV135" s="10" t="e">
        <f t="shared" si="143"/>
        <v>#VALUE!</v>
      </c>
      <c r="AW135" s="10" t="e">
        <f t="shared" si="91"/>
        <v>#VALUE!</v>
      </c>
      <c r="AX135" s="10" t="e">
        <f t="shared" si="113"/>
        <v>#VALUE!</v>
      </c>
      <c r="AY135" s="10" t="e">
        <f t="shared" si="114"/>
        <v>#VALUE!</v>
      </c>
      <c r="AZ135" s="10" t="e">
        <f t="shared" si="115"/>
        <v>#VALUE!</v>
      </c>
      <c r="BA135" s="10" t="e">
        <f t="shared" si="144"/>
        <v>#VALUE!</v>
      </c>
      <c r="BB135" s="10" t="e">
        <f t="shared" si="92"/>
        <v>#VALUE!</v>
      </c>
      <c r="BC135" s="10" t="e">
        <f t="shared" si="145"/>
        <v>#VALUE!</v>
      </c>
      <c r="BE135" s="10" t="e">
        <f t="shared" si="116"/>
        <v>#VALUE!</v>
      </c>
      <c r="BF135" s="10" t="e">
        <f t="shared" si="146"/>
        <v>#VALUE!</v>
      </c>
      <c r="BG135" s="10" t="e">
        <f t="shared" si="93"/>
        <v>#VALUE!</v>
      </c>
      <c r="BH135" s="10" t="e">
        <f t="shared" si="117"/>
        <v>#VALUE!</v>
      </c>
      <c r="BI135" s="10" t="e">
        <f t="shared" si="118"/>
        <v>#VALUE!</v>
      </c>
      <c r="BJ135" s="10" t="e">
        <f t="shared" si="119"/>
        <v>#VALUE!</v>
      </c>
      <c r="BK135" s="10" t="e">
        <f t="shared" si="147"/>
        <v>#VALUE!</v>
      </c>
      <c r="BL135" s="10" t="e">
        <f t="shared" si="94"/>
        <v>#VALUE!</v>
      </c>
      <c r="BM135" s="10" t="e">
        <f t="shared" si="148"/>
        <v>#VALUE!</v>
      </c>
      <c r="BP135" s="10" t="e">
        <f t="shared" si="120"/>
        <v>#VALUE!</v>
      </c>
      <c r="BQ135" s="10" t="e">
        <f t="shared" si="121"/>
        <v>#VALUE!</v>
      </c>
      <c r="BR135" s="10" t="e">
        <f t="shared" si="122"/>
        <v>#VALUE!</v>
      </c>
      <c r="BS135" s="10" t="e">
        <f t="shared" si="123"/>
        <v>#VALUE!</v>
      </c>
      <c r="BT135" s="10" t="e">
        <f t="shared" si="124"/>
        <v>#VALUE!</v>
      </c>
      <c r="BU135" s="10" t="e">
        <f t="shared" si="125"/>
        <v>#VALUE!</v>
      </c>
      <c r="BW135" s="10" t="e">
        <f t="shared" si="126"/>
        <v>#VALUE!</v>
      </c>
      <c r="BX135" s="10" t="e">
        <f t="shared" si="127"/>
        <v>#VALUE!</v>
      </c>
      <c r="BY135" s="10" t="e">
        <f t="shared" si="128"/>
        <v>#VALUE!</v>
      </c>
      <c r="BZ135" s="10" t="e">
        <f t="shared" si="129"/>
        <v>#VALUE!</v>
      </c>
      <c r="CA135" s="10" t="e">
        <f t="shared" si="130"/>
        <v>#VALUE!</v>
      </c>
      <c r="CB135" s="10" t="e">
        <f t="shared" si="131"/>
        <v>#VALUE!</v>
      </c>
      <c r="CD135" s="10" t="e">
        <f>MATCH(INDEX($BP$12:$BU$12,1,MATCH(BP135,$BP$15:$BU$15,0)),结果汇总!$AI$10:$AI$13,0)</f>
        <v>#VALUE!</v>
      </c>
      <c r="CE135" s="10" t="e">
        <f>MATCH(INDEX($BP$12:$BU$12,1,MATCH(BQ135,$BP$15:$BU$15,0)),结果汇总!$AI$10:$AI$13,0)</f>
        <v>#VALUE!</v>
      </c>
      <c r="CF135" s="10" t="e">
        <f>MATCH(INDEX($BP$12:$BU$12,1,MATCH(BR135,$BP$15:$BU$15,0)),结果汇总!$AI$10:$AI$13,0)</f>
        <v>#VALUE!</v>
      </c>
      <c r="CG135" s="10" t="e">
        <f>MATCH(INDEX($BP$12:$BU$12,1,MATCH(BS135,$BP$15:$BU$15,0)),结果汇总!$AI$10:$AI$13,0)</f>
        <v>#VALUE!</v>
      </c>
      <c r="CH135" s="10" t="e">
        <f>MATCH(INDEX($BP$12:$BU$12,1,MATCH(BT135,$BP$15:$BU$15,0)),结果汇总!$AI$10:$AI$13,0)</f>
        <v>#VALUE!</v>
      </c>
      <c r="CI135" s="10" t="e">
        <f>MATCH(INDEX($BP$12:$BU$12,1,MATCH(BU135,$BP$15:$BU$15,0)),结果汇总!$AI$10:$AI$13,0)</f>
        <v>#VALUE!</v>
      </c>
      <c r="CK135" s="10">
        <f t="shared" si="149"/>
        <v>0</v>
      </c>
      <c r="CL135" s="10">
        <f t="shared" si="149"/>
        <v>0</v>
      </c>
      <c r="CM135" s="10">
        <f t="shared" si="149"/>
        <v>0</v>
      </c>
      <c r="CN135" s="10">
        <f t="shared" si="149"/>
        <v>0</v>
      </c>
      <c r="CO135" s="10">
        <f t="shared" si="150"/>
        <v>0</v>
      </c>
      <c r="CP135" s="10">
        <f t="shared" si="150"/>
        <v>0</v>
      </c>
      <c r="CQ135" s="10">
        <f t="shared" si="150"/>
        <v>0</v>
      </c>
      <c r="CR135" s="10">
        <f t="shared" si="150"/>
        <v>0</v>
      </c>
      <c r="CS135" s="10">
        <f t="shared" si="151"/>
        <v>0</v>
      </c>
      <c r="CT135" s="10">
        <f t="shared" si="151"/>
        <v>0</v>
      </c>
      <c r="CU135" s="10">
        <f t="shared" si="151"/>
        <v>0</v>
      </c>
      <c r="CV135" s="10">
        <f t="shared" si="151"/>
        <v>0</v>
      </c>
      <c r="CW135" s="10">
        <f t="shared" si="152"/>
        <v>0</v>
      </c>
      <c r="CX135" s="10">
        <f t="shared" si="152"/>
        <v>0</v>
      </c>
      <c r="CY135" s="10">
        <f t="shared" si="152"/>
        <v>0</v>
      </c>
      <c r="CZ135" s="10">
        <f t="shared" si="152"/>
        <v>0</v>
      </c>
    </row>
  </sheetData>
  <mergeCells count="6">
    <mergeCell ref="CW14:CZ14"/>
    <mergeCell ref="I2:I3"/>
    <mergeCell ref="O9:O10"/>
    <mergeCell ref="CK14:CN14"/>
    <mergeCell ref="CO14:CR14"/>
    <mergeCell ref="CS14:CV14"/>
  </mergeCells>
  <phoneticPr fontId="2" type="noConversion"/>
  <dataValidations count="1">
    <dataValidation type="list" allowBlank="1" showInputMessage="1" showErrorMessage="1" sqref="F2:H2" xr:uid="{00000000-0002-0000-0400-000000000000}">
      <formula1>$R$10:$R$13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结果汇总!$AI$10:$AI$13</xm:f>
          </x14:formula1>
          <xm:sqref>J2:L2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CZ135"/>
  <sheetViews>
    <sheetView workbookViewId="0">
      <selection activeCell="E5" sqref="E5"/>
    </sheetView>
  </sheetViews>
  <sheetFormatPr defaultColWidth="9" defaultRowHeight="11.25" x14ac:dyDescent="0.15"/>
  <cols>
    <col min="1" max="7" width="9" style="10"/>
    <col min="8" max="8" width="9.75" style="10" bestFit="1" customWidth="1"/>
    <col min="9" max="11" width="9.75" style="10" customWidth="1"/>
    <col min="12" max="12" width="9" style="10"/>
    <col min="13" max="13" width="9.75" style="10" bestFit="1" customWidth="1"/>
    <col min="14" max="14" width="9" style="10"/>
    <col min="15" max="16" width="9.75" style="10" customWidth="1"/>
    <col min="17" max="23" width="9" style="10" customWidth="1"/>
    <col min="24" max="24" width="9" style="10"/>
    <col min="25" max="25" width="9" style="10" customWidth="1"/>
    <col min="26" max="26" width="4.5" style="11" customWidth="1"/>
    <col min="27" max="27" width="9.75" style="10" customWidth="1"/>
    <col min="28" max="28" width="9" style="10" customWidth="1"/>
    <col min="29" max="29" width="9.75" style="10" customWidth="1"/>
    <col min="30" max="31" width="9" style="10" customWidth="1"/>
    <col min="32" max="32" width="9.75" style="10" customWidth="1"/>
    <col min="33" max="33" width="9" style="10" customWidth="1"/>
    <col min="34" max="35" width="9" style="10"/>
    <col min="36" max="36" width="9.75" style="10" bestFit="1" customWidth="1"/>
    <col min="37" max="38" width="9" style="10" customWidth="1"/>
    <col min="39" max="39" width="9.75" style="10" customWidth="1"/>
    <col min="40" max="42" width="9" style="10" customWidth="1"/>
    <col min="43" max="43" width="9.75" style="10" customWidth="1"/>
    <col min="44" max="45" width="9" style="10" customWidth="1"/>
    <col min="46" max="46" width="9.75" style="10" bestFit="1" customWidth="1"/>
    <col min="47" max="55" width="9" style="10" customWidth="1"/>
    <col min="56" max="56" width="9" style="10"/>
    <col min="57" max="65" width="9" style="10" customWidth="1"/>
    <col min="66" max="16384" width="9" style="10"/>
  </cols>
  <sheetData>
    <row r="1" spans="2:104" x14ac:dyDescent="0.15">
      <c r="F1" s="10">
        <v>5</v>
      </c>
      <c r="G1" s="10">
        <v>3</v>
      </c>
      <c r="H1" s="10">
        <v>1</v>
      </c>
      <c r="J1" s="10">
        <v>2</v>
      </c>
      <c r="K1" s="10">
        <v>4</v>
      </c>
      <c r="L1" s="10">
        <v>6</v>
      </c>
    </row>
    <row r="2" spans="2:104" x14ac:dyDescent="0.15">
      <c r="E2" s="10" t="s">
        <v>64</v>
      </c>
      <c r="F2" s="12" t="s">
        <v>57</v>
      </c>
      <c r="G2" s="12" t="s">
        <v>50</v>
      </c>
      <c r="H2" s="12" t="s">
        <v>55</v>
      </c>
      <c r="I2" s="33" t="s">
        <v>15</v>
      </c>
      <c r="J2" s="12" t="s">
        <v>55</v>
      </c>
      <c r="K2" s="12" t="s">
        <v>50</v>
      </c>
      <c r="L2" s="12" t="s">
        <v>57</v>
      </c>
      <c r="AI2" s="13"/>
    </row>
    <row r="3" spans="2:104" x14ac:dyDescent="0.15">
      <c r="E3" s="10" t="s">
        <v>63</v>
      </c>
      <c r="F3" s="12" t="str">
        <f>INDEX(结果汇总!$AI$14:$AI$17,MATCH(F2,结果汇总!$AI$10:$AI$13,0),1)</f>
        <v>骑将</v>
      </c>
      <c r="G3" s="12" t="str">
        <f>INDEX(结果汇总!$AI$14:$AI$17,MATCH(G2,结果汇总!$AI$10:$AI$13,0),1)</f>
        <v>步将</v>
      </c>
      <c r="H3" s="12" t="str">
        <f>INDEX(结果汇总!$AI$14:$AI$17,MATCH(H2,结果汇总!$AI$10:$AI$13,0),1)</f>
        <v>步将</v>
      </c>
      <c r="I3" s="33"/>
      <c r="J3" s="12" t="str">
        <f>INDEX(结果汇总!$AI$14:$AI$17,MATCH(J2,结果汇总!$AI$10:$AI$13,0),1)</f>
        <v>步将</v>
      </c>
      <c r="K3" s="12" t="str">
        <f>INDEX(结果汇总!$AI$14:$AI$17,MATCH(K2,结果汇总!$AI$10:$AI$13,0),1)</f>
        <v>步将</v>
      </c>
      <c r="L3" s="12" t="str">
        <f>INDEX(结果汇总!$AI$14:$AI$17,MATCH(L2,结果汇总!$AI$10:$AI$13,0),1)</f>
        <v>骑将</v>
      </c>
      <c r="AI3" s="13"/>
    </row>
    <row r="4" spans="2:104" x14ac:dyDescent="0.15">
      <c r="C4" s="10" t="s">
        <v>16</v>
      </c>
      <c r="D4" s="10" t="s">
        <v>17</v>
      </c>
      <c r="E4" s="10" t="s">
        <v>18</v>
      </c>
      <c r="F4" s="10" t="s">
        <v>19</v>
      </c>
      <c r="G4" s="10" t="s">
        <v>20</v>
      </c>
      <c r="J4" s="10" t="s">
        <v>17</v>
      </c>
      <c r="K4" s="10" t="s">
        <v>18</v>
      </c>
      <c r="L4" s="10" t="s">
        <v>19</v>
      </c>
      <c r="M4" s="10" t="s">
        <v>20</v>
      </c>
      <c r="AI4" s="13"/>
    </row>
    <row r="5" spans="2:104" x14ac:dyDescent="0.15">
      <c r="B5" s="10" t="s">
        <v>21</v>
      </c>
      <c r="C5" s="10" t="s">
        <v>2</v>
      </c>
      <c r="D5" s="14" t="str">
        <f>INDEX(结果汇总!$AL$10:$AL$13,MATCH($H$2,结果汇总!$AI$10:$AI$13,0))</f>
        <v>步兵</v>
      </c>
      <c r="E5" s="14">
        <f>INDEX(结果汇总!$AM$10:$AM$13,MATCH($H$2,结果汇总!$AI$10:$AI$13,0))</f>
        <v>324</v>
      </c>
      <c r="F5" s="10">
        <v>1000</v>
      </c>
      <c r="G5" s="14">
        <f>INDEX(结果汇总!$AN$10:$AN$13,MATCH($H$2,结果汇总!$AI$10:$AI$13,0))</f>
        <v>1</v>
      </c>
      <c r="H5" s="10" t="e">
        <f>D5*E5*F5^2/2</f>
        <v>#VALUE!</v>
      </c>
      <c r="I5" s="10" t="s">
        <v>22</v>
      </c>
      <c r="J5" s="14" t="str">
        <f>INDEX(结果汇总!$AL$10:$AL$13,MATCH(J2,结果汇总!$AI$10:$AI$13,0))</f>
        <v>步兵</v>
      </c>
      <c r="K5" s="14">
        <f>INDEX(结果汇总!$AM$10:$AM$13,MATCH(J2,结果汇总!$AI$10:$AI$13,0))</f>
        <v>324</v>
      </c>
      <c r="L5" s="10">
        <v>1000</v>
      </c>
      <c r="M5" s="14">
        <f>INDEX(结果汇总!$AN$10:$AN$13,MATCH(J2,结果汇总!$AI$10:$AI$13,0))</f>
        <v>1</v>
      </c>
      <c r="N5" s="10" t="e">
        <f>J5*K5*L5^2/2</f>
        <v>#VALUE!</v>
      </c>
      <c r="AI5" s="13"/>
    </row>
    <row r="6" spans="2:104" x14ac:dyDescent="0.15">
      <c r="C6" s="10" t="s">
        <v>23</v>
      </c>
      <c r="D6" s="14">
        <f>INDEX(结果汇总!$AL$14:$AL$17,MATCH($H$3,结果汇总!$AI$14:$AI$17,0))</f>
        <v>120000</v>
      </c>
      <c r="E6" s="14">
        <f>INDEX(结果汇总!$AM$14:$AM$17,MATCH($H$3,结果汇总!$AI$14:$AI$17,0))</f>
        <v>192000</v>
      </c>
      <c r="F6" s="10">
        <v>1</v>
      </c>
      <c r="G6" s="10">
        <v>1</v>
      </c>
      <c r="H6" s="10">
        <f>D6*E6</f>
        <v>23040000000</v>
      </c>
      <c r="I6" s="10" t="s">
        <v>24</v>
      </c>
      <c r="J6" s="14">
        <f>INDEX(结果汇总!$AL$14:$AL$17,MATCH(J3,结果汇总!$AI$14:$AI$17,0))</f>
        <v>120000</v>
      </c>
      <c r="K6" s="14">
        <f>INDEX(结果汇总!$AM$14:$AM$17,MATCH(J3,结果汇总!$AI$14:$AI$17,0))</f>
        <v>192000</v>
      </c>
      <c r="L6" s="10">
        <v>1</v>
      </c>
      <c r="M6" s="10">
        <v>1</v>
      </c>
      <c r="N6" s="10">
        <f>J6*K6</f>
        <v>23040000000</v>
      </c>
      <c r="AI6" s="13"/>
    </row>
    <row r="7" spans="2:104" x14ac:dyDescent="0.15">
      <c r="O7" s="10" t="s">
        <v>25</v>
      </c>
      <c r="P7" s="15">
        <f>结果汇总!AI3</f>
        <v>0.4</v>
      </c>
      <c r="AI7" s="13"/>
    </row>
    <row r="8" spans="2:104" x14ac:dyDescent="0.15">
      <c r="B8" s="10" t="s">
        <v>26</v>
      </c>
      <c r="C8" s="10" t="s">
        <v>27</v>
      </c>
      <c r="D8" s="14" t="str">
        <f>INDEX(结果汇总!$AL$10:$AL$13,MATCH(G2,结果汇总!$AI$10:$AI$13,0))</f>
        <v>枪兵</v>
      </c>
      <c r="E8" s="14">
        <f>INDEX(结果汇总!$AM$10:$AM$13,MATCH(G2,结果汇总!$AI$10:$AI$13,0))</f>
        <v>156</v>
      </c>
      <c r="F8" s="10">
        <v>1000</v>
      </c>
      <c r="G8" s="14">
        <f>INDEX(结果汇总!$AN$10:$AN$13,MATCH(G2,结果汇总!$AI$10:$AI$13,0))</f>
        <v>1</v>
      </c>
      <c r="H8" s="10" t="e">
        <f>D8*E8*F8^2/2</f>
        <v>#VALUE!</v>
      </c>
      <c r="I8" s="10" t="s">
        <v>28</v>
      </c>
      <c r="J8" s="14" t="str">
        <f>INDEX(结果汇总!$AL$10:$AL$13,MATCH(K2,结果汇总!$AI$10:$AI$13,0))</f>
        <v>枪兵</v>
      </c>
      <c r="K8" s="14">
        <f>INDEX(结果汇总!$AM$10:$AM$13,MATCH(K2,结果汇总!$AI$10:$AI$13,0))</f>
        <v>156</v>
      </c>
      <c r="L8" s="10">
        <v>1000</v>
      </c>
      <c r="M8" s="14">
        <f>INDEX(结果汇总!$AN$10:$AN$13,MATCH(K2,结果汇总!$AI$10:$AI$13,0))</f>
        <v>1</v>
      </c>
      <c r="N8" s="10" t="e">
        <f>J8*K8*L8^2/2</f>
        <v>#VALUE!</v>
      </c>
      <c r="O8" s="22" t="s">
        <v>51</v>
      </c>
      <c r="P8" s="23">
        <v>0</v>
      </c>
      <c r="AI8" s="13"/>
    </row>
    <row r="9" spans="2:104" x14ac:dyDescent="0.15">
      <c r="C9" s="10" t="s">
        <v>29</v>
      </c>
      <c r="D9" s="14">
        <f>INDEX(结果汇总!$AL$14:$AL$17,MATCH(G3,结果汇总!$AI$14:$AI$17,0))</f>
        <v>120000</v>
      </c>
      <c r="E9" s="14">
        <f>INDEX(结果汇总!$AM$14:$AM$17,MATCH(G3,结果汇总!$AI$14:$AI$17,0))</f>
        <v>192000</v>
      </c>
      <c r="F9" s="10">
        <v>1</v>
      </c>
      <c r="G9" s="10">
        <v>1</v>
      </c>
      <c r="H9" s="10">
        <f>D9*E9</f>
        <v>23040000000</v>
      </c>
      <c r="I9" s="10" t="s">
        <v>30</v>
      </c>
      <c r="J9" s="14">
        <f>INDEX(结果汇总!$AL$14:$AL$17,MATCH(K3,结果汇总!$AI$14:$AI$17,0))</f>
        <v>120000</v>
      </c>
      <c r="K9" s="14">
        <f>INDEX(结果汇总!$AM$14:$AM$17,MATCH(K3,结果汇总!$AI$14:$AI$17,0))</f>
        <v>192000</v>
      </c>
      <c r="L9" s="10">
        <v>1</v>
      </c>
      <c r="M9" s="10">
        <v>1</v>
      </c>
      <c r="N9" s="10">
        <f>J9*K9</f>
        <v>23040000000</v>
      </c>
      <c r="O9" s="32" t="s">
        <v>53</v>
      </c>
      <c r="P9" s="26" t="e">
        <f>MIN($E$16:$E$135)+MIN($O$16:$O$135)+MIN($Y$16:$Y$135)</f>
        <v>#VALUE!</v>
      </c>
      <c r="AI9" s="13"/>
    </row>
    <row r="10" spans="2:104" x14ac:dyDescent="0.15">
      <c r="O10" s="32"/>
      <c r="P10" s="26" t="e">
        <f>MIN($AK$16:$AK$135)+MIN($AU$16:$AU$135)+MIN($BE$16:$BE$135)</f>
        <v>#VALUE!</v>
      </c>
      <c r="AI10" s="13"/>
    </row>
    <row r="11" spans="2:104" x14ac:dyDescent="0.15">
      <c r="B11" s="10" t="s">
        <v>31</v>
      </c>
      <c r="C11" s="10" t="s">
        <v>32</v>
      </c>
      <c r="D11" s="14" t="str">
        <f>INDEX(结果汇总!$AL$10:$AL$13,MATCH(F2,结果汇总!$AI$10:$AI$13,0))</f>
        <v>骑兵</v>
      </c>
      <c r="E11" s="14">
        <f>INDEX(结果汇总!$AM$10:$AM$13,MATCH(F2,结果汇总!$AI$10:$AI$13,0))</f>
        <v>240</v>
      </c>
      <c r="F11" s="10">
        <v>1000</v>
      </c>
      <c r="G11" s="14">
        <f>INDEX(结果汇总!$AN$10:$AN$13,MATCH(F2,结果汇总!$AI$10:$AI$13,0))</f>
        <v>1</v>
      </c>
      <c r="H11" s="10" t="e">
        <f>D11*E11*F11^2/2</f>
        <v>#VALUE!</v>
      </c>
      <c r="I11" s="10" t="s">
        <v>33</v>
      </c>
      <c r="J11" s="14" t="str">
        <f>INDEX(结果汇总!$AL$10:$AL$13,MATCH(L2,结果汇总!$AI$10:$AI$13,0))</f>
        <v>骑兵</v>
      </c>
      <c r="K11" s="14">
        <f>INDEX(结果汇总!$AM$10:$AM$13,MATCH(L2,结果汇总!$AI$10:$AI$13,0))</f>
        <v>240</v>
      </c>
      <c r="L11" s="10">
        <v>1000</v>
      </c>
      <c r="M11" s="14">
        <f>INDEX(结果汇总!$AN$10:$AN$13,MATCH(L2,结果汇总!$AI$10:$AI$13,0))</f>
        <v>1</v>
      </c>
      <c r="N11" s="10" t="e">
        <f>J11*K11*L11^2/2</f>
        <v>#VALUE!</v>
      </c>
      <c r="AI11" s="13"/>
    </row>
    <row r="12" spans="2:104" x14ac:dyDescent="0.15">
      <c r="C12" s="10" t="s">
        <v>11</v>
      </c>
      <c r="D12" s="14">
        <f>INDEX(结果汇总!$AL$14:$AL$17,MATCH(F3,结果汇总!$AI$14:$AI$17,0))</f>
        <v>120000</v>
      </c>
      <c r="E12" s="14">
        <f>INDEX(结果汇总!$AM$14:$AM$17,MATCH(F3,结果汇总!$AI$14:$AI$17,0))</f>
        <v>192000</v>
      </c>
      <c r="F12" s="10">
        <v>1</v>
      </c>
      <c r="G12" s="10">
        <v>1</v>
      </c>
      <c r="H12" s="10">
        <f>D12*E12</f>
        <v>23040000000</v>
      </c>
      <c r="I12" s="10" t="s">
        <v>34</v>
      </c>
      <c r="J12" s="14">
        <f>INDEX(结果汇总!$AL$14:$AL$17,MATCH(L3,结果汇总!$AI$14:$AI$17,0))</f>
        <v>120000</v>
      </c>
      <c r="K12" s="14">
        <f>INDEX(结果汇总!$AM$14:$AM$17,MATCH(L3,结果汇总!$AI$14:$AI$17,0))</f>
        <v>192000</v>
      </c>
      <c r="L12" s="10">
        <v>1</v>
      </c>
      <c r="M12" s="10">
        <v>1</v>
      </c>
      <c r="N12" s="10">
        <f>J12*K12</f>
        <v>23040000000</v>
      </c>
      <c r="AI12" s="13"/>
      <c r="BO12" s="10" t="s">
        <v>46</v>
      </c>
      <c r="BP12" s="6" t="str">
        <f>F2</f>
        <v>车骑兵</v>
      </c>
      <c r="BQ12" s="6" t="str">
        <f>G2</f>
        <v>枪兵</v>
      </c>
      <c r="BR12" s="6" t="str">
        <f>H2</f>
        <v>刀兵</v>
      </c>
      <c r="BS12" s="6" t="str">
        <f>J2</f>
        <v>刀兵</v>
      </c>
      <c r="BT12" s="6" t="str">
        <f>K2</f>
        <v>枪兵</v>
      </c>
      <c r="BU12" s="6" t="str">
        <f>L2</f>
        <v>车骑兵</v>
      </c>
    </row>
    <row r="13" spans="2:104" x14ac:dyDescent="0.15">
      <c r="AI13" s="13"/>
      <c r="CK13" s="10" t="s">
        <v>78</v>
      </c>
    </row>
    <row r="14" spans="2:104" x14ac:dyDescent="0.15">
      <c r="E14" s="16" t="s">
        <v>36</v>
      </c>
      <c r="F14" s="16"/>
      <c r="G14" s="16"/>
      <c r="J14" s="16" t="s">
        <v>23</v>
      </c>
      <c r="K14" s="16"/>
      <c r="L14" s="16"/>
      <c r="O14" s="16" t="s">
        <v>27</v>
      </c>
      <c r="P14" s="16"/>
      <c r="Q14" s="16"/>
      <c r="T14" s="16" t="s">
        <v>29</v>
      </c>
      <c r="U14" s="16"/>
      <c r="V14" s="16"/>
      <c r="Y14" s="16" t="s">
        <v>32</v>
      </c>
      <c r="AA14" s="16"/>
      <c r="AD14" s="16" t="s">
        <v>11</v>
      </c>
      <c r="AE14" s="16"/>
      <c r="AF14" s="16"/>
      <c r="AI14" s="13"/>
      <c r="AK14" s="16" t="s">
        <v>22</v>
      </c>
      <c r="AL14" s="16"/>
      <c r="AM14" s="16"/>
      <c r="AP14" s="16" t="s">
        <v>24</v>
      </c>
      <c r="AQ14" s="16"/>
      <c r="AR14" s="16"/>
      <c r="AU14" s="16" t="s">
        <v>39</v>
      </c>
      <c r="AV14" s="16"/>
      <c r="AW14" s="16"/>
      <c r="AZ14" s="16" t="s">
        <v>30</v>
      </c>
      <c r="BA14" s="16"/>
      <c r="BB14" s="16"/>
      <c r="BE14" s="16" t="s">
        <v>33</v>
      </c>
      <c r="BF14" s="16"/>
      <c r="BG14" s="16"/>
      <c r="BJ14" s="16" t="s">
        <v>34</v>
      </c>
      <c r="BK14" s="16"/>
      <c r="BL14" s="16"/>
      <c r="BP14" s="18" t="s">
        <v>35</v>
      </c>
      <c r="BW14" s="10" t="s">
        <v>66</v>
      </c>
      <c r="CD14" s="10" t="s">
        <v>77</v>
      </c>
      <c r="CK14" s="31">
        <v>1</v>
      </c>
      <c r="CL14" s="31"/>
      <c r="CM14" s="31"/>
      <c r="CN14" s="31"/>
      <c r="CO14" s="31">
        <v>2</v>
      </c>
      <c r="CP14" s="31"/>
      <c r="CQ14" s="31"/>
      <c r="CR14" s="31"/>
      <c r="CS14" s="31">
        <v>3</v>
      </c>
      <c r="CT14" s="31"/>
      <c r="CU14" s="31"/>
      <c r="CV14" s="31"/>
      <c r="CW14" s="31">
        <v>4</v>
      </c>
      <c r="CX14" s="31"/>
      <c r="CY14" s="31"/>
      <c r="CZ14" s="31"/>
    </row>
    <row r="15" spans="2:104" x14ac:dyDescent="0.15">
      <c r="E15" s="10" t="s">
        <v>40</v>
      </c>
      <c r="F15" s="10" t="s">
        <v>41</v>
      </c>
      <c r="G15" s="10" t="s">
        <v>42</v>
      </c>
      <c r="H15" s="10" t="s">
        <v>43</v>
      </c>
      <c r="I15" s="10" t="s">
        <v>44</v>
      </c>
      <c r="J15" s="10" t="s">
        <v>65</v>
      </c>
      <c r="K15" s="10" t="s">
        <v>41</v>
      </c>
      <c r="L15" s="10" t="s">
        <v>42</v>
      </c>
      <c r="M15" s="10" t="s">
        <v>44</v>
      </c>
      <c r="O15" s="10" t="s">
        <v>45</v>
      </c>
      <c r="P15" s="10" t="s">
        <v>41</v>
      </c>
      <c r="Q15" s="10" t="s">
        <v>42</v>
      </c>
      <c r="R15" s="10" t="s">
        <v>43</v>
      </c>
      <c r="S15" s="10" t="s">
        <v>44</v>
      </c>
      <c r="T15" s="10" t="s">
        <v>65</v>
      </c>
      <c r="U15" s="10" t="s">
        <v>41</v>
      </c>
      <c r="V15" s="10" t="s">
        <v>42</v>
      </c>
      <c r="W15" s="10" t="s">
        <v>44</v>
      </c>
      <c r="Y15" s="10" t="s">
        <v>45</v>
      </c>
      <c r="Z15" s="11" t="s">
        <v>41</v>
      </c>
      <c r="AA15" s="10" t="s">
        <v>42</v>
      </c>
      <c r="AB15" s="10" t="s">
        <v>43</v>
      </c>
      <c r="AC15" s="10" t="s">
        <v>44</v>
      </c>
      <c r="AD15" s="10" t="s">
        <v>65</v>
      </c>
      <c r="AE15" s="10" t="s">
        <v>41</v>
      </c>
      <c r="AF15" s="10" t="s">
        <v>42</v>
      </c>
      <c r="AG15" s="10" t="s">
        <v>44</v>
      </c>
      <c r="AI15" s="13"/>
      <c r="AK15" s="10" t="s">
        <v>45</v>
      </c>
      <c r="AL15" s="10" t="s">
        <v>41</v>
      </c>
      <c r="AM15" s="10" t="s">
        <v>42</v>
      </c>
      <c r="AN15" s="10" t="s">
        <v>43</v>
      </c>
      <c r="AO15" s="10" t="s">
        <v>44</v>
      </c>
      <c r="AP15" s="10" t="s">
        <v>65</v>
      </c>
      <c r="AQ15" s="10" t="s">
        <v>41</v>
      </c>
      <c r="AR15" s="10" t="s">
        <v>42</v>
      </c>
      <c r="AS15" s="10" t="s">
        <v>44</v>
      </c>
      <c r="AU15" s="10" t="s">
        <v>45</v>
      </c>
      <c r="AV15" s="10" t="s">
        <v>41</v>
      </c>
      <c r="AW15" s="10" t="s">
        <v>42</v>
      </c>
      <c r="AX15" s="10" t="s">
        <v>43</v>
      </c>
      <c r="AY15" s="10" t="s">
        <v>44</v>
      </c>
      <c r="AZ15" s="10" t="s">
        <v>65</v>
      </c>
      <c r="BA15" s="10" t="s">
        <v>41</v>
      </c>
      <c r="BB15" s="10" t="s">
        <v>42</v>
      </c>
      <c r="BC15" s="10" t="s">
        <v>44</v>
      </c>
      <c r="BE15" s="10" t="s">
        <v>45</v>
      </c>
      <c r="BF15" s="10" t="s">
        <v>41</v>
      </c>
      <c r="BG15" s="10" t="s">
        <v>42</v>
      </c>
      <c r="BH15" s="10" t="s">
        <v>43</v>
      </c>
      <c r="BI15" s="10" t="s">
        <v>44</v>
      </c>
      <c r="BJ15" s="10" t="s">
        <v>65</v>
      </c>
      <c r="BK15" s="10" t="s">
        <v>41</v>
      </c>
      <c r="BL15" s="10" t="s">
        <v>42</v>
      </c>
      <c r="BM15" s="10" t="s">
        <v>44</v>
      </c>
      <c r="BP15" s="17">
        <v>5</v>
      </c>
      <c r="BQ15" s="17">
        <v>3</v>
      </c>
      <c r="BR15" s="17">
        <v>1</v>
      </c>
      <c r="BS15" s="17">
        <v>2</v>
      </c>
      <c r="BT15" s="17">
        <v>4</v>
      </c>
      <c r="BU15" s="17">
        <v>6</v>
      </c>
      <c r="BW15" s="17">
        <v>5</v>
      </c>
      <c r="BX15" s="17">
        <v>3</v>
      </c>
      <c r="BY15" s="17">
        <v>1</v>
      </c>
      <c r="BZ15" s="17">
        <v>2</v>
      </c>
      <c r="CA15" s="17">
        <v>4</v>
      </c>
      <c r="CB15" s="17">
        <v>6</v>
      </c>
      <c r="CD15" s="17">
        <f>MATCH(BP12,结果汇总!$AI$10:$AI$13,0)</f>
        <v>2</v>
      </c>
      <c r="CE15" s="17">
        <f>MATCH(BQ12,结果汇总!$AI$10:$AI$13,0)</f>
        <v>4</v>
      </c>
      <c r="CF15" s="17">
        <f>MATCH(BR12,结果汇总!$AI$10:$AI$13,0)</f>
        <v>1</v>
      </c>
      <c r="CG15" s="17">
        <f>MATCH(BS12,结果汇总!$AI$10:$AI$13,0)</f>
        <v>1</v>
      </c>
      <c r="CH15" s="17">
        <f>MATCH(BT12,结果汇总!$AI$10:$AI$13,0)</f>
        <v>4</v>
      </c>
      <c r="CI15" s="17">
        <f>MATCH(BU12,结果汇总!$AI$10:$AI$13,0)</f>
        <v>2</v>
      </c>
      <c r="CK15" s="10">
        <v>1</v>
      </c>
      <c r="CL15" s="10">
        <v>2</v>
      </c>
      <c r="CM15" s="10">
        <v>3</v>
      </c>
      <c r="CN15" s="10">
        <v>4</v>
      </c>
      <c r="CO15" s="10">
        <f>CK15</f>
        <v>1</v>
      </c>
      <c r="CP15" s="10">
        <f t="shared" ref="CP15:CZ15" si="0">CL15</f>
        <v>2</v>
      </c>
      <c r="CQ15" s="10">
        <f t="shared" si="0"/>
        <v>3</v>
      </c>
      <c r="CR15" s="10">
        <f t="shared" si="0"/>
        <v>4</v>
      </c>
      <c r="CS15" s="10">
        <f t="shared" si="0"/>
        <v>1</v>
      </c>
      <c r="CT15" s="10">
        <f t="shared" si="0"/>
        <v>2</v>
      </c>
      <c r="CU15" s="10">
        <f t="shared" si="0"/>
        <v>3</v>
      </c>
      <c r="CV15" s="10">
        <f t="shared" si="0"/>
        <v>4</v>
      </c>
      <c r="CW15" s="10">
        <f t="shared" si="0"/>
        <v>1</v>
      </c>
      <c r="CX15" s="10">
        <f t="shared" si="0"/>
        <v>2</v>
      </c>
      <c r="CY15" s="10">
        <f t="shared" si="0"/>
        <v>3</v>
      </c>
      <c r="CZ15" s="10">
        <f t="shared" si="0"/>
        <v>4</v>
      </c>
    </row>
    <row r="16" spans="2:104" x14ac:dyDescent="0.15">
      <c r="D16" s="10">
        <v>1</v>
      </c>
      <c r="E16" s="10">
        <f>F5</f>
        <v>1000</v>
      </c>
      <c r="F16" s="10">
        <f t="shared" ref="F16:F79" si="1">IF(E16=0,0,E16*$E$5)</f>
        <v>324000</v>
      </c>
      <c r="G16" s="10">
        <f t="shared" ref="G16:G79" si="2">F16*$P$7</f>
        <v>129600</v>
      </c>
      <c r="H16" s="10">
        <f>IF(E16=0,0,ROUNDUP(E16/$F$5*$G$5,0))</f>
        <v>1</v>
      </c>
      <c r="I16" s="10">
        <f t="shared" ref="I16:I79" si="3">IF(AND(J16=0,E16&lt;&gt;0),1,H16/(H16+$G$6))</f>
        <v>0.5</v>
      </c>
      <c r="J16" s="10">
        <f>$F$6</f>
        <v>1</v>
      </c>
      <c r="K16" s="10">
        <f t="shared" ref="K16:K79" si="4">IF(J16=0,0,ROUNDUP(J16,0)*$E$6)</f>
        <v>192000</v>
      </c>
      <c r="L16" s="10">
        <f t="shared" ref="L16:L79" si="5">K16*$P$7</f>
        <v>76800</v>
      </c>
      <c r="M16" s="10">
        <f>IF(J16=0,0,1-I16)</f>
        <v>0.5</v>
      </c>
      <c r="O16" s="10">
        <f>$F$8</f>
        <v>1000</v>
      </c>
      <c r="P16" s="10">
        <f t="shared" ref="P16:P79" si="6">IF(O16=0,0,O16*$E$8)</f>
        <v>156000</v>
      </c>
      <c r="Q16" s="10">
        <f t="shared" ref="Q16:Q79" si="7">P16*$P$7</f>
        <v>62400</v>
      </c>
      <c r="R16" s="10">
        <f>IF(O16=0,0,ROUNDUP(O16/$F$8*$G$8,0))</f>
        <v>1</v>
      </c>
      <c r="S16" s="10">
        <f>IF(AND(T16=0,O16&lt;&gt;0),1,R16/(R16+$G$9))</f>
        <v>0.5</v>
      </c>
      <c r="T16" s="10">
        <f>$F$9</f>
        <v>1</v>
      </c>
      <c r="U16" s="10">
        <f>IF(T16=0,0,ROUNDUP(T16,0)*$E$9)</f>
        <v>192000</v>
      </c>
      <c r="V16" s="10">
        <f t="shared" ref="V16:V79" si="8">U16*$P$7</f>
        <v>76800</v>
      </c>
      <c r="W16" s="10">
        <f>IF(T16=0,0,1-S16)</f>
        <v>0.5</v>
      </c>
      <c r="Y16" s="10">
        <f>$F$11</f>
        <v>1000</v>
      </c>
      <c r="Z16" s="11">
        <f>IF(Y16=0,0,Y16*$E$11)</f>
        <v>240000</v>
      </c>
      <c r="AA16" s="10">
        <f t="shared" ref="AA16:AA79" si="9">Z16*$P$7</f>
        <v>96000</v>
      </c>
      <c r="AB16" s="10">
        <f>IF(Y16=0,0,ROUNDUP(Y16/$F$11*$G$11,0))</f>
        <v>1</v>
      </c>
      <c r="AC16" s="10">
        <f>IF(AND(AD16=0,Y16&lt;&gt;0),1,AB16/(AB16+$G$12))</f>
        <v>0.5</v>
      </c>
      <c r="AD16" s="10">
        <f>$F$12</f>
        <v>1</v>
      </c>
      <c r="AE16" s="10">
        <f>IF(AD16=0,0,ROUNDUP(AD16,0)*$E$12)</f>
        <v>192000</v>
      </c>
      <c r="AF16" s="10">
        <f t="shared" ref="AF16:AF79" si="10">AE16*$P$7</f>
        <v>76800</v>
      </c>
      <c r="AG16" s="10">
        <f>IF(AD16=0,0,1-AC16)</f>
        <v>0.5</v>
      </c>
      <c r="AI16" s="13"/>
      <c r="AK16" s="10">
        <f>$L$5</f>
        <v>1000</v>
      </c>
      <c r="AL16" s="10">
        <f>IF(AK16=0,0,AK16*$K$5)</f>
        <v>324000</v>
      </c>
      <c r="AM16" s="10">
        <f t="shared" ref="AM16:AM79" si="11">AL16*$P$7</f>
        <v>129600</v>
      </c>
      <c r="AN16" s="10">
        <f>IF(AK16=0,0,ROUNDUP(AK16/$L$5*$M$5,0))</f>
        <v>1</v>
      </c>
      <c r="AO16" s="10">
        <f>IF(AND(AP16=0,AK16&lt;&gt;0),1,AN16/(AN16+$M$6))</f>
        <v>0.5</v>
      </c>
      <c r="AP16" s="10">
        <f>$L$6</f>
        <v>1</v>
      </c>
      <c r="AQ16" s="10">
        <f>IF(AP16=0,0,ROUNDUP(AP16,0)*$K$6)</f>
        <v>192000</v>
      </c>
      <c r="AR16" s="10">
        <f t="shared" ref="AR16:AR79" si="12">AQ16*$P$7</f>
        <v>76800</v>
      </c>
      <c r="AS16" s="10">
        <f>IF(AP16=0,0,1-AO16)</f>
        <v>0.5</v>
      </c>
      <c r="AU16" s="10">
        <f>$L$8</f>
        <v>1000</v>
      </c>
      <c r="AV16" s="10">
        <f>IF(AU16=0,0,AU16*$K$8)</f>
        <v>156000</v>
      </c>
      <c r="AW16" s="10">
        <f t="shared" ref="AW16:AW79" si="13">AV16*$P$7</f>
        <v>62400</v>
      </c>
      <c r="AX16" s="10">
        <f>IF(AU16=0,0,ROUNDUP(AU16/$L$8*$M$8,0))</f>
        <v>1</v>
      </c>
      <c r="AY16" s="10">
        <f>IF(AND(AZ16=0,AU16&lt;&gt;0),1,AX16/(AX16+$M$9))</f>
        <v>0.5</v>
      </c>
      <c r="AZ16" s="10">
        <f>$L$9</f>
        <v>1</v>
      </c>
      <c r="BA16" s="10">
        <f>IF(AZ16=0,0,ROUNDUP(AZ16,0)*$K$9)</f>
        <v>192000</v>
      </c>
      <c r="BB16" s="10">
        <f t="shared" ref="BB16:BB79" si="14">BA16*$P$7</f>
        <v>76800</v>
      </c>
      <c r="BC16" s="10">
        <f>IF(AZ16=0,0,1-AY16)</f>
        <v>0.5</v>
      </c>
      <c r="BE16" s="10">
        <f>$L$11</f>
        <v>1000</v>
      </c>
      <c r="BF16" s="10">
        <f>IF(BE16=0,0,BE16*$K$11)</f>
        <v>240000</v>
      </c>
      <c r="BG16" s="10">
        <f t="shared" ref="BG16:BG79" si="15">BF16*$P$7</f>
        <v>96000</v>
      </c>
      <c r="BH16" s="10">
        <f>IF(BE16=0,0,ROUNDUP(BE16/$L$11*$M$11,0))</f>
        <v>1</v>
      </c>
      <c r="BI16" s="10">
        <f>IF(AND(BJ16=0,BE16&lt;&gt;0),1,BH16/(BH16+$M$12))</f>
        <v>0.5</v>
      </c>
      <c r="BJ16" s="10">
        <f>$L$12</f>
        <v>1</v>
      </c>
      <c r="BK16" s="10">
        <f>IF(BJ16=0,0,ROUNDUP(BJ16,0)*$K$12)</f>
        <v>192000</v>
      </c>
      <c r="BL16" s="10">
        <f t="shared" ref="BL16:BL79" si="16">BK16*$P$7</f>
        <v>76800</v>
      </c>
      <c r="BM16" s="10">
        <f>IF(BJ16=0,0,1-BI16)</f>
        <v>0.5</v>
      </c>
      <c r="BP16" s="10">
        <f>IF(CB16&gt;0,BU$15,IF(CA16&gt;0,BT$15,BS$15))</f>
        <v>6</v>
      </c>
      <c r="BQ16" s="10">
        <f>IF(BZ16&gt;0,BS$15,IF(CA16&gt;0,BT$15,BU$15))</f>
        <v>2</v>
      </c>
      <c r="BR16" s="10">
        <f>IF(BZ16&gt;0,BS$15,IF(CA16&gt;0,BT$15,BU$15))</f>
        <v>2</v>
      </c>
      <c r="BS16" s="10">
        <f>IF(BY16&gt;0,BR$15,IF(BX16&gt;0,BQ$15,BP$15))</f>
        <v>1</v>
      </c>
      <c r="BT16" s="10">
        <f>IF(BY16&gt;0,BR$15,IF(BX16&gt;0,BQ$15,BP$15))</f>
        <v>1</v>
      </c>
      <c r="BU16" s="10">
        <f>IF(BW16&gt;0,BP$15,IF(BX16&gt;0,BQ$15,BR$15))</f>
        <v>5</v>
      </c>
      <c r="BW16" s="10">
        <f>Y16+AD16*1000</f>
        <v>2000</v>
      </c>
      <c r="BX16" s="10">
        <f>O16+T16*1000</f>
        <v>2000</v>
      </c>
      <c r="BY16" s="10">
        <f>E16+J16*1000</f>
        <v>2000</v>
      </c>
      <c r="BZ16" s="10">
        <f>AK16+AP16*1000</f>
        <v>2000</v>
      </c>
      <c r="CA16" s="10">
        <f>AU16+AZ16*1000</f>
        <v>2000</v>
      </c>
      <c r="CB16" s="10">
        <f>BE16+BJ16*1000</f>
        <v>2000</v>
      </c>
      <c r="CD16" s="10">
        <f>MATCH(INDEX($BP$12:$BU$12,1,MATCH(BP16,$BP$15:$BU$15,0)),结果汇总!$AI$10:$AI$13,0)</f>
        <v>2</v>
      </c>
      <c r="CE16" s="10">
        <f>MATCH(INDEX($BP$12:$BU$12,1,MATCH(BQ16,$BP$15:$BU$15,0)),结果汇总!$AI$10:$AI$13,0)</f>
        <v>1</v>
      </c>
      <c r="CF16" s="10">
        <f>MATCH(INDEX($BP$12:$BU$12,1,MATCH(BR16,$BP$15:$BU$15,0)),结果汇总!$AI$10:$AI$13,0)</f>
        <v>1</v>
      </c>
      <c r="CG16" s="10">
        <f>MATCH(INDEX($BP$12:$BU$12,1,MATCH(BS16,$BP$15:$BU$15,0)),结果汇总!$AI$10:$AI$13,0)</f>
        <v>1</v>
      </c>
      <c r="CH16" s="10">
        <f>MATCH(INDEX($BP$12:$BU$12,1,MATCH(BT16,$BP$15:$BU$15,0)),结果汇总!$AI$10:$AI$13,0)</f>
        <v>1</v>
      </c>
      <c r="CI16" s="10">
        <f>MATCH(INDEX($BP$12:$BU$12,1,MATCH(BU16,$BP$15:$BU$15,0)),结果汇总!$AI$10:$AI$13,0)</f>
        <v>2</v>
      </c>
      <c r="CK16" s="10">
        <f>COUNTIFS($CD16:$CI16,CK$15,$CD$15:$CI$15,$CK$14)/COUNTIFS($CD$15:$CI$15,$CK$14)</f>
        <v>1</v>
      </c>
      <c r="CL16" s="10">
        <f t="shared" ref="CL16:CN31" si="17">COUNTIFS($CD16:$CI16,CL$15,$CD$15:$CI$15,$CK$14)/COUNTIFS($CD$15:$CI$15,$CK$14)</f>
        <v>0</v>
      </c>
      <c r="CM16" s="10">
        <f t="shared" si="17"/>
        <v>0</v>
      </c>
      <c r="CN16" s="10">
        <f t="shared" si="17"/>
        <v>0</v>
      </c>
      <c r="CO16" s="10">
        <f>COUNTIFS($CD16:$CI16,CO$15,$CD$15:$CI$15,$CO$14)/COUNTIFS($CD$15:$CI$15,$CO$14)</f>
        <v>0</v>
      </c>
      <c r="CP16" s="10">
        <f t="shared" ref="CP16:CR31" si="18">COUNTIFS($CD16:$CI16,CP$15,$CD$15:$CI$15,$CO$14)/COUNTIFS($CD$15:$CI$15,$CO$14)</f>
        <v>1</v>
      </c>
      <c r="CQ16" s="10">
        <f t="shared" si="18"/>
        <v>0</v>
      </c>
      <c r="CR16" s="10">
        <f t="shared" si="18"/>
        <v>0</v>
      </c>
      <c r="CS16" s="10" t="e">
        <f>COUNTIFS($CD16:$CI16,CS$15,$CD$15:$CI$15,$CS$14)/COUNTIFS($CD$15:$CI$15,$CS$14)</f>
        <v>#DIV/0!</v>
      </c>
      <c r="CT16" s="10" t="e">
        <f t="shared" ref="CT16:CV31" si="19">COUNTIFS($CD16:$CI16,CT$15,$CD$15:$CI$15,$CS$14)/COUNTIFS($CD$15:$CI$15,$CS$14)</f>
        <v>#DIV/0!</v>
      </c>
      <c r="CU16" s="10" t="e">
        <f t="shared" si="19"/>
        <v>#DIV/0!</v>
      </c>
      <c r="CV16" s="10" t="e">
        <f t="shared" si="19"/>
        <v>#DIV/0!</v>
      </c>
      <c r="CW16" s="10">
        <f>COUNTIFS($CD16:$CI16,CW$15,$CD$15:$CI$15,$CW$14)/COUNTIFS($CD$15:$CI$15,$CW$14)</f>
        <v>1</v>
      </c>
      <c r="CX16" s="10">
        <f t="shared" ref="CX16:CZ31" si="20">COUNTIFS($CD16:$CI16,CX$15,$CD$15:$CI$15,$CW$14)/COUNTIFS($CD$15:$CI$15,$CW$14)</f>
        <v>0</v>
      </c>
      <c r="CY16" s="10">
        <f t="shared" si="20"/>
        <v>0</v>
      </c>
      <c r="CZ16" s="10">
        <f t="shared" si="20"/>
        <v>0</v>
      </c>
    </row>
    <row r="17" spans="4:104" x14ac:dyDescent="0.15">
      <c r="D17" s="10">
        <v>2</v>
      </c>
      <c r="E17" s="10" t="e">
        <f t="shared" ref="E17:E80" si="21">IF(E16-((AL16+AM16+AQ16+AR16)*IF(BS16=1,1,0)+(AV16+AW16+BA16+BB16)*IF(BT16=1,1,0)+(BF16+BG16+BK16+BL16)*IF(BU16=1,1,0))*IF(J16=0,1,I16)/$D$5&lt;$E$16*$P$8,0,
E16-((AL16+AM16+AQ16+AR16)*IF(BS16=1,1,0)+(AV16+AW16+BA16+BB16)*IF(BT16=1,1,0)+(BF16+BG16+BK16+BL16)*IF(BU16=1,1,0))*IF(J16=0,1,I16)/$D$5)</f>
        <v>#VALUE!</v>
      </c>
      <c r="F17" s="10" t="e">
        <f t="shared" si="1"/>
        <v>#VALUE!</v>
      </c>
      <c r="G17" s="10" t="e">
        <f t="shared" si="2"/>
        <v>#VALUE!</v>
      </c>
      <c r="H17" s="10" t="e">
        <f t="shared" ref="H17:H80" si="22">IF(E17=0,0,ROUNDUP(E17/$F$5*$G$5,0))</f>
        <v>#VALUE!</v>
      </c>
      <c r="I17" s="10" t="e">
        <f t="shared" si="3"/>
        <v>#VALUE!</v>
      </c>
      <c r="J17" s="10">
        <f t="shared" ref="J17:J80" si="23">MAX(J16-((AL16+AM16+AQ16+AR16)*IF(BS16=1,1,0)+(AV16+AW16+BA16+BB16)*IF(BT16=1,1,0)+(BF16+BG16+BK16+BL16)*IF(BU16=1,1,0))*IF(E16=0,1,M16)/$D$6,0)</f>
        <v>0</v>
      </c>
      <c r="K17" s="10">
        <f t="shared" si="4"/>
        <v>0</v>
      </c>
      <c r="L17" s="10">
        <f t="shared" si="5"/>
        <v>0</v>
      </c>
      <c r="M17" s="10">
        <f t="shared" ref="M17:M80" si="24">IF(J17=0,0,1-I17)</f>
        <v>0</v>
      </c>
      <c r="O17" s="10" t="e">
        <f t="shared" ref="O17:O80" si="25">IF(O16-((AL16+AM16+AQ16+AR16)*IF(BS16=3,1,0)+(AV16+AW16+BA16+BB16)*IF(BT16=3,1,0)+(BF16+BG16+BK16+BL16)*IF(BU16=3,1,0))*IF(T16=0,1,S16)/$D$8&lt;$O$16*$P$8,0,
O16-((AL16+AM16+AQ16+AR16)*IF(BS16=3,1,0)+(AV16+AW16+BA16+BB16)*IF(BT16=3,1,0)+(BF16+BG16+BK16+BL16)*IF(BU16=3,1,0))*IF(T16=0,1,S16)/$D$8)</f>
        <v>#VALUE!</v>
      </c>
      <c r="P17" s="10" t="e">
        <f t="shared" si="6"/>
        <v>#VALUE!</v>
      </c>
      <c r="Q17" s="10" t="e">
        <f t="shared" si="7"/>
        <v>#VALUE!</v>
      </c>
      <c r="R17" s="10" t="e">
        <f t="shared" ref="R17:R80" si="26">IF(O17=0,0,ROUNDUP(O17/$F$8*$G$8,0))</f>
        <v>#VALUE!</v>
      </c>
      <c r="S17" s="10" t="e">
        <f t="shared" ref="S17:S80" si="27">IF(AND(T17=0,O17&lt;&gt;0),1,R17/(R17+$G$9))</f>
        <v>#VALUE!</v>
      </c>
      <c r="T17" s="10">
        <f>MAX(T16-((AL16+AM16+AQ16+AR16)*IF(BS16=3,1,0)+(AV16+AW16+BA16+BB16)*IF(BT16=3,1,0)+(BF16+BG16+BK16+BL16)*IF(BU16=3,1,0))*IF(O16=0,1,W16)/$D$9,0)</f>
        <v>1</v>
      </c>
      <c r="U17" s="10">
        <f>IF(T17=0,0,ROUNDUP(T17,0)*$E$9)</f>
        <v>192000</v>
      </c>
      <c r="V17" s="10">
        <f t="shared" si="8"/>
        <v>76800</v>
      </c>
      <c r="W17" s="10" t="e">
        <f t="shared" ref="W17:W80" si="28">IF(T17=0,0,1-S17)</f>
        <v>#VALUE!</v>
      </c>
      <c r="Y17" s="10" t="e">
        <f t="shared" ref="Y17:Y80" si="29">IF(Y16-((AL16+AM16+AQ16+AR16)*IF(BS16=5,1,0)+(AV16+AW16+BA16+BB16)*IF(BT16=5,1,0)+(BF16+BG16+BK16+BL16)*IF(BU16=5,1,0))*IF(AD16=0,1,AC16)/$D$11&lt;$Y$16*$P$8,0,
Y16-((AL16+AM16+AQ16+AR16)*IF(BS16=5,1,0)+(AV16+AW16+BA16+BB16)*IF(BT16=5,1,0)+(BF16+BG16+BK16+BL16)*IF(BU16=5,1,0))*IF(AD16=0,1,AC16)/$D$11)</f>
        <v>#VALUE!</v>
      </c>
      <c r="Z17" s="11" t="e">
        <f t="shared" ref="Z17:Z80" si="30">IF(Y17=0,0,Y17*$E$11)</f>
        <v>#VALUE!</v>
      </c>
      <c r="AA17" s="10" t="e">
        <f t="shared" si="9"/>
        <v>#VALUE!</v>
      </c>
      <c r="AB17" s="10" t="e">
        <f t="shared" ref="AB17:AB80" si="31">IF(Y17=0,0,ROUNDUP(Y17/$F$11*$G$11,0))</f>
        <v>#VALUE!</v>
      </c>
      <c r="AC17" s="10" t="e">
        <f t="shared" ref="AC17:AC80" si="32">IF(AND(AD17=0,Y17&lt;&gt;0),1,AB17/(AB17+$G$12))</f>
        <v>#VALUE!</v>
      </c>
      <c r="AD17" s="10">
        <f>MAX(AD16-((AL16+AM16+AQ16+AR16)*IF(BS16=5,1,0)+(AV16+AW16+BA16+BB16)*IF(BT16=5,1,0)+(BF16+BG16+BK16+BL16)*IF(BU16=5,1,0))*IF(Y16=0,1,AG16)/$D$12,0)</f>
        <v>0</v>
      </c>
      <c r="AE17" s="10">
        <f>IF(AD17=0,0,ROUNDUP(AD17,0)*$E$12)</f>
        <v>0</v>
      </c>
      <c r="AF17" s="10">
        <f t="shared" si="10"/>
        <v>0</v>
      </c>
      <c r="AG17" s="10">
        <f t="shared" ref="AG17:AG80" si="33">IF(AD17=0,0,1-AC17)</f>
        <v>0</v>
      </c>
      <c r="AI17" s="13"/>
      <c r="AK17" s="10" t="e">
        <f t="shared" ref="AK17:AK80" si="34">IF(AK16-((F16+G16+K16+L16)*IF(BR16=2,1,0)+(P16+Q16+U16+V16)*IF(BQ16=2,1,0)+(Z16+AA16+AE16+AF16)*IF(BP16=2,1,0))*IF(AP16=0,1,AO16)/$J$5&lt;$AK$16*$P$8,0,
AK16-((F16+G16+K16+L16)*IF(BR16=2,1,0)+(P16+Q16+U16+V16)*IF(BQ16=2,1,0)+(Z16+AA16+AE16+AF16)*IF(BP16=2,1,0))*IF(AP16=0,1,AO16)/$J$5)</f>
        <v>#VALUE!</v>
      </c>
      <c r="AL17" s="10" t="e">
        <f>IF(AK17=0,0,AK17*$K$5)</f>
        <v>#VALUE!</v>
      </c>
      <c r="AM17" s="10" t="e">
        <f t="shared" si="11"/>
        <v>#VALUE!</v>
      </c>
      <c r="AN17" s="10" t="e">
        <f t="shared" ref="AN17:AN80" si="35">IF(AK17=0,0,ROUNDUP(AK17/$L$5*$M$5,0))</f>
        <v>#VALUE!</v>
      </c>
      <c r="AO17" s="10" t="e">
        <f t="shared" ref="AO17:AO80" si="36">IF(AND(AP17=0,AK17&lt;&gt;0),1,AN17/(AN17+$M$6))</f>
        <v>#VALUE!</v>
      </c>
      <c r="AP17" s="10">
        <f t="shared" ref="AP17:AP80" si="37">MAX(AP16-((F16+G16+K16+L16)*IF(BR16=2,1,0)+(P16+Q16+U16+V16)*IF(BQ16=2,1,0)+(Z16+AA16+AE16+AF16)*IF(BP16=2,1,0))*IF(AK16=0,1,AS16)/$J$6,0)</f>
        <v>0</v>
      </c>
      <c r="AQ17" s="10">
        <f>IF(AP17=0,0,ROUNDUP(AP17,0)*$K$6)</f>
        <v>0</v>
      </c>
      <c r="AR17" s="10">
        <f t="shared" si="12"/>
        <v>0</v>
      </c>
      <c r="AS17" s="10">
        <f>IF(AP17=0,0,1-AO17)</f>
        <v>0</v>
      </c>
      <c r="AU17" s="10" t="e">
        <f t="shared" ref="AU17:AU80" si="38">IF(AU16-((F16+G16+K16+L16)*IF(BR16=4,1,0)+(P16+Q16+U16+V16)*IF(BQ16=4,1,0)+(Z16+AA16+AE16+AF16)*IF(BP16=4,1,0))*IF(AZ16=0,1,AY16)/$J$8&lt;$AU$16*$P$8,0,
AU16-((F16+G16+K16+L16)*IF(BR16=4,1,0)+(P16+Q16+U16+V16)*IF(BQ16=4,1,0)+(Z16+AA16+AE16+AF16)*IF(BP16=4,1,0))*IF(AZ16=0,1,AY16)/$J$8)</f>
        <v>#VALUE!</v>
      </c>
      <c r="AV17" s="10" t="e">
        <f>IF(AU17=0,0,AU17*$K$8)</f>
        <v>#VALUE!</v>
      </c>
      <c r="AW17" s="10" t="e">
        <f t="shared" si="13"/>
        <v>#VALUE!</v>
      </c>
      <c r="AX17" s="10" t="e">
        <f t="shared" ref="AX17:AX80" si="39">IF(AU17=0,0,ROUNDUP(AU17/$L$8*$M$8,0))</f>
        <v>#VALUE!</v>
      </c>
      <c r="AY17" s="10" t="e">
        <f t="shared" ref="AY17:AY80" si="40">IF(AND(AZ17=0,AU17&lt;&gt;0),1,AX17/(AX17+$M$9))</f>
        <v>#VALUE!</v>
      </c>
      <c r="AZ17" s="10">
        <f t="shared" ref="AZ17:AZ80" si="41">MAX(AZ16-((F16+G16+K16+L16)*IF(BR16=4,1,0)+(P16+Q16+U16+V16)*IF(BQ16=4,1,0)+(Z16+AA16+AE16+AF16)*IF(BP16=4,1,0))*IF(AU16=0,1,BC16)/$J$9,0)</f>
        <v>1</v>
      </c>
      <c r="BA17" s="10">
        <f>IF(AZ17=0,0,ROUNDUP(AZ17,0)*$K$9)</f>
        <v>192000</v>
      </c>
      <c r="BB17" s="10">
        <f t="shared" si="14"/>
        <v>76800</v>
      </c>
      <c r="BC17" s="10" t="e">
        <f>IF(AZ17=0,0,1-AY17)</f>
        <v>#VALUE!</v>
      </c>
      <c r="BE17" s="10" t="e">
        <f t="shared" ref="BE17:BE80" si="42">IF(BE16-((F16+G16+K16+L16)*IF(BR16=6,1,0)+(P16+Q16+U16+V16)*IF(BQ16=6,1,0)+(Z16+AA16+AE16+AF16)*IF(BP16=6,1,0))*IF(BJ16=0,1,BI16)/$J$11&lt;$BE$16*$P$8,0,
BE16-((F16+G16+K16+L16)*IF(BR16=6,1,0)+(P16+Q16+U16+V16)*IF(BQ16=6,1,0)+(Z16+AA16+AE16+AF16)*IF(BP16=6,1,0))*IF(BJ16=0,1,BI16)/$J$11)</f>
        <v>#VALUE!</v>
      </c>
      <c r="BF17" s="10" t="e">
        <f>IF(BE17=0,0,BE17*$K$11)</f>
        <v>#VALUE!</v>
      </c>
      <c r="BG17" s="10" t="e">
        <f t="shared" si="15"/>
        <v>#VALUE!</v>
      </c>
      <c r="BH17" s="10" t="e">
        <f t="shared" ref="BH17:BH80" si="43">IF(BE17=0,0,ROUNDUP(BE17/$L$11*$M$11,0))</f>
        <v>#VALUE!</v>
      </c>
      <c r="BI17" s="10" t="e">
        <f t="shared" ref="BI17:BI80" si="44">IF(AND(BJ17=0,BE17&lt;&gt;0),1,BH17/(BH17+$M$12))</f>
        <v>#VALUE!</v>
      </c>
      <c r="BJ17" s="10">
        <f t="shared" ref="BJ17:BJ80" si="45">MAX(BJ16-((F16+G16+K16+L16)*IF(BR16=6,1,0)+(P16+Q16+U16+V16)*IF(BQ16=6,1,0)+(Z16+AA16+AE16+AF16)*IF(BP16=6,1,0))*IF(BE16=0,1,BM16)/$J$12,0)</f>
        <v>0</v>
      </c>
      <c r="BK17" s="10">
        <f>IF(BJ17=0,0,ROUNDUP(BJ17,0)*$K$12)</f>
        <v>0</v>
      </c>
      <c r="BL17" s="10">
        <f t="shared" si="16"/>
        <v>0</v>
      </c>
      <c r="BM17" s="10">
        <f>IF(BJ17=0,0,1-BI17)</f>
        <v>0</v>
      </c>
      <c r="BP17" s="10" t="e">
        <f t="shared" ref="BP17:BP80" si="46">IF(CB17&gt;0,BU$15,IF(CA17&gt;0,BT$15,BS$15))</f>
        <v>#VALUE!</v>
      </c>
      <c r="BQ17" s="10" t="e">
        <f t="shared" ref="BQ17:BQ80" si="47">IF(BZ17&gt;0,BS$15,IF(CA17&gt;0,BT$15,BU$15))</f>
        <v>#VALUE!</v>
      </c>
      <c r="BR17" s="10" t="e">
        <f t="shared" ref="BR17:BR80" si="48">IF(BZ17&gt;0,BS$15,IF(CA17&gt;0,BT$15,BU$15))</f>
        <v>#VALUE!</v>
      </c>
      <c r="BS17" s="10" t="e">
        <f t="shared" ref="BS17:BS80" si="49">IF(BY17&gt;0,BR$15,IF(BX17&gt;0,BQ$15,BP$15))</f>
        <v>#VALUE!</v>
      </c>
      <c r="BT17" s="10" t="e">
        <f t="shared" ref="BT17:BT80" si="50">IF(BY17&gt;0,BR$15,IF(BX17&gt;0,BQ$15,BP$15))</f>
        <v>#VALUE!</v>
      </c>
      <c r="BU17" s="10" t="e">
        <f t="shared" ref="BU17:BU80" si="51">IF(BW17&gt;0,BP$15,IF(BX17&gt;0,BQ$15,BR$15))</f>
        <v>#VALUE!</v>
      </c>
      <c r="BW17" s="10" t="e">
        <f t="shared" ref="BW17:BW80" si="52">Y17+AD17*1000</f>
        <v>#VALUE!</v>
      </c>
      <c r="BX17" s="10" t="e">
        <f t="shared" ref="BX17:BX80" si="53">O17+T17*1000</f>
        <v>#VALUE!</v>
      </c>
      <c r="BY17" s="10" t="e">
        <f t="shared" ref="BY17:BY80" si="54">E17+J17*1000</f>
        <v>#VALUE!</v>
      </c>
      <c r="BZ17" s="10" t="e">
        <f t="shared" ref="BZ17:BZ80" si="55">AK17+AP17*1000</f>
        <v>#VALUE!</v>
      </c>
      <c r="CA17" s="10" t="e">
        <f t="shared" ref="CA17:CA80" si="56">AU17+AZ17*1000</f>
        <v>#VALUE!</v>
      </c>
      <c r="CB17" s="10" t="e">
        <f t="shared" ref="CB17:CB80" si="57">BE17+BJ17*1000</f>
        <v>#VALUE!</v>
      </c>
      <c r="CD17" s="10" t="e">
        <f>MATCH(INDEX($BP$12:$BU$12,1,MATCH(BP17,$BP$15:$BU$15,0)),结果汇总!$AI$10:$AI$13,0)</f>
        <v>#VALUE!</v>
      </c>
      <c r="CE17" s="10" t="e">
        <f>MATCH(INDEX($BP$12:$BU$12,1,MATCH(BQ17,$BP$15:$BU$15,0)),结果汇总!$AI$10:$AI$13,0)</f>
        <v>#VALUE!</v>
      </c>
      <c r="CF17" s="10" t="e">
        <f>MATCH(INDEX($BP$12:$BU$12,1,MATCH(BR17,$BP$15:$BU$15,0)),结果汇总!$AI$10:$AI$13,0)</f>
        <v>#VALUE!</v>
      </c>
      <c r="CG17" s="10" t="e">
        <f>MATCH(INDEX($BP$12:$BU$12,1,MATCH(BS17,$BP$15:$BU$15,0)),结果汇总!$AI$10:$AI$13,0)</f>
        <v>#VALUE!</v>
      </c>
      <c r="CH17" s="10" t="e">
        <f>MATCH(INDEX($BP$12:$BU$12,1,MATCH(BT17,$BP$15:$BU$15,0)),结果汇总!$AI$10:$AI$13,0)</f>
        <v>#VALUE!</v>
      </c>
      <c r="CI17" s="10" t="e">
        <f>MATCH(INDEX($BP$12:$BU$12,1,MATCH(BU17,$BP$15:$BU$15,0)),结果汇总!$AI$10:$AI$13,0)</f>
        <v>#VALUE!</v>
      </c>
      <c r="CK17" s="10">
        <f t="shared" ref="CK17:CN48" si="58">COUNTIFS($CD17:$CI17,CK$15,$CD$15:$CI$15,$CK$14)/COUNTIFS($CD$15:$CI$15,$CK$14)</f>
        <v>0</v>
      </c>
      <c r="CL17" s="10">
        <f t="shared" si="17"/>
        <v>0</v>
      </c>
      <c r="CM17" s="10">
        <f t="shared" si="17"/>
        <v>0</v>
      </c>
      <c r="CN17" s="10">
        <f t="shared" si="17"/>
        <v>0</v>
      </c>
      <c r="CO17" s="10">
        <f t="shared" ref="CO17:CR48" si="59">COUNTIFS($CD17:$CI17,CO$15,$CD$15:$CI$15,$CO$14)/COUNTIFS($CD$15:$CI$15,$CO$14)</f>
        <v>0</v>
      </c>
      <c r="CP17" s="10">
        <f t="shared" si="18"/>
        <v>0</v>
      </c>
      <c r="CQ17" s="10">
        <f t="shared" si="18"/>
        <v>0</v>
      </c>
      <c r="CR17" s="10">
        <f t="shared" si="18"/>
        <v>0</v>
      </c>
      <c r="CS17" s="10" t="e">
        <f t="shared" ref="CS17:CV48" si="60">COUNTIFS($CD17:$CI17,CS$15,$CD$15:$CI$15,$CS$14)/COUNTIFS($CD$15:$CI$15,$CS$14)</f>
        <v>#DIV/0!</v>
      </c>
      <c r="CT17" s="10" t="e">
        <f t="shared" si="19"/>
        <v>#DIV/0!</v>
      </c>
      <c r="CU17" s="10" t="e">
        <f t="shared" si="19"/>
        <v>#DIV/0!</v>
      </c>
      <c r="CV17" s="10" t="e">
        <f t="shared" si="19"/>
        <v>#DIV/0!</v>
      </c>
      <c r="CW17" s="10">
        <f t="shared" ref="CW17:CZ48" si="61">COUNTIFS($CD17:$CI17,CW$15,$CD$15:$CI$15,$CW$14)/COUNTIFS($CD$15:$CI$15,$CW$14)</f>
        <v>0</v>
      </c>
      <c r="CX17" s="10">
        <f t="shared" si="20"/>
        <v>0</v>
      </c>
      <c r="CY17" s="10">
        <f t="shared" si="20"/>
        <v>0</v>
      </c>
      <c r="CZ17" s="10">
        <f t="shared" si="20"/>
        <v>0</v>
      </c>
    </row>
    <row r="18" spans="4:104" x14ac:dyDescent="0.15">
      <c r="D18" s="10">
        <v>3</v>
      </c>
      <c r="E18" s="10" t="e">
        <f t="shared" si="21"/>
        <v>#VALUE!</v>
      </c>
      <c r="F18" s="10" t="e">
        <f t="shared" si="1"/>
        <v>#VALUE!</v>
      </c>
      <c r="G18" s="10" t="e">
        <f t="shared" si="2"/>
        <v>#VALUE!</v>
      </c>
      <c r="H18" s="10" t="e">
        <f t="shared" si="22"/>
        <v>#VALUE!</v>
      </c>
      <c r="I18" s="10" t="e">
        <f t="shared" si="3"/>
        <v>#VALUE!</v>
      </c>
      <c r="J18" s="10" t="e">
        <f t="shared" si="23"/>
        <v>#VALUE!</v>
      </c>
      <c r="K18" s="10" t="e">
        <f t="shared" si="4"/>
        <v>#VALUE!</v>
      </c>
      <c r="L18" s="10" t="e">
        <f t="shared" si="5"/>
        <v>#VALUE!</v>
      </c>
      <c r="M18" s="10" t="e">
        <f t="shared" si="24"/>
        <v>#VALUE!</v>
      </c>
      <c r="O18" s="10" t="e">
        <f t="shared" si="25"/>
        <v>#VALUE!</v>
      </c>
      <c r="P18" s="10" t="e">
        <f t="shared" si="6"/>
        <v>#VALUE!</v>
      </c>
      <c r="Q18" s="10" t="e">
        <f t="shared" si="7"/>
        <v>#VALUE!</v>
      </c>
      <c r="R18" s="10" t="e">
        <f t="shared" si="26"/>
        <v>#VALUE!</v>
      </c>
      <c r="S18" s="10" t="e">
        <f t="shared" si="27"/>
        <v>#VALUE!</v>
      </c>
      <c r="T18" s="10" t="e">
        <f t="shared" ref="T18:T81" si="62">MAX(T17-((AL17+AM17+AQ17+AR17)*IF(BS17=3,1,0)+(AV17+AW17+BA17+BB17)*IF(BT17=3,1,0)+(BF17+BG17+BK17+BL17)*IF(BU17=3,1,0))*IF(O17=0,1,W17)/$D$9,0)</f>
        <v>#VALUE!</v>
      </c>
      <c r="U18" s="10" t="e">
        <f t="shared" ref="U18:U81" si="63">IF(T18=0,0,ROUNDUP(T18,0)*$E$9)</f>
        <v>#VALUE!</v>
      </c>
      <c r="V18" s="10" t="e">
        <f t="shared" si="8"/>
        <v>#VALUE!</v>
      </c>
      <c r="W18" s="10" t="e">
        <f t="shared" si="28"/>
        <v>#VALUE!</v>
      </c>
      <c r="Y18" s="10" t="e">
        <f t="shared" si="29"/>
        <v>#VALUE!</v>
      </c>
      <c r="Z18" s="11" t="e">
        <f t="shared" si="30"/>
        <v>#VALUE!</v>
      </c>
      <c r="AA18" s="10" t="e">
        <f t="shared" si="9"/>
        <v>#VALUE!</v>
      </c>
      <c r="AB18" s="10" t="e">
        <f t="shared" si="31"/>
        <v>#VALUE!</v>
      </c>
      <c r="AC18" s="10" t="e">
        <f t="shared" si="32"/>
        <v>#VALUE!</v>
      </c>
      <c r="AD18" s="10" t="e">
        <f t="shared" ref="AD18:AD81" si="64">MAX(AD17-((AL17+AM17+AQ17+AR17)*IF(BS17=5,1,0)+(AV17+AW17+BA17+BB17)*IF(BT17=5,1,0)+(BF17+BG17+BK17+BL17)*IF(BU17=5,1,0))*IF(Y17=0,1,AG17)/$D$12,0)</f>
        <v>#VALUE!</v>
      </c>
      <c r="AE18" s="10" t="e">
        <f t="shared" ref="AE18:AE81" si="65">IF(AD18=0,0,ROUNDUP(AD18,0)*$E$12)</f>
        <v>#VALUE!</v>
      </c>
      <c r="AF18" s="10" t="e">
        <f t="shared" si="10"/>
        <v>#VALUE!</v>
      </c>
      <c r="AG18" s="10" t="e">
        <f t="shared" si="33"/>
        <v>#VALUE!</v>
      </c>
      <c r="AI18" s="13"/>
      <c r="AK18" s="10" t="e">
        <f t="shared" si="34"/>
        <v>#VALUE!</v>
      </c>
      <c r="AL18" s="10" t="e">
        <f t="shared" ref="AL18:AL81" si="66">IF(AK18=0,0,AK18*$K$5)</f>
        <v>#VALUE!</v>
      </c>
      <c r="AM18" s="10" t="e">
        <f t="shared" si="11"/>
        <v>#VALUE!</v>
      </c>
      <c r="AN18" s="10" t="e">
        <f t="shared" si="35"/>
        <v>#VALUE!</v>
      </c>
      <c r="AO18" s="10" t="e">
        <f t="shared" si="36"/>
        <v>#VALUE!</v>
      </c>
      <c r="AP18" s="10" t="e">
        <f t="shared" si="37"/>
        <v>#VALUE!</v>
      </c>
      <c r="AQ18" s="10" t="e">
        <f t="shared" ref="AQ18:AQ81" si="67">IF(AP18=0,0,ROUNDUP(AP18,0)*$K$6)</f>
        <v>#VALUE!</v>
      </c>
      <c r="AR18" s="10" t="e">
        <f t="shared" si="12"/>
        <v>#VALUE!</v>
      </c>
      <c r="AS18" s="10" t="e">
        <f t="shared" ref="AS18:AS81" si="68">IF(AP18=0,0,1-AO18)</f>
        <v>#VALUE!</v>
      </c>
      <c r="AU18" s="10" t="e">
        <f t="shared" si="38"/>
        <v>#VALUE!</v>
      </c>
      <c r="AV18" s="10" t="e">
        <f t="shared" ref="AV18:AV81" si="69">IF(AU18=0,0,AU18*$K$8)</f>
        <v>#VALUE!</v>
      </c>
      <c r="AW18" s="10" t="e">
        <f t="shared" si="13"/>
        <v>#VALUE!</v>
      </c>
      <c r="AX18" s="10" t="e">
        <f t="shared" si="39"/>
        <v>#VALUE!</v>
      </c>
      <c r="AY18" s="10" t="e">
        <f t="shared" si="40"/>
        <v>#VALUE!</v>
      </c>
      <c r="AZ18" s="10" t="e">
        <f t="shared" si="41"/>
        <v>#VALUE!</v>
      </c>
      <c r="BA18" s="10" t="e">
        <f t="shared" ref="BA18:BA81" si="70">IF(AZ18=0,0,ROUNDUP(AZ18,0)*$K$9)</f>
        <v>#VALUE!</v>
      </c>
      <c r="BB18" s="10" t="e">
        <f t="shared" si="14"/>
        <v>#VALUE!</v>
      </c>
      <c r="BC18" s="10" t="e">
        <f t="shared" ref="BC18:BC81" si="71">IF(AZ18=0,0,1-AY18)</f>
        <v>#VALUE!</v>
      </c>
      <c r="BE18" s="10" t="e">
        <f t="shared" si="42"/>
        <v>#VALUE!</v>
      </c>
      <c r="BF18" s="10" t="e">
        <f t="shared" ref="BF18:BF81" si="72">IF(BE18=0,0,BE18*$K$11)</f>
        <v>#VALUE!</v>
      </c>
      <c r="BG18" s="10" t="e">
        <f t="shared" si="15"/>
        <v>#VALUE!</v>
      </c>
      <c r="BH18" s="10" t="e">
        <f t="shared" si="43"/>
        <v>#VALUE!</v>
      </c>
      <c r="BI18" s="10" t="e">
        <f t="shared" si="44"/>
        <v>#VALUE!</v>
      </c>
      <c r="BJ18" s="10" t="e">
        <f t="shared" si="45"/>
        <v>#VALUE!</v>
      </c>
      <c r="BK18" s="10" t="e">
        <f t="shared" ref="BK18:BK81" si="73">IF(BJ18=0,0,ROUNDUP(BJ18,0)*$K$12)</f>
        <v>#VALUE!</v>
      </c>
      <c r="BL18" s="10" t="e">
        <f t="shared" si="16"/>
        <v>#VALUE!</v>
      </c>
      <c r="BM18" s="10" t="e">
        <f t="shared" ref="BM18:BM81" si="74">IF(BJ18=0,0,1-BI18)</f>
        <v>#VALUE!</v>
      </c>
      <c r="BP18" s="10" t="e">
        <f t="shared" si="46"/>
        <v>#VALUE!</v>
      </c>
      <c r="BQ18" s="10" t="e">
        <f t="shared" si="47"/>
        <v>#VALUE!</v>
      </c>
      <c r="BR18" s="10" t="e">
        <f t="shared" si="48"/>
        <v>#VALUE!</v>
      </c>
      <c r="BS18" s="10" t="e">
        <f t="shared" si="49"/>
        <v>#VALUE!</v>
      </c>
      <c r="BT18" s="10" t="e">
        <f t="shared" si="50"/>
        <v>#VALUE!</v>
      </c>
      <c r="BU18" s="10" t="e">
        <f t="shared" si="51"/>
        <v>#VALUE!</v>
      </c>
      <c r="BW18" s="10" t="e">
        <f t="shared" si="52"/>
        <v>#VALUE!</v>
      </c>
      <c r="BX18" s="10" t="e">
        <f t="shared" si="53"/>
        <v>#VALUE!</v>
      </c>
      <c r="BY18" s="10" t="e">
        <f t="shared" si="54"/>
        <v>#VALUE!</v>
      </c>
      <c r="BZ18" s="10" t="e">
        <f t="shared" si="55"/>
        <v>#VALUE!</v>
      </c>
      <c r="CA18" s="10" t="e">
        <f t="shared" si="56"/>
        <v>#VALUE!</v>
      </c>
      <c r="CB18" s="10" t="e">
        <f t="shared" si="57"/>
        <v>#VALUE!</v>
      </c>
      <c r="CD18" s="10" t="e">
        <f>MATCH(INDEX($BP$12:$BU$12,1,MATCH(BP18,$BP$15:$BU$15,0)),结果汇总!$AI$10:$AI$13,0)</f>
        <v>#VALUE!</v>
      </c>
      <c r="CE18" s="10" t="e">
        <f>MATCH(INDEX($BP$12:$BU$12,1,MATCH(BQ18,$BP$15:$BU$15,0)),结果汇总!$AI$10:$AI$13,0)</f>
        <v>#VALUE!</v>
      </c>
      <c r="CF18" s="10" t="e">
        <f>MATCH(INDEX($BP$12:$BU$12,1,MATCH(BR18,$BP$15:$BU$15,0)),结果汇总!$AI$10:$AI$13,0)</f>
        <v>#VALUE!</v>
      </c>
      <c r="CG18" s="10" t="e">
        <f>MATCH(INDEX($BP$12:$BU$12,1,MATCH(BS18,$BP$15:$BU$15,0)),结果汇总!$AI$10:$AI$13,0)</f>
        <v>#VALUE!</v>
      </c>
      <c r="CH18" s="10" t="e">
        <f>MATCH(INDEX($BP$12:$BU$12,1,MATCH(BT18,$BP$15:$BU$15,0)),结果汇总!$AI$10:$AI$13,0)</f>
        <v>#VALUE!</v>
      </c>
      <c r="CI18" s="10" t="e">
        <f>MATCH(INDEX($BP$12:$BU$12,1,MATCH(BU18,$BP$15:$BU$15,0)),结果汇总!$AI$10:$AI$13,0)</f>
        <v>#VALUE!</v>
      </c>
      <c r="CK18" s="10">
        <f t="shared" si="58"/>
        <v>0</v>
      </c>
      <c r="CL18" s="10">
        <f t="shared" si="17"/>
        <v>0</v>
      </c>
      <c r="CM18" s="10">
        <f t="shared" si="17"/>
        <v>0</v>
      </c>
      <c r="CN18" s="10">
        <f t="shared" si="17"/>
        <v>0</v>
      </c>
      <c r="CO18" s="10">
        <f t="shared" si="59"/>
        <v>0</v>
      </c>
      <c r="CP18" s="10">
        <f t="shared" si="18"/>
        <v>0</v>
      </c>
      <c r="CQ18" s="10">
        <f t="shared" si="18"/>
        <v>0</v>
      </c>
      <c r="CR18" s="10">
        <f t="shared" si="18"/>
        <v>0</v>
      </c>
      <c r="CS18" s="10" t="e">
        <f t="shared" si="60"/>
        <v>#DIV/0!</v>
      </c>
      <c r="CT18" s="10" t="e">
        <f t="shared" si="19"/>
        <v>#DIV/0!</v>
      </c>
      <c r="CU18" s="10" t="e">
        <f t="shared" si="19"/>
        <v>#DIV/0!</v>
      </c>
      <c r="CV18" s="10" t="e">
        <f t="shared" si="19"/>
        <v>#DIV/0!</v>
      </c>
      <c r="CW18" s="10">
        <f t="shared" si="61"/>
        <v>0</v>
      </c>
      <c r="CX18" s="10">
        <f t="shared" si="20"/>
        <v>0</v>
      </c>
      <c r="CY18" s="10">
        <f t="shared" si="20"/>
        <v>0</v>
      </c>
      <c r="CZ18" s="10">
        <f t="shared" si="20"/>
        <v>0</v>
      </c>
    </row>
    <row r="19" spans="4:104" x14ac:dyDescent="0.15">
      <c r="D19" s="10">
        <v>4</v>
      </c>
      <c r="E19" s="10" t="e">
        <f t="shared" si="21"/>
        <v>#VALUE!</v>
      </c>
      <c r="F19" s="10" t="e">
        <f t="shared" si="1"/>
        <v>#VALUE!</v>
      </c>
      <c r="G19" s="10" t="e">
        <f t="shared" si="2"/>
        <v>#VALUE!</v>
      </c>
      <c r="H19" s="10" t="e">
        <f t="shared" si="22"/>
        <v>#VALUE!</v>
      </c>
      <c r="I19" s="10" t="e">
        <f t="shared" si="3"/>
        <v>#VALUE!</v>
      </c>
      <c r="J19" s="10" t="e">
        <f t="shared" si="23"/>
        <v>#VALUE!</v>
      </c>
      <c r="K19" s="10" t="e">
        <f t="shared" si="4"/>
        <v>#VALUE!</v>
      </c>
      <c r="L19" s="10" t="e">
        <f t="shared" si="5"/>
        <v>#VALUE!</v>
      </c>
      <c r="M19" s="10" t="e">
        <f t="shared" si="24"/>
        <v>#VALUE!</v>
      </c>
      <c r="O19" s="10" t="e">
        <f t="shared" si="25"/>
        <v>#VALUE!</v>
      </c>
      <c r="P19" s="10" t="e">
        <f t="shared" si="6"/>
        <v>#VALUE!</v>
      </c>
      <c r="Q19" s="10" t="e">
        <f t="shared" si="7"/>
        <v>#VALUE!</v>
      </c>
      <c r="R19" s="10" t="e">
        <f t="shared" si="26"/>
        <v>#VALUE!</v>
      </c>
      <c r="S19" s="10" t="e">
        <f t="shared" si="27"/>
        <v>#VALUE!</v>
      </c>
      <c r="T19" s="10" t="e">
        <f t="shared" si="62"/>
        <v>#VALUE!</v>
      </c>
      <c r="U19" s="10" t="e">
        <f t="shared" si="63"/>
        <v>#VALUE!</v>
      </c>
      <c r="V19" s="10" t="e">
        <f t="shared" si="8"/>
        <v>#VALUE!</v>
      </c>
      <c r="W19" s="10" t="e">
        <f t="shared" si="28"/>
        <v>#VALUE!</v>
      </c>
      <c r="Y19" s="10" t="e">
        <f t="shared" si="29"/>
        <v>#VALUE!</v>
      </c>
      <c r="Z19" s="11" t="e">
        <f t="shared" si="30"/>
        <v>#VALUE!</v>
      </c>
      <c r="AA19" s="10" t="e">
        <f t="shared" si="9"/>
        <v>#VALUE!</v>
      </c>
      <c r="AB19" s="10" t="e">
        <f t="shared" si="31"/>
        <v>#VALUE!</v>
      </c>
      <c r="AC19" s="10" t="e">
        <f t="shared" si="32"/>
        <v>#VALUE!</v>
      </c>
      <c r="AD19" s="10" t="e">
        <f t="shared" si="64"/>
        <v>#VALUE!</v>
      </c>
      <c r="AE19" s="10" t="e">
        <f t="shared" si="65"/>
        <v>#VALUE!</v>
      </c>
      <c r="AF19" s="10" t="e">
        <f t="shared" si="10"/>
        <v>#VALUE!</v>
      </c>
      <c r="AG19" s="10" t="e">
        <f t="shared" si="33"/>
        <v>#VALUE!</v>
      </c>
      <c r="AI19" s="13"/>
      <c r="AK19" s="10" t="e">
        <f t="shared" si="34"/>
        <v>#VALUE!</v>
      </c>
      <c r="AL19" s="10" t="e">
        <f t="shared" si="66"/>
        <v>#VALUE!</v>
      </c>
      <c r="AM19" s="10" t="e">
        <f t="shared" si="11"/>
        <v>#VALUE!</v>
      </c>
      <c r="AN19" s="10" t="e">
        <f t="shared" si="35"/>
        <v>#VALUE!</v>
      </c>
      <c r="AO19" s="10" t="e">
        <f t="shared" si="36"/>
        <v>#VALUE!</v>
      </c>
      <c r="AP19" s="10" t="e">
        <f t="shared" si="37"/>
        <v>#VALUE!</v>
      </c>
      <c r="AQ19" s="10" t="e">
        <f t="shared" si="67"/>
        <v>#VALUE!</v>
      </c>
      <c r="AR19" s="10" t="e">
        <f t="shared" si="12"/>
        <v>#VALUE!</v>
      </c>
      <c r="AS19" s="10" t="e">
        <f t="shared" si="68"/>
        <v>#VALUE!</v>
      </c>
      <c r="AU19" s="10" t="e">
        <f t="shared" si="38"/>
        <v>#VALUE!</v>
      </c>
      <c r="AV19" s="10" t="e">
        <f t="shared" si="69"/>
        <v>#VALUE!</v>
      </c>
      <c r="AW19" s="10" t="e">
        <f t="shared" si="13"/>
        <v>#VALUE!</v>
      </c>
      <c r="AX19" s="10" t="e">
        <f t="shared" si="39"/>
        <v>#VALUE!</v>
      </c>
      <c r="AY19" s="10" t="e">
        <f t="shared" si="40"/>
        <v>#VALUE!</v>
      </c>
      <c r="AZ19" s="10" t="e">
        <f t="shared" si="41"/>
        <v>#VALUE!</v>
      </c>
      <c r="BA19" s="10" t="e">
        <f t="shared" si="70"/>
        <v>#VALUE!</v>
      </c>
      <c r="BB19" s="10" t="e">
        <f t="shared" si="14"/>
        <v>#VALUE!</v>
      </c>
      <c r="BC19" s="10" t="e">
        <f t="shared" si="71"/>
        <v>#VALUE!</v>
      </c>
      <c r="BE19" s="10" t="e">
        <f t="shared" si="42"/>
        <v>#VALUE!</v>
      </c>
      <c r="BF19" s="10" t="e">
        <f t="shared" si="72"/>
        <v>#VALUE!</v>
      </c>
      <c r="BG19" s="10" t="e">
        <f t="shared" si="15"/>
        <v>#VALUE!</v>
      </c>
      <c r="BH19" s="10" t="e">
        <f t="shared" si="43"/>
        <v>#VALUE!</v>
      </c>
      <c r="BI19" s="10" t="e">
        <f t="shared" si="44"/>
        <v>#VALUE!</v>
      </c>
      <c r="BJ19" s="10" t="e">
        <f t="shared" si="45"/>
        <v>#VALUE!</v>
      </c>
      <c r="BK19" s="10" t="e">
        <f t="shared" si="73"/>
        <v>#VALUE!</v>
      </c>
      <c r="BL19" s="10" t="e">
        <f t="shared" si="16"/>
        <v>#VALUE!</v>
      </c>
      <c r="BM19" s="10" t="e">
        <f t="shared" si="74"/>
        <v>#VALUE!</v>
      </c>
      <c r="BP19" s="10" t="e">
        <f t="shared" si="46"/>
        <v>#VALUE!</v>
      </c>
      <c r="BQ19" s="10" t="e">
        <f t="shared" si="47"/>
        <v>#VALUE!</v>
      </c>
      <c r="BR19" s="10" t="e">
        <f t="shared" si="48"/>
        <v>#VALUE!</v>
      </c>
      <c r="BS19" s="10" t="e">
        <f t="shared" si="49"/>
        <v>#VALUE!</v>
      </c>
      <c r="BT19" s="10" t="e">
        <f t="shared" si="50"/>
        <v>#VALUE!</v>
      </c>
      <c r="BU19" s="10" t="e">
        <f t="shared" si="51"/>
        <v>#VALUE!</v>
      </c>
      <c r="BW19" s="10" t="e">
        <f t="shared" si="52"/>
        <v>#VALUE!</v>
      </c>
      <c r="BX19" s="10" t="e">
        <f t="shared" si="53"/>
        <v>#VALUE!</v>
      </c>
      <c r="BY19" s="10" t="e">
        <f t="shared" si="54"/>
        <v>#VALUE!</v>
      </c>
      <c r="BZ19" s="10" t="e">
        <f t="shared" si="55"/>
        <v>#VALUE!</v>
      </c>
      <c r="CA19" s="10" t="e">
        <f t="shared" si="56"/>
        <v>#VALUE!</v>
      </c>
      <c r="CB19" s="10" t="e">
        <f t="shared" si="57"/>
        <v>#VALUE!</v>
      </c>
      <c r="CD19" s="10" t="e">
        <f>MATCH(INDEX($BP$12:$BU$12,1,MATCH(BP19,$BP$15:$BU$15,0)),结果汇总!$AI$10:$AI$13,0)</f>
        <v>#VALUE!</v>
      </c>
      <c r="CE19" s="10" t="e">
        <f>MATCH(INDEX($BP$12:$BU$12,1,MATCH(BQ19,$BP$15:$BU$15,0)),结果汇总!$AI$10:$AI$13,0)</f>
        <v>#VALUE!</v>
      </c>
      <c r="CF19" s="10" t="e">
        <f>MATCH(INDEX($BP$12:$BU$12,1,MATCH(BR19,$BP$15:$BU$15,0)),结果汇总!$AI$10:$AI$13,0)</f>
        <v>#VALUE!</v>
      </c>
      <c r="CG19" s="10" t="e">
        <f>MATCH(INDEX($BP$12:$BU$12,1,MATCH(BS19,$BP$15:$BU$15,0)),结果汇总!$AI$10:$AI$13,0)</f>
        <v>#VALUE!</v>
      </c>
      <c r="CH19" s="10" t="e">
        <f>MATCH(INDEX($BP$12:$BU$12,1,MATCH(BT19,$BP$15:$BU$15,0)),结果汇总!$AI$10:$AI$13,0)</f>
        <v>#VALUE!</v>
      </c>
      <c r="CI19" s="10" t="e">
        <f>MATCH(INDEX($BP$12:$BU$12,1,MATCH(BU19,$BP$15:$BU$15,0)),结果汇总!$AI$10:$AI$13,0)</f>
        <v>#VALUE!</v>
      </c>
      <c r="CK19" s="10">
        <f t="shared" si="58"/>
        <v>0</v>
      </c>
      <c r="CL19" s="10">
        <f t="shared" si="17"/>
        <v>0</v>
      </c>
      <c r="CM19" s="10">
        <f t="shared" si="17"/>
        <v>0</v>
      </c>
      <c r="CN19" s="10">
        <f t="shared" si="17"/>
        <v>0</v>
      </c>
      <c r="CO19" s="10">
        <f t="shared" si="59"/>
        <v>0</v>
      </c>
      <c r="CP19" s="10">
        <f t="shared" si="18"/>
        <v>0</v>
      </c>
      <c r="CQ19" s="10">
        <f t="shared" si="18"/>
        <v>0</v>
      </c>
      <c r="CR19" s="10">
        <f t="shared" si="18"/>
        <v>0</v>
      </c>
      <c r="CS19" s="10" t="e">
        <f t="shared" si="60"/>
        <v>#DIV/0!</v>
      </c>
      <c r="CT19" s="10" t="e">
        <f t="shared" si="19"/>
        <v>#DIV/0!</v>
      </c>
      <c r="CU19" s="10" t="e">
        <f t="shared" si="19"/>
        <v>#DIV/0!</v>
      </c>
      <c r="CV19" s="10" t="e">
        <f t="shared" si="19"/>
        <v>#DIV/0!</v>
      </c>
      <c r="CW19" s="10">
        <f t="shared" si="61"/>
        <v>0</v>
      </c>
      <c r="CX19" s="10">
        <f t="shared" si="20"/>
        <v>0</v>
      </c>
      <c r="CY19" s="10">
        <f t="shared" si="20"/>
        <v>0</v>
      </c>
      <c r="CZ19" s="10">
        <f t="shared" si="20"/>
        <v>0</v>
      </c>
    </row>
    <row r="20" spans="4:104" x14ac:dyDescent="0.15">
      <c r="D20" s="10">
        <v>5</v>
      </c>
      <c r="E20" s="10" t="e">
        <f t="shared" si="21"/>
        <v>#VALUE!</v>
      </c>
      <c r="F20" s="10" t="e">
        <f t="shared" si="1"/>
        <v>#VALUE!</v>
      </c>
      <c r="G20" s="10" t="e">
        <f t="shared" si="2"/>
        <v>#VALUE!</v>
      </c>
      <c r="H20" s="10" t="e">
        <f t="shared" si="22"/>
        <v>#VALUE!</v>
      </c>
      <c r="I20" s="10" t="e">
        <f t="shared" si="3"/>
        <v>#VALUE!</v>
      </c>
      <c r="J20" s="10" t="e">
        <f t="shared" si="23"/>
        <v>#VALUE!</v>
      </c>
      <c r="K20" s="10" t="e">
        <f t="shared" si="4"/>
        <v>#VALUE!</v>
      </c>
      <c r="L20" s="10" t="e">
        <f t="shared" si="5"/>
        <v>#VALUE!</v>
      </c>
      <c r="M20" s="10" t="e">
        <f t="shared" si="24"/>
        <v>#VALUE!</v>
      </c>
      <c r="O20" s="10" t="e">
        <f t="shared" si="25"/>
        <v>#VALUE!</v>
      </c>
      <c r="P20" s="10" t="e">
        <f t="shared" si="6"/>
        <v>#VALUE!</v>
      </c>
      <c r="Q20" s="10" t="e">
        <f t="shared" si="7"/>
        <v>#VALUE!</v>
      </c>
      <c r="R20" s="10" t="e">
        <f t="shared" si="26"/>
        <v>#VALUE!</v>
      </c>
      <c r="S20" s="10" t="e">
        <f t="shared" si="27"/>
        <v>#VALUE!</v>
      </c>
      <c r="T20" s="10" t="e">
        <f t="shared" si="62"/>
        <v>#VALUE!</v>
      </c>
      <c r="U20" s="10" t="e">
        <f t="shared" si="63"/>
        <v>#VALUE!</v>
      </c>
      <c r="V20" s="10" t="e">
        <f t="shared" si="8"/>
        <v>#VALUE!</v>
      </c>
      <c r="W20" s="10" t="e">
        <f t="shared" si="28"/>
        <v>#VALUE!</v>
      </c>
      <c r="Y20" s="10" t="e">
        <f t="shared" si="29"/>
        <v>#VALUE!</v>
      </c>
      <c r="Z20" s="11" t="e">
        <f t="shared" si="30"/>
        <v>#VALUE!</v>
      </c>
      <c r="AA20" s="10" t="e">
        <f t="shared" si="9"/>
        <v>#VALUE!</v>
      </c>
      <c r="AB20" s="10" t="e">
        <f t="shared" si="31"/>
        <v>#VALUE!</v>
      </c>
      <c r="AC20" s="10" t="e">
        <f t="shared" si="32"/>
        <v>#VALUE!</v>
      </c>
      <c r="AD20" s="10" t="e">
        <f t="shared" si="64"/>
        <v>#VALUE!</v>
      </c>
      <c r="AE20" s="10" t="e">
        <f t="shared" si="65"/>
        <v>#VALUE!</v>
      </c>
      <c r="AF20" s="10" t="e">
        <f t="shared" si="10"/>
        <v>#VALUE!</v>
      </c>
      <c r="AG20" s="10" t="e">
        <f t="shared" si="33"/>
        <v>#VALUE!</v>
      </c>
      <c r="AI20" s="13"/>
      <c r="AK20" s="10" t="e">
        <f t="shared" si="34"/>
        <v>#VALUE!</v>
      </c>
      <c r="AL20" s="10" t="e">
        <f t="shared" si="66"/>
        <v>#VALUE!</v>
      </c>
      <c r="AM20" s="10" t="e">
        <f t="shared" si="11"/>
        <v>#VALUE!</v>
      </c>
      <c r="AN20" s="10" t="e">
        <f t="shared" si="35"/>
        <v>#VALUE!</v>
      </c>
      <c r="AO20" s="10" t="e">
        <f t="shared" si="36"/>
        <v>#VALUE!</v>
      </c>
      <c r="AP20" s="10" t="e">
        <f t="shared" si="37"/>
        <v>#VALUE!</v>
      </c>
      <c r="AQ20" s="10" t="e">
        <f t="shared" si="67"/>
        <v>#VALUE!</v>
      </c>
      <c r="AR20" s="10" t="e">
        <f t="shared" si="12"/>
        <v>#VALUE!</v>
      </c>
      <c r="AS20" s="10" t="e">
        <f t="shared" si="68"/>
        <v>#VALUE!</v>
      </c>
      <c r="AU20" s="10" t="e">
        <f t="shared" si="38"/>
        <v>#VALUE!</v>
      </c>
      <c r="AV20" s="10" t="e">
        <f t="shared" si="69"/>
        <v>#VALUE!</v>
      </c>
      <c r="AW20" s="10" t="e">
        <f t="shared" si="13"/>
        <v>#VALUE!</v>
      </c>
      <c r="AX20" s="10" t="e">
        <f t="shared" si="39"/>
        <v>#VALUE!</v>
      </c>
      <c r="AY20" s="10" t="e">
        <f t="shared" si="40"/>
        <v>#VALUE!</v>
      </c>
      <c r="AZ20" s="10" t="e">
        <f t="shared" si="41"/>
        <v>#VALUE!</v>
      </c>
      <c r="BA20" s="10" t="e">
        <f t="shared" si="70"/>
        <v>#VALUE!</v>
      </c>
      <c r="BB20" s="10" t="e">
        <f t="shared" si="14"/>
        <v>#VALUE!</v>
      </c>
      <c r="BC20" s="10" t="e">
        <f t="shared" si="71"/>
        <v>#VALUE!</v>
      </c>
      <c r="BE20" s="10" t="e">
        <f t="shared" si="42"/>
        <v>#VALUE!</v>
      </c>
      <c r="BF20" s="10" t="e">
        <f t="shared" si="72"/>
        <v>#VALUE!</v>
      </c>
      <c r="BG20" s="10" t="e">
        <f t="shared" si="15"/>
        <v>#VALUE!</v>
      </c>
      <c r="BH20" s="10" t="e">
        <f t="shared" si="43"/>
        <v>#VALUE!</v>
      </c>
      <c r="BI20" s="10" t="e">
        <f t="shared" si="44"/>
        <v>#VALUE!</v>
      </c>
      <c r="BJ20" s="10" t="e">
        <f t="shared" si="45"/>
        <v>#VALUE!</v>
      </c>
      <c r="BK20" s="10" t="e">
        <f t="shared" si="73"/>
        <v>#VALUE!</v>
      </c>
      <c r="BL20" s="10" t="e">
        <f t="shared" si="16"/>
        <v>#VALUE!</v>
      </c>
      <c r="BM20" s="10" t="e">
        <f t="shared" si="74"/>
        <v>#VALUE!</v>
      </c>
      <c r="BP20" s="10" t="e">
        <f t="shared" si="46"/>
        <v>#VALUE!</v>
      </c>
      <c r="BQ20" s="10" t="e">
        <f t="shared" si="47"/>
        <v>#VALUE!</v>
      </c>
      <c r="BR20" s="10" t="e">
        <f t="shared" si="48"/>
        <v>#VALUE!</v>
      </c>
      <c r="BS20" s="10" t="e">
        <f t="shared" si="49"/>
        <v>#VALUE!</v>
      </c>
      <c r="BT20" s="10" t="e">
        <f t="shared" si="50"/>
        <v>#VALUE!</v>
      </c>
      <c r="BU20" s="10" t="e">
        <f t="shared" si="51"/>
        <v>#VALUE!</v>
      </c>
      <c r="BW20" s="10" t="e">
        <f t="shared" si="52"/>
        <v>#VALUE!</v>
      </c>
      <c r="BX20" s="10" t="e">
        <f t="shared" si="53"/>
        <v>#VALUE!</v>
      </c>
      <c r="BY20" s="10" t="e">
        <f t="shared" si="54"/>
        <v>#VALUE!</v>
      </c>
      <c r="BZ20" s="10" t="e">
        <f t="shared" si="55"/>
        <v>#VALUE!</v>
      </c>
      <c r="CA20" s="10" t="e">
        <f t="shared" si="56"/>
        <v>#VALUE!</v>
      </c>
      <c r="CB20" s="10" t="e">
        <f t="shared" si="57"/>
        <v>#VALUE!</v>
      </c>
      <c r="CD20" s="10" t="e">
        <f>MATCH(INDEX($BP$12:$BU$12,1,MATCH(BP20,$BP$15:$BU$15,0)),结果汇总!$AI$10:$AI$13,0)</f>
        <v>#VALUE!</v>
      </c>
      <c r="CE20" s="10" t="e">
        <f>MATCH(INDEX($BP$12:$BU$12,1,MATCH(BQ20,$BP$15:$BU$15,0)),结果汇总!$AI$10:$AI$13,0)</f>
        <v>#VALUE!</v>
      </c>
      <c r="CF20" s="10" t="e">
        <f>MATCH(INDEX($BP$12:$BU$12,1,MATCH(BR20,$BP$15:$BU$15,0)),结果汇总!$AI$10:$AI$13,0)</f>
        <v>#VALUE!</v>
      </c>
      <c r="CG20" s="10" t="e">
        <f>MATCH(INDEX($BP$12:$BU$12,1,MATCH(BS20,$BP$15:$BU$15,0)),结果汇总!$AI$10:$AI$13,0)</f>
        <v>#VALUE!</v>
      </c>
      <c r="CH20" s="10" t="e">
        <f>MATCH(INDEX($BP$12:$BU$12,1,MATCH(BT20,$BP$15:$BU$15,0)),结果汇总!$AI$10:$AI$13,0)</f>
        <v>#VALUE!</v>
      </c>
      <c r="CI20" s="10" t="e">
        <f>MATCH(INDEX($BP$12:$BU$12,1,MATCH(BU20,$BP$15:$BU$15,0)),结果汇总!$AI$10:$AI$13,0)</f>
        <v>#VALUE!</v>
      </c>
      <c r="CK20" s="10">
        <f t="shared" si="58"/>
        <v>0</v>
      </c>
      <c r="CL20" s="10">
        <f t="shared" si="17"/>
        <v>0</v>
      </c>
      <c r="CM20" s="10">
        <f t="shared" si="17"/>
        <v>0</v>
      </c>
      <c r="CN20" s="10">
        <f t="shared" si="17"/>
        <v>0</v>
      </c>
      <c r="CO20" s="10">
        <f t="shared" si="59"/>
        <v>0</v>
      </c>
      <c r="CP20" s="10">
        <f t="shared" si="18"/>
        <v>0</v>
      </c>
      <c r="CQ20" s="10">
        <f t="shared" si="18"/>
        <v>0</v>
      </c>
      <c r="CR20" s="10">
        <f t="shared" si="18"/>
        <v>0</v>
      </c>
      <c r="CS20" s="10" t="e">
        <f t="shared" si="60"/>
        <v>#DIV/0!</v>
      </c>
      <c r="CT20" s="10" t="e">
        <f t="shared" si="19"/>
        <v>#DIV/0!</v>
      </c>
      <c r="CU20" s="10" t="e">
        <f t="shared" si="19"/>
        <v>#DIV/0!</v>
      </c>
      <c r="CV20" s="10" t="e">
        <f t="shared" si="19"/>
        <v>#DIV/0!</v>
      </c>
      <c r="CW20" s="10">
        <f t="shared" si="61"/>
        <v>0</v>
      </c>
      <c r="CX20" s="10">
        <f t="shared" si="20"/>
        <v>0</v>
      </c>
      <c r="CY20" s="10">
        <f t="shared" si="20"/>
        <v>0</v>
      </c>
      <c r="CZ20" s="10">
        <f t="shared" si="20"/>
        <v>0</v>
      </c>
    </row>
    <row r="21" spans="4:104" x14ac:dyDescent="0.15">
      <c r="D21" s="10">
        <v>6</v>
      </c>
      <c r="E21" s="10" t="e">
        <f t="shared" si="21"/>
        <v>#VALUE!</v>
      </c>
      <c r="F21" s="10" t="e">
        <f t="shared" si="1"/>
        <v>#VALUE!</v>
      </c>
      <c r="G21" s="10" t="e">
        <f t="shared" si="2"/>
        <v>#VALUE!</v>
      </c>
      <c r="H21" s="10" t="e">
        <f t="shared" si="22"/>
        <v>#VALUE!</v>
      </c>
      <c r="I21" s="10" t="e">
        <f t="shared" si="3"/>
        <v>#VALUE!</v>
      </c>
      <c r="J21" s="10" t="e">
        <f t="shared" si="23"/>
        <v>#VALUE!</v>
      </c>
      <c r="K21" s="10" t="e">
        <f t="shared" si="4"/>
        <v>#VALUE!</v>
      </c>
      <c r="L21" s="10" t="e">
        <f t="shared" si="5"/>
        <v>#VALUE!</v>
      </c>
      <c r="M21" s="10" t="e">
        <f t="shared" si="24"/>
        <v>#VALUE!</v>
      </c>
      <c r="O21" s="10" t="e">
        <f t="shared" si="25"/>
        <v>#VALUE!</v>
      </c>
      <c r="P21" s="10" t="e">
        <f t="shared" si="6"/>
        <v>#VALUE!</v>
      </c>
      <c r="Q21" s="10" t="e">
        <f t="shared" si="7"/>
        <v>#VALUE!</v>
      </c>
      <c r="R21" s="10" t="e">
        <f t="shared" si="26"/>
        <v>#VALUE!</v>
      </c>
      <c r="S21" s="10" t="e">
        <f t="shared" si="27"/>
        <v>#VALUE!</v>
      </c>
      <c r="T21" s="10" t="e">
        <f t="shared" si="62"/>
        <v>#VALUE!</v>
      </c>
      <c r="U21" s="10" t="e">
        <f t="shared" si="63"/>
        <v>#VALUE!</v>
      </c>
      <c r="V21" s="10" t="e">
        <f t="shared" si="8"/>
        <v>#VALUE!</v>
      </c>
      <c r="W21" s="10" t="e">
        <f t="shared" si="28"/>
        <v>#VALUE!</v>
      </c>
      <c r="Y21" s="10" t="e">
        <f t="shared" si="29"/>
        <v>#VALUE!</v>
      </c>
      <c r="Z21" s="11" t="e">
        <f t="shared" si="30"/>
        <v>#VALUE!</v>
      </c>
      <c r="AA21" s="10" t="e">
        <f t="shared" si="9"/>
        <v>#VALUE!</v>
      </c>
      <c r="AB21" s="10" t="e">
        <f t="shared" si="31"/>
        <v>#VALUE!</v>
      </c>
      <c r="AC21" s="10" t="e">
        <f t="shared" si="32"/>
        <v>#VALUE!</v>
      </c>
      <c r="AD21" s="10" t="e">
        <f t="shared" si="64"/>
        <v>#VALUE!</v>
      </c>
      <c r="AE21" s="10" t="e">
        <f t="shared" si="65"/>
        <v>#VALUE!</v>
      </c>
      <c r="AF21" s="10" t="e">
        <f t="shared" si="10"/>
        <v>#VALUE!</v>
      </c>
      <c r="AG21" s="10" t="e">
        <f t="shared" si="33"/>
        <v>#VALUE!</v>
      </c>
      <c r="AI21" s="13"/>
      <c r="AK21" s="10" t="e">
        <f t="shared" si="34"/>
        <v>#VALUE!</v>
      </c>
      <c r="AL21" s="10" t="e">
        <f t="shared" si="66"/>
        <v>#VALUE!</v>
      </c>
      <c r="AM21" s="10" t="e">
        <f t="shared" si="11"/>
        <v>#VALUE!</v>
      </c>
      <c r="AN21" s="10" t="e">
        <f t="shared" si="35"/>
        <v>#VALUE!</v>
      </c>
      <c r="AO21" s="10" t="e">
        <f t="shared" si="36"/>
        <v>#VALUE!</v>
      </c>
      <c r="AP21" s="10" t="e">
        <f t="shared" si="37"/>
        <v>#VALUE!</v>
      </c>
      <c r="AQ21" s="10" t="e">
        <f t="shared" si="67"/>
        <v>#VALUE!</v>
      </c>
      <c r="AR21" s="10" t="e">
        <f t="shared" si="12"/>
        <v>#VALUE!</v>
      </c>
      <c r="AS21" s="10" t="e">
        <f t="shared" si="68"/>
        <v>#VALUE!</v>
      </c>
      <c r="AU21" s="10" t="e">
        <f t="shared" si="38"/>
        <v>#VALUE!</v>
      </c>
      <c r="AV21" s="10" t="e">
        <f t="shared" si="69"/>
        <v>#VALUE!</v>
      </c>
      <c r="AW21" s="10" t="e">
        <f t="shared" si="13"/>
        <v>#VALUE!</v>
      </c>
      <c r="AX21" s="10" t="e">
        <f t="shared" si="39"/>
        <v>#VALUE!</v>
      </c>
      <c r="AY21" s="10" t="e">
        <f t="shared" si="40"/>
        <v>#VALUE!</v>
      </c>
      <c r="AZ21" s="10" t="e">
        <f t="shared" si="41"/>
        <v>#VALUE!</v>
      </c>
      <c r="BA21" s="10" t="e">
        <f t="shared" si="70"/>
        <v>#VALUE!</v>
      </c>
      <c r="BB21" s="10" t="e">
        <f t="shared" si="14"/>
        <v>#VALUE!</v>
      </c>
      <c r="BC21" s="10" t="e">
        <f t="shared" si="71"/>
        <v>#VALUE!</v>
      </c>
      <c r="BE21" s="10" t="e">
        <f t="shared" si="42"/>
        <v>#VALUE!</v>
      </c>
      <c r="BF21" s="10" t="e">
        <f t="shared" si="72"/>
        <v>#VALUE!</v>
      </c>
      <c r="BG21" s="10" t="e">
        <f t="shared" si="15"/>
        <v>#VALUE!</v>
      </c>
      <c r="BH21" s="10" t="e">
        <f t="shared" si="43"/>
        <v>#VALUE!</v>
      </c>
      <c r="BI21" s="10" t="e">
        <f t="shared" si="44"/>
        <v>#VALUE!</v>
      </c>
      <c r="BJ21" s="10" t="e">
        <f t="shared" si="45"/>
        <v>#VALUE!</v>
      </c>
      <c r="BK21" s="10" t="e">
        <f t="shared" si="73"/>
        <v>#VALUE!</v>
      </c>
      <c r="BL21" s="10" t="e">
        <f t="shared" si="16"/>
        <v>#VALUE!</v>
      </c>
      <c r="BM21" s="10" t="e">
        <f t="shared" si="74"/>
        <v>#VALUE!</v>
      </c>
      <c r="BP21" s="10" t="e">
        <f t="shared" si="46"/>
        <v>#VALUE!</v>
      </c>
      <c r="BQ21" s="10" t="e">
        <f t="shared" si="47"/>
        <v>#VALUE!</v>
      </c>
      <c r="BR21" s="10" t="e">
        <f t="shared" si="48"/>
        <v>#VALUE!</v>
      </c>
      <c r="BS21" s="10" t="e">
        <f t="shared" si="49"/>
        <v>#VALUE!</v>
      </c>
      <c r="BT21" s="10" t="e">
        <f t="shared" si="50"/>
        <v>#VALUE!</v>
      </c>
      <c r="BU21" s="10" t="e">
        <f t="shared" si="51"/>
        <v>#VALUE!</v>
      </c>
      <c r="BW21" s="10" t="e">
        <f t="shared" si="52"/>
        <v>#VALUE!</v>
      </c>
      <c r="BX21" s="10" t="e">
        <f t="shared" si="53"/>
        <v>#VALUE!</v>
      </c>
      <c r="BY21" s="10" t="e">
        <f t="shared" si="54"/>
        <v>#VALUE!</v>
      </c>
      <c r="BZ21" s="10" t="e">
        <f t="shared" si="55"/>
        <v>#VALUE!</v>
      </c>
      <c r="CA21" s="10" t="e">
        <f t="shared" si="56"/>
        <v>#VALUE!</v>
      </c>
      <c r="CB21" s="10" t="e">
        <f t="shared" si="57"/>
        <v>#VALUE!</v>
      </c>
      <c r="CD21" s="10" t="e">
        <f>MATCH(INDEX($BP$12:$BU$12,1,MATCH(BP21,$BP$15:$BU$15,0)),结果汇总!$AI$10:$AI$13,0)</f>
        <v>#VALUE!</v>
      </c>
      <c r="CE21" s="10" t="e">
        <f>MATCH(INDEX($BP$12:$BU$12,1,MATCH(BQ21,$BP$15:$BU$15,0)),结果汇总!$AI$10:$AI$13,0)</f>
        <v>#VALUE!</v>
      </c>
      <c r="CF21" s="10" t="e">
        <f>MATCH(INDEX($BP$12:$BU$12,1,MATCH(BR21,$BP$15:$BU$15,0)),结果汇总!$AI$10:$AI$13,0)</f>
        <v>#VALUE!</v>
      </c>
      <c r="CG21" s="10" t="e">
        <f>MATCH(INDEX($BP$12:$BU$12,1,MATCH(BS21,$BP$15:$BU$15,0)),结果汇总!$AI$10:$AI$13,0)</f>
        <v>#VALUE!</v>
      </c>
      <c r="CH21" s="10" t="e">
        <f>MATCH(INDEX($BP$12:$BU$12,1,MATCH(BT21,$BP$15:$BU$15,0)),结果汇总!$AI$10:$AI$13,0)</f>
        <v>#VALUE!</v>
      </c>
      <c r="CI21" s="10" t="e">
        <f>MATCH(INDEX($BP$12:$BU$12,1,MATCH(BU21,$BP$15:$BU$15,0)),结果汇总!$AI$10:$AI$13,0)</f>
        <v>#VALUE!</v>
      </c>
      <c r="CK21" s="10">
        <f t="shared" si="58"/>
        <v>0</v>
      </c>
      <c r="CL21" s="10">
        <f t="shared" si="17"/>
        <v>0</v>
      </c>
      <c r="CM21" s="10">
        <f t="shared" si="17"/>
        <v>0</v>
      </c>
      <c r="CN21" s="10">
        <f t="shared" si="17"/>
        <v>0</v>
      </c>
      <c r="CO21" s="10">
        <f t="shared" si="59"/>
        <v>0</v>
      </c>
      <c r="CP21" s="10">
        <f t="shared" si="18"/>
        <v>0</v>
      </c>
      <c r="CQ21" s="10">
        <f t="shared" si="18"/>
        <v>0</v>
      </c>
      <c r="CR21" s="10">
        <f t="shared" si="18"/>
        <v>0</v>
      </c>
      <c r="CS21" s="10" t="e">
        <f t="shared" si="60"/>
        <v>#DIV/0!</v>
      </c>
      <c r="CT21" s="10" t="e">
        <f t="shared" si="19"/>
        <v>#DIV/0!</v>
      </c>
      <c r="CU21" s="10" t="e">
        <f t="shared" si="19"/>
        <v>#DIV/0!</v>
      </c>
      <c r="CV21" s="10" t="e">
        <f t="shared" si="19"/>
        <v>#DIV/0!</v>
      </c>
      <c r="CW21" s="10">
        <f t="shared" si="61"/>
        <v>0</v>
      </c>
      <c r="CX21" s="10">
        <f t="shared" si="20"/>
        <v>0</v>
      </c>
      <c r="CY21" s="10">
        <f t="shared" si="20"/>
        <v>0</v>
      </c>
      <c r="CZ21" s="10">
        <f t="shared" si="20"/>
        <v>0</v>
      </c>
    </row>
    <row r="22" spans="4:104" x14ac:dyDescent="0.15">
      <c r="D22" s="10">
        <v>7</v>
      </c>
      <c r="E22" s="10" t="e">
        <f t="shared" si="21"/>
        <v>#VALUE!</v>
      </c>
      <c r="F22" s="10" t="e">
        <f t="shared" si="1"/>
        <v>#VALUE!</v>
      </c>
      <c r="G22" s="10" t="e">
        <f t="shared" si="2"/>
        <v>#VALUE!</v>
      </c>
      <c r="H22" s="10" t="e">
        <f t="shared" si="22"/>
        <v>#VALUE!</v>
      </c>
      <c r="I22" s="10" t="e">
        <f t="shared" si="3"/>
        <v>#VALUE!</v>
      </c>
      <c r="J22" s="10" t="e">
        <f t="shared" si="23"/>
        <v>#VALUE!</v>
      </c>
      <c r="K22" s="10" t="e">
        <f t="shared" si="4"/>
        <v>#VALUE!</v>
      </c>
      <c r="L22" s="10" t="e">
        <f t="shared" si="5"/>
        <v>#VALUE!</v>
      </c>
      <c r="M22" s="10" t="e">
        <f t="shared" si="24"/>
        <v>#VALUE!</v>
      </c>
      <c r="O22" s="10" t="e">
        <f t="shared" si="25"/>
        <v>#VALUE!</v>
      </c>
      <c r="P22" s="10" t="e">
        <f t="shared" si="6"/>
        <v>#VALUE!</v>
      </c>
      <c r="Q22" s="10" t="e">
        <f t="shared" si="7"/>
        <v>#VALUE!</v>
      </c>
      <c r="R22" s="10" t="e">
        <f t="shared" si="26"/>
        <v>#VALUE!</v>
      </c>
      <c r="S22" s="10" t="e">
        <f t="shared" si="27"/>
        <v>#VALUE!</v>
      </c>
      <c r="T22" s="10" t="e">
        <f t="shared" si="62"/>
        <v>#VALUE!</v>
      </c>
      <c r="U22" s="10" t="e">
        <f t="shared" si="63"/>
        <v>#VALUE!</v>
      </c>
      <c r="V22" s="10" t="e">
        <f t="shared" si="8"/>
        <v>#VALUE!</v>
      </c>
      <c r="W22" s="10" t="e">
        <f t="shared" si="28"/>
        <v>#VALUE!</v>
      </c>
      <c r="Y22" s="10" t="e">
        <f t="shared" si="29"/>
        <v>#VALUE!</v>
      </c>
      <c r="Z22" s="11" t="e">
        <f t="shared" si="30"/>
        <v>#VALUE!</v>
      </c>
      <c r="AA22" s="10" t="e">
        <f t="shared" si="9"/>
        <v>#VALUE!</v>
      </c>
      <c r="AB22" s="10" t="e">
        <f t="shared" si="31"/>
        <v>#VALUE!</v>
      </c>
      <c r="AC22" s="10" t="e">
        <f t="shared" si="32"/>
        <v>#VALUE!</v>
      </c>
      <c r="AD22" s="10" t="e">
        <f t="shared" si="64"/>
        <v>#VALUE!</v>
      </c>
      <c r="AE22" s="10" t="e">
        <f t="shared" si="65"/>
        <v>#VALUE!</v>
      </c>
      <c r="AF22" s="10" t="e">
        <f t="shared" si="10"/>
        <v>#VALUE!</v>
      </c>
      <c r="AG22" s="10" t="e">
        <f t="shared" si="33"/>
        <v>#VALUE!</v>
      </c>
      <c r="AI22" s="13"/>
      <c r="AK22" s="10" t="e">
        <f t="shared" si="34"/>
        <v>#VALUE!</v>
      </c>
      <c r="AL22" s="10" t="e">
        <f t="shared" si="66"/>
        <v>#VALUE!</v>
      </c>
      <c r="AM22" s="10" t="e">
        <f t="shared" si="11"/>
        <v>#VALUE!</v>
      </c>
      <c r="AN22" s="10" t="e">
        <f t="shared" si="35"/>
        <v>#VALUE!</v>
      </c>
      <c r="AO22" s="10" t="e">
        <f t="shared" si="36"/>
        <v>#VALUE!</v>
      </c>
      <c r="AP22" s="10" t="e">
        <f t="shared" si="37"/>
        <v>#VALUE!</v>
      </c>
      <c r="AQ22" s="10" t="e">
        <f t="shared" si="67"/>
        <v>#VALUE!</v>
      </c>
      <c r="AR22" s="10" t="e">
        <f t="shared" si="12"/>
        <v>#VALUE!</v>
      </c>
      <c r="AS22" s="10" t="e">
        <f t="shared" si="68"/>
        <v>#VALUE!</v>
      </c>
      <c r="AU22" s="10" t="e">
        <f t="shared" si="38"/>
        <v>#VALUE!</v>
      </c>
      <c r="AV22" s="10" t="e">
        <f t="shared" si="69"/>
        <v>#VALUE!</v>
      </c>
      <c r="AW22" s="10" t="e">
        <f t="shared" si="13"/>
        <v>#VALUE!</v>
      </c>
      <c r="AX22" s="10" t="e">
        <f t="shared" si="39"/>
        <v>#VALUE!</v>
      </c>
      <c r="AY22" s="10" t="e">
        <f t="shared" si="40"/>
        <v>#VALUE!</v>
      </c>
      <c r="AZ22" s="10" t="e">
        <f t="shared" si="41"/>
        <v>#VALUE!</v>
      </c>
      <c r="BA22" s="10" t="e">
        <f t="shared" si="70"/>
        <v>#VALUE!</v>
      </c>
      <c r="BB22" s="10" t="e">
        <f t="shared" si="14"/>
        <v>#VALUE!</v>
      </c>
      <c r="BC22" s="10" t="e">
        <f t="shared" si="71"/>
        <v>#VALUE!</v>
      </c>
      <c r="BE22" s="10" t="e">
        <f t="shared" si="42"/>
        <v>#VALUE!</v>
      </c>
      <c r="BF22" s="10" t="e">
        <f t="shared" si="72"/>
        <v>#VALUE!</v>
      </c>
      <c r="BG22" s="10" t="e">
        <f t="shared" si="15"/>
        <v>#VALUE!</v>
      </c>
      <c r="BH22" s="10" t="e">
        <f t="shared" si="43"/>
        <v>#VALUE!</v>
      </c>
      <c r="BI22" s="10" t="e">
        <f t="shared" si="44"/>
        <v>#VALUE!</v>
      </c>
      <c r="BJ22" s="10" t="e">
        <f t="shared" si="45"/>
        <v>#VALUE!</v>
      </c>
      <c r="BK22" s="10" t="e">
        <f t="shared" si="73"/>
        <v>#VALUE!</v>
      </c>
      <c r="BL22" s="10" t="e">
        <f t="shared" si="16"/>
        <v>#VALUE!</v>
      </c>
      <c r="BM22" s="10" t="e">
        <f t="shared" si="74"/>
        <v>#VALUE!</v>
      </c>
      <c r="BP22" s="10" t="e">
        <f t="shared" si="46"/>
        <v>#VALUE!</v>
      </c>
      <c r="BQ22" s="10" t="e">
        <f t="shared" si="47"/>
        <v>#VALUE!</v>
      </c>
      <c r="BR22" s="10" t="e">
        <f t="shared" si="48"/>
        <v>#VALUE!</v>
      </c>
      <c r="BS22" s="10" t="e">
        <f t="shared" si="49"/>
        <v>#VALUE!</v>
      </c>
      <c r="BT22" s="10" t="e">
        <f t="shared" si="50"/>
        <v>#VALUE!</v>
      </c>
      <c r="BU22" s="10" t="e">
        <f t="shared" si="51"/>
        <v>#VALUE!</v>
      </c>
      <c r="BW22" s="10" t="e">
        <f t="shared" si="52"/>
        <v>#VALUE!</v>
      </c>
      <c r="BX22" s="10" t="e">
        <f t="shared" si="53"/>
        <v>#VALUE!</v>
      </c>
      <c r="BY22" s="10" t="e">
        <f t="shared" si="54"/>
        <v>#VALUE!</v>
      </c>
      <c r="BZ22" s="10" t="e">
        <f t="shared" si="55"/>
        <v>#VALUE!</v>
      </c>
      <c r="CA22" s="10" t="e">
        <f t="shared" si="56"/>
        <v>#VALUE!</v>
      </c>
      <c r="CB22" s="10" t="e">
        <f t="shared" si="57"/>
        <v>#VALUE!</v>
      </c>
      <c r="CD22" s="10" t="e">
        <f>MATCH(INDEX($BP$12:$BU$12,1,MATCH(BP22,$BP$15:$BU$15,0)),结果汇总!$AI$10:$AI$13,0)</f>
        <v>#VALUE!</v>
      </c>
      <c r="CE22" s="10" t="e">
        <f>MATCH(INDEX($BP$12:$BU$12,1,MATCH(BQ22,$BP$15:$BU$15,0)),结果汇总!$AI$10:$AI$13,0)</f>
        <v>#VALUE!</v>
      </c>
      <c r="CF22" s="10" t="e">
        <f>MATCH(INDEX($BP$12:$BU$12,1,MATCH(BR22,$BP$15:$BU$15,0)),结果汇总!$AI$10:$AI$13,0)</f>
        <v>#VALUE!</v>
      </c>
      <c r="CG22" s="10" t="e">
        <f>MATCH(INDEX($BP$12:$BU$12,1,MATCH(BS22,$BP$15:$BU$15,0)),结果汇总!$AI$10:$AI$13,0)</f>
        <v>#VALUE!</v>
      </c>
      <c r="CH22" s="10" t="e">
        <f>MATCH(INDEX($BP$12:$BU$12,1,MATCH(BT22,$BP$15:$BU$15,0)),结果汇总!$AI$10:$AI$13,0)</f>
        <v>#VALUE!</v>
      </c>
      <c r="CI22" s="10" t="e">
        <f>MATCH(INDEX($BP$12:$BU$12,1,MATCH(BU22,$BP$15:$BU$15,0)),结果汇总!$AI$10:$AI$13,0)</f>
        <v>#VALUE!</v>
      </c>
      <c r="CK22" s="10">
        <f t="shared" si="58"/>
        <v>0</v>
      </c>
      <c r="CL22" s="10">
        <f t="shared" si="17"/>
        <v>0</v>
      </c>
      <c r="CM22" s="10">
        <f t="shared" si="17"/>
        <v>0</v>
      </c>
      <c r="CN22" s="10">
        <f t="shared" si="17"/>
        <v>0</v>
      </c>
      <c r="CO22" s="10">
        <f t="shared" si="59"/>
        <v>0</v>
      </c>
      <c r="CP22" s="10">
        <f t="shared" si="18"/>
        <v>0</v>
      </c>
      <c r="CQ22" s="10">
        <f t="shared" si="18"/>
        <v>0</v>
      </c>
      <c r="CR22" s="10">
        <f t="shared" si="18"/>
        <v>0</v>
      </c>
      <c r="CS22" s="10" t="e">
        <f t="shared" si="60"/>
        <v>#DIV/0!</v>
      </c>
      <c r="CT22" s="10" t="e">
        <f t="shared" si="19"/>
        <v>#DIV/0!</v>
      </c>
      <c r="CU22" s="10" t="e">
        <f t="shared" si="19"/>
        <v>#DIV/0!</v>
      </c>
      <c r="CV22" s="10" t="e">
        <f t="shared" si="19"/>
        <v>#DIV/0!</v>
      </c>
      <c r="CW22" s="10">
        <f t="shared" si="61"/>
        <v>0</v>
      </c>
      <c r="CX22" s="10">
        <f t="shared" si="20"/>
        <v>0</v>
      </c>
      <c r="CY22" s="10">
        <f t="shared" si="20"/>
        <v>0</v>
      </c>
      <c r="CZ22" s="10">
        <f t="shared" si="20"/>
        <v>0</v>
      </c>
    </row>
    <row r="23" spans="4:104" x14ac:dyDescent="0.15">
      <c r="D23" s="10">
        <v>8</v>
      </c>
      <c r="E23" s="10" t="e">
        <f t="shared" si="21"/>
        <v>#VALUE!</v>
      </c>
      <c r="F23" s="10" t="e">
        <f t="shared" si="1"/>
        <v>#VALUE!</v>
      </c>
      <c r="G23" s="10" t="e">
        <f t="shared" si="2"/>
        <v>#VALUE!</v>
      </c>
      <c r="H23" s="10" t="e">
        <f t="shared" si="22"/>
        <v>#VALUE!</v>
      </c>
      <c r="I23" s="10" t="e">
        <f t="shared" si="3"/>
        <v>#VALUE!</v>
      </c>
      <c r="J23" s="10" t="e">
        <f t="shared" si="23"/>
        <v>#VALUE!</v>
      </c>
      <c r="K23" s="10" t="e">
        <f t="shared" si="4"/>
        <v>#VALUE!</v>
      </c>
      <c r="L23" s="10" t="e">
        <f t="shared" si="5"/>
        <v>#VALUE!</v>
      </c>
      <c r="M23" s="10" t="e">
        <f t="shared" si="24"/>
        <v>#VALUE!</v>
      </c>
      <c r="O23" s="10" t="e">
        <f t="shared" si="25"/>
        <v>#VALUE!</v>
      </c>
      <c r="P23" s="10" t="e">
        <f t="shared" si="6"/>
        <v>#VALUE!</v>
      </c>
      <c r="Q23" s="10" t="e">
        <f t="shared" si="7"/>
        <v>#VALUE!</v>
      </c>
      <c r="R23" s="10" t="e">
        <f t="shared" si="26"/>
        <v>#VALUE!</v>
      </c>
      <c r="S23" s="10" t="e">
        <f t="shared" si="27"/>
        <v>#VALUE!</v>
      </c>
      <c r="T23" s="10" t="e">
        <f t="shared" si="62"/>
        <v>#VALUE!</v>
      </c>
      <c r="U23" s="10" t="e">
        <f t="shared" si="63"/>
        <v>#VALUE!</v>
      </c>
      <c r="V23" s="10" t="e">
        <f t="shared" si="8"/>
        <v>#VALUE!</v>
      </c>
      <c r="W23" s="10" t="e">
        <f t="shared" si="28"/>
        <v>#VALUE!</v>
      </c>
      <c r="Y23" s="10" t="e">
        <f t="shared" si="29"/>
        <v>#VALUE!</v>
      </c>
      <c r="Z23" s="11" t="e">
        <f t="shared" si="30"/>
        <v>#VALUE!</v>
      </c>
      <c r="AA23" s="10" t="e">
        <f t="shared" si="9"/>
        <v>#VALUE!</v>
      </c>
      <c r="AB23" s="10" t="e">
        <f t="shared" si="31"/>
        <v>#VALUE!</v>
      </c>
      <c r="AC23" s="10" t="e">
        <f t="shared" si="32"/>
        <v>#VALUE!</v>
      </c>
      <c r="AD23" s="10" t="e">
        <f t="shared" si="64"/>
        <v>#VALUE!</v>
      </c>
      <c r="AE23" s="10" t="e">
        <f t="shared" si="65"/>
        <v>#VALUE!</v>
      </c>
      <c r="AF23" s="10" t="e">
        <f t="shared" si="10"/>
        <v>#VALUE!</v>
      </c>
      <c r="AG23" s="10" t="e">
        <f t="shared" si="33"/>
        <v>#VALUE!</v>
      </c>
      <c r="AI23" s="13"/>
      <c r="AK23" s="10" t="e">
        <f t="shared" si="34"/>
        <v>#VALUE!</v>
      </c>
      <c r="AL23" s="10" t="e">
        <f t="shared" si="66"/>
        <v>#VALUE!</v>
      </c>
      <c r="AM23" s="10" t="e">
        <f t="shared" si="11"/>
        <v>#VALUE!</v>
      </c>
      <c r="AN23" s="10" t="e">
        <f t="shared" si="35"/>
        <v>#VALUE!</v>
      </c>
      <c r="AO23" s="10" t="e">
        <f t="shared" si="36"/>
        <v>#VALUE!</v>
      </c>
      <c r="AP23" s="10" t="e">
        <f t="shared" si="37"/>
        <v>#VALUE!</v>
      </c>
      <c r="AQ23" s="10" t="e">
        <f t="shared" si="67"/>
        <v>#VALUE!</v>
      </c>
      <c r="AR23" s="10" t="e">
        <f t="shared" si="12"/>
        <v>#VALUE!</v>
      </c>
      <c r="AS23" s="10" t="e">
        <f t="shared" si="68"/>
        <v>#VALUE!</v>
      </c>
      <c r="AU23" s="10" t="e">
        <f t="shared" si="38"/>
        <v>#VALUE!</v>
      </c>
      <c r="AV23" s="10" t="e">
        <f t="shared" si="69"/>
        <v>#VALUE!</v>
      </c>
      <c r="AW23" s="10" t="e">
        <f t="shared" si="13"/>
        <v>#VALUE!</v>
      </c>
      <c r="AX23" s="10" t="e">
        <f t="shared" si="39"/>
        <v>#VALUE!</v>
      </c>
      <c r="AY23" s="10" t="e">
        <f t="shared" si="40"/>
        <v>#VALUE!</v>
      </c>
      <c r="AZ23" s="10" t="e">
        <f t="shared" si="41"/>
        <v>#VALUE!</v>
      </c>
      <c r="BA23" s="10" t="e">
        <f t="shared" si="70"/>
        <v>#VALUE!</v>
      </c>
      <c r="BB23" s="10" t="e">
        <f t="shared" si="14"/>
        <v>#VALUE!</v>
      </c>
      <c r="BC23" s="10" t="e">
        <f t="shared" si="71"/>
        <v>#VALUE!</v>
      </c>
      <c r="BE23" s="10" t="e">
        <f t="shared" si="42"/>
        <v>#VALUE!</v>
      </c>
      <c r="BF23" s="10" t="e">
        <f t="shared" si="72"/>
        <v>#VALUE!</v>
      </c>
      <c r="BG23" s="10" t="e">
        <f t="shared" si="15"/>
        <v>#VALUE!</v>
      </c>
      <c r="BH23" s="10" t="e">
        <f t="shared" si="43"/>
        <v>#VALUE!</v>
      </c>
      <c r="BI23" s="10" t="e">
        <f t="shared" si="44"/>
        <v>#VALUE!</v>
      </c>
      <c r="BJ23" s="10" t="e">
        <f t="shared" si="45"/>
        <v>#VALUE!</v>
      </c>
      <c r="BK23" s="10" t="e">
        <f t="shared" si="73"/>
        <v>#VALUE!</v>
      </c>
      <c r="BL23" s="10" t="e">
        <f t="shared" si="16"/>
        <v>#VALUE!</v>
      </c>
      <c r="BM23" s="10" t="e">
        <f t="shared" si="74"/>
        <v>#VALUE!</v>
      </c>
      <c r="BP23" s="10" t="e">
        <f t="shared" si="46"/>
        <v>#VALUE!</v>
      </c>
      <c r="BQ23" s="10" t="e">
        <f t="shared" si="47"/>
        <v>#VALUE!</v>
      </c>
      <c r="BR23" s="10" t="e">
        <f t="shared" si="48"/>
        <v>#VALUE!</v>
      </c>
      <c r="BS23" s="10" t="e">
        <f t="shared" si="49"/>
        <v>#VALUE!</v>
      </c>
      <c r="BT23" s="10" t="e">
        <f t="shared" si="50"/>
        <v>#VALUE!</v>
      </c>
      <c r="BU23" s="10" t="e">
        <f t="shared" si="51"/>
        <v>#VALUE!</v>
      </c>
      <c r="BW23" s="10" t="e">
        <f t="shared" si="52"/>
        <v>#VALUE!</v>
      </c>
      <c r="BX23" s="10" t="e">
        <f t="shared" si="53"/>
        <v>#VALUE!</v>
      </c>
      <c r="BY23" s="10" t="e">
        <f t="shared" si="54"/>
        <v>#VALUE!</v>
      </c>
      <c r="BZ23" s="10" t="e">
        <f t="shared" si="55"/>
        <v>#VALUE!</v>
      </c>
      <c r="CA23" s="10" t="e">
        <f t="shared" si="56"/>
        <v>#VALUE!</v>
      </c>
      <c r="CB23" s="10" t="e">
        <f t="shared" si="57"/>
        <v>#VALUE!</v>
      </c>
      <c r="CD23" s="10" t="e">
        <f>MATCH(INDEX($BP$12:$BU$12,1,MATCH(BP23,$BP$15:$BU$15,0)),结果汇总!$AI$10:$AI$13,0)</f>
        <v>#VALUE!</v>
      </c>
      <c r="CE23" s="10" t="e">
        <f>MATCH(INDEX($BP$12:$BU$12,1,MATCH(BQ23,$BP$15:$BU$15,0)),结果汇总!$AI$10:$AI$13,0)</f>
        <v>#VALUE!</v>
      </c>
      <c r="CF23" s="10" t="e">
        <f>MATCH(INDEX($BP$12:$BU$12,1,MATCH(BR23,$BP$15:$BU$15,0)),结果汇总!$AI$10:$AI$13,0)</f>
        <v>#VALUE!</v>
      </c>
      <c r="CG23" s="10" t="e">
        <f>MATCH(INDEX($BP$12:$BU$12,1,MATCH(BS23,$BP$15:$BU$15,0)),结果汇总!$AI$10:$AI$13,0)</f>
        <v>#VALUE!</v>
      </c>
      <c r="CH23" s="10" t="e">
        <f>MATCH(INDEX($BP$12:$BU$12,1,MATCH(BT23,$BP$15:$BU$15,0)),结果汇总!$AI$10:$AI$13,0)</f>
        <v>#VALUE!</v>
      </c>
      <c r="CI23" s="10" t="e">
        <f>MATCH(INDEX($BP$12:$BU$12,1,MATCH(BU23,$BP$15:$BU$15,0)),结果汇总!$AI$10:$AI$13,0)</f>
        <v>#VALUE!</v>
      </c>
      <c r="CK23" s="10">
        <f t="shared" si="58"/>
        <v>0</v>
      </c>
      <c r="CL23" s="10">
        <f t="shared" si="17"/>
        <v>0</v>
      </c>
      <c r="CM23" s="10">
        <f t="shared" si="17"/>
        <v>0</v>
      </c>
      <c r="CN23" s="10">
        <f t="shared" si="17"/>
        <v>0</v>
      </c>
      <c r="CO23" s="10">
        <f t="shared" si="59"/>
        <v>0</v>
      </c>
      <c r="CP23" s="10">
        <f t="shared" si="18"/>
        <v>0</v>
      </c>
      <c r="CQ23" s="10">
        <f t="shared" si="18"/>
        <v>0</v>
      </c>
      <c r="CR23" s="10">
        <f t="shared" si="18"/>
        <v>0</v>
      </c>
      <c r="CS23" s="10" t="e">
        <f t="shared" si="60"/>
        <v>#DIV/0!</v>
      </c>
      <c r="CT23" s="10" t="e">
        <f t="shared" si="19"/>
        <v>#DIV/0!</v>
      </c>
      <c r="CU23" s="10" t="e">
        <f t="shared" si="19"/>
        <v>#DIV/0!</v>
      </c>
      <c r="CV23" s="10" t="e">
        <f t="shared" si="19"/>
        <v>#DIV/0!</v>
      </c>
      <c r="CW23" s="10">
        <f t="shared" si="61"/>
        <v>0</v>
      </c>
      <c r="CX23" s="10">
        <f t="shared" si="20"/>
        <v>0</v>
      </c>
      <c r="CY23" s="10">
        <f t="shared" si="20"/>
        <v>0</v>
      </c>
      <c r="CZ23" s="10">
        <f t="shared" si="20"/>
        <v>0</v>
      </c>
    </row>
    <row r="24" spans="4:104" x14ac:dyDescent="0.15">
      <c r="D24" s="10">
        <v>9</v>
      </c>
      <c r="E24" s="10" t="e">
        <f t="shared" si="21"/>
        <v>#VALUE!</v>
      </c>
      <c r="F24" s="10" t="e">
        <f t="shared" si="1"/>
        <v>#VALUE!</v>
      </c>
      <c r="G24" s="10" t="e">
        <f t="shared" si="2"/>
        <v>#VALUE!</v>
      </c>
      <c r="H24" s="10" t="e">
        <f t="shared" si="22"/>
        <v>#VALUE!</v>
      </c>
      <c r="I24" s="10" t="e">
        <f t="shared" si="3"/>
        <v>#VALUE!</v>
      </c>
      <c r="J24" s="10" t="e">
        <f t="shared" si="23"/>
        <v>#VALUE!</v>
      </c>
      <c r="K24" s="10" t="e">
        <f t="shared" si="4"/>
        <v>#VALUE!</v>
      </c>
      <c r="L24" s="10" t="e">
        <f t="shared" si="5"/>
        <v>#VALUE!</v>
      </c>
      <c r="M24" s="10" t="e">
        <f t="shared" si="24"/>
        <v>#VALUE!</v>
      </c>
      <c r="O24" s="10" t="e">
        <f t="shared" si="25"/>
        <v>#VALUE!</v>
      </c>
      <c r="P24" s="10" t="e">
        <f t="shared" si="6"/>
        <v>#VALUE!</v>
      </c>
      <c r="Q24" s="10" t="e">
        <f t="shared" si="7"/>
        <v>#VALUE!</v>
      </c>
      <c r="R24" s="10" t="e">
        <f t="shared" si="26"/>
        <v>#VALUE!</v>
      </c>
      <c r="S24" s="10" t="e">
        <f t="shared" si="27"/>
        <v>#VALUE!</v>
      </c>
      <c r="T24" s="10" t="e">
        <f t="shared" si="62"/>
        <v>#VALUE!</v>
      </c>
      <c r="U24" s="10" t="e">
        <f t="shared" si="63"/>
        <v>#VALUE!</v>
      </c>
      <c r="V24" s="10" t="e">
        <f t="shared" si="8"/>
        <v>#VALUE!</v>
      </c>
      <c r="W24" s="10" t="e">
        <f t="shared" si="28"/>
        <v>#VALUE!</v>
      </c>
      <c r="Y24" s="10" t="e">
        <f t="shared" si="29"/>
        <v>#VALUE!</v>
      </c>
      <c r="Z24" s="11" t="e">
        <f t="shared" si="30"/>
        <v>#VALUE!</v>
      </c>
      <c r="AA24" s="10" t="e">
        <f t="shared" si="9"/>
        <v>#VALUE!</v>
      </c>
      <c r="AB24" s="10" t="e">
        <f t="shared" si="31"/>
        <v>#VALUE!</v>
      </c>
      <c r="AC24" s="10" t="e">
        <f t="shared" si="32"/>
        <v>#VALUE!</v>
      </c>
      <c r="AD24" s="10" t="e">
        <f t="shared" si="64"/>
        <v>#VALUE!</v>
      </c>
      <c r="AE24" s="10" t="e">
        <f t="shared" si="65"/>
        <v>#VALUE!</v>
      </c>
      <c r="AF24" s="10" t="e">
        <f t="shared" si="10"/>
        <v>#VALUE!</v>
      </c>
      <c r="AG24" s="10" t="e">
        <f t="shared" si="33"/>
        <v>#VALUE!</v>
      </c>
      <c r="AI24" s="13"/>
      <c r="AK24" s="10" t="e">
        <f t="shared" si="34"/>
        <v>#VALUE!</v>
      </c>
      <c r="AL24" s="10" t="e">
        <f t="shared" si="66"/>
        <v>#VALUE!</v>
      </c>
      <c r="AM24" s="10" t="e">
        <f t="shared" si="11"/>
        <v>#VALUE!</v>
      </c>
      <c r="AN24" s="10" t="e">
        <f t="shared" si="35"/>
        <v>#VALUE!</v>
      </c>
      <c r="AO24" s="10" t="e">
        <f t="shared" si="36"/>
        <v>#VALUE!</v>
      </c>
      <c r="AP24" s="10" t="e">
        <f t="shared" si="37"/>
        <v>#VALUE!</v>
      </c>
      <c r="AQ24" s="10" t="e">
        <f t="shared" si="67"/>
        <v>#VALUE!</v>
      </c>
      <c r="AR24" s="10" t="e">
        <f t="shared" si="12"/>
        <v>#VALUE!</v>
      </c>
      <c r="AS24" s="10" t="e">
        <f t="shared" si="68"/>
        <v>#VALUE!</v>
      </c>
      <c r="AU24" s="10" t="e">
        <f t="shared" si="38"/>
        <v>#VALUE!</v>
      </c>
      <c r="AV24" s="10" t="e">
        <f t="shared" si="69"/>
        <v>#VALUE!</v>
      </c>
      <c r="AW24" s="10" t="e">
        <f t="shared" si="13"/>
        <v>#VALUE!</v>
      </c>
      <c r="AX24" s="10" t="e">
        <f t="shared" si="39"/>
        <v>#VALUE!</v>
      </c>
      <c r="AY24" s="10" t="e">
        <f t="shared" si="40"/>
        <v>#VALUE!</v>
      </c>
      <c r="AZ24" s="10" t="e">
        <f t="shared" si="41"/>
        <v>#VALUE!</v>
      </c>
      <c r="BA24" s="10" t="e">
        <f t="shared" si="70"/>
        <v>#VALUE!</v>
      </c>
      <c r="BB24" s="10" t="e">
        <f t="shared" si="14"/>
        <v>#VALUE!</v>
      </c>
      <c r="BC24" s="10" t="e">
        <f t="shared" si="71"/>
        <v>#VALUE!</v>
      </c>
      <c r="BE24" s="10" t="e">
        <f t="shared" si="42"/>
        <v>#VALUE!</v>
      </c>
      <c r="BF24" s="10" t="e">
        <f t="shared" si="72"/>
        <v>#VALUE!</v>
      </c>
      <c r="BG24" s="10" t="e">
        <f t="shared" si="15"/>
        <v>#VALUE!</v>
      </c>
      <c r="BH24" s="10" t="e">
        <f t="shared" si="43"/>
        <v>#VALUE!</v>
      </c>
      <c r="BI24" s="10" t="e">
        <f t="shared" si="44"/>
        <v>#VALUE!</v>
      </c>
      <c r="BJ24" s="10" t="e">
        <f t="shared" si="45"/>
        <v>#VALUE!</v>
      </c>
      <c r="BK24" s="10" t="e">
        <f t="shared" si="73"/>
        <v>#VALUE!</v>
      </c>
      <c r="BL24" s="10" t="e">
        <f t="shared" si="16"/>
        <v>#VALUE!</v>
      </c>
      <c r="BM24" s="10" t="e">
        <f t="shared" si="74"/>
        <v>#VALUE!</v>
      </c>
      <c r="BP24" s="10" t="e">
        <f t="shared" si="46"/>
        <v>#VALUE!</v>
      </c>
      <c r="BQ24" s="10" t="e">
        <f t="shared" si="47"/>
        <v>#VALUE!</v>
      </c>
      <c r="BR24" s="10" t="e">
        <f t="shared" si="48"/>
        <v>#VALUE!</v>
      </c>
      <c r="BS24" s="10" t="e">
        <f t="shared" si="49"/>
        <v>#VALUE!</v>
      </c>
      <c r="BT24" s="10" t="e">
        <f t="shared" si="50"/>
        <v>#VALUE!</v>
      </c>
      <c r="BU24" s="10" t="e">
        <f t="shared" si="51"/>
        <v>#VALUE!</v>
      </c>
      <c r="BW24" s="10" t="e">
        <f t="shared" si="52"/>
        <v>#VALUE!</v>
      </c>
      <c r="BX24" s="10" t="e">
        <f t="shared" si="53"/>
        <v>#VALUE!</v>
      </c>
      <c r="BY24" s="10" t="e">
        <f t="shared" si="54"/>
        <v>#VALUE!</v>
      </c>
      <c r="BZ24" s="10" t="e">
        <f t="shared" si="55"/>
        <v>#VALUE!</v>
      </c>
      <c r="CA24" s="10" t="e">
        <f t="shared" si="56"/>
        <v>#VALUE!</v>
      </c>
      <c r="CB24" s="10" t="e">
        <f t="shared" si="57"/>
        <v>#VALUE!</v>
      </c>
      <c r="CD24" s="10" t="e">
        <f>MATCH(INDEX($BP$12:$BU$12,1,MATCH(BP24,$BP$15:$BU$15,0)),结果汇总!$AI$10:$AI$13,0)</f>
        <v>#VALUE!</v>
      </c>
      <c r="CE24" s="10" t="e">
        <f>MATCH(INDEX($BP$12:$BU$12,1,MATCH(BQ24,$BP$15:$BU$15,0)),结果汇总!$AI$10:$AI$13,0)</f>
        <v>#VALUE!</v>
      </c>
      <c r="CF24" s="10" t="e">
        <f>MATCH(INDEX($BP$12:$BU$12,1,MATCH(BR24,$BP$15:$BU$15,0)),结果汇总!$AI$10:$AI$13,0)</f>
        <v>#VALUE!</v>
      </c>
      <c r="CG24" s="10" t="e">
        <f>MATCH(INDEX($BP$12:$BU$12,1,MATCH(BS24,$BP$15:$BU$15,0)),结果汇总!$AI$10:$AI$13,0)</f>
        <v>#VALUE!</v>
      </c>
      <c r="CH24" s="10" t="e">
        <f>MATCH(INDEX($BP$12:$BU$12,1,MATCH(BT24,$BP$15:$BU$15,0)),结果汇总!$AI$10:$AI$13,0)</f>
        <v>#VALUE!</v>
      </c>
      <c r="CI24" s="10" t="e">
        <f>MATCH(INDEX($BP$12:$BU$12,1,MATCH(BU24,$BP$15:$BU$15,0)),结果汇总!$AI$10:$AI$13,0)</f>
        <v>#VALUE!</v>
      </c>
      <c r="CK24" s="10">
        <f t="shared" si="58"/>
        <v>0</v>
      </c>
      <c r="CL24" s="10">
        <f t="shared" si="17"/>
        <v>0</v>
      </c>
      <c r="CM24" s="10">
        <f t="shared" si="17"/>
        <v>0</v>
      </c>
      <c r="CN24" s="10">
        <f t="shared" si="17"/>
        <v>0</v>
      </c>
      <c r="CO24" s="10">
        <f t="shared" si="59"/>
        <v>0</v>
      </c>
      <c r="CP24" s="10">
        <f t="shared" si="18"/>
        <v>0</v>
      </c>
      <c r="CQ24" s="10">
        <f t="shared" si="18"/>
        <v>0</v>
      </c>
      <c r="CR24" s="10">
        <f t="shared" si="18"/>
        <v>0</v>
      </c>
      <c r="CS24" s="10" t="e">
        <f t="shared" si="60"/>
        <v>#DIV/0!</v>
      </c>
      <c r="CT24" s="10" t="e">
        <f t="shared" si="19"/>
        <v>#DIV/0!</v>
      </c>
      <c r="CU24" s="10" t="e">
        <f t="shared" si="19"/>
        <v>#DIV/0!</v>
      </c>
      <c r="CV24" s="10" t="e">
        <f t="shared" si="19"/>
        <v>#DIV/0!</v>
      </c>
      <c r="CW24" s="10">
        <f t="shared" si="61"/>
        <v>0</v>
      </c>
      <c r="CX24" s="10">
        <f t="shared" si="20"/>
        <v>0</v>
      </c>
      <c r="CY24" s="10">
        <f t="shared" si="20"/>
        <v>0</v>
      </c>
      <c r="CZ24" s="10">
        <f t="shared" si="20"/>
        <v>0</v>
      </c>
    </row>
    <row r="25" spans="4:104" x14ac:dyDescent="0.15">
      <c r="D25" s="10">
        <v>10</v>
      </c>
      <c r="E25" s="10" t="e">
        <f t="shared" si="21"/>
        <v>#VALUE!</v>
      </c>
      <c r="F25" s="10" t="e">
        <f t="shared" si="1"/>
        <v>#VALUE!</v>
      </c>
      <c r="G25" s="10" t="e">
        <f t="shared" si="2"/>
        <v>#VALUE!</v>
      </c>
      <c r="H25" s="10" t="e">
        <f t="shared" si="22"/>
        <v>#VALUE!</v>
      </c>
      <c r="I25" s="10" t="e">
        <f t="shared" si="3"/>
        <v>#VALUE!</v>
      </c>
      <c r="J25" s="10" t="e">
        <f t="shared" si="23"/>
        <v>#VALUE!</v>
      </c>
      <c r="K25" s="10" t="e">
        <f t="shared" si="4"/>
        <v>#VALUE!</v>
      </c>
      <c r="L25" s="10" t="e">
        <f t="shared" si="5"/>
        <v>#VALUE!</v>
      </c>
      <c r="M25" s="10" t="e">
        <f t="shared" si="24"/>
        <v>#VALUE!</v>
      </c>
      <c r="O25" s="10" t="e">
        <f t="shared" si="25"/>
        <v>#VALUE!</v>
      </c>
      <c r="P25" s="10" t="e">
        <f t="shared" si="6"/>
        <v>#VALUE!</v>
      </c>
      <c r="Q25" s="10" t="e">
        <f t="shared" si="7"/>
        <v>#VALUE!</v>
      </c>
      <c r="R25" s="10" t="e">
        <f t="shared" si="26"/>
        <v>#VALUE!</v>
      </c>
      <c r="S25" s="10" t="e">
        <f t="shared" si="27"/>
        <v>#VALUE!</v>
      </c>
      <c r="T25" s="10" t="e">
        <f t="shared" si="62"/>
        <v>#VALUE!</v>
      </c>
      <c r="U25" s="10" t="e">
        <f t="shared" si="63"/>
        <v>#VALUE!</v>
      </c>
      <c r="V25" s="10" t="e">
        <f t="shared" si="8"/>
        <v>#VALUE!</v>
      </c>
      <c r="W25" s="10" t="e">
        <f t="shared" si="28"/>
        <v>#VALUE!</v>
      </c>
      <c r="Y25" s="10" t="e">
        <f t="shared" si="29"/>
        <v>#VALUE!</v>
      </c>
      <c r="Z25" s="11" t="e">
        <f t="shared" si="30"/>
        <v>#VALUE!</v>
      </c>
      <c r="AA25" s="10" t="e">
        <f t="shared" si="9"/>
        <v>#VALUE!</v>
      </c>
      <c r="AB25" s="10" t="e">
        <f t="shared" si="31"/>
        <v>#VALUE!</v>
      </c>
      <c r="AC25" s="10" t="e">
        <f t="shared" si="32"/>
        <v>#VALUE!</v>
      </c>
      <c r="AD25" s="10" t="e">
        <f t="shared" si="64"/>
        <v>#VALUE!</v>
      </c>
      <c r="AE25" s="10" t="e">
        <f t="shared" si="65"/>
        <v>#VALUE!</v>
      </c>
      <c r="AF25" s="10" t="e">
        <f t="shared" si="10"/>
        <v>#VALUE!</v>
      </c>
      <c r="AG25" s="10" t="e">
        <f t="shared" si="33"/>
        <v>#VALUE!</v>
      </c>
      <c r="AI25" s="13"/>
      <c r="AK25" s="10" t="e">
        <f t="shared" si="34"/>
        <v>#VALUE!</v>
      </c>
      <c r="AL25" s="10" t="e">
        <f t="shared" si="66"/>
        <v>#VALUE!</v>
      </c>
      <c r="AM25" s="10" t="e">
        <f t="shared" si="11"/>
        <v>#VALUE!</v>
      </c>
      <c r="AN25" s="10" t="e">
        <f t="shared" si="35"/>
        <v>#VALUE!</v>
      </c>
      <c r="AO25" s="10" t="e">
        <f t="shared" si="36"/>
        <v>#VALUE!</v>
      </c>
      <c r="AP25" s="10" t="e">
        <f t="shared" si="37"/>
        <v>#VALUE!</v>
      </c>
      <c r="AQ25" s="10" t="e">
        <f t="shared" si="67"/>
        <v>#VALUE!</v>
      </c>
      <c r="AR25" s="10" t="e">
        <f t="shared" si="12"/>
        <v>#VALUE!</v>
      </c>
      <c r="AS25" s="10" t="e">
        <f t="shared" si="68"/>
        <v>#VALUE!</v>
      </c>
      <c r="AU25" s="10" t="e">
        <f t="shared" si="38"/>
        <v>#VALUE!</v>
      </c>
      <c r="AV25" s="10" t="e">
        <f t="shared" si="69"/>
        <v>#VALUE!</v>
      </c>
      <c r="AW25" s="10" t="e">
        <f t="shared" si="13"/>
        <v>#VALUE!</v>
      </c>
      <c r="AX25" s="10" t="e">
        <f t="shared" si="39"/>
        <v>#VALUE!</v>
      </c>
      <c r="AY25" s="10" t="e">
        <f t="shared" si="40"/>
        <v>#VALUE!</v>
      </c>
      <c r="AZ25" s="10" t="e">
        <f t="shared" si="41"/>
        <v>#VALUE!</v>
      </c>
      <c r="BA25" s="10" t="e">
        <f t="shared" si="70"/>
        <v>#VALUE!</v>
      </c>
      <c r="BB25" s="10" t="e">
        <f t="shared" si="14"/>
        <v>#VALUE!</v>
      </c>
      <c r="BC25" s="10" t="e">
        <f t="shared" si="71"/>
        <v>#VALUE!</v>
      </c>
      <c r="BE25" s="10" t="e">
        <f t="shared" si="42"/>
        <v>#VALUE!</v>
      </c>
      <c r="BF25" s="10" t="e">
        <f t="shared" si="72"/>
        <v>#VALUE!</v>
      </c>
      <c r="BG25" s="10" t="e">
        <f t="shared" si="15"/>
        <v>#VALUE!</v>
      </c>
      <c r="BH25" s="10" t="e">
        <f t="shared" si="43"/>
        <v>#VALUE!</v>
      </c>
      <c r="BI25" s="10" t="e">
        <f t="shared" si="44"/>
        <v>#VALUE!</v>
      </c>
      <c r="BJ25" s="10" t="e">
        <f t="shared" si="45"/>
        <v>#VALUE!</v>
      </c>
      <c r="BK25" s="10" t="e">
        <f t="shared" si="73"/>
        <v>#VALUE!</v>
      </c>
      <c r="BL25" s="10" t="e">
        <f t="shared" si="16"/>
        <v>#VALUE!</v>
      </c>
      <c r="BM25" s="10" t="e">
        <f t="shared" si="74"/>
        <v>#VALUE!</v>
      </c>
      <c r="BP25" s="10" t="e">
        <f t="shared" si="46"/>
        <v>#VALUE!</v>
      </c>
      <c r="BQ25" s="10" t="e">
        <f t="shared" si="47"/>
        <v>#VALUE!</v>
      </c>
      <c r="BR25" s="10" t="e">
        <f t="shared" si="48"/>
        <v>#VALUE!</v>
      </c>
      <c r="BS25" s="10" t="e">
        <f t="shared" si="49"/>
        <v>#VALUE!</v>
      </c>
      <c r="BT25" s="10" t="e">
        <f t="shared" si="50"/>
        <v>#VALUE!</v>
      </c>
      <c r="BU25" s="10" t="e">
        <f t="shared" si="51"/>
        <v>#VALUE!</v>
      </c>
      <c r="BW25" s="10" t="e">
        <f t="shared" si="52"/>
        <v>#VALUE!</v>
      </c>
      <c r="BX25" s="10" t="e">
        <f t="shared" si="53"/>
        <v>#VALUE!</v>
      </c>
      <c r="BY25" s="10" t="e">
        <f t="shared" si="54"/>
        <v>#VALUE!</v>
      </c>
      <c r="BZ25" s="10" t="e">
        <f t="shared" si="55"/>
        <v>#VALUE!</v>
      </c>
      <c r="CA25" s="10" t="e">
        <f t="shared" si="56"/>
        <v>#VALUE!</v>
      </c>
      <c r="CB25" s="10" t="e">
        <f t="shared" si="57"/>
        <v>#VALUE!</v>
      </c>
      <c r="CD25" s="10" t="e">
        <f>MATCH(INDEX($BP$12:$BU$12,1,MATCH(BP25,$BP$15:$BU$15,0)),结果汇总!$AI$10:$AI$13,0)</f>
        <v>#VALUE!</v>
      </c>
      <c r="CE25" s="10" t="e">
        <f>MATCH(INDEX($BP$12:$BU$12,1,MATCH(BQ25,$BP$15:$BU$15,0)),结果汇总!$AI$10:$AI$13,0)</f>
        <v>#VALUE!</v>
      </c>
      <c r="CF25" s="10" t="e">
        <f>MATCH(INDEX($BP$12:$BU$12,1,MATCH(BR25,$BP$15:$BU$15,0)),结果汇总!$AI$10:$AI$13,0)</f>
        <v>#VALUE!</v>
      </c>
      <c r="CG25" s="10" t="e">
        <f>MATCH(INDEX($BP$12:$BU$12,1,MATCH(BS25,$BP$15:$BU$15,0)),结果汇总!$AI$10:$AI$13,0)</f>
        <v>#VALUE!</v>
      </c>
      <c r="CH25" s="10" t="e">
        <f>MATCH(INDEX($BP$12:$BU$12,1,MATCH(BT25,$BP$15:$BU$15,0)),结果汇总!$AI$10:$AI$13,0)</f>
        <v>#VALUE!</v>
      </c>
      <c r="CI25" s="10" t="e">
        <f>MATCH(INDEX($BP$12:$BU$12,1,MATCH(BU25,$BP$15:$BU$15,0)),结果汇总!$AI$10:$AI$13,0)</f>
        <v>#VALUE!</v>
      </c>
      <c r="CK25" s="10">
        <f t="shared" si="58"/>
        <v>0</v>
      </c>
      <c r="CL25" s="10">
        <f t="shared" si="17"/>
        <v>0</v>
      </c>
      <c r="CM25" s="10">
        <f t="shared" si="17"/>
        <v>0</v>
      </c>
      <c r="CN25" s="10">
        <f t="shared" si="17"/>
        <v>0</v>
      </c>
      <c r="CO25" s="10">
        <f t="shared" si="59"/>
        <v>0</v>
      </c>
      <c r="CP25" s="10">
        <f t="shared" si="18"/>
        <v>0</v>
      </c>
      <c r="CQ25" s="10">
        <f t="shared" si="18"/>
        <v>0</v>
      </c>
      <c r="CR25" s="10">
        <f t="shared" si="18"/>
        <v>0</v>
      </c>
      <c r="CS25" s="10" t="e">
        <f t="shared" si="60"/>
        <v>#DIV/0!</v>
      </c>
      <c r="CT25" s="10" t="e">
        <f t="shared" si="19"/>
        <v>#DIV/0!</v>
      </c>
      <c r="CU25" s="10" t="e">
        <f t="shared" si="19"/>
        <v>#DIV/0!</v>
      </c>
      <c r="CV25" s="10" t="e">
        <f t="shared" si="19"/>
        <v>#DIV/0!</v>
      </c>
      <c r="CW25" s="10">
        <f t="shared" si="61"/>
        <v>0</v>
      </c>
      <c r="CX25" s="10">
        <f t="shared" si="20"/>
        <v>0</v>
      </c>
      <c r="CY25" s="10">
        <f t="shared" si="20"/>
        <v>0</v>
      </c>
      <c r="CZ25" s="10">
        <f t="shared" si="20"/>
        <v>0</v>
      </c>
    </row>
    <row r="26" spans="4:104" x14ac:dyDescent="0.15">
      <c r="D26" s="10">
        <v>11</v>
      </c>
      <c r="E26" s="10" t="e">
        <f t="shared" si="21"/>
        <v>#VALUE!</v>
      </c>
      <c r="F26" s="10" t="e">
        <f t="shared" si="1"/>
        <v>#VALUE!</v>
      </c>
      <c r="G26" s="10" t="e">
        <f t="shared" si="2"/>
        <v>#VALUE!</v>
      </c>
      <c r="H26" s="10" t="e">
        <f t="shared" si="22"/>
        <v>#VALUE!</v>
      </c>
      <c r="I26" s="10" t="e">
        <f t="shared" si="3"/>
        <v>#VALUE!</v>
      </c>
      <c r="J26" s="10" t="e">
        <f t="shared" si="23"/>
        <v>#VALUE!</v>
      </c>
      <c r="K26" s="10" t="e">
        <f t="shared" si="4"/>
        <v>#VALUE!</v>
      </c>
      <c r="L26" s="10" t="e">
        <f t="shared" si="5"/>
        <v>#VALUE!</v>
      </c>
      <c r="M26" s="10" t="e">
        <f t="shared" si="24"/>
        <v>#VALUE!</v>
      </c>
      <c r="O26" s="10" t="e">
        <f t="shared" si="25"/>
        <v>#VALUE!</v>
      </c>
      <c r="P26" s="10" t="e">
        <f t="shared" si="6"/>
        <v>#VALUE!</v>
      </c>
      <c r="Q26" s="10" t="e">
        <f t="shared" si="7"/>
        <v>#VALUE!</v>
      </c>
      <c r="R26" s="10" t="e">
        <f t="shared" si="26"/>
        <v>#VALUE!</v>
      </c>
      <c r="S26" s="10" t="e">
        <f t="shared" si="27"/>
        <v>#VALUE!</v>
      </c>
      <c r="T26" s="10" t="e">
        <f t="shared" si="62"/>
        <v>#VALUE!</v>
      </c>
      <c r="U26" s="10" t="e">
        <f t="shared" si="63"/>
        <v>#VALUE!</v>
      </c>
      <c r="V26" s="10" t="e">
        <f t="shared" si="8"/>
        <v>#VALUE!</v>
      </c>
      <c r="W26" s="10" t="e">
        <f t="shared" si="28"/>
        <v>#VALUE!</v>
      </c>
      <c r="Y26" s="10" t="e">
        <f t="shared" si="29"/>
        <v>#VALUE!</v>
      </c>
      <c r="Z26" s="11" t="e">
        <f t="shared" si="30"/>
        <v>#VALUE!</v>
      </c>
      <c r="AA26" s="10" t="e">
        <f t="shared" si="9"/>
        <v>#VALUE!</v>
      </c>
      <c r="AB26" s="10" t="e">
        <f t="shared" si="31"/>
        <v>#VALUE!</v>
      </c>
      <c r="AC26" s="10" t="e">
        <f t="shared" si="32"/>
        <v>#VALUE!</v>
      </c>
      <c r="AD26" s="10" t="e">
        <f t="shared" si="64"/>
        <v>#VALUE!</v>
      </c>
      <c r="AE26" s="10" t="e">
        <f t="shared" si="65"/>
        <v>#VALUE!</v>
      </c>
      <c r="AF26" s="10" t="e">
        <f t="shared" si="10"/>
        <v>#VALUE!</v>
      </c>
      <c r="AG26" s="10" t="e">
        <f t="shared" si="33"/>
        <v>#VALUE!</v>
      </c>
      <c r="AI26" s="13"/>
      <c r="AK26" s="10" t="e">
        <f t="shared" si="34"/>
        <v>#VALUE!</v>
      </c>
      <c r="AL26" s="10" t="e">
        <f t="shared" si="66"/>
        <v>#VALUE!</v>
      </c>
      <c r="AM26" s="10" t="e">
        <f t="shared" si="11"/>
        <v>#VALUE!</v>
      </c>
      <c r="AN26" s="10" t="e">
        <f t="shared" si="35"/>
        <v>#VALUE!</v>
      </c>
      <c r="AO26" s="10" t="e">
        <f t="shared" si="36"/>
        <v>#VALUE!</v>
      </c>
      <c r="AP26" s="10" t="e">
        <f t="shared" si="37"/>
        <v>#VALUE!</v>
      </c>
      <c r="AQ26" s="10" t="e">
        <f t="shared" si="67"/>
        <v>#VALUE!</v>
      </c>
      <c r="AR26" s="10" t="e">
        <f t="shared" si="12"/>
        <v>#VALUE!</v>
      </c>
      <c r="AS26" s="10" t="e">
        <f t="shared" si="68"/>
        <v>#VALUE!</v>
      </c>
      <c r="AU26" s="10" t="e">
        <f t="shared" si="38"/>
        <v>#VALUE!</v>
      </c>
      <c r="AV26" s="10" t="e">
        <f t="shared" si="69"/>
        <v>#VALUE!</v>
      </c>
      <c r="AW26" s="10" t="e">
        <f t="shared" si="13"/>
        <v>#VALUE!</v>
      </c>
      <c r="AX26" s="10" t="e">
        <f t="shared" si="39"/>
        <v>#VALUE!</v>
      </c>
      <c r="AY26" s="10" t="e">
        <f t="shared" si="40"/>
        <v>#VALUE!</v>
      </c>
      <c r="AZ26" s="10" t="e">
        <f t="shared" si="41"/>
        <v>#VALUE!</v>
      </c>
      <c r="BA26" s="10" t="e">
        <f t="shared" si="70"/>
        <v>#VALUE!</v>
      </c>
      <c r="BB26" s="10" t="e">
        <f t="shared" si="14"/>
        <v>#VALUE!</v>
      </c>
      <c r="BC26" s="10" t="e">
        <f t="shared" si="71"/>
        <v>#VALUE!</v>
      </c>
      <c r="BE26" s="10" t="e">
        <f t="shared" si="42"/>
        <v>#VALUE!</v>
      </c>
      <c r="BF26" s="10" t="e">
        <f t="shared" si="72"/>
        <v>#VALUE!</v>
      </c>
      <c r="BG26" s="10" t="e">
        <f t="shared" si="15"/>
        <v>#VALUE!</v>
      </c>
      <c r="BH26" s="10" t="e">
        <f t="shared" si="43"/>
        <v>#VALUE!</v>
      </c>
      <c r="BI26" s="10" t="e">
        <f t="shared" si="44"/>
        <v>#VALUE!</v>
      </c>
      <c r="BJ26" s="10" t="e">
        <f t="shared" si="45"/>
        <v>#VALUE!</v>
      </c>
      <c r="BK26" s="10" t="e">
        <f t="shared" si="73"/>
        <v>#VALUE!</v>
      </c>
      <c r="BL26" s="10" t="e">
        <f t="shared" si="16"/>
        <v>#VALUE!</v>
      </c>
      <c r="BM26" s="10" t="e">
        <f t="shared" si="74"/>
        <v>#VALUE!</v>
      </c>
      <c r="BP26" s="10" t="e">
        <f t="shared" si="46"/>
        <v>#VALUE!</v>
      </c>
      <c r="BQ26" s="10" t="e">
        <f t="shared" si="47"/>
        <v>#VALUE!</v>
      </c>
      <c r="BR26" s="10" t="e">
        <f t="shared" si="48"/>
        <v>#VALUE!</v>
      </c>
      <c r="BS26" s="10" t="e">
        <f t="shared" si="49"/>
        <v>#VALUE!</v>
      </c>
      <c r="BT26" s="10" t="e">
        <f t="shared" si="50"/>
        <v>#VALUE!</v>
      </c>
      <c r="BU26" s="10" t="e">
        <f t="shared" si="51"/>
        <v>#VALUE!</v>
      </c>
      <c r="BW26" s="10" t="e">
        <f t="shared" si="52"/>
        <v>#VALUE!</v>
      </c>
      <c r="BX26" s="10" t="e">
        <f t="shared" si="53"/>
        <v>#VALUE!</v>
      </c>
      <c r="BY26" s="10" t="e">
        <f t="shared" si="54"/>
        <v>#VALUE!</v>
      </c>
      <c r="BZ26" s="10" t="e">
        <f t="shared" si="55"/>
        <v>#VALUE!</v>
      </c>
      <c r="CA26" s="10" t="e">
        <f t="shared" si="56"/>
        <v>#VALUE!</v>
      </c>
      <c r="CB26" s="10" t="e">
        <f t="shared" si="57"/>
        <v>#VALUE!</v>
      </c>
      <c r="CD26" s="10" t="e">
        <f>MATCH(INDEX($BP$12:$BU$12,1,MATCH(BP26,$BP$15:$BU$15,0)),结果汇总!$AI$10:$AI$13,0)</f>
        <v>#VALUE!</v>
      </c>
      <c r="CE26" s="10" t="e">
        <f>MATCH(INDEX($BP$12:$BU$12,1,MATCH(BQ26,$BP$15:$BU$15,0)),结果汇总!$AI$10:$AI$13,0)</f>
        <v>#VALUE!</v>
      </c>
      <c r="CF26" s="10" t="e">
        <f>MATCH(INDEX($BP$12:$BU$12,1,MATCH(BR26,$BP$15:$BU$15,0)),结果汇总!$AI$10:$AI$13,0)</f>
        <v>#VALUE!</v>
      </c>
      <c r="CG26" s="10" t="e">
        <f>MATCH(INDEX($BP$12:$BU$12,1,MATCH(BS26,$BP$15:$BU$15,0)),结果汇总!$AI$10:$AI$13,0)</f>
        <v>#VALUE!</v>
      </c>
      <c r="CH26" s="10" t="e">
        <f>MATCH(INDEX($BP$12:$BU$12,1,MATCH(BT26,$BP$15:$BU$15,0)),结果汇总!$AI$10:$AI$13,0)</f>
        <v>#VALUE!</v>
      </c>
      <c r="CI26" s="10" t="e">
        <f>MATCH(INDEX($BP$12:$BU$12,1,MATCH(BU26,$BP$15:$BU$15,0)),结果汇总!$AI$10:$AI$13,0)</f>
        <v>#VALUE!</v>
      </c>
      <c r="CK26" s="10">
        <f t="shared" si="58"/>
        <v>0</v>
      </c>
      <c r="CL26" s="10">
        <f t="shared" si="17"/>
        <v>0</v>
      </c>
      <c r="CM26" s="10">
        <f t="shared" si="17"/>
        <v>0</v>
      </c>
      <c r="CN26" s="10">
        <f t="shared" si="17"/>
        <v>0</v>
      </c>
      <c r="CO26" s="10">
        <f t="shared" si="59"/>
        <v>0</v>
      </c>
      <c r="CP26" s="10">
        <f t="shared" si="18"/>
        <v>0</v>
      </c>
      <c r="CQ26" s="10">
        <f t="shared" si="18"/>
        <v>0</v>
      </c>
      <c r="CR26" s="10">
        <f t="shared" si="18"/>
        <v>0</v>
      </c>
      <c r="CS26" s="10" t="e">
        <f t="shared" si="60"/>
        <v>#DIV/0!</v>
      </c>
      <c r="CT26" s="10" t="e">
        <f t="shared" si="19"/>
        <v>#DIV/0!</v>
      </c>
      <c r="CU26" s="10" t="e">
        <f t="shared" si="19"/>
        <v>#DIV/0!</v>
      </c>
      <c r="CV26" s="10" t="e">
        <f t="shared" si="19"/>
        <v>#DIV/0!</v>
      </c>
      <c r="CW26" s="10">
        <f t="shared" si="61"/>
        <v>0</v>
      </c>
      <c r="CX26" s="10">
        <f t="shared" si="20"/>
        <v>0</v>
      </c>
      <c r="CY26" s="10">
        <f t="shared" si="20"/>
        <v>0</v>
      </c>
      <c r="CZ26" s="10">
        <f t="shared" si="20"/>
        <v>0</v>
      </c>
    </row>
    <row r="27" spans="4:104" x14ac:dyDescent="0.15">
      <c r="D27" s="10">
        <v>12</v>
      </c>
      <c r="E27" s="10" t="e">
        <f t="shared" si="21"/>
        <v>#VALUE!</v>
      </c>
      <c r="F27" s="10" t="e">
        <f t="shared" si="1"/>
        <v>#VALUE!</v>
      </c>
      <c r="G27" s="10" t="e">
        <f t="shared" si="2"/>
        <v>#VALUE!</v>
      </c>
      <c r="H27" s="10" t="e">
        <f t="shared" si="22"/>
        <v>#VALUE!</v>
      </c>
      <c r="I27" s="10" t="e">
        <f t="shared" si="3"/>
        <v>#VALUE!</v>
      </c>
      <c r="J27" s="10" t="e">
        <f t="shared" si="23"/>
        <v>#VALUE!</v>
      </c>
      <c r="K27" s="10" t="e">
        <f t="shared" si="4"/>
        <v>#VALUE!</v>
      </c>
      <c r="L27" s="10" t="e">
        <f t="shared" si="5"/>
        <v>#VALUE!</v>
      </c>
      <c r="M27" s="10" t="e">
        <f t="shared" si="24"/>
        <v>#VALUE!</v>
      </c>
      <c r="O27" s="10" t="e">
        <f t="shared" si="25"/>
        <v>#VALUE!</v>
      </c>
      <c r="P27" s="10" t="e">
        <f t="shared" si="6"/>
        <v>#VALUE!</v>
      </c>
      <c r="Q27" s="10" t="e">
        <f t="shared" si="7"/>
        <v>#VALUE!</v>
      </c>
      <c r="R27" s="10" t="e">
        <f t="shared" si="26"/>
        <v>#VALUE!</v>
      </c>
      <c r="S27" s="10" t="e">
        <f t="shared" si="27"/>
        <v>#VALUE!</v>
      </c>
      <c r="T27" s="10" t="e">
        <f t="shared" si="62"/>
        <v>#VALUE!</v>
      </c>
      <c r="U27" s="10" t="e">
        <f t="shared" si="63"/>
        <v>#VALUE!</v>
      </c>
      <c r="V27" s="10" t="e">
        <f t="shared" si="8"/>
        <v>#VALUE!</v>
      </c>
      <c r="W27" s="10" t="e">
        <f t="shared" si="28"/>
        <v>#VALUE!</v>
      </c>
      <c r="Y27" s="10" t="e">
        <f t="shared" si="29"/>
        <v>#VALUE!</v>
      </c>
      <c r="Z27" s="11" t="e">
        <f t="shared" si="30"/>
        <v>#VALUE!</v>
      </c>
      <c r="AA27" s="10" t="e">
        <f t="shared" si="9"/>
        <v>#VALUE!</v>
      </c>
      <c r="AB27" s="10" t="e">
        <f t="shared" si="31"/>
        <v>#VALUE!</v>
      </c>
      <c r="AC27" s="10" t="e">
        <f t="shared" si="32"/>
        <v>#VALUE!</v>
      </c>
      <c r="AD27" s="10" t="e">
        <f t="shared" si="64"/>
        <v>#VALUE!</v>
      </c>
      <c r="AE27" s="10" t="e">
        <f t="shared" si="65"/>
        <v>#VALUE!</v>
      </c>
      <c r="AF27" s="10" t="e">
        <f t="shared" si="10"/>
        <v>#VALUE!</v>
      </c>
      <c r="AG27" s="10" t="e">
        <f t="shared" si="33"/>
        <v>#VALUE!</v>
      </c>
      <c r="AI27" s="13"/>
      <c r="AK27" s="10" t="e">
        <f t="shared" si="34"/>
        <v>#VALUE!</v>
      </c>
      <c r="AL27" s="10" t="e">
        <f t="shared" si="66"/>
        <v>#VALUE!</v>
      </c>
      <c r="AM27" s="10" t="e">
        <f t="shared" si="11"/>
        <v>#VALUE!</v>
      </c>
      <c r="AN27" s="10" t="e">
        <f t="shared" si="35"/>
        <v>#VALUE!</v>
      </c>
      <c r="AO27" s="10" t="e">
        <f t="shared" si="36"/>
        <v>#VALUE!</v>
      </c>
      <c r="AP27" s="10" t="e">
        <f t="shared" si="37"/>
        <v>#VALUE!</v>
      </c>
      <c r="AQ27" s="10" t="e">
        <f t="shared" si="67"/>
        <v>#VALUE!</v>
      </c>
      <c r="AR27" s="10" t="e">
        <f t="shared" si="12"/>
        <v>#VALUE!</v>
      </c>
      <c r="AS27" s="10" t="e">
        <f t="shared" si="68"/>
        <v>#VALUE!</v>
      </c>
      <c r="AU27" s="10" t="e">
        <f t="shared" si="38"/>
        <v>#VALUE!</v>
      </c>
      <c r="AV27" s="10" t="e">
        <f t="shared" si="69"/>
        <v>#VALUE!</v>
      </c>
      <c r="AW27" s="10" t="e">
        <f t="shared" si="13"/>
        <v>#VALUE!</v>
      </c>
      <c r="AX27" s="10" t="e">
        <f t="shared" si="39"/>
        <v>#VALUE!</v>
      </c>
      <c r="AY27" s="10" t="e">
        <f t="shared" si="40"/>
        <v>#VALUE!</v>
      </c>
      <c r="AZ27" s="10" t="e">
        <f t="shared" si="41"/>
        <v>#VALUE!</v>
      </c>
      <c r="BA27" s="10" t="e">
        <f t="shared" si="70"/>
        <v>#VALUE!</v>
      </c>
      <c r="BB27" s="10" t="e">
        <f t="shared" si="14"/>
        <v>#VALUE!</v>
      </c>
      <c r="BC27" s="10" t="e">
        <f t="shared" si="71"/>
        <v>#VALUE!</v>
      </c>
      <c r="BE27" s="10" t="e">
        <f t="shared" si="42"/>
        <v>#VALUE!</v>
      </c>
      <c r="BF27" s="10" t="e">
        <f t="shared" si="72"/>
        <v>#VALUE!</v>
      </c>
      <c r="BG27" s="10" t="e">
        <f t="shared" si="15"/>
        <v>#VALUE!</v>
      </c>
      <c r="BH27" s="10" t="e">
        <f t="shared" si="43"/>
        <v>#VALUE!</v>
      </c>
      <c r="BI27" s="10" t="e">
        <f t="shared" si="44"/>
        <v>#VALUE!</v>
      </c>
      <c r="BJ27" s="10" t="e">
        <f t="shared" si="45"/>
        <v>#VALUE!</v>
      </c>
      <c r="BK27" s="10" t="e">
        <f t="shared" si="73"/>
        <v>#VALUE!</v>
      </c>
      <c r="BL27" s="10" t="e">
        <f t="shared" si="16"/>
        <v>#VALUE!</v>
      </c>
      <c r="BM27" s="10" t="e">
        <f t="shared" si="74"/>
        <v>#VALUE!</v>
      </c>
      <c r="BP27" s="10" t="e">
        <f t="shared" si="46"/>
        <v>#VALUE!</v>
      </c>
      <c r="BQ27" s="10" t="e">
        <f t="shared" si="47"/>
        <v>#VALUE!</v>
      </c>
      <c r="BR27" s="10" t="e">
        <f t="shared" si="48"/>
        <v>#VALUE!</v>
      </c>
      <c r="BS27" s="10" t="e">
        <f t="shared" si="49"/>
        <v>#VALUE!</v>
      </c>
      <c r="BT27" s="10" t="e">
        <f t="shared" si="50"/>
        <v>#VALUE!</v>
      </c>
      <c r="BU27" s="10" t="e">
        <f t="shared" si="51"/>
        <v>#VALUE!</v>
      </c>
      <c r="BW27" s="10" t="e">
        <f t="shared" si="52"/>
        <v>#VALUE!</v>
      </c>
      <c r="BX27" s="10" t="e">
        <f t="shared" si="53"/>
        <v>#VALUE!</v>
      </c>
      <c r="BY27" s="10" t="e">
        <f t="shared" si="54"/>
        <v>#VALUE!</v>
      </c>
      <c r="BZ27" s="10" t="e">
        <f t="shared" si="55"/>
        <v>#VALUE!</v>
      </c>
      <c r="CA27" s="10" t="e">
        <f t="shared" si="56"/>
        <v>#VALUE!</v>
      </c>
      <c r="CB27" s="10" t="e">
        <f t="shared" si="57"/>
        <v>#VALUE!</v>
      </c>
      <c r="CD27" s="10" t="e">
        <f>MATCH(INDEX($BP$12:$BU$12,1,MATCH(BP27,$BP$15:$BU$15,0)),结果汇总!$AI$10:$AI$13,0)</f>
        <v>#VALUE!</v>
      </c>
      <c r="CE27" s="10" t="e">
        <f>MATCH(INDEX($BP$12:$BU$12,1,MATCH(BQ27,$BP$15:$BU$15,0)),结果汇总!$AI$10:$AI$13,0)</f>
        <v>#VALUE!</v>
      </c>
      <c r="CF27" s="10" t="e">
        <f>MATCH(INDEX($BP$12:$BU$12,1,MATCH(BR27,$BP$15:$BU$15,0)),结果汇总!$AI$10:$AI$13,0)</f>
        <v>#VALUE!</v>
      </c>
      <c r="CG27" s="10" t="e">
        <f>MATCH(INDEX($BP$12:$BU$12,1,MATCH(BS27,$BP$15:$BU$15,0)),结果汇总!$AI$10:$AI$13,0)</f>
        <v>#VALUE!</v>
      </c>
      <c r="CH27" s="10" t="e">
        <f>MATCH(INDEX($BP$12:$BU$12,1,MATCH(BT27,$BP$15:$BU$15,0)),结果汇总!$AI$10:$AI$13,0)</f>
        <v>#VALUE!</v>
      </c>
      <c r="CI27" s="10" t="e">
        <f>MATCH(INDEX($BP$12:$BU$12,1,MATCH(BU27,$BP$15:$BU$15,0)),结果汇总!$AI$10:$AI$13,0)</f>
        <v>#VALUE!</v>
      </c>
      <c r="CK27" s="10">
        <f t="shared" si="58"/>
        <v>0</v>
      </c>
      <c r="CL27" s="10">
        <f t="shared" si="17"/>
        <v>0</v>
      </c>
      <c r="CM27" s="10">
        <f t="shared" si="17"/>
        <v>0</v>
      </c>
      <c r="CN27" s="10">
        <f t="shared" si="17"/>
        <v>0</v>
      </c>
      <c r="CO27" s="10">
        <f t="shared" si="59"/>
        <v>0</v>
      </c>
      <c r="CP27" s="10">
        <f t="shared" si="18"/>
        <v>0</v>
      </c>
      <c r="CQ27" s="10">
        <f t="shared" si="18"/>
        <v>0</v>
      </c>
      <c r="CR27" s="10">
        <f t="shared" si="18"/>
        <v>0</v>
      </c>
      <c r="CS27" s="10" t="e">
        <f t="shared" si="60"/>
        <v>#DIV/0!</v>
      </c>
      <c r="CT27" s="10" t="e">
        <f t="shared" si="19"/>
        <v>#DIV/0!</v>
      </c>
      <c r="CU27" s="10" t="e">
        <f t="shared" si="19"/>
        <v>#DIV/0!</v>
      </c>
      <c r="CV27" s="10" t="e">
        <f t="shared" si="19"/>
        <v>#DIV/0!</v>
      </c>
      <c r="CW27" s="10">
        <f t="shared" si="61"/>
        <v>0</v>
      </c>
      <c r="CX27" s="10">
        <f t="shared" si="20"/>
        <v>0</v>
      </c>
      <c r="CY27" s="10">
        <f t="shared" si="20"/>
        <v>0</v>
      </c>
      <c r="CZ27" s="10">
        <f t="shared" si="20"/>
        <v>0</v>
      </c>
    </row>
    <row r="28" spans="4:104" x14ac:dyDescent="0.15">
      <c r="D28" s="10">
        <v>13</v>
      </c>
      <c r="E28" s="10" t="e">
        <f t="shared" si="21"/>
        <v>#VALUE!</v>
      </c>
      <c r="F28" s="10" t="e">
        <f t="shared" si="1"/>
        <v>#VALUE!</v>
      </c>
      <c r="G28" s="10" t="e">
        <f t="shared" si="2"/>
        <v>#VALUE!</v>
      </c>
      <c r="H28" s="10" t="e">
        <f t="shared" si="22"/>
        <v>#VALUE!</v>
      </c>
      <c r="I28" s="10" t="e">
        <f t="shared" si="3"/>
        <v>#VALUE!</v>
      </c>
      <c r="J28" s="10" t="e">
        <f t="shared" si="23"/>
        <v>#VALUE!</v>
      </c>
      <c r="K28" s="10" t="e">
        <f t="shared" si="4"/>
        <v>#VALUE!</v>
      </c>
      <c r="L28" s="10" t="e">
        <f t="shared" si="5"/>
        <v>#VALUE!</v>
      </c>
      <c r="M28" s="10" t="e">
        <f t="shared" si="24"/>
        <v>#VALUE!</v>
      </c>
      <c r="O28" s="10" t="e">
        <f t="shared" si="25"/>
        <v>#VALUE!</v>
      </c>
      <c r="P28" s="10" t="e">
        <f t="shared" si="6"/>
        <v>#VALUE!</v>
      </c>
      <c r="Q28" s="10" t="e">
        <f t="shared" si="7"/>
        <v>#VALUE!</v>
      </c>
      <c r="R28" s="10" t="e">
        <f t="shared" si="26"/>
        <v>#VALUE!</v>
      </c>
      <c r="S28" s="10" t="e">
        <f t="shared" si="27"/>
        <v>#VALUE!</v>
      </c>
      <c r="T28" s="10" t="e">
        <f t="shared" si="62"/>
        <v>#VALUE!</v>
      </c>
      <c r="U28" s="10" t="e">
        <f t="shared" si="63"/>
        <v>#VALUE!</v>
      </c>
      <c r="V28" s="10" t="e">
        <f t="shared" si="8"/>
        <v>#VALUE!</v>
      </c>
      <c r="W28" s="10" t="e">
        <f t="shared" si="28"/>
        <v>#VALUE!</v>
      </c>
      <c r="Y28" s="10" t="e">
        <f t="shared" si="29"/>
        <v>#VALUE!</v>
      </c>
      <c r="Z28" s="11" t="e">
        <f t="shared" si="30"/>
        <v>#VALUE!</v>
      </c>
      <c r="AA28" s="10" t="e">
        <f t="shared" si="9"/>
        <v>#VALUE!</v>
      </c>
      <c r="AB28" s="10" t="e">
        <f t="shared" si="31"/>
        <v>#VALUE!</v>
      </c>
      <c r="AC28" s="10" t="e">
        <f t="shared" si="32"/>
        <v>#VALUE!</v>
      </c>
      <c r="AD28" s="10" t="e">
        <f t="shared" si="64"/>
        <v>#VALUE!</v>
      </c>
      <c r="AE28" s="10" t="e">
        <f t="shared" si="65"/>
        <v>#VALUE!</v>
      </c>
      <c r="AF28" s="10" t="e">
        <f t="shared" si="10"/>
        <v>#VALUE!</v>
      </c>
      <c r="AG28" s="10" t="e">
        <f t="shared" si="33"/>
        <v>#VALUE!</v>
      </c>
      <c r="AI28" s="13"/>
      <c r="AK28" s="10" t="e">
        <f t="shared" si="34"/>
        <v>#VALUE!</v>
      </c>
      <c r="AL28" s="10" t="e">
        <f t="shared" si="66"/>
        <v>#VALUE!</v>
      </c>
      <c r="AM28" s="10" t="e">
        <f t="shared" si="11"/>
        <v>#VALUE!</v>
      </c>
      <c r="AN28" s="10" t="e">
        <f t="shared" si="35"/>
        <v>#VALUE!</v>
      </c>
      <c r="AO28" s="10" t="e">
        <f t="shared" si="36"/>
        <v>#VALUE!</v>
      </c>
      <c r="AP28" s="10" t="e">
        <f t="shared" si="37"/>
        <v>#VALUE!</v>
      </c>
      <c r="AQ28" s="10" t="e">
        <f t="shared" si="67"/>
        <v>#VALUE!</v>
      </c>
      <c r="AR28" s="10" t="e">
        <f t="shared" si="12"/>
        <v>#VALUE!</v>
      </c>
      <c r="AS28" s="10" t="e">
        <f t="shared" si="68"/>
        <v>#VALUE!</v>
      </c>
      <c r="AU28" s="10" t="e">
        <f t="shared" si="38"/>
        <v>#VALUE!</v>
      </c>
      <c r="AV28" s="10" t="e">
        <f t="shared" si="69"/>
        <v>#VALUE!</v>
      </c>
      <c r="AW28" s="10" t="e">
        <f t="shared" si="13"/>
        <v>#VALUE!</v>
      </c>
      <c r="AX28" s="10" t="e">
        <f t="shared" si="39"/>
        <v>#VALUE!</v>
      </c>
      <c r="AY28" s="10" t="e">
        <f t="shared" si="40"/>
        <v>#VALUE!</v>
      </c>
      <c r="AZ28" s="10" t="e">
        <f t="shared" si="41"/>
        <v>#VALUE!</v>
      </c>
      <c r="BA28" s="10" t="e">
        <f t="shared" si="70"/>
        <v>#VALUE!</v>
      </c>
      <c r="BB28" s="10" t="e">
        <f t="shared" si="14"/>
        <v>#VALUE!</v>
      </c>
      <c r="BC28" s="10" t="e">
        <f t="shared" si="71"/>
        <v>#VALUE!</v>
      </c>
      <c r="BE28" s="10" t="e">
        <f t="shared" si="42"/>
        <v>#VALUE!</v>
      </c>
      <c r="BF28" s="10" t="e">
        <f t="shared" si="72"/>
        <v>#VALUE!</v>
      </c>
      <c r="BG28" s="10" t="e">
        <f t="shared" si="15"/>
        <v>#VALUE!</v>
      </c>
      <c r="BH28" s="10" t="e">
        <f t="shared" si="43"/>
        <v>#VALUE!</v>
      </c>
      <c r="BI28" s="10" t="e">
        <f t="shared" si="44"/>
        <v>#VALUE!</v>
      </c>
      <c r="BJ28" s="10" t="e">
        <f t="shared" si="45"/>
        <v>#VALUE!</v>
      </c>
      <c r="BK28" s="10" t="e">
        <f t="shared" si="73"/>
        <v>#VALUE!</v>
      </c>
      <c r="BL28" s="10" t="e">
        <f t="shared" si="16"/>
        <v>#VALUE!</v>
      </c>
      <c r="BM28" s="10" t="e">
        <f t="shared" si="74"/>
        <v>#VALUE!</v>
      </c>
      <c r="BP28" s="10" t="e">
        <f t="shared" si="46"/>
        <v>#VALUE!</v>
      </c>
      <c r="BQ28" s="10" t="e">
        <f t="shared" si="47"/>
        <v>#VALUE!</v>
      </c>
      <c r="BR28" s="10" t="e">
        <f t="shared" si="48"/>
        <v>#VALUE!</v>
      </c>
      <c r="BS28" s="10" t="e">
        <f t="shared" si="49"/>
        <v>#VALUE!</v>
      </c>
      <c r="BT28" s="10" t="e">
        <f t="shared" si="50"/>
        <v>#VALUE!</v>
      </c>
      <c r="BU28" s="10" t="e">
        <f t="shared" si="51"/>
        <v>#VALUE!</v>
      </c>
      <c r="BW28" s="10" t="e">
        <f t="shared" si="52"/>
        <v>#VALUE!</v>
      </c>
      <c r="BX28" s="10" t="e">
        <f t="shared" si="53"/>
        <v>#VALUE!</v>
      </c>
      <c r="BY28" s="10" t="e">
        <f t="shared" si="54"/>
        <v>#VALUE!</v>
      </c>
      <c r="BZ28" s="10" t="e">
        <f t="shared" si="55"/>
        <v>#VALUE!</v>
      </c>
      <c r="CA28" s="10" t="e">
        <f t="shared" si="56"/>
        <v>#VALUE!</v>
      </c>
      <c r="CB28" s="10" t="e">
        <f t="shared" si="57"/>
        <v>#VALUE!</v>
      </c>
      <c r="CD28" s="10" t="e">
        <f>MATCH(INDEX($BP$12:$BU$12,1,MATCH(BP28,$BP$15:$BU$15,0)),结果汇总!$AI$10:$AI$13,0)</f>
        <v>#VALUE!</v>
      </c>
      <c r="CE28" s="10" t="e">
        <f>MATCH(INDEX($BP$12:$BU$12,1,MATCH(BQ28,$BP$15:$BU$15,0)),结果汇总!$AI$10:$AI$13,0)</f>
        <v>#VALUE!</v>
      </c>
      <c r="CF28" s="10" t="e">
        <f>MATCH(INDEX($BP$12:$BU$12,1,MATCH(BR28,$BP$15:$BU$15,0)),结果汇总!$AI$10:$AI$13,0)</f>
        <v>#VALUE!</v>
      </c>
      <c r="CG28" s="10" t="e">
        <f>MATCH(INDEX($BP$12:$BU$12,1,MATCH(BS28,$BP$15:$BU$15,0)),结果汇总!$AI$10:$AI$13,0)</f>
        <v>#VALUE!</v>
      </c>
      <c r="CH28" s="10" t="e">
        <f>MATCH(INDEX($BP$12:$BU$12,1,MATCH(BT28,$BP$15:$BU$15,0)),结果汇总!$AI$10:$AI$13,0)</f>
        <v>#VALUE!</v>
      </c>
      <c r="CI28" s="10" t="e">
        <f>MATCH(INDEX($BP$12:$BU$12,1,MATCH(BU28,$BP$15:$BU$15,0)),结果汇总!$AI$10:$AI$13,0)</f>
        <v>#VALUE!</v>
      </c>
      <c r="CK28" s="10">
        <f t="shared" si="58"/>
        <v>0</v>
      </c>
      <c r="CL28" s="10">
        <f t="shared" si="17"/>
        <v>0</v>
      </c>
      <c r="CM28" s="10">
        <f t="shared" si="17"/>
        <v>0</v>
      </c>
      <c r="CN28" s="10">
        <f t="shared" si="17"/>
        <v>0</v>
      </c>
      <c r="CO28" s="10">
        <f t="shared" si="59"/>
        <v>0</v>
      </c>
      <c r="CP28" s="10">
        <f t="shared" si="18"/>
        <v>0</v>
      </c>
      <c r="CQ28" s="10">
        <f t="shared" si="18"/>
        <v>0</v>
      </c>
      <c r="CR28" s="10">
        <f t="shared" si="18"/>
        <v>0</v>
      </c>
      <c r="CS28" s="10" t="e">
        <f t="shared" si="60"/>
        <v>#DIV/0!</v>
      </c>
      <c r="CT28" s="10" t="e">
        <f t="shared" si="19"/>
        <v>#DIV/0!</v>
      </c>
      <c r="CU28" s="10" t="e">
        <f t="shared" si="19"/>
        <v>#DIV/0!</v>
      </c>
      <c r="CV28" s="10" t="e">
        <f t="shared" si="19"/>
        <v>#DIV/0!</v>
      </c>
      <c r="CW28" s="10">
        <f t="shared" si="61"/>
        <v>0</v>
      </c>
      <c r="CX28" s="10">
        <f t="shared" si="20"/>
        <v>0</v>
      </c>
      <c r="CY28" s="10">
        <f t="shared" si="20"/>
        <v>0</v>
      </c>
      <c r="CZ28" s="10">
        <f t="shared" si="20"/>
        <v>0</v>
      </c>
    </row>
    <row r="29" spans="4:104" x14ac:dyDescent="0.15">
      <c r="D29" s="10">
        <v>14</v>
      </c>
      <c r="E29" s="10" t="e">
        <f t="shared" si="21"/>
        <v>#VALUE!</v>
      </c>
      <c r="F29" s="10" t="e">
        <f t="shared" si="1"/>
        <v>#VALUE!</v>
      </c>
      <c r="G29" s="10" t="e">
        <f t="shared" si="2"/>
        <v>#VALUE!</v>
      </c>
      <c r="H29" s="10" t="e">
        <f t="shared" si="22"/>
        <v>#VALUE!</v>
      </c>
      <c r="I29" s="10" t="e">
        <f t="shared" si="3"/>
        <v>#VALUE!</v>
      </c>
      <c r="J29" s="10" t="e">
        <f t="shared" si="23"/>
        <v>#VALUE!</v>
      </c>
      <c r="K29" s="10" t="e">
        <f t="shared" si="4"/>
        <v>#VALUE!</v>
      </c>
      <c r="L29" s="10" t="e">
        <f t="shared" si="5"/>
        <v>#VALUE!</v>
      </c>
      <c r="M29" s="10" t="e">
        <f t="shared" si="24"/>
        <v>#VALUE!</v>
      </c>
      <c r="O29" s="10" t="e">
        <f t="shared" si="25"/>
        <v>#VALUE!</v>
      </c>
      <c r="P29" s="10" t="e">
        <f t="shared" si="6"/>
        <v>#VALUE!</v>
      </c>
      <c r="Q29" s="10" t="e">
        <f t="shared" si="7"/>
        <v>#VALUE!</v>
      </c>
      <c r="R29" s="10" t="e">
        <f t="shared" si="26"/>
        <v>#VALUE!</v>
      </c>
      <c r="S29" s="10" t="e">
        <f t="shared" si="27"/>
        <v>#VALUE!</v>
      </c>
      <c r="T29" s="10" t="e">
        <f t="shared" si="62"/>
        <v>#VALUE!</v>
      </c>
      <c r="U29" s="10" t="e">
        <f t="shared" si="63"/>
        <v>#VALUE!</v>
      </c>
      <c r="V29" s="10" t="e">
        <f t="shared" si="8"/>
        <v>#VALUE!</v>
      </c>
      <c r="W29" s="10" t="e">
        <f t="shared" si="28"/>
        <v>#VALUE!</v>
      </c>
      <c r="Y29" s="10" t="e">
        <f t="shared" si="29"/>
        <v>#VALUE!</v>
      </c>
      <c r="Z29" s="11" t="e">
        <f t="shared" si="30"/>
        <v>#VALUE!</v>
      </c>
      <c r="AA29" s="10" t="e">
        <f t="shared" si="9"/>
        <v>#VALUE!</v>
      </c>
      <c r="AB29" s="10" t="e">
        <f t="shared" si="31"/>
        <v>#VALUE!</v>
      </c>
      <c r="AC29" s="10" t="e">
        <f t="shared" si="32"/>
        <v>#VALUE!</v>
      </c>
      <c r="AD29" s="10" t="e">
        <f t="shared" si="64"/>
        <v>#VALUE!</v>
      </c>
      <c r="AE29" s="10" t="e">
        <f t="shared" si="65"/>
        <v>#VALUE!</v>
      </c>
      <c r="AF29" s="10" t="e">
        <f t="shared" si="10"/>
        <v>#VALUE!</v>
      </c>
      <c r="AG29" s="10" t="e">
        <f t="shared" si="33"/>
        <v>#VALUE!</v>
      </c>
      <c r="AI29" s="13"/>
      <c r="AK29" s="10" t="e">
        <f t="shared" si="34"/>
        <v>#VALUE!</v>
      </c>
      <c r="AL29" s="10" t="e">
        <f t="shared" si="66"/>
        <v>#VALUE!</v>
      </c>
      <c r="AM29" s="10" t="e">
        <f t="shared" si="11"/>
        <v>#VALUE!</v>
      </c>
      <c r="AN29" s="10" t="e">
        <f t="shared" si="35"/>
        <v>#VALUE!</v>
      </c>
      <c r="AO29" s="10" t="e">
        <f t="shared" si="36"/>
        <v>#VALUE!</v>
      </c>
      <c r="AP29" s="10" t="e">
        <f t="shared" si="37"/>
        <v>#VALUE!</v>
      </c>
      <c r="AQ29" s="10" t="e">
        <f t="shared" si="67"/>
        <v>#VALUE!</v>
      </c>
      <c r="AR29" s="10" t="e">
        <f t="shared" si="12"/>
        <v>#VALUE!</v>
      </c>
      <c r="AS29" s="10" t="e">
        <f t="shared" si="68"/>
        <v>#VALUE!</v>
      </c>
      <c r="AU29" s="10" t="e">
        <f t="shared" si="38"/>
        <v>#VALUE!</v>
      </c>
      <c r="AV29" s="10" t="e">
        <f t="shared" si="69"/>
        <v>#VALUE!</v>
      </c>
      <c r="AW29" s="10" t="e">
        <f t="shared" si="13"/>
        <v>#VALUE!</v>
      </c>
      <c r="AX29" s="10" t="e">
        <f t="shared" si="39"/>
        <v>#VALUE!</v>
      </c>
      <c r="AY29" s="10" t="e">
        <f t="shared" si="40"/>
        <v>#VALUE!</v>
      </c>
      <c r="AZ29" s="10" t="e">
        <f t="shared" si="41"/>
        <v>#VALUE!</v>
      </c>
      <c r="BA29" s="10" t="e">
        <f t="shared" si="70"/>
        <v>#VALUE!</v>
      </c>
      <c r="BB29" s="10" t="e">
        <f t="shared" si="14"/>
        <v>#VALUE!</v>
      </c>
      <c r="BC29" s="10" t="e">
        <f t="shared" si="71"/>
        <v>#VALUE!</v>
      </c>
      <c r="BE29" s="10" t="e">
        <f t="shared" si="42"/>
        <v>#VALUE!</v>
      </c>
      <c r="BF29" s="10" t="e">
        <f t="shared" si="72"/>
        <v>#VALUE!</v>
      </c>
      <c r="BG29" s="10" t="e">
        <f t="shared" si="15"/>
        <v>#VALUE!</v>
      </c>
      <c r="BH29" s="10" t="e">
        <f t="shared" si="43"/>
        <v>#VALUE!</v>
      </c>
      <c r="BI29" s="10" t="e">
        <f t="shared" si="44"/>
        <v>#VALUE!</v>
      </c>
      <c r="BJ29" s="10" t="e">
        <f t="shared" si="45"/>
        <v>#VALUE!</v>
      </c>
      <c r="BK29" s="10" t="e">
        <f t="shared" si="73"/>
        <v>#VALUE!</v>
      </c>
      <c r="BL29" s="10" t="e">
        <f t="shared" si="16"/>
        <v>#VALUE!</v>
      </c>
      <c r="BM29" s="10" t="e">
        <f t="shared" si="74"/>
        <v>#VALUE!</v>
      </c>
      <c r="BP29" s="10" t="e">
        <f t="shared" si="46"/>
        <v>#VALUE!</v>
      </c>
      <c r="BQ29" s="10" t="e">
        <f t="shared" si="47"/>
        <v>#VALUE!</v>
      </c>
      <c r="BR29" s="10" t="e">
        <f t="shared" si="48"/>
        <v>#VALUE!</v>
      </c>
      <c r="BS29" s="10" t="e">
        <f t="shared" si="49"/>
        <v>#VALUE!</v>
      </c>
      <c r="BT29" s="10" t="e">
        <f t="shared" si="50"/>
        <v>#VALUE!</v>
      </c>
      <c r="BU29" s="10" t="e">
        <f t="shared" si="51"/>
        <v>#VALUE!</v>
      </c>
      <c r="BW29" s="10" t="e">
        <f t="shared" si="52"/>
        <v>#VALUE!</v>
      </c>
      <c r="BX29" s="10" t="e">
        <f t="shared" si="53"/>
        <v>#VALUE!</v>
      </c>
      <c r="BY29" s="10" t="e">
        <f t="shared" si="54"/>
        <v>#VALUE!</v>
      </c>
      <c r="BZ29" s="10" t="e">
        <f t="shared" si="55"/>
        <v>#VALUE!</v>
      </c>
      <c r="CA29" s="10" t="e">
        <f t="shared" si="56"/>
        <v>#VALUE!</v>
      </c>
      <c r="CB29" s="10" t="e">
        <f t="shared" si="57"/>
        <v>#VALUE!</v>
      </c>
      <c r="CD29" s="10" t="e">
        <f>MATCH(INDEX($BP$12:$BU$12,1,MATCH(BP29,$BP$15:$BU$15,0)),结果汇总!$AI$10:$AI$13,0)</f>
        <v>#VALUE!</v>
      </c>
      <c r="CE29" s="10" t="e">
        <f>MATCH(INDEX($BP$12:$BU$12,1,MATCH(BQ29,$BP$15:$BU$15,0)),结果汇总!$AI$10:$AI$13,0)</f>
        <v>#VALUE!</v>
      </c>
      <c r="CF29" s="10" t="e">
        <f>MATCH(INDEX($BP$12:$BU$12,1,MATCH(BR29,$BP$15:$BU$15,0)),结果汇总!$AI$10:$AI$13,0)</f>
        <v>#VALUE!</v>
      </c>
      <c r="CG29" s="10" t="e">
        <f>MATCH(INDEX($BP$12:$BU$12,1,MATCH(BS29,$BP$15:$BU$15,0)),结果汇总!$AI$10:$AI$13,0)</f>
        <v>#VALUE!</v>
      </c>
      <c r="CH29" s="10" t="e">
        <f>MATCH(INDEX($BP$12:$BU$12,1,MATCH(BT29,$BP$15:$BU$15,0)),结果汇总!$AI$10:$AI$13,0)</f>
        <v>#VALUE!</v>
      </c>
      <c r="CI29" s="10" t="e">
        <f>MATCH(INDEX($BP$12:$BU$12,1,MATCH(BU29,$BP$15:$BU$15,0)),结果汇总!$AI$10:$AI$13,0)</f>
        <v>#VALUE!</v>
      </c>
      <c r="CK29" s="10">
        <f t="shared" si="58"/>
        <v>0</v>
      </c>
      <c r="CL29" s="10">
        <f t="shared" si="17"/>
        <v>0</v>
      </c>
      <c r="CM29" s="10">
        <f t="shared" si="17"/>
        <v>0</v>
      </c>
      <c r="CN29" s="10">
        <f t="shared" si="17"/>
        <v>0</v>
      </c>
      <c r="CO29" s="10">
        <f t="shared" si="59"/>
        <v>0</v>
      </c>
      <c r="CP29" s="10">
        <f t="shared" si="18"/>
        <v>0</v>
      </c>
      <c r="CQ29" s="10">
        <f t="shared" si="18"/>
        <v>0</v>
      </c>
      <c r="CR29" s="10">
        <f t="shared" si="18"/>
        <v>0</v>
      </c>
      <c r="CS29" s="10" t="e">
        <f t="shared" si="60"/>
        <v>#DIV/0!</v>
      </c>
      <c r="CT29" s="10" t="e">
        <f t="shared" si="19"/>
        <v>#DIV/0!</v>
      </c>
      <c r="CU29" s="10" t="e">
        <f t="shared" si="19"/>
        <v>#DIV/0!</v>
      </c>
      <c r="CV29" s="10" t="e">
        <f t="shared" si="19"/>
        <v>#DIV/0!</v>
      </c>
      <c r="CW29" s="10">
        <f t="shared" si="61"/>
        <v>0</v>
      </c>
      <c r="CX29" s="10">
        <f t="shared" si="20"/>
        <v>0</v>
      </c>
      <c r="CY29" s="10">
        <f t="shared" si="20"/>
        <v>0</v>
      </c>
      <c r="CZ29" s="10">
        <f t="shared" si="20"/>
        <v>0</v>
      </c>
    </row>
    <row r="30" spans="4:104" x14ac:dyDescent="0.15">
      <c r="D30" s="10">
        <v>15</v>
      </c>
      <c r="E30" s="10" t="e">
        <f t="shared" si="21"/>
        <v>#VALUE!</v>
      </c>
      <c r="F30" s="10" t="e">
        <f t="shared" si="1"/>
        <v>#VALUE!</v>
      </c>
      <c r="G30" s="10" t="e">
        <f t="shared" si="2"/>
        <v>#VALUE!</v>
      </c>
      <c r="H30" s="10" t="e">
        <f t="shared" si="22"/>
        <v>#VALUE!</v>
      </c>
      <c r="I30" s="10" t="e">
        <f t="shared" si="3"/>
        <v>#VALUE!</v>
      </c>
      <c r="J30" s="10" t="e">
        <f t="shared" si="23"/>
        <v>#VALUE!</v>
      </c>
      <c r="K30" s="10" t="e">
        <f t="shared" si="4"/>
        <v>#VALUE!</v>
      </c>
      <c r="L30" s="10" t="e">
        <f t="shared" si="5"/>
        <v>#VALUE!</v>
      </c>
      <c r="M30" s="10" t="e">
        <f t="shared" si="24"/>
        <v>#VALUE!</v>
      </c>
      <c r="O30" s="10" t="e">
        <f t="shared" si="25"/>
        <v>#VALUE!</v>
      </c>
      <c r="P30" s="10" t="e">
        <f t="shared" si="6"/>
        <v>#VALUE!</v>
      </c>
      <c r="Q30" s="10" t="e">
        <f t="shared" si="7"/>
        <v>#VALUE!</v>
      </c>
      <c r="R30" s="10" t="e">
        <f t="shared" si="26"/>
        <v>#VALUE!</v>
      </c>
      <c r="S30" s="10" t="e">
        <f t="shared" si="27"/>
        <v>#VALUE!</v>
      </c>
      <c r="T30" s="10" t="e">
        <f t="shared" si="62"/>
        <v>#VALUE!</v>
      </c>
      <c r="U30" s="10" t="e">
        <f t="shared" si="63"/>
        <v>#VALUE!</v>
      </c>
      <c r="V30" s="10" t="e">
        <f t="shared" si="8"/>
        <v>#VALUE!</v>
      </c>
      <c r="W30" s="10" t="e">
        <f t="shared" si="28"/>
        <v>#VALUE!</v>
      </c>
      <c r="Y30" s="10" t="e">
        <f t="shared" si="29"/>
        <v>#VALUE!</v>
      </c>
      <c r="Z30" s="11" t="e">
        <f t="shared" si="30"/>
        <v>#VALUE!</v>
      </c>
      <c r="AA30" s="10" t="e">
        <f t="shared" si="9"/>
        <v>#VALUE!</v>
      </c>
      <c r="AB30" s="10" t="e">
        <f t="shared" si="31"/>
        <v>#VALUE!</v>
      </c>
      <c r="AC30" s="10" t="e">
        <f t="shared" si="32"/>
        <v>#VALUE!</v>
      </c>
      <c r="AD30" s="10" t="e">
        <f t="shared" si="64"/>
        <v>#VALUE!</v>
      </c>
      <c r="AE30" s="10" t="e">
        <f t="shared" si="65"/>
        <v>#VALUE!</v>
      </c>
      <c r="AF30" s="10" t="e">
        <f t="shared" si="10"/>
        <v>#VALUE!</v>
      </c>
      <c r="AG30" s="10" t="e">
        <f t="shared" si="33"/>
        <v>#VALUE!</v>
      </c>
      <c r="AI30" s="13"/>
      <c r="AK30" s="10" t="e">
        <f t="shared" si="34"/>
        <v>#VALUE!</v>
      </c>
      <c r="AL30" s="10" t="e">
        <f t="shared" si="66"/>
        <v>#VALUE!</v>
      </c>
      <c r="AM30" s="10" t="e">
        <f t="shared" si="11"/>
        <v>#VALUE!</v>
      </c>
      <c r="AN30" s="10" t="e">
        <f t="shared" si="35"/>
        <v>#VALUE!</v>
      </c>
      <c r="AO30" s="10" t="e">
        <f t="shared" si="36"/>
        <v>#VALUE!</v>
      </c>
      <c r="AP30" s="10" t="e">
        <f t="shared" si="37"/>
        <v>#VALUE!</v>
      </c>
      <c r="AQ30" s="10" t="e">
        <f t="shared" si="67"/>
        <v>#VALUE!</v>
      </c>
      <c r="AR30" s="10" t="e">
        <f t="shared" si="12"/>
        <v>#VALUE!</v>
      </c>
      <c r="AS30" s="10" t="e">
        <f t="shared" si="68"/>
        <v>#VALUE!</v>
      </c>
      <c r="AU30" s="10" t="e">
        <f t="shared" si="38"/>
        <v>#VALUE!</v>
      </c>
      <c r="AV30" s="10" t="e">
        <f t="shared" si="69"/>
        <v>#VALUE!</v>
      </c>
      <c r="AW30" s="10" t="e">
        <f t="shared" si="13"/>
        <v>#VALUE!</v>
      </c>
      <c r="AX30" s="10" t="e">
        <f t="shared" si="39"/>
        <v>#VALUE!</v>
      </c>
      <c r="AY30" s="10" t="e">
        <f t="shared" si="40"/>
        <v>#VALUE!</v>
      </c>
      <c r="AZ30" s="10" t="e">
        <f t="shared" si="41"/>
        <v>#VALUE!</v>
      </c>
      <c r="BA30" s="10" t="e">
        <f t="shared" si="70"/>
        <v>#VALUE!</v>
      </c>
      <c r="BB30" s="10" t="e">
        <f t="shared" si="14"/>
        <v>#VALUE!</v>
      </c>
      <c r="BC30" s="10" t="e">
        <f t="shared" si="71"/>
        <v>#VALUE!</v>
      </c>
      <c r="BE30" s="10" t="e">
        <f t="shared" si="42"/>
        <v>#VALUE!</v>
      </c>
      <c r="BF30" s="10" t="e">
        <f t="shared" si="72"/>
        <v>#VALUE!</v>
      </c>
      <c r="BG30" s="10" t="e">
        <f t="shared" si="15"/>
        <v>#VALUE!</v>
      </c>
      <c r="BH30" s="10" t="e">
        <f t="shared" si="43"/>
        <v>#VALUE!</v>
      </c>
      <c r="BI30" s="10" t="e">
        <f t="shared" si="44"/>
        <v>#VALUE!</v>
      </c>
      <c r="BJ30" s="10" t="e">
        <f t="shared" si="45"/>
        <v>#VALUE!</v>
      </c>
      <c r="BK30" s="10" t="e">
        <f t="shared" si="73"/>
        <v>#VALUE!</v>
      </c>
      <c r="BL30" s="10" t="e">
        <f t="shared" si="16"/>
        <v>#VALUE!</v>
      </c>
      <c r="BM30" s="10" t="e">
        <f t="shared" si="74"/>
        <v>#VALUE!</v>
      </c>
      <c r="BP30" s="10" t="e">
        <f t="shared" si="46"/>
        <v>#VALUE!</v>
      </c>
      <c r="BQ30" s="10" t="e">
        <f t="shared" si="47"/>
        <v>#VALUE!</v>
      </c>
      <c r="BR30" s="10" t="e">
        <f t="shared" si="48"/>
        <v>#VALUE!</v>
      </c>
      <c r="BS30" s="10" t="e">
        <f t="shared" si="49"/>
        <v>#VALUE!</v>
      </c>
      <c r="BT30" s="10" t="e">
        <f t="shared" si="50"/>
        <v>#VALUE!</v>
      </c>
      <c r="BU30" s="10" t="e">
        <f t="shared" si="51"/>
        <v>#VALUE!</v>
      </c>
      <c r="BW30" s="10" t="e">
        <f t="shared" si="52"/>
        <v>#VALUE!</v>
      </c>
      <c r="BX30" s="10" t="e">
        <f t="shared" si="53"/>
        <v>#VALUE!</v>
      </c>
      <c r="BY30" s="10" t="e">
        <f t="shared" si="54"/>
        <v>#VALUE!</v>
      </c>
      <c r="BZ30" s="10" t="e">
        <f t="shared" si="55"/>
        <v>#VALUE!</v>
      </c>
      <c r="CA30" s="10" t="e">
        <f t="shared" si="56"/>
        <v>#VALUE!</v>
      </c>
      <c r="CB30" s="10" t="e">
        <f t="shared" si="57"/>
        <v>#VALUE!</v>
      </c>
      <c r="CD30" s="10" t="e">
        <f>MATCH(INDEX($BP$12:$BU$12,1,MATCH(BP30,$BP$15:$BU$15,0)),结果汇总!$AI$10:$AI$13,0)</f>
        <v>#VALUE!</v>
      </c>
      <c r="CE30" s="10" t="e">
        <f>MATCH(INDEX($BP$12:$BU$12,1,MATCH(BQ30,$BP$15:$BU$15,0)),结果汇总!$AI$10:$AI$13,0)</f>
        <v>#VALUE!</v>
      </c>
      <c r="CF30" s="10" t="e">
        <f>MATCH(INDEX($BP$12:$BU$12,1,MATCH(BR30,$BP$15:$BU$15,0)),结果汇总!$AI$10:$AI$13,0)</f>
        <v>#VALUE!</v>
      </c>
      <c r="CG30" s="10" t="e">
        <f>MATCH(INDEX($BP$12:$BU$12,1,MATCH(BS30,$BP$15:$BU$15,0)),结果汇总!$AI$10:$AI$13,0)</f>
        <v>#VALUE!</v>
      </c>
      <c r="CH30" s="10" t="e">
        <f>MATCH(INDEX($BP$12:$BU$12,1,MATCH(BT30,$BP$15:$BU$15,0)),结果汇总!$AI$10:$AI$13,0)</f>
        <v>#VALUE!</v>
      </c>
      <c r="CI30" s="10" t="e">
        <f>MATCH(INDEX($BP$12:$BU$12,1,MATCH(BU30,$BP$15:$BU$15,0)),结果汇总!$AI$10:$AI$13,0)</f>
        <v>#VALUE!</v>
      </c>
      <c r="CK30" s="10">
        <f t="shared" si="58"/>
        <v>0</v>
      </c>
      <c r="CL30" s="10">
        <f t="shared" si="17"/>
        <v>0</v>
      </c>
      <c r="CM30" s="10">
        <f t="shared" si="17"/>
        <v>0</v>
      </c>
      <c r="CN30" s="10">
        <f t="shared" si="17"/>
        <v>0</v>
      </c>
      <c r="CO30" s="10">
        <f t="shared" si="59"/>
        <v>0</v>
      </c>
      <c r="CP30" s="10">
        <f t="shared" si="18"/>
        <v>0</v>
      </c>
      <c r="CQ30" s="10">
        <f t="shared" si="18"/>
        <v>0</v>
      </c>
      <c r="CR30" s="10">
        <f t="shared" si="18"/>
        <v>0</v>
      </c>
      <c r="CS30" s="10" t="e">
        <f t="shared" si="60"/>
        <v>#DIV/0!</v>
      </c>
      <c r="CT30" s="10" t="e">
        <f t="shared" si="19"/>
        <v>#DIV/0!</v>
      </c>
      <c r="CU30" s="10" t="e">
        <f t="shared" si="19"/>
        <v>#DIV/0!</v>
      </c>
      <c r="CV30" s="10" t="e">
        <f t="shared" si="19"/>
        <v>#DIV/0!</v>
      </c>
      <c r="CW30" s="10">
        <f t="shared" si="61"/>
        <v>0</v>
      </c>
      <c r="CX30" s="10">
        <f t="shared" si="20"/>
        <v>0</v>
      </c>
      <c r="CY30" s="10">
        <f t="shared" si="20"/>
        <v>0</v>
      </c>
      <c r="CZ30" s="10">
        <f t="shared" si="20"/>
        <v>0</v>
      </c>
    </row>
    <row r="31" spans="4:104" x14ac:dyDescent="0.15">
      <c r="D31" s="10">
        <v>16</v>
      </c>
      <c r="E31" s="10" t="e">
        <f t="shared" si="21"/>
        <v>#VALUE!</v>
      </c>
      <c r="F31" s="10" t="e">
        <f t="shared" si="1"/>
        <v>#VALUE!</v>
      </c>
      <c r="G31" s="10" t="e">
        <f t="shared" si="2"/>
        <v>#VALUE!</v>
      </c>
      <c r="H31" s="10" t="e">
        <f t="shared" si="22"/>
        <v>#VALUE!</v>
      </c>
      <c r="I31" s="10" t="e">
        <f t="shared" si="3"/>
        <v>#VALUE!</v>
      </c>
      <c r="J31" s="10" t="e">
        <f t="shared" si="23"/>
        <v>#VALUE!</v>
      </c>
      <c r="K31" s="10" t="e">
        <f t="shared" si="4"/>
        <v>#VALUE!</v>
      </c>
      <c r="L31" s="10" t="e">
        <f t="shared" si="5"/>
        <v>#VALUE!</v>
      </c>
      <c r="M31" s="10" t="e">
        <f t="shared" si="24"/>
        <v>#VALUE!</v>
      </c>
      <c r="O31" s="10" t="e">
        <f t="shared" si="25"/>
        <v>#VALUE!</v>
      </c>
      <c r="P31" s="10" t="e">
        <f t="shared" si="6"/>
        <v>#VALUE!</v>
      </c>
      <c r="Q31" s="10" t="e">
        <f t="shared" si="7"/>
        <v>#VALUE!</v>
      </c>
      <c r="R31" s="10" t="e">
        <f t="shared" si="26"/>
        <v>#VALUE!</v>
      </c>
      <c r="S31" s="10" t="e">
        <f t="shared" si="27"/>
        <v>#VALUE!</v>
      </c>
      <c r="T31" s="10" t="e">
        <f t="shared" si="62"/>
        <v>#VALUE!</v>
      </c>
      <c r="U31" s="10" t="e">
        <f t="shared" si="63"/>
        <v>#VALUE!</v>
      </c>
      <c r="V31" s="10" t="e">
        <f t="shared" si="8"/>
        <v>#VALUE!</v>
      </c>
      <c r="W31" s="10" t="e">
        <f t="shared" si="28"/>
        <v>#VALUE!</v>
      </c>
      <c r="Y31" s="10" t="e">
        <f t="shared" si="29"/>
        <v>#VALUE!</v>
      </c>
      <c r="Z31" s="11" t="e">
        <f t="shared" si="30"/>
        <v>#VALUE!</v>
      </c>
      <c r="AA31" s="10" t="e">
        <f t="shared" si="9"/>
        <v>#VALUE!</v>
      </c>
      <c r="AB31" s="10" t="e">
        <f t="shared" si="31"/>
        <v>#VALUE!</v>
      </c>
      <c r="AC31" s="10" t="e">
        <f t="shared" si="32"/>
        <v>#VALUE!</v>
      </c>
      <c r="AD31" s="10" t="e">
        <f t="shared" si="64"/>
        <v>#VALUE!</v>
      </c>
      <c r="AE31" s="10" t="e">
        <f t="shared" si="65"/>
        <v>#VALUE!</v>
      </c>
      <c r="AF31" s="10" t="e">
        <f t="shared" si="10"/>
        <v>#VALUE!</v>
      </c>
      <c r="AG31" s="10" t="e">
        <f t="shared" si="33"/>
        <v>#VALUE!</v>
      </c>
      <c r="AI31" s="13"/>
      <c r="AK31" s="10" t="e">
        <f t="shared" si="34"/>
        <v>#VALUE!</v>
      </c>
      <c r="AL31" s="10" t="e">
        <f t="shared" si="66"/>
        <v>#VALUE!</v>
      </c>
      <c r="AM31" s="10" t="e">
        <f t="shared" si="11"/>
        <v>#VALUE!</v>
      </c>
      <c r="AN31" s="10" t="e">
        <f t="shared" si="35"/>
        <v>#VALUE!</v>
      </c>
      <c r="AO31" s="10" t="e">
        <f t="shared" si="36"/>
        <v>#VALUE!</v>
      </c>
      <c r="AP31" s="10" t="e">
        <f t="shared" si="37"/>
        <v>#VALUE!</v>
      </c>
      <c r="AQ31" s="10" t="e">
        <f t="shared" si="67"/>
        <v>#VALUE!</v>
      </c>
      <c r="AR31" s="10" t="e">
        <f t="shared" si="12"/>
        <v>#VALUE!</v>
      </c>
      <c r="AS31" s="10" t="e">
        <f t="shared" si="68"/>
        <v>#VALUE!</v>
      </c>
      <c r="AU31" s="10" t="e">
        <f t="shared" si="38"/>
        <v>#VALUE!</v>
      </c>
      <c r="AV31" s="10" t="e">
        <f t="shared" si="69"/>
        <v>#VALUE!</v>
      </c>
      <c r="AW31" s="10" t="e">
        <f t="shared" si="13"/>
        <v>#VALUE!</v>
      </c>
      <c r="AX31" s="10" t="e">
        <f t="shared" si="39"/>
        <v>#VALUE!</v>
      </c>
      <c r="AY31" s="10" t="e">
        <f t="shared" si="40"/>
        <v>#VALUE!</v>
      </c>
      <c r="AZ31" s="10" t="e">
        <f t="shared" si="41"/>
        <v>#VALUE!</v>
      </c>
      <c r="BA31" s="10" t="e">
        <f t="shared" si="70"/>
        <v>#VALUE!</v>
      </c>
      <c r="BB31" s="10" t="e">
        <f t="shared" si="14"/>
        <v>#VALUE!</v>
      </c>
      <c r="BC31" s="10" t="e">
        <f t="shared" si="71"/>
        <v>#VALUE!</v>
      </c>
      <c r="BE31" s="10" t="e">
        <f t="shared" si="42"/>
        <v>#VALUE!</v>
      </c>
      <c r="BF31" s="10" t="e">
        <f t="shared" si="72"/>
        <v>#VALUE!</v>
      </c>
      <c r="BG31" s="10" t="e">
        <f t="shared" si="15"/>
        <v>#VALUE!</v>
      </c>
      <c r="BH31" s="10" t="e">
        <f t="shared" si="43"/>
        <v>#VALUE!</v>
      </c>
      <c r="BI31" s="10" t="e">
        <f t="shared" si="44"/>
        <v>#VALUE!</v>
      </c>
      <c r="BJ31" s="10" t="e">
        <f t="shared" si="45"/>
        <v>#VALUE!</v>
      </c>
      <c r="BK31" s="10" t="e">
        <f t="shared" si="73"/>
        <v>#VALUE!</v>
      </c>
      <c r="BL31" s="10" t="e">
        <f t="shared" si="16"/>
        <v>#VALUE!</v>
      </c>
      <c r="BM31" s="10" t="e">
        <f t="shared" si="74"/>
        <v>#VALUE!</v>
      </c>
      <c r="BP31" s="10" t="e">
        <f t="shared" si="46"/>
        <v>#VALUE!</v>
      </c>
      <c r="BQ31" s="10" t="e">
        <f t="shared" si="47"/>
        <v>#VALUE!</v>
      </c>
      <c r="BR31" s="10" t="e">
        <f t="shared" si="48"/>
        <v>#VALUE!</v>
      </c>
      <c r="BS31" s="10" t="e">
        <f t="shared" si="49"/>
        <v>#VALUE!</v>
      </c>
      <c r="BT31" s="10" t="e">
        <f t="shared" si="50"/>
        <v>#VALUE!</v>
      </c>
      <c r="BU31" s="10" t="e">
        <f t="shared" si="51"/>
        <v>#VALUE!</v>
      </c>
      <c r="BW31" s="10" t="e">
        <f t="shared" si="52"/>
        <v>#VALUE!</v>
      </c>
      <c r="BX31" s="10" t="e">
        <f t="shared" si="53"/>
        <v>#VALUE!</v>
      </c>
      <c r="BY31" s="10" t="e">
        <f t="shared" si="54"/>
        <v>#VALUE!</v>
      </c>
      <c r="BZ31" s="10" t="e">
        <f t="shared" si="55"/>
        <v>#VALUE!</v>
      </c>
      <c r="CA31" s="10" t="e">
        <f t="shared" si="56"/>
        <v>#VALUE!</v>
      </c>
      <c r="CB31" s="10" t="e">
        <f t="shared" si="57"/>
        <v>#VALUE!</v>
      </c>
      <c r="CD31" s="10" t="e">
        <f>MATCH(INDEX($BP$12:$BU$12,1,MATCH(BP31,$BP$15:$BU$15,0)),结果汇总!$AI$10:$AI$13,0)</f>
        <v>#VALUE!</v>
      </c>
      <c r="CE31" s="10" t="e">
        <f>MATCH(INDEX($BP$12:$BU$12,1,MATCH(BQ31,$BP$15:$BU$15,0)),结果汇总!$AI$10:$AI$13,0)</f>
        <v>#VALUE!</v>
      </c>
      <c r="CF31" s="10" t="e">
        <f>MATCH(INDEX($BP$12:$BU$12,1,MATCH(BR31,$BP$15:$BU$15,0)),结果汇总!$AI$10:$AI$13,0)</f>
        <v>#VALUE!</v>
      </c>
      <c r="CG31" s="10" t="e">
        <f>MATCH(INDEX($BP$12:$BU$12,1,MATCH(BS31,$BP$15:$BU$15,0)),结果汇总!$AI$10:$AI$13,0)</f>
        <v>#VALUE!</v>
      </c>
      <c r="CH31" s="10" t="e">
        <f>MATCH(INDEX($BP$12:$BU$12,1,MATCH(BT31,$BP$15:$BU$15,0)),结果汇总!$AI$10:$AI$13,0)</f>
        <v>#VALUE!</v>
      </c>
      <c r="CI31" s="10" t="e">
        <f>MATCH(INDEX($BP$12:$BU$12,1,MATCH(BU31,$BP$15:$BU$15,0)),结果汇总!$AI$10:$AI$13,0)</f>
        <v>#VALUE!</v>
      </c>
      <c r="CK31" s="10">
        <f t="shared" si="58"/>
        <v>0</v>
      </c>
      <c r="CL31" s="10">
        <f t="shared" si="17"/>
        <v>0</v>
      </c>
      <c r="CM31" s="10">
        <f t="shared" si="17"/>
        <v>0</v>
      </c>
      <c r="CN31" s="10">
        <f t="shared" si="17"/>
        <v>0</v>
      </c>
      <c r="CO31" s="10">
        <f t="shared" si="59"/>
        <v>0</v>
      </c>
      <c r="CP31" s="10">
        <f t="shared" si="18"/>
        <v>0</v>
      </c>
      <c r="CQ31" s="10">
        <f t="shared" si="18"/>
        <v>0</v>
      </c>
      <c r="CR31" s="10">
        <f t="shared" si="18"/>
        <v>0</v>
      </c>
      <c r="CS31" s="10" t="e">
        <f t="shared" si="60"/>
        <v>#DIV/0!</v>
      </c>
      <c r="CT31" s="10" t="e">
        <f t="shared" si="19"/>
        <v>#DIV/0!</v>
      </c>
      <c r="CU31" s="10" t="e">
        <f t="shared" si="19"/>
        <v>#DIV/0!</v>
      </c>
      <c r="CV31" s="10" t="e">
        <f t="shared" si="19"/>
        <v>#DIV/0!</v>
      </c>
      <c r="CW31" s="10">
        <f t="shared" si="61"/>
        <v>0</v>
      </c>
      <c r="CX31" s="10">
        <f t="shared" si="20"/>
        <v>0</v>
      </c>
      <c r="CY31" s="10">
        <f t="shared" si="20"/>
        <v>0</v>
      </c>
      <c r="CZ31" s="10">
        <f t="shared" si="20"/>
        <v>0</v>
      </c>
    </row>
    <row r="32" spans="4:104" x14ac:dyDescent="0.15">
      <c r="D32" s="10">
        <v>17</v>
      </c>
      <c r="E32" s="10" t="e">
        <f t="shared" si="21"/>
        <v>#VALUE!</v>
      </c>
      <c r="F32" s="10" t="e">
        <f t="shared" si="1"/>
        <v>#VALUE!</v>
      </c>
      <c r="G32" s="10" t="e">
        <f t="shared" si="2"/>
        <v>#VALUE!</v>
      </c>
      <c r="H32" s="10" t="e">
        <f t="shared" si="22"/>
        <v>#VALUE!</v>
      </c>
      <c r="I32" s="10" t="e">
        <f t="shared" si="3"/>
        <v>#VALUE!</v>
      </c>
      <c r="J32" s="10" t="e">
        <f t="shared" si="23"/>
        <v>#VALUE!</v>
      </c>
      <c r="K32" s="10" t="e">
        <f t="shared" si="4"/>
        <v>#VALUE!</v>
      </c>
      <c r="L32" s="10" t="e">
        <f t="shared" si="5"/>
        <v>#VALUE!</v>
      </c>
      <c r="M32" s="10" t="e">
        <f t="shared" si="24"/>
        <v>#VALUE!</v>
      </c>
      <c r="O32" s="10" t="e">
        <f t="shared" si="25"/>
        <v>#VALUE!</v>
      </c>
      <c r="P32" s="10" t="e">
        <f t="shared" si="6"/>
        <v>#VALUE!</v>
      </c>
      <c r="Q32" s="10" t="e">
        <f t="shared" si="7"/>
        <v>#VALUE!</v>
      </c>
      <c r="R32" s="10" t="e">
        <f t="shared" si="26"/>
        <v>#VALUE!</v>
      </c>
      <c r="S32" s="10" t="e">
        <f t="shared" si="27"/>
        <v>#VALUE!</v>
      </c>
      <c r="T32" s="10" t="e">
        <f t="shared" si="62"/>
        <v>#VALUE!</v>
      </c>
      <c r="U32" s="10" t="e">
        <f t="shared" si="63"/>
        <v>#VALUE!</v>
      </c>
      <c r="V32" s="10" t="e">
        <f t="shared" si="8"/>
        <v>#VALUE!</v>
      </c>
      <c r="W32" s="10" t="e">
        <f t="shared" si="28"/>
        <v>#VALUE!</v>
      </c>
      <c r="Y32" s="10" t="e">
        <f t="shared" si="29"/>
        <v>#VALUE!</v>
      </c>
      <c r="Z32" s="11" t="e">
        <f t="shared" si="30"/>
        <v>#VALUE!</v>
      </c>
      <c r="AA32" s="10" t="e">
        <f t="shared" si="9"/>
        <v>#VALUE!</v>
      </c>
      <c r="AB32" s="10" t="e">
        <f t="shared" si="31"/>
        <v>#VALUE!</v>
      </c>
      <c r="AC32" s="10" t="e">
        <f t="shared" si="32"/>
        <v>#VALUE!</v>
      </c>
      <c r="AD32" s="10" t="e">
        <f t="shared" si="64"/>
        <v>#VALUE!</v>
      </c>
      <c r="AE32" s="10" t="e">
        <f t="shared" si="65"/>
        <v>#VALUE!</v>
      </c>
      <c r="AF32" s="10" t="e">
        <f t="shared" si="10"/>
        <v>#VALUE!</v>
      </c>
      <c r="AG32" s="10" t="e">
        <f t="shared" si="33"/>
        <v>#VALUE!</v>
      </c>
      <c r="AI32" s="13"/>
      <c r="AK32" s="10" t="e">
        <f t="shared" si="34"/>
        <v>#VALUE!</v>
      </c>
      <c r="AL32" s="10" t="e">
        <f t="shared" si="66"/>
        <v>#VALUE!</v>
      </c>
      <c r="AM32" s="10" t="e">
        <f t="shared" si="11"/>
        <v>#VALUE!</v>
      </c>
      <c r="AN32" s="10" t="e">
        <f t="shared" si="35"/>
        <v>#VALUE!</v>
      </c>
      <c r="AO32" s="10" t="e">
        <f t="shared" si="36"/>
        <v>#VALUE!</v>
      </c>
      <c r="AP32" s="10" t="e">
        <f t="shared" si="37"/>
        <v>#VALUE!</v>
      </c>
      <c r="AQ32" s="10" t="e">
        <f t="shared" si="67"/>
        <v>#VALUE!</v>
      </c>
      <c r="AR32" s="10" t="e">
        <f t="shared" si="12"/>
        <v>#VALUE!</v>
      </c>
      <c r="AS32" s="10" t="e">
        <f t="shared" si="68"/>
        <v>#VALUE!</v>
      </c>
      <c r="AU32" s="10" t="e">
        <f t="shared" si="38"/>
        <v>#VALUE!</v>
      </c>
      <c r="AV32" s="10" t="e">
        <f t="shared" si="69"/>
        <v>#VALUE!</v>
      </c>
      <c r="AW32" s="10" t="e">
        <f t="shared" si="13"/>
        <v>#VALUE!</v>
      </c>
      <c r="AX32" s="10" t="e">
        <f t="shared" si="39"/>
        <v>#VALUE!</v>
      </c>
      <c r="AY32" s="10" t="e">
        <f t="shared" si="40"/>
        <v>#VALUE!</v>
      </c>
      <c r="AZ32" s="10" t="e">
        <f t="shared" si="41"/>
        <v>#VALUE!</v>
      </c>
      <c r="BA32" s="10" t="e">
        <f t="shared" si="70"/>
        <v>#VALUE!</v>
      </c>
      <c r="BB32" s="10" t="e">
        <f t="shared" si="14"/>
        <v>#VALUE!</v>
      </c>
      <c r="BC32" s="10" t="e">
        <f t="shared" si="71"/>
        <v>#VALUE!</v>
      </c>
      <c r="BE32" s="10" t="e">
        <f t="shared" si="42"/>
        <v>#VALUE!</v>
      </c>
      <c r="BF32" s="10" t="e">
        <f t="shared" si="72"/>
        <v>#VALUE!</v>
      </c>
      <c r="BG32" s="10" t="e">
        <f t="shared" si="15"/>
        <v>#VALUE!</v>
      </c>
      <c r="BH32" s="10" t="e">
        <f t="shared" si="43"/>
        <v>#VALUE!</v>
      </c>
      <c r="BI32" s="10" t="e">
        <f t="shared" si="44"/>
        <v>#VALUE!</v>
      </c>
      <c r="BJ32" s="10" t="e">
        <f t="shared" si="45"/>
        <v>#VALUE!</v>
      </c>
      <c r="BK32" s="10" t="e">
        <f t="shared" si="73"/>
        <v>#VALUE!</v>
      </c>
      <c r="BL32" s="10" t="e">
        <f t="shared" si="16"/>
        <v>#VALUE!</v>
      </c>
      <c r="BM32" s="10" t="e">
        <f t="shared" si="74"/>
        <v>#VALUE!</v>
      </c>
      <c r="BP32" s="10" t="e">
        <f t="shared" si="46"/>
        <v>#VALUE!</v>
      </c>
      <c r="BQ32" s="10" t="e">
        <f t="shared" si="47"/>
        <v>#VALUE!</v>
      </c>
      <c r="BR32" s="10" t="e">
        <f t="shared" si="48"/>
        <v>#VALUE!</v>
      </c>
      <c r="BS32" s="10" t="e">
        <f t="shared" si="49"/>
        <v>#VALUE!</v>
      </c>
      <c r="BT32" s="10" t="e">
        <f t="shared" si="50"/>
        <v>#VALUE!</v>
      </c>
      <c r="BU32" s="10" t="e">
        <f t="shared" si="51"/>
        <v>#VALUE!</v>
      </c>
      <c r="BW32" s="10" t="e">
        <f t="shared" si="52"/>
        <v>#VALUE!</v>
      </c>
      <c r="BX32" s="10" t="e">
        <f t="shared" si="53"/>
        <v>#VALUE!</v>
      </c>
      <c r="BY32" s="10" t="e">
        <f t="shared" si="54"/>
        <v>#VALUE!</v>
      </c>
      <c r="BZ32" s="10" t="e">
        <f t="shared" si="55"/>
        <v>#VALUE!</v>
      </c>
      <c r="CA32" s="10" t="e">
        <f t="shared" si="56"/>
        <v>#VALUE!</v>
      </c>
      <c r="CB32" s="10" t="e">
        <f t="shared" si="57"/>
        <v>#VALUE!</v>
      </c>
      <c r="CD32" s="10" t="e">
        <f>MATCH(INDEX($BP$12:$BU$12,1,MATCH(BP32,$BP$15:$BU$15,0)),结果汇总!$AI$10:$AI$13,0)</f>
        <v>#VALUE!</v>
      </c>
      <c r="CE32" s="10" t="e">
        <f>MATCH(INDEX($BP$12:$BU$12,1,MATCH(BQ32,$BP$15:$BU$15,0)),结果汇总!$AI$10:$AI$13,0)</f>
        <v>#VALUE!</v>
      </c>
      <c r="CF32" s="10" t="e">
        <f>MATCH(INDEX($BP$12:$BU$12,1,MATCH(BR32,$BP$15:$BU$15,0)),结果汇总!$AI$10:$AI$13,0)</f>
        <v>#VALUE!</v>
      </c>
      <c r="CG32" s="10" t="e">
        <f>MATCH(INDEX($BP$12:$BU$12,1,MATCH(BS32,$BP$15:$BU$15,0)),结果汇总!$AI$10:$AI$13,0)</f>
        <v>#VALUE!</v>
      </c>
      <c r="CH32" s="10" t="e">
        <f>MATCH(INDEX($BP$12:$BU$12,1,MATCH(BT32,$BP$15:$BU$15,0)),结果汇总!$AI$10:$AI$13,0)</f>
        <v>#VALUE!</v>
      </c>
      <c r="CI32" s="10" t="e">
        <f>MATCH(INDEX($BP$12:$BU$12,1,MATCH(BU32,$BP$15:$BU$15,0)),结果汇总!$AI$10:$AI$13,0)</f>
        <v>#VALUE!</v>
      </c>
      <c r="CK32" s="10">
        <f t="shared" si="58"/>
        <v>0</v>
      </c>
      <c r="CL32" s="10">
        <f t="shared" si="58"/>
        <v>0</v>
      </c>
      <c r="CM32" s="10">
        <f t="shared" si="58"/>
        <v>0</v>
      </c>
      <c r="CN32" s="10">
        <f t="shared" si="58"/>
        <v>0</v>
      </c>
      <c r="CO32" s="10">
        <f t="shared" si="59"/>
        <v>0</v>
      </c>
      <c r="CP32" s="10">
        <f t="shared" si="59"/>
        <v>0</v>
      </c>
      <c r="CQ32" s="10">
        <f t="shared" si="59"/>
        <v>0</v>
      </c>
      <c r="CR32" s="10">
        <f t="shared" si="59"/>
        <v>0</v>
      </c>
      <c r="CS32" s="10" t="e">
        <f t="shared" si="60"/>
        <v>#DIV/0!</v>
      </c>
      <c r="CT32" s="10" t="e">
        <f t="shared" si="60"/>
        <v>#DIV/0!</v>
      </c>
      <c r="CU32" s="10" t="e">
        <f t="shared" si="60"/>
        <v>#DIV/0!</v>
      </c>
      <c r="CV32" s="10" t="e">
        <f t="shared" si="60"/>
        <v>#DIV/0!</v>
      </c>
      <c r="CW32" s="10">
        <f t="shared" si="61"/>
        <v>0</v>
      </c>
      <c r="CX32" s="10">
        <f t="shared" si="61"/>
        <v>0</v>
      </c>
      <c r="CY32" s="10">
        <f t="shared" si="61"/>
        <v>0</v>
      </c>
      <c r="CZ32" s="10">
        <f t="shared" si="61"/>
        <v>0</v>
      </c>
    </row>
    <row r="33" spans="4:104" x14ac:dyDescent="0.15">
      <c r="D33" s="10">
        <v>18</v>
      </c>
      <c r="E33" s="10" t="e">
        <f t="shared" si="21"/>
        <v>#VALUE!</v>
      </c>
      <c r="F33" s="10" t="e">
        <f t="shared" si="1"/>
        <v>#VALUE!</v>
      </c>
      <c r="G33" s="10" t="e">
        <f t="shared" si="2"/>
        <v>#VALUE!</v>
      </c>
      <c r="H33" s="10" t="e">
        <f t="shared" si="22"/>
        <v>#VALUE!</v>
      </c>
      <c r="I33" s="10" t="e">
        <f t="shared" si="3"/>
        <v>#VALUE!</v>
      </c>
      <c r="J33" s="10" t="e">
        <f t="shared" si="23"/>
        <v>#VALUE!</v>
      </c>
      <c r="K33" s="10" t="e">
        <f t="shared" si="4"/>
        <v>#VALUE!</v>
      </c>
      <c r="L33" s="10" t="e">
        <f t="shared" si="5"/>
        <v>#VALUE!</v>
      </c>
      <c r="M33" s="10" t="e">
        <f t="shared" si="24"/>
        <v>#VALUE!</v>
      </c>
      <c r="O33" s="10" t="e">
        <f t="shared" si="25"/>
        <v>#VALUE!</v>
      </c>
      <c r="P33" s="10" t="e">
        <f t="shared" si="6"/>
        <v>#VALUE!</v>
      </c>
      <c r="Q33" s="10" t="e">
        <f t="shared" si="7"/>
        <v>#VALUE!</v>
      </c>
      <c r="R33" s="10" t="e">
        <f t="shared" si="26"/>
        <v>#VALUE!</v>
      </c>
      <c r="S33" s="10" t="e">
        <f t="shared" si="27"/>
        <v>#VALUE!</v>
      </c>
      <c r="T33" s="10" t="e">
        <f t="shared" si="62"/>
        <v>#VALUE!</v>
      </c>
      <c r="U33" s="10" t="e">
        <f t="shared" si="63"/>
        <v>#VALUE!</v>
      </c>
      <c r="V33" s="10" t="e">
        <f t="shared" si="8"/>
        <v>#VALUE!</v>
      </c>
      <c r="W33" s="10" t="e">
        <f t="shared" si="28"/>
        <v>#VALUE!</v>
      </c>
      <c r="Y33" s="10" t="e">
        <f t="shared" si="29"/>
        <v>#VALUE!</v>
      </c>
      <c r="Z33" s="11" t="e">
        <f t="shared" si="30"/>
        <v>#VALUE!</v>
      </c>
      <c r="AA33" s="10" t="e">
        <f t="shared" si="9"/>
        <v>#VALUE!</v>
      </c>
      <c r="AB33" s="10" t="e">
        <f t="shared" si="31"/>
        <v>#VALUE!</v>
      </c>
      <c r="AC33" s="10" t="e">
        <f t="shared" si="32"/>
        <v>#VALUE!</v>
      </c>
      <c r="AD33" s="10" t="e">
        <f t="shared" si="64"/>
        <v>#VALUE!</v>
      </c>
      <c r="AE33" s="10" t="e">
        <f t="shared" si="65"/>
        <v>#VALUE!</v>
      </c>
      <c r="AF33" s="10" t="e">
        <f t="shared" si="10"/>
        <v>#VALUE!</v>
      </c>
      <c r="AG33" s="10" t="e">
        <f t="shared" si="33"/>
        <v>#VALUE!</v>
      </c>
      <c r="AI33" s="13"/>
      <c r="AK33" s="10" t="e">
        <f t="shared" si="34"/>
        <v>#VALUE!</v>
      </c>
      <c r="AL33" s="10" t="e">
        <f t="shared" si="66"/>
        <v>#VALUE!</v>
      </c>
      <c r="AM33" s="10" t="e">
        <f t="shared" si="11"/>
        <v>#VALUE!</v>
      </c>
      <c r="AN33" s="10" t="e">
        <f t="shared" si="35"/>
        <v>#VALUE!</v>
      </c>
      <c r="AO33" s="10" t="e">
        <f t="shared" si="36"/>
        <v>#VALUE!</v>
      </c>
      <c r="AP33" s="10" t="e">
        <f t="shared" si="37"/>
        <v>#VALUE!</v>
      </c>
      <c r="AQ33" s="10" t="e">
        <f t="shared" si="67"/>
        <v>#VALUE!</v>
      </c>
      <c r="AR33" s="10" t="e">
        <f t="shared" si="12"/>
        <v>#VALUE!</v>
      </c>
      <c r="AS33" s="10" t="e">
        <f t="shared" si="68"/>
        <v>#VALUE!</v>
      </c>
      <c r="AU33" s="10" t="e">
        <f t="shared" si="38"/>
        <v>#VALUE!</v>
      </c>
      <c r="AV33" s="10" t="e">
        <f t="shared" si="69"/>
        <v>#VALUE!</v>
      </c>
      <c r="AW33" s="10" t="e">
        <f t="shared" si="13"/>
        <v>#VALUE!</v>
      </c>
      <c r="AX33" s="10" t="e">
        <f t="shared" si="39"/>
        <v>#VALUE!</v>
      </c>
      <c r="AY33" s="10" t="e">
        <f t="shared" si="40"/>
        <v>#VALUE!</v>
      </c>
      <c r="AZ33" s="10" t="e">
        <f t="shared" si="41"/>
        <v>#VALUE!</v>
      </c>
      <c r="BA33" s="10" t="e">
        <f t="shared" si="70"/>
        <v>#VALUE!</v>
      </c>
      <c r="BB33" s="10" t="e">
        <f t="shared" si="14"/>
        <v>#VALUE!</v>
      </c>
      <c r="BC33" s="10" t="e">
        <f t="shared" si="71"/>
        <v>#VALUE!</v>
      </c>
      <c r="BE33" s="10" t="e">
        <f t="shared" si="42"/>
        <v>#VALUE!</v>
      </c>
      <c r="BF33" s="10" t="e">
        <f t="shared" si="72"/>
        <v>#VALUE!</v>
      </c>
      <c r="BG33" s="10" t="e">
        <f t="shared" si="15"/>
        <v>#VALUE!</v>
      </c>
      <c r="BH33" s="10" t="e">
        <f t="shared" si="43"/>
        <v>#VALUE!</v>
      </c>
      <c r="BI33" s="10" t="e">
        <f t="shared" si="44"/>
        <v>#VALUE!</v>
      </c>
      <c r="BJ33" s="10" t="e">
        <f t="shared" si="45"/>
        <v>#VALUE!</v>
      </c>
      <c r="BK33" s="10" t="e">
        <f t="shared" si="73"/>
        <v>#VALUE!</v>
      </c>
      <c r="BL33" s="10" t="e">
        <f t="shared" si="16"/>
        <v>#VALUE!</v>
      </c>
      <c r="BM33" s="10" t="e">
        <f t="shared" si="74"/>
        <v>#VALUE!</v>
      </c>
      <c r="BP33" s="10" t="e">
        <f t="shared" si="46"/>
        <v>#VALUE!</v>
      </c>
      <c r="BQ33" s="10" t="e">
        <f t="shared" si="47"/>
        <v>#VALUE!</v>
      </c>
      <c r="BR33" s="10" t="e">
        <f t="shared" si="48"/>
        <v>#VALUE!</v>
      </c>
      <c r="BS33" s="10" t="e">
        <f t="shared" si="49"/>
        <v>#VALUE!</v>
      </c>
      <c r="BT33" s="10" t="e">
        <f t="shared" si="50"/>
        <v>#VALUE!</v>
      </c>
      <c r="BU33" s="10" t="e">
        <f t="shared" si="51"/>
        <v>#VALUE!</v>
      </c>
      <c r="BW33" s="10" t="e">
        <f t="shared" si="52"/>
        <v>#VALUE!</v>
      </c>
      <c r="BX33" s="10" t="e">
        <f t="shared" si="53"/>
        <v>#VALUE!</v>
      </c>
      <c r="BY33" s="10" t="e">
        <f t="shared" si="54"/>
        <v>#VALUE!</v>
      </c>
      <c r="BZ33" s="10" t="e">
        <f t="shared" si="55"/>
        <v>#VALUE!</v>
      </c>
      <c r="CA33" s="10" t="e">
        <f t="shared" si="56"/>
        <v>#VALUE!</v>
      </c>
      <c r="CB33" s="10" t="e">
        <f t="shared" si="57"/>
        <v>#VALUE!</v>
      </c>
      <c r="CD33" s="10" t="e">
        <f>MATCH(INDEX($BP$12:$BU$12,1,MATCH(BP33,$BP$15:$BU$15,0)),结果汇总!$AI$10:$AI$13,0)</f>
        <v>#VALUE!</v>
      </c>
      <c r="CE33" s="10" t="e">
        <f>MATCH(INDEX($BP$12:$BU$12,1,MATCH(BQ33,$BP$15:$BU$15,0)),结果汇总!$AI$10:$AI$13,0)</f>
        <v>#VALUE!</v>
      </c>
      <c r="CF33" s="10" t="e">
        <f>MATCH(INDEX($BP$12:$BU$12,1,MATCH(BR33,$BP$15:$BU$15,0)),结果汇总!$AI$10:$AI$13,0)</f>
        <v>#VALUE!</v>
      </c>
      <c r="CG33" s="10" t="e">
        <f>MATCH(INDEX($BP$12:$BU$12,1,MATCH(BS33,$BP$15:$BU$15,0)),结果汇总!$AI$10:$AI$13,0)</f>
        <v>#VALUE!</v>
      </c>
      <c r="CH33" s="10" t="e">
        <f>MATCH(INDEX($BP$12:$BU$12,1,MATCH(BT33,$BP$15:$BU$15,0)),结果汇总!$AI$10:$AI$13,0)</f>
        <v>#VALUE!</v>
      </c>
      <c r="CI33" s="10" t="e">
        <f>MATCH(INDEX($BP$12:$BU$12,1,MATCH(BU33,$BP$15:$BU$15,0)),结果汇总!$AI$10:$AI$13,0)</f>
        <v>#VALUE!</v>
      </c>
      <c r="CK33" s="10">
        <f t="shared" si="58"/>
        <v>0</v>
      </c>
      <c r="CL33" s="10">
        <f t="shared" si="58"/>
        <v>0</v>
      </c>
      <c r="CM33" s="10">
        <f t="shared" si="58"/>
        <v>0</v>
      </c>
      <c r="CN33" s="10">
        <f t="shared" si="58"/>
        <v>0</v>
      </c>
      <c r="CO33" s="10">
        <f t="shared" si="59"/>
        <v>0</v>
      </c>
      <c r="CP33" s="10">
        <f t="shared" si="59"/>
        <v>0</v>
      </c>
      <c r="CQ33" s="10">
        <f t="shared" si="59"/>
        <v>0</v>
      </c>
      <c r="CR33" s="10">
        <f t="shared" si="59"/>
        <v>0</v>
      </c>
      <c r="CS33" s="10" t="e">
        <f t="shared" si="60"/>
        <v>#DIV/0!</v>
      </c>
      <c r="CT33" s="10" t="e">
        <f t="shared" si="60"/>
        <v>#DIV/0!</v>
      </c>
      <c r="CU33" s="10" t="e">
        <f t="shared" si="60"/>
        <v>#DIV/0!</v>
      </c>
      <c r="CV33" s="10" t="e">
        <f t="shared" si="60"/>
        <v>#DIV/0!</v>
      </c>
      <c r="CW33" s="10">
        <f t="shared" si="61"/>
        <v>0</v>
      </c>
      <c r="CX33" s="10">
        <f t="shared" si="61"/>
        <v>0</v>
      </c>
      <c r="CY33" s="10">
        <f t="shared" si="61"/>
        <v>0</v>
      </c>
      <c r="CZ33" s="10">
        <f t="shared" si="61"/>
        <v>0</v>
      </c>
    </row>
    <row r="34" spans="4:104" x14ac:dyDescent="0.15">
      <c r="D34" s="10">
        <v>19</v>
      </c>
      <c r="E34" s="10" t="e">
        <f t="shared" si="21"/>
        <v>#VALUE!</v>
      </c>
      <c r="F34" s="10" t="e">
        <f t="shared" si="1"/>
        <v>#VALUE!</v>
      </c>
      <c r="G34" s="10" t="e">
        <f t="shared" si="2"/>
        <v>#VALUE!</v>
      </c>
      <c r="H34" s="10" t="e">
        <f t="shared" si="22"/>
        <v>#VALUE!</v>
      </c>
      <c r="I34" s="10" t="e">
        <f t="shared" si="3"/>
        <v>#VALUE!</v>
      </c>
      <c r="J34" s="10" t="e">
        <f t="shared" si="23"/>
        <v>#VALUE!</v>
      </c>
      <c r="K34" s="10" t="e">
        <f t="shared" si="4"/>
        <v>#VALUE!</v>
      </c>
      <c r="L34" s="10" t="e">
        <f t="shared" si="5"/>
        <v>#VALUE!</v>
      </c>
      <c r="M34" s="10" t="e">
        <f t="shared" si="24"/>
        <v>#VALUE!</v>
      </c>
      <c r="O34" s="10" t="e">
        <f t="shared" si="25"/>
        <v>#VALUE!</v>
      </c>
      <c r="P34" s="10" t="e">
        <f t="shared" si="6"/>
        <v>#VALUE!</v>
      </c>
      <c r="Q34" s="10" t="e">
        <f t="shared" si="7"/>
        <v>#VALUE!</v>
      </c>
      <c r="R34" s="10" t="e">
        <f t="shared" si="26"/>
        <v>#VALUE!</v>
      </c>
      <c r="S34" s="10" t="e">
        <f t="shared" si="27"/>
        <v>#VALUE!</v>
      </c>
      <c r="T34" s="10" t="e">
        <f t="shared" si="62"/>
        <v>#VALUE!</v>
      </c>
      <c r="U34" s="10" t="e">
        <f t="shared" si="63"/>
        <v>#VALUE!</v>
      </c>
      <c r="V34" s="10" t="e">
        <f t="shared" si="8"/>
        <v>#VALUE!</v>
      </c>
      <c r="W34" s="10" t="e">
        <f t="shared" si="28"/>
        <v>#VALUE!</v>
      </c>
      <c r="Y34" s="10" t="e">
        <f t="shared" si="29"/>
        <v>#VALUE!</v>
      </c>
      <c r="Z34" s="11" t="e">
        <f t="shared" si="30"/>
        <v>#VALUE!</v>
      </c>
      <c r="AA34" s="10" t="e">
        <f t="shared" si="9"/>
        <v>#VALUE!</v>
      </c>
      <c r="AB34" s="10" t="e">
        <f t="shared" si="31"/>
        <v>#VALUE!</v>
      </c>
      <c r="AC34" s="10" t="e">
        <f t="shared" si="32"/>
        <v>#VALUE!</v>
      </c>
      <c r="AD34" s="10" t="e">
        <f t="shared" si="64"/>
        <v>#VALUE!</v>
      </c>
      <c r="AE34" s="10" t="e">
        <f t="shared" si="65"/>
        <v>#VALUE!</v>
      </c>
      <c r="AF34" s="10" t="e">
        <f t="shared" si="10"/>
        <v>#VALUE!</v>
      </c>
      <c r="AG34" s="10" t="e">
        <f t="shared" si="33"/>
        <v>#VALUE!</v>
      </c>
      <c r="AI34" s="13"/>
      <c r="AK34" s="10" t="e">
        <f t="shared" si="34"/>
        <v>#VALUE!</v>
      </c>
      <c r="AL34" s="10" t="e">
        <f t="shared" si="66"/>
        <v>#VALUE!</v>
      </c>
      <c r="AM34" s="10" t="e">
        <f t="shared" si="11"/>
        <v>#VALUE!</v>
      </c>
      <c r="AN34" s="10" t="e">
        <f t="shared" si="35"/>
        <v>#VALUE!</v>
      </c>
      <c r="AO34" s="10" t="e">
        <f t="shared" si="36"/>
        <v>#VALUE!</v>
      </c>
      <c r="AP34" s="10" t="e">
        <f t="shared" si="37"/>
        <v>#VALUE!</v>
      </c>
      <c r="AQ34" s="10" t="e">
        <f t="shared" si="67"/>
        <v>#VALUE!</v>
      </c>
      <c r="AR34" s="10" t="e">
        <f t="shared" si="12"/>
        <v>#VALUE!</v>
      </c>
      <c r="AS34" s="10" t="e">
        <f t="shared" si="68"/>
        <v>#VALUE!</v>
      </c>
      <c r="AU34" s="10" t="e">
        <f t="shared" si="38"/>
        <v>#VALUE!</v>
      </c>
      <c r="AV34" s="10" t="e">
        <f t="shared" si="69"/>
        <v>#VALUE!</v>
      </c>
      <c r="AW34" s="10" t="e">
        <f t="shared" si="13"/>
        <v>#VALUE!</v>
      </c>
      <c r="AX34" s="10" t="e">
        <f t="shared" si="39"/>
        <v>#VALUE!</v>
      </c>
      <c r="AY34" s="10" t="e">
        <f t="shared" si="40"/>
        <v>#VALUE!</v>
      </c>
      <c r="AZ34" s="10" t="e">
        <f t="shared" si="41"/>
        <v>#VALUE!</v>
      </c>
      <c r="BA34" s="10" t="e">
        <f t="shared" si="70"/>
        <v>#VALUE!</v>
      </c>
      <c r="BB34" s="10" t="e">
        <f t="shared" si="14"/>
        <v>#VALUE!</v>
      </c>
      <c r="BC34" s="10" t="e">
        <f t="shared" si="71"/>
        <v>#VALUE!</v>
      </c>
      <c r="BE34" s="10" t="e">
        <f t="shared" si="42"/>
        <v>#VALUE!</v>
      </c>
      <c r="BF34" s="10" t="e">
        <f t="shared" si="72"/>
        <v>#VALUE!</v>
      </c>
      <c r="BG34" s="10" t="e">
        <f t="shared" si="15"/>
        <v>#VALUE!</v>
      </c>
      <c r="BH34" s="10" t="e">
        <f t="shared" si="43"/>
        <v>#VALUE!</v>
      </c>
      <c r="BI34" s="10" t="e">
        <f t="shared" si="44"/>
        <v>#VALUE!</v>
      </c>
      <c r="BJ34" s="10" t="e">
        <f t="shared" si="45"/>
        <v>#VALUE!</v>
      </c>
      <c r="BK34" s="10" t="e">
        <f t="shared" si="73"/>
        <v>#VALUE!</v>
      </c>
      <c r="BL34" s="10" t="e">
        <f t="shared" si="16"/>
        <v>#VALUE!</v>
      </c>
      <c r="BM34" s="10" t="e">
        <f t="shared" si="74"/>
        <v>#VALUE!</v>
      </c>
      <c r="BP34" s="10" t="e">
        <f t="shared" si="46"/>
        <v>#VALUE!</v>
      </c>
      <c r="BQ34" s="10" t="e">
        <f t="shared" si="47"/>
        <v>#VALUE!</v>
      </c>
      <c r="BR34" s="10" t="e">
        <f t="shared" si="48"/>
        <v>#VALUE!</v>
      </c>
      <c r="BS34" s="10" t="e">
        <f t="shared" si="49"/>
        <v>#VALUE!</v>
      </c>
      <c r="BT34" s="10" t="e">
        <f t="shared" si="50"/>
        <v>#VALUE!</v>
      </c>
      <c r="BU34" s="10" t="e">
        <f t="shared" si="51"/>
        <v>#VALUE!</v>
      </c>
      <c r="BW34" s="10" t="e">
        <f t="shared" si="52"/>
        <v>#VALUE!</v>
      </c>
      <c r="BX34" s="10" t="e">
        <f t="shared" si="53"/>
        <v>#VALUE!</v>
      </c>
      <c r="BY34" s="10" t="e">
        <f t="shared" si="54"/>
        <v>#VALUE!</v>
      </c>
      <c r="BZ34" s="10" t="e">
        <f t="shared" si="55"/>
        <v>#VALUE!</v>
      </c>
      <c r="CA34" s="10" t="e">
        <f t="shared" si="56"/>
        <v>#VALUE!</v>
      </c>
      <c r="CB34" s="10" t="e">
        <f t="shared" si="57"/>
        <v>#VALUE!</v>
      </c>
      <c r="CD34" s="10" t="e">
        <f>MATCH(INDEX($BP$12:$BU$12,1,MATCH(BP34,$BP$15:$BU$15,0)),结果汇总!$AI$10:$AI$13,0)</f>
        <v>#VALUE!</v>
      </c>
      <c r="CE34" s="10" t="e">
        <f>MATCH(INDEX($BP$12:$BU$12,1,MATCH(BQ34,$BP$15:$BU$15,0)),结果汇总!$AI$10:$AI$13,0)</f>
        <v>#VALUE!</v>
      </c>
      <c r="CF34" s="10" t="e">
        <f>MATCH(INDEX($BP$12:$BU$12,1,MATCH(BR34,$BP$15:$BU$15,0)),结果汇总!$AI$10:$AI$13,0)</f>
        <v>#VALUE!</v>
      </c>
      <c r="CG34" s="10" t="e">
        <f>MATCH(INDEX($BP$12:$BU$12,1,MATCH(BS34,$BP$15:$BU$15,0)),结果汇总!$AI$10:$AI$13,0)</f>
        <v>#VALUE!</v>
      </c>
      <c r="CH34" s="10" t="e">
        <f>MATCH(INDEX($BP$12:$BU$12,1,MATCH(BT34,$BP$15:$BU$15,0)),结果汇总!$AI$10:$AI$13,0)</f>
        <v>#VALUE!</v>
      </c>
      <c r="CI34" s="10" t="e">
        <f>MATCH(INDEX($BP$12:$BU$12,1,MATCH(BU34,$BP$15:$BU$15,0)),结果汇总!$AI$10:$AI$13,0)</f>
        <v>#VALUE!</v>
      </c>
      <c r="CK34" s="10">
        <f t="shared" si="58"/>
        <v>0</v>
      </c>
      <c r="CL34" s="10">
        <f t="shared" si="58"/>
        <v>0</v>
      </c>
      <c r="CM34" s="10">
        <f t="shared" si="58"/>
        <v>0</v>
      </c>
      <c r="CN34" s="10">
        <f t="shared" si="58"/>
        <v>0</v>
      </c>
      <c r="CO34" s="10">
        <f t="shared" si="59"/>
        <v>0</v>
      </c>
      <c r="CP34" s="10">
        <f t="shared" si="59"/>
        <v>0</v>
      </c>
      <c r="CQ34" s="10">
        <f t="shared" si="59"/>
        <v>0</v>
      </c>
      <c r="CR34" s="10">
        <f t="shared" si="59"/>
        <v>0</v>
      </c>
      <c r="CS34" s="10" t="e">
        <f t="shared" si="60"/>
        <v>#DIV/0!</v>
      </c>
      <c r="CT34" s="10" t="e">
        <f t="shared" si="60"/>
        <v>#DIV/0!</v>
      </c>
      <c r="CU34" s="10" t="e">
        <f t="shared" si="60"/>
        <v>#DIV/0!</v>
      </c>
      <c r="CV34" s="10" t="e">
        <f t="shared" si="60"/>
        <v>#DIV/0!</v>
      </c>
      <c r="CW34" s="10">
        <f t="shared" si="61"/>
        <v>0</v>
      </c>
      <c r="CX34" s="10">
        <f t="shared" si="61"/>
        <v>0</v>
      </c>
      <c r="CY34" s="10">
        <f t="shared" si="61"/>
        <v>0</v>
      </c>
      <c r="CZ34" s="10">
        <f t="shared" si="61"/>
        <v>0</v>
      </c>
    </row>
    <row r="35" spans="4:104" x14ac:dyDescent="0.15">
      <c r="D35" s="10">
        <v>20</v>
      </c>
      <c r="E35" s="10" t="e">
        <f t="shared" si="21"/>
        <v>#VALUE!</v>
      </c>
      <c r="F35" s="10" t="e">
        <f t="shared" si="1"/>
        <v>#VALUE!</v>
      </c>
      <c r="G35" s="10" t="e">
        <f t="shared" si="2"/>
        <v>#VALUE!</v>
      </c>
      <c r="H35" s="10" t="e">
        <f t="shared" si="22"/>
        <v>#VALUE!</v>
      </c>
      <c r="I35" s="10" t="e">
        <f t="shared" si="3"/>
        <v>#VALUE!</v>
      </c>
      <c r="J35" s="10" t="e">
        <f t="shared" si="23"/>
        <v>#VALUE!</v>
      </c>
      <c r="K35" s="10" t="e">
        <f t="shared" si="4"/>
        <v>#VALUE!</v>
      </c>
      <c r="L35" s="10" t="e">
        <f t="shared" si="5"/>
        <v>#VALUE!</v>
      </c>
      <c r="M35" s="10" t="e">
        <f t="shared" si="24"/>
        <v>#VALUE!</v>
      </c>
      <c r="O35" s="10" t="e">
        <f t="shared" si="25"/>
        <v>#VALUE!</v>
      </c>
      <c r="P35" s="10" t="e">
        <f t="shared" si="6"/>
        <v>#VALUE!</v>
      </c>
      <c r="Q35" s="10" t="e">
        <f t="shared" si="7"/>
        <v>#VALUE!</v>
      </c>
      <c r="R35" s="10" t="e">
        <f t="shared" si="26"/>
        <v>#VALUE!</v>
      </c>
      <c r="S35" s="10" t="e">
        <f t="shared" si="27"/>
        <v>#VALUE!</v>
      </c>
      <c r="T35" s="10" t="e">
        <f t="shared" si="62"/>
        <v>#VALUE!</v>
      </c>
      <c r="U35" s="10" t="e">
        <f t="shared" si="63"/>
        <v>#VALUE!</v>
      </c>
      <c r="V35" s="10" t="e">
        <f t="shared" si="8"/>
        <v>#VALUE!</v>
      </c>
      <c r="W35" s="10" t="e">
        <f t="shared" si="28"/>
        <v>#VALUE!</v>
      </c>
      <c r="Y35" s="10" t="e">
        <f t="shared" si="29"/>
        <v>#VALUE!</v>
      </c>
      <c r="Z35" s="11" t="e">
        <f t="shared" si="30"/>
        <v>#VALUE!</v>
      </c>
      <c r="AA35" s="10" t="e">
        <f t="shared" si="9"/>
        <v>#VALUE!</v>
      </c>
      <c r="AB35" s="10" t="e">
        <f t="shared" si="31"/>
        <v>#VALUE!</v>
      </c>
      <c r="AC35" s="10" t="e">
        <f t="shared" si="32"/>
        <v>#VALUE!</v>
      </c>
      <c r="AD35" s="10" t="e">
        <f t="shared" si="64"/>
        <v>#VALUE!</v>
      </c>
      <c r="AE35" s="10" t="e">
        <f t="shared" si="65"/>
        <v>#VALUE!</v>
      </c>
      <c r="AF35" s="10" t="e">
        <f t="shared" si="10"/>
        <v>#VALUE!</v>
      </c>
      <c r="AG35" s="10" t="e">
        <f t="shared" si="33"/>
        <v>#VALUE!</v>
      </c>
      <c r="AI35" s="13"/>
      <c r="AK35" s="10" t="e">
        <f t="shared" si="34"/>
        <v>#VALUE!</v>
      </c>
      <c r="AL35" s="10" t="e">
        <f t="shared" si="66"/>
        <v>#VALUE!</v>
      </c>
      <c r="AM35" s="10" t="e">
        <f t="shared" si="11"/>
        <v>#VALUE!</v>
      </c>
      <c r="AN35" s="10" t="e">
        <f t="shared" si="35"/>
        <v>#VALUE!</v>
      </c>
      <c r="AO35" s="10" t="e">
        <f t="shared" si="36"/>
        <v>#VALUE!</v>
      </c>
      <c r="AP35" s="10" t="e">
        <f t="shared" si="37"/>
        <v>#VALUE!</v>
      </c>
      <c r="AQ35" s="10" t="e">
        <f t="shared" si="67"/>
        <v>#VALUE!</v>
      </c>
      <c r="AR35" s="10" t="e">
        <f t="shared" si="12"/>
        <v>#VALUE!</v>
      </c>
      <c r="AS35" s="10" t="e">
        <f t="shared" si="68"/>
        <v>#VALUE!</v>
      </c>
      <c r="AU35" s="10" t="e">
        <f t="shared" si="38"/>
        <v>#VALUE!</v>
      </c>
      <c r="AV35" s="10" t="e">
        <f t="shared" si="69"/>
        <v>#VALUE!</v>
      </c>
      <c r="AW35" s="10" t="e">
        <f t="shared" si="13"/>
        <v>#VALUE!</v>
      </c>
      <c r="AX35" s="10" t="e">
        <f t="shared" si="39"/>
        <v>#VALUE!</v>
      </c>
      <c r="AY35" s="10" t="e">
        <f t="shared" si="40"/>
        <v>#VALUE!</v>
      </c>
      <c r="AZ35" s="10" t="e">
        <f t="shared" si="41"/>
        <v>#VALUE!</v>
      </c>
      <c r="BA35" s="10" t="e">
        <f t="shared" si="70"/>
        <v>#VALUE!</v>
      </c>
      <c r="BB35" s="10" t="e">
        <f t="shared" si="14"/>
        <v>#VALUE!</v>
      </c>
      <c r="BC35" s="10" t="e">
        <f t="shared" si="71"/>
        <v>#VALUE!</v>
      </c>
      <c r="BE35" s="10" t="e">
        <f t="shared" si="42"/>
        <v>#VALUE!</v>
      </c>
      <c r="BF35" s="10" t="e">
        <f t="shared" si="72"/>
        <v>#VALUE!</v>
      </c>
      <c r="BG35" s="10" t="e">
        <f t="shared" si="15"/>
        <v>#VALUE!</v>
      </c>
      <c r="BH35" s="10" t="e">
        <f t="shared" si="43"/>
        <v>#VALUE!</v>
      </c>
      <c r="BI35" s="10" t="e">
        <f t="shared" si="44"/>
        <v>#VALUE!</v>
      </c>
      <c r="BJ35" s="10" t="e">
        <f t="shared" si="45"/>
        <v>#VALUE!</v>
      </c>
      <c r="BK35" s="10" t="e">
        <f t="shared" si="73"/>
        <v>#VALUE!</v>
      </c>
      <c r="BL35" s="10" t="e">
        <f t="shared" si="16"/>
        <v>#VALUE!</v>
      </c>
      <c r="BM35" s="10" t="e">
        <f t="shared" si="74"/>
        <v>#VALUE!</v>
      </c>
      <c r="BP35" s="10" t="e">
        <f t="shared" si="46"/>
        <v>#VALUE!</v>
      </c>
      <c r="BQ35" s="10" t="e">
        <f t="shared" si="47"/>
        <v>#VALUE!</v>
      </c>
      <c r="BR35" s="10" t="e">
        <f t="shared" si="48"/>
        <v>#VALUE!</v>
      </c>
      <c r="BS35" s="10" t="e">
        <f t="shared" si="49"/>
        <v>#VALUE!</v>
      </c>
      <c r="BT35" s="10" t="e">
        <f t="shared" si="50"/>
        <v>#VALUE!</v>
      </c>
      <c r="BU35" s="10" t="e">
        <f t="shared" si="51"/>
        <v>#VALUE!</v>
      </c>
      <c r="BW35" s="10" t="e">
        <f t="shared" si="52"/>
        <v>#VALUE!</v>
      </c>
      <c r="BX35" s="10" t="e">
        <f t="shared" si="53"/>
        <v>#VALUE!</v>
      </c>
      <c r="BY35" s="10" t="e">
        <f t="shared" si="54"/>
        <v>#VALUE!</v>
      </c>
      <c r="BZ35" s="10" t="e">
        <f t="shared" si="55"/>
        <v>#VALUE!</v>
      </c>
      <c r="CA35" s="10" t="e">
        <f t="shared" si="56"/>
        <v>#VALUE!</v>
      </c>
      <c r="CB35" s="10" t="e">
        <f t="shared" si="57"/>
        <v>#VALUE!</v>
      </c>
      <c r="CD35" s="10" t="e">
        <f>MATCH(INDEX($BP$12:$BU$12,1,MATCH(BP35,$BP$15:$BU$15,0)),结果汇总!$AI$10:$AI$13,0)</f>
        <v>#VALUE!</v>
      </c>
      <c r="CE35" s="10" t="e">
        <f>MATCH(INDEX($BP$12:$BU$12,1,MATCH(BQ35,$BP$15:$BU$15,0)),结果汇总!$AI$10:$AI$13,0)</f>
        <v>#VALUE!</v>
      </c>
      <c r="CF35" s="10" t="e">
        <f>MATCH(INDEX($BP$12:$BU$12,1,MATCH(BR35,$BP$15:$BU$15,0)),结果汇总!$AI$10:$AI$13,0)</f>
        <v>#VALUE!</v>
      </c>
      <c r="CG35" s="10" t="e">
        <f>MATCH(INDEX($BP$12:$BU$12,1,MATCH(BS35,$BP$15:$BU$15,0)),结果汇总!$AI$10:$AI$13,0)</f>
        <v>#VALUE!</v>
      </c>
      <c r="CH35" s="10" t="e">
        <f>MATCH(INDEX($BP$12:$BU$12,1,MATCH(BT35,$BP$15:$BU$15,0)),结果汇总!$AI$10:$AI$13,0)</f>
        <v>#VALUE!</v>
      </c>
      <c r="CI35" s="10" t="e">
        <f>MATCH(INDEX($BP$12:$BU$12,1,MATCH(BU35,$BP$15:$BU$15,0)),结果汇总!$AI$10:$AI$13,0)</f>
        <v>#VALUE!</v>
      </c>
      <c r="CK35" s="10">
        <f t="shared" si="58"/>
        <v>0</v>
      </c>
      <c r="CL35" s="10">
        <f t="shared" si="58"/>
        <v>0</v>
      </c>
      <c r="CM35" s="10">
        <f t="shared" si="58"/>
        <v>0</v>
      </c>
      <c r="CN35" s="10">
        <f t="shared" si="58"/>
        <v>0</v>
      </c>
      <c r="CO35" s="10">
        <f t="shared" si="59"/>
        <v>0</v>
      </c>
      <c r="CP35" s="10">
        <f t="shared" si="59"/>
        <v>0</v>
      </c>
      <c r="CQ35" s="10">
        <f t="shared" si="59"/>
        <v>0</v>
      </c>
      <c r="CR35" s="10">
        <f t="shared" si="59"/>
        <v>0</v>
      </c>
      <c r="CS35" s="10" t="e">
        <f t="shared" si="60"/>
        <v>#DIV/0!</v>
      </c>
      <c r="CT35" s="10" t="e">
        <f t="shared" si="60"/>
        <v>#DIV/0!</v>
      </c>
      <c r="CU35" s="10" t="e">
        <f t="shared" si="60"/>
        <v>#DIV/0!</v>
      </c>
      <c r="CV35" s="10" t="e">
        <f t="shared" si="60"/>
        <v>#DIV/0!</v>
      </c>
      <c r="CW35" s="10">
        <f t="shared" si="61"/>
        <v>0</v>
      </c>
      <c r="CX35" s="10">
        <f t="shared" si="61"/>
        <v>0</v>
      </c>
      <c r="CY35" s="10">
        <f t="shared" si="61"/>
        <v>0</v>
      </c>
      <c r="CZ35" s="10">
        <f t="shared" si="61"/>
        <v>0</v>
      </c>
    </row>
    <row r="36" spans="4:104" x14ac:dyDescent="0.15">
      <c r="D36" s="10">
        <v>21</v>
      </c>
      <c r="E36" s="10" t="e">
        <f t="shared" si="21"/>
        <v>#VALUE!</v>
      </c>
      <c r="F36" s="10" t="e">
        <f t="shared" si="1"/>
        <v>#VALUE!</v>
      </c>
      <c r="G36" s="10" t="e">
        <f t="shared" si="2"/>
        <v>#VALUE!</v>
      </c>
      <c r="H36" s="10" t="e">
        <f t="shared" si="22"/>
        <v>#VALUE!</v>
      </c>
      <c r="I36" s="10" t="e">
        <f t="shared" si="3"/>
        <v>#VALUE!</v>
      </c>
      <c r="J36" s="10" t="e">
        <f t="shared" si="23"/>
        <v>#VALUE!</v>
      </c>
      <c r="K36" s="10" t="e">
        <f t="shared" si="4"/>
        <v>#VALUE!</v>
      </c>
      <c r="L36" s="10" t="e">
        <f t="shared" si="5"/>
        <v>#VALUE!</v>
      </c>
      <c r="M36" s="10" t="e">
        <f t="shared" si="24"/>
        <v>#VALUE!</v>
      </c>
      <c r="O36" s="10" t="e">
        <f t="shared" si="25"/>
        <v>#VALUE!</v>
      </c>
      <c r="P36" s="10" t="e">
        <f t="shared" si="6"/>
        <v>#VALUE!</v>
      </c>
      <c r="Q36" s="10" t="e">
        <f t="shared" si="7"/>
        <v>#VALUE!</v>
      </c>
      <c r="R36" s="10" t="e">
        <f t="shared" si="26"/>
        <v>#VALUE!</v>
      </c>
      <c r="S36" s="10" t="e">
        <f t="shared" si="27"/>
        <v>#VALUE!</v>
      </c>
      <c r="T36" s="10" t="e">
        <f t="shared" si="62"/>
        <v>#VALUE!</v>
      </c>
      <c r="U36" s="10" t="e">
        <f t="shared" si="63"/>
        <v>#VALUE!</v>
      </c>
      <c r="V36" s="10" t="e">
        <f t="shared" si="8"/>
        <v>#VALUE!</v>
      </c>
      <c r="W36" s="10" t="e">
        <f t="shared" si="28"/>
        <v>#VALUE!</v>
      </c>
      <c r="Y36" s="10" t="e">
        <f t="shared" si="29"/>
        <v>#VALUE!</v>
      </c>
      <c r="Z36" s="11" t="e">
        <f t="shared" si="30"/>
        <v>#VALUE!</v>
      </c>
      <c r="AA36" s="10" t="e">
        <f t="shared" si="9"/>
        <v>#VALUE!</v>
      </c>
      <c r="AB36" s="10" t="e">
        <f t="shared" si="31"/>
        <v>#VALUE!</v>
      </c>
      <c r="AC36" s="10" t="e">
        <f t="shared" si="32"/>
        <v>#VALUE!</v>
      </c>
      <c r="AD36" s="10" t="e">
        <f t="shared" si="64"/>
        <v>#VALUE!</v>
      </c>
      <c r="AE36" s="10" t="e">
        <f t="shared" si="65"/>
        <v>#VALUE!</v>
      </c>
      <c r="AF36" s="10" t="e">
        <f t="shared" si="10"/>
        <v>#VALUE!</v>
      </c>
      <c r="AG36" s="10" t="e">
        <f t="shared" si="33"/>
        <v>#VALUE!</v>
      </c>
      <c r="AI36" s="13"/>
      <c r="AK36" s="10" t="e">
        <f t="shared" si="34"/>
        <v>#VALUE!</v>
      </c>
      <c r="AL36" s="10" t="e">
        <f t="shared" si="66"/>
        <v>#VALUE!</v>
      </c>
      <c r="AM36" s="10" t="e">
        <f t="shared" si="11"/>
        <v>#VALUE!</v>
      </c>
      <c r="AN36" s="10" t="e">
        <f t="shared" si="35"/>
        <v>#VALUE!</v>
      </c>
      <c r="AO36" s="10" t="e">
        <f t="shared" si="36"/>
        <v>#VALUE!</v>
      </c>
      <c r="AP36" s="10" t="e">
        <f t="shared" si="37"/>
        <v>#VALUE!</v>
      </c>
      <c r="AQ36" s="10" t="e">
        <f t="shared" si="67"/>
        <v>#VALUE!</v>
      </c>
      <c r="AR36" s="10" t="e">
        <f t="shared" si="12"/>
        <v>#VALUE!</v>
      </c>
      <c r="AS36" s="10" t="e">
        <f t="shared" si="68"/>
        <v>#VALUE!</v>
      </c>
      <c r="AU36" s="10" t="e">
        <f t="shared" si="38"/>
        <v>#VALUE!</v>
      </c>
      <c r="AV36" s="10" t="e">
        <f t="shared" si="69"/>
        <v>#VALUE!</v>
      </c>
      <c r="AW36" s="10" t="e">
        <f t="shared" si="13"/>
        <v>#VALUE!</v>
      </c>
      <c r="AX36" s="10" t="e">
        <f t="shared" si="39"/>
        <v>#VALUE!</v>
      </c>
      <c r="AY36" s="10" t="e">
        <f t="shared" si="40"/>
        <v>#VALUE!</v>
      </c>
      <c r="AZ36" s="10" t="e">
        <f t="shared" si="41"/>
        <v>#VALUE!</v>
      </c>
      <c r="BA36" s="10" t="e">
        <f t="shared" si="70"/>
        <v>#VALUE!</v>
      </c>
      <c r="BB36" s="10" t="e">
        <f t="shared" si="14"/>
        <v>#VALUE!</v>
      </c>
      <c r="BC36" s="10" t="e">
        <f t="shared" si="71"/>
        <v>#VALUE!</v>
      </c>
      <c r="BE36" s="10" t="e">
        <f t="shared" si="42"/>
        <v>#VALUE!</v>
      </c>
      <c r="BF36" s="10" t="e">
        <f t="shared" si="72"/>
        <v>#VALUE!</v>
      </c>
      <c r="BG36" s="10" t="e">
        <f t="shared" si="15"/>
        <v>#VALUE!</v>
      </c>
      <c r="BH36" s="10" t="e">
        <f t="shared" si="43"/>
        <v>#VALUE!</v>
      </c>
      <c r="BI36" s="10" t="e">
        <f t="shared" si="44"/>
        <v>#VALUE!</v>
      </c>
      <c r="BJ36" s="10" t="e">
        <f t="shared" si="45"/>
        <v>#VALUE!</v>
      </c>
      <c r="BK36" s="10" t="e">
        <f t="shared" si="73"/>
        <v>#VALUE!</v>
      </c>
      <c r="BL36" s="10" t="e">
        <f t="shared" si="16"/>
        <v>#VALUE!</v>
      </c>
      <c r="BM36" s="10" t="e">
        <f t="shared" si="74"/>
        <v>#VALUE!</v>
      </c>
      <c r="BP36" s="10" t="e">
        <f t="shared" si="46"/>
        <v>#VALUE!</v>
      </c>
      <c r="BQ36" s="10" t="e">
        <f t="shared" si="47"/>
        <v>#VALUE!</v>
      </c>
      <c r="BR36" s="10" t="e">
        <f t="shared" si="48"/>
        <v>#VALUE!</v>
      </c>
      <c r="BS36" s="10" t="e">
        <f t="shared" si="49"/>
        <v>#VALUE!</v>
      </c>
      <c r="BT36" s="10" t="e">
        <f t="shared" si="50"/>
        <v>#VALUE!</v>
      </c>
      <c r="BU36" s="10" t="e">
        <f t="shared" si="51"/>
        <v>#VALUE!</v>
      </c>
      <c r="BW36" s="10" t="e">
        <f t="shared" si="52"/>
        <v>#VALUE!</v>
      </c>
      <c r="BX36" s="10" t="e">
        <f t="shared" si="53"/>
        <v>#VALUE!</v>
      </c>
      <c r="BY36" s="10" t="e">
        <f t="shared" si="54"/>
        <v>#VALUE!</v>
      </c>
      <c r="BZ36" s="10" t="e">
        <f t="shared" si="55"/>
        <v>#VALUE!</v>
      </c>
      <c r="CA36" s="10" t="e">
        <f t="shared" si="56"/>
        <v>#VALUE!</v>
      </c>
      <c r="CB36" s="10" t="e">
        <f t="shared" si="57"/>
        <v>#VALUE!</v>
      </c>
      <c r="CD36" s="10" t="e">
        <f>MATCH(INDEX($BP$12:$BU$12,1,MATCH(BP36,$BP$15:$BU$15,0)),结果汇总!$AI$10:$AI$13,0)</f>
        <v>#VALUE!</v>
      </c>
      <c r="CE36" s="10" t="e">
        <f>MATCH(INDEX($BP$12:$BU$12,1,MATCH(BQ36,$BP$15:$BU$15,0)),结果汇总!$AI$10:$AI$13,0)</f>
        <v>#VALUE!</v>
      </c>
      <c r="CF36" s="10" t="e">
        <f>MATCH(INDEX($BP$12:$BU$12,1,MATCH(BR36,$BP$15:$BU$15,0)),结果汇总!$AI$10:$AI$13,0)</f>
        <v>#VALUE!</v>
      </c>
      <c r="CG36" s="10" t="e">
        <f>MATCH(INDEX($BP$12:$BU$12,1,MATCH(BS36,$BP$15:$BU$15,0)),结果汇总!$AI$10:$AI$13,0)</f>
        <v>#VALUE!</v>
      </c>
      <c r="CH36" s="10" t="e">
        <f>MATCH(INDEX($BP$12:$BU$12,1,MATCH(BT36,$BP$15:$BU$15,0)),结果汇总!$AI$10:$AI$13,0)</f>
        <v>#VALUE!</v>
      </c>
      <c r="CI36" s="10" t="e">
        <f>MATCH(INDEX($BP$12:$BU$12,1,MATCH(BU36,$BP$15:$BU$15,0)),结果汇总!$AI$10:$AI$13,0)</f>
        <v>#VALUE!</v>
      </c>
      <c r="CK36" s="10">
        <f t="shared" si="58"/>
        <v>0</v>
      </c>
      <c r="CL36" s="10">
        <f t="shared" si="58"/>
        <v>0</v>
      </c>
      <c r="CM36" s="10">
        <f t="shared" si="58"/>
        <v>0</v>
      </c>
      <c r="CN36" s="10">
        <f t="shared" si="58"/>
        <v>0</v>
      </c>
      <c r="CO36" s="10">
        <f t="shared" si="59"/>
        <v>0</v>
      </c>
      <c r="CP36" s="10">
        <f t="shared" si="59"/>
        <v>0</v>
      </c>
      <c r="CQ36" s="10">
        <f t="shared" si="59"/>
        <v>0</v>
      </c>
      <c r="CR36" s="10">
        <f t="shared" si="59"/>
        <v>0</v>
      </c>
      <c r="CS36" s="10" t="e">
        <f t="shared" si="60"/>
        <v>#DIV/0!</v>
      </c>
      <c r="CT36" s="10" t="e">
        <f t="shared" si="60"/>
        <v>#DIV/0!</v>
      </c>
      <c r="CU36" s="10" t="e">
        <f t="shared" si="60"/>
        <v>#DIV/0!</v>
      </c>
      <c r="CV36" s="10" t="e">
        <f t="shared" si="60"/>
        <v>#DIV/0!</v>
      </c>
      <c r="CW36" s="10">
        <f t="shared" si="61"/>
        <v>0</v>
      </c>
      <c r="CX36" s="10">
        <f t="shared" si="61"/>
        <v>0</v>
      </c>
      <c r="CY36" s="10">
        <f t="shared" si="61"/>
        <v>0</v>
      </c>
      <c r="CZ36" s="10">
        <f t="shared" si="61"/>
        <v>0</v>
      </c>
    </row>
    <row r="37" spans="4:104" x14ac:dyDescent="0.15">
      <c r="D37" s="10">
        <v>22</v>
      </c>
      <c r="E37" s="10" t="e">
        <f t="shared" si="21"/>
        <v>#VALUE!</v>
      </c>
      <c r="F37" s="10" t="e">
        <f t="shared" si="1"/>
        <v>#VALUE!</v>
      </c>
      <c r="G37" s="10" t="e">
        <f t="shared" si="2"/>
        <v>#VALUE!</v>
      </c>
      <c r="H37" s="10" t="e">
        <f t="shared" si="22"/>
        <v>#VALUE!</v>
      </c>
      <c r="I37" s="10" t="e">
        <f t="shared" si="3"/>
        <v>#VALUE!</v>
      </c>
      <c r="J37" s="10" t="e">
        <f t="shared" si="23"/>
        <v>#VALUE!</v>
      </c>
      <c r="K37" s="10" t="e">
        <f t="shared" si="4"/>
        <v>#VALUE!</v>
      </c>
      <c r="L37" s="10" t="e">
        <f t="shared" si="5"/>
        <v>#VALUE!</v>
      </c>
      <c r="M37" s="10" t="e">
        <f t="shared" si="24"/>
        <v>#VALUE!</v>
      </c>
      <c r="O37" s="10" t="e">
        <f t="shared" si="25"/>
        <v>#VALUE!</v>
      </c>
      <c r="P37" s="10" t="e">
        <f t="shared" si="6"/>
        <v>#VALUE!</v>
      </c>
      <c r="Q37" s="10" t="e">
        <f t="shared" si="7"/>
        <v>#VALUE!</v>
      </c>
      <c r="R37" s="10" t="e">
        <f t="shared" si="26"/>
        <v>#VALUE!</v>
      </c>
      <c r="S37" s="10" t="e">
        <f t="shared" si="27"/>
        <v>#VALUE!</v>
      </c>
      <c r="T37" s="10" t="e">
        <f t="shared" si="62"/>
        <v>#VALUE!</v>
      </c>
      <c r="U37" s="10" t="e">
        <f t="shared" si="63"/>
        <v>#VALUE!</v>
      </c>
      <c r="V37" s="10" t="e">
        <f t="shared" si="8"/>
        <v>#VALUE!</v>
      </c>
      <c r="W37" s="10" t="e">
        <f t="shared" si="28"/>
        <v>#VALUE!</v>
      </c>
      <c r="Y37" s="10" t="e">
        <f t="shared" si="29"/>
        <v>#VALUE!</v>
      </c>
      <c r="Z37" s="11" t="e">
        <f t="shared" si="30"/>
        <v>#VALUE!</v>
      </c>
      <c r="AA37" s="10" t="e">
        <f t="shared" si="9"/>
        <v>#VALUE!</v>
      </c>
      <c r="AB37" s="10" t="e">
        <f t="shared" si="31"/>
        <v>#VALUE!</v>
      </c>
      <c r="AC37" s="10" t="e">
        <f t="shared" si="32"/>
        <v>#VALUE!</v>
      </c>
      <c r="AD37" s="10" t="e">
        <f t="shared" si="64"/>
        <v>#VALUE!</v>
      </c>
      <c r="AE37" s="10" t="e">
        <f t="shared" si="65"/>
        <v>#VALUE!</v>
      </c>
      <c r="AF37" s="10" t="e">
        <f t="shared" si="10"/>
        <v>#VALUE!</v>
      </c>
      <c r="AG37" s="10" t="e">
        <f t="shared" si="33"/>
        <v>#VALUE!</v>
      </c>
      <c r="AI37" s="13"/>
      <c r="AK37" s="10" t="e">
        <f t="shared" si="34"/>
        <v>#VALUE!</v>
      </c>
      <c r="AL37" s="10" t="e">
        <f t="shared" si="66"/>
        <v>#VALUE!</v>
      </c>
      <c r="AM37" s="10" t="e">
        <f t="shared" si="11"/>
        <v>#VALUE!</v>
      </c>
      <c r="AN37" s="10" t="e">
        <f t="shared" si="35"/>
        <v>#VALUE!</v>
      </c>
      <c r="AO37" s="10" t="e">
        <f t="shared" si="36"/>
        <v>#VALUE!</v>
      </c>
      <c r="AP37" s="10" t="e">
        <f t="shared" si="37"/>
        <v>#VALUE!</v>
      </c>
      <c r="AQ37" s="10" t="e">
        <f t="shared" si="67"/>
        <v>#VALUE!</v>
      </c>
      <c r="AR37" s="10" t="e">
        <f t="shared" si="12"/>
        <v>#VALUE!</v>
      </c>
      <c r="AS37" s="10" t="e">
        <f t="shared" si="68"/>
        <v>#VALUE!</v>
      </c>
      <c r="AU37" s="10" t="e">
        <f t="shared" si="38"/>
        <v>#VALUE!</v>
      </c>
      <c r="AV37" s="10" t="e">
        <f t="shared" si="69"/>
        <v>#VALUE!</v>
      </c>
      <c r="AW37" s="10" t="e">
        <f t="shared" si="13"/>
        <v>#VALUE!</v>
      </c>
      <c r="AX37" s="10" t="e">
        <f t="shared" si="39"/>
        <v>#VALUE!</v>
      </c>
      <c r="AY37" s="10" t="e">
        <f t="shared" si="40"/>
        <v>#VALUE!</v>
      </c>
      <c r="AZ37" s="10" t="e">
        <f t="shared" si="41"/>
        <v>#VALUE!</v>
      </c>
      <c r="BA37" s="10" t="e">
        <f t="shared" si="70"/>
        <v>#VALUE!</v>
      </c>
      <c r="BB37" s="10" t="e">
        <f t="shared" si="14"/>
        <v>#VALUE!</v>
      </c>
      <c r="BC37" s="10" t="e">
        <f t="shared" si="71"/>
        <v>#VALUE!</v>
      </c>
      <c r="BE37" s="10" t="e">
        <f t="shared" si="42"/>
        <v>#VALUE!</v>
      </c>
      <c r="BF37" s="10" t="e">
        <f t="shared" si="72"/>
        <v>#VALUE!</v>
      </c>
      <c r="BG37" s="10" t="e">
        <f t="shared" si="15"/>
        <v>#VALUE!</v>
      </c>
      <c r="BH37" s="10" t="e">
        <f t="shared" si="43"/>
        <v>#VALUE!</v>
      </c>
      <c r="BI37" s="10" t="e">
        <f t="shared" si="44"/>
        <v>#VALUE!</v>
      </c>
      <c r="BJ37" s="10" t="e">
        <f t="shared" si="45"/>
        <v>#VALUE!</v>
      </c>
      <c r="BK37" s="10" t="e">
        <f t="shared" si="73"/>
        <v>#VALUE!</v>
      </c>
      <c r="BL37" s="10" t="e">
        <f t="shared" si="16"/>
        <v>#VALUE!</v>
      </c>
      <c r="BM37" s="10" t="e">
        <f t="shared" si="74"/>
        <v>#VALUE!</v>
      </c>
      <c r="BP37" s="10" t="e">
        <f t="shared" si="46"/>
        <v>#VALUE!</v>
      </c>
      <c r="BQ37" s="10" t="e">
        <f t="shared" si="47"/>
        <v>#VALUE!</v>
      </c>
      <c r="BR37" s="10" t="e">
        <f t="shared" si="48"/>
        <v>#VALUE!</v>
      </c>
      <c r="BS37" s="10" t="e">
        <f t="shared" si="49"/>
        <v>#VALUE!</v>
      </c>
      <c r="BT37" s="10" t="e">
        <f t="shared" si="50"/>
        <v>#VALUE!</v>
      </c>
      <c r="BU37" s="10" t="e">
        <f t="shared" si="51"/>
        <v>#VALUE!</v>
      </c>
      <c r="BW37" s="10" t="e">
        <f t="shared" si="52"/>
        <v>#VALUE!</v>
      </c>
      <c r="BX37" s="10" t="e">
        <f t="shared" si="53"/>
        <v>#VALUE!</v>
      </c>
      <c r="BY37" s="10" t="e">
        <f t="shared" si="54"/>
        <v>#VALUE!</v>
      </c>
      <c r="BZ37" s="10" t="e">
        <f t="shared" si="55"/>
        <v>#VALUE!</v>
      </c>
      <c r="CA37" s="10" t="e">
        <f t="shared" si="56"/>
        <v>#VALUE!</v>
      </c>
      <c r="CB37" s="10" t="e">
        <f t="shared" si="57"/>
        <v>#VALUE!</v>
      </c>
      <c r="CD37" s="10" t="e">
        <f>MATCH(INDEX($BP$12:$BU$12,1,MATCH(BP37,$BP$15:$BU$15,0)),结果汇总!$AI$10:$AI$13,0)</f>
        <v>#VALUE!</v>
      </c>
      <c r="CE37" s="10" t="e">
        <f>MATCH(INDEX($BP$12:$BU$12,1,MATCH(BQ37,$BP$15:$BU$15,0)),结果汇总!$AI$10:$AI$13,0)</f>
        <v>#VALUE!</v>
      </c>
      <c r="CF37" s="10" t="e">
        <f>MATCH(INDEX($BP$12:$BU$12,1,MATCH(BR37,$BP$15:$BU$15,0)),结果汇总!$AI$10:$AI$13,0)</f>
        <v>#VALUE!</v>
      </c>
      <c r="CG37" s="10" t="e">
        <f>MATCH(INDEX($BP$12:$BU$12,1,MATCH(BS37,$BP$15:$BU$15,0)),结果汇总!$AI$10:$AI$13,0)</f>
        <v>#VALUE!</v>
      </c>
      <c r="CH37" s="10" t="e">
        <f>MATCH(INDEX($BP$12:$BU$12,1,MATCH(BT37,$BP$15:$BU$15,0)),结果汇总!$AI$10:$AI$13,0)</f>
        <v>#VALUE!</v>
      </c>
      <c r="CI37" s="10" t="e">
        <f>MATCH(INDEX($BP$12:$BU$12,1,MATCH(BU37,$BP$15:$BU$15,0)),结果汇总!$AI$10:$AI$13,0)</f>
        <v>#VALUE!</v>
      </c>
      <c r="CK37" s="10">
        <f t="shared" si="58"/>
        <v>0</v>
      </c>
      <c r="CL37" s="10">
        <f t="shared" si="58"/>
        <v>0</v>
      </c>
      <c r="CM37" s="10">
        <f t="shared" si="58"/>
        <v>0</v>
      </c>
      <c r="CN37" s="10">
        <f t="shared" si="58"/>
        <v>0</v>
      </c>
      <c r="CO37" s="10">
        <f t="shared" si="59"/>
        <v>0</v>
      </c>
      <c r="CP37" s="10">
        <f t="shared" si="59"/>
        <v>0</v>
      </c>
      <c r="CQ37" s="10">
        <f t="shared" si="59"/>
        <v>0</v>
      </c>
      <c r="CR37" s="10">
        <f t="shared" si="59"/>
        <v>0</v>
      </c>
      <c r="CS37" s="10" t="e">
        <f t="shared" si="60"/>
        <v>#DIV/0!</v>
      </c>
      <c r="CT37" s="10" t="e">
        <f t="shared" si="60"/>
        <v>#DIV/0!</v>
      </c>
      <c r="CU37" s="10" t="e">
        <f t="shared" si="60"/>
        <v>#DIV/0!</v>
      </c>
      <c r="CV37" s="10" t="e">
        <f t="shared" si="60"/>
        <v>#DIV/0!</v>
      </c>
      <c r="CW37" s="10">
        <f t="shared" si="61"/>
        <v>0</v>
      </c>
      <c r="CX37" s="10">
        <f t="shared" si="61"/>
        <v>0</v>
      </c>
      <c r="CY37" s="10">
        <f t="shared" si="61"/>
        <v>0</v>
      </c>
      <c r="CZ37" s="10">
        <f t="shared" si="61"/>
        <v>0</v>
      </c>
    </row>
    <row r="38" spans="4:104" x14ac:dyDescent="0.15">
      <c r="D38" s="10">
        <v>23</v>
      </c>
      <c r="E38" s="10" t="e">
        <f t="shared" si="21"/>
        <v>#VALUE!</v>
      </c>
      <c r="F38" s="10" t="e">
        <f t="shared" si="1"/>
        <v>#VALUE!</v>
      </c>
      <c r="G38" s="10" t="e">
        <f t="shared" si="2"/>
        <v>#VALUE!</v>
      </c>
      <c r="H38" s="10" t="e">
        <f t="shared" si="22"/>
        <v>#VALUE!</v>
      </c>
      <c r="I38" s="10" t="e">
        <f t="shared" si="3"/>
        <v>#VALUE!</v>
      </c>
      <c r="J38" s="10" t="e">
        <f t="shared" si="23"/>
        <v>#VALUE!</v>
      </c>
      <c r="K38" s="10" t="e">
        <f t="shared" si="4"/>
        <v>#VALUE!</v>
      </c>
      <c r="L38" s="10" t="e">
        <f t="shared" si="5"/>
        <v>#VALUE!</v>
      </c>
      <c r="M38" s="10" t="e">
        <f t="shared" si="24"/>
        <v>#VALUE!</v>
      </c>
      <c r="O38" s="10" t="e">
        <f t="shared" si="25"/>
        <v>#VALUE!</v>
      </c>
      <c r="P38" s="10" t="e">
        <f t="shared" si="6"/>
        <v>#VALUE!</v>
      </c>
      <c r="Q38" s="10" t="e">
        <f t="shared" si="7"/>
        <v>#VALUE!</v>
      </c>
      <c r="R38" s="10" t="e">
        <f t="shared" si="26"/>
        <v>#VALUE!</v>
      </c>
      <c r="S38" s="10" t="e">
        <f t="shared" si="27"/>
        <v>#VALUE!</v>
      </c>
      <c r="T38" s="10" t="e">
        <f t="shared" si="62"/>
        <v>#VALUE!</v>
      </c>
      <c r="U38" s="10" t="e">
        <f t="shared" si="63"/>
        <v>#VALUE!</v>
      </c>
      <c r="V38" s="10" t="e">
        <f t="shared" si="8"/>
        <v>#VALUE!</v>
      </c>
      <c r="W38" s="10" t="e">
        <f t="shared" si="28"/>
        <v>#VALUE!</v>
      </c>
      <c r="Y38" s="10" t="e">
        <f t="shared" si="29"/>
        <v>#VALUE!</v>
      </c>
      <c r="Z38" s="11" t="e">
        <f t="shared" si="30"/>
        <v>#VALUE!</v>
      </c>
      <c r="AA38" s="10" t="e">
        <f t="shared" si="9"/>
        <v>#VALUE!</v>
      </c>
      <c r="AB38" s="10" t="e">
        <f t="shared" si="31"/>
        <v>#VALUE!</v>
      </c>
      <c r="AC38" s="10" t="e">
        <f t="shared" si="32"/>
        <v>#VALUE!</v>
      </c>
      <c r="AD38" s="10" t="e">
        <f t="shared" si="64"/>
        <v>#VALUE!</v>
      </c>
      <c r="AE38" s="10" t="e">
        <f t="shared" si="65"/>
        <v>#VALUE!</v>
      </c>
      <c r="AF38" s="10" t="e">
        <f t="shared" si="10"/>
        <v>#VALUE!</v>
      </c>
      <c r="AG38" s="10" t="e">
        <f t="shared" si="33"/>
        <v>#VALUE!</v>
      </c>
      <c r="AI38" s="13"/>
      <c r="AK38" s="10" t="e">
        <f t="shared" si="34"/>
        <v>#VALUE!</v>
      </c>
      <c r="AL38" s="10" t="e">
        <f t="shared" si="66"/>
        <v>#VALUE!</v>
      </c>
      <c r="AM38" s="10" t="e">
        <f t="shared" si="11"/>
        <v>#VALUE!</v>
      </c>
      <c r="AN38" s="10" t="e">
        <f t="shared" si="35"/>
        <v>#VALUE!</v>
      </c>
      <c r="AO38" s="10" t="e">
        <f t="shared" si="36"/>
        <v>#VALUE!</v>
      </c>
      <c r="AP38" s="10" t="e">
        <f t="shared" si="37"/>
        <v>#VALUE!</v>
      </c>
      <c r="AQ38" s="10" t="e">
        <f t="shared" si="67"/>
        <v>#VALUE!</v>
      </c>
      <c r="AR38" s="10" t="e">
        <f t="shared" si="12"/>
        <v>#VALUE!</v>
      </c>
      <c r="AS38" s="10" t="e">
        <f t="shared" si="68"/>
        <v>#VALUE!</v>
      </c>
      <c r="AU38" s="10" t="e">
        <f t="shared" si="38"/>
        <v>#VALUE!</v>
      </c>
      <c r="AV38" s="10" t="e">
        <f t="shared" si="69"/>
        <v>#VALUE!</v>
      </c>
      <c r="AW38" s="10" t="e">
        <f t="shared" si="13"/>
        <v>#VALUE!</v>
      </c>
      <c r="AX38" s="10" t="e">
        <f t="shared" si="39"/>
        <v>#VALUE!</v>
      </c>
      <c r="AY38" s="10" t="e">
        <f t="shared" si="40"/>
        <v>#VALUE!</v>
      </c>
      <c r="AZ38" s="10" t="e">
        <f t="shared" si="41"/>
        <v>#VALUE!</v>
      </c>
      <c r="BA38" s="10" t="e">
        <f t="shared" si="70"/>
        <v>#VALUE!</v>
      </c>
      <c r="BB38" s="10" t="e">
        <f t="shared" si="14"/>
        <v>#VALUE!</v>
      </c>
      <c r="BC38" s="10" t="e">
        <f t="shared" si="71"/>
        <v>#VALUE!</v>
      </c>
      <c r="BE38" s="10" t="e">
        <f t="shared" si="42"/>
        <v>#VALUE!</v>
      </c>
      <c r="BF38" s="10" t="e">
        <f t="shared" si="72"/>
        <v>#VALUE!</v>
      </c>
      <c r="BG38" s="10" t="e">
        <f t="shared" si="15"/>
        <v>#VALUE!</v>
      </c>
      <c r="BH38" s="10" t="e">
        <f t="shared" si="43"/>
        <v>#VALUE!</v>
      </c>
      <c r="BI38" s="10" t="e">
        <f t="shared" si="44"/>
        <v>#VALUE!</v>
      </c>
      <c r="BJ38" s="10" t="e">
        <f t="shared" si="45"/>
        <v>#VALUE!</v>
      </c>
      <c r="BK38" s="10" t="e">
        <f t="shared" si="73"/>
        <v>#VALUE!</v>
      </c>
      <c r="BL38" s="10" t="e">
        <f t="shared" si="16"/>
        <v>#VALUE!</v>
      </c>
      <c r="BM38" s="10" t="e">
        <f t="shared" si="74"/>
        <v>#VALUE!</v>
      </c>
      <c r="BP38" s="10" t="e">
        <f t="shared" si="46"/>
        <v>#VALUE!</v>
      </c>
      <c r="BQ38" s="10" t="e">
        <f t="shared" si="47"/>
        <v>#VALUE!</v>
      </c>
      <c r="BR38" s="10" t="e">
        <f t="shared" si="48"/>
        <v>#VALUE!</v>
      </c>
      <c r="BS38" s="10" t="e">
        <f t="shared" si="49"/>
        <v>#VALUE!</v>
      </c>
      <c r="BT38" s="10" t="e">
        <f t="shared" si="50"/>
        <v>#VALUE!</v>
      </c>
      <c r="BU38" s="10" t="e">
        <f t="shared" si="51"/>
        <v>#VALUE!</v>
      </c>
      <c r="BW38" s="10" t="e">
        <f t="shared" si="52"/>
        <v>#VALUE!</v>
      </c>
      <c r="BX38" s="10" t="e">
        <f t="shared" si="53"/>
        <v>#VALUE!</v>
      </c>
      <c r="BY38" s="10" t="e">
        <f t="shared" si="54"/>
        <v>#VALUE!</v>
      </c>
      <c r="BZ38" s="10" t="e">
        <f t="shared" si="55"/>
        <v>#VALUE!</v>
      </c>
      <c r="CA38" s="10" t="e">
        <f t="shared" si="56"/>
        <v>#VALUE!</v>
      </c>
      <c r="CB38" s="10" t="e">
        <f t="shared" si="57"/>
        <v>#VALUE!</v>
      </c>
      <c r="CD38" s="10" t="e">
        <f>MATCH(INDEX($BP$12:$BU$12,1,MATCH(BP38,$BP$15:$BU$15,0)),结果汇总!$AI$10:$AI$13,0)</f>
        <v>#VALUE!</v>
      </c>
      <c r="CE38" s="10" t="e">
        <f>MATCH(INDEX($BP$12:$BU$12,1,MATCH(BQ38,$BP$15:$BU$15,0)),结果汇总!$AI$10:$AI$13,0)</f>
        <v>#VALUE!</v>
      </c>
      <c r="CF38" s="10" t="e">
        <f>MATCH(INDEX($BP$12:$BU$12,1,MATCH(BR38,$BP$15:$BU$15,0)),结果汇总!$AI$10:$AI$13,0)</f>
        <v>#VALUE!</v>
      </c>
      <c r="CG38" s="10" t="e">
        <f>MATCH(INDEX($BP$12:$BU$12,1,MATCH(BS38,$BP$15:$BU$15,0)),结果汇总!$AI$10:$AI$13,0)</f>
        <v>#VALUE!</v>
      </c>
      <c r="CH38" s="10" t="e">
        <f>MATCH(INDEX($BP$12:$BU$12,1,MATCH(BT38,$BP$15:$BU$15,0)),结果汇总!$AI$10:$AI$13,0)</f>
        <v>#VALUE!</v>
      </c>
      <c r="CI38" s="10" t="e">
        <f>MATCH(INDEX($BP$12:$BU$12,1,MATCH(BU38,$BP$15:$BU$15,0)),结果汇总!$AI$10:$AI$13,0)</f>
        <v>#VALUE!</v>
      </c>
      <c r="CK38" s="10">
        <f t="shared" si="58"/>
        <v>0</v>
      </c>
      <c r="CL38" s="10">
        <f t="shared" si="58"/>
        <v>0</v>
      </c>
      <c r="CM38" s="10">
        <f t="shared" si="58"/>
        <v>0</v>
      </c>
      <c r="CN38" s="10">
        <f t="shared" si="58"/>
        <v>0</v>
      </c>
      <c r="CO38" s="10">
        <f t="shared" si="59"/>
        <v>0</v>
      </c>
      <c r="CP38" s="10">
        <f t="shared" si="59"/>
        <v>0</v>
      </c>
      <c r="CQ38" s="10">
        <f t="shared" si="59"/>
        <v>0</v>
      </c>
      <c r="CR38" s="10">
        <f t="shared" si="59"/>
        <v>0</v>
      </c>
      <c r="CS38" s="10" t="e">
        <f t="shared" si="60"/>
        <v>#DIV/0!</v>
      </c>
      <c r="CT38" s="10" t="e">
        <f t="shared" si="60"/>
        <v>#DIV/0!</v>
      </c>
      <c r="CU38" s="10" t="e">
        <f t="shared" si="60"/>
        <v>#DIV/0!</v>
      </c>
      <c r="CV38" s="10" t="e">
        <f t="shared" si="60"/>
        <v>#DIV/0!</v>
      </c>
      <c r="CW38" s="10">
        <f t="shared" si="61"/>
        <v>0</v>
      </c>
      <c r="CX38" s="10">
        <f t="shared" si="61"/>
        <v>0</v>
      </c>
      <c r="CY38" s="10">
        <f t="shared" si="61"/>
        <v>0</v>
      </c>
      <c r="CZ38" s="10">
        <f t="shared" si="61"/>
        <v>0</v>
      </c>
    </row>
    <row r="39" spans="4:104" x14ac:dyDescent="0.15">
      <c r="D39" s="10">
        <v>24</v>
      </c>
      <c r="E39" s="10" t="e">
        <f t="shared" si="21"/>
        <v>#VALUE!</v>
      </c>
      <c r="F39" s="10" t="e">
        <f t="shared" si="1"/>
        <v>#VALUE!</v>
      </c>
      <c r="G39" s="10" t="e">
        <f t="shared" si="2"/>
        <v>#VALUE!</v>
      </c>
      <c r="H39" s="10" t="e">
        <f t="shared" si="22"/>
        <v>#VALUE!</v>
      </c>
      <c r="I39" s="10" t="e">
        <f t="shared" si="3"/>
        <v>#VALUE!</v>
      </c>
      <c r="J39" s="10" t="e">
        <f t="shared" si="23"/>
        <v>#VALUE!</v>
      </c>
      <c r="K39" s="10" t="e">
        <f t="shared" si="4"/>
        <v>#VALUE!</v>
      </c>
      <c r="L39" s="10" t="e">
        <f t="shared" si="5"/>
        <v>#VALUE!</v>
      </c>
      <c r="M39" s="10" t="e">
        <f t="shared" si="24"/>
        <v>#VALUE!</v>
      </c>
      <c r="O39" s="10" t="e">
        <f t="shared" si="25"/>
        <v>#VALUE!</v>
      </c>
      <c r="P39" s="10" t="e">
        <f t="shared" si="6"/>
        <v>#VALUE!</v>
      </c>
      <c r="Q39" s="10" t="e">
        <f t="shared" si="7"/>
        <v>#VALUE!</v>
      </c>
      <c r="R39" s="10" t="e">
        <f t="shared" si="26"/>
        <v>#VALUE!</v>
      </c>
      <c r="S39" s="10" t="e">
        <f t="shared" si="27"/>
        <v>#VALUE!</v>
      </c>
      <c r="T39" s="10" t="e">
        <f t="shared" si="62"/>
        <v>#VALUE!</v>
      </c>
      <c r="U39" s="10" t="e">
        <f t="shared" si="63"/>
        <v>#VALUE!</v>
      </c>
      <c r="V39" s="10" t="e">
        <f t="shared" si="8"/>
        <v>#VALUE!</v>
      </c>
      <c r="W39" s="10" t="e">
        <f t="shared" si="28"/>
        <v>#VALUE!</v>
      </c>
      <c r="Y39" s="10" t="e">
        <f t="shared" si="29"/>
        <v>#VALUE!</v>
      </c>
      <c r="Z39" s="11" t="e">
        <f t="shared" si="30"/>
        <v>#VALUE!</v>
      </c>
      <c r="AA39" s="10" t="e">
        <f t="shared" si="9"/>
        <v>#VALUE!</v>
      </c>
      <c r="AB39" s="10" t="e">
        <f t="shared" si="31"/>
        <v>#VALUE!</v>
      </c>
      <c r="AC39" s="10" t="e">
        <f t="shared" si="32"/>
        <v>#VALUE!</v>
      </c>
      <c r="AD39" s="10" t="e">
        <f t="shared" si="64"/>
        <v>#VALUE!</v>
      </c>
      <c r="AE39" s="10" t="e">
        <f t="shared" si="65"/>
        <v>#VALUE!</v>
      </c>
      <c r="AF39" s="10" t="e">
        <f t="shared" si="10"/>
        <v>#VALUE!</v>
      </c>
      <c r="AG39" s="10" t="e">
        <f t="shared" si="33"/>
        <v>#VALUE!</v>
      </c>
      <c r="AI39" s="13"/>
      <c r="AK39" s="10" t="e">
        <f t="shared" si="34"/>
        <v>#VALUE!</v>
      </c>
      <c r="AL39" s="10" t="e">
        <f t="shared" si="66"/>
        <v>#VALUE!</v>
      </c>
      <c r="AM39" s="10" t="e">
        <f t="shared" si="11"/>
        <v>#VALUE!</v>
      </c>
      <c r="AN39" s="10" t="e">
        <f t="shared" si="35"/>
        <v>#VALUE!</v>
      </c>
      <c r="AO39" s="10" t="e">
        <f t="shared" si="36"/>
        <v>#VALUE!</v>
      </c>
      <c r="AP39" s="10" t="e">
        <f t="shared" si="37"/>
        <v>#VALUE!</v>
      </c>
      <c r="AQ39" s="10" t="e">
        <f t="shared" si="67"/>
        <v>#VALUE!</v>
      </c>
      <c r="AR39" s="10" t="e">
        <f t="shared" si="12"/>
        <v>#VALUE!</v>
      </c>
      <c r="AS39" s="10" t="e">
        <f t="shared" si="68"/>
        <v>#VALUE!</v>
      </c>
      <c r="AU39" s="10" t="e">
        <f t="shared" si="38"/>
        <v>#VALUE!</v>
      </c>
      <c r="AV39" s="10" t="e">
        <f t="shared" si="69"/>
        <v>#VALUE!</v>
      </c>
      <c r="AW39" s="10" t="e">
        <f t="shared" si="13"/>
        <v>#VALUE!</v>
      </c>
      <c r="AX39" s="10" t="e">
        <f t="shared" si="39"/>
        <v>#VALUE!</v>
      </c>
      <c r="AY39" s="10" t="e">
        <f t="shared" si="40"/>
        <v>#VALUE!</v>
      </c>
      <c r="AZ39" s="10" t="e">
        <f t="shared" si="41"/>
        <v>#VALUE!</v>
      </c>
      <c r="BA39" s="10" t="e">
        <f t="shared" si="70"/>
        <v>#VALUE!</v>
      </c>
      <c r="BB39" s="10" t="e">
        <f t="shared" si="14"/>
        <v>#VALUE!</v>
      </c>
      <c r="BC39" s="10" t="e">
        <f t="shared" si="71"/>
        <v>#VALUE!</v>
      </c>
      <c r="BE39" s="10" t="e">
        <f t="shared" si="42"/>
        <v>#VALUE!</v>
      </c>
      <c r="BF39" s="10" t="e">
        <f t="shared" si="72"/>
        <v>#VALUE!</v>
      </c>
      <c r="BG39" s="10" t="e">
        <f t="shared" si="15"/>
        <v>#VALUE!</v>
      </c>
      <c r="BH39" s="10" t="e">
        <f t="shared" si="43"/>
        <v>#VALUE!</v>
      </c>
      <c r="BI39" s="10" t="e">
        <f t="shared" si="44"/>
        <v>#VALUE!</v>
      </c>
      <c r="BJ39" s="10" t="e">
        <f t="shared" si="45"/>
        <v>#VALUE!</v>
      </c>
      <c r="BK39" s="10" t="e">
        <f t="shared" si="73"/>
        <v>#VALUE!</v>
      </c>
      <c r="BL39" s="10" t="e">
        <f t="shared" si="16"/>
        <v>#VALUE!</v>
      </c>
      <c r="BM39" s="10" t="e">
        <f t="shared" si="74"/>
        <v>#VALUE!</v>
      </c>
      <c r="BP39" s="10" t="e">
        <f t="shared" si="46"/>
        <v>#VALUE!</v>
      </c>
      <c r="BQ39" s="10" t="e">
        <f t="shared" si="47"/>
        <v>#VALUE!</v>
      </c>
      <c r="BR39" s="10" t="e">
        <f t="shared" si="48"/>
        <v>#VALUE!</v>
      </c>
      <c r="BS39" s="10" t="e">
        <f t="shared" si="49"/>
        <v>#VALUE!</v>
      </c>
      <c r="BT39" s="10" t="e">
        <f t="shared" si="50"/>
        <v>#VALUE!</v>
      </c>
      <c r="BU39" s="10" t="e">
        <f t="shared" si="51"/>
        <v>#VALUE!</v>
      </c>
      <c r="BW39" s="10" t="e">
        <f t="shared" si="52"/>
        <v>#VALUE!</v>
      </c>
      <c r="BX39" s="10" t="e">
        <f t="shared" si="53"/>
        <v>#VALUE!</v>
      </c>
      <c r="BY39" s="10" t="e">
        <f t="shared" si="54"/>
        <v>#VALUE!</v>
      </c>
      <c r="BZ39" s="10" t="e">
        <f t="shared" si="55"/>
        <v>#VALUE!</v>
      </c>
      <c r="CA39" s="10" t="e">
        <f t="shared" si="56"/>
        <v>#VALUE!</v>
      </c>
      <c r="CB39" s="10" t="e">
        <f t="shared" si="57"/>
        <v>#VALUE!</v>
      </c>
      <c r="CD39" s="10" t="e">
        <f>MATCH(INDEX($BP$12:$BU$12,1,MATCH(BP39,$BP$15:$BU$15,0)),结果汇总!$AI$10:$AI$13,0)</f>
        <v>#VALUE!</v>
      </c>
      <c r="CE39" s="10" t="e">
        <f>MATCH(INDEX($BP$12:$BU$12,1,MATCH(BQ39,$BP$15:$BU$15,0)),结果汇总!$AI$10:$AI$13,0)</f>
        <v>#VALUE!</v>
      </c>
      <c r="CF39" s="10" t="e">
        <f>MATCH(INDEX($BP$12:$BU$12,1,MATCH(BR39,$BP$15:$BU$15,0)),结果汇总!$AI$10:$AI$13,0)</f>
        <v>#VALUE!</v>
      </c>
      <c r="CG39" s="10" t="e">
        <f>MATCH(INDEX($BP$12:$BU$12,1,MATCH(BS39,$BP$15:$BU$15,0)),结果汇总!$AI$10:$AI$13,0)</f>
        <v>#VALUE!</v>
      </c>
      <c r="CH39" s="10" t="e">
        <f>MATCH(INDEX($BP$12:$BU$12,1,MATCH(BT39,$BP$15:$BU$15,0)),结果汇总!$AI$10:$AI$13,0)</f>
        <v>#VALUE!</v>
      </c>
      <c r="CI39" s="10" t="e">
        <f>MATCH(INDEX($BP$12:$BU$12,1,MATCH(BU39,$BP$15:$BU$15,0)),结果汇总!$AI$10:$AI$13,0)</f>
        <v>#VALUE!</v>
      </c>
      <c r="CK39" s="10">
        <f t="shared" si="58"/>
        <v>0</v>
      </c>
      <c r="CL39" s="10">
        <f t="shared" si="58"/>
        <v>0</v>
      </c>
      <c r="CM39" s="10">
        <f t="shared" si="58"/>
        <v>0</v>
      </c>
      <c r="CN39" s="10">
        <f t="shared" si="58"/>
        <v>0</v>
      </c>
      <c r="CO39" s="10">
        <f t="shared" si="59"/>
        <v>0</v>
      </c>
      <c r="CP39" s="10">
        <f t="shared" si="59"/>
        <v>0</v>
      </c>
      <c r="CQ39" s="10">
        <f t="shared" si="59"/>
        <v>0</v>
      </c>
      <c r="CR39" s="10">
        <f t="shared" si="59"/>
        <v>0</v>
      </c>
      <c r="CS39" s="10" t="e">
        <f t="shared" si="60"/>
        <v>#DIV/0!</v>
      </c>
      <c r="CT39" s="10" t="e">
        <f t="shared" si="60"/>
        <v>#DIV/0!</v>
      </c>
      <c r="CU39" s="10" t="e">
        <f t="shared" si="60"/>
        <v>#DIV/0!</v>
      </c>
      <c r="CV39" s="10" t="e">
        <f t="shared" si="60"/>
        <v>#DIV/0!</v>
      </c>
      <c r="CW39" s="10">
        <f t="shared" si="61"/>
        <v>0</v>
      </c>
      <c r="CX39" s="10">
        <f t="shared" si="61"/>
        <v>0</v>
      </c>
      <c r="CY39" s="10">
        <f t="shared" si="61"/>
        <v>0</v>
      </c>
      <c r="CZ39" s="10">
        <f t="shared" si="61"/>
        <v>0</v>
      </c>
    </row>
    <row r="40" spans="4:104" x14ac:dyDescent="0.15">
      <c r="D40" s="10">
        <v>25</v>
      </c>
      <c r="E40" s="10" t="e">
        <f t="shared" si="21"/>
        <v>#VALUE!</v>
      </c>
      <c r="F40" s="10" t="e">
        <f t="shared" si="1"/>
        <v>#VALUE!</v>
      </c>
      <c r="G40" s="10" t="e">
        <f t="shared" si="2"/>
        <v>#VALUE!</v>
      </c>
      <c r="H40" s="10" t="e">
        <f t="shared" si="22"/>
        <v>#VALUE!</v>
      </c>
      <c r="I40" s="10" t="e">
        <f t="shared" si="3"/>
        <v>#VALUE!</v>
      </c>
      <c r="J40" s="10" t="e">
        <f t="shared" si="23"/>
        <v>#VALUE!</v>
      </c>
      <c r="K40" s="10" t="e">
        <f t="shared" si="4"/>
        <v>#VALUE!</v>
      </c>
      <c r="L40" s="10" t="e">
        <f t="shared" si="5"/>
        <v>#VALUE!</v>
      </c>
      <c r="M40" s="10" t="e">
        <f t="shared" si="24"/>
        <v>#VALUE!</v>
      </c>
      <c r="O40" s="10" t="e">
        <f t="shared" si="25"/>
        <v>#VALUE!</v>
      </c>
      <c r="P40" s="10" t="e">
        <f t="shared" si="6"/>
        <v>#VALUE!</v>
      </c>
      <c r="Q40" s="10" t="e">
        <f t="shared" si="7"/>
        <v>#VALUE!</v>
      </c>
      <c r="R40" s="10" t="e">
        <f t="shared" si="26"/>
        <v>#VALUE!</v>
      </c>
      <c r="S40" s="10" t="e">
        <f t="shared" si="27"/>
        <v>#VALUE!</v>
      </c>
      <c r="T40" s="10" t="e">
        <f t="shared" si="62"/>
        <v>#VALUE!</v>
      </c>
      <c r="U40" s="10" t="e">
        <f t="shared" si="63"/>
        <v>#VALUE!</v>
      </c>
      <c r="V40" s="10" t="e">
        <f t="shared" si="8"/>
        <v>#VALUE!</v>
      </c>
      <c r="W40" s="10" t="e">
        <f t="shared" si="28"/>
        <v>#VALUE!</v>
      </c>
      <c r="Y40" s="10" t="e">
        <f t="shared" si="29"/>
        <v>#VALUE!</v>
      </c>
      <c r="Z40" s="11" t="e">
        <f t="shared" si="30"/>
        <v>#VALUE!</v>
      </c>
      <c r="AA40" s="10" t="e">
        <f t="shared" si="9"/>
        <v>#VALUE!</v>
      </c>
      <c r="AB40" s="10" t="e">
        <f t="shared" si="31"/>
        <v>#VALUE!</v>
      </c>
      <c r="AC40" s="10" t="e">
        <f t="shared" si="32"/>
        <v>#VALUE!</v>
      </c>
      <c r="AD40" s="10" t="e">
        <f t="shared" si="64"/>
        <v>#VALUE!</v>
      </c>
      <c r="AE40" s="10" t="e">
        <f t="shared" si="65"/>
        <v>#VALUE!</v>
      </c>
      <c r="AF40" s="10" t="e">
        <f t="shared" si="10"/>
        <v>#VALUE!</v>
      </c>
      <c r="AG40" s="10" t="e">
        <f t="shared" si="33"/>
        <v>#VALUE!</v>
      </c>
      <c r="AI40" s="13"/>
      <c r="AK40" s="10" t="e">
        <f t="shared" si="34"/>
        <v>#VALUE!</v>
      </c>
      <c r="AL40" s="10" t="e">
        <f t="shared" si="66"/>
        <v>#VALUE!</v>
      </c>
      <c r="AM40" s="10" t="e">
        <f t="shared" si="11"/>
        <v>#VALUE!</v>
      </c>
      <c r="AN40" s="10" t="e">
        <f t="shared" si="35"/>
        <v>#VALUE!</v>
      </c>
      <c r="AO40" s="10" t="e">
        <f t="shared" si="36"/>
        <v>#VALUE!</v>
      </c>
      <c r="AP40" s="10" t="e">
        <f t="shared" si="37"/>
        <v>#VALUE!</v>
      </c>
      <c r="AQ40" s="10" t="e">
        <f t="shared" si="67"/>
        <v>#VALUE!</v>
      </c>
      <c r="AR40" s="10" t="e">
        <f t="shared" si="12"/>
        <v>#VALUE!</v>
      </c>
      <c r="AS40" s="10" t="e">
        <f t="shared" si="68"/>
        <v>#VALUE!</v>
      </c>
      <c r="AU40" s="10" t="e">
        <f t="shared" si="38"/>
        <v>#VALUE!</v>
      </c>
      <c r="AV40" s="10" t="e">
        <f t="shared" si="69"/>
        <v>#VALUE!</v>
      </c>
      <c r="AW40" s="10" t="e">
        <f t="shared" si="13"/>
        <v>#VALUE!</v>
      </c>
      <c r="AX40" s="10" t="e">
        <f t="shared" si="39"/>
        <v>#VALUE!</v>
      </c>
      <c r="AY40" s="10" t="e">
        <f t="shared" si="40"/>
        <v>#VALUE!</v>
      </c>
      <c r="AZ40" s="10" t="e">
        <f t="shared" si="41"/>
        <v>#VALUE!</v>
      </c>
      <c r="BA40" s="10" t="e">
        <f t="shared" si="70"/>
        <v>#VALUE!</v>
      </c>
      <c r="BB40" s="10" t="e">
        <f t="shared" si="14"/>
        <v>#VALUE!</v>
      </c>
      <c r="BC40" s="10" t="e">
        <f t="shared" si="71"/>
        <v>#VALUE!</v>
      </c>
      <c r="BE40" s="10" t="e">
        <f t="shared" si="42"/>
        <v>#VALUE!</v>
      </c>
      <c r="BF40" s="10" t="e">
        <f t="shared" si="72"/>
        <v>#VALUE!</v>
      </c>
      <c r="BG40" s="10" t="e">
        <f t="shared" si="15"/>
        <v>#VALUE!</v>
      </c>
      <c r="BH40" s="10" t="e">
        <f t="shared" si="43"/>
        <v>#VALUE!</v>
      </c>
      <c r="BI40" s="10" t="e">
        <f t="shared" si="44"/>
        <v>#VALUE!</v>
      </c>
      <c r="BJ40" s="10" t="e">
        <f t="shared" si="45"/>
        <v>#VALUE!</v>
      </c>
      <c r="BK40" s="10" t="e">
        <f t="shared" si="73"/>
        <v>#VALUE!</v>
      </c>
      <c r="BL40" s="10" t="e">
        <f t="shared" si="16"/>
        <v>#VALUE!</v>
      </c>
      <c r="BM40" s="10" t="e">
        <f t="shared" si="74"/>
        <v>#VALUE!</v>
      </c>
      <c r="BP40" s="10" t="e">
        <f t="shared" si="46"/>
        <v>#VALUE!</v>
      </c>
      <c r="BQ40" s="10" t="e">
        <f t="shared" si="47"/>
        <v>#VALUE!</v>
      </c>
      <c r="BR40" s="10" t="e">
        <f t="shared" si="48"/>
        <v>#VALUE!</v>
      </c>
      <c r="BS40" s="10" t="e">
        <f t="shared" si="49"/>
        <v>#VALUE!</v>
      </c>
      <c r="BT40" s="10" t="e">
        <f t="shared" si="50"/>
        <v>#VALUE!</v>
      </c>
      <c r="BU40" s="10" t="e">
        <f t="shared" si="51"/>
        <v>#VALUE!</v>
      </c>
      <c r="BW40" s="10" t="e">
        <f t="shared" si="52"/>
        <v>#VALUE!</v>
      </c>
      <c r="BX40" s="10" t="e">
        <f t="shared" si="53"/>
        <v>#VALUE!</v>
      </c>
      <c r="BY40" s="10" t="e">
        <f t="shared" si="54"/>
        <v>#VALUE!</v>
      </c>
      <c r="BZ40" s="10" t="e">
        <f t="shared" si="55"/>
        <v>#VALUE!</v>
      </c>
      <c r="CA40" s="10" t="e">
        <f t="shared" si="56"/>
        <v>#VALUE!</v>
      </c>
      <c r="CB40" s="10" t="e">
        <f t="shared" si="57"/>
        <v>#VALUE!</v>
      </c>
      <c r="CD40" s="10" t="e">
        <f>MATCH(INDEX($BP$12:$BU$12,1,MATCH(BP40,$BP$15:$BU$15,0)),结果汇总!$AI$10:$AI$13,0)</f>
        <v>#VALUE!</v>
      </c>
      <c r="CE40" s="10" t="e">
        <f>MATCH(INDEX($BP$12:$BU$12,1,MATCH(BQ40,$BP$15:$BU$15,0)),结果汇总!$AI$10:$AI$13,0)</f>
        <v>#VALUE!</v>
      </c>
      <c r="CF40" s="10" t="e">
        <f>MATCH(INDEX($BP$12:$BU$12,1,MATCH(BR40,$BP$15:$BU$15,0)),结果汇总!$AI$10:$AI$13,0)</f>
        <v>#VALUE!</v>
      </c>
      <c r="CG40" s="10" t="e">
        <f>MATCH(INDEX($BP$12:$BU$12,1,MATCH(BS40,$BP$15:$BU$15,0)),结果汇总!$AI$10:$AI$13,0)</f>
        <v>#VALUE!</v>
      </c>
      <c r="CH40" s="10" t="e">
        <f>MATCH(INDEX($BP$12:$BU$12,1,MATCH(BT40,$BP$15:$BU$15,0)),结果汇总!$AI$10:$AI$13,0)</f>
        <v>#VALUE!</v>
      </c>
      <c r="CI40" s="10" t="e">
        <f>MATCH(INDEX($BP$12:$BU$12,1,MATCH(BU40,$BP$15:$BU$15,0)),结果汇总!$AI$10:$AI$13,0)</f>
        <v>#VALUE!</v>
      </c>
      <c r="CK40" s="10">
        <f t="shared" si="58"/>
        <v>0</v>
      </c>
      <c r="CL40" s="10">
        <f t="shared" si="58"/>
        <v>0</v>
      </c>
      <c r="CM40" s="10">
        <f t="shared" si="58"/>
        <v>0</v>
      </c>
      <c r="CN40" s="10">
        <f t="shared" si="58"/>
        <v>0</v>
      </c>
      <c r="CO40" s="10">
        <f t="shared" si="59"/>
        <v>0</v>
      </c>
      <c r="CP40" s="10">
        <f t="shared" si="59"/>
        <v>0</v>
      </c>
      <c r="CQ40" s="10">
        <f t="shared" si="59"/>
        <v>0</v>
      </c>
      <c r="CR40" s="10">
        <f t="shared" si="59"/>
        <v>0</v>
      </c>
      <c r="CS40" s="10" t="e">
        <f t="shared" si="60"/>
        <v>#DIV/0!</v>
      </c>
      <c r="CT40" s="10" t="e">
        <f t="shared" si="60"/>
        <v>#DIV/0!</v>
      </c>
      <c r="CU40" s="10" t="e">
        <f t="shared" si="60"/>
        <v>#DIV/0!</v>
      </c>
      <c r="CV40" s="10" t="e">
        <f t="shared" si="60"/>
        <v>#DIV/0!</v>
      </c>
      <c r="CW40" s="10">
        <f t="shared" si="61"/>
        <v>0</v>
      </c>
      <c r="CX40" s="10">
        <f t="shared" si="61"/>
        <v>0</v>
      </c>
      <c r="CY40" s="10">
        <f t="shared" si="61"/>
        <v>0</v>
      </c>
      <c r="CZ40" s="10">
        <f t="shared" si="61"/>
        <v>0</v>
      </c>
    </row>
    <row r="41" spans="4:104" x14ac:dyDescent="0.15">
      <c r="D41" s="10">
        <v>26</v>
      </c>
      <c r="E41" s="10" t="e">
        <f t="shared" si="21"/>
        <v>#VALUE!</v>
      </c>
      <c r="F41" s="10" t="e">
        <f t="shared" si="1"/>
        <v>#VALUE!</v>
      </c>
      <c r="G41" s="10" t="e">
        <f t="shared" si="2"/>
        <v>#VALUE!</v>
      </c>
      <c r="H41" s="10" t="e">
        <f t="shared" si="22"/>
        <v>#VALUE!</v>
      </c>
      <c r="I41" s="10" t="e">
        <f t="shared" si="3"/>
        <v>#VALUE!</v>
      </c>
      <c r="J41" s="10" t="e">
        <f t="shared" si="23"/>
        <v>#VALUE!</v>
      </c>
      <c r="K41" s="10" t="e">
        <f t="shared" si="4"/>
        <v>#VALUE!</v>
      </c>
      <c r="L41" s="10" t="e">
        <f t="shared" si="5"/>
        <v>#VALUE!</v>
      </c>
      <c r="M41" s="10" t="e">
        <f t="shared" si="24"/>
        <v>#VALUE!</v>
      </c>
      <c r="O41" s="10" t="e">
        <f t="shared" si="25"/>
        <v>#VALUE!</v>
      </c>
      <c r="P41" s="10" t="e">
        <f t="shared" si="6"/>
        <v>#VALUE!</v>
      </c>
      <c r="Q41" s="10" t="e">
        <f t="shared" si="7"/>
        <v>#VALUE!</v>
      </c>
      <c r="R41" s="10" t="e">
        <f t="shared" si="26"/>
        <v>#VALUE!</v>
      </c>
      <c r="S41" s="10" t="e">
        <f t="shared" si="27"/>
        <v>#VALUE!</v>
      </c>
      <c r="T41" s="10" t="e">
        <f t="shared" si="62"/>
        <v>#VALUE!</v>
      </c>
      <c r="U41" s="10" t="e">
        <f t="shared" si="63"/>
        <v>#VALUE!</v>
      </c>
      <c r="V41" s="10" t="e">
        <f t="shared" si="8"/>
        <v>#VALUE!</v>
      </c>
      <c r="W41" s="10" t="e">
        <f t="shared" si="28"/>
        <v>#VALUE!</v>
      </c>
      <c r="Y41" s="10" t="e">
        <f t="shared" si="29"/>
        <v>#VALUE!</v>
      </c>
      <c r="Z41" s="11" t="e">
        <f t="shared" si="30"/>
        <v>#VALUE!</v>
      </c>
      <c r="AA41" s="10" t="e">
        <f t="shared" si="9"/>
        <v>#VALUE!</v>
      </c>
      <c r="AB41" s="10" t="e">
        <f t="shared" si="31"/>
        <v>#VALUE!</v>
      </c>
      <c r="AC41" s="10" t="e">
        <f t="shared" si="32"/>
        <v>#VALUE!</v>
      </c>
      <c r="AD41" s="10" t="e">
        <f t="shared" si="64"/>
        <v>#VALUE!</v>
      </c>
      <c r="AE41" s="10" t="e">
        <f t="shared" si="65"/>
        <v>#VALUE!</v>
      </c>
      <c r="AF41" s="10" t="e">
        <f t="shared" si="10"/>
        <v>#VALUE!</v>
      </c>
      <c r="AG41" s="10" t="e">
        <f t="shared" si="33"/>
        <v>#VALUE!</v>
      </c>
      <c r="AI41" s="13"/>
      <c r="AK41" s="10" t="e">
        <f t="shared" si="34"/>
        <v>#VALUE!</v>
      </c>
      <c r="AL41" s="10" t="e">
        <f t="shared" si="66"/>
        <v>#VALUE!</v>
      </c>
      <c r="AM41" s="10" t="e">
        <f t="shared" si="11"/>
        <v>#VALUE!</v>
      </c>
      <c r="AN41" s="10" t="e">
        <f t="shared" si="35"/>
        <v>#VALUE!</v>
      </c>
      <c r="AO41" s="10" t="e">
        <f t="shared" si="36"/>
        <v>#VALUE!</v>
      </c>
      <c r="AP41" s="10" t="e">
        <f t="shared" si="37"/>
        <v>#VALUE!</v>
      </c>
      <c r="AQ41" s="10" t="e">
        <f t="shared" si="67"/>
        <v>#VALUE!</v>
      </c>
      <c r="AR41" s="10" t="e">
        <f t="shared" si="12"/>
        <v>#VALUE!</v>
      </c>
      <c r="AS41" s="10" t="e">
        <f t="shared" si="68"/>
        <v>#VALUE!</v>
      </c>
      <c r="AU41" s="10" t="e">
        <f t="shared" si="38"/>
        <v>#VALUE!</v>
      </c>
      <c r="AV41" s="10" t="e">
        <f t="shared" si="69"/>
        <v>#VALUE!</v>
      </c>
      <c r="AW41" s="10" t="e">
        <f t="shared" si="13"/>
        <v>#VALUE!</v>
      </c>
      <c r="AX41" s="10" t="e">
        <f t="shared" si="39"/>
        <v>#VALUE!</v>
      </c>
      <c r="AY41" s="10" t="e">
        <f t="shared" si="40"/>
        <v>#VALUE!</v>
      </c>
      <c r="AZ41" s="10" t="e">
        <f t="shared" si="41"/>
        <v>#VALUE!</v>
      </c>
      <c r="BA41" s="10" t="e">
        <f t="shared" si="70"/>
        <v>#VALUE!</v>
      </c>
      <c r="BB41" s="10" t="e">
        <f t="shared" si="14"/>
        <v>#VALUE!</v>
      </c>
      <c r="BC41" s="10" t="e">
        <f t="shared" si="71"/>
        <v>#VALUE!</v>
      </c>
      <c r="BE41" s="10" t="e">
        <f t="shared" si="42"/>
        <v>#VALUE!</v>
      </c>
      <c r="BF41" s="10" t="e">
        <f t="shared" si="72"/>
        <v>#VALUE!</v>
      </c>
      <c r="BG41" s="10" t="e">
        <f t="shared" si="15"/>
        <v>#VALUE!</v>
      </c>
      <c r="BH41" s="10" t="e">
        <f t="shared" si="43"/>
        <v>#VALUE!</v>
      </c>
      <c r="BI41" s="10" t="e">
        <f t="shared" si="44"/>
        <v>#VALUE!</v>
      </c>
      <c r="BJ41" s="10" t="e">
        <f t="shared" si="45"/>
        <v>#VALUE!</v>
      </c>
      <c r="BK41" s="10" t="e">
        <f t="shared" si="73"/>
        <v>#VALUE!</v>
      </c>
      <c r="BL41" s="10" t="e">
        <f t="shared" si="16"/>
        <v>#VALUE!</v>
      </c>
      <c r="BM41" s="10" t="e">
        <f t="shared" si="74"/>
        <v>#VALUE!</v>
      </c>
      <c r="BP41" s="10" t="e">
        <f t="shared" si="46"/>
        <v>#VALUE!</v>
      </c>
      <c r="BQ41" s="10" t="e">
        <f t="shared" si="47"/>
        <v>#VALUE!</v>
      </c>
      <c r="BR41" s="10" t="e">
        <f t="shared" si="48"/>
        <v>#VALUE!</v>
      </c>
      <c r="BS41" s="10" t="e">
        <f t="shared" si="49"/>
        <v>#VALUE!</v>
      </c>
      <c r="BT41" s="10" t="e">
        <f t="shared" si="50"/>
        <v>#VALUE!</v>
      </c>
      <c r="BU41" s="10" t="e">
        <f t="shared" si="51"/>
        <v>#VALUE!</v>
      </c>
      <c r="BW41" s="10" t="e">
        <f t="shared" si="52"/>
        <v>#VALUE!</v>
      </c>
      <c r="BX41" s="10" t="e">
        <f t="shared" si="53"/>
        <v>#VALUE!</v>
      </c>
      <c r="BY41" s="10" t="e">
        <f t="shared" si="54"/>
        <v>#VALUE!</v>
      </c>
      <c r="BZ41" s="10" t="e">
        <f t="shared" si="55"/>
        <v>#VALUE!</v>
      </c>
      <c r="CA41" s="10" t="e">
        <f t="shared" si="56"/>
        <v>#VALUE!</v>
      </c>
      <c r="CB41" s="10" t="e">
        <f t="shared" si="57"/>
        <v>#VALUE!</v>
      </c>
      <c r="CD41" s="10" t="e">
        <f>MATCH(INDEX($BP$12:$BU$12,1,MATCH(BP41,$BP$15:$BU$15,0)),结果汇总!$AI$10:$AI$13,0)</f>
        <v>#VALUE!</v>
      </c>
      <c r="CE41" s="10" t="e">
        <f>MATCH(INDEX($BP$12:$BU$12,1,MATCH(BQ41,$BP$15:$BU$15,0)),结果汇总!$AI$10:$AI$13,0)</f>
        <v>#VALUE!</v>
      </c>
      <c r="CF41" s="10" t="e">
        <f>MATCH(INDEX($BP$12:$BU$12,1,MATCH(BR41,$BP$15:$BU$15,0)),结果汇总!$AI$10:$AI$13,0)</f>
        <v>#VALUE!</v>
      </c>
      <c r="CG41" s="10" t="e">
        <f>MATCH(INDEX($BP$12:$BU$12,1,MATCH(BS41,$BP$15:$BU$15,0)),结果汇总!$AI$10:$AI$13,0)</f>
        <v>#VALUE!</v>
      </c>
      <c r="CH41" s="10" t="e">
        <f>MATCH(INDEX($BP$12:$BU$12,1,MATCH(BT41,$BP$15:$BU$15,0)),结果汇总!$AI$10:$AI$13,0)</f>
        <v>#VALUE!</v>
      </c>
      <c r="CI41" s="10" t="e">
        <f>MATCH(INDEX($BP$12:$BU$12,1,MATCH(BU41,$BP$15:$BU$15,0)),结果汇总!$AI$10:$AI$13,0)</f>
        <v>#VALUE!</v>
      </c>
      <c r="CK41" s="10">
        <f t="shared" si="58"/>
        <v>0</v>
      </c>
      <c r="CL41" s="10">
        <f t="shared" si="58"/>
        <v>0</v>
      </c>
      <c r="CM41" s="10">
        <f t="shared" si="58"/>
        <v>0</v>
      </c>
      <c r="CN41" s="10">
        <f t="shared" si="58"/>
        <v>0</v>
      </c>
      <c r="CO41" s="10">
        <f t="shared" si="59"/>
        <v>0</v>
      </c>
      <c r="CP41" s="10">
        <f t="shared" si="59"/>
        <v>0</v>
      </c>
      <c r="CQ41" s="10">
        <f t="shared" si="59"/>
        <v>0</v>
      </c>
      <c r="CR41" s="10">
        <f t="shared" si="59"/>
        <v>0</v>
      </c>
      <c r="CS41" s="10" t="e">
        <f t="shared" si="60"/>
        <v>#DIV/0!</v>
      </c>
      <c r="CT41" s="10" t="e">
        <f t="shared" si="60"/>
        <v>#DIV/0!</v>
      </c>
      <c r="CU41" s="10" t="e">
        <f t="shared" si="60"/>
        <v>#DIV/0!</v>
      </c>
      <c r="CV41" s="10" t="e">
        <f t="shared" si="60"/>
        <v>#DIV/0!</v>
      </c>
      <c r="CW41" s="10">
        <f t="shared" si="61"/>
        <v>0</v>
      </c>
      <c r="CX41" s="10">
        <f t="shared" si="61"/>
        <v>0</v>
      </c>
      <c r="CY41" s="10">
        <f t="shared" si="61"/>
        <v>0</v>
      </c>
      <c r="CZ41" s="10">
        <f t="shared" si="61"/>
        <v>0</v>
      </c>
    </row>
    <row r="42" spans="4:104" x14ac:dyDescent="0.15">
      <c r="D42" s="10">
        <v>27</v>
      </c>
      <c r="E42" s="10" t="e">
        <f t="shared" si="21"/>
        <v>#VALUE!</v>
      </c>
      <c r="F42" s="10" t="e">
        <f t="shared" si="1"/>
        <v>#VALUE!</v>
      </c>
      <c r="G42" s="10" t="e">
        <f t="shared" si="2"/>
        <v>#VALUE!</v>
      </c>
      <c r="H42" s="10" t="e">
        <f t="shared" si="22"/>
        <v>#VALUE!</v>
      </c>
      <c r="I42" s="10" t="e">
        <f t="shared" si="3"/>
        <v>#VALUE!</v>
      </c>
      <c r="J42" s="10" t="e">
        <f t="shared" si="23"/>
        <v>#VALUE!</v>
      </c>
      <c r="K42" s="10" t="e">
        <f t="shared" si="4"/>
        <v>#VALUE!</v>
      </c>
      <c r="L42" s="10" t="e">
        <f t="shared" si="5"/>
        <v>#VALUE!</v>
      </c>
      <c r="M42" s="10" t="e">
        <f t="shared" si="24"/>
        <v>#VALUE!</v>
      </c>
      <c r="O42" s="10" t="e">
        <f t="shared" si="25"/>
        <v>#VALUE!</v>
      </c>
      <c r="P42" s="10" t="e">
        <f t="shared" si="6"/>
        <v>#VALUE!</v>
      </c>
      <c r="Q42" s="10" t="e">
        <f t="shared" si="7"/>
        <v>#VALUE!</v>
      </c>
      <c r="R42" s="10" t="e">
        <f t="shared" si="26"/>
        <v>#VALUE!</v>
      </c>
      <c r="S42" s="10" t="e">
        <f t="shared" si="27"/>
        <v>#VALUE!</v>
      </c>
      <c r="T42" s="10" t="e">
        <f t="shared" si="62"/>
        <v>#VALUE!</v>
      </c>
      <c r="U42" s="10" t="e">
        <f t="shared" si="63"/>
        <v>#VALUE!</v>
      </c>
      <c r="V42" s="10" t="e">
        <f t="shared" si="8"/>
        <v>#VALUE!</v>
      </c>
      <c r="W42" s="10" t="e">
        <f t="shared" si="28"/>
        <v>#VALUE!</v>
      </c>
      <c r="Y42" s="10" t="e">
        <f t="shared" si="29"/>
        <v>#VALUE!</v>
      </c>
      <c r="Z42" s="11" t="e">
        <f t="shared" si="30"/>
        <v>#VALUE!</v>
      </c>
      <c r="AA42" s="10" t="e">
        <f t="shared" si="9"/>
        <v>#VALUE!</v>
      </c>
      <c r="AB42" s="10" t="e">
        <f t="shared" si="31"/>
        <v>#VALUE!</v>
      </c>
      <c r="AC42" s="10" t="e">
        <f t="shared" si="32"/>
        <v>#VALUE!</v>
      </c>
      <c r="AD42" s="10" t="e">
        <f t="shared" si="64"/>
        <v>#VALUE!</v>
      </c>
      <c r="AE42" s="10" t="e">
        <f t="shared" si="65"/>
        <v>#VALUE!</v>
      </c>
      <c r="AF42" s="10" t="e">
        <f t="shared" si="10"/>
        <v>#VALUE!</v>
      </c>
      <c r="AG42" s="10" t="e">
        <f t="shared" si="33"/>
        <v>#VALUE!</v>
      </c>
      <c r="AI42" s="13"/>
      <c r="AK42" s="10" t="e">
        <f t="shared" si="34"/>
        <v>#VALUE!</v>
      </c>
      <c r="AL42" s="10" t="e">
        <f t="shared" si="66"/>
        <v>#VALUE!</v>
      </c>
      <c r="AM42" s="10" t="e">
        <f t="shared" si="11"/>
        <v>#VALUE!</v>
      </c>
      <c r="AN42" s="10" t="e">
        <f t="shared" si="35"/>
        <v>#VALUE!</v>
      </c>
      <c r="AO42" s="10" t="e">
        <f t="shared" si="36"/>
        <v>#VALUE!</v>
      </c>
      <c r="AP42" s="10" t="e">
        <f t="shared" si="37"/>
        <v>#VALUE!</v>
      </c>
      <c r="AQ42" s="10" t="e">
        <f t="shared" si="67"/>
        <v>#VALUE!</v>
      </c>
      <c r="AR42" s="10" t="e">
        <f t="shared" si="12"/>
        <v>#VALUE!</v>
      </c>
      <c r="AS42" s="10" t="e">
        <f t="shared" si="68"/>
        <v>#VALUE!</v>
      </c>
      <c r="AU42" s="10" t="e">
        <f t="shared" si="38"/>
        <v>#VALUE!</v>
      </c>
      <c r="AV42" s="10" t="e">
        <f t="shared" si="69"/>
        <v>#VALUE!</v>
      </c>
      <c r="AW42" s="10" t="e">
        <f t="shared" si="13"/>
        <v>#VALUE!</v>
      </c>
      <c r="AX42" s="10" t="e">
        <f t="shared" si="39"/>
        <v>#VALUE!</v>
      </c>
      <c r="AY42" s="10" t="e">
        <f t="shared" si="40"/>
        <v>#VALUE!</v>
      </c>
      <c r="AZ42" s="10" t="e">
        <f t="shared" si="41"/>
        <v>#VALUE!</v>
      </c>
      <c r="BA42" s="10" t="e">
        <f t="shared" si="70"/>
        <v>#VALUE!</v>
      </c>
      <c r="BB42" s="10" t="e">
        <f t="shared" si="14"/>
        <v>#VALUE!</v>
      </c>
      <c r="BC42" s="10" t="e">
        <f t="shared" si="71"/>
        <v>#VALUE!</v>
      </c>
      <c r="BE42" s="10" t="e">
        <f t="shared" si="42"/>
        <v>#VALUE!</v>
      </c>
      <c r="BF42" s="10" t="e">
        <f t="shared" si="72"/>
        <v>#VALUE!</v>
      </c>
      <c r="BG42" s="10" t="e">
        <f t="shared" si="15"/>
        <v>#VALUE!</v>
      </c>
      <c r="BH42" s="10" t="e">
        <f t="shared" si="43"/>
        <v>#VALUE!</v>
      </c>
      <c r="BI42" s="10" t="e">
        <f t="shared" si="44"/>
        <v>#VALUE!</v>
      </c>
      <c r="BJ42" s="10" t="e">
        <f t="shared" si="45"/>
        <v>#VALUE!</v>
      </c>
      <c r="BK42" s="10" t="e">
        <f t="shared" si="73"/>
        <v>#VALUE!</v>
      </c>
      <c r="BL42" s="10" t="e">
        <f t="shared" si="16"/>
        <v>#VALUE!</v>
      </c>
      <c r="BM42" s="10" t="e">
        <f t="shared" si="74"/>
        <v>#VALUE!</v>
      </c>
      <c r="BP42" s="10" t="e">
        <f t="shared" si="46"/>
        <v>#VALUE!</v>
      </c>
      <c r="BQ42" s="10" t="e">
        <f t="shared" si="47"/>
        <v>#VALUE!</v>
      </c>
      <c r="BR42" s="10" t="e">
        <f t="shared" si="48"/>
        <v>#VALUE!</v>
      </c>
      <c r="BS42" s="10" t="e">
        <f t="shared" si="49"/>
        <v>#VALUE!</v>
      </c>
      <c r="BT42" s="10" t="e">
        <f t="shared" si="50"/>
        <v>#VALUE!</v>
      </c>
      <c r="BU42" s="10" t="e">
        <f t="shared" si="51"/>
        <v>#VALUE!</v>
      </c>
      <c r="BW42" s="10" t="e">
        <f t="shared" si="52"/>
        <v>#VALUE!</v>
      </c>
      <c r="BX42" s="10" t="e">
        <f t="shared" si="53"/>
        <v>#VALUE!</v>
      </c>
      <c r="BY42" s="10" t="e">
        <f t="shared" si="54"/>
        <v>#VALUE!</v>
      </c>
      <c r="BZ42" s="10" t="e">
        <f t="shared" si="55"/>
        <v>#VALUE!</v>
      </c>
      <c r="CA42" s="10" t="e">
        <f t="shared" si="56"/>
        <v>#VALUE!</v>
      </c>
      <c r="CB42" s="10" t="e">
        <f t="shared" si="57"/>
        <v>#VALUE!</v>
      </c>
      <c r="CD42" s="10" t="e">
        <f>MATCH(INDEX($BP$12:$BU$12,1,MATCH(BP42,$BP$15:$BU$15,0)),结果汇总!$AI$10:$AI$13,0)</f>
        <v>#VALUE!</v>
      </c>
      <c r="CE42" s="10" t="e">
        <f>MATCH(INDEX($BP$12:$BU$12,1,MATCH(BQ42,$BP$15:$BU$15,0)),结果汇总!$AI$10:$AI$13,0)</f>
        <v>#VALUE!</v>
      </c>
      <c r="CF42" s="10" t="e">
        <f>MATCH(INDEX($BP$12:$BU$12,1,MATCH(BR42,$BP$15:$BU$15,0)),结果汇总!$AI$10:$AI$13,0)</f>
        <v>#VALUE!</v>
      </c>
      <c r="CG42" s="10" t="e">
        <f>MATCH(INDEX($BP$12:$BU$12,1,MATCH(BS42,$BP$15:$BU$15,0)),结果汇总!$AI$10:$AI$13,0)</f>
        <v>#VALUE!</v>
      </c>
      <c r="CH42" s="10" t="e">
        <f>MATCH(INDEX($BP$12:$BU$12,1,MATCH(BT42,$BP$15:$BU$15,0)),结果汇总!$AI$10:$AI$13,0)</f>
        <v>#VALUE!</v>
      </c>
      <c r="CI42" s="10" t="e">
        <f>MATCH(INDEX($BP$12:$BU$12,1,MATCH(BU42,$BP$15:$BU$15,0)),结果汇总!$AI$10:$AI$13,0)</f>
        <v>#VALUE!</v>
      </c>
      <c r="CK42" s="10">
        <f t="shared" si="58"/>
        <v>0</v>
      </c>
      <c r="CL42" s="10">
        <f t="shared" si="58"/>
        <v>0</v>
      </c>
      <c r="CM42" s="10">
        <f t="shared" si="58"/>
        <v>0</v>
      </c>
      <c r="CN42" s="10">
        <f t="shared" si="58"/>
        <v>0</v>
      </c>
      <c r="CO42" s="10">
        <f t="shared" si="59"/>
        <v>0</v>
      </c>
      <c r="CP42" s="10">
        <f t="shared" si="59"/>
        <v>0</v>
      </c>
      <c r="CQ42" s="10">
        <f t="shared" si="59"/>
        <v>0</v>
      </c>
      <c r="CR42" s="10">
        <f t="shared" si="59"/>
        <v>0</v>
      </c>
      <c r="CS42" s="10" t="e">
        <f t="shared" si="60"/>
        <v>#DIV/0!</v>
      </c>
      <c r="CT42" s="10" t="e">
        <f t="shared" si="60"/>
        <v>#DIV/0!</v>
      </c>
      <c r="CU42" s="10" t="e">
        <f t="shared" si="60"/>
        <v>#DIV/0!</v>
      </c>
      <c r="CV42" s="10" t="e">
        <f t="shared" si="60"/>
        <v>#DIV/0!</v>
      </c>
      <c r="CW42" s="10">
        <f t="shared" si="61"/>
        <v>0</v>
      </c>
      <c r="CX42" s="10">
        <f t="shared" si="61"/>
        <v>0</v>
      </c>
      <c r="CY42" s="10">
        <f t="shared" si="61"/>
        <v>0</v>
      </c>
      <c r="CZ42" s="10">
        <f t="shared" si="61"/>
        <v>0</v>
      </c>
    </row>
    <row r="43" spans="4:104" x14ac:dyDescent="0.15">
      <c r="D43" s="10">
        <v>28</v>
      </c>
      <c r="E43" s="10" t="e">
        <f t="shared" si="21"/>
        <v>#VALUE!</v>
      </c>
      <c r="F43" s="10" t="e">
        <f t="shared" si="1"/>
        <v>#VALUE!</v>
      </c>
      <c r="G43" s="10" t="e">
        <f t="shared" si="2"/>
        <v>#VALUE!</v>
      </c>
      <c r="H43" s="10" t="e">
        <f t="shared" si="22"/>
        <v>#VALUE!</v>
      </c>
      <c r="I43" s="10" t="e">
        <f t="shared" si="3"/>
        <v>#VALUE!</v>
      </c>
      <c r="J43" s="10" t="e">
        <f t="shared" si="23"/>
        <v>#VALUE!</v>
      </c>
      <c r="K43" s="10" t="e">
        <f t="shared" si="4"/>
        <v>#VALUE!</v>
      </c>
      <c r="L43" s="10" t="e">
        <f t="shared" si="5"/>
        <v>#VALUE!</v>
      </c>
      <c r="M43" s="10" t="e">
        <f t="shared" si="24"/>
        <v>#VALUE!</v>
      </c>
      <c r="O43" s="10" t="e">
        <f t="shared" si="25"/>
        <v>#VALUE!</v>
      </c>
      <c r="P43" s="10" t="e">
        <f t="shared" si="6"/>
        <v>#VALUE!</v>
      </c>
      <c r="Q43" s="10" t="e">
        <f t="shared" si="7"/>
        <v>#VALUE!</v>
      </c>
      <c r="R43" s="10" t="e">
        <f t="shared" si="26"/>
        <v>#VALUE!</v>
      </c>
      <c r="S43" s="10" t="e">
        <f t="shared" si="27"/>
        <v>#VALUE!</v>
      </c>
      <c r="T43" s="10" t="e">
        <f t="shared" si="62"/>
        <v>#VALUE!</v>
      </c>
      <c r="U43" s="10" t="e">
        <f t="shared" si="63"/>
        <v>#VALUE!</v>
      </c>
      <c r="V43" s="10" t="e">
        <f t="shared" si="8"/>
        <v>#VALUE!</v>
      </c>
      <c r="W43" s="10" t="e">
        <f t="shared" si="28"/>
        <v>#VALUE!</v>
      </c>
      <c r="Y43" s="10" t="e">
        <f t="shared" si="29"/>
        <v>#VALUE!</v>
      </c>
      <c r="Z43" s="11" t="e">
        <f t="shared" si="30"/>
        <v>#VALUE!</v>
      </c>
      <c r="AA43" s="10" t="e">
        <f t="shared" si="9"/>
        <v>#VALUE!</v>
      </c>
      <c r="AB43" s="10" t="e">
        <f t="shared" si="31"/>
        <v>#VALUE!</v>
      </c>
      <c r="AC43" s="10" t="e">
        <f t="shared" si="32"/>
        <v>#VALUE!</v>
      </c>
      <c r="AD43" s="10" t="e">
        <f t="shared" si="64"/>
        <v>#VALUE!</v>
      </c>
      <c r="AE43" s="10" t="e">
        <f t="shared" si="65"/>
        <v>#VALUE!</v>
      </c>
      <c r="AF43" s="10" t="e">
        <f t="shared" si="10"/>
        <v>#VALUE!</v>
      </c>
      <c r="AG43" s="10" t="e">
        <f t="shared" si="33"/>
        <v>#VALUE!</v>
      </c>
      <c r="AI43" s="13"/>
      <c r="AK43" s="10" t="e">
        <f t="shared" si="34"/>
        <v>#VALUE!</v>
      </c>
      <c r="AL43" s="10" t="e">
        <f t="shared" si="66"/>
        <v>#VALUE!</v>
      </c>
      <c r="AM43" s="10" t="e">
        <f t="shared" si="11"/>
        <v>#VALUE!</v>
      </c>
      <c r="AN43" s="10" t="e">
        <f t="shared" si="35"/>
        <v>#VALUE!</v>
      </c>
      <c r="AO43" s="10" t="e">
        <f t="shared" si="36"/>
        <v>#VALUE!</v>
      </c>
      <c r="AP43" s="10" t="e">
        <f t="shared" si="37"/>
        <v>#VALUE!</v>
      </c>
      <c r="AQ43" s="10" t="e">
        <f t="shared" si="67"/>
        <v>#VALUE!</v>
      </c>
      <c r="AR43" s="10" t="e">
        <f t="shared" si="12"/>
        <v>#VALUE!</v>
      </c>
      <c r="AS43" s="10" t="e">
        <f t="shared" si="68"/>
        <v>#VALUE!</v>
      </c>
      <c r="AU43" s="10" t="e">
        <f t="shared" si="38"/>
        <v>#VALUE!</v>
      </c>
      <c r="AV43" s="10" t="e">
        <f t="shared" si="69"/>
        <v>#VALUE!</v>
      </c>
      <c r="AW43" s="10" t="e">
        <f t="shared" si="13"/>
        <v>#VALUE!</v>
      </c>
      <c r="AX43" s="10" t="e">
        <f t="shared" si="39"/>
        <v>#VALUE!</v>
      </c>
      <c r="AY43" s="10" t="e">
        <f t="shared" si="40"/>
        <v>#VALUE!</v>
      </c>
      <c r="AZ43" s="10" t="e">
        <f t="shared" si="41"/>
        <v>#VALUE!</v>
      </c>
      <c r="BA43" s="10" t="e">
        <f t="shared" si="70"/>
        <v>#VALUE!</v>
      </c>
      <c r="BB43" s="10" t="e">
        <f t="shared" si="14"/>
        <v>#VALUE!</v>
      </c>
      <c r="BC43" s="10" t="e">
        <f t="shared" si="71"/>
        <v>#VALUE!</v>
      </c>
      <c r="BE43" s="10" t="e">
        <f t="shared" si="42"/>
        <v>#VALUE!</v>
      </c>
      <c r="BF43" s="10" t="e">
        <f t="shared" si="72"/>
        <v>#VALUE!</v>
      </c>
      <c r="BG43" s="10" t="e">
        <f t="shared" si="15"/>
        <v>#VALUE!</v>
      </c>
      <c r="BH43" s="10" t="e">
        <f t="shared" si="43"/>
        <v>#VALUE!</v>
      </c>
      <c r="BI43" s="10" t="e">
        <f t="shared" si="44"/>
        <v>#VALUE!</v>
      </c>
      <c r="BJ43" s="10" t="e">
        <f t="shared" si="45"/>
        <v>#VALUE!</v>
      </c>
      <c r="BK43" s="10" t="e">
        <f t="shared" si="73"/>
        <v>#VALUE!</v>
      </c>
      <c r="BL43" s="10" t="e">
        <f t="shared" si="16"/>
        <v>#VALUE!</v>
      </c>
      <c r="BM43" s="10" t="e">
        <f t="shared" si="74"/>
        <v>#VALUE!</v>
      </c>
      <c r="BP43" s="10" t="e">
        <f t="shared" si="46"/>
        <v>#VALUE!</v>
      </c>
      <c r="BQ43" s="10" t="e">
        <f t="shared" si="47"/>
        <v>#VALUE!</v>
      </c>
      <c r="BR43" s="10" t="e">
        <f t="shared" si="48"/>
        <v>#VALUE!</v>
      </c>
      <c r="BS43" s="10" t="e">
        <f t="shared" si="49"/>
        <v>#VALUE!</v>
      </c>
      <c r="BT43" s="10" t="e">
        <f t="shared" si="50"/>
        <v>#VALUE!</v>
      </c>
      <c r="BU43" s="10" t="e">
        <f t="shared" si="51"/>
        <v>#VALUE!</v>
      </c>
      <c r="BW43" s="10" t="e">
        <f t="shared" si="52"/>
        <v>#VALUE!</v>
      </c>
      <c r="BX43" s="10" t="e">
        <f t="shared" si="53"/>
        <v>#VALUE!</v>
      </c>
      <c r="BY43" s="10" t="e">
        <f t="shared" si="54"/>
        <v>#VALUE!</v>
      </c>
      <c r="BZ43" s="10" t="e">
        <f t="shared" si="55"/>
        <v>#VALUE!</v>
      </c>
      <c r="CA43" s="10" t="e">
        <f t="shared" si="56"/>
        <v>#VALUE!</v>
      </c>
      <c r="CB43" s="10" t="e">
        <f t="shared" si="57"/>
        <v>#VALUE!</v>
      </c>
      <c r="CD43" s="10" t="e">
        <f>MATCH(INDEX($BP$12:$BU$12,1,MATCH(BP43,$BP$15:$BU$15,0)),结果汇总!$AI$10:$AI$13,0)</f>
        <v>#VALUE!</v>
      </c>
      <c r="CE43" s="10" t="e">
        <f>MATCH(INDEX($BP$12:$BU$12,1,MATCH(BQ43,$BP$15:$BU$15,0)),结果汇总!$AI$10:$AI$13,0)</f>
        <v>#VALUE!</v>
      </c>
      <c r="CF43" s="10" t="e">
        <f>MATCH(INDEX($BP$12:$BU$12,1,MATCH(BR43,$BP$15:$BU$15,0)),结果汇总!$AI$10:$AI$13,0)</f>
        <v>#VALUE!</v>
      </c>
      <c r="CG43" s="10" t="e">
        <f>MATCH(INDEX($BP$12:$BU$12,1,MATCH(BS43,$BP$15:$BU$15,0)),结果汇总!$AI$10:$AI$13,0)</f>
        <v>#VALUE!</v>
      </c>
      <c r="CH43" s="10" t="e">
        <f>MATCH(INDEX($BP$12:$BU$12,1,MATCH(BT43,$BP$15:$BU$15,0)),结果汇总!$AI$10:$AI$13,0)</f>
        <v>#VALUE!</v>
      </c>
      <c r="CI43" s="10" t="e">
        <f>MATCH(INDEX($BP$12:$BU$12,1,MATCH(BU43,$BP$15:$BU$15,0)),结果汇总!$AI$10:$AI$13,0)</f>
        <v>#VALUE!</v>
      </c>
      <c r="CK43" s="10">
        <f t="shared" si="58"/>
        <v>0</v>
      </c>
      <c r="CL43" s="10">
        <f t="shared" si="58"/>
        <v>0</v>
      </c>
      <c r="CM43" s="10">
        <f t="shared" si="58"/>
        <v>0</v>
      </c>
      <c r="CN43" s="10">
        <f t="shared" si="58"/>
        <v>0</v>
      </c>
      <c r="CO43" s="10">
        <f t="shared" si="59"/>
        <v>0</v>
      </c>
      <c r="CP43" s="10">
        <f t="shared" si="59"/>
        <v>0</v>
      </c>
      <c r="CQ43" s="10">
        <f t="shared" si="59"/>
        <v>0</v>
      </c>
      <c r="CR43" s="10">
        <f t="shared" si="59"/>
        <v>0</v>
      </c>
      <c r="CS43" s="10" t="e">
        <f t="shared" si="60"/>
        <v>#DIV/0!</v>
      </c>
      <c r="CT43" s="10" t="e">
        <f t="shared" si="60"/>
        <v>#DIV/0!</v>
      </c>
      <c r="CU43" s="10" t="e">
        <f t="shared" si="60"/>
        <v>#DIV/0!</v>
      </c>
      <c r="CV43" s="10" t="e">
        <f t="shared" si="60"/>
        <v>#DIV/0!</v>
      </c>
      <c r="CW43" s="10">
        <f t="shared" si="61"/>
        <v>0</v>
      </c>
      <c r="CX43" s="10">
        <f t="shared" si="61"/>
        <v>0</v>
      </c>
      <c r="CY43" s="10">
        <f t="shared" si="61"/>
        <v>0</v>
      </c>
      <c r="CZ43" s="10">
        <f t="shared" si="61"/>
        <v>0</v>
      </c>
    </row>
    <row r="44" spans="4:104" x14ac:dyDescent="0.15">
      <c r="D44" s="10">
        <v>29</v>
      </c>
      <c r="E44" s="10" t="e">
        <f t="shared" si="21"/>
        <v>#VALUE!</v>
      </c>
      <c r="F44" s="10" t="e">
        <f t="shared" si="1"/>
        <v>#VALUE!</v>
      </c>
      <c r="G44" s="10" t="e">
        <f t="shared" si="2"/>
        <v>#VALUE!</v>
      </c>
      <c r="H44" s="10" t="e">
        <f t="shared" si="22"/>
        <v>#VALUE!</v>
      </c>
      <c r="I44" s="10" t="e">
        <f t="shared" si="3"/>
        <v>#VALUE!</v>
      </c>
      <c r="J44" s="10" t="e">
        <f t="shared" si="23"/>
        <v>#VALUE!</v>
      </c>
      <c r="K44" s="10" t="e">
        <f t="shared" si="4"/>
        <v>#VALUE!</v>
      </c>
      <c r="L44" s="10" t="e">
        <f t="shared" si="5"/>
        <v>#VALUE!</v>
      </c>
      <c r="M44" s="10" t="e">
        <f t="shared" si="24"/>
        <v>#VALUE!</v>
      </c>
      <c r="O44" s="10" t="e">
        <f t="shared" si="25"/>
        <v>#VALUE!</v>
      </c>
      <c r="P44" s="10" t="e">
        <f t="shared" si="6"/>
        <v>#VALUE!</v>
      </c>
      <c r="Q44" s="10" t="e">
        <f t="shared" si="7"/>
        <v>#VALUE!</v>
      </c>
      <c r="R44" s="10" t="e">
        <f t="shared" si="26"/>
        <v>#VALUE!</v>
      </c>
      <c r="S44" s="10" t="e">
        <f t="shared" si="27"/>
        <v>#VALUE!</v>
      </c>
      <c r="T44" s="10" t="e">
        <f t="shared" si="62"/>
        <v>#VALUE!</v>
      </c>
      <c r="U44" s="10" t="e">
        <f t="shared" si="63"/>
        <v>#VALUE!</v>
      </c>
      <c r="V44" s="10" t="e">
        <f t="shared" si="8"/>
        <v>#VALUE!</v>
      </c>
      <c r="W44" s="10" t="e">
        <f t="shared" si="28"/>
        <v>#VALUE!</v>
      </c>
      <c r="Y44" s="10" t="e">
        <f t="shared" si="29"/>
        <v>#VALUE!</v>
      </c>
      <c r="Z44" s="11" t="e">
        <f t="shared" si="30"/>
        <v>#VALUE!</v>
      </c>
      <c r="AA44" s="10" t="e">
        <f t="shared" si="9"/>
        <v>#VALUE!</v>
      </c>
      <c r="AB44" s="10" t="e">
        <f t="shared" si="31"/>
        <v>#VALUE!</v>
      </c>
      <c r="AC44" s="10" t="e">
        <f t="shared" si="32"/>
        <v>#VALUE!</v>
      </c>
      <c r="AD44" s="10" t="e">
        <f t="shared" si="64"/>
        <v>#VALUE!</v>
      </c>
      <c r="AE44" s="10" t="e">
        <f t="shared" si="65"/>
        <v>#VALUE!</v>
      </c>
      <c r="AF44" s="10" t="e">
        <f t="shared" si="10"/>
        <v>#VALUE!</v>
      </c>
      <c r="AG44" s="10" t="e">
        <f t="shared" si="33"/>
        <v>#VALUE!</v>
      </c>
      <c r="AI44" s="13"/>
      <c r="AK44" s="10" t="e">
        <f t="shared" si="34"/>
        <v>#VALUE!</v>
      </c>
      <c r="AL44" s="10" t="e">
        <f t="shared" si="66"/>
        <v>#VALUE!</v>
      </c>
      <c r="AM44" s="10" t="e">
        <f t="shared" si="11"/>
        <v>#VALUE!</v>
      </c>
      <c r="AN44" s="10" t="e">
        <f t="shared" si="35"/>
        <v>#VALUE!</v>
      </c>
      <c r="AO44" s="10" t="e">
        <f t="shared" si="36"/>
        <v>#VALUE!</v>
      </c>
      <c r="AP44" s="10" t="e">
        <f t="shared" si="37"/>
        <v>#VALUE!</v>
      </c>
      <c r="AQ44" s="10" t="e">
        <f t="shared" si="67"/>
        <v>#VALUE!</v>
      </c>
      <c r="AR44" s="10" t="e">
        <f t="shared" si="12"/>
        <v>#VALUE!</v>
      </c>
      <c r="AS44" s="10" t="e">
        <f t="shared" si="68"/>
        <v>#VALUE!</v>
      </c>
      <c r="AU44" s="10" t="e">
        <f t="shared" si="38"/>
        <v>#VALUE!</v>
      </c>
      <c r="AV44" s="10" t="e">
        <f t="shared" si="69"/>
        <v>#VALUE!</v>
      </c>
      <c r="AW44" s="10" t="e">
        <f t="shared" si="13"/>
        <v>#VALUE!</v>
      </c>
      <c r="AX44" s="10" t="e">
        <f t="shared" si="39"/>
        <v>#VALUE!</v>
      </c>
      <c r="AY44" s="10" t="e">
        <f t="shared" si="40"/>
        <v>#VALUE!</v>
      </c>
      <c r="AZ44" s="10" t="e">
        <f t="shared" si="41"/>
        <v>#VALUE!</v>
      </c>
      <c r="BA44" s="10" t="e">
        <f t="shared" si="70"/>
        <v>#VALUE!</v>
      </c>
      <c r="BB44" s="10" t="e">
        <f t="shared" si="14"/>
        <v>#VALUE!</v>
      </c>
      <c r="BC44" s="10" t="e">
        <f t="shared" si="71"/>
        <v>#VALUE!</v>
      </c>
      <c r="BE44" s="10" t="e">
        <f t="shared" si="42"/>
        <v>#VALUE!</v>
      </c>
      <c r="BF44" s="10" t="e">
        <f t="shared" si="72"/>
        <v>#VALUE!</v>
      </c>
      <c r="BG44" s="10" t="e">
        <f t="shared" si="15"/>
        <v>#VALUE!</v>
      </c>
      <c r="BH44" s="10" t="e">
        <f t="shared" si="43"/>
        <v>#VALUE!</v>
      </c>
      <c r="BI44" s="10" t="e">
        <f t="shared" si="44"/>
        <v>#VALUE!</v>
      </c>
      <c r="BJ44" s="10" t="e">
        <f t="shared" si="45"/>
        <v>#VALUE!</v>
      </c>
      <c r="BK44" s="10" t="e">
        <f t="shared" si="73"/>
        <v>#VALUE!</v>
      </c>
      <c r="BL44" s="10" t="e">
        <f t="shared" si="16"/>
        <v>#VALUE!</v>
      </c>
      <c r="BM44" s="10" t="e">
        <f t="shared" si="74"/>
        <v>#VALUE!</v>
      </c>
      <c r="BP44" s="10" t="e">
        <f t="shared" si="46"/>
        <v>#VALUE!</v>
      </c>
      <c r="BQ44" s="10" t="e">
        <f t="shared" si="47"/>
        <v>#VALUE!</v>
      </c>
      <c r="BR44" s="10" t="e">
        <f t="shared" si="48"/>
        <v>#VALUE!</v>
      </c>
      <c r="BS44" s="10" t="e">
        <f t="shared" si="49"/>
        <v>#VALUE!</v>
      </c>
      <c r="BT44" s="10" t="e">
        <f t="shared" si="50"/>
        <v>#VALUE!</v>
      </c>
      <c r="BU44" s="10" t="e">
        <f t="shared" si="51"/>
        <v>#VALUE!</v>
      </c>
      <c r="BW44" s="10" t="e">
        <f t="shared" si="52"/>
        <v>#VALUE!</v>
      </c>
      <c r="BX44" s="10" t="e">
        <f t="shared" si="53"/>
        <v>#VALUE!</v>
      </c>
      <c r="BY44" s="10" t="e">
        <f t="shared" si="54"/>
        <v>#VALUE!</v>
      </c>
      <c r="BZ44" s="10" t="e">
        <f t="shared" si="55"/>
        <v>#VALUE!</v>
      </c>
      <c r="CA44" s="10" t="e">
        <f t="shared" si="56"/>
        <v>#VALUE!</v>
      </c>
      <c r="CB44" s="10" t="e">
        <f t="shared" si="57"/>
        <v>#VALUE!</v>
      </c>
      <c r="CD44" s="10" t="e">
        <f>MATCH(INDEX($BP$12:$BU$12,1,MATCH(BP44,$BP$15:$BU$15,0)),结果汇总!$AI$10:$AI$13,0)</f>
        <v>#VALUE!</v>
      </c>
      <c r="CE44" s="10" t="e">
        <f>MATCH(INDEX($BP$12:$BU$12,1,MATCH(BQ44,$BP$15:$BU$15,0)),结果汇总!$AI$10:$AI$13,0)</f>
        <v>#VALUE!</v>
      </c>
      <c r="CF44" s="10" t="e">
        <f>MATCH(INDEX($BP$12:$BU$12,1,MATCH(BR44,$BP$15:$BU$15,0)),结果汇总!$AI$10:$AI$13,0)</f>
        <v>#VALUE!</v>
      </c>
      <c r="CG44" s="10" t="e">
        <f>MATCH(INDEX($BP$12:$BU$12,1,MATCH(BS44,$BP$15:$BU$15,0)),结果汇总!$AI$10:$AI$13,0)</f>
        <v>#VALUE!</v>
      </c>
      <c r="CH44" s="10" t="e">
        <f>MATCH(INDEX($BP$12:$BU$12,1,MATCH(BT44,$BP$15:$BU$15,0)),结果汇总!$AI$10:$AI$13,0)</f>
        <v>#VALUE!</v>
      </c>
      <c r="CI44" s="10" t="e">
        <f>MATCH(INDEX($BP$12:$BU$12,1,MATCH(BU44,$BP$15:$BU$15,0)),结果汇总!$AI$10:$AI$13,0)</f>
        <v>#VALUE!</v>
      </c>
      <c r="CK44" s="10">
        <f t="shared" si="58"/>
        <v>0</v>
      </c>
      <c r="CL44" s="10">
        <f t="shared" si="58"/>
        <v>0</v>
      </c>
      <c r="CM44" s="10">
        <f t="shared" si="58"/>
        <v>0</v>
      </c>
      <c r="CN44" s="10">
        <f t="shared" si="58"/>
        <v>0</v>
      </c>
      <c r="CO44" s="10">
        <f t="shared" si="59"/>
        <v>0</v>
      </c>
      <c r="CP44" s="10">
        <f t="shared" si="59"/>
        <v>0</v>
      </c>
      <c r="CQ44" s="10">
        <f t="shared" si="59"/>
        <v>0</v>
      </c>
      <c r="CR44" s="10">
        <f t="shared" si="59"/>
        <v>0</v>
      </c>
      <c r="CS44" s="10" t="e">
        <f t="shared" si="60"/>
        <v>#DIV/0!</v>
      </c>
      <c r="CT44" s="10" t="e">
        <f t="shared" si="60"/>
        <v>#DIV/0!</v>
      </c>
      <c r="CU44" s="10" t="e">
        <f t="shared" si="60"/>
        <v>#DIV/0!</v>
      </c>
      <c r="CV44" s="10" t="e">
        <f t="shared" si="60"/>
        <v>#DIV/0!</v>
      </c>
      <c r="CW44" s="10">
        <f t="shared" si="61"/>
        <v>0</v>
      </c>
      <c r="CX44" s="10">
        <f t="shared" si="61"/>
        <v>0</v>
      </c>
      <c r="CY44" s="10">
        <f t="shared" si="61"/>
        <v>0</v>
      </c>
      <c r="CZ44" s="10">
        <f t="shared" si="61"/>
        <v>0</v>
      </c>
    </row>
    <row r="45" spans="4:104" x14ac:dyDescent="0.15">
      <c r="D45" s="10">
        <v>30</v>
      </c>
      <c r="E45" s="10" t="e">
        <f t="shared" si="21"/>
        <v>#VALUE!</v>
      </c>
      <c r="F45" s="10" t="e">
        <f t="shared" si="1"/>
        <v>#VALUE!</v>
      </c>
      <c r="G45" s="10" t="e">
        <f t="shared" si="2"/>
        <v>#VALUE!</v>
      </c>
      <c r="H45" s="10" t="e">
        <f t="shared" si="22"/>
        <v>#VALUE!</v>
      </c>
      <c r="I45" s="10" t="e">
        <f t="shared" si="3"/>
        <v>#VALUE!</v>
      </c>
      <c r="J45" s="10" t="e">
        <f t="shared" si="23"/>
        <v>#VALUE!</v>
      </c>
      <c r="K45" s="10" t="e">
        <f t="shared" si="4"/>
        <v>#VALUE!</v>
      </c>
      <c r="L45" s="10" t="e">
        <f t="shared" si="5"/>
        <v>#VALUE!</v>
      </c>
      <c r="M45" s="10" t="e">
        <f t="shared" si="24"/>
        <v>#VALUE!</v>
      </c>
      <c r="O45" s="10" t="e">
        <f t="shared" si="25"/>
        <v>#VALUE!</v>
      </c>
      <c r="P45" s="10" t="e">
        <f t="shared" si="6"/>
        <v>#VALUE!</v>
      </c>
      <c r="Q45" s="10" t="e">
        <f t="shared" si="7"/>
        <v>#VALUE!</v>
      </c>
      <c r="R45" s="10" t="e">
        <f t="shared" si="26"/>
        <v>#VALUE!</v>
      </c>
      <c r="S45" s="10" t="e">
        <f t="shared" si="27"/>
        <v>#VALUE!</v>
      </c>
      <c r="T45" s="10" t="e">
        <f t="shared" si="62"/>
        <v>#VALUE!</v>
      </c>
      <c r="U45" s="10" t="e">
        <f t="shared" si="63"/>
        <v>#VALUE!</v>
      </c>
      <c r="V45" s="10" t="e">
        <f t="shared" si="8"/>
        <v>#VALUE!</v>
      </c>
      <c r="W45" s="10" t="e">
        <f t="shared" si="28"/>
        <v>#VALUE!</v>
      </c>
      <c r="Y45" s="10" t="e">
        <f t="shared" si="29"/>
        <v>#VALUE!</v>
      </c>
      <c r="Z45" s="11" t="e">
        <f t="shared" si="30"/>
        <v>#VALUE!</v>
      </c>
      <c r="AA45" s="10" t="e">
        <f t="shared" si="9"/>
        <v>#VALUE!</v>
      </c>
      <c r="AB45" s="10" t="e">
        <f t="shared" si="31"/>
        <v>#VALUE!</v>
      </c>
      <c r="AC45" s="10" t="e">
        <f t="shared" si="32"/>
        <v>#VALUE!</v>
      </c>
      <c r="AD45" s="10" t="e">
        <f t="shared" si="64"/>
        <v>#VALUE!</v>
      </c>
      <c r="AE45" s="10" t="e">
        <f t="shared" si="65"/>
        <v>#VALUE!</v>
      </c>
      <c r="AF45" s="10" t="e">
        <f t="shared" si="10"/>
        <v>#VALUE!</v>
      </c>
      <c r="AG45" s="10" t="e">
        <f t="shared" si="33"/>
        <v>#VALUE!</v>
      </c>
      <c r="AI45" s="13"/>
      <c r="AK45" s="10" t="e">
        <f t="shared" si="34"/>
        <v>#VALUE!</v>
      </c>
      <c r="AL45" s="10" t="e">
        <f t="shared" si="66"/>
        <v>#VALUE!</v>
      </c>
      <c r="AM45" s="10" t="e">
        <f t="shared" si="11"/>
        <v>#VALUE!</v>
      </c>
      <c r="AN45" s="10" t="e">
        <f t="shared" si="35"/>
        <v>#VALUE!</v>
      </c>
      <c r="AO45" s="10" t="e">
        <f t="shared" si="36"/>
        <v>#VALUE!</v>
      </c>
      <c r="AP45" s="10" t="e">
        <f t="shared" si="37"/>
        <v>#VALUE!</v>
      </c>
      <c r="AQ45" s="10" t="e">
        <f t="shared" si="67"/>
        <v>#VALUE!</v>
      </c>
      <c r="AR45" s="10" t="e">
        <f t="shared" si="12"/>
        <v>#VALUE!</v>
      </c>
      <c r="AS45" s="10" t="e">
        <f t="shared" si="68"/>
        <v>#VALUE!</v>
      </c>
      <c r="AU45" s="10" t="e">
        <f t="shared" si="38"/>
        <v>#VALUE!</v>
      </c>
      <c r="AV45" s="10" t="e">
        <f t="shared" si="69"/>
        <v>#VALUE!</v>
      </c>
      <c r="AW45" s="10" t="e">
        <f t="shared" si="13"/>
        <v>#VALUE!</v>
      </c>
      <c r="AX45" s="10" t="e">
        <f t="shared" si="39"/>
        <v>#VALUE!</v>
      </c>
      <c r="AY45" s="10" t="e">
        <f t="shared" si="40"/>
        <v>#VALUE!</v>
      </c>
      <c r="AZ45" s="10" t="e">
        <f t="shared" si="41"/>
        <v>#VALUE!</v>
      </c>
      <c r="BA45" s="10" t="e">
        <f t="shared" si="70"/>
        <v>#VALUE!</v>
      </c>
      <c r="BB45" s="10" t="e">
        <f t="shared" si="14"/>
        <v>#VALUE!</v>
      </c>
      <c r="BC45" s="10" t="e">
        <f t="shared" si="71"/>
        <v>#VALUE!</v>
      </c>
      <c r="BE45" s="10" t="e">
        <f t="shared" si="42"/>
        <v>#VALUE!</v>
      </c>
      <c r="BF45" s="10" t="e">
        <f t="shared" si="72"/>
        <v>#VALUE!</v>
      </c>
      <c r="BG45" s="10" t="e">
        <f t="shared" si="15"/>
        <v>#VALUE!</v>
      </c>
      <c r="BH45" s="10" t="e">
        <f t="shared" si="43"/>
        <v>#VALUE!</v>
      </c>
      <c r="BI45" s="10" t="e">
        <f t="shared" si="44"/>
        <v>#VALUE!</v>
      </c>
      <c r="BJ45" s="10" t="e">
        <f t="shared" si="45"/>
        <v>#VALUE!</v>
      </c>
      <c r="BK45" s="10" t="e">
        <f t="shared" si="73"/>
        <v>#VALUE!</v>
      </c>
      <c r="BL45" s="10" t="e">
        <f t="shared" si="16"/>
        <v>#VALUE!</v>
      </c>
      <c r="BM45" s="10" t="e">
        <f t="shared" si="74"/>
        <v>#VALUE!</v>
      </c>
      <c r="BP45" s="10" t="e">
        <f t="shared" si="46"/>
        <v>#VALUE!</v>
      </c>
      <c r="BQ45" s="10" t="e">
        <f t="shared" si="47"/>
        <v>#VALUE!</v>
      </c>
      <c r="BR45" s="10" t="e">
        <f t="shared" si="48"/>
        <v>#VALUE!</v>
      </c>
      <c r="BS45" s="10" t="e">
        <f t="shared" si="49"/>
        <v>#VALUE!</v>
      </c>
      <c r="BT45" s="10" t="e">
        <f t="shared" si="50"/>
        <v>#VALUE!</v>
      </c>
      <c r="BU45" s="10" t="e">
        <f t="shared" si="51"/>
        <v>#VALUE!</v>
      </c>
      <c r="BW45" s="10" t="e">
        <f t="shared" si="52"/>
        <v>#VALUE!</v>
      </c>
      <c r="BX45" s="10" t="e">
        <f t="shared" si="53"/>
        <v>#VALUE!</v>
      </c>
      <c r="BY45" s="10" t="e">
        <f t="shared" si="54"/>
        <v>#VALUE!</v>
      </c>
      <c r="BZ45" s="10" t="e">
        <f t="shared" si="55"/>
        <v>#VALUE!</v>
      </c>
      <c r="CA45" s="10" t="e">
        <f t="shared" si="56"/>
        <v>#VALUE!</v>
      </c>
      <c r="CB45" s="10" t="e">
        <f t="shared" si="57"/>
        <v>#VALUE!</v>
      </c>
      <c r="CD45" s="10" t="e">
        <f>MATCH(INDEX($BP$12:$BU$12,1,MATCH(BP45,$BP$15:$BU$15,0)),结果汇总!$AI$10:$AI$13,0)</f>
        <v>#VALUE!</v>
      </c>
      <c r="CE45" s="10" t="e">
        <f>MATCH(INDEX($BP$12:$BU$12,1,MATCH(BQ45,$BP$15:$BU$15,0)),结果汇总!$AI$10:$AI$13,0)</f>
        <v>#VALUE!</v>
      </c>
      <c r="CF45" s="10" t="e">
        <f>MATCH(INDEX($BP$12:$BU$12,1,MATCH(BR45,$BP$15:$BU$15,0)),结果汇总!$AI$10:$AI$13,0)</f>
        <v>#VALUE!</v>
      </c>
      <c r="CG45" s="10" t="e">
        <f>MATCH(INDEX($BP$12:$BU$12,1,MATCH(BS45,$BP$15:$BU$15,0)),结果汇总!$AI$10:$AI$13,0)</f>
        <v>#VALUE!</v>
      </c>
      <c r="CH45" s="10" t="e">
        <f>MATCH(INDEX($BP$12:$BU$12,1,MATCH(BT45,$BP$15:$BU$15,0)),结果汇总!$AI$10:$AI$13,0)</f>
        <v>#VALUE!</v>
      </c>
      <c r="CI45" s="10" t="e">
        <f>MATCH(INDEX($BP$12:$BU$12,1,MATCH(BU45,$BP$15:$BU$15,0)),结果汇总!$AI$10:$AI$13,0)</f>
        <v>#VALUE!</v>
      </c>
      <c r="CK45" s="10">
        <f t="shared" si="58"/>
        <v>0</v>
      </c>
      <c r="CL45" s="10">
        <f t="shared" si="58"/>
        <v>0</v>
      </c>
      <c r="CM45" s="10">
        <f t="shared" si="58"/>
        <v>0</v>
      </c>
      <c r="CN45" s="10">
        <f t="shared" si="58"/>
        <v>0</v>
      </c>
      <c r="CO45" s="10">
        <f t="shared" si="59"/>
        <v>0</v>
      </c>
      <c r="CP45" s="10">
        <f t="shared" si="59"/>
        <v>0</v>
      </c>
      <c r="CQ45" s="10">
        <f t="shared" si="59"/>
        <v>0</v>
      </c>
      <c r="CR45" s="10">
        <f t="shared" si="59"/>
        <v>0</v>
      </c>
      <c r="CS45" s="10" t="e">
        <f t="shared" si="60"/>
        <v>#DIV/0!</v>
      </c>
      <c r="CT45" s="10" t="e">
        <f t="shared" si="60"/>
        <v>#DIV/0!</v>
      </c>
      <c r="CU45" s="10" t="e">
        <f t="shared" si="60"/>
        <v>#DIV/0!</v>
      </c>
      <c r="CV45" s="10" t="e">
        <f t="shared" si="60"/>
        <v>#DIV/0!</v>
      </c>
      <c r="CW45" s="10">
        <f t="shared" si="61"/>
        <v>0</v>
      </c>
      <c r="CX45" s="10">
        <f t="shared" si="61"/>
        <v>0</v>
      </c>
      <c r="CY45" s="10">
        <f t="shared" si="61"/>
        <v>0</v>
      </c>
      <c r="CZ45" s="10">
        <f t="shared" si="61"/>
        <v>0</v>
      </c>
    </row>
    <row r="46" spans="4:104" x14ac:dyDescent="0.15">
      <c r="D46" s="10">
        <v>31</v>
      </c>
      <c r="E46" s="10" t="e">
        <f t="shared" si="21"/>
        <v>#VALUE!</v>
      </c>
      <c r="F46" s="10" t="e">
        <f t="shared" si="1"/>
        <v>#VALUE!</v>
      </c>
      <c r="G46" s="10" t="e">
        <f t="shared" si="2"/>
        <v>#VALUE!</v>
      </c>
      <c r="H46" s="10" t="e">
        <f t="shared" si="22"/>
        <v>#VALUE!</v>
      </c>
      <c r="I46" s="10" t="e">
        <f t="shared" si="3"/>
        <v>#VALUE!</v>
      </c>
      <c r="J46" s="10" t="e">
        <f t="shared" si="23"/>
        <v>#VALUE!</v>
      </c>
      <c r="K46" s="10" t="e">
        <f t="shared" si="4"/>
        <v>#VALUE!</v>
      </c>
      <c r="L46" s="10" t="e">
        <f t="shared" si="5"/>
        <v>#VALUE!</v>
      </c>
      <c r="M46" s="10" t="e">
        <f t="shared" si="24"/>
        <v>#VALUE!</v>
      </c>
      <c r="O46" s="10" t="e">
        <f t="shared" si="25"/>
        <v>#VALUE!</v>
      </c>
      <c r="P46" s="10" t="e">
        <f t="shared" si="6"/>
        <v>#VALUE!</v>
      </c>
      <c r="Q46" s="10" t="e">
        <f t="shared" si="7"/>
        <v>#VALUE!</v>
      </c>
      <c r="R46" s="10" t="e">
        <f t="shared" si="26"/>
        <v>#VALUE!</v>
      </c>
      <c r="S46" s="10" t="e">
        <f t="shared" si="27"/>
        <v>#VALUE!</v>
      </c>
      <c r="T46" s="10" t="e">
        <f t="shared" si="62"/>
        <v>#VALUE!</v>
      </c>
      <c r="U46" s="10" t="e">
        <f t="shared" si="63"/>
        <v>#VALUE!</v>
      </c>
      <c r="V46" s="10" t="e">
        <f t="shared" si="8"/>
        <v>#VALUE!</v>
      </c>
      <c r="W46" s="10" t="e">
        <f t="shared" si="28"/>
        <v>#VALUE!</v>
      </c>
      <c r="Y46" s="10" t="e">
        <f t="shared" si="29"/>
        <v>#VALUE!</v>
      </c>
      <c r="Z46" s="11" t="e">
        <f t="shared" si="30"/>
        <v>#VALUE!</v>
      </c>
      <c r="AA46" s="10" t="e">
        <f t="shared" si="9"/>
        <v>#VALUE!</v>
      </c>
      <c r="AB46" s="10" t="e">
        <f t="shared" si="31"/>
        <v>#VALUE!</v>
      </c>
      <c r="AC46" s="10" t="e">
        <f t="shared" si="32"/>
        <v>#VALUE!</v>
      </c>
      <c r="AD46" s="10" t="e">
        <f t="shared" si="64"/>
        <v>#VALUE!</v>
      </c>
      <c r="AE46" s="10" t="e">
        <f t="shared" si="65"/>
        <v>#VALUE!</v>
      </c>
      <c r="AF46" s="10" t="e">
        <f t="shared" si="10"/>
        <v>#VALUE!</v>
      </c>
      <c r="AG46" s="10" t="e">
        <f t="shared" si="33"/>
        <v>#VALUE!</v>
      </c>
      <c r="AI46" s="13"/>
      <c r="AK46" s="10" t="e">
        <f t="shared" si="34"/>
        <v>#VALUE!</v>
      </c>
      <c r="AL46" s="10" t="e">
        <f t="shared" si="66"/>
        <v>#VALUE!</v>
      </c>
      <c r="AM46" s="10" t="e">
        <f t="shared" si="11"/>
        <v>#VALUE!</v>
      </c>
      <c r="AN46" s="10" t="e">
        <f t="shared" si="35"/>
        <v>#VALUE!</v>
      </c>
      <c r="AO46" s="10" t="e">
        <f t="shared" si="36"/>
        <v>#VALUE!</v>
      </c>
      <c r="AP46" s="10" t="e">
        <f t="shared" si="37"/>
        <v>#VALUE!</v>
      </c>
      <c r="AQ46" s="10" t="e">
        <f t="shared" si="67"/>
        <v>#VALUE!</v>
      </c>
      <c r="AR46" s="10" t="e">
        <f t="shared" si="12"/>
        <v>#VALUE!</v>
      </c>
      <c r="AS46" s="10" t="e">
        <f t="shared" si="68"/>
        <v>#VALUE!</v>
      </c>
      <c r="AU46" s="10" t="e">
        <f t="shared" si="38"/>
        <v>#VALUE!</v>
      </c>
      <c r="AV46" s="10" t="e">
        <f t="shared" si="69"/>
        <v>#VALUE!</v>
      </c>
      <c r="AW46" s="10" t="e">
        <f t="shared" si="13"/>
        <v>#VALUE!</v>
      </c>
      <c r="AX46" s="10" t="e">
        <f t="shared" si="39"/>
        <v>#VALUE!</v>
      </c>
      <c r="AY46" s="10" t="e">
        <f t="shared" si="40"/>
        <v>#VALUE!</v>
      </c>
      <c r="AZ46" s="10" t="e">
        <f t="shared" si="41"/>
        <v>#VALUE!</v>
      </c>
      <c r="BA46" s="10" t="e">
        <f t="shared" si="70"/>
        <v>#VALUE!</v>
      </c>
      <c r="BB46" s="10" t="e">
        <f t="shared" si="14"/>
        <v>#VALUE!</v>
      </c>
      <c r="BC46" s="10" t="e">
        <f t="shared" si="71"/>
        <v>#VALUE!</v>
      </c>
      <c r="BE46" s="10" t="e">
        <f t="shared" si="42"/>
        <v>#VALUE!</v>
      </c>
      <c r="BF46" s="10" t="e">
        <f t="shared" si="72"/>
        <v>#VALUE!</v>
      </c>
      <c r="BG46" s="10" t="e">
        <f t="shared" si="15"/>
        <v>#VALUE!</v>
      </c>
      <c r="BH46" s="10" t="e">
        <f t="shared" si="43"/>
        <v>#VALUE!</v>
      </c>
      <c r="BI46" s="10" t="e">
        <f t="shared" si="44"/>
        <v>#VALUE!</v>
      </c>
      <c r="BJ46" s="10" t="e">
        <f t="shared" si="45"/>
        <v>#VALUE!</v>
      </c>
      <c r="BK46" s="10" t="e">
        <f t="shared" si="73"/>
        <v>#VALUE!</v>
      </c>
      <c r="BL46" s="10" t="e">
        <f t="shared" si="16"/>
        <v>#VALUE!</v>
      </c>
      <c r="BM46" s="10" t="e">
        <f t="shared" si="74"/>
        <v>#VALUE!</v>
      </c>
      <c r="BP46" s="10" t="e">
        <f t="shared" si="46"/>
        <v>#VALUE!</v>
      </c>
      <c r="BQ46" s="10" t="e">
        <f t="shared" si="47"/>
        <v>#VALUE!</v>
      </c>
      <c r="BR46" s="10" t="e">
        <f t="shared" si="48"/>
        <v>#VALUE!</v>
      </c>
      <c r="BS46" s="10" t="e">
        <f t="shared" si="49"/>
        <v>#VALUE!</v>
      </c>
      <c r="BT46" s="10" t="e">
        <f t="shared" si="50"/>
        <v>#VALUE!</v>
      </c>
      <c r="BU46" s="10" t="e">
        <f t="shared" si="51"/>
        <v>#VALUE!</v>
      </c>
      <c r="BW46" s="10" t="e">
        <f t="shared" si="52"/>
        <v>#VALUE!</v>
      </c>
      <c r="BX46" s="10" t="e">
        <f t="shared" si="53"/>
        <v>#VALUE!</v>
      </c>
      <c r="BY46" s="10" t="e">
        <f t="shared" si="54"/>
        <v>#VALUE!</v>
      </c>
      <c r="BZ46" s="10" t="e">
        <f t="shared" si="55"/>
        <v>#VALUE!</v>
      </c>
      <c r="CA46" s="10" t="e">
        <f t="shared" si="56"/>
        <v>#VALUE!</v>
      </c>
      <c r="CB46" s="10" t="e">
        <f t="shared" si="57"/>
        <v>#VALUE!</v>
      </c>
      <c r="CD46" s="10" t="e">
        <f>MATCH(INDEX($BP$12:$BU$12,1,MATCH(BP46,$BP$15:$BU$15,0)),结果汇总!$AI$10:$AI$13,0)</f>
        <v>#VALUE!</v>
      </c>
      <c r="CE46" s="10" t="e">
        <f>MATCH(INDEX($BP$12:$BU$12,1,MATCH(BQ46,$BP$15:$BU$15,0)),结果汇总!$AI$10:$AI$13,0)</f>
        <v>#VALUE!</v>
      </c>
      <c r="CF46" s="10" t="e">
        <f>MATCH(INDEX($BP$12:$BU$12,1,MATCH(BR46,$BP$15:$BU$15,0)),结果汇总!$AI$10:$AI$13,0)</f>
        <v>#VALUE!</v>
      </c>
      <c r="CG46" s="10" t="e">
        <f>MATCH(INDEX($BP$12:$BU$12,1,MATCH(BS46,$BP$15:$BU$15,0)),结果汇总!$AI$10:$AI$13,0)</f>
        <v>#VALUE!</v>
      </c>
      <c r="CH46" s="10" t="e">
        <f>MATCH(INDEX($BP$12:$BU$12,1,MATCH(BT46,$BP$15:$BU$15,0)),结果汇总!$AI$10:$AI$13,0)</f>
        <v>#VALUE!</v>
      </c>
      <c r="CI46" s="10" t="e">
        <f>MATCH(INDEX($BP$12:$BU$12,1,MATCH(BU46,$BP$15:$BU$15,0)),结果汇总!$AI$10:$AI$13,0)</f>
        <v>#VALUE!</v>
      </c>
      <c r="CK46" s="10">
        <f t="shared" si="58"/>
        <v>0</v>
      </c>
      <c r="CL46" s="10">
        <f t="shared" si="58"/>
        <v>0</v>
      </c>
      <c r="CM46" s="10">
        <f t="shared" si="58"/>
        <v>0</v>
      </c>
      <c r="CN46" s="10">
        <f t="shared" si="58"/>
        <v>0</v>
      </c>
      <c r="CO46" s="10">
        <f t="shared" si="59"/>
        <v>0</v>
      </c>
      <c r="CP46" s="10">
        <f t="shared" si="59"/>
        <v>0</v>
      </c>
      <c r="CQ46" s="10">
        <f t="shared" si="59"/>
        <v>0</v>
      </c>
      <c r="CR46" s="10">
        <f t="shared" si="59"/>
        <v>0</v>
      </c>
      <c r="CS46" s="10" t="e">
        <f t="shared" si="60"/>
        <v>#DIV/0!</v>
      </c>
      <c r="CT46" s="10" t="e">
        <f t="shared" si="60"/>
        <v>#DIV/0!</v>
      </c>
      <c r="CU46" s="10" t="e">
        <f t="shared" si="60"/>
        <v>#DIV/0!</v>
      </c>
      <c r="CV46" s="10" t="e">
        <f t="shared" si="60"/>
        <v>#DIV/0!</v>
      </c>
      <c r="CW46" s="10">
        <f t="shared" si="61"/>
        <v>0</v>
      </c>
      <c r="CX46" s="10">
        <f t="shared" si="61"/>
        <v>0</v>
      </c>
      <c r="CY46" s="10">
        <f t="shared" si="61"/>
        <v>0</v>
      </c>
      <c r="CZ46" s="10">
        <f t="shared" si="61"/>
        <v>0</v>
      </c>
    </row>
    <row r="47" spans="4:104" x14ac:dyDescent="0.15">
      <c r="D47" s="10">
        <v>32</v>
      </c>
      <c r="E47" s="10" t="e">
        <f t="shared" si="21"/>
        <v>#VALUE!</v>
      </c>
      <c r="F47" s="10" t="e">
        <f t="shared" si="1"/>
        <v>#VALUE!</v>
      </c>
      <c r="G47" s="10" t="e">
        <f t="shared" si="2"/>
        <v>#VALUE!</v>
      </c>
      <c r="H47" s="10" t="e">
        <f t="shared" si="22"/>
        <v>#VALUE!</v>
      </c>
      <c r="I47" s="10" t="e">
        <f t="shared" si="3"/>
        <v>#VALUE!</v>
      </c>
      <c r="J47" s="10" t="e">
        <f t="shared" si="23"/>
        <v>#VALUE!</v>
      </c>
      <c r="K47" s="10" t="e">
        <f t="shared" si="4"/>
        <v>#VALUE!</v>
      </c>
      <c r="L47" s="10" t="e">
        <f t="shared" si="5"/>
        <v>#VALUE!</v>
      </c>
      <c r="M47" s="10" t="e">
        <f t="shared" si="24"/>
        <v>#VALUE!</v>
      </c>
      <c r="O47" s="10" t="e">
        <f t="shared" si="25"/>
        <v>#VALUE!</v>
      </c>
      <c r="P47" s="10" t="e">
        <f t="shared" si="6"/>
        <v>#VALUE!</v>
      </c>
      <c r="Q47" s="10" t="e">
        <f t="shared" si="7"/>
        <v>#VALUE!</v>
      </c>
      <c r="R47" s="10" t="e">
        <f t="shared" si="26"/>
        <v>#VALUE!</v>
      </c>
      <c r="S47" s="10" t="e">
        <f t="shared" si="27"/>
        <v>#VALUE!</v>
      </c>
      <c r="T47" s="10" t="e">
        <f t="shared" si="62"/>
        <v>#VALUE!</v>
      </c>
      <c r="U47" s="10" t="e">
        <f t="shared" si="63"/>
        <v>#VALUE!</v>
      </c>
      <c r="V47" s="10" t="e">
        <f t="shared" si="8"/>
        <v>#VALUE!</v>
      </c>
      <c r="W47" s="10" t="e">
        <f t="shared" si="28"/>
        <v>#VALUE!</v>
      </c>
      <c r="Y47" s="10" t="e">
        <f t="shared" si="29"/>
        <v>#VALUE!</v>
      </c>
      <c r="Z47" s="11" t="e">
        <f t="shared" si="30"/>
        <v>#VALUE!</v>
      </c>
      <c r="AA47" s="10" t="e">
        <f t="shared" si="9"/>
        <v>#VALUE!</v>
      </c>
      <c r="AB47" s="10" t="e">
        <f t="shared" si="31"/>
        <v>#VALUE!</v>
      </c>
      <c r="AC47" s="10" t="e">
        <f t="shared" si="32"/>
        <v>#VALUE!</v>
      </c>
      <c r="AD47" s="10" t="e">
        <f t="shared" si="64"/>
        <v>#VALUE!</v>
      </c>
      <c r="AE47" s="10" t="e">
        <f t="shared" si="65"/>
        <v>#VALUE!</v>
      </c>
      <c r="AF47" s="10" t="e">
        <f t="shared" si="10"/>
        <v>#VALUE!</v>
      </c>
      <c r="AG47" s="10" t="e">
        <f t="shared" si="33"/>
        <v>#VALUE!</v>
      </c>
      <c r="AI47" s="13"/>
      <c r="AK47" s="10" t="e">
        <f t="shared" si="34"/>
        <v>#VALUE!</v>
      </c>
      <c r="AL47" s="10" t="e">
        <f t="shared" si="66"/>
        <v>#VALUE!</v>
      </c>
      <c r="AM47" s="10" t="e">
        <f t="shared" si="11"/>
        <v>#VALUE!</v>
      </c>
      <c r="AN47" s="10" t="e">
        <f t="shared" si="35"/>
        <v>#VALUE!</v>
      </c>
      <c r="AO47" s="10" t="e">
        <f t="shared" si="36"/>
        <v>#VALUE!</v>
      </c>
      <c r="AP47" s="10" t="e">
        <f t="shared" si="37"/>
        <v>#VALUE!</v>
      </c>
      <c r="AQ47" s="10" t="e">
        <f t="shared" si="67"/>
        <v>#VALUE!</v>
      </c>
      <c r="AR47" s="10" t="e">
        <f t="shared" si="12"/>
        <v>#VALUE!</v>
      </c>
      <c r="AS47" s="10" t="e">
        <f t="shared" si="68"/>
        <v>#VALUE!</v>
      </c>
      <c r="AU47" s="10" t="e">
        <f t="shared" si="38"/>
        <v>#VALUE!</v>
      </c>
      <c r="AV47" s="10" t="e">
        <f t="shared" si="69"/>
        <v>#VALUE!</v>
      </c>
      <c r="AW47" s="10" t="e">
        <f t="shared" si="13"/>
        <v>#VALUE!</v>
      </c>
      <c r="AX47" s="10" t="e">
        <f t="shared" si="39"/>
        <v>#VALUE!</v>
      </c>
      <c r="AY47" s="10" t="e">
        <f t="shared" si="40"/>
        <v>#VALUE!</v>
      </c>
      <c r="AZ47" s="10" t="e">
        <f t="shared" si="41"/>
        <v>#VALUE!</v>
      </c>
      <c r="BA47" s="10" t="e">
        <f t="shared" si="70"/>
        <v>#VALUE!</v>
      </c>
      <c r="BB47" s="10" t="e">
        <f t="shared" si="14"/>
        <v>#VALUE!</v>
      </c>
      <c r="BC47" s="10" t="e">
        <f t="shared" si="71"/>
        <v>#VALUE!</v>
      </c>
      <c r="BE47" s="10" t="e">
        <f t="shared" si="42"/>
        <v>#VALUE!</v>
      </c>
      <c r="BF47" s="10" t="e">
        <f t="shared" si="72"/>
        <v>#VALUE!</v>
      </c>
      <c r="BG47" s="10" t="e">
        <f t="shared" si="15"/>
        <v>#VALUE!</v>
      </c>
      <c r="BH47" s="10" t="e">
        <f t="shared" si="43"/>
        <v>#VALUE!</v>
      </c>
      <c r="BI47" s="10" t="e">
        <f t="shared" si="44"/>
        <v>#VALUE!</v>
      </c>
      <c r="BJ47" s="10" t="e">
        <f t="shared" si="45"/>
        <v>#VALUE!</v>
      </c>
      <c r="BK47" s="10" t="e">
        <f t="shared" si="73"/>
        <v>#VALUE!</v>
      </c>
      <c r="BL47" s="10" t="e">
        <f t="shared" si="16"/>
        <v>#VALUE!</v>
      </c>
      <c r="BM47" s="10" t="e">
        <f t="shared" si="74"/>
        <v>#VALUE!</v>
      </c>
      <c r="BP47" s="10" t="e">
        <f t="shared" si="46"/>
        <v>#VALUE!</v>
      </c>
      <c r="BQ47" s="10" t="e">
        <f t="shared" si="47"/>
        <v>#VALUE!</v>
      </c>
      <c r="BR47" s="10" t="e">
        <f t="shared" si="48"/>
        <v>#VALUE!</v>
      </c>
      <c r="BS47" s="10" t="e">
        <f t="shared" si="49"/>
        <v>#VALUE!</v>
      </c>
      <c r="BT47" s="10" t="e">
        <f t="shared" si="50"/>
        <v>#VALUE!</v>
      </c>
      <c r="BU47" s="10" t="e">
        <f t="shared" si="51"/>
        <v>#VALUE!</v>
      </c>
      <c r="BW47" s="10" t="e">
        <f t="shared" si="52"/>
        <v>#VALUE!</v>
      </c>
      <c r="BX47" s="10" t="e">
        <f t="shared" si="53"/>
        <v>#VALUE!</v>
      </c>
      <c r="BY47" s="10" t="e">
        <f t="shared" si="54"/>
        <v>#VALUE!</v>
      </c>
      <c r="BZ47" s="10" t="e">
        <f t="shared" si="55"/>
        <v>#VALUE!</v>
      </c>
      <c r="CA47" s="10" t="e">
        <f t="shared" si="56"/>
        <v>#VALUE!</v>
      </c>
      <c r="CB47" s="10" t="e">
        <f t="shared" si="57"/>
        <v>#VALUE!</v>
      </c>
      <c r="CD47" s="10" t="e">
        <f>MATCH(INDEX($BP$12:$BU$12,1,MATCH(BP47,$BP$15:$BU$15,0)),结果汇总!$AI$10:$AI$13,0)</f>
        <v>#VALUE!</v>
      </c>
      <c r="CE47" s="10" t="e">
        <f>MATCH(INDEX($BP$12:$BU$12,1,MATCH(BQ47,$BP$15:$BU$15,0)),结果汇总!$AI$10:$AI$13,0)</f>
        <v>#VALUE!</v>
      </c>
      <c r="CF47" s="10" t="e">
        <f>MATCH(INDEX($BP$12:$BU$12,1,MATCH(BR47,$BP$15:$BU$15,0)),结果汇总!$AI$10:$AI$13,0)</f>
        <v>#VALUE!</v>
      </c>
      <c r="CG47" s="10" t="e">
        <f>MATCH(INDEX($BP$12:$BU$12,1,MATCH(BS47,$BP$15:$BU$15,0)),结果汇总!$AI$10:$AI$13,0)</f>
        <v>#VALUE!</v>
      </c>
      <c r="CH47" s="10" t="e">
        <f>MATCH(INDEX($BP$12:$BU$12,1,MATCH(BT47,$BP$15:$BU$15,0)),结果汇总!$AI$10:$AI$13,0)</f>
        <v>#VALUE!</v>
      </c>
      <c r="CI47" s="10" t="e">
        <f>MATCH(INDEX($BP$12:$BU$12,1,MATCH(BU47,$BP$15:$BU$15,0)),结果汇总!$AI$10:$AI$13,0)</f>
        <v>#VALUE!</v>
      </c>
      <c r="CK47" s="10">
        <f t="shared" si="58"/>
        <v>0</v>
      </c>
      <c r="CL47" s="10">
        <f t="shared" si="58"/>
        <v>0</v>
      </c>
      <c r="CM47" s="10">
        <f t="shared" si="58"/>
        <v>0</v>
      </c>
      <c r="CN47" s="10">
        <f t="shared" si="58"/>
        <v>0</v>
      </c>
      <c r="CO47" s="10">
        <f t="shared" si="59"/>
        <v>0</v>
      </c>
      <c r="CP47" s="10">
        <f t="shared" si="59"/>
        <v>0</v>
      </c>
      <c r="CQ47" s="10">
        <f t="shared" si="59"/>
        <v>0</v>
      </c>
      <c r="CR47" s="10">
        <f t="shared" si="59"/>
        <v>0</v>
      </c>
      <c r="CS47" s="10" t="e">
        <f t="shared" si="60"/>
        <v>#DIV/0!</v>
      </c>
      <c r="CT47" s="10" t="e">
        <f t="shared" si="60"/>
        <v>#DIV/0!</v>
      </c>
      <c r="CU47" s="10" t="e">
        <f t="shared" si="60"/>
        <v>#DIV/0!</v>
      </c>
      <c r="CV47" s="10" t="e">
        <f t="shared" si="60"/>
        <v>#DIV/0!</v>
      </c>
      <c r="CW47" s="10">
        <f t="shared" si="61"/>
        <v>0</v>
      </c>
      <c r="CX47" s="10">
        <f t="shared" si="61"/>
        <v>0</v>
      </c>
      <c r="CY47" s="10">
        <f t="shared" si="61"/>
        <v>0</v>
      </c>
      <c r="CZ47" s="10">
        <f t="shared" si="61"/>
        <v>0</v>
      </c>
    </row>
    <row r="48" spans="4:104" x14ac:dyDescent="0.15">
      <c r="D48" s="10">
        <v>33</v>
      </c>
      <c r="E48" s="10" t="e">
        <f t="shared" si="21"/>
        <v>#VALUE!</v>
      </c>
      <c r="F48" s="10" t="e">
        <f t="shared" si="1"/>
        <v>#VALUE!</v>
      </c>
      <c r="G48" s="10" t="e">
        <f t="shared" si="2"/>
        <v>#VALUE!</v>
      </c>
      <c r="H48" s="10" t="e">
        <f t="shared" si="22"/>
        <v>#VALUE!</v>
      </c>
      <c r="I48" s="10" t="e">
        <f t="shared" si="3"/>
        <v>#VALUE!</v>
      </c>
      <c r="J48" s="10" t="e">
        <f t="shared" si="23"/>
        <v>#VALUE!</v>
      </c>
      <c r="K48" s="10" t="e">
        <f t="shared" si="4"/>
        <v>#VALUE!</v>
      </c>
      <c r="L48" s="10" t="e">
        <f t="shared" si="5"/>
        <v>#VALUE!</v>
      </c>
      <c r="M48" s="10" t="e">
        <f t="shared" si="24"/>
        <v>#VALUE!</v>
      </c>
      <c r="O48" s="10" t="e">
        <f t="shared" si="25"/>
        <v>#VALUE!</v>
      </c>
      <c r="P48" s="10" t="e">
        <f t="shared" si="6"/>
        <v>#VALUE!</v>
      </c>
      <c r="Q48" s="10" t="e">
        <f t="shared" si="7"/>
        <v>#VALUE!</v>
      </c>
      <c r="R48" s="10" t="e">
        <f t="shared" si="26"/>
        <v>#VALUE!</v>
      </c>
      <c r="S48" s="10" t="e">
        <f t="shared" si="27"/>
        <v>#VALUE!</v>
      </c>
      <c r="T48" s="10" t="e">
        <f t="shared" si="62"/>
        <v>#VALUE!</v>
      </c>
      <c r="U48" s="10" t="e">
        <f t="shared" si="63"/>
        <v>#VALUE!</v>
      </c>
      <c r="V48" s="10" t="e">
        <f t="shared" si="8"/>
        <v>#VALUE!</v>
      </c>
      <c r="W48" s="10" t="e">
        <f t="shared" si="28"/>
        <v>#VALUE!</v>
      </c>
      <c r="Y48" s="10" t="e">
        <f t="shared" si="29"/>
        <v>#VALUE!</v>
      </c>
      <c r="Z48" s="11" t="e">
        <f t="shared" si="30"/>
        <v>#VALUE!</v>
      </c>
      <c r="AA48" s="10" t="e">
        <f t="shared" si="9"/>
        <v>#VALUE!</v>
      </c>
      <c r="AB48" s="10" t="e">
        <f t="shared" si="31"/>
        <v>#VALUE!</v>
      </c>
      <c r="AC48" s="10" t="e">
        <f t="shared" si="32"/>
        <v>#VALUE!</v>
      </c>
      <c r="AD48" s="10" t="e">
        <f t="shared" si="64"/>
        <v>#VALUE!</v>
      </c>
      <c r="AE48" s="10" t="e">
        <f t="shared" si="65"/>
        <v>#VALUE!</v>
      </c>
      <c r="AF48" s="10" t="e">
        <f t="shared" si="10"/>
        <v>#VALUE!</v>
      </c>
      <c r="AG48" s="10" t="e">
        <f t="shared" si="33"/>
        <v>#VALUE!</v>
      </c>
      <c r="AI48" s="13"/>
      <c r="AK48" s="10" t="e">
        <f t="shared" si="34"/>
        <v>#VALUE!</v>
      </c>
      <c r="AL48" s="10" t="e">
        <f t="shared" si="66"/>
        <v>#VALUE!</v>
      </c>
      <c r="AM48" s="10" t="e">
        <f t="shared" si="11"/>
        <v>#VALUE!</v>
      </c>
      <c r="AN48" s="10" t="e">
        <f t="shared" si="35"/>
        <v>#VALUE!</v>
      </c>
      <c r="AO48" s="10" t="e">
        <f t="shared" si="36"/>
        <v>#VALUE!</v>
      </c>
      <c r="AP48" s="10" t="e">
        <f t="shared" si="37"/>
        <v>#VALUE!</v>
      </c>
      <c r="AQ48" s="10" t="e">
        <f t="shared" si="67"/>
        <v>#VALUE!</v>
      </c>
      <c r="AR48" s="10" t="e">
        <f t="shared" si="12"/>
        <v>#VALUE!</v>
      </c>
      <c r="AS48" s="10" t="e">
        <f t="shared" si="68"/>
        <v>#VALUE!</v>
      </c>
      <c r="AU48" s="10" t="e">
        <f t="shared" si="38"/>
        <v>#VALUE!</v>
      </c>
      <c r="AV48" s="10" t="e">
        <f t="shared" si="69"/>
        <v>#VALUE!</v>
      </c>
      <c r="AW48" s="10" t="e">
        <f t="shared" si="13"/>
        <v>#VALUE!</v>
      </c>
      <c r="AX48" s="10" t="e">
        <f t="shared" si="39"/>
        <v>#VALUE!</v>
      </c>
      <c r="AY48" s="10" t="e">
        <f t="shared" si="40"/>
        <v>#VALUE!</v>
      </c>
      <c r="AZ48" s="10" t="e">
        <f t="shared" si="41"/>
        <v>#VALUE!</v>
      </c>
      <c r="BA48" s="10" t="e">
        <f t="shared" si="70"/>
        <v>#VALUE!</v>
      </c>
      <c r="BB48" s="10" t="e">
        <f t="shared" si="14"/>
        <v>#VALUE!</v>
      </c>
      <c r="BC48" s="10" t="e">
        <f t="shared" si="71"/>
        <v>#VALUE!</v>
      </c>
      <c r="BE48" s="10" t="e">
        <f t="shared" si="42"/>
        <v>#VALUE!</v>
      </c>
      <c r="BF48" s="10" t="e">
        <f t="shared" si="72"/>
        <v>#VALUE!</v>
      </c>
      <c r="BG48" s="10" t="e">
        <f t="shared" si="15"/>
        <v>#VALUE!</v>
      </c>
      <c r="BH48" s="10" t="e">
        <f t="shared" si="43"/>
        <v>#VALUE!</v>
      </c>
      <c r="BI48" s="10" t="e">
        <f t="shared" si="44"/>
        <v>#VALUE!</v>
      </c>
      <c r="BJ48" s="10" t="e">
        <f t="shared" si="45"/>
        <v>#VALUE!</v>
      </c>
      <c r="BK48" s="10" t="e">
        <f t="shared" si="73"/>
        <v>#VALUE!</v>
      </c>
      <c r="BL48" s="10" t="e">
        <f t="shared" si="16"/>
        <v>#VALUE!</v>
      </c>
      <c r="BM48" s="10" t="e">
        <f t="shared" si="74"/>
        <v>#VALUE!</v>
      </c>
      <c r="BP48" s="10" t="e">
        <f t="shared" si="46"/>
        <v>#VALUE!</v>
      </c>
      <c r="BQ48" s="10" t="e">
        <f t="shared" si="47"/>
        <v>#VALUE!</v>
      </c>
      <c r="BR48" s="10" t="e">
        <f t="shared" si="48"/>
        <v>#VALUE!</v>
      </c>
      <c r="BS48" s="10" t="e">
        <f t="shared" si="49"/>
        <v>#VALUE!</v>
      </c>
      <c r="BT48" s="10" t="e">
        <f t="shared" si="50"/>
        <v>#VALUE!</v>
      </c>
      <c r="BU48" s="10" t="e">
        <f t="shared" si="51"/>
        <v>#VALUE!</v>
      </c>
      <c r="BW48" s="10" t="e">
        <f t="shared" si="52"/>
        <v>#VALUE!</v>
      </c>
      <c r="BX48" s="10" t="e">
        <f t="shared" si="53"/>
        <v>#VALUE!</v>
      </c>
      <c r="BY48" s="10" t="e">
        <f t="shared" si="54"/>
        <v>#VALUE!</v>
      </c>
      <c r="BZ48" s="10" t="e">
        <f t="shared" si="55"/>
        <v>#VALUE!</v>
      </c>
      <c r="CA48" s="10" t="e">
        <f t="shared" si="56"/>
        <v>#VALUE!</v>
      </c>
      <c r="CB48" s="10" t="e">
        <f t="shared" si="57"/>
        <v>#VALUE!</v>
      </c>
      <c r="CD48" s="10" t="e">
        <f>MATCH(INDEX($BP$12:$BU$12,1,MATCH(BP48,$BP$15:$BU$15,0)),结果汇总!$AI$10:$AI$13,0)</f>
        <v>#VALUE!</v>
      </c>
      <c r="CE48" s="10" t="e">
        <f>MATCH(INDEX($BP$12:$BU$12,1,MATCH(BQ48,$BP$15:$BU$15,0)),结果汇总!$AI$10:$AI$13,0)</f>
        <v>#VALUE!</v>
      </c>
      <c r="CF48" s="10" t="e">
        <f>MATCH(INDEX($BP$12:$BU$12,1,MATCH(BR48,$BP$15:$BU$15,0)),结果汇总!$AI$10:$AI$13,0)</f>
        <v>#VALUE!</v>
      </c>
      <c r="CG48" s="10" t="e">
        <f>MATCH(INDEX($BP$12:$BU$12,1,MATCH(BS48,$BP$15:$BU$15,0)),结果汇总!$AI$10:$AI$13,0)</f>
        <v>#VALUE!</v>
      </c>
      <c r="CH48" s="10" t="e">
        <f>MATCH(INDEX($BP$12:$BU$12,1,MATCH(BT48,$BP$15:$BU$15,0)),结果汇总!$AI$10:$AI$13,0)</f>
        <v>#VALUE!</v>
      </c>
      <c r="CI48" s="10" t="e">
        <f>MATCH(INDEX($BP$12:$BU$12,1,MATCH(BU48,$BP$15:$BU$15,0)),结果汇总!$AI$10:$AI$13,0)</f>
        <v>#VALUE!</v>
      </c>
      <c r="CK48" s="10">
        <f t="shared" si="58"/>
        <v>0</v>
      </c>
      <c r="CL48" s="10">
        <f t="shared" si="58"/>
        <v>0</v>
      </c>
      <c r="CM48" s="10">
        <f t="shared" si="58"/>
        <v>0</v>
      </c>
      <c r="CN48" s="10">
        <f t="shared" si="58"/>
        <v>0</v>
      </c>
      <c r="CO48" s="10">
        <f t="shared" si="59"/>
        <v>0</v>
      </c>
      <c r="CP48" s="10">
        <f t="shared" si="59"/>
        <v>0</v>
      </c>
      <c r="CQ48" s="10">
        <f t="shared" si="59"/>
        <v>0</v>
      </c>
      <c r="CR48" s="10">
        <f t="shared" si="59"/>
        <v>0</v>
      </c>
      <c r="CS48" s="10" t="e">
        <f t="shared" si="60"/>
        <v>#DIV/0!</v>
      </c>
      <c r="CT48" s="10" t="e">
        <f t="shared" si="60"/>
        <v>#DIV/0!</v>
      </c>
      <c r="CU48" s="10" t="e">
        <f t="shared" si="60"/>
        <v>#DIV/0!</v>
      </c>
      <c r="CV48" s="10" t="e">
        <f t="shared" si="60"/>
        <v>#DIV/0!</v>
      </c>
      <c r="CW48" s="10">
        <f t="shared" si="61"/>
        <v>0</v>
      </c>
      <c r="CX48" s="10">
        <f t="shared" si="61"/>
        <v>0</v>
      </c>
      <c r="CY48" s="10">
        <f t="shared" si="61"/>
        <v>0</v>
      </c>
      <c r="CZ48" s="10">
        <f t="shared" si="61"/>
        <v>0</v>
      </c>
    </row>
    <row r="49" spans="4:104" x14ac:dyDescent="0.15">
      <c r="D49" s="10">
        <v>34</v>
      </c>
      <c r="E49" s="10" t="e">
        <f t="shared" si="21"/>
        <v>#VALUE!</v>
      </c>
      <c r="F49" s="10" t="e">
        <f t="shared" si="1"/>
        <v>#VALUE!</v>
      </c>
      <c r="G49" s="10" t="e">
        <f t="shared" si="2"/>
        <v>#VALUE!</v>
      </c>
      <c r="H49" s="10" t="e">
        <f t="shared" si="22"/>
        <v>#VALUE!</v>
      </c>
      <c r="I49" s="10" t="e">
        <f t="shared" si="3"/>
        <v>#VALUE!</v>
      </c>
      <c r="J49" s="10" t="e">
        <f t="shared" si="23"/>
        <v>#VALUE!</v>
      </c>
      <c r="K49" s="10" t="e">
        <f t="shared" si="4"/>
        <v>#VALUE!</v>
      </c>
      <c r="L49" s="10" t="e">
        <f t="shared" si="5"/>
        <v>#VALUE!</v>
      </c>
      <c r="M49" s="10" t="e">
        <f t="shared" si="24"/>
        <v>#VALUE!</v>
      </c>
      <c r="O49" s="10" t="e">
        <f t="shared" si="25"/>
        <v>#VALUE!</v>
      </c>
      <c r="P49" s="10" t="e">
        <f t="shared" si="6"/>
        <v>#VALUE!</v>
      </c>
      <c r="Q49" s="10" t="e">
        <f t="shared" si="7"/>
        <v>#VALUE!</v>
      </c>
      <c r="R49" s="10" t="e">
        <f t="shared" si="26"/>
        <v>#VALUE!</v>
      </c>
      <c r="S49" s="10" t="e">
        <f t="shared" si="27"/>
        <v>#VALUE!</v>
      </c>
      <c r="T49" s="10" t="e">
        <f t="shared" si="62"/>
        <v>#VALUE!</v>
      </c>
      <c r="U49" s="10" t="e">
        <f t="shared" si="63"/>
        <v>#VALUE!</v>
      </c>
      <c r="V49" s="10" t="e">
        <f t="shared" si="8"/>
        <v>#VALUE!</v>
      </c>
      <c r="W49" s="10" t="e">
        <f t="shared" si="28"/>
        <v>#VALUE!</v>
      </c>
      <c r="Y49" s="10" t="e">
        <f t="shared" si="29"/>
        <v>#VALUE!</v>
      </c>
      <c r="Z49" s="11" t="e">
        <f t="shared" si="30"/>
        <v>#VALUE!</v>
      </c>
      <c r="AA49" s="10" t="e">
        <f t="shared" si="9"/>
        <v>#VALUE!</v>
      </c>
      <c r="AB49" s="10" t="e">
        <f t="shared" si="31"/>
        <v>#VALUE!</v>
      </c>
      <c r="AC49" s="10" t="e">
        <f t="shared" si="32"/>
        <v>#VALUE!</v>
      </c>
      <c r="AD49" s="10" t="e">
        <f t="shared" si="64"/>
        <v>#VALUE!</v>
      </c>
      <c r="AE49" s="10" t="e">
        <f t="shared" si="65"/>
        <v>#VALUE!</v>
      </c>
      <c r="AF49" s="10" t="e">
        <f t="shared" si="10"/>
        <v>#VALUE!</v>
      </c>
      <c r="AG49" s="10" t="e">
        <f t="shared" si="33"/>
        <v>#VALUE!</v>
      </c>
      <c r="AI49" s="13"/>
      <c r="AK49" s="10" t="e">
        <f t="shared" si="34"/>
        <v>#VALUE!</v>
      </c>
      <c r="AL49" s="10" t="e">
        <f t="shared" si="66"/>
        <v>#VALUE!</v>
      </c>
      <c r="AM49" s="10" t="e">
        <f t="shared" si="11"/>
        <v>#VALUE!</v>
      </c>
      <c r="AN49" s="10" t="e">
        <f t="shared" si="35"/>
        <v>#VALUE!</v>
      </c>
      <c r="AO49" s="10" t="e">
        <f t="shared" si="36"/>
        <v>#VALUE!</v>
      </c>
      <c r="AP49" s="10" t="e">
        <f t="shared" si="37"/>
        <v>#VALUE!</v>
      </c>
      <c r="AQ49" s="10" t="e">
        <f t="shared" si="67"/>
        <v>#VALUE!</v>
      </c>
      <c r="AR49" s="10" t="e">
        <f t="shared" si="12"/>
        <v>#VALUE!</v>
      </c>
      <c r="AS49" s="10" t="e">
        <f t="shared" si="68"/>
        <v>#VALUE!</v>
      </c>
      <c r="AU49" s="10" t="e">
        <f t="shared" si="38"/>
        <v>#VALUE!</v>
      </c>
      <c r="AV49" s="10" t="e">
        <f t="shared" si="69"/>
        <v>#VALUE!</v>
      </c>
      <c r="AW49" s="10" t="e">
        <f t="shared" si="13"/>
        <v>#VALUE!</v>
      </c>
      <c r="AX49" s="10" t="e">
        <f t="shared" si="39"/>
        <v>#VALUE!</v>
      </c>
      <c r="AY49" s="10" t="e">
        <f t="shared" si="40"/>
        <v>#VALUE!</v>
      </c>
      <c r="AZ49" s="10" t="e">
        <f t="shared" si="41"/>
        <v>#VALUE!</v>
      </c>
      <c r="BA49" s="10" t="e">
        <f t="shared" si="70"/>
        <v>#VALUE!</v>
      </c>
      <c r="BB49" s="10" t="e">
        <f t="shared" si="14"/>
        <v>#VALUE!</v>
      </c>
      <c r="BC49" s="10" t="e">
        <f t="shared" si="71"/>
        <v>#VALUE!</v>
      </c>
      <c r="BE49" s="10" t="e">
        <f t="shared" si="42"/>
        <v>#VALUE!</v>
      </c>
      <c r="BF49" s="10" t="e">
        <f t="shared" si="72"/>
        <v>#VALUE!</v>
      </c>
      <c r="BG49" s="10" t="e">
        <f t="shared" si="15"/>
        <v>#VALUE!</v>
      </c>
      <c r="BH49" s="10" t="e">
        <f t="shared" si="43"/>
        <v>#VALUE!</v>
      </c>
      <c r="BI49" s="10" t="e">
        <f t="shared" si="44"/>
        <v>#VALUE!</v>
      </c>
      <c r="BJ49" s="10" t="e">
        <f t="shared" si="45"/>
        <v>#VALUE!</v>
      </c>
      <c r="BK49" s="10" t="e">
        <f t="shared" si="73"/>
        <v>#VALUE!</v>
      </c>
      <c r="BL49" s="10" t="e">
        <f t="shared" si="16"/>
        <v>#VALUE!</v>
      </c>
      <c r="BM49" s="10" t="e">
        <f t="shared" si="74"/>
        <v>#VALUE!</v>
      </c>
      <c r="BP49" s="10" t="e">
        <f t="shared" si="46"/>
        <v>#VALUE!</v>
      </c>
      <c r="BQ49" s="10" t="e">
        <f t="shared" si="47"/>
        <v>#VALUE!</v>
      </c>
      <c r="BR49" s="10" t="e">
        <f t="shared" si="48"/>
        <v>#VALUE!</v>
      </c>
      <c r="BS49" s="10" t="e">
        <f t="shared" si="49"/>
        <v>#VALUE!</v>
      </c>
      <c r="BT49" s="10" t="e">
        <f t="shared" si="50"/>
        <v>#VALUE!</v>
      </c>
      <c r="BU49" s="10" t="e">
        <f t="shared" si="51"/>
        <v>#VALUE!</v>
      </c>
      <c r="BW49" s="10" t="e">
        <f t="shared" si="52"/>
        <v>#VALUE!</v>
      </c>
      <c r="BX49" s="10" t="e">
        <f t="shared" si="53"/>
        <v>#VALUE!</v>
      </c>
      <c r="BY49" s="10" t="e">
        <f t="shared" si="54"/>
        <v>#VALUE!</v>
      </c>
      <c r="BZ49" s="10" t="e">
        <f t="shared" si="55"/>
        <v>#VALUE!</v>
      </c>
      <c r="CA49" s="10" t="e">
        <f t="shared" si="56"/>
        <v>#VALUE!</v>
      </c>
      <c r="CB49" s="10" t="e">
        <f t="shared" si="57"/>
        <v>#VALUE!</v>
      </c>
      <c r="CD49" s="10" t="e">
        <f>MATCH(INDEX($BP$12:$BU$12,1,MATCH(BP49,$BP$15:$BU$15,0)),结果汇总!$AI$10:$AI$13,0)</f>
        <v>#VALUE!</v>
      </c>
      <c r="CE49" s="10" t="e">
        <f>MATCH(INDEX($BP$12:$BU$12,1,MATCH(BQ49,$BP$15:$BU$15,0)),结果汇总!$AI$10:$AI$13,0)</f>
        <v>#VALUE!</v>
      </c>
      <c r="CF49" s="10" t="e">
        <f>MATCH(INDEX($BP$12:$BU$12,1,MATCH(BR49,$BP$15:$BU$15,0)),结果汇总!$AI$10:$AI$13,0)</f>
        <v>#VALUE!</v>
      </c>
      <c r="CG49" s="10" t="e">
        <f>MATCH(INDEX($BP$12:$BU$12,1,MATCH(BS49,$BP$15:$BU$15,0)),结果汇总!$AI$10:$AI$13,0)</f>
        <v>#VALUE!</v>
      </c>
      <c r="CH49" s="10" t="e">
        <f>MATCH(INDEX($BP$12:$BU$12,1,MATCH(BT49,$BP$15:$BU$15,0)),结果汇总!$AI$10:$AI$13,0)</f>
        <v>#VALUE!</v>
      </c>
      <c r="CI49" s="10" t="e">
        <f>MATCH(INDEX($BP$12:$BU$12,1,MATCH(BU49,$BP$15:$BU$15,0)),结果汇总!$AI$10:$AI$13,0)</f>
        <v>#VALUE!</v>
      </c>
      <c r="CK49" s="10">
        <f t="shared" ref="CK49:CN80" si="75">COUNTIFS($CD49:$CI49,CK$15,$CD$15:$CI$15,$CK$14)/COUNTIFS($CD$15:$CI$15,$CK$14)</f>
        <v>0</v>
      </c>
      <c r="CL49" s="10">
        <f t="shared" si="75"/>
        <v>0</v>
      </c>
      <c r="CM49" s="10">
        <f t="shared" si="75"/>
        <v>0</v>
      </c>
      <c r="CN49" s="10">
        <f t="shared" si="75"/>
        <v>0</v>
      </c>
      <c r="CO49" s="10">
        <f t="shared" ref="CO49:CR80" si="76">COUNTIFS($CD49:$CI49,CO$15,$CD$15:$CI$15,$CO$14)/COUNTIFS($CD$15:$CI$15,$CO$14)</f>
        <v>0</v>
      </c>
      <c r="CP49" s="10">
        <f t="shared" si="76"/>
        <v>0</v>
      </c>
      <c r="CQ49" s="10">
        <f t="shared" si="76"/>
        <v>0</v>
      </c>
      <c r="CR49" s="10">
        <f t="shared" si="76"/>
        <v>0</v>
      </c>
      <c r="CS49" s="10" t="e">
        <f t="shared" ref="CS49:CV80" si="77">COUNTIFS($CD49:$CI49,CS$15,$CD$15:$CI$15,$CS$14)/COUNTIFS($CD$15:$CI$15,$CS$14)</f>
        <v>#DIV/0!</v>
      </c>
      <c r="CT49" s="10" t="e">
        <f t="shared" si="77"/>
        <v>#DIV/0!</v>
      </c>
      <c r="CU49" s="10" t="e">
        <f t="shared" si="77"/>
        <v>#DIV/0!</v>
      </c>
      <c r="CV49" s="10" t="e">
        <f t="shared" si="77"/>
        <v>#DIV/0!</v>
      </c>
      <c r="CW49" s="10">
        <f t="shared" ref="CW49:CZ80" si="78">COUNTIFS($CD49:$CI49,CW$15,$CD$15:$CI$15,$CW$14)/COUNTIFS($CD$15:$CI$15,$CW$14)</f>
        <v>0</v>
      </c>
      <c r="CX49" s="10">
        <f t="shared" si="78"/>
        <v>0</v>
      </c>
      <c r="CY49" s="10">
        <f t="shared" si="78"/>
        <v>0</v>
      </c>
      <c r="CZ49" s="10">
        <f t="shared" si="78"/>
        <v>0</v>
      </c>
    </row>
    <row r="50" spans="4:104" x14ac:dyDescent="0.15">
      <c r="D50" s="10">
        <v>35</v>
      </c>
      <c r="E50" s="10" t="e">
        <f t="shared" si="21"/>
        <v>#VALUE!</v>
      </c>
      <c r="F50" s="10" t="e">
        <f t="shared" si="1"/>
        <v>#VALUE!</v>
      </c>
      <c r="G50" s="10" t="e">
        <f t="shared" si="2"/>
        <v>#VALUE!</v>
      </c>
      <c r="H50" s="10" t="e">
        <f t="shared" si="22"/>
        <v>#VALUE!</v>
      </c>
      <c r="I50" s="10" t="e">
        <f t="shared" si="3"/>
        <v>#VALUE!</v>
      </c>
      <c r="J50" s="10" t="e">
        <f t="shared" si="23"/>
        <v>#VALUE!</v>
      </c>
      <c r="K50" s="10" t="e">
        <f t="shared" si="4"/>
        <v>#VALUE!</v>
      </c>
      <c r="L50" s="10" t="e">
        <f t="shared" si="5"/>
        <v>#VALUE!</v>
      </c>
      <c r="M50" s="10" t="e">
        <f t="shared" si="24"/>
        <v>#VALUE!</v>
      </c>
      <c r="O50" s="10" t="e">
        <f t="shared" si="25"/>
        <v>#VALUE!</v>
      </c>
      <c r="P50" s="10" t="e">
        <f t="shared" si="6"/>
        <v>#VALUE!</v>
      </c>
      <c r="Q50" s="10" t="e">
        <f t="shared" si="7"/>
        <v>#VALUE!</v>
      </c>
      <c r="R50" s="10" t="e">
        <f t="shared" si="26"/>
        <v>#VALUE!</v>
      </c>
      <c r="S50" s="10" t="e">
        <f t="shared" si="27"/>
        <v>#VALUE!</v>
      </c>
      <c r="T50" s="10" t="e">
        <f t="shared" si="62"/>
        <v>#VALUE!</v>
      </c>
      <c r="U50" s="10" t="e">
        <f t="shared" si="63"/>
        <v>#VALUE!</v>
      </c>
      <c r="V50" s="10" t="e">
        <f t="shared" si="8"/>
        <v>#VALUE!</v>
      </c>
      <c r="W50" s="10" t="e">
        <f t="shared" si="28"/>
        <v>#VALUE!</v>
      </c>
      <c r="Y50" s="10" t="e">
        <f t="shared" si="29"/>
        <v>#VALUE!</v>
      </c>
      <c r="Z50" s="11" t="e">
        <f t="shared" si="30"/>
        <v>#VALUE!</v>
      </c>
      <c r="AA50" s="10" t="e">
        <f t="shared" si="9"/>
        <v>#VALUE!</v>
      </c>
      <c r="AB50" s="10" t="e">
        <f t="shared" si="31"/>
        <v>#VALUE!</v>
      </c>
      <c r="AC50" s="10" t="e">
        <f t="shared" si="32"/>
        <v>#VALUE!</v>
      </c>
      <c r="AD50" s="10" t="e">
        <f t="shared" si="64"/>
        <v>#VALUE!</v>
      </c>
      <c r="AE50" s="10" t="e">
        <f t="shared" si="65"/>
        <v>#VALUE!</v>
      </c>
      <c r="AF50" s="10" t="e">
        <f t="shared" si="10"/>
        <v>#VALUE!</v>
      </c>
      <c r="AG50" s="10" t="e">
        <f t="shared" si="33"/>
        <v>#VALUE!</v>
      </c>
      <c r="AI50" s="13"/>
      <c r="AK50" s="10" t="e">
        <f t="shared" si="34"/>
        <v>#VALUE!</v>
      </c>
      <c r="AL50" s="10" t="e">
        <f t="shared" si="66"/>
        <v>#VALUE!</v>
      </c>
      <c r="AM50" s="10" t="e">
        <f t="shared" si="11"/>
        <v>#VALUE!</v>
      </c>
      <c r="AN50" s="10" t="e">
        <f t="shared" si="35"/>
        <v>#VALUE!</v>
      </c>
      <c r="AO50" s="10" t="e">
        <f t="shared" si="36"/>
        <v>#VALUE!</v>
      </c>
      <c r="AP50" s="10" t="e">
        <f t="shared" si="37"/>
        <v>#VALUE!</v>
      </c>
      <c r="AQ50" s="10" t="e">
        <f t="shared" si="67"/>
        <v>#VALUE!</v>
      </c>
      <c r="AR50" s="10" t="e">
        <f t="shared" si="12"/>
        <v>#VALUE!</v>
      </c>
      <c r="AS50" s="10" t="e">
        <f t="shared" si="68"/>
        <v>#VALUE!</v>
      </c>
      <c r="AU50" s="10" t="e">
        <f t="shared" si="38"/>
        <v>#VALUE!</v>
      </c>
      <c r="AV50" s="10" t="e">
        <f t="shared" si="69"/>
        <v>#VALUE!</v>
      </c>
      <c r="AW50" s="10" t="e">
        <f t="shared" si="13"/>
        <v>#VALUE!</v>
      </c>
      <c r="AX50" s="10" t="e">
        <f t="shared" si="39"/>
        <v>#VALUE!</v>
      </c>
      <c r="AY50" s="10" t="e">
        <f t="shared" si="40"/>
        <v>#VALUE!</v>
      </c>
      <c r="AZ50" s="10" t="e">
        <f t="shared" si="41"/>
        <v>#VALUE!</v>
      </c>
      <c r="BA50" s="10" t="e">
        <f t="shared" si="70"/>
        <v>#VALUE!</v>
      </c>
      <c r="BB50" s="10" t="e">
        <f t="shared" si="14"/>
        <v>#VALUE!</v>
      </c>
      <c r="BC50" s="10" t="e">
        <f t="shared" si="71"/>
        <v>#VALUE!</v>
      </c>
      <c r="BE50" s="10" t="e">
        <f t="shared" si="42"/>
        <v>#VALUE!</v>
      </c>
      <c r="BF50" s="10" t="e">
        <f t="shared" si="72"/>
        <v>#VALUE!</v>
      </c>
      <c r="BG50" s="10" t="e">
        <f t="shared" si="15"/>
        <v>#VALUE!</v>
      </c>
      <c r="BH50" s="10" t="e">
        <f t="shared" si="43"/>
        <v>#VALUE!</v>
      </c>
      <c r="BI50" s="10" t="e">
        <f t="shared" si="44"/>
        <v>#VALUE!</v>
      </c>
      <c r="BJ50" s="10" t="e">
        <f t="shared" si="45"/>
        <v>#VALUE!</v>
      </c>
      <c r="BK50" s="10" t="e">
        <f t="shared" si="73"/>
        <v>#VALUE!</v>
      </c>
      <c r="BL50" s="10" t="e">
        <f t="shared" si="16"/>
        <v>#VALUE!</v>
      </c>
      <c r="BM50" s="10" t="e">
        <f t="shared" si="74"/>
        <v>#VALUE!</v>
      </c>
      <c r="BP50" s="10" t="e">
        <f t="shared" si="46"/>
        <v>#VALUE!</v>
      </c>
      <c r="BQ50" s="10" t="e">
        <f t="shared" si="47"/>
        <v>#VALUE!</v>
      </c>
      <c r="BR50" s="10" t="e">
        <f t="shared" si="48"/>
        <v>#VALUE!</v>
      </c>
      <c r="BS50" s="10" t="e">
        <f t="shared" si="49"/>
        <v>#VALUE!</v>
      </c>
      <c r="BT50" s="10" t="e">
        <f t="shared" si="50"/>
        <v>#VALUE!</v>
      </c>
      <c r="BU50" s="10" t="e">
        <f t="shared" si="51"/>
        <v>#VALUE!</v>
      </c>
      <c r="BW50" s="10" t="e">
        <f t="shared" si="52"/>
        <v>#VALUE!</v>
      </c>
      <c r="BX50" s="10" t="e">
        <f t="shared" si="53"/>
        <v>#VALUE!</v>
      </c>
      <c r="BY50" s="10" t="e">
        <f t="shared" si="54"/>
        <v>#VALUE!</v>
      </c>
      <c r="BZ50" s="10" t="e">
        <f t="shared" si="55"/>
        <v>#VALUE!</v>
      </c>
      <c r="CA50" s="10" t="e">
        <f t="shared" si="56"/>
        <v>#VALUE!</v>
      </c>
      <c r="CB50" s="10" t="e">
        <f t="shared" si="57"/>
        <v>#VALUE!</v>
      </c>
      <c r="CD50" s="10" t="e">
        <f>MATCH(INDEX($BP$12:$BU$12,1,MATCH(BP50,$BP$15:$BU$15,0)),结果汇总!$AI$10:$AI$13,0)</f>
        <v>#VALUE!</v>
      </c>
      <c r="CE50" s="10" t="e">
        <f>MATCH(INDEX($BP$12:$BU$12,1,MATCH(BQ50,$BP$15:$BU$15,0)),结果汇总!$AI$10:$AI$13,0)</f>
        <v>#VALUE!</v>
      </c>
      <c r="CF50" s="10" t="e">
        <f>MATCH(INDEX($BP$12:$BU$12,1,MATCH(BR50,$BP$15:$BU$15,0)),结果汇总!$AI$10:$AI$13,0)</f>
        <v>#VALUE!</v>
      </c>
      <c r="CG50" s="10" t="e">
        <f>MATCH(INDEX($BP$12:$BU$12,1,MATCH(BS50,$BP$15:$BU$15,0)),结果汇总!$AI$10:$AI$13,0)</f>
        <v>#VALUE!</v>
      </c>
      <c r="CH50" s="10" t="e">
        <f>MATCH(INDEX($BP$12:$BU$12,1,MATCH(BT50,$BP$15:$BU$15,0)),结果汇总!$AI$10:$AI$13,0)</f>
        <v>#VALUE!</v>
      </c>
      <c r="CI50" s="10" t="e">
        <f>MATCH(INDEX($BP$12:$BU$12,1,MATCH(BU50,$BP$15:$BU$15,0)),结果汇总!$AI$10:$AI$13,0)</f>
        <v>#VALUE!</v>
      </c>
      <c r="CK50" s="10">
        <f t="shared" si="75"/>
        <v>0</v>
      </c>
      <c r="CL50" s="10">
        <f t="shared" si="75"/>
        <v>0</v>
      </c>
      <c r="CM50" s="10">
        <f t="shared" si="75"/>
        <v>0</v>
      </c>
      <c r="CN50" s="10">
        <f t="shared" si="75"/>
        <v>0</v>
      </c>
      <c r="CO50" s="10">
        <f t="shared" si="76"/>
        <v>0</v>
      </c>
      <c r="CP50" s="10">
        <f t="shared" si="76"/>
        <v>0</v>
      </c>
      <c r="CQ50" s="10">
        <f t="shared" si="76"/>
        <v>0</v>
      </c>
      <c r="CR50" s="10">
        <f t="shared" si="76"/>
        <v>0</v>
      </c>
      <c r="CS50" s="10" t="e">
        <f t="shared" si="77"/>
        <v>#DIV/0!</v>
      </c>
      <c r="CT50" s="10" t="e">
        <f t="shared" si="77"/>
        <v>#DIV/0!</v>
      </c>
      <c r="CU50" s="10" t="e">
        <f t="shared" si="77"/>
        <v>#DIV/0!</v>
      </c>
      <c r="CV50" s="10" t="e">
        <f t="shared" si="77"/>
        <v>#DIV/0!</v>
      </c>
      <c r="CW50" s="10">
        <f t="shared" si="78"/>
        <v>0</v>
      </c>
      <c r="CX50" s="10">
        <f t="shared" si="78"/>
        <v>0</v>
      </c>
      <c r="CY50" s="10">
        <f t="shared" si="78"/>
        <v>0</v>
      </c>
      <c r="CZ50" s="10">
        <f t="shared" si="78"/>
        <v>0</v>
      </c>
    </row>
    <row r="51" spans="4:104" x14ac:dyDescent="0.15">
      <c r="D51" s="10">
        <v>36</v>
      </c>
      <c r="E51" s="10" t="e">
        <f t="shared" si="21"/>
        <v>#VALUE!</v>
      </c>
      <c r="F51" s="10" t="e">
        <f t="shared" si="1"/>
        <v>#VALUE!</v>
      </c>
      <c r="G51" s="10" t="e">
        <f t="shared" si="2"/>
        <v>#VALUE!</v>
      </c>
      <c r="H51" s="10" t="e">
        <f t="shared" si="22"/>
        <v>#VALUE!</v>
      </c>
      <c r="I51" s="10" t="e">
        <f t="shared" si="3"/>
        <v>#VALUE!</v>
      </c>
      <c r="J51" s="10" t="e">
        <f t="shared" si="23"/>
        <v>#VALUE!</v>
      </c>
      <c r="K51" s="10" t="e">
        <f t="shared" si="4"/>
        <v>#VALUE!</v>
      </c>
      <c r="L51" s="10" t="e">
        <f t="shared" si="5"/>
        <v>#VALUE!</v>
      </c>
      <c r="M51" s="10" t="e">
        <f t="shared" si="24"/>
        <v>#VALUE!</v>
      </c>
      <c r="O51" s="10" t="e">
        <f t="shared" si="25"/>
        <v>#VALUE!</v>
      </c>
      <c r="P51" s="10" t="e">
        <f t="shared" si="6"/>
        <v>#VALUE!</v>
      </c>
      <c r="Q51" s="10" t="e">
        <f t="shared" si="7"/>
        <v>#VALUE!</v>
      </c>
      <c r="R51" s="10" t="e">
        <f t="shared" si="26"/>
        <v>#VALUE!</v>
      </c>
      <c r="S51" s="10" t="e">
        <f t="shared" si="27"/>
        <v>#VALUE!</v>
      </c>
      <c r="T51" s="10" t="e">
        <f t="shared" si="62"/>
        <v>#VALUE!</v>
      </c>
      <c r="U51" s="10" t="e">
        <f t="shared" si="63"/>
        <v>#VALUE!</v>
      </c>
      <c r="V51" s="10" t="e">
        <f t="shared" si="8"/>
        <v>#VALUE!</v>
      </c>
      <c r="W51" s="10" t="e">
        <f t="shared" si="28"/>
        <v>#VALUE!</v>
      </c>
      <c r="Y51" s="10" t="e">
        <f t="shared" si="29"/>
        <v>#VALUE!</v>
      </c>
      <c r="Z51" s="11" t="e">
        <f t="shared" si="30"/>
        <v>#VALUE!</v>
      </c>
      <c r="AA51" s="10" t="e">
        <f t="shared" si="9"/>
        <v>#VALUE!</v>
      </c>
      <c r="AB51" s="10" t="e">
        <f t="shared" si="31"/>
        <v>#VALUE!</v>
      </c>
      <c r="AC51" s="10" t="e">
        <f t="shared" si="32"/>
        <v>#VALUE!</v>
      </c>
      <c r="AD51" s="10" t="e">
        <f t="shared" si="64"/>
        <v>#VALUE!</v>
      </c>
      <c r="AE51" s="10" t="e">
        <f t="shared" si="65"/>
        <v>#VALUE!</v>
      </c>
      <c r="AF51" s="10" t="e">
        <f t="shared" si="10"/>
        <v>#VALUE!</v>
      </c>
      <c r="AG51" s="10" t="e">
        <f t="shared" si="33"/>
        <v>#VALUE!</v>
      </c>
      <c r="AI51" s="13"/>
      <c r="AK51" s="10" t="e">
        <f t="shared" si="34"/>
        <v>#VALUE!</v>
      </c>
      <c r="AL51" s="10" t="e">
        <f t="shared" si="66"/>
        <v>#VALUE!</v>
      </c>
      <c r="AM51" s="10" t="e">
        <f t="shared" si="11"/>
        <v>#VALUE!</v>
      </c>
      <c r="AN51" s="10" t="e">
        <f t="shared" si="35"/>
        <v>#VALUE!</v>
      </c>
      <c r="AO51" s="10" t="e">
        <f t="shared" si="36"/>
        <v>#VALUE!</v>
      </c>
      <c r="AP51" s="10" t="e">
        <f t="shared" si="37"/>
        <v>#VALUE!</v>
      </c>
      <c r="AQ51" s="10" t="e">
        <f t="shared" si="67"/>
        <v>#VALUE!</v>
      </c>
      <c r="AR51" s="10" t="e">
        <f t="shared" si="12"/>
        <v>#VALUE!</v>
      </c>
      <c r="AS51" s="10" t="e">
        <f t="shared" si="68"/>
        <v>#VALUE!</v>
      </c>
      <c r="AU51" s="10" t="e">
        <f t="shared" si="38"/>
        <v>#VALUE!</v>
      </c>
      <c r="AV51" s="10" t="e">
        <f t="shared" si="69"/>
        <v>#VALUE!</v>
      </c>
      <c r="AW51" s="10" t="e">
        <f t="shared" si="13"/>
        <v>#VALUE!</v>
      </c>
      <c r="AX51" s="10" t="e">
        <f t="shared" si="39"/>
        <v>#VALUE!</v>
      </c>
      <c r="AY51" s="10" t="e">
        <f t="shared" si="40"/>
        <v>#VALUE!</v>
      </c>
      <c r="AZ51" s="10" t="e">
        <f t="shared" si="41"/>
        <v>#VALUE!</v>
      </c>
      <c r="BA51" s="10" t="e">
        <f t="shared" si="70"/>
        <v>#VALUE!</v>
      </c>
      <c r="BB51" s="10" t="e">
        <f t="shared" si="14"/>
        <v>#VALUE!</v>
      </c>
      <c r="BC51" s="10" t="e">
        <f t="shared" si="71"/>
        <v>#VALUE!</v>
      </c>
      <c r="BE51" s="10" t="e">
        <f t="shared" si="42"/>
        <v>#VALUE!</v>
      </c>
      <c r="BF51" s="10" t="e">
        <f t="shared" si="72"/>
        <v>#VALUE!</v>
      </c>
      <c r="BG51" s="10" t="e">
        <f t="shared" si="15"/>
        <v>#VALUE!</v>
      </c>
      <c r="BH51" s="10" t="e">
        <f t="shared" si="43"/>
        <v>#VALUE!</v>
      </c>
      <c r="BI51" s="10" t="e">
        <f t="shared" si="44"/>
        <v>#VALUE!</v>
      </c>
      <c r="BJ51" s="10" t="e">
        <f t="shared" si="45"/>
        <v>#VALUE!</v>
      </c>
      <c r="BK51" s="10" t="e">
        <f t="shared" si="73"/>
        <v>#VALUE!</v>
      </c>
      <c r="BL51" s="10" t="e">
        <f t="shared" si="16"/>
        <v>#VALUE!</v>
      </c>
      <c r="BM51" s="10" t="e">
        <f t="shared" si="74"/>
        <v>#VALUE!</v>
      </c>
      <c r="BP51" s="10" t="e">
        <f t="shared" si="46"/>
        <v>#VALUE!</v>
      </c>
      <c r="BQ51" s="10" t="e">
        <f t="shared" si="47"/>
        <v>#VALUE!</v>
      </c>
      <c r="BR51" s="10" t="e">
        <f t="shared" si="48"/>
        <v>#VALUE!</v>
      </c>
      <c r="BS51" s="10" t="e">
        <f t="shared" si="49"/>
        <v>#VALUE!</v>
      </c>
      <c r="BT51" s="10" t="e">
        <f t="shared" si="50"/>
        <v>#VALUE!</v>
      </c>
      <c r="BU51" s="10" t="e">
        <f t="shared" si="51"/>
        <v>#VALUE!</v>
      </c>
      <c r="BW51" s="10" t="e">
        <f t="shared" si="52"/>
        <v>#VALUE!</v>
      </c>
      <c r="BX51" s="10" t="e">
        <f t="shared" si="53"/>
        <v>#VALUE!</v>
      </c>
      <c r="BY51" s="10" t="e">
        <f t="shared" si="54"/>
        <v>#VALUE!</v>
      </c>
      <c r="BZ51" s="10" t="e">
        <f t="shared" si="55"/>
        <v>#VALUE!</v>
      </c>
      <c r="CA51" s="10" t="e">
        <f t="shared" si="56"/>
        <v>#VALUE!</v>
      </c>
      <c r="CB51" s="10" t="e">
        <f t="shared" si="57"/>
        <v>#VALUE!</v>
      </c>
      <c r="CD51" s="10" t="e">
        <f>MATCH(INDEX($BP$12:$BU$12,1,MATCH(BP51,$BP$15:$BU$15,0)),结果汇总!$AI$10:$AI$13,0)</f>
        <v>#VALUE!</v>
      </c>
      <c r="CE51" s="10" t="e">
        <f>MATCH(INDEX($BP$12:$BU$12,1,MATCH(BQ51,$BP$15:$BU$15,0)),结果汇总!$AI$10:$AI$13,0)</f>
        <v>#VALUE!</v>
      </c>
      <c r="CF51" s="10" t="e">
        <f>MATCH(INDEX($BP$12:$BU$12,1,MATCH(BR51,$BP$15:$BU$15,0)),结果汇总!$AI$10:$AI$13,0)</f>
        <v>#VALUE!</v>
      </c>
      <c r="CG51" s="10" t="e">
        <f>MATCH(INDEX($BP$12:$BU$12,1,MATCH(BS51,$BP$15:$BU$15,0)),结果汇总!$AI$10:$AI$13,0)</f>
        <v>#VALUE!</v>
      </c>
      <c r="CH51" s="10" t="e">
        <f>MATCH(INDEX($BP$12:$BU$12,1,MATCH(BT51,$BP$15:$BU$15,0)),结果汇总!$AI$10:$AI$13,0)</f>
        <v>#VALUE!</v>
      </c>
      <c r="CI51" s="10" t="e">
        <f>MATCH(INDEX($BP$12:$BU$12,1,MATCH(BU51,$BP$15:$BU$15,0)),结果汇总!$AI$10:$AI$13,0)</f>
        <v>#VALUE!</v>
      </c>
      <c r="CK51" s="10">
        <f t="shared" si="75"/>
        <v>0</v>
      </c>
      <c r="CL51" s="10">
        <f t="shared" si="75"/>
        <v>0</v>
      </c>
      <c r="CM51" s="10">
        <f t="shared" si="75"/>
        <v>0</v>
      </c>
      <c r="CN51" s="10">
        <f t="shared" si="75"/>
        <v>0</v>
      </c>
      <c r="CO51" s="10">
        <f t="shared" si="76"/>
        <v>0</v>
      </c>
      <c r="CP51" s="10">
        <f t="shared" si="76"/>
        <v>0</v>
      </c>
      <c r="CQ51" s="10">
        <f t="shared" si="76"/>
        <v>0</v>
      </c>
      <c r="CR51" s="10">
        <f t="shared" si="76"/>
        <v>0</v>
      </c>
      <c r="CS51" s="10" t="e">
        <f t="shared" si="77"/>
        <v>#DIV/0!</v>
      </c>
      <c r="CT51" s="10" t="e">
        <f t="shared" si="77"/>
        <v>#DIV/0!</v>
      </c>
      <c r="CU51" s="10" t="e">
        <f t="shared" si="77"/>
        <v>#DIV/0!</v>
      </c>
      <c r="CV51" s="10" t="e">
        <f t="shared" si="77"/>
        <v>#DIV/0!</v>
      </c>
      <c r="CW51" s="10">
        <f t="shared" si="78"/>
        <v>0</v>
      </c>
      <c r="CX51" s="10">
        <f t="shared" si="78"/>
        <v>0</v>
      </c>
      <c r="CY51" s="10">
        <f t="shared" si="78"/>
        <v>0</v>
      </c>
      <c r="CZ51" s="10">
        <f t="shared" si="78"/>
        <v>0</v>
      </c>
    </row>
    <row r="52" spans="4:104" x14ac:dyDescent="0.15">
      <c r="D52" s="10">
        <v>37</v>
      </c>
      <c r="E52" s="10" t="e">
        <f t="shared" si="21"/>
        <v>#VALUE!</v>
      </c>
      <c r="F52" s="10" t="e">
        <f t="shared" si="1"/>
        <v>#VALUE!</v>
      </c>
      <c r="G52" s="10" t="e">
        <f t="shared" si="2"/>
        <v>#VALUE!</v>
      </c>
      <c r="H52" s="10" t="e">
        <f t="shared" si="22"/>
        <v>#VALUE!</v>
      </c>
      <c r="I52" s="10" t="e">
        <f t="shared" si="3"/>
        <v>#VALUE!</v>
      </c>
      <c r="J52" s="10" t="e">
        <f t="shared" si="23"/>
        <v>#VALUE!</v>
      </c>
      <c r="K52" s="10" t="e">
        <f t="shared" si="4"/>
        <v>#VALUE!</v>
      </c>
      <c r="L52" s="10" t="e">
        <f t="shared" si="5"/>
        <v>#VALUE!</v>
      </c>
      <c r="M52" s="10" t="e">
        <f t="shared" si="24"/>
        <v>#VALUE!</v>
      </c>
      <c r="O52" s="10" t="e">
        <f t="shared" si="25"/>
        <v>#VALUE!</v>
      </c>
      <c r="P52" s="10" t="e">
        <f t="shared" si="6"/>
        <v>#VALUE!</v>
      </c>
      <c r="Q52" s="10" t="e">
        <f t="shared" si="7"/>
        <v>#VALUE!</v>
      </c>
      <c r="R52" s="10" t="e">
        <f t="shared" si="26"/>
        <v>#VALUE!</v>
      </c>
      <c r="S52" s="10" t="e">
        <f t="shared" si="27"/>
        <v>#VALUE!</v>
      </c>
      <c r="T52" s="10" t="e">
        <f t="shared" si="62"/>
        <v>#VALUE!</v>
      </c>
      <c r="U52" s="10" t="e">
        <f t="shared" si="63"/>
        <v>#VALUE!</v>
      </c>
      <c r="V52" s="10" t="e">
        <f t="shared" si="8"/>
        <v>#VALUE!</v>
      </c>
      <c r="W52" s="10" t="e">
        <f t="shared" si="28"/>
        <v>#VALUE!</v>
      </c>
      <c r="Y52" s="10" t="e">
        <f t="shared" si="29"/>
        <v>#VALUE!</v>
      </c>
      <c r="Z52" s="11" t="e">
        <f t="shared" si="30"/>
        <v>#VALUE!</v>
      </c>
      <c r="AA52" s="10" t="e">
        <f t="shared" si="9"/>
        <v>#VALUE!</v>
      </c>
      <c r="AB52" s="10" t="e">
        <f t="shared" si="31"/>
        <v>#VALUE!</v>
      </c>
      <c r="AC52" s="10" t="e">
        <f t="shared" si="32"/>
        <v>#VALUE!</v>
      </c>
      <c r="AD52" s="10" t="e">
        <f t="shared" si="64"/>
        <v>#VALUE!</v>
      </c>
      <c r="AE52" s="10" t="e">
        <f t="shared" si="65"/>
        <v>#VALUE!</v>
      </c>
      <c r="AF52" s="10" t="e">
        <f t="shared" si="10"/>
        <v>#VALUE!</v>
      </c>
      <c r="AG52" s="10" t="e">
        <f t="shared" si="33"/>
        <v>#VALUE!</v>
      </c>
      <c r="AI52" s="13"/>
      <c r="AK52" s="10" t="e">
        <f t="shared" si="34"/>
        <v>#VALUE!</v>
      </c>
      <c r="AL52" s="10" t="e">
        <f t="shared" si="66"/>
        <v>#VALUE!</v>
      </c>
      <c r="AM52" s="10" t="e">
        <f t="shared" si="11"/>
        <v>#VALUE!</v>
      </c>
      <c r="AN52" s="10" t="e">
        <f t="shared" si="35"/>
        <v>#VALUE!</v>
      </c>
      <c r="AO52" s="10" t="e">
        <f t="shared" si="36"/>
        <v>#VALUE!</v>
      </c>
      <c r="AP52" s="10" t="e">
        <f t="shared" si="37"/>
        <v>#VALUE!</v>
      </c>
      <c r="AQ52" s="10" t="e">
        <f t="shared" si="67"/>
        <v>#VALUE!</v>
      </c>
      <c r="AR52" s="10" t="e">
        <f t="shared" si="12"/>
        <v>#VALUE!</v>
      </c>
      <c r="AS52" s="10" t="e">
        <f t="shared" si="68"/>
        <v>#VALUE!</v>
      </c>
      <c r="AU52" s="10" t="e">
        <f t="shared" si="38"/>
        <v>#VALUE!</v>
      </c>
      <c r="AV52" s="10" t="e">
        <f t="shared" si="69"/>
        <v>#VALUE!</v>
      </c>
      <c r="AW52" s="10" t="e">
        <f t="shared" si="13"/>
        <v>#VALUE!</v>
      </c>
      <c r="AX52" s="10" t="e">
        <f t="shared" si="39"/>
        <v>#VALUE!</v>
      </c>
      <c r="AY52" s="10" t="e">
        <f t="shared" si="40"/>
        <v>#VALUE!</v>
      </c>
      <c r="AZ52" s="10" t="e">
        <f t="shared" si="41"/>
        <v>#VALUE!</v>
      </c>
      <c r="BA52" s="10" t="e">
        <f t="shared" si="70"/>
        <v>#VALUE!</v>
      </c>
      <c r="BB52" s="10" t="e">
        <f t="shared" si="14"/>
        <v>#VALUE!</v>
      </c>
      <c r="BC52" s="10" t="e">
        <f t="shared" si="71"/>
        <v>#VALUE!</v>
      </c>
      <c r="BE52" s="10" t="e">
        <f t="shared" si="42"/>
        <v>#VALUE!</v>
      </c>
      <c r="BF52" s="10" t="e">
        <f t="shared" si="72"/>
        <v>#VALUE!</v>
      </c>
      <c r="BG52" s="10" t="e">
        <f t="shared" si="15"/>
        <v>#VALUE!</v>
      </c>
      <c r="BH52" s="10" t="e">
        <f t="shared" si="43"/>
        <v>#VALUE!</v>
      </c>
      <c r="BI52" s="10" t="e">
        <f t="shared" si="44"/>
        <v>#VALUE!</v>
      </c>
      <c r="BJ52" s="10" t="e">
        <f t="shared" si="45"/>
        <v>#VALUE!</v>
      </c>
      <c r="BK52" s="10" t="e">
        <f t="shared" si="73"/>
        <v>#VALUE!</v>
      </c>
      <c r="BL52" s="10" t="e">
        <f t="shared" si="16"/>
        <v>#VALUE!</v>
      </c>
      <c r="BM52" s="10" t="e">
        <f t="shared" si="74"/>
        <v>#VALUE!</v>
      </c>
      <c r="BP52" s="10" t="e">
        <f t="shared" si="46"/>
        <v>#VALUE!</v>
      </c>
      <c r="BQ52" s="10" t="e">
        <f t="shared" si="47"/>
        <v>#VALUE!</v>
      </c>
      <c r="BR52" s="10" t="e">
        <f t="shared" si="48"/>
        <v>#VALUE!</v>
      </c>
      <c r="BS52" s="10" t="e">
        <f t="shared" si="49"/>
        <v>#VALUE!</v>
      </c>
      <c r="BT52" s="10" t="e">
        <f t="shared" si="50"/>
        <v>#VALUE!</v>
      </c>
      <c r="BU52" s="10" t="e">
        <f t="shared" si="51"/>
        <v>#VALUE!</v>
      </c>
      <c r="BW52" s="10" t="e">
        <f t="shared" si="52"/>
        <v>#VALUE!</v>
      </c>
      <c r="BX52" s="10" t="e">
        <f t="shared" si="53"/>
        <v>#VALUE!</v>
      </c>
      <c r="BY52" s="10" t="e">
        <f t="shared" si="54"/>
        <v>#VALUE!</v>
      </c>
      <c r="BZ52" s="10" t="e">
        <f t="shared" si="55"/>
        <v>#VALUE!</v>
      </c>
      <c r="CA52" s="10" t="e">
        <f t="shared" si="56"/>
        <v>#VALUE!</v>
      </c>
      <c r="CB52" s="10" t="e">
        <f t="shared" si="57"/>
        <v>#VALUE!</v>
      </c>
      <c r="CD52" s="10" t="e">
        <f>MATCH(INDEX($BP$12:$BU$12,1,MATCH(BP52,$BP$15:$BU$15,0)),结果汇总!$AI$10:$AI$13,0)</f>
        <v>#VALUE!</v>
      </c>
      <c r="CE52" s="10" t="e">
        <f>MATCH(INDEX($BP$12:$BU$12,1,MATCH(BQ52,$BP$15:$BU$15,0)),结果汇总!$AI$10:$AI$13,0)</f>
        <v>#VALUE!</v>
      </c>
      <c r="CF52" s="10" t="e">
        <f>MATCH(INDEX($BP$12:$BU$12,1,MATCH(BR52,$BP$15:$BU$15,0)),结果汇总!$AI$10:$AI$13,0)</f>
        <v>#VALUE!</v>
      </c>
      <c r="CG52" s="10" t="e">
        <f>MATCH(INDEX($BP$12:$BU$12,1,MATCH(BS52,$BP$15:$BU$15,0)),结果汇总!$AI$10:$AI$13,0)</f>
        <v>#VALUE!</v>
      </c>
      <c r="CH52" s="10" t="e">
        <f>MATCH(INDEX($BP$12:$BU$12,1,MATCH(BT52,$BP$15:$BU$15,0)),结果汇总!$AI$10:$AI$13,0)</f>
        <v>#VALUE!</v>
      </c>
      <c r="CI52" s="10" t="e">
        <f>MATCH(INDEX($BP$12:$BU$12,1,MATCH(BU52,$BP$15:$BU$15,0)),结果汇总!$AI$10:$AI$13,0)</f>
        <v>#VALUE!</v>
      </c>
      <c r="CK52" s="10">
        <f t="shared" si="75"/>
        <v>0</v>
      </c>
      <c r="CL52" s="10">
        <f t="shared" si="75"/>
        <v>0</v>
      </c>
      <c r="CM52" s="10">
        <f t="shared" si="75"/>
        <v>0</v>
      </c>
      <c r="CN52" s="10">
        <f t="shared" si="75"/>
        <v>0</v>
      </c>
      <c r="CO52" s="10">
        <f t="shared" si="76"/>
        <v>0</v>
      </c>
      <c r="CP52" s="10">
        <f t="shared" si="76"/>
        <v>0</v>
      </c>
      <c r="CQ52" s="10">
        <f t="shared" si="76"/>
        <v>0</v>
      </c>
      <c r="CR52" s="10">
        <f t="shared" si="76"/>
        <v>0</v>
      </c>
      <c r="CS52" s="10" t="e">
        <f t="shared" si="77"/>
        <v>#DIV/0!</v>
      </c>
      <c r="CT52" s="10" t="e">
        <f t="shared" si="77"/>
        <v>#DIV/0!</v>
      </c>
      <c r="CU52" s="10" t="e">
        <f t="shared" si="77"/>
        <v>#DIV/0!</v>
      </c>
      <c r="CV52" s="10" t="e">
        <f t="shared" si="77"/>
        <v>#DIV/0!</v>
      </c>
      <c r="CW52" s="10">
        <f t="shared" si="78"/>
        <v>0</v>
      </c>
      <c r="CX52" s="10">
        <f t="shared" si="78"/>
        <v>0</v>
      </c>
      <c r="CY52" s="10">
        <f t="shared" si="78"/>
        <v>0</v>
      </c>
      <c r="CZ52" s="10">
        <f t="shared" si="78"/>
        <v>0</v>
      </c>
    </row>
    <row r="53" spans="4:104" x14ac:dyDescent="0.15">
      <c r="D53" s="10">
        <v>38</v>
      </c>
      <c r="E53" s="10" t="e">
        <f t="shared" si="21"/>
        <v>#VALUE!</v>
      </c>
      <c r="F53" s="10" t="e">
        <f t="shared" si="1"/>
        <v>#VALUE!</v>
      </c>
      <c r="G53" s="10" t="e">
        <f t="shared" si="2"/>
        <v>#VALUE!</v>
      </c>
      <c r="H53" s="10" t="e">
        <f t="shared" si="22"/>
        <v>#VALUE!</v>
      </c>
      <c r="I53" s="10" t="e">
        <f t="shared" si="3"/>
        <v>#VALUE!</v>
      </c>
      <c r="J53" s="10" t="e">
        <f t="shared" si="23"/>
        <v>#VALUE!</v>
      </c>
      <c r="K53" s="10" t="e">
        <f t="shared" si="4"/>
        <v>#VALUE!</v>
      </c>
      <c r="L53" s="10" t="e">
        <f t="shared" si="5"/>
        <v>#VALUE!</v>
      </c>
      <c r="M53" s="10" t="e">
        <f t="shared" si="24"/>
        <v>#VALUE!</v>
      </c>
      <c r="O53" s="10" t="e">
        <f t="shared" si="25"/>
        <v>#VALUE!</v>
      </c>
      <c r="P53" s="10" t="e">
        <f t="shared" si="6"/>
        <v>#VALUE!</v>
      </c>
      <c r="Q53" s="10" t="e">
        <f t="shared" si="7"/>
        <v>#VALUE!</v>
      </c>
      <c r="R53" s="10" t="e">
        <f t="shared" si="26"/>
        <v>#VALUE!</v>
      </c>
      <c r="S53" s="10" t="e">
        <f t="shared" si="27"/>
        <v>#VALUE!</v>
      </c>
      <c r="T53" s="10" t="e">
        <f t="shared" si="62"/>
        <v>#VALUE!</v>
      </c>
      <c r="U53" s="10" t="e">
        <f t="shared" si="63"/>
        <v>#VALUE!</v>
      </c>
      <c r="V53" s="10" t="e">
        <f t="shared" si="8"/>
        <v>#VALUE!</v>
      </c>
      <c r="W53" s="10" t="e">
        <f t="shared" si="28"/>
        <v>#VALUE!</v>
      </c>
      <c r="Y53" s="10" t="e">
        <f t="shared" si="29"/>
        <v>#VALUE!</v>
      </c>
      <c r="Z53" s="11" t="e">
        <f t="shared" si="30"/>
        <v>#VALUE!</v>
      </c>
      <c r="AA53" s="10" t="e">
        <f t="shared" si="9"/>
        <v>#VALUE!</v>
      </c>
      <c r="AB53" s="10" t="e">
        <f t="shared" si="31"/>
        <v>#VALUE!</v>
      </c>
      <c r="AC53" s="10" t="e">
        <f t="shared" si="32"/>
        <v>#VALUE!</v>
      </c>
      <c r="AD53" s="10" t="e">
        <f t="shared" si="64"/>
        <v>#VALUE!</v>
      </c>
      <c r="AE53" s="10" t="e">
        <f t="shared" si="65"/>
        <v>#VALUE!</v>
      </c>
      <c r="AF53" s="10" t="e">
        <f t="shared" si="10"/>
        <v>#VALUE!</v>
      </c>
      <c r="AG53" s="10" t="e">
        <f t="shared" si="33"/>
        <v>#VALUE!</v>
      </c>
      <c r="AI53" s="13"/>
      <c r="AK53" s="10" t="e">
        <f t="shared" si="34"/>
        <v>#VALUE!</v>
      </c>
      <c r="AL53" s="10" t="e">
        <f t="shared" si="66"/>
        <v>#VALUE!</v>
      </c>
      <c r="AM53" s="10" t="e">
        <f t="shared" si="11"/>
        <v>#VALUE!</v>
      </c>
      <c r="AN53" s="10" t="e">
        <f t="shared" si="35"/>
        <v>#VALUE!</v>
      </c>
      <c r="AO53" s="10" t="e">
        <f t="shared" si="36"/>
        <v>#VALUE!</v>
      </c>
      <c r="AP53" s="10" t="e">
        <f t="shared" si="37"/>
        <v>#VALUE!</v>
      </c>
      <c r="AQ53" s="10" t="e">
        <f t="shared" si="67"/>
        <v>#VALUE!</v>
      </c>
      <c r="AR53" s="10" t="e">
        <f t="shared" si="12"/>
        <v>#VALUE!</v>
      </c>
      <c r="AS53" s="10" t="e">
        <f t="shared" si="68"/>
        <v>#VALUE!</v>
      </c>
      <c r="AU53" s="10" t="e">
        <f t="shared" si="38"/>
        <v>#VALUE!</v>
      </c>
      <c r="AV53" s="10" t="e">
        <f t="shared" si="69"/>
        <v>#VALUE!</v>
      </c>
      <c r="AW53" s="10" t="e">
        <f t="shared" si="13"/>
        <v>#VALUE!</v>
      </c>
      <c r="AX53" s="10" t="e">
        <f t="shared" si="39"/>
        <v>#VALUE!</v>
      </c>
      <c r="AY53" s="10" t="e">
        <f t="shared" si="40"/>
        <v>#VALUE!</v>
      </c>
      <c r="AZ53" s="10" t="e">
        <f t="shared" si="41"/>
        <v>#VALUE!</v>
      </c>
      <c r="BA53" s="10" t="e">
        <f t="shared" si="70"/>
        <v>#VALUE!</v>
      </c>
      <c r="BB53" s="10" t="e">
        <f t="shared" si="14"/>
        <v>#VALUE!</v>
      </c>
      <c r="BC53" s="10" t="e">
        <f t="shared" si="71"/>
        <v>#VALUE!</v>
      </c>
      <c r="BE53" s="10" t="e">
        <f t="shared" si="42"/>
        <v>#VALUE!</v>
      </c>
      <c r="BF53" s="10" t="e">
        <f t="shared" si="72"/>
        <v>#VALUE!</v>
      </c>
      <c r="BG53" s="10" t="e">
        <f t="shared" si="15"/>
        <v>#VALUE!</v>
      </c>
      <c r="BH53" s="10" t="e">
        <f t="shared" si="43"/>
        <v>#VALUE!</v>
      </c>
      <c r="BI53" s="10" t="e">
        <f t="shared" si="44"/>
        <v>#VALUE!</v>
      </c>
      <c r="BJ53" s="10" t="e">
        <f t="shared" si="45"/>
        <v>#VALUE!</v>
      </c>
      <c r="BK53" s="10" t="e">
        <f t="shared" si="73"/>
        <v>#VALUE!</v>
      </c>
      <c r="BL53" s="10" t="e">
        <f t="shared" si="16"/>
        <v>#VALUE!</v>
      </c>
      <c r="BM53" s="10" t="e">
        <f t="shared" si="74"/>
        <v>#VALUE!</v>
      </c>
      <c r="BP53" s="10" t="e">
        <f t="shared" si="46"/>
        <v>#VALUE!</v>
      </c>
      <c r="BQ53" s="10" t="e">
        <f t="shared" si="47"/>
        <v>#VALUE!</v>
      </c>
      <c r="BR53" s="10" t="e">
        <f t="shared" si="48"/>
        <v>#VALUE!</v>
      </c>
      <c r="BS53" s="10" t="e">
        <f t="shared" si="49"/>
        <v>#VALUE!</v>
      </c>
      <c r="BT53" s="10" t="e">
        <f t="shared" si="50"/>
        <v>#VALUE!</v>
      </c>
      <c r="BU53" s="10" t="e">
        <f t="shared" si="51"/>
        <v>#VALUE!</v>
      </c>
      <c r="BW53" s="10" t="e">
        <f t="shared" si="52"/>
        <v>#VALUE!</v>
      </c>
      <c r="BX53" s="10" t="e">
        <f t="shared" si="53"/>
        <v>#VALUE!</v>
      </c>
      <c r="BY53" s="10" t="e">
        <f t="shared" si="54"/>
        <v>#VALUE!</v>
      </c>
      <c r="BZ53" s="10" t="e">
        <f t="shared" si="55"/>
        <v>#VALUE!</v>
      </c>
      <c r="CA53" s="10" t="e">
        <f t="shared" si="56"/>
        <v>#VALUE!</v>
      </c>
      <c r="CB53" s="10" t="e">
        <f t="shared" si="57"/>
        <v>#VALUE!</v>
      </c>
      <c r="CD53" s="10" t="e">
        <f>MATCH(INDEX($BP$12:$BU$12,1,MATCH(BP53,$BP$15:$BU$15,0)),结果汇总!$AI$10:$AI$13,0)</f>
        <v>#VALUE!</v>
      </c>
      <c r="CE53" s="10" t="e">
        <f>MATCH(INDEX($BP$12:$BU$12,1,MATCH(BQ53,$BP$15:$BU$15,0)),结果汇总!$AI$10:$AI$13,0)</f>
        <v>#VALUE!</v>
      </c>
      <c r="CF53" s="10" t="e">
        <f>MATCH(INDEX($BP$12:$BU$12,1,MATCH(BR53,$BP$15:$BU$15,0)),结果汇总!$AI$10:$AI$13,0)</f>
        <v>#VALUE!</v>
      </c>
      <c r="CG53" s="10" t="e">
        <f>MATCH(INDEX($BP$12:$BU$12,1,MATCH(BS53,$BP$15:$BU$15,0)),结果汇总!$AI$10:$AI$13,0)</f>
        <v>#VALUE!</v>
      </c>
      <c r="CH53" s="10" t="e">
        <f>MATCH(INDEX($BP$12:$BU$12,1,MATCH(BT53,$BP$15:$BU$15,0)),结果汇总!$AI$10:$AI$13,0)</f>
        <v>#VALUE!</v>
      </c>
      <c r="CI53" s="10" t="e">
        <f>MATCH(INDEX($BP$12:$BU$12,1,MATCH(BU53,$BP$15:$BU$15,0)),结果汇总!$AI$10:$AI$13,0)</f>
        <v>#VALUE!</v>
      </c>
      <c r="CK53" s="10">
        <f t="shared" si="75"/>
        <v>0</v>
      </c>
      <c r="CL53" s="10">
        <f t="shared" si="75"/>
        <v>0</v>
      </c>
      <c r="CM53" s="10">
        <f t="shared" si="75"/>
        <v>0</v>
      </c>
      <c r="CN53" s="10">
        <f t="shared" si="75"/>
        <v>0</v>
      </c>
      <c r="CO53" s="10">
        <f t="shared" si="76"/>
        <v>0</v>
      </c>
      <c r="CP53" s="10">
        <f t="shared" si="76"/>
        <v>0</v>
      </c>
      <c r="CQ53" s="10">
        <f t="shared" si="76"/>
        <v>0</v>
      </c>
      <c r="CR53" s="10">
        <f t="shared" si="76"/>
        <v>0</v>
      </c>
      <c r="CS53" s="10" t="e">
        <f t="shared" si="77"/>
        <v>#DIV/0!</v>
      </c>
      <c r="CT53" s="10" t="e">
        <f t="shared" si="77"/>
        <v>#DIV/0!</v>
      </c>
      <c r="CU53" s="10" t="e">
        <f t="shared" si="77"/>
        <v>#DIV/0!</v>
      </c>
      <c r="CV53" s="10" t="e">
        <f t="shared" si="77"/>
        <v>#DIV/0!</v>
      </c>
      <c r="CW53" s="10">
        <f t="shared" si="78"/>
        <v>0</v>
      </c>
      <c r="CX53" s="10">
        <f t="shared" si="78"/>
        <v>0</v>
      </c>
      <c r="CY53" s="10">
        <f t="shared" si="78"/>
        <v>0</v>
      </c>
      <c r="CZ53" s="10">
        <f t="shared" si="78"/>
        <v>0</v>
      </c>
    </row>
    <row r="54" spans="4:104" x14ac:dyDescent="0.15">
      <c r="D54" s="10">
        <v>39</v>
      </c>
      <c r="E54" s="10" t="e">
        <f t="shared" si="21"/>
        <v>#VALUE!</v>
      </c>
      <c r="F54" s="10" t="e">
        <f t="shared" si="1"/>
        <v>#VALUE!</v>
      </c>
      <c r="G54" s="10" t="e">
        <f t="shared" si="2"/>
        <v>#VALUE!</v>
      </c>
      <c r="H54" s="10" t="e">
        <f t="shared" si="22"/>
        <v>#VALUE!</v>
      </c>
      <c r="I54" s="10" t="e">
        <f t="shared" si="3"/>
        <v>#VALUE!</v>
      </c>
      <c r="J54" s="10" t="e">
        <f t="shared" si="23"/>
        <v>#VALUE!</v>
      </c>
      <c r="K54" s="10" t="e">
        <f t="shared" si="4"/>
        <v>#VALUE!</v>
      </c>
      <c r="L54" s="10" t="e">
        <f t="shared" si="5"/>
        <v>#VALUE!</v>
      </c>
      <c r="M54" s="10" t="e">
        <f t="shared" si="24"/>
        <v>#VALUE!</v>
      </c>
      <c r="O54" s="10" t="e">
        <f t="shared" si="25"/>
        <v>#VALUE!</v>
      </c>
      <c r="P54" s="10" t="e">
        <f t="shared" si="6"/>
        <v>#VALUE!</v>
      </c>
      <c r="Q54" s="10" t="e">
        <f t="shared" si="7"/>
        <v>#VALUE!</v>
      </c>
      <c r="R54" s="10" t="e">
        <f t="shared" si="26"/>
        <v>#VALUE!</v>
      </c>
      <c r="S54" s="10" t="e">
        <f t="shared" si="27"/>
        <v>#VALUE!</v>
      </c>
      <c r="T54" s="10" t="e">
        <f t="shared" si="62"/>
        <v>#VALUE!</v>
      </c>
      <c r="U54" s="10" t="e">
        <f t="shared" si="63"/>
        <v>#VALUE!</v>
      </c>
      <c r="V54" s="10" t="e">
        <f t="shared" si="8"/>
        <v>#VALUE!</v>
      </c>
      <c r="W54" s="10" t="e">
        <f t="shared" si="28"/>
        <v>#VALUE!</v>
      </c>
      <c r="Y54" s="10" t="e">
        <f t="shared" si="29"/>
        <v>#VALUE!</v>
      </c>
      <c r="Z54" s="11" t="e">
        <f t="shared" si="30"/>
        <v>#VALUE!</v>
      </c>
      <c r="AA54" s="10" t="e">
        <f t="shared" si="9"/>
        <v>#VALUE!</v>
      </c>
      <c r="AB54" s="10" t="e">
        <f t="shared" si="31"/>
        <v>#VALUE!</v>
      </c>
      <c r="AC54" s="10" t="e">
        <f t="shared" si="32"/>
        <v>#VALUE!</v>
      </c>
      <c r="AD54" s="10" t="e">
        <f t="shared" si="64"/>
        <v>#VALUE!</v>
      </c>
      <c r="AE54" s="10" t="e">
        <f t="shared" si="65"/>
        <v>#VALUE!</v>
      </c>
      <c r="AF54" s="10" t="e">
        <f t="shared" si="10"/>
        <v>#VALUE!</v>
      </c>
      <c r="AG54" s="10" t="e">
        <f t="shared" si="33"/>
        <v>#VALUE!</v>
      </c>
      <c r="AI54" s="13"/>
      <c r="AK54" s="10" t="e">
        <f t="shared" si="34"/>
        <v>#VALUE!</v>
      </c>
      <c r="AL54" s="10" t="e">
        <f t="shared" si="66"/>
        <v>#VALUE!</v>
      </c>
      <c r="AM54" s="10" t="e">
        <f t="shared" si="11"/>
        <v>#VALUE!</v>
      </c>
      <c r="AN54" s="10" t="e">
        <f t="shared" si="35"/>
        <v>#VALUE!</v>
      </c>
      <c r="AO54" s="10" t="e">
        <f t="shared" si="36"/>
        <v>#VALUE!</v>
      </c>
      <c r="AP54" s="10" t="e">
        <f t="shared" si="37"/>
        <v>#VALUE!</v>
      </c>
      <c r="AQ54" s="10" t="e">
        <f t="shared" si="67"/>
        <v>#VALUE!</v>
      </c>
      <c r="AR54" s="10" t="e">
        <f t="shared" si="12"/>
        <v>#VALUE!</v>
      </c>
      <c r="AS54" s="10" t="e">
        <f t="shared" si="68"/>
        <v>#VALUE!</v>
      </c>
      <c r="AU54" s="10" t="e">
        <f t="shared" si="38"/>
        <v>#VALUE!</v>
      </c>
      <c r="AV54" s="10" t="e">
        <f t="shared" si="69"/>
        <v>#VALUE!</v>
      </c>
      <c r="AW54" s="10" t="e">
        <f t="shared" si="13"/>
        <v>#VALUE!</v>
      </c>
      <c r="AX54" s="10" t="e">
        <f t="shared" si="39"/>
        <v>#VALUE!</v>
      </c>
      <c r="AY54" s="10" t="e">
        <f t="shared" si="40"/>
        <v>#VALUE!</v>
      </c>
      <c r="AZ54" s="10" t="e">
        <f t="shared" si="41"/>
        <v>#VALUE!</v>
      </c>
      <c r="BA54" s="10" t="e">
        <f t="shared" si="70"/>
        <v>#VALUE!</v>
      </c>
      <c r="BB54" s="10" t="e">
        <f t="shared" si="14"/>
        <v>#VALUE!</v>
      </c>
      <c r="BC54" s="10" t="e">
        <f t="shared" si="71"/>
        <v>#VALUE!</v>
      </c>
      <c r="BE54" s="10" t="e">
        <f t="shared" si="42"/>
        <v>#VALUE!</v>
      </c>
      <c r="BF54" s="10" t="e">
        <f t="shared" si="72"/>
        <v>#VALUE!</v>
      </c>
      <c r="BG54" s="10" t="e">
        <f t="shared" si="15"/>
        <v>#VALUE!</v>
      </c>
      <c r="BH54" s="10" t="e">
        <f t="shared" si="43"/>
        <v>#VALUE!</v>
      </c>
      <c r="BI54" s="10" t="e">
        <f t="shared" si="44"/>
        <v>#VALUE!</v>
      </c>
      <c r="BJ54" s="10" t="e">
        <f t="shared" si="45"/>
        <v>#VALUE!</v>
      </c>
      <c r="BK54" s="10" t="e">
        <f t="shared" si="73"/>
        <v>#VALUE!</v>
      </c>
      <c r="BL54" s="10" t="e">
        <f t="shared" si="16"/>
        <v>#VALUE!</v>
      </c>
      <c r="BM54" s="10" t="e">
        <f t="shared" si="74"/>
        <v>#VALUE!</v>
      </c>
      <c r="BP54" s="10" t="e">
        <f t="shared" si="46"/>
        <v>#VALUE!</v>
      </c>
      <c r="BQ54" s="10" t="e">
        <f t="shared" si="47"/>
        <v>#VALUE!</v>
      </c>
      <c r="BR54" s="10" t="e">
        <f t="shared" si="48"/>
        <v>#VALUE!</v>
      </c>
      <c r="BS54" s="10" t="e">
        <f t="shared" si="49"/>
        <v>#VALUE!</v>
      </c>
      <c r="BT54" s="10" t="e">
        <f t="shared" si="50"/>
        <v>#VALUE!</v>
      </c>
      <c r="BU54" s="10" t="e">
        <f t="shared" si="51"/>
        <v>#VALUE!</v>
      </c>
      <c r="BW54" s="10" t="e">
        <f t="shared" si="52"/>
        <v>#VALUE!</v>
      </c>
      <c r="BX54" s="10" t="e">
        <f t="shared" si="53"/>
        <v>#VALUE!</v>
      </c>
      <c r="BY54" s="10" t="e">
        <f t="shared" si="54"/>
        <v>#VALUE!</v>
      </c>
      <c r="BZ54" s="10" t="e">
        <f t="shared" si="55"/>
        <v>#VALUE!</v>
      </c>
      <c r="CA54" s="10" t="e">
        <f t="shared" si="56"/>
        <v>#VALUE!</v>
      </c>
      <c r="CB54" s="10" t="e">
        <f t="shared" si="57"/>
        <v>#VALUE!</v>
      </c>
      <c r="CD54" s="10" t="e">
        <f>MATCH(INDEX($BP$12:$BU$12,1,MATCH(BP54,$BP$15:$BU$15,0)),结果汇总!$AI$10:$AI$13,0)</f>
        <v>#VALUE!</v>
      </c>
      <c r="CE54" s="10" t="e">
        <f>MATCH(INDEX($BP$12:$BU$12,1,MATCH(BQ54,$BP$15:$BU$15,0)),结果汇总!$AI$10:$AI$13,0)</f>
        <v>#VALUE!</v>
      </c>
      <c r="CF54" s="10" t="e">
        <f>MATCH(INDEX($BP$12:$BU$12,1,MATCH(BR54,$BP$15:$BU$15,0)),结果汇总!$AI$10:$AI$13,0)</f>
        <v>#VALUE!</v>
      </c>
      <c r="CG54" s="10" t="e">
        <f>MATCH(INDEX($BP$12:$BU$12,1,MATCH(BS54,$BP$15:$BU$15,0)),结果汇总!$AI$10:$AI$13,0)</f>
        <v>#VALUE!</v>
      </c>
      <c r="CH54" s="10" t="e">
        <f>MATCH(INDEX($BP$12:$BU$12,1,MATCH(BT54,$BP$15:$BU$15,0)),结果汇总!$AI$10:$AI$13,0)</f>
        <v>#VALUE!</v>
      </c>
      <c r="CI54" s="10" t="e">
        <f>MATCH(INDEX($BP$12:$BU$12,1,MATCH(BU54,$BP$15:$BU$15,0)),结果汇总!$AI$10:$AI$13,0)</f>
        <v>#VALUE!</v>
      </c>
      <c r="CK54" s="10">
        <f t="shared" si="75"/>
        <v>0</v>
      </c>
      <c r="CL54" s="10">
        <f t="shared" si="75"/>
        <v>0</v>
      </c>
      <c r="CM54" s="10">
        <f t="shared" si="75"/>
        <v>0</v>
      </c>
      <c r="CN54" s="10">
        <f t="shared" si="75"/>
        <v>0</v>
      </c>
      <c r="CO54" s="10">
        <f t="shared" si="76"/>
        <v>0</v>
      </c>
      <c r="CP54" s="10">
        <f t="shared" si="76"/>
        <v>0</v>
      </c>
      <c r="CQ54" s="10">
        <f t="shared" si="76"/>
        <v>0</v>
      </c>
      <c r="CR54" s="10">
        <f t="shared" si="76"/>
        <v>0</v>
      </c>
      <c r="CS54" s="10" t="e">
        <f t="shared" si="77"/>
        <v>#DIV/0!</v>
      </c>
      <c r="CT54" s="10" t="e">
        <f t="shared" si="77"/>
        <v>#DIV/0!</v>
      </c>
      <c r="CU54" s="10" t="e">
        <f t="shared" si="77"/>
        <v>#DIV/0!</v>
      </c>
      <c r="CV54" s="10" t="e">
        <f t="shared" si="77"/>
        <v>#DIV/0!</v>
      </c>
      <c r="CW54" s="10">
        <f t="shared" si="78"/>
        <v>0</v>
      </c>
      <c r="CX54" s="10">
        <f t="shared" si="78"/>
        <v>0</v>
      </c>
      <c r="CY54" s="10">
        <f t="shared" si="78"/>
        <v>0</v>
      </c>
      <c r="CZ54" s="10">
        <f t="shared" si="78"/>
        <v>0</v>
      </c>
    </row>
    <row r="55" spans="4:104" x14ac:dyDescent="0.15">
      <c r="D55" s="10">
        <v>40</v>
      </c>
      <c r="E55" s="10" t="e">
        <f t="shared" si="21"/>
        <v>#VALUE!</v>
      </c>
      <c r="F55" s="10" t="e">
        <f t="shared" si="1"/>
        <v>#VALUE!</v>
      </c>
      <c r="G55" s="10" t="e">
        <f t="shared" si="2"/>
        <v>#VALUE!</v>
      </c>
      <c r="H55" s="10" t="e">
        <f t="shared" si="22"/>
        <v>#VALUE!</v>
      </c>
      <c r="I55" s="10" t="e">
        <f t="shared" si="3"/>
        <v>#VALUE!</v>
      </c>
      <c r="J55" s="10" t="e">
        <f t="shared" si="23"/>
        <v>#VALUE!</v>
      </c>
      <c r="K55" s="10" t="e">
        <f t="shared" si="4"/>
        <v>#VALUE!</v>
      </c>
      <c r="L55" s="10" t="e">
        <f t="shared" si="5"/>
        <v>#VALUE!</v>
      </c>
      <c r="M55" s="10" t="e">
        <f t="shared" si="24"/>
        <v>#VALUE!</v>
      </c>
      <c r="O55" s="10" t="e">
        <f t="shared" si="25"/>
        <v>#VALUE!</v>
      </c>
      <c r="P55" s="10" t="e">
        <f t="shared" si="6"/>
        <v>#VALUE!</v>
      </c>
      <c r="Q55" s="10" t="e">
        <f t="shared" si="7"/>
        <v>#VALUE!</v>
      </c>
      <c r="R55" s="10" t="e">
        <f t="shared" si="26"/>
        <v>#VALUE!</v>
      </c>
      <c r="S55" s="10" t="e">
        <f t="shared" si="27"/>
        <v>#VALUE!</v>
      </c>
      <c r="T55" s="10" t="e">
        <f t="shared" si="62"/>
        <v>#VALUE!</v>
      </c>
      <c r="U55" s="10" t="e">
        <f t="shared" si="63"/>
        <v>#VALUE!</v>
      </c>
      <c r="V55" s="10" t="e">
        <f t="shared" si="8"/>
        <v>#VALUE!</v>
      </c>
      <c r="W55" s="10" t="e">
        <f t="shared" si="28"/>
        <v>#VALUE!</v>
      </c>
      <c r="Y55" s="10" t="e">
        <f t="shared" si="29"/>
        <v>#VALUE!</v>
      </c>
      <c r="Z55" s="11" t="e">
        <f t="shared" si="30"/>
        <v>#VALUE!</v>
      </c>
      <c r="AA55" s="10" t="e">
        <f t="shared" si="9"/>
        <v>#VALUE!</v>
      </c>
      <c r="AB55" s="10" t="e">
        <f t="shared" si="31"/>
        <v>#VALUE!</v>
      </c>
      <c r="AC55" s="10" t="e">
        <f t="shared" si="32"/>
        <v>#VALUE!</v>
      </c>
      <c r="AD55" s="10" t="e">
        <f t="shared" si="64"/>
        <v>#VALUE!</v>
      </c>
      <c r="AE55" s="10" t="e">
        <f t="shared" si="65"/>
        <v>#VALUE!</v>
      </c>
      <c r="AF55" s="10" t="e">
        <f t="shared" si="10"/>
        <v>#VALUE!</v>
      </c>
      <c r="AG55" s="10" t="e">
        <f t="shared" si="33"/>
        <v>#VALUE!</v>
      </c>
      <c r="AI55" s="13"/>
      <c r="AK55" s="10" t="e">
        <f t="shared" si="34"/>
        <v>#VALUE!</v>
      </c>
      <c r="AL55" s="10" t="e">
        <f t="shared" si="66"/>
        <v>#VALUE!</v>
      </c>
      <c r="AM55" s="10" t="e">
        <f t="shared" si="11"/>
        <v>#VALUE!</v>
      </c>
      <c r="AN55" s="10" t="e">
        <f t="shared" si="35"/>
        <v>#VALUE!</v>
      </c>
      <c r="AO55" s="10" t="e">
        <f t="shared" si="36"/>
        <v>#VALUE!</v>
      </c>
      <c r="AP55" s="10" t="e">
        <f t="shared" si="37"/>
        <v>#VALUE!</v>
      </c>
      <c r="AQ55" s="10" t="e">
        <f t="shared" si="67"/>
        <v>#VALUE!</v>
      </c>
      <c r="AR55" s="10" t="e">
        <f t="shared" si="12"/>
        <v>#VALUE!</v>
      </c>
      <c r="AS55" s="10" t="e">
        <f t="shared" si="68"/>
        <v>#VALUE!</v>
      </c>
      <c r="AU55" s="10" t="e">
        <f t="shared" si="38"/>
        <v>#VALUE!</v>
      </c>
      <c r="AV55" s="10" t="e">
        <f t="shared" si="69"/>
        <v>#VALUE!</v>
      </c>
      <c r="AW55" s="10" t="e">
        <f t="shared" si="13"/>
        <v>#VALUE!</v>
      </c>
      <c r="AX55" s="10" t="e">
        <f t="shared" si="39"/>
        <v>#VALUE!</v>
      </c>
      <c r="AY55" s="10" t="e">
        <f t="shared" si="40"/>
        <v>#VALUE!</v>
      </c>
      <c r="AZ55" s="10" t="e">
        <f t="shared" si="41"/>
        <v>#VALUE!</v>
      </c>
      <c r="BA55" s="10" t="e">
        <f t="shared" si="70"/>
        <v>#VALUE!</v>
      </c>
      <c r="BB55" s="10" t="e">
        <f t="shared" si="14"/>
        <v>#VALUE!</v>
      </c>
      <c r="BC55" s="10" t="e">
        <f t="shared" si="71"/>
        <v>#VALUE!</v>
      </c>
      <c r="BE55" s="10" t="e">
        <f t="shared" si="42"/>
        <v>#VALUE!</v>
      </c>
      <c r="BF55" s="10" t="e">
        <f t="shared" si="72"/>
        <v>#VALUE!</v>
      </c>
      <c r="BG55" s="10" t="e">
        <f t="shared" si="15"/>
        <v>#VALUE!</v>
      </c>
      <c r="BH55" s="10" t="e">
        <f t="shared" si="43"/>
        <v>#VALUE!</v>
      </c>
      <c r="BI55" s="10" t="e">
        <f t="shared" si="44"/>
        <v>#VALUE!</v>
      </c>
      <c r="BJ55" s="10" t="e">
        <f t="shared" si="45"/>
        <v>#VALUE!</v>
      </c>
      <c r="BK55" s="10" t="e">
        <f t="shared" si="73"/>
        <v>#VALUE!</v>
      </c>
      <c r="BL55" s="10" t="e">
        <f t="shared" si="16"/>
        <v>#VALUE!</v>
      </c>
      <c r="BM55" s="10" t="e">
        <f t="shared" si="74"/>
        <v>#VALUE!</v>
      </c>
      <c r="BP55" s="10" t="e">
        <f t="shared" si="46"/>
        <v>#VALUE!</v>
      </c>
      <c r="BQ55" s="10" t="e">
        <f t="shared" si="47"/>
        <v>#VALUE!</v>
      </c>
      <c r="BR55" s="10" t="e">
        <f t="shared" si="48"/>
        <v>#VALUE!</v>
      </c>
      <c r="BS55" s="10" t="e">
        <f t="shared" si="49"/>
        <v>#VALUE!</v>
      </c>
      <c r="BT55" s="10" t="e">
        <f t="shared" si="50"/>
        <v>#VALUE!</v>
      </c>
      <c r="BU55" s="10" t="e">
        <f t="shared" si="51"/>
        <v>#VALUE!</v>
      </c>
      <c r="BW55" s="10" t="e">
        <f t="shared" si="52"/>
        <v>#VALUE!</v>
      </c>
      <c r="BX55" s="10" t="e">
        <f t="shared" si="53"/>
        <v>#VALUE!</v>
      </c>
      <c r="BY55" s="10" t="e">
        <f t="shared" si="54"/>
        <v>#VALUE!</v>
      </c>
      <c r="BZ55" s="10" t="e">
        <f t="shared" si="55"/>
        <v>#VALUE!</v>
      </c>
      <c r="CA55" s="10" t="e">
        <f t="shared" si="56"/>
        <v>#VALUE!</v>
      </c>
      <c r="CB55" s="10" t="e">
        <f t="shared" si="57"/>
        <v>#VALUE!</v>
      </c>
      <c r="CD55" s="10" t="e">
        <f>MATCH(INDEX($BP$12:$BU$12,1,MATCH(BP55,$BP$15:$BU$15,0)),结果汇总!$AI$10:$AI$13,0)</f>
        <v>#VALUE!</v>
      </c>
      <c r="CE55" s="10" t="e">
        <f>MATCH(INDEX($BP$12:$BU$12,1,MATCH(BQ55,$BP$15:$BU$15,0)),结果汇总!$AI$10:$AI$13,0)</f>
        <v>#VALUE!</v>
      </c>
      <c r="CF55" s="10" t="e">
        <f>MATCH(INDEX($BP$12:$BU$12,1,MATCH(BR55,$BP$15:$BU$15,0)),结果汇总!$AI$10:$AI$13,0)</f>
        <v>#VALUE!</v>
      </c>
      <c r="CG55" s="10" t="e">
        <f>MATCH(INDEX($BP$12:$BU$12,1,MATCH(BS55,$BP$15:$BU$15,0)),结果汇总!$AI$10:$AI$13,0)</f>
        <v>#VALUE!</v>
      </c>
      <c r="CH55" s="10" t="e">
        <f>MATCH(INDEX($BP$12:$BU$12,1,MATCH(BT55,$BP$15:$BU$15,0)),结果汇总!$AI$10:$AI$13,0)</f>
        <v>#VALUE!</v>
      </c>
      <c r="CI55" s="10" t="e">
        <f>MATCH(INDEX($BP$12:$BU$12,1,MATCH(BU55,$BP$15:$BU$15,0)),结果汇总!$AI$10:$AI$13,0)</f>
        <v>#VALUE!</v>
      </c>
      <c r="CK55" s="10">
        <f t="shared" si="75"/>
        <v>0</v>
      </c>
      <c r="CL55" s="10">
        <f t="shared" si="75"/>
        <v>0</v>
      </c>
      <c r="CM55" s="10">
        <f t="shared" si="75"/>
        <v>0</v>
      </c>
      <c r="CN55" s="10">
        <f t="shared" si="75"/>
        <v>0</v>
      </c>
      <c r="CO55" s="10">
        <f t="shared" si="76"/>
        <v>0</v>
      </c>
      <c r="CP55" s="10">
        <f t="shared" si="76"/>
        <v>0</v>
      </c>
      <c r="CQ55" s="10">
        <f t="shared" si="76"/>
        <v>0</v>
      </c>
      <c r="CR55" s="10">
        <f t="shared" si="76"/>
        <v>0</v>
      </c>
      <c r="CS55" s="10" t="e">
        <f t="shared" si="77"/>
        <v>#DIV/0!</v>
      </c>
      <c r="CT55" s="10" t="e">
        <f t="shared" si="77"/>
        <v>#DIV/0!</v>
      </c>
      <c r="CU55" s="10" t="e">
        <f t="shared" si="77"/>
        <v>#DIV/0!</v>
      </c>
      <c r="CV55" s="10" t="e">
        <f t="shared" si="77"/>
        <v>#DIV/0!</v>
      </c>
      <c r="CW55" s="10">
        <f t="shared" si="78"/>
        <v>0</v>
      </c>
      <c r="CX55" s="10">
        <f t="shared" si="78"/>
        <v>0</v>
      </c>
      <c r="CY55" s="10">
        <f t="shared" si="78"/>
        <v>0</v>
      </c>
      <c r="CZ55" s="10">
        <f t="shared" si="78"/>
        <v>0</v>
      </c>
    </row>
    <row r="56" spans="4:104" x14ac:dyDescent="0.15">
      <c r="D56" s="10">
        <v>41</v>
      </c>
      <c r="E56" s="10" t="e">
        <f t="shared" si="21"/>
        <v>#VALUE!</v>
      </c>
      <c r="F56" s="10" t="e">
        <f t="shared" si="1"/>
        <v>#VALUE!</v>
      </c>
      <c r="G56" s="10" t="e">
        <f t="shared" si="2"/>
        <v>#VALUE!</v>
      </c>
      <c r="H56" s="10" t="e">
        <f t="shared" si="22"/>
        <v>#VALUE!</v>
      </c>
      <c r="I56" s="10" t="e">
        <f t="shared" si="3"/>
        <v>#VALUE!</v>
      </c>
      <c r="J56" s="10" t="e">
        <f t="shared" si="23"/>
        <v>#VALUE!</v>
      </c>
      <c r="K56" s="10" t="e">
        <f t="shared" si="4"/>
        <v>#VALUE!</v>
      </c>
      <c r="L56" s="10" t="e">
        <f t="shared" si="5"/>
        <v>#VALUE!</v>
      </c>
      <c r="M56" s="10" t="e">
        <f t="shared" si="24"/>
        <v>#VALUE!</v>
      </c>
      <c r="O56" s="10" t="e">
        <f t="shared" si="25"/>
        <v>#VALUE!</v>
      </c>
      <c r="P56" s="10" t="e">
        <f t="shared" si="6"/>
        <v>#VALUE!</v>
      </c>
      <c r="Q56" s="10" t="e">
        <f t="shared" si="7"/>
        <v>#VALUE!</v>
      </c>
      <c r="R56" s="10" t="e">
        <f t="shared" si="26"/>
        <v>#VALUE!</v>
      </c>
      <c r="S56" s="10" t="e">
        <f t="shared" si="27"/>
        <v>#VALUE!</v>
      </c>
      <c r="T56" s="10" t="e">
        <f t="shared" si="62"/>
        <v>#VALUE!</v>
      </c>
      <c r="U56" s="10" t="e">
        <f t="shared" si="63"/>
        <v>#VALUE!</v>
      </c>
      <c r="V56" s="10" t="e">
        <f t="shared" si="8"/>
        <v>#VALUE!</v>
      </c>
      <c r="W56" s="10" t="e">
        <f t="shared" si="28"/>
        <v>#VALUE!</v>
      </c>
      <c r="Y56" s="10" t="e">
        <f t="shared" si="29"/>
        <v>#VALUE!</v>
      </c>
      <c r="Z56" s="11" t="e">
        <f t="shared" si="30"/>
        <v>#VALUE!</v>
      </c>
      <c r="AA56" s="10" t="e">
        <f t="shared" si="9"/>
        <v>#VALUE!</v>
      </c>
      <c r="AB56" s="10" t="e">
        <f t="shared" si="31"/>
        <v>#VALUE!</v>
      </c>
      <c r="AC56" s="10" t="e">
        <f t="shared" si="32"/>
        <v>#VALUE!</v>
      </c>
      <c r="AD56" s="10" t="e">
        <f t="shared" si="64"/>
        <v>#VALUE!</v>
      </c>
      <c r="AE56" s="10" t="e">
        <f t="shared" si="65"/>
        <v>#VALUE!</v>
      </c>
      <c r="AF56" s="10" t="e">
        <f t="shared" si="10"/>
        <v>#VALUE!</v>
      </c>
      <c r="AG56" s="10" t="e">
        <f t="shared" si="33"/>
        <v>#VALUE!</v>
      </c>
      <c r="AI56" s="13"/>
      <c r="AK56" s="10" t="e">
        <f t="shared" si="34"/>
        <v>#VALUE!</v>
      </c>
      <c r="AL56" s="10" t="e">
        <f t="shared" si="66"/>
        <v>#VALUE!</v>
      </c>
      <c r="AM56" s="10" t="e">
        <f t="shared" si="11"/>
        <v>#VALUE!</v>
      </c>
      <c r="AN56" s="10" t="e">
        <f t="shared" si="35"/>
        <v>#VALUE!</v>
      </c>
      <c r="AO56" s="10" t="e">
        <f t="shared" si="36"/>
        <v>#VALUE!</v>
      </c>
      <c r="AP56" s="10" t="e">
        <f t="shared" si="37"/>
        <v>#VALUE!</v>
      </c>
      <c r="AQ56" s="10" t="e">
        <f t="shared" si="67"/>
        <v>#VALUE!</v>
      </c>
      <c r="AR56" s="10" t="e">
        <f t="shared" si="12"/>
        <v>#VALUE!</v>
      </c>
      <c r="AS56" s="10" t="e">
        <f t="shared" si="68"/>
        <v>#VALUE!</v>
      </c>
      <c r="AU56" s="10" t="e">
        <f t="shared" si="38"/>
        <v>#VALUE!</v>
      </c>
      <c r="AV56" s="10" t="e">
        <f t="shared" si="69"/>
        <v>#VALUE!</v>
      </c>
      <c r="AW56" s="10" t="e">
        <f t="shared" si="13"/>
        <v>#VALUE!</v>
      </c>
      <c r="AX56" s="10" t="e">
        <f t="shared" si="39"/>
        <v>#VALUE!</v>
      </c>
      <c r="AY56" s="10" t="e">
        <f t="shared" si="40"/>
        <v>#VALUE!</v>
      </c>
      <c r="AZ56" s="10" t="e">
        <f t="shared" si="41"/>
        <v>#VALUE!</v>
      </c>
      <c r="BA56" s="10" t="e">
        <f t="shared" si="70"/>
        <v>#VALUE!</v>
      </c>
      <c r="BB56" s="10" t="e">
        <f t="shared" si="14"/>
        <v>#VALUE!</v>
      </c>
      <c r="BC56" s="10" t="e">
        <f t="shared" si="71"/>
        <v>#VALUE!</v>
      </c>
      <c r="BE56" s="10" t="e">
        <f t="shared" si="42"/>
        <v>#VALUE!</v>
      </c>
      <c r="BF56" s="10" t="e">
        <f t="shared" si="72"/>
        <v>#VALUE!</v>
      </c>
      <c r="BG56" s="10" t="e">
        <f t="shared" si="15"/>
        <v>#VALUE!</v>
      </c>
      <c r="BH56" s="10" t="e">
        <f t="shared" si="43"/>
        <v>#VALUE!</v>
      </c>
      <c r="BI56" s="10" t="e">
        <f t="shared" si="44"/>
        <v>#VALUE!</v>
      </c>
      <c r="BJ56" s="10" t="e">
        <f t="shared" si="45"/>
        <v>#VALUE!</v>
      </c>
      <c r="BK56" s="10" t="e">
        <f t="shared" si="73"/>
        <v>#VALUE!</v>
      </c>
      <c r="BL56" s="10" t="e">
        <f t="shared" si="16"/>
        <v>#VALUE!</v>
      </c>
      <c r="BM56" s="10" t="e">
        <f t="shared" si="74"/>
        <v>#VALUE!</v>
      </c>
      <c r="BP56" s="10" t="e">
        <f t="shared" si="46"/>
        <v>#VALUE!</v>
      </c>
      <c r="BQ56" s="10" t="e">
        <f t="shared" si="47"/>
        <v>#VALUE!</v>
      </c>
      <c r="BR56" s="10" t="e">
        <f t="shared" si="48"/>
        <v>#VALUE!</v>
      </c>
      <c r="BS56" s="10" t="e">
        <f t="shared" si="49"/>
        <v>#VALUE!</v>
      </c>
      <c r="BT56" s="10" t="e">
        <f t="shared" si="50"/>
        <v>#VALUE!</v>
      </c>
      <c r="BU56" s="10" t="e">
        <f t="shared" si="51"/>
        <v>#VALUE!</v>
      </c>
      <c r="BW56" s="10" t="e">
        <f t="shared" si="52"/>
        <v>#VALUE!</v>
      </c>
      <c r="BX56" s="10" t="e">
        <f t="shared" si="53"/>
        <v>#VALUE!</v>
      </c>
      <c r="BY56" s="10" t="e">
        <f t="shared" si="54"/>
        <v>#VALUE!</v>
      </c>
      <c r="BZ56" s="10" t="e">
        <f t="shared" si="55"/>
        <v>#VALUE!</v>
      </c>
      <c r="CA56" s="10" t="e">
        <f t="shared" si="56"/>
        <v>#VALUE!</v>
      </c>
      <c r="CB56" s="10" t="e">
        <f t="shared" si="57"/>
        <v>#VALUE!</v>
      </c>
      <c r="CD56" s="10" t="e">
        <f>MATCH(INDEX($BP$12:$BU$12,1,MATCH(BP56,$BP$15:$BU$15,0)),结果汇总!$AI$10:$AI$13,0)</f>
        <v>#VALUE!</v>
      </c>
      <c r="CE56" s="10" t="e">
        <f>MATCH(INDEX($BP$12:$BU$12,1,MATCH(BQ56,$BP$15:$BU$15,0)),结果汇总!$AI$10:$AI$13,0)</f>
        <v>#VALUE!</v>
      </c>
      <c r="CF56" s="10" t="e">
        <f>MATCH(INDEX($BP$12:$BU$12,1,MATCH(BR56,$BP$15:$BU$15,0)),结果汇总!$AI$10:$AI$13,0)</f>
        <v>#VALUE!</v>
      </c>
      <c r="CG56" s="10" t="e">
        <f>MATCH(INDEX($BP$12:$BU$12,1,MATCH(BS56,$BP$15:$BU$15,0)),结果汇总!$AI$10:$AI$13,0)</f>
        <v>#VALUE!</v>
      </c>
      <c r="CH56" s="10" t="e">
        <f>MATCH(INDEX($BP$12:$BU$12,1,MATCH(BT56,$BP$15:$BU$15,0)),结果汇总!$AI$10:$AI$13,0)</f>
        <v>#VALUE!</v>
      </c>
      <c r="CI56" s="10" t="e">
        <f>MATCH(INDEX($BP$12:$BU$12,1,MATCH(BU56,$BP$15:$BU$15,0)),结果汇总!$AI$10:$AI$13,0)</f>
        <v>#VALUE!</v>
      </c>
      <c r="CK56" s="10">
        <f t="shared" si="75"/>
        <v>0</v>
      </c>
      <c r="CL56" s="10">
        <f t="shared" si="75"/>
        <v>0</v>
      </c>
      <c r="CM56" s="10">
        <f t="shared" si="75"/>
        <v>0</v>
      </c>
      <c r="CN56" s="10">
        <f t="shared" si="75"/>
        <v>0</v>
      </c>
      <c r="CO56" s="10">
        <f t="shared" si="76"/>
        <v>0</v>
      </c>
      <c r="CP56" s="10">
        <f t="shared" si="76"/>
        <v>0</v>
      </c>
      <c r="CQ56" s="10">
        <f t="shared" si="76"/>
        <v>0</v>
      </c>
      <c r="CR56" s="10">
        <f t="shared" si="76"/>
        <v>0</v>
      </c>
      <c r="CS56" s="10" t="e">
        <f t="shared" si="77"/>
        <v>#DIV/0!</v>
      </c>
      <c r="CT56" s="10" t="e">
        <f t="shared" si="77"/>
        <v>#DIV/0!</v>
      </c>
      <c r="CU56" s="10" t="e">
        <f t="shared" si="77"/>
        <v>#DIV/0!</v>
      </c>
      <c r="CV56" s="10" t="e">
        <f t="shared" si="77"/>
        <v>#DIV/0!</v>
      </c>
      <c r="CW56" s="10">
        <f t="shared" si="78"/>
        <v>0</v>
      </c>
      <c r="CX56" s="10">
        <f t="shared" si="78"/>
        <v>0</v>
      </c>
      <c r="CY56" s="10">
        <f t="shared" si="78"/>
        <v>0</v>
      </c>
      <c r="CZ56" s="10">
        <f t="shared" si="78"/>
        <v>0</v>
      </c>
    </row>
    <row r="57" spans="4:104" x14ac:dyDescent="0.15">
      <c r="D57" s="10">
        <v>42</v>
      </c>
      <c r="E57" s="10" t="e">
        <f t="shared" si="21"/>
        <v>#VALUE!</v>
      </c>
      <c r="F57" s="10" t="e">
        <f t="shared" si="1"/>
        <v>#VALUE!</v>
      </c>
      <c r="G57" s="10" t="e">
        <f t="shared" si="2"/>
        <v>#VALUE!</v>
      </c>
      <c r="H57" s="10" t="e">
        <f t="shared" si="22"/>
        <v>#VALUE!</v>
      </c>
      <c r="I57" s="10" t="e">
        <f t="shared" si="3"/>
        <v>#VALUE!</v>
      </c>
      <c r="J57" s="10" t="e">
        <f t="shared" si="23"/>
        <v>#VALUE!</v>
      </c>
      <c r="K57" s="10" t="e">
        <f t="shared" si="4"/>
        <v>#VALUE!</v>
      </c>
      <c r="L57" s="10" t="e">
        <f t="shared" si="5"/>
        <v>#VALUE!</v>
      </c>
      <c r="M57" s="10" t="e">
        <f t="shared" si="24"/>
        <v>#VALUE!</v>
      </c>
      <c r="O57" s="10" t="e">
        <f t="shared" si="25"/>
        <v>#VALUE!</v>
      </c>
      <c r="P57" s="10" t="e">
        <f t="shared" si="6"/>
        <v>#VALUE!</v>
      </c>
      <c r="Q57" s="10" t="e">
        <f t="shared" si="7"/>
        <v>#VALUE!</v>
      </c>
      <c r="R57" s="10" t="e">
        <f t="shared" si="26"/>
        <v>#VALUE!</v>
      </c>
      <c r="S57" s="10" t="e">
        <f t="shared" si="27"/>
        <v>#VALUE!</v>
      </c>
      <c r="T57" s="10" t="e">
        <f t="shared" si="62"/>
        <v>#VALUE!</v>
      </c>
      <c r="U57" s="10" t="e">
        <f t="shared" si="63"/>
        <v>#VALUE!</v>
      </c>
      <c r="V57" s="10" t="e">
        <f t="shared" si="8"/>
        <v>#VALUE!</v>
      </c>
      <c r="W57" s="10" t="e">
        <f t="shared" si="28"/>
        <v>#VALUE!</v>
      </c>
      <c r="Y57" s="10" t="e">
        <f t="shared" si="29"/>
        <v>#VALUE!</v>
      </c>
      <c r="Z57" s="11" t="e">
        <f t="shared" si="30"/>
        <v>#VALUE!</v>
      </c>
      <c r="AA57" s="10" t="e">
        <f t="shared" si="9"/>
        <v>#VALUE!</v>
      </c>
      <c r="AB57" s="10" t="e">
        <f t="shared" si="31"/>
        <v>#VALUE!</v>
      </c>
      <c r="AC57" s="10" t="e">
        <f t="shared" si="32"/>
        <v>#VALUE!</v>
      </c>
      <c r="AD57" s="10" t="e">
        <f t="shared" si="64"/>
        <v>#VALUE!</v>
      </c>
      <c r="AE57" s="10" t="e">
        <f t="shared" si="65"/>
        <v>#VALUE!</v>
      </c>
      <c r="AF57" s="10" t="e">
        <f t="shared" si="10"/>
        <v>#VALUE!</v>
      </c>
      <c r="AG57" s="10" t="e">
        <f t="shared" si="33"/>
        <v>#VALUE!</v>
      </c>
      <c r="AI57" s="13"/>
      <c r="AK57" s="10" t="e">
        <f t="shared" si="34"/>
        <v>#VALUE!</v>
      </c>
      <c r="AL57" s="10" t="e">
        <f t="shared" si="66"/>
        <v>#VALUE!</v>
      </c>
      <c r="AM57" s="10" t="e">
        <f t="shared" si="11"/>
        <v>#VALUE!</v>
      </c>
      <c r="AN57" s="10" t="e">
        <f t="shared" si="35"/>
        <v>#VALUE!</v>
      </c>
      <c r="AO57" s="10" t="e">
        <f t="shared" si="36"/>
        <v>#VALUE!</v>
      </c>
      <c r="AP57" s="10" t="e">
        <f t="shared" si="37"/>
        <v>#VALUE!</v>
      </c>
      <c r="AQ57" s="10" t="e">
        <f t="shared" si="67"/>
        <v>#VALUE!</v>
      </c>
      <c r="AR57" s="10" t="e">
        <f t="shared" si="12"/>
        <v>#VALUE!</v>
      </c>
      <c r="AS57" s="10" t="e">
        <f t="shared" si="68"/>
        <v>#VALUE!</v>
      </c>
      <c r="AU57" s="10" t="e">
        <f t="shared" si="38"/>
        <v>#VALUE!</v>
      </c>
      <c r="AV57" s="10" t="e">
        <f t="shared" si="69"/>
        <v>#VALUE!</v>
      </c>
      <c r="AW57" s="10" t="e">
        <f t="shared" si="13"/>
        <v>#VALUE!</v>
      </c>
      <c r="AX57" s="10" t="e">
        <f t="shared" si="39"/>
        <v>#VALUE!</v>
      </c>
      <c r="AY57" s="10" t="e">
        <f t="shared" si="40"/>
        <v>#VALUE!</v>
      </c>
      <c r="AZ57" s="10" t="e">
        <f t="shared" si="41"/>
        <v>#VALUE!</v>
      </c>
      <c r="BA57" s="10" t="e">
        <f t="shared" si="70"/>
        <v>#VALUE!</v>
      </c>
      <c r="BB57" s="10" t="e">
        <f t="shared" si="14"/>
        <v>#VALUE!</v>
      </c>
      <c r="BC57" s="10" t="e">
        <f t="shared" si="71"/>
        <v>#VALUE!</v>
      </c>
      <c r="BE57" s="10" t="e">
        <f t="shared" si="42"/>
        <v>#VALUE!</v>
      </c>
      <c r="BF57" s="10" t="e">
        <f t="shared" si="72"/>
        <v>#VALUE!</v>
      </c>
      <c r="BG57" s="10" t="e">
        <f t="shared" si="15"/>
        <v>#VALUE!</v>
      </c>
      <c r="BH57" s="10" t="e">
        <f t="shared" si="43"/>
        <v>#VALUE!</v>
      </c>
      <c r="BI57" s="10" t="e">
        <f t="shared" si="44"/>
        <v>#VALUE!</v>
      </c>
      <c r="BJ57" s="10" t="e">
        <f t="shared" si="45"/>
        <v>#VALUE!</v>
      </c>
      <c r="BK57" s="10" t="e">
        <f t="shared" si="73"/>
        <v>#VALUE!</v>
      </c>
      <c r="BL57" s="10" t="e">
        <f t="shared" si="16"/>
        <v>#VALUE!</v>
      </c>
      <c r="BM57" s="10" t="e">
        <f t="shared" si="74"/>
        <v>#VALUE!</v>
      </c>
      <c r="BP57" s="10" t="e">
        <f t="shared" si="46"/>
        <v>#VALUE!</v>
      </c>
      <c r="BQ57" s="10" t="e">
        <f t="shared" si="47"/>
        <v>#VALUE!</v>
      </c>
      <c r="BR57" s="10" t="e">
        <f t="shared" si="48"/>
        <v>#VALUE!</v>
      </c>
      <c r="BS57" s="10" t="e">
        <f t="shared" si="49"/>
        <v>#VALUE!</v>
      </c>
      <c r="BT57" s="10" t="e">
        <f t="shared" si="50"/>
        <v>#VALUE!</v>
      </c>
      <c r="BU57" s="10" t="e">
        <f t="shared" si="51"/>
        <v>#VALUE!</v>
      </c>
      <c r="BW57" s="10" t="e">
        <f t="shared" si="52"/>
        <v>#VALUE!</v>
      </c>
      <c r="BX57" s="10" t="e">
        <f t="shared" si="53"/>
        <v>#VALUE!</v>
      </c>
      <c r="BY57" s="10" t="e">
        <f t="shared" si="54"/>
        <v>#VALUE!</v>
      </c>
      <c r="BZ57" s="10" t="e">
        <f t="shared" si="55"/>
        <v>#VALUE!</v>
      </c>
      <c r="CA57" s="10" t="e">
        <f t="shared" si="56"/>
        <v>#VALUE!</v>
      </c>
      <c r="CB57" s="10" t="e">
        <f t="shared" si="57"/>
        <v>#VALUE!</v>
      </c>
      <c r="CD57" s="10" t="e">
        <f>MATCH(INDEX($BP$12:$BU$12,1,MATCH(BP57,$BP$15:$BU$15,0)),结果汇总!$AI$10:$AI$13,0)</f>
        <v>#VALUE!</v>
      </c>
      <c r="CE57" s="10" t="e">
        <f>MATCH(INDEX($BP$12:$BU$12,1,MATCH(BQ57,$BP$15:$BU$15,0)),结果汇总!$AI$10:$AI$13,0)</f>
        <v>#VALUE!</v>
      </c>
      <c r="CF57" s="10" t="e">
        <f>MATCH(INDEX($BP$12:$BU$12,1,MATCH(BR57,$BP$15:$BU$15,0)),结果汇总!$AI$10:$AI$13,0)</f>
        <v>#VALUE!</v>
      </c>
      <c r="CG57" s="10" t="e">
        <f>MATCH(INDEX($BP$12:$BU$12,1,MATCH(BS57,$BP$15:$BU$15,0)),结果汇总!$AI$10:$AI$13,0)</f>
        <v>#VALUE!</v>
      </c>
      <c r="CH57" s="10" t="e">
        <f>MATCH(INDEX($BP$12:$BU$12,1,MATCH(BT57,$BP$15:$BU$15,0)),结果汇总!$AI$10:$AI$13,0)</f>
        <v>#VALUE!</v>
      </c>
      <c r="CI57" s="10" t="e">
        <f>MATCH(INDEX($BP$12:$BU$12,1,MATCH(BU57,$BP$15:$BU$15,0)),结果汇总!$AI$10:$AI$13,0)</f>
        <v>#VALUE!</v>
      </c>
      <c r="CK57" s="10">
        <f t="shared" si="75"/>
        <v>0</v>
      </c>
      <c r="CL57" s="10">
        <f t="shared" si="75"/>
        <v>0</v>
      </c>
      <c r="CM57" s="10">
        <f t="shared" si="75"/>
        <v>0</v>
      </c>
      <c r="CN57" s="10">
        <f t="shared" si="75"/>
        <v>0</v>
      </c>
      <c r="CO57" s="10">
        <f t="shared" si="76"/>
        <v>0</v>
      </c>
      <c r="CP57" s="10">
        <f t="shared" si="76"/>
        <v>0</v>
      </c>
      <c r="CQ57" s="10">
        <f t="shared" si="76"/>
        <v>0</v>
      </c>
      <c r="CR57" s="10">
        <f t="shared" si="76"/>
        <v>0</v>
      </c>
      <c r="CS57" s="10" t="e">
        <f t="shared" si="77"/>
        <v>#DIV/0!</v>
      </c>
      <c r="CT57" s="10" t="e">
        <f t="shared" si="77"/>
        <v>#DIV/0!</v>
      </c>
      <c r="CU57" s="10" t="e">
        <f t="shared" si="77"/>
        <v>#DIV/0!</v>
      </c>
      <c r="CV57" s="10" t="e">
        <f t="shared" si="77"/>
        <v>#DIV/0!</v>
      </c>
      <c r="CW57" s="10">
        <f t="shared" si="78"/>
        <v>0</v>
      </c>
      <c r="CX57" s="10">
        <f t="shared" si="78"/>
        <v>0</v>
      </c>
      <c r="CY57" s="10">
        <f t="shared" si="78"/>
        <v>0</v>
      </c>
      <c r="CZ57" s="10">
        <f t="shared" si="78"/>
        <v>0</v>
      </c>
    </row>
    <row r="58" spans="4:104" x14ac:dyDescent="0.15">
      <c r="D58" s="10">
        <v>43</v>
      </c>
      <c r="E58" s="10" t="e">
        <f t="shared" si="21"/>
        <v>#VALUE!</v>
      </c>
      <c r="F58" s="10" t="e">
        <f t="shared" si="1"/>
        <v>#VALUE!</v>
      </c>
      <c r="G58" s="10" t="e">
        <f t="shared" si="2"/>
        <v>#VALUE!</v>
      </c>
      <c r="H58" s="10" t="e">
        <f t="shared" si="22"/>
        <v>#VALUE!</v>
      </c>
      <c r="I58" s="10" t="e">
        <f t="shared" si="3"/>
        <v>#VALUE!</v>
      </c>
      <c r="J58" s="10" t="e">
        <f t="shared" si="23"/>
        <v>#VALUE!</v>
      </c>
      <c r="K58" s="10" t="e">
        <f t="shared" si="4"/>
        <v>#VALUE!</v>
      </c>
      <c r="L58" s="10" t="e">
        <f t="shared" si="5"/>
        <v>#VALUE!</v>
      </c>
      <c r="M58" s="10" t="e">
        <f t="shared" si="24"/>
        <v>#VALUE!</v>
      </c>
      <c r="O58" s="10" t="e">
        <f t="shared" si="25"/>
        <v>#VALUE!</v>
      </c>
      <c r="P58" s="10" t="e">
        <f t="shared" si="6"/>
        <v>#VALUE!</v>
      </c>
      <c r="Q58" s="10" t="e">
        <f t="shared" si="7"/>
        <v>#VALUE!</v>
      </c>
      <c r="R58" s="10" t="e">
        <f t="shared" si="26"/>
        <v>#VALUE!</v>
      </c>
      <c r="S58" s="10" t="e">
        <f t="shared" si="27"/>
        <v>#VALUE!</v>
      </c>
      <c r="T58" s="10" t="e">
        <f t="shared" si="62"/>
        <v>#VALUE!</v>
      </c>
      <c r="U58" s="10" t="e">
        <f t="shared" si="63"/>
        <v>#VALUE!</v>
      </c>
      <c r="V58" s="10" t="e">
        <f t="shared" si="8"/>
        <v>#VALUE!</v>
      </c>
      <c r="W58" s="10" t="e">
        <f t="shared" si="28"/>
        <v>#VALUE!</v>
      </c>
      <c r="Y58" s="10" t="e">
        <f t="shared" si="29"/>
        <v>#VALUE!</v>
      </c>
      <c r="Z58" s="11" t="e">
        <f t="shared" si="30"/>
        <v>#VALUE!</v>
      </c>
      <c r="AA58" s="10" t="e">
        <f t="shared" si="9"/>
        <v>#VALUE!</v>
      </c>
      <c r="AB58" s="10" t="e">
        <f t="shared" si="31"/>
        <v>#VALUE!</v>
      </c>
      <c r="AC58" s="10" t="e">
        <f t="shared" si="32"/>
        <v>#VALUE!</v>
      </c>
      <c r="AD58" s="10" t="e">
        <f t="shared" si="64"/>
        <v>#VALUE!</v>
      </c>
      <c r="AE58" s="10" t="e">
        <f t="shared" si="65"/>
        <v>#VALUE!</v>
      </c>
      <c r="AF58" s="10" t="e">
        <f t="shared" si="10"/>
        <v>#VALUE!</v>
      </c>
      <c r="AG58" s="10" t="e">
        <f t="shared" si="33"/>
        <v>#VALUE!</v>
      </c>
      <c r="AI58" s="13"/>
      <c r="AK58" s="10" t="e">
        <f t="shared" si="34"/>
        <v>#VALUE!</v>
      </c>
      <c r="AL58" s="10" t="e">
        <f t="shared" si="66"/>
        <v>#VALUE!</v>
      </c>
      <c r="AM58" s="10" t="e">
        <f t="shared" si="11"/>
        <v>#VALUE!</v>
      </c>
      <c r="AN58" s="10" t="e">
        <f t="shared" si="35"/>
        <v>#VALUE!</v>
      </c>
      <c r="AO58" s="10" t="e">
        <f t="shared" si="36"/>
        <v>#VALUE!</v>
      </c>
      <c r="AP58" s="10" t="e">
        <f t="shared" si="37"/>
        <v>#VALUE!</v>
      </c>
      <c r="AQ58" s="10" t="e">
        <f t="shared" si="67"/>
        <v>#VALUE!</v>
      </c>
      <c r="AR58" s="10" t="e">
        <f t="shared" si="12"/>
        <v>#VALUE!</v>
      </c>
      <c r="AS58" s="10" t="e">
        <f t="shared" si="68"/>
        <v>#VALUE!</v>
      </c>
      <c r="AU58" s="10" t="e">
        <f t="shared" si="38"/>
        <v>#VALUE!</v>
      </c>
      <c r="AV58" s="10" t="e">
        <f t="shared" si="69"/>
        <v>#VALUE!</v>
      </c>
      <c r="AW58" s="10" t="e">
        <f t="shared" si="13"/>
        <v>#VALUE!</v>
      </c>
      <c r="AX58" s="10" t="e">
        <f t="shared" si="39"/>
        <v>#VALUE!</v>
      </c>
      <c r="AY58" s="10" t="e">
        <f t="shared" si="40"/>
        <v>#VALUE!</v>
      </c>
      <c r="AZ58" s="10" t="e">
        <f t="shared" si="41"/>
        <v>#VALUE!</v>
      </c>
      <c r="BA58" s="10" t="e">
        <f t="shared" si="70"/>
        <v>#VALUE!</v>
      </c>
      <c r="BB58" s="10" t="e">
        <f t="shared" si="14"/>
        <v>#VALUE!</v>
      </c>
      <c r="BC58" s="10" t="e">
        <f t="shared" si="71"/>
        <v>#VALUE!</v>
      </c>
      <c r="BE58" s="10" t="e">
        <f t="shared" si="42"/>
        <v>#VALUE!</v>
      </c>
      <c r="BF58" s="10" t="e">
        <f t="shared" si="72"/>
        <v>#VALUE!</v>
      </c>
      <c r="BG58" s="10" t="e">
        <f t="shared" si="15"/>
        <v>#VALUE!</v>
      </c>
      <c r="BH58" s="10" t="e">
        <f t="shared" si="43"/>
        <v>#VALUE!</v>
      </c>
      <c r="BI58" s="10" t="e">
        <f t="shared" si="44"/>
        <v>#VALUE!</v>
      </c>
      <c r="BJ58" s="10" t="e">
        <f t="shared" si="45"/>
        <v>#VALUE!</v>
      </c>
      <c r="BK58" s="10" t="e">
        <f t="shared" si="73"/>
        <v>#VALUE!</v>
      </c>
      <c r="BL58" s="10" t="e">
        <f t="shared" si="16"/>
        <v>#VALUE!</v>
      </c>
      <c r="BM58" s="10" t="e">
        <f t="shared" si="74"/>
        <v>#VALUE!</v>
      </c>
      <c r="BP58" s="10" t="e">
        <f t="shared" si="46"/>
        <v>#VALUE!</v>
      </c>
      <c r="BQ58" s="10" t="e">
        <f t="shared" si="47"/>
        <v>#VALUE!</v>
      </c>
      <c r="BR58" s="10" t="e">
        <f t="shared" si="48"/>
        <v>#VALUE!</v>
      </c>
      <c r="BS58" s="10" t="e">
        <f t="shared" si="49"/>
        <v>#VALUE!</v>
      </c>
      <c r="BT58" s="10" t="e">
        <f t="shared" si="50"/>
        <v>#VALUE!</v>
      </c>
      <c r="BU58" s="10" t="e">
        <f t="shared" si="51"/>
        <v>#VALUE!</v>
      </c>
      <c r="BW58" s="10" t="e">
        <f t="shared" si="52"/>
        <v>#VALUE!</v>
      </c>
      <c r="BX58" s="10" t="e">
        <f t="shared" si="53"/>
        <v>#VALUE!</v>
      </c>
      <c r="BY58" s="10" t="e">
        <f t="shared" si="54"/>
        <v>#VALUE!</v>
      </c>
      <c r="BZ58" s="10" t="e">
        <f t="shared" si="55"/>
        <v>#VALUE!</v>
      </c>
      <c r="CA58" s="10" t="e">
        <f t="shared" si="56"/>
        <v>#VALUE!</v>
      </c>
      <c r="CB58" s="10" t="e">
        <f t="shared" si="57"/>
        <v>#VALUE!</v>
      </c>
      <c r="CD58" s="10" t="e">
        <f>MATCH(INDEX($BP$12:$BU$12,1,MATCH(BP58,$BP$15:$BU$15,0)),结果汇总!$AI$10:$AI$13,0)</f>
        <v>#VALUE!</v>
      </c>
      <c r="CE58" s="10" t="e">
        <f>MATCH(INDEX($BP$12:$BU$12,1,MATCH(BQ58,$BP$15:$BU$15,0)),结果汇总!$AI$10:$AI$13,0)</f>
        <v>#VALUE!</v>
      </c>
      <c r="CF58" s="10" t="e">
        <f>MATCH(INDEX($BP$12:$BU$12,1,MATCH(BR58,$BP$15:$BU$15,0)),结果汇总!$AI$10:$AI$13,0)</f>
        <v>#VALUE!</v>
      </c>
      <c r="CG58" s="10" t="e">
        <f>MATCH(INDEX($BP$12:$BU$12,1,MATCH(BS58,$BP$15:$BU$15,0)),结果汇总!$AI$10:$AI$13,0)</f>
        <v>#VALUE!</v>
      </c>
      <c r="CH58" s="10" t="e">
        <f>MATCH(INDEX($BP$12:$BU$12,1,MATCH(BT58,$BP$15:$BU$15,0)),结果汇总!$AI$10:$AI$13,0)</f>
        <v>#VALUE!</v>
      </c>
      <c r="CI58" s="10" t="e">
        <f>MATCH(INDEX($BP$12:$BU$12,1,MATCH(BU58,$BP$15:$BU$15,0)),结果汇总!$AI$10:$AI$13,0)</f>
        <v>#VALUE!</v>
      </c>
      <c r="CK58" s="10">
        <f t="shared" si="75"/>
        <v>0</v>
      </c>
      <c r="CL58" s="10">
        <f t="shared" si="75"/>
        <v>0</v>
      </c>
      <c r="CM58" s="10">
        <f t="shared" si="75"/>
        <v>0</v>
      </c>
      <c r="CN58" s="10">
        <f t="shared" si="75"/>
        <v>0</v>
      </c>
      <c r="CO58" s="10">
        <f t="shared" si="76"/>
        <v>0</v>
      </c>
      <c r="CP58" s="10">
        <f t="shared" si="76"/>
        <v>0</v>
      </c>
      <c r="CQ58" s="10">
        <f t="shared" si="76"/>
        <v>0</v>
      </c>
      <c r="CR58" s="10">
        <f t="shared" si="76"/>
        <v>0</v>
      </c>
      <c r="CS58" s="10" t="e">
        <f t="shared" si="77"/>
        <v>#DIV/0!</v>
      </c>
      <c r="CT58" s="10" t="e">
        <f t="shared" si="77"/>
        <v>#DIV/0!</v>
      </c>
      <c r="CU58" s="10" t="e">
        <f t="shared" si="77"/>
        <v>#DIV/0!</v>
      </c>
      <c r="CV58" s="10" t="e">
        <f t="shared" si="77"/>
        <v>#DIV/0!</v>
      </c>
      <c r="CW58" s="10">
        <f t="shared" si="78"/>
        <v>0</v>
      </c>
      <c r="CX58" s="10">
        <f t="shared" si="78"/>
        <v>0</v>
      </c>
      <c r="CY58" s="10">
        <f t="shared" si="78"/>
        <v>0</v>
      </c>
      <c r="CZ58" s="10">
        <f t="shared" si="78"/>
        <v>0</v>
      </c>
    </row>
    <row r="59" spans="4:104" x14ac:dyDescent="0.15">
      <c r="D59" s="10">
        <v>44</v>
      </c>
      <c r="E59" s="10" t="e">
        <f t="shared" si="21"/>
        <v>#VALUE!</v>
      </c>
      <c r="F59" s="10" t="e">
        <f t="shared" si="1"/>
        <v>#VALUE!</v>
      </c>
      <c r="G59" s="10" t="e">
        <f t="shared" si="2"/>
        <v>#VALUE!</v>
      </c>
      <c r="H59" s="10" t="e">
        <f t="shared" si="22"/>
        <v>#VALUE!</v>
      </c>
      <c r="I59" s="10" t="e">
        <f t="shared" si="3"/>
        <v>#VALUE!</v>
      </c>
      <c r="J59" s="10" t="e">
        <f t="shared" si="23"/>
        <v>#VALUE!</v>
      </c>
      <c r="K59" s="10" t="e">
        <f t="shared" si="4"/>
        <v>#VALUE!</v>
      </c>
      <c r="L59" s="10" t="e">
        <f t="shared" si="5"/>
        <v>#VALUE!</v>
      </c>
      <c r="M59" s="10" t="e">
        <f t="shared" si="24"/>
        <v>#VALUE!</v>
      </c>
      <c r="O59" s="10" t="e">
        <f t="shared" si="25"/>
        <v>#VALUE!</v>
      </c>
      <c r="P59" s="10" t="e">
        <f t="shared" si="6"/>
        <v>#VALUE!</v>
      </c>
      <c r="Q59" s="10" t="e">
        <f t="shared" si="7"/>
        <v>#VALUE!</v>
      </c>
      <c r="R59" s="10" t="e">
        <f t="shared" si="26"/>
        <v>#VALUE!</v>
      </c>
      <c r="S59" s="10" t="e">
        <f t="shared" si="27"/>
        <v>#VALUE!</v>
      </c>
      <c r="T59" s="10" t="e">
        <f t="shared" si="62"/>
        <v>#VALUE!</v>
      </c>
      <c r="U59" s="10" t="e">
        <f t="shared" si="63"/>
        <v>#VALUE!</v>
      </c>
      <c r="V59" s="10" t="e">
        <f t="shared" si="8"/>
        <v>#VALUE!</v>
      </c>
      <c r="W59" s="10" t="e">
        <f t="shared" si="28"/>
        <v>#VALUE!</v>
      </c>
      <c r="Y59" s="10" t="e">
        <f t="shared" si="29"/>
        <v>#VALUE!</v>
      </c>
      <c r="Z59" s="11" t="e">
        <f t="shared" si="30"/>
        <v>#VALUE!</v>
      </c>
      <c r="AA59" s="10" t="e">
        <f t="shared" si="9"/>
        <v>#VALUE!</v>
      </c>
      <c r="AB59" s="10" t="e">
        <f t="shared" si="31"/>
        <v>#VALUE!</v>
      </c>
      <c r="AC59" s="10" t="e">
        <f t="shared" si="32"/>
        <v>#VALUE!</v>
      </c>
      <c r="AD59" s="10" t="e">
        <f t="shared" si="64"/>
        <v>#VALUE!</v>
      </c>
      <c r="AE59" s="10" t="e">
        <f t="shared" si="65"/>
        <v>#VALUE!</v>
      </c>
      <c r="AF59" s="10" t="e">
        <f t="shared" si="10"/>
        <v>#VALUE!</v>
      </c>
      <c r="AG59" s="10" t="e">
        <f t="shared" si="33"/>
        <v>#VALUE!</v>
      </c>
      <c r="AI59" s="13"/>
      <c r="AK59" s="10" t="e">
        <f t="shared" si="34"/>
        <v>#VALUE!</v>
      </c>
      <c r="AL59" s="10" t="e">
        <f t="shared" si="66"/>
        <v>#VALUE!</v>
      </c>
      <c r="AM59" s="10" t="e">
        <f t="shared" si="11"/>
        <v>#VALUE!</v>
      </c>
      <c r="AN59" s="10" t="e">
        <f t="shared" si="35"/>
        <v>#VALUE!</v>
      </c>
      <c r="AO59" s="10" t="e">
        <f t="shared" si="36"/>
        <v>#VALUE!</v>
      </c>
      <c r="AP59" s="10" t="e">
        <f t="shared" si="37"/>
        <v>#VALUE!</v>
      </c>
      <c r="AQ59" s="10" t="e">
        <f t="shared" si="67"/>
        <v>#VALUE!</v>
      </c>
      <c r="AR59" s="10" t="e">
        <f t="shared" si="12"/>
        <v>#VALUE!</v>
      </c>
      <c r="AS59" s="10" t="e">
        <f t="shared" si="68"/>
        <v>#VALUE!</v>
      </c>
      <c r="AU59" s="10" t="e">
        <f t="shared" si="38"/>
        <v>#VALUE!</v>
      </c>
      <c r="AV59" s="10" t="e">
        <f t="shared" si="69"/>
        <v>#VALUE!</v>
      </c>
      <c r="AW59" s="10" t="e">
        <f t="shared" si="13"/>
        <v>#VALUE!</v>
      </c>
      <c r="AX59" s="10" t="e">
        <f t="shared" si="39"/>
        <v>#VALUE!</v>
      </c>
      <c r="AY59" s="10" t="e">
        <f t="shared" si="40"/>
        <v>#VALUE!</v>
      </c>
      <c r="AZ59" s="10" t="e">
        <f t="shared" si="41"/>
        <v>#VALUE!</v>
      </c>
      <c r="BA59" s="10" t="e">
        <f t="shared" si="70"/>
        <v>#VALUE!</v>
      </c>
      <c r="BB59" s="10" t="e">
        <f t="shared" si="14"/>
        <v>#VALUE!</v>
      </c>
      <c r="BC59" s="10" t="e">
        <f t="shared" si="71"/>
        <v>#VALUE!</v>
      </c>
      <c r="BE59" s="10" t="e">
        <f t="shared" si="42"/>
        <v>#VALUE!</v>
      </c>
      <c r="BF59" s="10" t="e">
        <f t="shared" si="72"/>
        <v>#VALUE!</v>
      </c>
      <c r="BG59" s="10" t="e">
        <f t="shared" si="15"/>
        <v>#VALUE!</v>
      </c>
      <c r="BH59" s="10" t="e">
        <f t="shared" si="43"/>
        <v>#VALUE!</v>
      </c>
      <c r="BI59" s="10" t="e">
        <f t="shared" si="44"/>
        <v>#VALUE!</v>
      </c>
      <c r="BJ59" s="10" t="e">
        <f t="shared" si="45"/>
        <v>#VALUE!</v>
      </c>
      <c r="BK59" s="10" t="e">
        <f t="shared" si="73"/>
        <v>#VALUE!</v>
      </c>
      <c r="BL59" s="10" t="e">
        <f t="shared" si="16"/>
        <v>#VALUE!</v>
      </c>
      <c r="BM59" s="10" t="e">
        <f t="shared" si="74"/>
        <v>#VALUE!</v>
      </c>
      <c r="BP59" s="10" t="e">
        <f t="shared" si="46"/>
        <v>#VALUE!</v>
      </c>
      <c r="BQ59" s="10" t="e">
        <f t="shared" si="47"/>
        <v>#VALUE!</v>
      </c>
      <c r="BR59" s="10" t="e">
        <f t="shared" si="48"/>
        <v>#VALUE!</v>
      </c>
      <c r="BS59" s="10" t="e">
        <f t="shared" si="49"/>
        <v>#VALUE!</v>
      </c>
      <c r="BT59" s="10" t="e">
        <f t="shared" si="50"/>
        <v>#VALUE!</v>
      </c>
      <c r="BU59" s="10" t="e">
        <f t="shared" si="51"/>
        <v>#VALUE!</v>
      </c>
      <c r="BW59" s="10" t="e">
        <f t="shared" si="52"/>
        <v>#VALUE!</v>
      </c>
      <c r="BX59" s="10" t="e">
        <f t="shared" si="53"/>
        <v>#VALUE!</v>
      </c>
      <c r="BY59" s="10" t="e">
        <f t="shared" si="54"/>
        <v>#VALUE!</v>
      </c>
      <c r="BZ59" s="10" t="e">
        <f t="shared" si="55"/>
        <v>#VALUE!</v>
      </c>
      <c r="CA59" s="10" t="e">
        <f t="shared" si="56"/>
        <v>#VALUE!</v>
      </c>
      <c r="CB59" s="10" t="e">
        <f t="shared" si="57"/>
        <v>#VALUE!</v>
      </c>
      <c r="CD59" s="10" t="e">
        <f>MATCH(INDEX($BP$12:$BU$12,1,MATCH(BP59,$BP$15:$BU$15,0)),结果汇总!$AI$10:$AI$13,0)</f>
        <v>#VALUE!</v>
      </c>
      <c r="CE59" s="10" t="e">
        <f>MATCH(INDEX($BP$12:$BU$12,1,MATCH(BQ59,$BP$15:$BU$15,0)),结果汇总!$AI$10:$AI$13,0)</f>
        <v>#VALUE!</v>
      </c>
      <c r="CF59" s="10" t="e">
        <f>MATCH(INDEX($BP$12:$BU$12,1,MATCH(BR59,$BP$15:$BU$15,0)),结果汇总!$AI$10:$AI$13,0)</f>
        <v>#VALUE!</v>
      </c>
      <c r="CG59" s="10" t="e">
        <f>MATCH(INDEX($BP$12:$BU$12,1,MATCH(BS59,$BP$15:$BU$15,0)),结果汇总!$AI$10:$AI$13,0)</f>
        <v>#VALUE!</v>
      </c>
      <c r="CH59" s="10" t="e">
        <f>MATCH(INDEX($BP$12:$BU$12,1,MATCH(BT59,$BP$15:$BU$15,0)),结果汇总!$AI$10:$AI$13,0)</f>
        <v>#VALUE!</v>
      </c>
      <c r="CI59" s="10" t="e">
        <f>MATCH(INDEX($BP$12:$BU$12,1,MATCH(BU59,$BP$15:$BU$15,0)),结果汇总!$AI$10:$AI$13,0)</f>
        <v>#VALUE!</v>
      </c>
      <c r="CK59" s="10">
        <f t="shared" si="75"/>
        <v>0</v>
      </c>
      <c r="CL59" s="10">
        <f t="shared" si="75"/>
        <v>0</v>
      </c>
      <c r="CM59" s="10">
        <f t="shared" si="75"/>
        <v>0</v>
      </c>
      <c r="CN59" s="10">
        <f t="shared" si="75"/>
        <v>0</v>
      </c>
      <c r="CO59" s="10">
        <f t="shared" si="76"/>
        <v>0</v>
      </c>
      <c r="CP59" s="10">
        <f t="shared" si="76"/>
        <v>0</v>
      </c>
      <c r="CQ59" s="10">
        <f t="shared" si="76"/>
        <v>0</v>
      </c>
      <c r="CR59" s="10">
        <f t="shared" si="76"/>
        <v>0</v>
      </c>
      <c r="CS59" s="10" t="e">
        <f t="shared" si="77"/>
        <v>#DIV/0!</v>
      </c>
      <c r="CT59" s="10" t="e">
        <f t="shared" si="77"/>
        <v>#DIV/0!</v>
      </c>
      <c r="CU59" s="10" t="e">
        <f t="shared" si="77"/>
        <v>#DIV/0!</v>
      </c>
      <c r="CV59" s="10" t="e">
        <f t="shared" si="77"/>
        <v>#DIV/0!</v>
      </c>
      <c r="CW59" s="10">
        <f t="shared" si="78"/>
        <v>0</v>
      </c>
      <c r="CX59" s="10">
        <f t="shared" si="78"/>
        <v>0</v>
      </c>
      <c r="CY59" s="10">
        <f t="shared" si="78"/>
        <v>0</v>
      </c>
      <c r="CZ59" s="10">
        <f t="shared" si="78"/>
        <v>0</v>
      </c>
    </row>
    <row r="60" spans="4:104" x14ac:dyDescent="0.15">
      <c r="D60" s="10">
        <v>45</v>
      </c>
      <c r="E60" s="10" t="e">
        <f t="shared" si="21"/>
        <v>#VALUE!</v>
      </c>
      <c r="F60" s="10" t="e">
        <f t="shared" si="1"/>
        <v>#VALUE!</v>
      </c>
      <c r="G60" s="10" t="e">
        <f t="shared" si="2"/>
        <v>#VALUE!</v>
      </c>
      <c r="H60" s="10" t="e">
        <f t="shared" si="22"/>
        <v>#VALUE!</v>
      </c>
      <c r="I60" s="10" t="e">
        <f t="shared" si="3"/>
        <v>#VALUE!</v>
      </c>
      <c r="J60" s="10" t="e">
        <f t="shared" si="23"/>
        <v>#VALUE!</v>
      </c>
      <c r="K60" s="10" t="e">
        <f t="shared" si="4"/>
        <v>#VALUE!</v>
      </c>
      <c r="L60" s="10" t="e">
        <f t="shared" si="5"/>
        <v>#VALUE!</v>
      </c>
      <c r="M60" s="10" t="e">
        <f t="shared" si="24"/>
        <v>#VALUE!</v>
      </c>
      <c r="O60" s="10" t="e">
        <f t="shared" si="25"/>
        <v>#VALUE!</v>
      </c>
      <c r="P60" s="10" t="e">
        <f t="shared" si="6"/>
        <v>#VALUE!</v>
      </c>
      <c r="Q60" s="10" t="e">
        <f t="shared" si="7"/>
        <v>#VALUE!</v>
      </c>
      <c r="R60" s="10" t="e">
        <f t="shared" si="26"/>
        <v>#VALUE!</v>
      </c>
      <c r="S60" s="10" t="e">
        <f t="shared" si="27"/>
        <v>#VALUE!</v>
      </c>
      <c r="T60" s="10" t="e">
        <f t="shared" si="62"/>
        <v>#VALUE!</v>
      </c>
      <c r="U60" s="10" t="e">
        <f t="shared" si="63"/>
        <v>#VALUE!</v>
      </c>
      <c r="V60" s="10" t="e">
        <f t="shared" si="8"/>
        <v>#VALUE!</v>
      </c>
      <c r="W60" s="10" t="e">
        <f t="shared" si="28"/>
        <v>#VALUE!</v>
      </c>
      <c r="Y60" s="10" t="e">
        <f t="shared" si="29"/>
        <v>#VALUE!</v>
      </c>
      <c r="Z60" s="11" t="e">
        <f t="shared" si="30"/>
        <v>#VALUE!</v>
      </c>
      <c r="AA60" s="10" t="e">
        <f t="shared" si="9"/>
        <v>#VALUE!</v>
      </c>
      <c r="AB60" s="10" t="e">
        <f t="shared" si="31"/>
        <v>#VALUE!</v>
      </c>
      <c r="AC60" s="10" t="e">
        <f t="shared" si="32"/>
        <v>#VALUE!</v>
      </c>
      <c r="AD60" s="10" t="e">
        <f t="shared" si="64"/>
        <v>#VALUE!</v>
      </c>
      <c r="AE60" s="10" t="e">
        <f t="shared" si="65"/>
        <v>#VALUE!</v>
      </c>
      <c r="AF60" s="10" t="e">
        <f t="shared" si="10"/>
        <v>#VALUE!</v>
      </c>
      <c r="AG60" s="10" t="e">
        <f t="shared" si="33"/>
        <v>#VALUE!</v>
      </c>
      <c r="AI60" s="13"/>
      <c r="AK60" s="10" t="e">
        <f t="shared" si="34"/>
        <v>#VALUE!</v>
      </c>
      <c r="AL60" s="10" t="e">
        <f t="shared" si="66"/>
        <v>#VALUE!</v>
      </c>
      <c r="AM60" s="10" t="e">
        <f t="shared" si="11"/>
        <v>#VALUE!</v>
      </c>
      <c r="AN60" s="10" t="e">
        <f t="shared" si="35"/>
        <v>#VALUE!</v>
      </c>
      <c r="AO60" s="10" t="e">
        <f t="shared" si="36"/>
        <v>#VALUE!</v>
      </c>
      <c r="AP60" s="10" t="e">
        <f t="shared" si="37"/>
        <v>#VALUE!</v>
      </c>
      <c r="AQ60" s="10" t="e">
        <f t="shared" si="67"/>
        <v>#VALUE!</v>
      </c>
      <c r="AR60" s="10" t="e">
        <f t="shared" si="12"/>
        <v>#VALUE!</v>
      </c>
      <c r="AS60" s="10" t="e">
        <f t="shared" si="68"/>
        <v>#VALUE!</v>
      </c>
      <c r="AU60" s="10" t="e">
        <f t="shared" si="38"/>
        <v>#VALUE!</v>
      </c>
      <c r="AV60" s="10" t="e">
        <f t="shared" si="69"/>
        <v>#VALUE!</v>
      </c>
      <c r="AW60" s="10" t="e">
        <f t="shared" si="13"/>
        <v>#VALUE!</v>
      </c>
      <c r="AX60" s="10" t="e">
        <f t="shared" si="39"/>
        <v>#VALUE!</v>
      </c>
      <c r="AY60" s="10" t="e">
        <f t="shared" si="40"/>
        <v>#VALUE!</v>
      </c>
      <c r="AZ60" s="10" t="e">
        <f t="shared" si="41"/>
        <v>#VALUE!</v>
      </c>
      <c r="BA60" s="10" t="e">
        <f t="shared" si="70"/>
        <v>#VALUE!</v>
      </c>
      <c r="BB60" s="10" t="e">
        <f t="shared" si="14"/>
        <v>#VALUE!</v>
      </c>
      <c r="BC60" s="10" t="e">
        <f t="shared" si="71"/>
        <v>#VALUE!</v>
      </c>
      <c r="BE60" s="10" t="e">
        <f t="shared" si="42"/>
        <v>#VALUE!</v>
      </c>
      <c r="BF60" s="10" t="e">
        <f t="shared" si="72"/>
        <v>#VALUE!</v>
      </c>
      <c r="BG60" s="10" t="e">
        <f t="shared" si="15"/>
        <v>#VALUE!</v>
      </c>
      <c r="BH60" s="10" t="e">
        <f t="shared" si="43"/>
        <v>#VALUE!</v>
      </c>
      <c r="BI60" s="10" t="e">
        <f t="shared" si="44"/>
        <v>#VALUE!</v>
      </c>
      <c r="BJ60" s="10" t="e">
        <f t="shared" si="45"/>
        <v>#VALUE!</v>
      </c>
      <c r="BK60" s="10" t="e">
        <f t="shared" si="73"/>
        <v>#VALUE!</v>
      </c>
      <c r="BL60" s="10" t="e">
        <f t="shared" si="16"/>
        <v>#VALUE!</v>
      </c>
      <c r="BM60" s="10" t="e">
        <f t="shared" si="74"/>
        <v>#VALUE!</v>
      </c>
      <c r="BP60" s="10" t="e">
        <f t="shared" si="46"/>
        <v>#VALUE!</v>
      </c>
      <c r="BQ60" s="10" t="e">
        <f t="shared" si="47"/>
        <v>#VALUE!</v>
      </c>
      <c r="BR60" s="10" t="e">
        <f t="shared" si="48"/>
        <v>#VALUE!</v>
      </c>
      <c r="BS60" s="10" t="e">
        <f t="shared" si="49"/>
        <v>#VALUE!</v>
      </c>
      <c r="BT60" s="10" t="e">
        <f t="shared" si="50"/>
        <v>#VALUE!</v>
      </c>
      <c r="BU60" s="10" t="e">
        <f t="shared" si="51"/>
        <v>#VALUE!</v>
      </c>
      <c r="BW60" s="10" t="e">
        <f t="shared" si="52"/>
        <v>#VALUE!</v>
      </c>
      <c r="BX60" s="10" t="e">
        <f t="shared" si="53"/>
        <v>#VALUE!</v>
      </c>
      <c r="BY60" s="10" t="e">
        <f t="shared" si="54"/>
        <v>#VALUE!</v>
      </c>
      <c r="BZ60" s="10" t="e">
        <f t="shared" si="55"/>
        <v>#VALUE!</v>
      </c>
      <c r="CA60" s="10" t="e">
        <f t="shared" si="56"/>
        <v>#VALUE!</v>
      </c>
      <c r="CB60" s="10" t="e">
        <f t="shared" si="57"/>
        <v>#VALUE!</v>
      </c>
      <c r="CD60" s="10" t="e">
        <f>MATCH(INDEX($BP$12:$BU$12,1,MATCH(BP60,$BP$15:$BU$15,0)),结果汇总!$AI$10:$AI$13,0)</f>
        <v>#VALUE!</v>
      </c>
      <c r="CE60" s="10" t="e">
        <f>MATCH(INDEX($BP$12:$BU$12,1,MATCH(BQ60,$BP$15:$BU$15,0)),结果汇总!$AI$10:$AI$13,0)</f>
        <v>#VALUE!</v>
      </c>
      <c r="CF60" s="10" t="e">
        <f>MATCH(INDEX($BP$12:$BU$12,1,MATCH(BR60,$BP$15:$BU$15,0)),结果汇总!$AI$10:$AI$13,0)</f>
        <v>#VALUE!</v>
      </c>
      <c r="CG60" s="10" t="e">
        <f>MATCH(INDEX($BP$12:$BU$12,1,MATCH(BS60,$BP$15:$BU$15,0)),结果汇总!$AI$10:$AI$13,0)</f>
        <v>#VALUE!</v>
      </c>
      <c r="CH60" s="10" t="e">
        <f>MATCH(INDEX($BP$12:$BU$12,1,MATCH(BT60,$BP$15:$BU$15,0)),结果汇总!$AI$10:$AI$13,0)</f>
        <v>#VALUE!</v>
      </c>
      <c r="CI60" s="10" t="e">
        <f>MATCH(INDEX($BP$12:$BU$12,1,MATCH(BU60,$BP$15:$BU$15,0)),结果汇总!$AI$10:$AI$13,0)</f>
        <v>#VALUE!</v>
      </c>
      <c r="CK60" s="10">
        <f t="shared" si="75"/>
        <v>0</v>
      </c>
      <c r="CL60" s="10">
        <f t="shared" si="75"/>
        <v>0</v>
      </c>
      <c r="CM60" s="10">
        <f t="shared" si="75"/>
        <v>0</v>
      </c>
      <c r="CN60" s="10">
        <f t="shared" si="75"/>
        <v>0</v>
      </c>
      <c r="CO60" s="10">
        <f t="shared" si="76"/>
        <v>0</v>
      </c>
      <c r="CP60" s="10">
        <f t="shared" si="76"/>
        <v>0</v>
      </c>
      <c r="CQ60" s="10">
        <f t="shared" si="76"/>
        <v>0</v>
      </c>
      <c r="CR60" s="10">
        <f t="shared" si="76"/>
        <v>0</v>
      </c>
      <c r="CS60" s="10" t="e">
        <f t="shared" si="77"/>
        <v>#DIV/0!</v>
      </c>
      <c r="CT60" s="10" t="e">
        <f t="shared" si="77"/>
        <v>#DIV/0!</v>
      </c>
      <c r="CU60" s="10" t="e">
        <f t="shared" si="77"/>
        <v>#DIV/0!</v>
      </c>
      <c r="CV60" s="10" t="e">
        <f t="shared" si="77"/>
        <v>#DIV/0!</v>
      </c>
      <c r="CW60" s="10">
        <f t="shared" si="78"/>
        <v>0</v>
      </c>
      <c r="CX60" s="10">
        <f t="shared" si="78"/>
        <v>0</v>
      </c>
      <c r="CY60" s="10">
        <f t="shared" si="78"/>
        <v>0</v>
      </c>
      <c r="CZ60" s="10">
        <f t="shared" si="78"/>
        <v>0</v>
      </c>
    </row>
    <row r="61" spans="4:104" x14ac:dyDescent="0.15">
      <c r="D61" s="10">
        <v>46</v>
      </c>
      <c r="E61" s="10" t="e">
        <f t="shared" si="21"/>
        <v>#VALUE!</v>
      </c>
      <c r="F61" s="10" t="e">
        <f t="shared" si="1"/>
        <v>#VALUE!</v>
      </c>
      <c r="G61" s="10" t="e">
        <f t="shared" si="2"/>
        <v>#VALUE!</v>
      </c>
      <c r="H61" s="10" t="e">
        <f t="shared" si="22"/>
        <v>#VALUE!</v>
      </c>
      <c r="I61" s="10" t="e">
        <f t="shared" si="3"/>
        <v>#VALUE!</v>
      </c>
      <c r="J61" s="10" t="e">
        <f t="shared" si="23"/>
        <v>#VALUE!</v>
      </c>
      <c r="K61" s="10" t="e">
        <f t="shared" si="4"/>
        <v>#VALUE!</v>
      </c>
      <c r="L61" s="10" t="e">
        <f t="shared" si="5"/>
        <v>#VALUE!</v>
      </c>
      <c r="M61" s="10" t="e">
        <f t="shared" si="24"/>
        <v>#VALUE!</v>
      </c>
      <c r="O61" s="10" t="e">
        <f t="shared" si="25"/>
        <v>#VALUE!</v>
      </c>
      <c r="P61" s="10" t="e">
        <f t="shared" si="6"/>
        <v>#VALUE!</v>
      </c>
      <c r="Q61" s="10" t="e">
        <f t="shared" si="7"/>
        <v>#VALUE!</v>
      </c>
      <c r="R61" s="10" t="e">
        <f t="shared" si="26"/>
        <v>#VALUE!</v>
      </c>
      <c r="S61" s="10" t="e">
        <f t="shared" si="27"/>
        <v>#VALUE!</v>
      </c>
      <c r="T61" s="10" t="e">
        <f t="shared" si="62"/>
        <v>#VALUE!</v>
      </c>
      <c r="U61" s="10" t="e">
        <f t="shared" si="63"/>
        <v>#VALUE!</v>
      </c>
      <c r="V61" s="10" t="e">
        <f t="shared" si="8"/>
        <v>#VALUE!</v>
      </c>
      <c r="W61" s="10" t="e">
        <f t="shared" si="28"/>
        <v>#VALUE!</v>
      </c>
      <c r="Y61" s="10" t="e">
        <f t="shared" si="29"/>
        <v>#VALUE!</v>
      </c>
      <c r="Z61" s="11" t="e">
        <f t="shared" si="30"/>
        <v>#VALUE!</v>
      </c>
      <c r="AA61" s="10" t="e">
        <f t="shared" si="9"/>
        <v>#VALUE!</v>
      </c>
      <c r="AB61" s="10" t="e">
        <f t="shared" si="31"/>
        <v>#VALUE!</v>
      </c>
      <c r="AC61" s="10" t="e">
        <f t="shared" si="32"/>
        <v>#VALUE!</v>
      </c>
      <c r="AD61" s="10" t="e">
        <f t="shared" si="64"/>
        <v>#VALUE!</v>
      </c>
      <c r="AE61" s="10" t="e">
        <f t="shared" si="65"/>
        <v>#VALUE!</v>
      </c>
      <c r="AF61" s="10" t="e">
        <f t="shared" si="10"/>
        <v>#VALUE!</v>
      </c>
      <c r="AG61" s="10" t="e">
        <f t="shared" si="33"/>
        <v>#VALUE!</v>
      </c>
      <c r="AI61" s="13"/>
      <c r="AK61" s="10" t="e">
        <f t="shared" si="34"/>
        <v>#VALUE!</v>
      </c>
      <c r="AL61" s="10" t="e">
        <f t="shared" si="66"/>
        <v>#VALUE!</v>
      </c>
      <c r="AM61" s="10" t="e">
        <f t="shared" si="11"/>
        <v>#VALUE!</v>
      </c>
      <c r="AN61" s="10" t="e">
        <f t="shared" si="35"/>
        <v>#VALUE!</v>
      </c>
      <c r="AO61" s="10" t="e">
        <f t="shared" si="36"/>
        <v>#VALUE!</v>
      </c>
      <c r="AP61" s="10" t="e">
        <f t="shared" si="37"/>
        <v>#VALUE!</v>
      </c>
      <c r="AQ61" s="10" t="e">
        <f t="shared" si="67"/>
        <v>#VALUE!</v>
      </c>
      <c r="AR61" s="10" t="e">
        <f t="shared" si="12"/>
        <v>#VALUE!</v>
      </c>
      <c r="AS61" s="10" t="e">
        <f t="shared" si="68"/>
        <v>#VALUE!</v>
      </c>
      <c r="AU61" s="10" t="e">
        <f t="shared" si="38"/>
        <v>#VALUE!</v>
      </c>
      <c r="AV61" s="10" t="e">
        <f t="shared" si="69"/>
        <v>#VALUE!</v>
      </c>
      <c r="AW61" s="10" t="e">
        <f t="shared" si="13"/>
        <v>#VALUE!</v>
      </c>
      <c r="AX61" s="10" t="e">
        <f t="shared" si="39"/>
        <v>#VALUE!</v>
      </c>
      <c r="AY61" s="10" t="e">
        <f t="shared" si="40"/>
        <v>#VALUE!</v>
      </c>
      <c r="AZ61" s="10" t="e">
        <f t="shared" si="41"/>
        <v>#VALUE!</v>
      </c>
      <c r="BA61" s="10" t="e">
        <f t="shared" si="70"/>
        <v>#VALUE!</v>
      </c>
      <c r="BB61" s="10" t="e">
        <f t="shared" si="14"/>
        <v>#VALUE!</v>
      </c>
      <c r="BC61" s="10" t="e">
        <f t="shared" si="71"/>
        <v>#VALUE!</v>
      </c>
      <c r="BE61" s="10" t="e">
        <f t="shared" si="42"/>
        <v>#VALUE!</v>
      </c>
      <c r="BF61" s="10" t="e">
        <f t="shared" si="72"/>
        <v>#VALUE!</v>
      </c>
      <c r="BG61" s="10" t="e">
        <f t="shared" si="15"/>
        <v>#VALUE!</v>
      </c>
      <c r="BH61" s="10" t="e">
        <f t="shared" si="43"/>
        <v>#VALUE!</v>
      </c>
      <c r="BI61" s="10" t="e">
        <f t="shared" si="44"/>
        <v>#VALUE!</v>
      </c>
      <c r="BJ61" s="10" t="e">
        <f t="shared" si="45"/>
        <v>#VALUE!</v>
      </c>
      <c r="BK61" s="10" t="e">
        <f t="shared" si="73"/>
        <v>#VALUE!</v>
      </c>
      <c r="BL61" s="10" t="e">
        <f t="shared" si="16"/>
        <v>#VALUE!</v>
      </c>
      <c r="BM61" s="10" t="e">
        <f t="shared" si="74"/>
        <v>#VALUE!</v>
      </c>
      <c r="BP61" s="10" t="e">
        <f t="shared" si="46"/>
        <v>#VALUE!</v>
      </c>
      <c r="BQ61" s="10" t="e">
        <f t="shared" si="47"/>
        <v>#VALUE!</v>
      </c>
      <c r="BR61" s="10" t="e">
        <f t="shared" si="48"/>
        <v>#VALUE!</v>
      </c>
      <c r="BS61" s="10" t="e">
        <f t="shared" si="49"/>
        <v>#VALUE!</v>
      </c>
      <c r="BT61" s="10" t="e">
        <f t="shared" si="50"/>
        <v>#VALUE!</v>
      </c>
      <c r="BU61" s="10" t="e">
        <f t="shared" si="51"/>
        <v>#VALUE!</v>
      </c>
      <c r="BW61" s="10" t="e">
        <f t="shared" si="52"/>
        <v>#VALUE!</v>
      </c>
      <c r="BX61" s="10" t="e">
        <f t="shared" si="53"/>
        <v>#VALUE!</v>
      </c>
      <c r="BY61" s="10" t="e">
        <f t="shared" si="54"/>
        <v>#VALUE!</v>
      </c>
      <c r="BZ61" s="10" t="e">
        <f t="shared" si="55"/>
        <v>#VALUE!</v>
      </c>
      <c r="CA61" s="10" t="e">
        <f t="shared" si="56"/>
        <v>#VALUE!</v>
      </c>
      <c r="CB61" s="10" t="e">
        <f t="shared" si="57"/>
        <v>#VALUE!</v>
      </c>
      <c r="CD61" s="10" t="e">
        <f>MATCH(INDEX($BP$12:$BU$12,1,MATCH(BP61,$BP$15:$BU$15,0)),结果汇总!$AI$10:$AI$13,0)</f>
        <v>#VALUE!</v>
      </c>
      <c r="CE61" s="10" t="e">
        <f>MATCH(INDEX($BP$12:$BU$12,1,MATCH(BQ61,$BP$15:$BU$15,0)),结果汇总!$AI$10:$AI$13,0)</f>
        <v>#VALUE!</v>
      </c>
      <c r="CF61" s="10" t="e">
        <f>MATCH(INDEX($BP$12:$BU$12,1,MATCH(BR61,$BP$15:$BU$15,0)),结果汇总!$AI$10:$AI$13,0)</f>
        <v>#VALUE!</v>
      </c>
      <c r="CG61" s="10" t="e">
        <f>MATCH(INDEX($BP$12:$BU$12,1,MATCH(BS61,$BP$15:$BU$15,0)),结果汇总!$AI$10:$AI$13,0)</f>
        <v>#VALUE!</v>
      </c>
      <c r="CH61" s="10" t="e">
        <f>MATCH(INDEX($BP$12:$BU$12,1,MATCH(BT61,$BP$15:$BU$15,0)),结果汇总!$AI$10:$AI$13,0)</f>
        <v>#VALUE!</v>
      </c>
      <c r="CI61" s="10" t="e">
        <f>MATCH(INDEX($BP$12:$BU$12,1,MATCH(BU61,$BP$15:$BU$15,0)),结果汇总!$AI$10:$AI$13,0)</f>
        <v>#VALUE!</v>
      </c>
      <c r="CK61" s="10">
        <f t="shared" si="75"/>
        <v>0</v>
      </c>
      <c r="CL61" s="10">
        <f t="shared" si="75"/>
        <v>0</v>
      </c>
      <c r="CM61" s="10">
        <f t="shared" si="75"/>
        <v>0</v>
      </c>
      <c r="CN61" s="10">
        <f t="shared" si="75"/>
        <v>0</v>
      </c>
      <c r="CO61" s="10">
        <f t="shared" si="76"/>
        <v>0</v>
      </c>
      <c r="CP61" s="10">
        <f t="shared" si="76"/>
        <v>0</v>
      </c>
      <c r="CQ61" s="10">
        <f t="shared" si="76"/>
        <v>0</v>
      </c>
      <c r="CR61" s="10">
        <f t="shared" si="76"/>
        <v>0</v>
      </c>
      <c r="CS61" s="10" t="e">
        <f t="shared" si="77"/>
        <v>#DIV/0!</v>
      </c>
      <c r="CT61" s="10" t="e">
        <f t="shared" si="77"/>
        <v>#DIV/0!</v>
      </c>
      <c r="CU61" s="10" t="e">
        <f t="shared" si="77"/>
        <v>#DIV/0!</v>
      </c>
      <c r="CV61" s="10" t="e">
        <f t="shared" si="77"/>
        <v>#DIV/0!</v>
      </c>
      <c r="CW61" s="10">
        <f t="shared" si="78"/>
        <v>0</v>
      </c>
      <c r="CX61" s="10">
        <f t="shared" si="78"/>
        <v>0</v>
      </c>
      <c r="CY61" s="10">
        <f t="shared" si="78"/>
        <v>0</v>
      </c>
      <c r="CZ61" s="10">
        <f t="shared" si="78"/>
        <v>0</v>
      </c>
    </row>
    <row r="62" spans="4:104" x14ac:dyDescent="0.15">
      <c r="D62" s="10">
        <v>47</v>
      </c>
      <c r="E62" s="10" t="e">
        <f t="shared" si="21"/>
        <v>#VALUE!</v>
      </c>
      <c r="F62" s="10" t="e">
        <f t="shared" si="1"/>
        <v>#VALUE!</v>
      </c>
      <c r="G62" s="10" t="e">
        <f t="shared" si="2"/>
        <v>#VALUE!</v>
      </c>
      <c r="H62" s="10" t="e">
        <f t="shared" si="22"/>
        <v>#VALUE!</v>
      </c>
      <c r="I62" s="10" t="e">
        <f t="shared" si="3"/>
        <v>#VALUE!</v>
      </c>
      <c r="J62" s="10" t="e">
        <f t="shared" si="23"/>
        <v>#VALUE!</v>
      </c>
      <c r="K62" s="10" t="e">
        <f t="shared" si="4"/>
        <v>#VALUE!</v>
      </c>
      <c r="L62" s="10" t="e">
        <f t="shared" si="5"/>
        <v>#VALUE!</v>
      </c>
      <c r="M62" s="10" t="e">
        <f t="shared" si="24"/>
        <v>#VALUE!</v>
      </c>
      <c r="O62" s="10" t="e">
        <f t="shared" si="25"/>
        <v>#VALUE!</v>
      </c>
      <c r="P62" s="10" t="e">
        <f t="shared" si="6"/>
        <v>#VALUE!</v>
      </c>
      <c r="Q62" s="10" t="e">
        <f t="shared" si="7"/>
        <v>#VALUE!</v>
      </c>
      <c r="R62" s="10" t="e">
        <f t="shared" si="26"/>
        <v>#VALUE!</v>
      </c>
      <c r="S62" s="10" t="e">
        <f t="shared" si="27"/>
        <v>#VALUE!</v>
      </c>
      <c r="T62" s="10" t="e">
        <f t="shared" si="62"/>
        <v>#VALUE!</v>
      </c>
      <c r="U62" s="10" t="e">
        <f t="shared" si="63"/>
        <v>#VALUE!</v>
      </c>
      <c r="V62" s="10" t="e">
        <f t="shared" si="8"/>
        <v>#VALUE!</v>
      </c>
      <c r="W62" s="10" t="e">
        <f t="shared" si="28"/>
        <v>#VALUE!</v>
      </c>
      <c r="Y62" s="10" t="e">
        <f t="shared" si="29"/>
        <v>#VALUE!</v>
      </c>
      <c r="Z62" s="11" t="e">
        <f t="shared" si="30"/>
        <v>#VALUE!</v>
      </c>
      <c r="AA62" s="10" t="e">
        <f t="shared" si="9"/>
        <v>#VALUE!</v>
      </c>
      <c r="AB62" s="10" t="e">
        <f t="shared" si="31"/>
        <v>#VALUE!</v>
      </c>
      <c r="AC62" s="10" t="e">
        <f t="shared" si="32"/>
        <v>#VALUE!</v>
      </c>
      <c r="AD62" s="10" t="e">
        <f t="shared" si="64"/>
        <v>#VALUE!</v>
      </c>
      <c r="AE62" s="10" t="e">
        <f t="shared" si="65"/>
        <v>#VALUE!</v>
      </c>
      <c r="AF62" s="10" t="e">
        <f t="shared" si="10"/>
        <v>#VALUE!</v>
      </c>
      <c r="AG62" s="10" t="e">
        <f t="shared" si="33"/>
        <v>#VALUE!</v>
      </c>
      <c r="AI62" s="13"/>
      <c r="AK62" s="10" t="e">
        <f t="shared" si="34"/>
        <v>#VALUE!</v>
      </c>
      <c r="AL62" s="10" t="e">
        <f t="shared" si="66"/>
        <v>#VALUE!</v>
      </c>
      <c r="AM62" s="10" t="e">
        <f t="shared" si="11"/>
        <v>#VALUE!</v>
      </c>
      <c r="AN62" s="10" t="e">
        <f t="shared" si="35"/>
        <v>#VALUE!</v>
      </c>
      <c r="AO62" s="10" t="e">
        <f t="shared" si="36"/>
        <v>#VALUE!</v>
      </c>
      <c r="AP62" s="10" t="e">
        <f t="shared" si="37"/>
        <v>#VALUE!</v>
      </c>
      <c r="AQ62" s="10" t="e">
        <f t="shared" si="67"/>
        <v>#VALUE!</v>
      </c>
      <c r="AR62" s="10" t="e">
        <f t="shared" si="12"/>
        <v>#VALUE!</v>
      </c>
      <c r="AS62" s="10" t="e">
        <f t="shared" si="68"/>
        <v>#VALUE!</v>
      </c>
      <c r="AU62" s="10" t="e">
        <f t="shared" si="38"/>
        <v>#VALUE!</v>
      </c>
      <c r="AV62" s="10" t="e">
        <f t="shared" si="69"/>
        <v>#VALUE!</v>
      </c>
      <c r="AW62" s="10" t="e">
        <f t="shared" si="13"/>
        <v>#VALUE!</v>
      </c>
      <c r="AX62" s="10" t="e">
        <f t="shared" si="39"/>
        <v>#VALUE!</v>
      </c>
      <c r="AY62" s="10" t="e">
        <f t="shared" si="40"/>
        <v>#VALUE!</v>
      </c>
      <c r="AZ62" s="10" t="e">
        <f t="shared" si="41"/>
        <v>#VALUE!</v>
      </c>
      <c r="BA62" s="10" t="e">
        <f t="shared" si="70"/>
        <v>#VALUE!</v>
      </c>
      <c r="BB62" s="10" t="e">
        <f t="shared" si="14"/>
        <v>#VALUE!</v>
      </c>
      <c r="BC62" s="10" t="e">
        <f t="shared" si="71"/>
        <v>#VALUE!</v>
      </c>
      <c r="BE62" s="10" t="e">
        <f t="shared" si="42"/>
        <v>#VALUE!</v>
      </c>
      <c r="BF62" s="10" t="e">
        <f t="shared" si="72"/>
        <v>#VALUE!</v>
      </c>
      <c r="BG62" s="10" t="e">
        <f t="shared" si="15"/>
        <v>#VALUE!</v>
      </c>
      <c r="BH62" s="10" t="e">
        <f t="shared" si="43"/>
        <v>#VALUE!</v>
      </c>
      <c r="BI62" s="10" t="e">
        <f t="shared" si="44"/>
        <v>#VALUE!</v>
      </c>
      <c r="BJ62" s="10" t="e">
        <f t="shared" si="45"/>
        <v>#VALUE!</v>
      </c>
      <c r="BK62" s="10" t="e">
        <f t="shared" si="73"/>
        <v>#VALUE!</v>
      </c>
      <c r="BL62" s="10" t="e">
        <f t="shared" si="16"/>
        <v>#VALUE!</v>
      </c>
      <c r="BM62" s="10" t="e">
        <f t="shared" si="74"/>
        <v>#VALUE!</v>
      </c>
      <c r="BP62" s="10" t="e">
        <f t="shared" si="46"/>
        <v>#VALUE!</v>
      </c>
      <c r="BQ62" s="10" t="e">
        <f t="shared" si="47"/>
        <v>#VALUE!</v>
      </c>
      <c r="BR62" s="10" t="e">
        <f t="shared" si="48"/>
        <v>#VALUE!</v>
      </c>
      <c r="BS62" s="10" t="e">
        <f t="shared" si="49"/>
        <v>#VALUE!</v>
      </c>
      <c r="BT62" s="10" t="e">
        <f t="shared" si="50"/>
        <v>#VALUE!</v>
      </c>
      <c r="BU62" s="10" t="e">
        <f t="shared" si="51"/>
        <v>#VALUE!</v>
      </c>
      <c r="BW62" s="10" t="e">
        <f t="shared" si="52"/>
        <v>#VALUE!</v>
      </c>
      <c r="BX62" s="10" t="e">
        <f t="shared" si="53"/>
        <v>#VALUE!</v>
      </c>
      <c r="BY62" s="10" t="e">
        <f t="shared" si="54"/>
        <v>#VALUE!</v>
      </c>
      <c r="BZ62" s="10" t="e">
        <f t="shared" si="55"/>
        <v>#VALUE!</v>
      </c>
      <c r="CA62" s="10" t="e">
        <f t="shared" si="56"/>
        <v>#VALUE!</v>
      </c>
      <c r="CB62" s="10" t="e">
        <f t="shared" si="57"/>
        <v>#VALUE!</v>
      </c>
      <c r="CD62" s="10" t="e">
        <f>MATCH(INDEX($BP$12:$BU$12,1,MATCH(BP62,$BP$15:$BU$15,0)),结果汇总!$AI$10:$AI$13,0)</f>
        <v>#VALUE!</v>
      </c>
      <c r="CE62" s="10" t="e">
        <f>MATCH(INDEX($BP$12:$BU$12,1,MATCH(BQ62,$BP$15:$BU$15,0)),结果汇总!$AI$10:$AI$13,0)</f>
        <v>#VALUE!</v>
      </c>
      <c r="CF62" s="10" t="e">
        <f>MATCH(INDEX($BP$12:$BU$12,1,MATCH(BR62,$BP$15:$BU$15,0)),结果汇总!$AI$10:$AI$13,0)</f>
        <v>#VALUE!</v>
      </c>
      <c r="CG62" s="10" t="e">
        <f>MATCH(INDEX($BP$12:$BU$12,1,MATCH(BS62,$BP$15:$BU$15,0)),结果汇总!$AI$10:$AI$13,0)</f>
        <v>#VALUE!</v>
      </c>
      <c r="CH62" s="10" t="e">
        <f>MATCH(INDEX($BP$12:$BU$12,1,MATCH(BT62,$BP$15:$BU$15,0)),结果汇总!$AI$10:$AI$13,0)</f>
        <v>#VALUE!</v>
      </c>
      <c r="CI62" s="10" t="e">
        <f>MATCH(INDEX($BP$12:$BU$12,1,MATCH(BU62,$BP$15:$BU$15,0)),结果汇总!$AI$10:$AI$13,0)</f>
        <v>#VALUE!</v>
      </c>
      <c r="CK62" s="10">
        <f t="shared" si="75"/>
        <v>0</v>
      </c>
      <c r="CL62" s="10">
        <f t="shared" si="75"/>
        <v>0</v>
      </c>
      <c r="CM62" s="10">
        <f t="shared" si="75"/>
        <v>0</v>
      </c>
      <c r="CN62" s="10">
        <f t="shared" si="75"/>
        <v>0</v>
      </c>
      <c r="CO62" s="10">
        <f t="shared" si="76"/>
        <v>0</v>
      </c>
      <c r="CP62" s="10">
        <f t="shared" si="76"/>
        <v>0</v>
      </c>
      <c r="CQ62" s="10">
        <f t="shared" si="76"/>
        <v>0</v>
      </c>
      <c r="CR62" s="10">
        <f t="shared" si="76"/>
        <v>0</v>
      </c>
      <c r="CS62" s="10" t="e">
        <f t="shared" si="77"/>
        <v>#DIV/0!</v>
      </c>
      <c r="CT62" s="10" t="e">
        <f t="shared" si="77"/>
        <v>#DIV/0!</v>
      </c>
      <c r="CU62" s="10" t="e">
        <f t="shared" si="77"/>
        <v>#DIV/0!</v>
      </c>
      <c r="CV62" s="10" t="e">
        <f t="shared" si="77"/>
        <v>#DIV/0!</v>
      </c>
      <c r="CW62" s="10">
        <f t="shared" si="78"/>
        <v>0</v>
      </c>
      <c r="CX62" s="10">
        <f t="shared" si="78"/>
        <v>0</v>
      </c>
      <c r="CY62" s="10">
        <f t="shared" si="78"/>
        <v>0</v>
      </c>
      <c r="CZ62" s="10">
        <f t="shared" si="78"/>
        <v>0</v>
      </c>
    </row>
    <row r="63" spans="4:104" x14ac:dyDescent="0.15">
      <c r="D63" s="10">
        <v>48</v>
      </c>
      <c r="E63" s="10" t="e">
        <f t="shared" si="21"/>
        <v>#VALUE!</v>
      </c>
      <c r="F63" s="10" t="e">
        <f t="shared" si="1"/>
        <v>#VALUE!</v>
      </c>
      <c r="G63" s="10" t="e">
        <f t="shared" si="2"/>
        <v>#VALUE!</v>
      </c>
      <c r="H63" s="10" t="e">
        <f t="shared" si="22"/>
        <v>#VALUE!</v>
      </c>
      <c r="I63" s="10" t="e">
        <f t="shared" si="3"/>
        <v>#VALUE!</v>
      </c>
      <c r="J63" s="10" t="e">
        <f t="shared" si="23"/>
        <v>#VALUE!</v>
      </c>
      <c r="K63" s="10" t="e">
        <f t="shared" si="4"/>
        <v>#VALUE!</v>
      </c>
      <c r="L63" s="10" t="e">
        <f t="shared" si="5"/>
        <v>#VALUE!</v>
      </c>
      <c r="M63" s="10" t="e">
        <f t="shared" si="24"/>
        <v>#VALUE!</v>
      </c>
      <c r="O63" s="10" t="e">
        <f t="shared" si="25"/>
        <v>#VALUE!</v>
      </c>
      <c r="P63" s="10" t="e">
        <f t="shared" si="6"/>
        <v>#VALUE!</v>
      </c>
      <c r="Q63" s="10" t="e">
        <f t="shared" si="7"/>
        <v>#VALUE!</v>
      </c>
      <c r="R63" s="10" t="e">
        <f t="shared" si="26"/>
        <v>#VALUE!</v>
      </c>
      <c r="S63" s="10" t="e">
        <f t="shared" si="27"/>
        <v>#VALUE!</v>
      </c>
      <c r="T63" s="10" t="e">
        <f t="shared" si="62"/>
        <v>#VALUE!</v>
      </c>
      <c r="U63" s="10" t="e">
        <f t="shared" si="63"/>
        <v>#VALUE!</v>
      </c>
      <c r="V63" s="10" t="e">
        <f t="shared" si="8"/>
        <v>#VALUE!</v>
      </c>
      <c r="W63" s="10" t="e">
        <f t="shared" si="28"/>
        <v>#VALUE!</v>
      </c>
      <c r="Y63" s="10" t="e">
        <f t="shared" si="29"/>
        <v>#VALUE!</v>
      </c>
      <c r="Z63" s="11" t="e">
        <f t="shared" si="30"/>
        <v>#VALUE!</v>
      </c>
      <c r="AA63" s="10" t="e">
        <f t="shared" si="9"/>
        <v>#VALUE!</v>
      </c>
      <c r="AB63" s="10" t="e">
        <f t="shared" si="31"/>
        <v>#VALUE!</v>
      </c>
      <c r="AC63" s="10" t="e">
        <f t="shared" si="32"/>
        <v>#VALUE!</v>
      </c>
      <c r="AD63" s="10" t="e">
        <f t="shared" si="64"/>
        <v>#VALUE!</v>
      </c>
      <c r="AE63" s="10" t="e">
        <f t="shared" si="65"/>
        <v>#VALUE!</v>
      </c>
      <c r="AF63" s="10" t="e">
        <f t="shared" si="10"/>
        <v>#VALUE!</v>
      </c>
      <c r="AG63" s="10" t="e">
        <f t="shared" si="33"/>
        <v>#VALUE!</v>
      </c>
      <c r="AI63" s="13"/>
      <c r="AK63" s="10" t="e">
        <f t="shared" si="34"/>
        <v>#VALUE!</v>
      </c>
      <c r="AL63" s="10" t="e">
        <f t="shared" si="66"/>
        <v>#VALUE!</v>
      </c>
      <c r="AM63" s="10" t="e">
        <f t="shared" si="11"/>
        <v>#VALUE!</v>
      </c>
      <c r="AN63" s="10" t="e">
        <f t="shared" si="35"/>
        <v>#VALUE!</v>
      </c>
      <c r="AO63" s="10" t="e">
        <f t="shared" si="36"/>
        <v>#VALUE!</v>
      </c>
      <c r="AP63" s="10" t="e">
        <f t="shared" si="37"/>
        <v>#VALUE!</v>
      </c>
      <c r="AQ63" s="10" t="e">
        <f t="shared" si="67"/>
        <v>#VALUE!</v>
      </c>
      <c r="AR63" s="10" t="e">
        <f t="shared" si="12"/>
        <v>#VALUE!</v>
      </c>
      <c r="AS63" s="10" t="e">
        <f t="shared" si="68"/>
        <v>#VALUE!</v>
      </c>
      <c r="AU63" s="10" t="e">
        <f t="shared" si="38"/>
        <v>#VALUE!</v>
      </c>
      <c r="AV63" s="10" t="e">
        <f t="shared" si="69"/>
        <v>#VALUE!</v>
      </c>
      <c r="AW63" s="10" t="e">
        <f t="shared" si="13"/>
        <v>#VALUE!</v>
      </c>
      <c r="AX63" s="10" t="e">
        <f t="shared" si="39"/>
        <v>#VALUE!</v>
      </c>
      <c r="AY63" s="10" t="e">
        <f t="shared" si="40"/>
        <v>#VALUE!</v>
      </c>
      <c r="AZ63" s="10" t="e">
        <f t="shared" si="41"/>
        <v>#VALUE!</v>
      </c>
      <c r="BA63" s="10" t="e">
        <f t="shared" si="70"/>
        <v>#VALUE!</v>
      </c>
      <c r="BB63" s="10" t="e">
        <f t="shared" si="14"/>
        <v>#VALUE!</v>
      </c>
      <c r="BC63" s="10" t="e">
        <f t="shared" si="71"/>
        <v>#VALUE!</v>
      </c>
      <c r="BE63" s="10" t="e">
        <f t="shared" si="42"/>
        <v>#VALUE!</v>
      </c>
      <c r="BF63" s="10" t="e">
        <f t="shared" si="72"/>
        <v>#VALUE!</v>
      </c>
      <c r="BG63" s="10" t="e">
        <f t="shared" si="15"/>
        <v>#VALUE!</v>
      </c>
      <c r="BH63" s="10" t="e">
        <f t="shared" si="43"/>
        <v>#VALUE!</v>
      </c>
      <c r="BI63" s="10" t="e">
        <f t="shared" si="44"/>
        <v>#VALUE!</v>
      </c>
      <c r="BJ63" s="10" t="e">
        <f t="shared" si="45"/>
        <v>#VALUE!</v>
      </c>
      <c r="BK63" s="10" t="e">
        <f t="shared" si="73"/>
        <v>#VALUE!</v>
      </c>
      <c r="BL63" s="10" t="e">
        <f t="shared" si="16"/>
        <v>#VALUE!</v>
      </c>
      <c r="BM63" s="10" t="e">
        <f t="shared" si="74"/>
        <v>#VALUE!</v>
      </c>
      <c r="BP63" s="10" t="e">
        <f t="shared" si="46"/>
        <v>#VALUE!</v>
      </c>
      <c r="BQ63" s="10" t="e">
        <f t="shared" si="47"/>
        <v>#VALUE!</v>
      </c>
      <c r="BR63" s="10" t="e">
        <f t="shared" si="48"/>
        <v>#VALUE!</v>
      </c>
      <c r="BS63" s="10" t="e">
        <f t="shared" si="49"/>
        <v>#VALUE!</v>
      </c>
      <c r="BT63" s="10" t="e">
        <f t="shared" si="50"/>
        <v>#VALUE!</v>
      </c>
      <c r="BU63" s="10" t="e">
        <f t="shared" si="51"/>
        <v>#VALUE!</v>
      </c>
      <c r="BW63" s="10" t="e">
        <f t="shared" si="52"/>
        <v>#VALUE!</v>
      </c>
      <c r="BX63" s="10" t="e">
        <f t="shared" si="53"/>
        <v>#VALUE!</v>
      </c>
      <c r="BY63" s="10" t="e">
        <f t="shared" si="54"/>
        <v>#VALUE!</v>
      </c>
      <c r="BZ63" s="10" t="e">
        <f t="shared" si="55"/>
        <v>#VALUE!</v>
      </c>
      <c r="CA63" s="10" t="e">
        <f t="shared" si="56"/>
        <v>#VALUE!</v>
      </c>
      <c r="CB63" s="10" t="e">
        <f t="shared" si="57"/>
        <v>#VALUE!</v>
      </c>
      <c r="CD63" s="10" t="e">
        <f>MATCH(INDEX($BP$12:$BU$12,1,MATCH(BP63,$BP$15:$BU$15,0)),结果汇总!$AI$10:$AI$13,0)</f>
        <v>#VALUE!</v>
      </c>
      <c r="CE63" s="10" t="e">
        <f>MATCH(INDEX($BP$12:$BU$12,1,MATCH(BQ63,$BP$15:$BU$15,0)),结果汇总!$AI$10:$AI$13,0)</f>
        <v>#VALUE!</v>
      </c>
      <c r="CF63" s="10" t="e">
        <f>MATCH(INDEX($BP$12:$BU$12,1,MATCH(BR63,$BP$15:$BU$15,0)),结果汇总!$AI$10:$AI$13,0)</f>
        <v>#VALUE!</v>
      </c>
      <c r="CG63" s="10" t="e">
        <f>MATCH(INDEX($BP$12:$BU$12,1,MATCH(BS63,$BP$15:$BU$15,0)),结果汇总!$AI$10:$AI$13,0)</f>
        <v>#VALUE!</v>
      </c>
      <c r="CH63" s="10" t="e">
        <f>MATCH(INDEX($BP$12:$BU$12,1,MATCH(BT63,$BP$15:$BU$15,0)),结果汇总!$AI$10:$AI$13,0)</f>
        <v>#VALUE!</v>
      </c>
      <c r="CI63" s="10" t="e">
        <f>MATCH(INDEX($BP$12:$BU$12,1,MATCH(BU63,$BP$15:$BU$15,0)),结果汇总!$AI$10:$AI$13,0)</f>
        <v>#VALUE!</v>
      </c>
      <c r="CK63" s="10">
        <f t="shared" si="75"/>
        <v>0</v>
      </c>
      <c r="CL63" s="10">
        <f t="shared" si="75"/>
        <v>0</v>
      </c>
      <c r="CM63" s="10">
        <f t="shared" si="75"/>
        <v>0</v>
      </c>
      <c r="CN63" s="10">
        <f t="shared" si="75"/>
        <v>0</v>
      </c>
      <c r="CO63" s="10">
        <f t="shared" si="76"/>
        <v>0</v>
      </c>
      <c r="CP63" s="10">
        <f t="shared" si="76"/>
        <v>0</v>
      </c>
      <c r="CQ63" s="10">
        <f t="shared" si="76"/>
        <v>0</v>
      </c>
      <c r="CR63" s="10">
        <f t="shared" si="76"/>
        <v>0</v>
      </c>
      <c r="CS63" s="10" t="e">
        <f t="shared" si="77"/>
        <v>#DIV/0!</v>
      </c>
      <c r="CT63" s="10" t="e">
        <f t="shared" si="77"/>
        <v>#DIV/0!</v>
      </c>
      <c r="CU63" s="10" t="e">
        <f t="shared" si="77"/>
        <v>#DIV/0!</v>
      </c>
      <c r="CV63" s="10" t="e">
        <f t="shared" si="77"/>
        <v>#DIV/0!</v>
      </c>
      <c r="CW63" s="10">
        <f t="shared" si="78"/>
        <v>0</v>
      </c>
      <c r="CX63" s="10">
        <f t="shared" si="78"/>
        <v>0</v>
      </c>
      <c r="CY63" s="10">
        <f t="shared" si="78"/>
        <v>0</v>
      </c>
      <c r="CZ63" s="10">
        <f t="shared" si="78"/>
        <v>0</v>
      </c>
    </row>
    <row r="64" spans="4:104" x14ac:dyDescent="0.15">
      <c r="D64" s="10">
        <v>49</v>
      </c>
      <c r="E64" s="10" t="e">
        <f t="shared" si="21"/>
        <v>#VALUE!</v>
      </c>
      <c r="F64" s="10" t="e">
        <f t="shared" si="1"/>
        <v>#VALUE!</v>
      </c>
      <c r="G64" s="10" t="e">
        <f t="shared" si="2"/>
        <v>#VALUE!</v>
      </c>
      <c r="H64" s="10" t="e">
        <f t="shared" si="22"/>
        <v>#VALUE!</v>
      </c>
      <c r="I64" s="10" t="e">
        <f t="shared" si="3"/>
        <v>#VALUE!</v>
      </c>
      <c r="J64" s="10" t="e">
        <f t="shared" si="23"/>
        <v>#VALUE!</v>
      </c>
      <c r="K64" s="10" t="e">
        <f t="shared" si="4"/>
        <v>#VALUE!</v>
      </c>
      <c r="L64" s="10" t="e">
        <f t="shared" si="5"/>
        <v>#VALUE!</v>
      </c>
      <c r="M64" s="10" t="e">
        <f t="shared" si="24"/>
        <v>#VALUE!</v>
      </c>
      <c r="O64" s="10" t="e">
        <f t="shared" si="25"/>
        <v>#VALUE!</v>
      </c>
      <c r="P64" s="10" t="e">
        <f t="shared" si="6"/>
        <v>#VALUE!</v>
      </c>
      <c r="Q64" s="10" t="e">
        <f t="shared" si="7"/>
        <v>#VALUE!</v>
      </c>
      <c r="R64" s="10" t="e">
        <f t="shared" si="26"/>
        <v>#VALUE!</v>
      </c>
      <c r="S64" s="10" t="e">
        <f t="shared" si="27"/>
        <v>#VALUE!</v>
      </c>
      <c r="T64" s="10" t="e">
        <f t="shared" si="62"/>
        <v>#VALUE!</v>
      </c>
      <c r="U64" s="10" t="e">
        <f t="shared" si="63"/>
        <v>#VALUE!</v>
      </c>
      <c r="V64" s="10" t="e">
        <f t="shared" si="8"/>
        <v>#VALUE!</v>
      </c>
      <c r="W64" s="10" t="e">
        <f t="shared" si="28"/>
        <v>#VALUE!</v>
      </c>
      <c r="Y64" s="10" t="e">
        <f t="shared" si="29"/>
        <v>#VALUE!</v>
      </c>
      <c r="Z64" s="11" t="e">
        <f t="shared" si="30"/>
        <v>#VALUE!</v>
      </c>
      <c r="AA64" s="10" t="e">
        <f t="shared" si="9"/>
        <v>#VALUE!</v>
      </c>
      <c r="AB64" s="10" t="e">
        <f t="shared" si="31"/>
        <v>#VALUE!</v>
      </c>
      <c r="AC64" s="10" t="e">
        <f t="shared" si="32"/>
        <v>#VALUE!</v>
      </c>
      <c r="AD64" s="10" t="e">
        <f t="shared" si="64"/>
        <v>#VALUE!</v>
      </c>
      <c r="AE64" s="10" t="e">
        <f t="shared" si="65"/>
        <v>#VALUE!</v>
      </c>
      <c r="AF64" s="10" t="e">
        <f t="shared" si="10"/>
        <v>#VALUE!</v>
      </c>
      <c r="AG64" s="10" t="e">
        <f t="shared" si="33"/>
        <v>#VALUE!</v>
      </c>
      <c r="AI64" s="13"/>
      <c r="AK64" s="10" t="e">
        <f t="shared" si="34"/>
        <v>#VALUE!</v>
      </c>
      <c r="AL64" s="10" t="e">
        <f t="shared" si="66"/>
        <v>#VALUE!</v>
      </c>
      <c r="AM64" s="10" t="e">
        <f t="shared" si="11"/>
        <v>#VALUE!</v>
      </c>
      <c r="AN64" s="10" t="e">
        <f t="shared" si="35"/>
        <v>#VALUE!</v>
      </c>
      <c r="AO64" s="10" t="e">
        <f t="shared" si="36"/>
        <v>#VALUE!</v>
      </c>
      <c r="AP64" s="10" t="e">
        <f t="shared" si="37"/>
        <v>#VALUE!</v>
      </c>
      <c r="AQ64" s="10" t="e">
        <f t="shared" si="67"/>
        <v>#VALUE!</v>
      </c>
      <c r="AR64" s="10" t="e">
        <f t="shared" si="12"/>
        <v>#VALUE!</v>
      </c>
      <c r="AS64" s="10" t="e">
        <f t="shared" si="68"/>
        <v>#VALUE!</v>
      </c>
      <c r="AU64" s="10" t="e">
        <f t="shared" si="38"/>
        <v>#VALUE!</v>
      </c>
      <c r="AV64" s="10" t="e">
        <f t="shared" si="69"/>
        <v>#VALUE!</v>
      </c>
      <c r="AW64" s="10" t="e">
        <f t="shared" si="13"/>
        <v>#VALUE!</v>
      </c>
      <c r="AX64" s="10" t="e">
        <f t="shared" si="39"/>
        <v>#VALUE!</v>
      </c>
      <c r="AY64" s="10" t="e">
        <f t="shared" si="40"/>
        <v>#VALUE!</v>
      </c>
      <c r="AZ64" s="10" t="e">
        <f t="shared" si="41"/>
        <v>#VALUE!</v>
      </c>
      <c r="BA64" s="10" t="e">
        <f t="shared" si="70"/>
        <v>#VALUE!</v>
      </c>
      <c r="BB64" s="10" t="e">
        <f t="shared" si="14"/>
        <v>#VALUE!</v>
      </c>
      <c r="BC64" s="10" t="e">
        <f t="shared" si="71"/>
        <v>#VALUE!</v>
      </c>
      <c r="BE64" s="10" t="e">
        <f t="shared" si="42"/>
        <v>#VALUE!</v>
      </c>
      <c r="BF64" s="10" t="e">
        <f t="shared" si="72"/>
        <v>#VALUE!</v>
      </c>
      <c r="BG64" s="10" t="e">
        <f t="shared" si="15"/>
        <v>#VALUE!</v>
      </c>
      <c r="BH64" s="10" t="e">
        <f t="shared" si="43"/>
        <v>#VALUE!</v>
      </c>
      <c r="BI64" s="10" t="e">
        <f t="shared" si="44"/>
        <v>#VALUE!</v>
      </c>
      <c r="BJ64" s="10" t="e">
        <f t="shared" si="45"/>
        <v>#VALUE!</v>
      </c>
      <c r="BK64" s="10" t="e">
        <f t="shared" si="73"/>
        <v>#VALUE!</v>
      </c>
      <c r="BL64" s="10" t="e">
        <f t="shared" si="16"/>
        <v>#VALUE!</v>
      </c>
      <c r="BM64" s="10" t="e">
        <f t="shared" si="74"/>
        <v>#VALUE!</v>
      </c>
      <c r="BP64" s="10" t="e">
        <f t="shared" si="46"/>
        <v>#VALUE!</v>
      </c>
      <c r="BQ64" s="10" t="e">
        <f t="shared" si="47"/>
        <v>#VALUE!</v>
      </c>
      <c r="BR64" s="10" t="e">
        <f t="shared" si="48"/>
        <v>#VALUE!</v>
      </c>
      <c r="BS64" s="10" t="e">
        <f t="shared" si="49"/>
        <v>#VALUE!</v>
      </c>
      <c r="BT64" s="10" t="e">
        <f t="shared" si="50"/>
        <v>#VALUE!</v>
      </c>
      <c r="BU64" s="10" t="e">
        <f t="shared" si="51"/>
        <v>#VALUE!</v>
      </c>
      <c r="BW64" s="10" t="e">
        <f t="shared" si="52"/>
        <v>#VALUE!</v>
      </c>
      <c r="BX64" s="10" t="e">
        <f t="shared" si="53"/>
        <v>#VALUE!</v>
      </c>
      <c r="BY64" s="10" t="e">
        <f t="shared" si="54"/>
        <v>#VALUE!</v>
      </c>
      <c r="BZ64" s="10" t="e">
        <f t="shared" si="55"/>
        <v>#VALUE!</v>
      </c>
      <c r="CA64" s="10" t="e">
        <f t="shared" si="56"/>
        <v>#VALUE!</v>
      </c>
      <c r="CB64" s="10" t="e">
        <f t="shared" si="57"/>
        <v>#VALUE!</v>
      </c>
      <c r="CD64" s="10" t="e">
        <f>MATCH(INDEX($BP$12:$BU$12,1,MATCH(BP64,$BP$15:$BU$15,0)),结果汇总!$AI$10:$AI$13,0)</f>
        <v>#VALUE!</v>
      </c>
      <c r="CE64" s="10" t="e">
        <f>MATCH(INDEX($BP$12:$BU$12,1,MATCH(BQ64,$BP$15:$BU$15,0)),结果汇总!$AI$10:$AI$13,0)</f>
        <v>#VALUE!</v>
      </c>
      <c r="CF64" s="10" t="e">
        <f>MATCH(INDEX($BP$12:$BU$12,1,MATCH(BR64,$BP$15:$BU$15,0)),结果汇总!$AI$10:$AI$13,0)</f>
        <v>#VALUE!</v>
      </c>
      <c r="CG64" s="10" t="e">
        <f>MATCH(INDEX($BP$12:$BU$12,1,MATCH(BS64,$BP$15:$BU$15,0)),结果汇总!$AI$10:$AI$13,0)</f>
        <v>#VALUE!</v>
      </c>
      <c r="CH64" s="10" t="e">
        <f>MATCH(INDEX($BP$12:$BU$12,1,MATCH(BT64,$BP$15:$BU$15,0)),结果汇总!$AI$10:$AI$13,0)</f>
        <v>#VALUE!</v>
      </c>
      <c r="CI64" s="10" t="e">
        <f>MATCH(INDEX($BP$12:$BU$12,1,MATCH(BU64,$BP$15:$BU$15,0)),结果汇总!$AI$10:$AI$13,0)</f>
        <v>#VALUE!</v>
      </c>
      <c r="CK64" s="10">
        <f t="shared" si="75"/>
        <v>0</v>
      </c>
      <c r="CL64" s="10">
        <f t="shared" si="75"/>
        <v>0</v>
      </c>
      <c r="CM64" s="10">
        <f t="shared" si="75"/>
        <v>0</v>
      </c>
      <c r="CN64" s="10">
        <f t="shared" si="75"/>
        <v>0</v>
      </c>
      <c r="CO64" s="10">
        <f t="shared" si="76"/>
        <v>0</v>
      </c>
      <c r="CP64" s="10">
        <f t="shared" si="76"/>
        <v>0</v>
      </c>
      <c r="CQ64" s="10">
        <f t="shared" si="76"/>
        <v>0</v>
      </c>
      <c r="CR64" s="10">
        <f t="shared" si="76"/>
        <v>0</v>
      </c>
      <c r="CS64" s="10" t="e">
        <f t="shared" si="77"/>
        <v>#DIV/0!</v>
      </c>
      <c r="CT64" s="10" t="e">
        <f t="shared" si="77"/>
        <v>#DIV/0!</v>
      </c>
      <c r="CU64" s="10" t="e">
        <f t="shared" si="77"/>
        <v>#DIV/0!</v>
      </c>
      <c r="CV64" s="10" t="e">
        <f t="shared" si="77"/>
        <v>#DIV/0!</v>
      </c>
      <c r="CW64" s="10">
        <f t="shared" si="78"/>
        <v>0</v>
      </c>
      <c r="CX64" s="10">
        <f t="shared" si="78"/>
        <v>0</v>
      </c>
      <c r="CY64" s="10">
        <f t="shared" si="78"/>
        <v>0</v>
      </c>
      <c r="CZ64" s="10">
        <f t="shared" si="78"/>
        <v>0</v>
      </c>
    </row>
    <row r="65" spans="4:104" x14ac:dyDescent="0.15">
      <c r="D65" s="10">
        <v>50</v>
      </c>
      <c r="E65" s="10" t="e">
        <f t="shared" si="21"/>
        <v>#VALUE!</v>
      </c>
      <c r="F65" s="10" t="e">
        <f t="shared" si="1"/>
        <v>#VALUE!</v>
      </c>
      <c r="G65" s="10" t="e">
        <f t="shared" si="2"/>
        <v>#VALUE!</v>
      </c>
      <c r="H65" s="10" t="e">
        <f t="shared" si="22"/>
        <v>#VALUE!</v>
      </c>
      <c r="I65" s="10" t="e">
        <f t="shared" si="3"/>
        <v>#VALUE!</v>
      </c>
      <c r="J65" s="10" t="e">
        <f t="shared" si="23"/>
        <v>#VALUE!</v>
      </c>
      <c r="K65" s="10" t="e">
        <f t="shared" si="4"/>
        <v>#VALUE!</v>
      </c>
      <c r="L65" s="10" t="e">
        <f t="shared" si="5"/>
        <v>#VALUE!</v>
      </c>
      <c r="M65" s="10" t="e">
        <f t="shared" si="24"/>
        <v>#VALUE!</v>
      </c>
      <c r="O65" s="10" t="e">
        <f t="shared" si="25"/>
        <v>#VALUE!</v>
      </c>
      <c r="P65" s="10" t="e">
        <f t="shared" si="6"/>
        <v>#VALUE!</v>
      </c>
      <c r="Q65" s="10" t="e">
        <f t="shared" si="7"/>
        <v>#VALUE!</v>
      </c>
      <c r="R65" s="10" t="e">
        <f t="shared" si="26"/>
        <v>#VALUE!</v>
      </c>
      <c r="S65" s="10" t="e">
        <f t="shared" si="27"/>
        <v>#VALUE!</v>
      </c>
      <c r="T65" s="10" t="e">
        <f t="shared" si="62"/>
        <v>#VALUE!</v>
      </c>
      <c r="U65" s="10" t="e">
        <f t="shared" si="63"/>
        <v>#VALUE!</v>
      </c>
      <c r="V65" s="10" t="e">
        <f t="shared" si="8"/>
        <v>#VALUE!</v>
      </c>
      <c r="W65" s="10" t="e">
        <f t="shared" si="28"/>
        <v>#VALUE!</v>
      </c>
      <c r="Y65" s="10" t="e">
        <f t="shared" si="29"/>
        <v>#VALUE!</v>
      </c>
      <c r="Z65" s="11" t="e">
        <f t="shared" si="30"/>
        <v>#VALUE!</v>
      </c>
      <c r="AA65" s="10" t="e">
        <f t="shared" si="9"/>
        <v>#VALUE!</v>
      </c>
      <c r="AB65" s="10" t="e">
        <f t="shared" si="31"/>
        <v>#VALUE!</v>
      </c>
      <c r="AC65" s="10" t="e">
        <f t="shared" si="32"/>
        <v>#VALUE!</v>
      </c>
      <c r="AD65" s="10" t="e">
        <f t="shared" si="64"/>
        <v>#VALUE!</v>
      </c>
      <c r="AE65" s="10" t="e">
        <f t="shared" si="65"/>
        <v>#VALUE!</v>
      </c>
      <c r="AF65" s="10" t="e">
        <f t="shared" si="10"/>
        <v>#VALUE!</v>
      </c>
      <c r="AG65" s="10" t="e">
        <f t="shared" si="33"/>
        <v>#VALUE!</v>
      </c>
      <c r="AI65" s="13"/>
      <c r="AK65" s="10" t="e">
        <f t="shared" si="34"/>
        <v>#VALUE!</v>
      </c>
      <c r="AL65" s="10" t="e">
        <f t="shared" si="66"/>
        <v>#VALUE!</v>
      </c>
      <c r="AM65" s="10" t="e">
        <f t="shared" si="11"/>
        <v>#VALUE!</v>
      </c>
      <c r="AN65" s="10" t="e">
        <f t="shared" si="35"/>
        <v>#VALUE!</v>
      </c>
      <c r="AO65" s="10" t="e">
        <f t="shared" si="36"/>
        <v>#VALUE!</v>
      </c>
      <c r="AP65" s="10" t="e">
        <f t="shared" si="37"/>
        <v>#VALUE!</v>
      </c>
      <c r="AQ65" s="10" t="e">
        <f t="shared" si="67"/>
        <v>#VALUE!</v>
      </c>
      <c r="AR65" s="10" t="e">
        <f t="shared" si="12"/>
        <v>#VALUE!</v>
      </c>
      <c r="AS65" s="10" t="e">
        <f t="shared" si="68"/>
        <v>#VALUE!</v>
      </c>
      <c r="AU65" s="10" t="e">
        <f t="shared" si="38"/>
        <v>#VALUE!</v>
      </c>
      <c r="AV65" s="10" t="e">
        <f t="shared" si="69"/>
        <v>#VALUE!</v>
      </c>
      <c r="AW65" s="10" t="e">
        <f t="shared" si="13"/>
        <v>#VALUE!</v>
      </c>
      <c r="AX65" s="10" t="e">
        <f t="shared" si="39"/>
        <v>#VALUE!</v>
      </c>
      <c r="AY65" s="10" t="e">
        <f t="shared" si="40"/>
        <v>#VALUE!</v>
      </c>
      <c r="AZ65" s="10" t="e">
        <f t="shared" si="41"/>
        <v>#VALUE!</v>
      </c>
      <c r="BA65" s="10" t="e">
        <f t="shared" si="70"/>
        <v>#VALUE!</v>
      </c>
      <c r="BB65" s="10" t="e">
        <f t="shared" si="14"/>
        <v>#VALUE!</v>
      </c>
      <c r="BC65" s="10" t="e">
        <f t="shared" si="71"/>
        <v>#VALUE!</v>
      </c>
      <c r="BE65" s="10" t="e">
        <f t="shared" si="42"/>
        <v>#VALUE!</v>
      </c>
      <c r="BF65" s="10" t="e">
        <f t="shared" si="72"/>
        <v>#VALUE!</v>
      </c>
      <c r="BG65" s="10" t="e">
        <f t="shared" si="15"/>
        <v>#VALUE!</v>
      </c>
      <c r="BH65" s="10" t="e">
        <f t="shared" si="43"/>
        <v>#VALUE!</v>
      </c>
      <c r="BI65" s="10" t="e">
        <f t="shared" si="44"/>
        <v>#VALUE!</v>
      </c>
      <c r="BJ65" s="10" t="e">
        <f t="shared" si="45"/>
        <v>#VALUE!</v>
      </c>
      <c r="BK65" s="10" t="e">
        <f t="shared" si="73"/>
        <v>#VALUE!</v>
      </c>
      <c r="BL65" s="10" t="e">
        <f t="shared" si="16"/>
        <v>#VALUE!</v>
      </c>
      <c r="BM65" s="10" t="e">
        <f t="shared" si="74"/>
        <v>#VALUE!</v>
      </c>
      <c r="BP65" s="10" t="e">
        <f t="shared" si="46"/>
        <v>#VALUE!</v>
      </c>
      <c r="BQ65" s="10" t="e">
        <f t="shared" si="47"/>
        <v>#VALUE!</v>
      </c>
      <c r="BR65" s="10" t="e">
        <f t="shared" si="48"/>
        <v>#VALUE!</v>
      </c>
      <c r="BS65" s="10" t="e">
        <f t="shared" si="49"/>
        <v>#VALUE!</v>
      </c>
      <c r="BT65" s="10" t="e">
        <f t="shared" si="50"/>
        <v>#VALUE!</v>
      </c>
      <c r="BU65" s="10" t="e">
        <f t="shared" si="51"/>
        <v>#VALUE!</v>
      </c>
      <c r="BW65" s="10" t="e">
        <f t="shared" si="52"/>
        <v>#VALUE!</v>
      </c>
      <c r="BX65" s="10" t="e">
        <f t="shared" si="53"/>
        <v>#VALUE!</v>
      </c>
      <c r="BY65" s="10" t="e">
        <f t="shared" si="54"/>
        <v>#VALUE!</v>
      </c>
      <c r="BZ65" s="10" t="e">
        <f t="shared" si="55"/>
        <v>#VALUE!</v>
      </c>
      <c r="CA65" s="10" t="e">
        <f t="shared" si="56"/>
        <v>#VALUE!</v>
      </c>
      <c r="CB65" s="10" t="e">
        <f t="shared" si="57"/>
        <v>#VALUE!</v>
      </c>
      <c r="CD65" s="10" t="e">
        <f>MATCH(INDEX($BP$12:$BU$12,1,MATCH(BP65,$BP$15:$BU$15,0)),结果汇总!$AI$10:$AI$13,0)</f>
        <v>#VALUE!</v>
      </c>
      <c r="CE65" s="10" t="e">
        <f>MATCH(INDEX($BP$12:$BU$12,1,MATCH(BQ65,$BP$15:$BU$15,0)),结果汇总!$AI$10:$AI$13,0)</f>
        <v>#VALUE!</v>
      </c>
      <c r="CF65" s="10" t="e">
        <f>MATCH(INDEX($BP$12:$BU$12,1,MATCH(BR65,$BP$15:$BU$15,0)),结果汇总!$AI$10:$AI$13,0)</f>
        <v>#VALUE!</v>
      </c>
      <c r="CG65" s="10" t="e">
        <f>MATCH(INDEX($BP$12:$BU$12,1,MATCH(BS65,$BP$15:$BU$15,0)),结果汇总!$AI$10:$AI$13,0)</f>
        <v>#VALUE!</v>
      </c>
      <c r="CH65" s="10" t="e">
        <f>MATCH(INDEX($BP$12:$BU$12,1,MATCH(BT65,$BP$15:$BU$15,0)),结果汇总!$AI$10:$AI$13,0)</f>
        <v>#VALUE!</v>
      </c>
      <c r="CI65" s="10" t="e">
        <f>MATCH(INDEX($BP$12:$BU$12,1,MATCH(BU65,$BP$15:$BU$15,0)),结果汇总!$AI$10:$AI$13,0)</f>
        <v>#VALUE!</v>
      </c>
      <c r="CK65" s="10">
        <f t="shared" si="75"/>
        <v>0</v>
      </c>
      <c r="CL65" s="10">
        <f t="shared" si="75"/>
        <v>0</v>
      </c>
      <c r="CM65" s="10">
        <f t="shared" si="75"/>
        <v>0</v>
      </c>
      <c r="CN65" s="10">
        <f t="shared" si="75"/>
        <v>0</v>
      </c>
      <c r="CO65" s="10">
        <f t="shared" si="76"/>
        <v>0</v>
      </c>
      <c r="CP65" s="10">
        <f t="shared" si="76"/>
        <v>0</v>
      </c>
      <c r="CQ65" s="10">
        <f t="shared" si="76"/>
        <v>0</v>
      </c>
      <c r="CR65" s="10">
        <f t="shared" si="76"/>
        <v>0</v>
      </c>
      <c r="CS65" s="10" t="e">
        <f t="shared" si="77"/>
        <v>#DIV/0!</v>
      </c>
      <c r="CT65" s="10" t="e">
        <f t="shared" si="77"/>
        <v>#DIV/0!</v>
      </c>
      <c r="CU65" s="10" t="e">
        <f t="shared" si="77"/>
        <v>#DIV/0!</v>
      </c>
      <c r="CV65" s="10" t="e">
        <f t="shared" si="77"/>
        <v>#DIV/0!</v>
      </c>
      <c r="CW65" s="10">
        <f t="shared" si="78"/>
        <v>0</v>
      </c>
      <c r="CX65" s="10">
        <f t="shared" si="78"/>
        <v>0</v>
      </c>
      <c r="CY65" s="10">
        <f t="shared" si="78"/>
        <v>0</v>
      </c>
      <c r="CZ65" s="10">
        <f t="shared" si="78"/>
        <v>0</v>
      </c>
    </row>
    <row r="66" spans="4:104" x14ac:dyDescent="0.15">
      <c r="D66" s="10">
        <v>51</v>
      </c>
      <c r="E66" s="10" t="e">
        <f t="shared" si="21"/>
        <v>#VALUE!</v>
      </c>
      <c r="F66" s="10" t="e">
        <f t="shared" si="1"/>
        <v>#VALUE!</v>
      </c>
      <c r="G66" s="10" t="e">
        <f t="shared" si="2"/>
        <v>#VALUE!</v>
      </c>
      <c r="H66" s="10" t="e">
        <f t="shared" si="22"/>
        <v>#VALUE!</v>
      </c>
      <c r="I66" s="10" t="e">
        <f t="shared" si="3"/>
        <v>#VALUE!</v>
      </c>
      <c r="J66" s="10" t="e">
        <f t="shared" si="23"/>
        <v>#VALUE!</v>
      </c>
      <c r="K66" s="10" t="e">
        <f t="shared" si="4"/>
        <v>#VALUE!</v>
      </c>
      <c r="L66" s="10" t="e">
        <f t="shared" si="5"/>
        <v>#VALUE!</v>
      </c>
      <c r="M66" s="10" t="e">
        <f t="shared" si="24"/>
        <v>#VALUE!</v>
      </c>
      <c r="O66" s="10" t="e">
        <f t="shared" si="25"/>
        <v>#VALUE!</v>
      </c>
      <c r="P66" s="10" t="e">
        <f t="shared" si="6"/>
        <v>#VALUE!</v>
      </c>
      <c r="Q66" s="10" t="e">
        <f t="shared" si="7"/>
        <v>#VALUE!</v>
      </c>
      <c r="R66" s="10" t="e">
        <f t="shared" si="26"/>
        <v>#VALUE!</v>
      </c>
      <c r="S66" s="10" t="e">
        <f t="shared" si="27"/>
        <v>#VALUE!</v>
      </c>
      <c r="T66" s="10" t="e">
        <f t="shared" si="62"/>
        <v>#VALUE!</v>
      </c>
      <c r="U66" s="10" t="e">
        <f t="shared" si="63"/>
        <v>#VALUE!</v>
      </c>
      <c r="V66" s="10" t="e">
        <f t="shared" si="8"/>
        <v>#VALUE!</v>
      </c>
      <c r="W66" s="10" t="e">
        <f t="shared" si="28"/>
        <v>#VALUE!</v>
      </c>
      <c r="Y66" s="10" t="e">
        <f t="shared" si="29"/>
        <v>#VALUE!</v>
      </c>
      <c r="Z66" s="11" t="e">
        <f t="shared" si="30"/>
        <v>#VALUE!</v>
      </c>
      <c r="AA66" s="10" t="e">
        <f t="shared" si="9"/>
        <v>#VALUE!</v>
      </c>
      <c r="AB66" s="10" t="e">
        <f t="shared" si="31"/>
        <v>#VALUE!</v>
      </c>
      <c r="AC66" s="10" t="e">
        <f t="shared" si="32"/>
        <v>#VALUE!</v>
      </c>
      <c r="AD66" s="10" t="e">
        <f t="shared" si="64"/>
        <v>#VALUE!</v>
      </c>
      <c r="AE66" s="10" t="e">
        <f t="shared" si="65"/>
        <v>#VALUE!</v>
      </c>
      <c r="AF66" s="10" t="e">
        <f t="shared" si="10"/>
        <v>#VALUE!</v>
      </c>
      <c r="AG66" s="10" t="e">
        <f t="shared" si="33"/>
        <v>#VALUE!</v>
      </c>
      <c r="AI66" s="13"/>
      <c r="AK66" s="10" t="e">
        <f t="shared" si="34"/>
        <v>#VALUE!</v>
      </c>
      <c r="AL66" s="10" t="e">
        <f t="shared" si="66"/>
        <v>#VALUE!</v>
      </c>
      <c r="AM66" s="10" t="e">
        <f t="shared" si="11"/>
        <v>#VALUE!</v>
      </c>
      <c r="AN66" s="10" t="e">
        <f t="shared" si="35"/>
        <v>#VALUE!</v>
      </c>
      <c r="AO66" s="10" t="e">
        <f t="shared" si="36"/>
        <v>#VALUE!</v>
      </c>
      <c r="AP66" s="10" t="e">
        <f t="shared" si="37"/>
        <v>#VALUE!</v>
      </c>
      <c r="AQ66" s="10" t="e">
        <f t="shared" si="67"/>
        <v>#VALUE!</v>
      </c>
      <c r="AR66" s="10" t="e">
        <f t="shared" si="12"/>
        <v>#VALUE!</v>
      </c>
      <c r="AS66" s="10" t="e">
        <f t="shared" si="68"/>
        <v>#VALUE!</v>
      </c>
      <c r="AU66" s="10" t="e">
        <f t="shared" si="38"/>
        <v>#VALUE!</v>
      </c>
      <c r="AV66" s="10" t="e">
        <f t="shared" si="69"/>
        <v>#VALUE!</v>
      </c>
      <c r="AW66" s="10" t="e">
        <f t="shared" si="13"/>
        <v>#VALUE!</v>
      </c>
      <c r="AX66" s="10" t="e">
        <f t="shared" si="39"/>
        <v>#VALUE!</v>
      </c>
      <c r="AY66" s="10" t="e">
        <f t="shared" si="40"/>
        <v>#VALUE!</v>
      </c>
      <c r="AZ66" s="10" t="e">
        <f t="shared" si="41"/>
        <v>#VALUE!</v>
      </c>
      <c r="BA66" s="10" t="e">
        <f t="shared" si="70"/>
        <v>#VALUE!</v>
      </c>
      <c r="BB66" s="10" t="e">
        <f t="shared" si="14"/>
        <v>#VALUE!</v>
      </c>
      <c r="BC66" s="10" t="e">
        <f t="shared" si="71"/>
        <v>#VALUE!</v>
      </c>
      <c r="BE66" s="10" t="e">
        <f t="shared" si="42"/>
        <v>#VALUE!</v>
      </c>
      <c r="BF66" s="10" t="e">
        <f t="shared" si="72"/>
        <v>#VALUE!</v>
      </c>
      <c r="BG66" s="10" t="e">
        <f t="shared" si="15"/>
        <v>#VALUE!</v>
      </c>
      <c r="BH66" s="10" t="e">
        <f t="shared" si="43"/>
        <v>#VALUE!</v>
      </c>
      <c r="BI66" s="10" t="e">
        <f t="shared" si="44"/>
        <v>#VALUE!</v>
      </c>
      <c r="BJ66" s="10" t="e">
        <f t="shared" si="45"/>
        <v>#VALUE!</v>
      </c>
      <c r="BK66" s="10" t="e">
        <f t="shared" si="73"/>
        <v>#VALUE!</v>
      </c>
      <c r="BL66" s="10" t="e">
        <f t="shared" si="16"/>
        <v>#VALUE!</v>
      </c>
      <c r="BM66" s="10" t="e">
        <f t="shared" si="74"/>
        <v>#VALUE!</v>
      </c>
      <c r="BP66" s="10" t="e">
        <f t="shared" si="46"/>
        <v>#VALUE!</v>
      </c>
      <c r="BQ66" s="10" t="e">
        <f t="shared" si="47"/>
        <v>#VALUE!</v>
      </c>
      <c r="BR66" s="10" t="e">
        <f t="shared" si="48"/>
        <v>#VALUE!</v>
      </c>
      <c r="BS66" s="10" t="e">
        <f t="shared" si="49"/>
        <v>#VALUE!</v>
      </c>
      <c r="BT66" s="10" t="e">
        <f t="shared" si="50"/>
        <v>#VALUE!</v>
      </c>
      <c r="BU66" s="10" t="e">
        <f t="shared" si="51"/>
        <v>#VALUE!</v>
      </c>
      <c r="BW66" s="10" t="e">
        <f t="shared" si="52"/>
        <v>#VALUE!</v>
      </c>
      <c r="BX66" s="10" t="e">
        <f t="shared" si="53"/>
        <v>#VALUE!</v>
      </c>
      <c r="BY66" s="10" t="e">
        <f t="shared" si="54"/>
        <v>#VALUE!</v>
      </c>
      <c r="BZ66" s="10" t="e">
        <f t="shared" si="55"/>
        <v>#VALUE!</v>
      </c>
      <c r="CA66" s="10" t="e">
        <f t="shared" si="56"/>
        <v>#VALUE!</v>
      </c>
      <c r="CB66" s="10" t="e">
        <f t="shared" si="57"/>
        <v>#VALUE!</v>
      </c>
      <c r="CD66" s="10" t="e">
        <f>MATCH(INDEX($BP$12:$BU$12,1,MATCH(BP66,$BP$15:$BU$15,0)),结果汇总!$AI$10:$AI$13,0)</f>
        <v>#VALUE!</v>
      </c>
      <c r="CE66" s="10" t="e">
        <f>MATCH(INDEX($BP$12:$BU$12,1,MATCH(BQ66,$BP$15:$BU$15,0)),结果汇总!$AI$10:$AI$13,0)</f>
        <v>#VALUE!</v>
      </c>
      <c r="CF66" s="10" t="e">
        <f>MATCH(INDEX($BP$12:$BU$12,1,MATCH(BR66,$BP$15:$BU$15,0)),结果汇总!$AI$10:$AI$13,0)</f>
        <v>#VALUE!</v>
      </c>
      <c r="CG66" s="10" t="e">
        <f>MATCH(INDEX($BP$12:$BU$12,1,MATCH(BS66,$BP$15:$BU$15,0)),结果汇总!$AI$10:$AI$13,0)</f>
        <v>#VALUE!</v>
      </c>
      <c r="CH66" s="10" t="e">
        <f>MATCH(INDEX($BP$12:$BU$12,1,MATCH(BT66,$BP$15:$BU$15,0)),结果汇总!$AI$10:$AI$13,0)</f>
        <v>#VALUE!</v>
      </c>
      <c r="CI66" s="10" t="e">
        <f>MATCH(INDEX($BP$12:$BU$12,1,MATCH(BU66,$BP$15:$BU$15,0)),结果汇总!$AI$10:$AI$13,0)</f>
        <v>#VALUE!</v>
      </c>
      <c r="CK66" s="10">
        <f t="shared" si="75"/>
        <v>0</v>
      </c>
      <c r="CL66" s="10">
        <f t="shared" si="75"/>
        <v>0</v>
      </c>
      <c r="CM66" s="10">
        <f t="shared" si="75"/>
        <v>0</v>
      </c>
      <c r="CN66" s="10">
        <f t="shared" si="75"/>
        <v>0</v>
      </c>
      <c r="CO66" s="10">
        <f t="shared" si="76"/>
        <v>0</v>
      </c>
      <c r="CP66" s="10">
        <f t="shared" si="76"/>
        <v>0</v>
      </c>
      <c r="CQ66" s="10">
        <f t="shared" si="76"/>
        <v>0</v>
      </c>
      <c r="CR66" s="10">
        <f t="shared" si="76"/>
        <v>0</v>
      </c>
      <c r="CS66" s="10" t="e">
        <f t="shared" si="77"/>
        <v>#DIV/0!</v>
      </c>
      <c r="CT66" s="10" t="e">
        <f t="shared" si="77"/>
        <v>#DIV/0!</v>
      </c>
      <c r="CU66" s="10" t="e">
        <f t="shared" si="77"/>
        <v>#DIV/0!</v>
      </c>
      <c r="CV66" s="10" t="e">
        <f t="shared" si="77"/>
        <v>#DIV/0!</v>
      </c>
      <c r="CW66" s="10">
        <f t="shared" si="78"/>
        <v>0</v>
      </c>
      <c r="CX66" s="10">
        <f t="shared" si="78"/>
        <v>0</v>
      </c>
      <c r="CY66" s="10">
        <f t="shared" si="78"/>
        <v>0</v>
      </c>
      <c r="CZ66" s="10">
        <f t="shared" si="78"/>
        <v>0</v>
      </c>
    </row>
    <row r="67" spans="4:104" x14ac:dyDescent="0.15">
      <c r="D67" s="10">
        <v>52</v>
      </c>
      <c r="E67" s="10" t="e">
        <f t="shared" si="21"/>
        <v>#VALUE!</v>
      </c>
      <c r="F67" s="10" t="e">
        <f t="shared" si="1"/>
        <v>#VALUE!</v>
      </c>
      <c r="G67" s="10" t="e">
        <f t="shared" si="2"/>
        <v>#VALUE!</v>
      </c>
      <c r="H67" s="10" t="e">
        <f t="shared" si="22"/>
        <v>#VALUE!</v>
      </c>
      <c r="I67" s="10" t="e">
        <f t="shared" si="3"/>
        <v>#VALUE!</v>
      </c>
      <c r="J67" s="10" t="e">
        <f t="shared" si="23"/>
        <v>#VALUE!</v>
      </c>
      <c r="K67" s="10" t="e">
        <f t="shared" si="4"/>
        <v>#VALUE!</v>
      </c>
      <c r="L67" s="10" t="e">
        <f t="shared" si="5"/>
        <v>#VALUE!</v>
      </c>
      <c r="M67" s="10" t="e">
        <f t="shared" si="24"/>
        <v>#VALUE!</v>
      </c>
      <c r="O67" s="10" t="e">
        <f t="shared" si="25"/>
        <v>#VALUE!</v>
      </c>
      <c r="P67" s="10" t="e">
        <f t="shared" si="6"/>
        <v>#VALUE!</v>
      </c>
      <c r="Q67" s="10" t="e">
        <f t="shared" si="7"/>
        <v>#VALUE!</v>
      </c>
      <c r="R67" s="10" t="e">
        <f t="shared" si="26"/>
        <v>#VALUE!</v>
      </c>
      <c r="S67" s="10" t="e">
        <f t="shared" si="27"/>
        <v>#VALUE!</v>
      </c>
      <c r="T67" s="10" t="e">
        <f t="shared" si="62"/>
        <v>#VALUE!</v>
      </c>
      <c r="U67" s="10" t="e">
        <f t="shared" si="63"/>
        <v>#VALUE!</v>
      </c>
      <c r="V67" s="10" t="e">
        <f t="shared" si="8"/>
        <v>#VALUE!</v>
      </c>
      <c r="W67" s="10" t="e">
        <f t="shared" si="28"/>
        <v>#VALUE!</v>
      </c>
      <c r="Y67" s="10" t="e">
        <f t="shared" si="29"/>
        <v>#VALUE!</v>
      </c>
      <c r="Z67" s="11" t="e">
        <f t="shared" si="30"/>
        <v>#VALUE!</v>
      </c>
      <c r="AA67" s="10" t="e">
        <f t="shared" si="9"/>
        <v>#VALUE!</v>
      </c>
      <c r="AB67" s="10" t="e">
        <f t="shared" si="31"/>
        <v>#VALUE!</v>
      </c>
      <c r="AC67" s="10" t="e">
        <f t="shared" si="32"/>
        <v>#VALUE!</v>
      </c>
      <c r="AD67" s="10" t="e">
        <f t="shared" si="64"/>
        <v>#VALUE!</v>
      </c>
      <c r="AE67" s="10" t="e">
        <f t="shared" si="65"/>
        <v>#VALUE!</v>
      </c>
      <c r="AF67" s="10" t="e">
        <f t="shared" si="10"/>
        <v>#VALUE!</v>
      </c>
      <c r="AG67" s="10" t="e">
        <f t="shared" si="33"/>
        <v>#VALUE!</v>
      </c>
      <c r="AI67" s="13"/>
      <c r="AK67" s="10" t="e">
        <f t="shared" si="34"/>
        <v>#VALUE!</v>
      </c>
      <c r="AL67" s="10" t="e">
        <f t="shared" si="66"/>
        <v>#VALUE!</v>
      </c>
      <c r="AM67" s="10" t="e">
        <f t="shared" si="11"/>
        <v>#VALUE!</v>
      </c>
      <c r="AN67" s="10" t="e">
        <f t="shared" si="35"/>
        <v>#VALUE!</v>
      </c>
      <c r="AO67" s="10" t="e">
        <f t="shared" si="36"/>
        <v>#VALUE!</v>
      </c>
      <c r="AP67" s="10" t="e">
        <f t="shared" si="37"/>
        <v>#VALUE!</v>
      </c>
      <c r="AQ67" s="10" t="e">
        <f t="shared" si="67"/>
        <v>#VALUE!</v>
      </c>
      <c r="AR67" s="10" t="e">
        <f t="shared" si="12"/>
        <v>#VALUE!</v>
      </c>
      <c r="AS67" s="10" t="e">
        <f t="shared" si="68"/>
        <v>#VALUE!</v>
      </c>
      <c r="AU67" s="10" t="e">
        <f t="shared" si="38"/>
        <v>#VALUE!</v>
      </c>
      <c r="AV67" s="10" t="e">
        <f t="shared" si="69"/>
        <v>#VALUE!</v>
      </c>
      <c r="AW67" s="10" t="e">
        <f t="shared" si="13"/>
        <v>#VALUE!</v>
      </c>
      <c r="AX67" s="10" t="e">
        <f t="shared" si="39"/>
        <v>#VALUE!</v>
      </c>
      <c r="AY67" s="10" t="e">
        <f t="shared" si="40"/>
        <v>#VALUE!</v>
      </c>
      <c r="AZ67" s="10" t="e">
        <f t="shared" si="41"/>
        <v>#VALUE!</v>
      </c>
      <c r="BA67" s="10" t="e">
        <f t="shared" si="70"/>
        <v>#VALUE!</v>
      </c>
      <c r="BB67" s="10" t="e">
        <f t="shared" si="14"/>
        <v>#VALUE!</v>
      </c>
      <c r="BC67" s="10" t="e">
        <f t="shared" si="71"/>
        <v>#VALUE!</v>
      </c>
      <c r="BE67" s="10" t="e">
        <f t="shared" si="42"/>
        <v>#VALUE!</v>
      </c>
      <c r="BF67" s="10" t="e">
        <f t="shared" si="72"/>
        <v>#VALUE!</v>
      </c>
      <c r="BG67" s="10" t="e">
        <f t="shared" si="15"/>
        <v>#VALUE!</v>
      </c>
      <c r="BH67" s="10" t="e">
        <f t="shared" si="43"/>
        <v>#VALUE!</v>
      </c>
      <c r="BI67" s="10" t="e">
        <f t="shared" si="44"/>
        <v>#VALUE!</v>
      </c>
      <c r="BJ67" s="10" t="e">
        <f t="shared" si="45"/>
        <v>#VALUE!</v>
      </c>
      <c r="BK67" s="10" t="e">
        <f t="shared" si="73"/>
        <v>#VALUE!</v>
      </c>
      <c r="BL67" s="10" t="e">
        <f t="shared" si="16"/>
        <v>#VALUE!</v>
      </c>
      <c r="BM67" s="10" t="e">
        <f t="shared" si="74"/>
        <v>#VALUE!</v>
      </c>
      <c r="BP67" s="10" t="e">
        <f t="shared" si="46"/>
        <v>#VALUE!</v>
      </c>
      <c r="BQ67" s="10" t="e">
        <f t="shared" si="47"/>
        <v>#VALUE!</v>
      </c>
      <c r="BR67" s="10" t="e">
        <f t="shared" si="48"/>
        <v>#VALUE!</v>
      </c>
      <c r="BS67" s="10" t="e">
        <f t="shared" si="49"/>
        <v>#VALUE!</v>
      </c>
      <c r="BT67" s="10" t="e">
        <f t="shared" si="50"/>
        <v>#VALUE!</v>
      </c>
      <c r="BU67" s="10" t="e">
        <f t="shared" si="51"/>
        <v>#VALUE!</v>
      </c>
      <c r="BW67" s="10" t="e">
        <f t="shared" si="52"/>
        <v>#VALUE!</v>
      </c>
      <c r="BX67" s="10" t="e">
        <f t="shared" si="53"/>
        <v>#VALUE!</v>
      </c>
      <c r="BY67" s="10" t="e">
        <f t="shared" si="54"/>
        <v>#VALUE!</v>
      </c>
      <c r="BZ67" s="10" t="e">
        <f t="shared" si="55"/>
        <v>#VALUE!</v>
      </c>
      <c r="CA67" s="10" t="e">
        <f t="shared" si="56"/>
        <v>#VALUE!</v>
      </c>
      <c r="CB67" s="10" t="e">
        <f t="shared" si="57"/>
        <v>#VALUE!</v>
      </c>
      <c r="CD67" s="10" t="e">
        <f>MATCH(INDEX($BP$12:$BU$12,1,MATCH(BP67,$BP$15:$BU$15,0)),结果汇总!$AI$10:$AI$13,0)</f>
        <v>#VALUE!</v>
      </c>
      <c r="CE67" s="10" t="e">
        <f>MATCH(INDEX($BP$12:$BU$12,1,MATCH(BQ67,$BP$15:$BU$15,0)),结果汇总!$AI$10:$AI$13,0)</f>
        <v>#VALUE!</v>
      </c>
      <c r="CF67" s="10" t="e">
        <f>MATCH(INDEX($BP$12:$BU$12,1,MATCH(BR67,$BP$15:$BU$15,0)),结果汇总!$AI$10:$AI$13,0)</f>
        <v>#VALUE!</v>
      </c>
      <c r="CG67" s="10" t="e">
        <f>MATCH(INDEX($BP$12:$BU$12,1,MATCH(BS67,$BP$15:$BU$15,0)),结果汇总!$AI$10:$AI$13,0)</f>
        <v>#VALUE!</v>
      </c>
      <c r="CH67" s="10" t="e">
        <f>MATCH(INDEX($BP$12:$BU$12,1,MATCH(BT67,$BP$15:$BU$15,0)),结果汇总!$AI$10:$AI$13,0)</f>
        <v>#VALUE!</v>
      </c>
      <c r="CI67" s="10" t="e">
        <f>MATCH(INDEX($BP$12:$BU$12,1,MATCH(BU67,$BP$15:$BU$15,0)),结果汇总!$AI$10:$AI$13,0)</f>
        <v>#VALUE!</v>
      </c>
      <c r="CK67" s="10">
        <f t="shared" si="75"/>
        <v>0</v>
      </c>
      <c r="CL67" s="10">
        <f t="shared" si="75"/>
        <v>0</v>
      </c>
      <c r="CM67" s="10">
        <f t="shared" si="75"/>
        <v>0</v>
      </c>
      <c r="CN67" s="10">
        <f t="shared" si="75"/>
        <v>0</v>
      </c>
      <c r="CO67" s="10">
        <f t="shared" si="76"/>
        <v>0</v>
      </c>
      <c r="CP67" s="10">
        <f t="shared" si="76"/>
        <v>0</v>
      </c>
      <c r="CQ67" s="10">
        <f t="shared" si="76"/>
        <v>0</v>
      </c>
      <c r="CR67" s="10">
        <f t="shared" si="76"/>
        <v>0</v>
      </c>
      <c r="CS67" s="10" t="e">
        <f t="shared" si="77"/>
        <v>#DIV/0!</v>
      </c>
      <c r="CT67" s="10" t="e">
        <f t="shared" si="77"/>
        <v>#DIV/0!</v>
      </c>
      <c r="CU67" s="10" t="e">
        <f t="shared" si="77"/>
        <v>#DIV/0!</v>
      </c>
      <c r="CV67" s="10" t="e">
        <f t="shared" si="77"/>
        <v>#DIV/0!</v>
      </c>
      <c r="CW67" s="10">
        <f t="shared" si="78"/>
        <v>0</v>
      </c>
      <c r="CX67" s="10">
        <f t="shared" si="78"/>
        <v>0</v>
      </c>
      <c r="CY67" s="10">
        <f t="shared" si="78"/>
        <v>0</v>
      </c>
      <c r="CZ67" s="10">
        <f t="shared" si="78"/>
        <v>0</v>
      </c>
    </row>
    <row r="68" spans="4:104" x14ac:dyDescent="0.15">
      <c r="D68" s="10">
        <v>53</v>
      </c>
      <c r="E68" s="10" t="e">
        <f t="shared" si="21"/>
        <v>#VALUE!</v>
      </c>
      <c r="F68" s="10" t="e">
        <f t="shared" si="1"/>
        <v>#VALUE!</v>
      </c>
      <c r="G68" s="10" t="e">
        <f t="shared" si="2"/>
        <v>#VALUE!</v>
      </c>
      <c r="H68" s="10" t="e">
        <f t="shared" si="22"/>
        <v>#VALUE!</v>
      </c>
      <c r="I68" s="10" t="e">
        <f t="shared" si="3"/>
        <v>#VALUE!</v>
      </c>
      <c r="J68" s="10" t="e">
        <f t="shared" si="23"/>
        <v>#VALUE!</v>
      </c>
      <c r="K68" s="10" t="e">
        <f t="shared" si="4"/>
        <v>#VALUE!</v>
      </c>
      <c r="L68" s="10" t="e">
        <f t="shared" si="5"/>
        <v>#VALUE!</v>
      </c>
      <c r="M68" s="10" t="e">
        <f t="shared" si="24"/>
        <v>#VALUE!</v>
      </c>
      <c r="O68" s="10" t="e">
        <f t="shared" si="25"/>
        <v>#VALUE!</v>
      </c>
      <c r="P68" s="10" t="e">
        <f t="shared" si="6"/>
        <v>#VALUE!</v>
      </c>
      <c r="Q68" s="10" t="e">
        <f t="shared" si="7"/>
        <v>#VALUE!</v>
      </c>
      <c r="R68" s="10" t="e">
        <f t="shared" si="26"/>
        <v>#VALUE!</v>
      </c>
      <c r="S68" s="10" t="e">
        <f t="shared" si="27"/>
        <v>#VALUE!</v>
      </c>
      <c r="T68" s="10" t="e">
        <f t="shared" si="62"/>
        <v>#VALUE!</v>
      </c>
      <c r="U68" s="10" t="e">
        <f t="shared" si="63"/>
        <v>#VALUE!</v>
      </c>
      <c r="V68" s="10" t="e">
        <f t="shared" si="8"/>
        <v>#VALUE!</v>
      </c>
      <c r="W68" s="10" t="e">
        <f t="shared" si="28"/>
        <v>#VALUE!</v>
      </c>
      <c r="Y68" s="10" t="e">
        <f t="shared" si="29"/>
        <v>#VALUE!</v>
      </c>
      <c r="Z68" s="11" t="e">
        <f t="shared" si="30"/>
        <v>#VALUE!</v>
      </c>
      <c r="AA68" s="10" t="e">
        <f t="shared" si="9"/>
        <v>#VALUE!</v>
      </c>
      <c r="AB68" s="10" t="e">
        <f t="shared" si="31"/>
        <v>#VALUE!</v>
      </c>
      <c r="AC68" s="10" t="e">
        <f t="shared" si="32"/>
        <v>#VALUE!</v>
      </c>
      <c r="AD68" s="10" t="e">
        <f t="shared" si="64"/>
        <v>#VALUE!</v>
      </c>
      <c r="AE68" s="10" t="e">
        <f t="shared" si="65"/>
        <v>#VALUE!</v>
      </c>
      <c r="AF68" s="10" t="e">
        <f t="shared" si="10"/>
        <v>#VALUE!</v>
      </c>
      <c r="AG68" s="10" t="e">
        <f t="shared" si="33"/>
        <v>#VALUE!</v>
      </c>
      <c r="AI68" s="13"/>
      <c r="AK68" s="10" t="e">
        <f t="shared" si="34"/>
        <v>#VALUE!</v>
      </c>
      <c r="AL68" s="10" t="e">
        <f t="shared" si="66"/>
        <v>#VALUE!</v>
      </c>
      <c r="AM68" s="10" t="e">
        <f t="shared" si="11"/>
        <v>#VALUE!</v>
      </c>
      <c r="AN68" s="10" t="e">
        <f t="shared" si="35"/>
        <v>#VALUE!</v>
      </c>
      <c r="AO68" s="10" t="e">
        <f t="shared" si="36"/>
        <v>#VALUE!</v>
      </c>
      <c r="AP68" s="10" t="e">
        <f t="shared" si="37"/>
        <v>#VALUE!</v>
      </c>
      <c r="AQ68" s="10" t="e">
        <f t="shared" si="67"/>
        <v>#VALUE!</v>
      </c>
      <c r="AR68" s="10" t="e">
        <f t="shared" si="12"/>
        <v>#VALUE!</v>
      </c>
      <c r="AS68" s="10" t="e">
        <f t="shared" si="68"/>
        <v>#VALUE!</v>
      </c>
      <c r="AU68" s="10" t="e">
        <f t="shared" si="38"/>
        <v>#VALUE!</v>
      </c>
      <c r="AV68" s="10" t="e">
        <f t="shared" si="69"/>
        <v>#VALUE!</v>
      </c>
      <c r="AW68" s="10" t="e">
        <f t="shared" si="13"/>
        <v>#VALUE!</v>
      </c>
      <c r="AX68" s="10" t="e">
        <f t="shared" si="39"/>
        <v>#VALUE!</v>
      </c>
      <c r="AY68" s="10" t="e">
        <f t="shared" si="40"/>
        <v>#VALUE!</v>
      </c>
      <c r="AZ68" s="10" t="e">
        <f t="shared" si="41"/>
        <v>#VALUE!</v>
      </c>
      <c r="BA68" s="10" t="e">
        <f t="shared" si="70"/>
        <v>#VALUE!</v>
      </c>
      <c r="BB68" s="10" t="e">
        <f t="shared" si="14"/>
        <v>#VALUE!</v>
      </c>
      <c r="BC68" s="10" t="e">
        <f t="shared" si="71"/>
        <v>#VALUE!</v>
      </c>
      <c r="BE68" s="10" t="e">
        <f t="shared" si="42"/>
        <v>#VALUE!</v>
      </c>
      <c r="BF68" s="10" t="e">
        <f t="shared" si="72"/>
        <v>#VALUE!</v>
      </c>
      <c r="BG68" s="10" t="e">
        <f t="shared" si="15"/>
        <v>#VALUE!</v>
      </c>
      <c r="BH68" s="10" t="e">
        <f t="shared" si="43"/>
        <v>#VALUE!</v>
      </c>
      <c r="BI68" s="10" t="e">
        <f t="shared" si="44"/>
        <v>#VALUE!</v>
      </c>
      <c r="BJ68" s="10" t="e">
        <f t="shared" si="45"/>
        <v>#VALUE!</v>
      </c>
      <c r="BK68" s="10" t="e">
        <f t="shared" si="73"/>
        <v>#VALUE!</v>
      </c>
      <c r="BL68" s="10" t="e">
        <f t="shared" si="16"/>
        <v>#VALUE!</v>
      </c>
      <c r="BM68" s="10" t="e">
        <f t="shared" si="74"/>
        <v>#VALUE!</v>
      </c>
      <c r="BP68" s="10" t="e">
        <f t="shared" si="46"/>
        <v>#VALUE!</v>
      </c>
      <c r="BQ68" s="10" t="e">
        <f t="shared" si="47"/>
        <v>#VALUE!</v>
      </c>
      <c r="BR68" s="10" t="e">
        <f t="shared" si="48"/>
        <v>#VALUE!</v>
      </c>
      <c r="BS68" s="10" t="e">
        <f t="shared" si="49"/>
        <v>#VALUE!</v>
      </c>
      <c r="BT68" s="10" t="e">
        <f t="shared" si="50"/>
        <v>#VALUE!</v>
      </c>
      <c r="BU68" s="10" t="e">
        <f t="shared" si="51"/>
        <v>#VALUE!</v>
      </c>
      <c r="BW68" s="10" t="e">
        <f t="shared" si="52"/>
        <v>#VALUE!</v>
      </c>
      <c r="BX68" s="10" t="e">
        <f t="shared" si="53"/>
        <v>#VALUE!</v>
      </c>
      <c r="BY68" s="10" t="e">
        <f t="shared" si="54"/>
        <v>#VALUE!</v>
      </c>
      <c r="BZ68" s="10" t="e">
        <f t="shared" si="55"/>
        <v>#VALUE!</v>
      </c>
      <c r="CA68" s="10" t="e">
        <f t="shared" si="56"/>
        <v>#VALUE!</v>
      </c>
      <c r="CB68" s="10" t="e">
        <f t="shared" si="57"/>
        <v>#VALUE!</v>
      </c>
      <c r="CD68" s="10" t="e">
        <f>MATCH(INDEX($BP$12:$BU$12,1,MATCH(BP68,$BP$15:$BU$15,0)),结果汇总!$AI$10:$AI$13,0)</f>
        <v>#VALUE!</v>
      </c>
      <c r="CE68" s="10" t="e">
        <f>MATCH(INDEX($BP$12:$BU$12,1,MATCH(BQ68,$BP$15:$BU$15,0)),结果汇总!$AI$10:$AI$13,0)</f>
        <v>#VALUE!</v>
      </c>
      <c r="CF68" s="10" t="e">
        <f>MATCH(INDEX($BP$12:$BU$12,1,MATCH(BR68,$BP$15:$BU$15,0)),结果汇总!$AI$10:$AI$13,0)</f>
        <v>#VALUE!</v>
      </c>
      <c r="CG68" s="10" t="e">
        <f>MATCH(INDEX($BP$12:$BU$12,1,MATCH(BS68,$BP$15:$BU$15,0)),结果汇总!$AI$10:$AI$13,0)</f>
        <v>#VALUE!</v>
      </c>
      <c r="CH68" s="10" t="e">
        <f>MATCH(INDEX($BP$12:$BU$12,1,MATCH(BT68,$BP$15:$BU$15,0)),结果汇总!$AI$10:$AI$13,0)</f>
        <v>#VALUE!</v>
      </c>
      <c r="CI68" s="10" t="e">
        <f>MATCH(INDEX($BP$12:$BU$12,1,MATCH(BU68,$BP$15:$BU$15,0)),结果汇总!$AI$10:$AI$13,0)</f>
        <v>#VALUE!</v>
      </c>
      <c r="CK68" s="10">
        <f t="shared" si="75"/>
        <v>0</v>
      </c>
      <c r="CL68" s="10">
        <f t="shared" si="75"/>
        <v>0</v>
      </c>
      <c r="CM68" s="10">
        <f t="shared" si="75"/>
        <v>0</v>
      </c>
      <c r="CN68" s="10">
        <f t="shared" si="75"/>
        <v>0</v>
      </c>
      <c r="CO68" s="10">
        <f t="shared" si="76"/>
        <v>0</v>
      </c>
      <c r="CP68" s="10">
        <f t="shared" si="76"/>
        <v>0</v>
      </c>
      <c r="CQ68" s="10">
        <f t="shared" si="76"/>
        <v>0</v>
      </c>
      <c r="CR68" s="10">
        <f t="shared" si="76"/>
        <v>0</v>
      </c>
      <c r="CS68" s="10" t="e">
        <f t="shared" si="77"/>
        <v>#DIV/0!</v>
      </c>
      <c r="CT68" s="10" t="e">
        <f t="shared" si="77"/>
        <v>#DIV/0!</v>
      </c>
      <c r="CU68" s="10" t="e">
        <f t="shared" si="77"/>
        <v>#DIV/0!</v>
      </c>
      <c r="CV68" s="10" t="e">
        <f t="shared" si="77"/>
        <v>#DIV/0!</v>
      </c>
      <c r="CW68" s="10">
        <f t="shared" si="78"/>
        <v>0</v>
      </c>
      <c r="CX68" s="10">
        <f t="shared" si="78"/>
        <v>0</v>
      </c>
      <c r="CY68" s="10">
        <f t="shared" si="78"/>
        <v>0</v>
      </c>
      <c r="CZ68" s="10">
        <f t="shared" si="78"/>
        <v>0</v>
      </c>
    </row>
    <row r="69" spans="4:104" x14ac:dyDescent="0.15">
      <c r="D69" s="10">
        <v>54</v>
      </c>
      <c r="E69" s="10" t="e">
        <f t="shared" si="21"/>
        <v>#VALUE!</v>
      </c>
      <c r="F69" s="10" t="e">
        <f t="shared" si="1"/>
        <v>#VALUE!</v>
      </c>
      <c r="G69" s="10" t="e">
        <f t="shared" si="2"/>
        <v>#VALUE!</v>
      </c>
      <c r="H69" s="10" t="e">
        <f t="shared" si="22"/>
        <v>#VALUE!</v>
      </c>
      <c r="I69" s="10" t="e">
        <f t="shared" si="3"/>
        <v>#VALUE!</v>
      </c>
      <c r="J69" s="10" t="e">
        <f t="shared" si="23"/>
        <v>#VALUE!</v>
      </c>
      <c r="K69" s="10" t="e">
        <f t="shared" si="4"/>
        <v>#VALUE!</v>
      </c>
      <c r="L69" s="10" t="e">
        <f t="shared" si="5"/>
        <v>#VALUE!</v>
      </c>
      <c r="M69" s="10" t="e">
        <f t="shared" si="24"/>
        <v>#VALUE!</v>
      </c>
      <c r="O69" s="10" t="e">
        <f t="shared" si="25"/>
        <v>#VALUE!</v>
      </c>
      <c r="P69" s="10" t="e">
        <f t="shared" si="6"/>
        <v>#VALUE!</v>
      </c>
      <c r="Q69" s="10" t="e">
        <f t="shared" si="7"/>
        <v>#VALUE!</v>
      </c>
      <c r="R69" s="10" t="e">
        <f t="shared" si="26"/>
        <v>#VALUE!</v>
      </c>
      <c r="S69" s="10" t="e">
        <f t="shared" si="27"/>
        <v>#VALUE!</v>
      </c>
      <c r="T69" s="10" t="e">
        <f t="shared" si="62"/>
        <v>#VALUE!</v>
      </c>
      <c r="U69" s="10" t="e">
        <f t="shared" si="63"/>
        <v>#VALUE!</v>
      </c>
      <c r="V69" s="10" t="e">
        <f t="shared" si="8"/>
        <v>#VALUE!</v>
      </c>
      <c r="W69" s="10" t="e">
        <f t="shared" si="28"/>
        <v>#VALUE!</v>
      </c>
      <c r="Y69" s="10" t="e">
        <f t="shared" si="29"/>
        <v>#VALUE!</v>
      </c>
      <c r="Z69" s="11" t="e">
        <f t="shared" si="30"/>
        <v>#VALUE!</v>
      </c>
      <c r="AA69" s="10" t="e">
        <f t="shared" si="9"/>
        <v>#VALUE!</v>
      </c>
      <c r="AB69" s="10" t="e">
        <f t="shared" si="31"/>
        <v>#VALUE!</v>
      </c>
      <c r="AC69" s="10" t="e">
        <f t="shared" si="32"/>
        <v>#VALUE!</v>
      </c>
      <c r="AD69" s="10" t="e">
        <f t="shared" si="64"/>
        <v>#VALUE!</v>
      </c>
      <c r="AE69" s="10" t="e">
        <f t="shared" si="65"/>
        <v>#VALUE!</v>
      </c>
      <c r="AF69" s="10" t="e">
        <f t="shared" si="10"/>
        <v>#VALUE!</v>
      </c>
      <c r="AG69" s="10" t="e">
        <f t="shared" si="33"/>
        <v>#VALUE!</v>
      </c>
      <c r="AI69" s="13"/>
      <c r="AK69" s="10" t="e">
        <f t="shared" si="34"/>
        <v>#VALUE!</v>
      </c>
      <c r="AL69" s="10" t="e">
        <f t="shared" si="66"/>
        <v>#VALUE!</v>
      </c>
      <c r="AM69" s="10" t="e">
        <f t="shared" si="11"/>
        <v>#VALUE!</v>
      </c>
      <c r="AN69" s="10" t="e">
        <f t="shared" si="35"/>
        <v>#VALUE!</v>
      </c>
      <c r="AO69" s="10" t="e">
        <f t="shared" si="36"/>
        <v>#VALUE!</v>
      </c>
      <c r="AP69" s="10" t="e">
        <f t="shared" si="37"/>
        <v>#VALUE!</v>
      </c>
      <c r="AQ69" s="10" t="e">
        <f t="shared" si="67"/>
        <v>#VALUE!</v>
      </c>
      <c r="AR69" s="10" t="e">
        <f t="shared" si="12"/>
        <v>#VALUE!</v>
      </c>
      <c r="AS69" s="10" t="e">
        <f t="shared" si="68"/>
        <v>#VALUE!</v>
      </c>
      <c r="AU69" s="10" t="e">
        <f t="shared" si="38"/>
        <v>#VALUE!</v>
      </c>
      <c r="AV69" s="10" t="e">
        <f t="shared" si="69"/>
        <v>#VALUE!</v>
      </c>
      <c r="AW69" s="10" t="e">
        <f t="shared" si="13"/>
        <v>#VALUE!</v>
      </c>
      <c r="AX69" s="10" t="e">
        <f t="shared" si="39"/>
        <v>#VALUE!</v>
      </c>
      <c r="AY69" s="10" t="e">
        <f t="shared" si="40"/>
        <v>#VALUE!</v>
      </c>
      <c r="AZ69" s="10" t="e">
        <f t="shared" si="41"/>
        <v>#VALUE!</v>
      </c>
      <c r="BA69" s="10" t="e">
        <f t="shared" si="70"/>
        <v>#VALUE!</v>
      </c>
      <c r="BB69" s="10" t="e">
        <f t="shared" si="14"/>
        <v>#VALUE!</v>
      </c>
      <c r="BC69" s="10" t="e">
        <f t="shared" si="71"/>
        <v>#VALUE!</v>
      </c>
      <c r="BE69" s="10" t="e">
        <f t="shared" si="42"/>
        <v>#VALUE!</v>
      </c>
      <c r="BF69" s="10" t="e">
        <f t="shared" si="72"/>
        <v>#VALUE!</v>
      </c>
      <c r="BG69" s="10" t="e">
        <f t="shared" si="15"/>
        <v>#VALUE!</v>
      </c>
      <c r="BH69" s="10" t="e">
        <f t="shared" si="43"/>
        <v>#VALUE!</v>
      </c>
      <c r="BI69" s="10" t="e">
        <f t="shared" si="44"/>
        <v>#VALUE!</v>
      </c>
      <c r="BJ69" s="10" t="e">
        <f t="shared" si="45"/>
        <v>#VALUE!</v>
      </c>
      <c r="BK69" s="10" t="e">
        <f t="shared" si="73"/>
        <v>#VALUE!</v>
      </c>
      <c r="BL69" s="10" t="e">
        <f t="shared" si="16"/>
        <v>#VALUE!</v>
      </c>
      <c r="BM69" s="10" t="e">
        <f t="shared" si="74"/>
        <v>#VALUE!</v>
      </c>
      <c r="BP69" s="10" t="e">
        <f t="shared" si="46"/>
        <v>#VALUE!</v>
      </c>
      <c r="BQ69" s="10" t="e">
        <f t="shared" si="47"/>
        <v>#VALUE!</v>
      </c>
      <c r="BR69" s="10" t="e">
        <f t="shared" si="48"/>
        <v>#VALUE!</v>
      </c>
      <c r="BS69" s="10" t="e">
        <f t="shared" si="49"/>
        <v>#VALUE!</v>
      </c>
      <c r="BT69" s="10" t="e">
        <f t="shared" si="50"/>
        <v>#VALUE!</v>
      </c>
      <c r="BU69" s="10" t="e">
        <f t="shared" si="51"/>
        <v>#VALUE!</v>
      </c>
      <c r="BW69" s="10" t="e">
        <f t="shared" si="52"/>
        <v>#VALUE!</v>
      </c>
      <c r="BX69" s="10" t="e">
        <f t="shared" si="53"/>
        <v>#VALUE!</v>
      </c>
      <c r="BY69" s="10" t="e">
        <f t="shared" si="54"/>
        <v>#VALUE!</v>
      </c>
      <c r="BZ69" s="10" t="e">
        <f t="shared" si="55"/>
        <v>#VALUE!</v>
      </c>
      <c r="CA69" s="10" t="e">
        <f t="shared" si="56"/>
        <v>#VALUE!</v>
      </c>
      <c r="CB69" s="10" t="e">
        <f t="shared" si="57"/>
        <v>#VALUE!</v>
      </c>
      <c r="CD69" s="10" t="e">
        <f>MATCH(INDEX($BP$12:$BU$12,1,MATCH(BP69,$BP$15:$BU$15,0)),结果汇总!$AI$10:$AI$13,0)</f>
        <v>#VALUE!</v>
      </c>
      <c r="CE69" s="10" t="e">
        <f>MATCH(INDEX($BP$12:$BU$12,1,MATCH(BQ69,$BP$15:$BU$15,0)),结果汇总!$AI$10:$AI$13,0)</f>
        <v>#VALUE!</v>
      </c>
      <c r="CF69" s="10" t="e">
        <f>MATCH(INDEX($BP$12:$BU$12,1,MATCH(BR69,$BP$15:$BU$15,0)),结果汇总!$AI$10:$AI$13,0)</f>
        <v>#VALUE!</v>
      </c>
      <c r="CG69" s="10" t="e">
        <f>MATCH(INDEX($BP$12:$BU$12,1,MATCH(BS69,$BP$15:$BU$15,0)),结果汇总!$AI$10:$AI$13,0)</f>
        <v>#VALUE!</v>
      </c>
      <c r="CH69" s="10" t="e">
        <f>MATCH(INDEX($BP$12:$BU$12,1,MATCH(BT69,$BP$15:$BU$15,0)),结果汇总!$AI$10:$AI$13,0)</f>
        <v>#VALUE!</v>
      </c>
      <c r="CI69" s="10" t="e">
        <f>MATCH(INDEX($BP$12:$BU$12,1,MATCH(BU69,$BP$15:$BU$15,0)),结果汇总!$AI$10:$AI$13,0)</f>
        <v>#VALUE!</v>
      </c>
      <c r="CK69" s="10">
        <f t="shared" si="75"/>
        <v>0</v>
      </c>
      <c r="CL69" s="10">
        <f t="shared" si="75"/>
        <v>0</v>
      </c>
      <c r="CM69" s="10">
        <f t="shared" si="75"/>
        <v>0</v>
      </c>
      <c r="CN69" s="10">
        <f t="shared" si="75"/>
        <v>0</v>
      </c>
      <c r="CO69" s="10">
        <f t="shared" si="76"/>
        <v>0</v>
      </c>
      <c r="CP69" s="10">
        <f t="shared" si="76"/>
        <v>0</v>
      </c>
      <c r="CQ69" s="10">
        <f t="shared" si="76"/>
        <v>0</v>
      </c>
      <c r="CR69" s="10">
        <f t="shared" si="76"/>
        <v>0</v>
      </c>
      <c r="CS69" s="10" t="e">
        <f t="shared" si="77"/>
        <v>#DIV/0!</v>
      </c>
      <c r="CT69" s="10" t="e">
        <f t="shared" si="77"/>
        <v>#DIV/0!</v>
      </c>
      <c r="CU69" s="10" t="e">
        <f t="shared" si="77"/>
        <v>#DIV/0!</v>
      </c>
      <c r="CV69" s="10" t="e">
        <f t="shared" si="77"/>
        <v>#DIV/0!</v>
      </c>
      <c r="CW69" s="10">
        <f t="shared" si="78"/>
        <v>0</v>
      </c>
      <c r="CX69" s="10">
        <f t="shared" si="78"/>
        <v>0</v>
      </c>
      <c r="CY69" s="10">
        <f t="shared" si="78"/>
        <v>0</v>
      </c>
      <c r="CZ69" s="10">
        <f t="shared" si="78"/>
        <v>0</v>
      </c>
    </row>
    <row r="70" spans="4:104" x14ac:dyDescent="0.15">
      <c r="D70" s="10">
        <v>55</v>
      </c>
      <c r="E70" s="10" t="e">
        <f t="shared" si="21"/>
        <v>#VALUE!</v>
      </c>
      <c r="F70" s="10" t="e">
        <f t="shared" si="1"/>
        <v>#VALUE!</v>
      </c>
      <c r="G70" s="10" t="e">
        <f t="shared" si="2"/>
        <v>#VALUE!</v>
      </c>
      <c r="H70" s="10" t="e">
        <f t="shared" si="22"/>
        <v>#VALUE!</v>
      </c>
      <c r="I70" s="10" t="e">
        <f t="shared" si="3"/>
        <v>#VALUE!</v>
      </c>
      <c r="J70" s="10" t="e">
        <f t="shared" si="23"/>
        <v>#VALUE!</v>
      </c>
      <c r="K70" s="10" t="e">
        <f t="shared" si="4"/>
        <v>#VALUE!</v>
      </c>
      <c r="L70" s="10" t="e">
        <f t="shared" si="5"/>
        <v>#VALUE!</v>
      </c>
      <c r="M70" s="10" t="e">
        <f t="shared" si="24"/>
        <v>#VALUE!</v>
      </c>
      <c r="O70" s="10" t="e">
        <f t="shared" si="25"/>
        <v>#VALUE!</v>
      </c>
      <c r="P70" s="10" t="e">
        <f t="shared" si="6"/>
        <v>#VALUE!</v>
      </c>
      <c r="Q70" s="10" t="e">
        <f t="shared" si="7"/>
        <v>#VALUE!</v>
      </c>
      <c r="R70" s="10" t="e">
        <f t="shared" si="26"/>
        <v>#VALUE!</v>
      </c>
      <c r="S70" s="10" t="e">
        <f t="shared" si="27"/>
        <v>#VALUE!</v>
      </c>
      <c r="T70" s="10" t="e">
        <f t="shared" si="62"/>
        <v>#VALUE!</v>
      </c>
      <c r="U70" s="10" t="e">
        <f t="shared" si="63"/>
        <v>#VALUE!</v>
      </c>
      <c r="V70" s="10" t="e">
        <f t="shared" si="8"/>
        <v>#VALUE!</v>
      </c>
      <c r="W70" s="10" t="e">
        <f t="shared" si="28"/>
        <v>#VALUE!</v>
      </c>
      <c r="Y70" s="10" t="e">
        <f t="shared" si="29"/>
        <v>#VALUE!</v>
      </c>
      <c r="Z70" s="11" t="e">
        <f t="shared" si="30"/>
        <v>#VALUE!</v>
      </c>
      <c r="AA70" s="10" t="e">
        <f t="shared" si="9"/>
        <v>#VALUE!</v>
      </c>
      <c r="AB70" s="10" t="e">
        <f t="shared" si="31"/>
        <v>#VALUE!</v>
      </c>
      <c r="AC70" s="10" t="e">
        <f t="shared" si="32"/>
        <v>#VALUE!</v>
      </c>
      <c r="AD70" s="10" t="e">
        <f t="shared" si="64"/>
        <v>#VALUE!</v>
      </c>
      <c r="AE70" s="10" t="e">
        <f t="shared" si="65"/>
        <v>#VALUE!</v>
      </c>
      <c r="AF70" s="10" t="e">
        <f t="shared" si="10"/>
        <v>#VALUE!</v>
      </c>
      <c r="AG70" s="10" t="e">
        <f t="shared" si="33"/>
        <v>#VALUE!</v>
      </c>
      <c r="AI70" s="13"/>
      <c r="AK70" s="10" t="e">
        <f t="shared" si="34"/>
        <v>#VALUE!</v>
      </c>
      <c r="AL70" s="10" t="e">
        <f t="shared" si="66"/>
        <v>#VALUE!</v>
      </c>
      <c r="AM70" s="10" t="e">
        <f t="shared" si="11"/>
        <v>#VALUE!</v>
      </c>
      <c r="AN70" s="10" t="e">
        <f t="shared" si="35"/>
        <v>#VALUE!</v>
      </c>
      <c r="AO70" s="10" t="e">
        <f t="shared" si="36"/>
        <v>#VALUE!</v>
      </c>
      <c r="AP70" s="10" t="e">
        <f t="shared" si="37"/>
        <v>#VALUE!</v>
      </c>
      <c r="AQ70" s="10" t="e">
        <f t="shared" si="67"/>
        <v>#VALUE!</v>
      </c>
      <c r="AR70" s="10" t="e">
        <f t="shared" si="12"/>
        <v>#VALUE!</v>
      </c>
      <c r="AS70" s="10" t="e">
        <f t="shared" si="68"/>
        <v>#VALUE!</v>
      </c>
      <c r="AU70" s="10" t="e">
        <f t="shared" si="38"/>
        <v>#VALUE!</v>
      </c>
      <c r="AV70" s="10" t="e">
        <f t="shared" si="69"/>
        <v>#VALUE!</v>
      </c>
      <c r="AW70" s="10" t="e">
        <f t="shared" si="13"/>
        <v>#VALUE!</v>
      </c>
      <c r="AX70" s="10" t="e">
        <f t="shared" si="39"/>
        <v>#VALUE!</v>
      </c>
      <c r="AY70" s="10" t="e">
        <f t="shared" si="40"/>
        <v>#VALUE!</v>
      </c>
      <c r="AZ70" s="10" t="e">
        <f t="shared" si="41"/>
        <v>#VALUE!</v>
      </c>
      <c r="BA70" s="10" t="e">
        <f t="shared" si="70"/>
        <v>#VALUE!</v>
      </c>
      <c r="BB70" s="10" t="e">
        <f t="shared" si="14"/>
        <v>#VALUE!</v>
      </c>
      <c r="BC70" s="10" t="e">
        <f t="shared" si="71"/>
        <v>#VALUE!</v>
      </c>
      <c r="BE70" s="10" t="e">
        <f t="shared" si="42"/>
        <v>#VALUE!</v>
      </c>
      <c r="BF70" s="10" t="e">
        <f t="shared" si="72"/>
        <v>#VALUE!</v>
      </c>
      <c r="BG70" s="10" t="e">
        <f t="shared" si="15"/>
        <v>#VALUE!</v>
      </c>
      <c r="BH70" s="10" t="e">
        <f t="shared" si="43"/>
        <v>#VALUE!</v>
      </c>
      <c r="BI70" s="10" t="e">
        <f t="shared" si="44"/>
        <v>#VALUE!</v>
      </c>
      <c r="BJ70" s="10" t="e">
        <f t="shared" si="45"/>
        <v>#VALUE!</v>
      </c>
      <c r="BK70" s="10" t="e">
        <f t="shared" si="73"/>
        <v>#VALUE!</v>
      </c>
      <c r="BL70" s="10" t="e">
        <f t="shared" si="16"/>
        <v>#VALUE!</v>
      </c>
      <c r="BM70" s="10" t="e">
        <f t="shared" si="74"/>
        <v>#VALUE!</v>
      </c>
      <c r="BP70" s="10" t="e">
        <f t="shared" si="46"/>
        <v>#VALUE!</v>
      </c>
      <c r="BQ70" s="10" t="e">
        <f t="shared" si="47"/>
        <v>#VALUE!</v>
      </c>
      <c r="BR70" s="10" t="e">
        <f t="shared" si="48"/>
        <v>#VALUE!</v>
      </c>
      <c r="BS70" s="10" t="e">
        <f t="shared" si="49"/>
        <v>#VALUE!</v>
      </c>
      <c r="BT70" s="10" t="e">
        <f t="shared" si="50"/>
        <v>#VALUE!</v>
      </c>
      <c r="BU70" s="10" t="e">
        <f t="shared" si="51"/>
        <v>#VALUE!</v>
      </c>
      <c r="BW70" s="10" t="e">
        <f t="shared" si="52"/>
        <v>#VALUE!</v>
      </c>
      <c r="BX70" s="10" t="e">
        <f t="shared" si="53"/>
        <v>#VALUE!</v>
      </c>
      <c r="BY70" s="10" t="e">
        <f t="shared" si="54"/>
        <v>#VALUE!</v>
      </c>
      <c r="BZ70" s="10" t="e">
        <f t="shared" si="55"/>
        <v>#VALUE!</v>
      </c>
      <c r="CA70" s="10" t="e">
        <f t="shared" si="56"/>
        <v>#VALUE!</v>
      </c>
      <c r="CB70" s="10" t="e">
        <f t="shared" si="57"/>
        <v>#VALUE!</v>
      </c>
      <c r="CD70" s="10" t="e">
        <f>MATCH(INDEX($BP$12:$BU$12,1,MATCH(BP70,$BP$15:$BU$15,0)),结果汇总!$AI$10:$AI$13,0)</f>
        <v>#VALUE!</v>
      </c>
      <c r="CE70" s="10" t="e">
        <f>MATCH(INDEX($BP$12:$BU$12,1,MATCH(BQ70,$BP$15:$BU$15,0)),结果汇总!$AI$10:$AI$13,0)</f>
        <v>#VALUE!</v>
      </c>
      <c r="CF70" s="10" t="e">
        <f>MATCH(INDEX($BP$12:$BU$12,1,MATCH(BR70,$BP$15:$BU$15,0)),结果汇总!$AI$10:$AI$13,0)</f>
        <v>#VALUE!</v>
      </c>
      <c r="CG70" s="10" t="e">
        <f>MATCH(INDEX($BP$12:$BU$12,1,MATCH(BS70,$BP$15:$BU$15,0)),结果汇总!$AI$10:$AI$13,0)</f>
        <v>#VALUE!</v>
      </c>
      <c r="CH70" s="10" t="e">
        <f>MATCH(INDEX($BP$12:$BU$12,1,MATCH(BT70,$BP$15:$BU$15,0)),结果汇总!$AI$10:$AI$13,0)</f>
        <v>#VALUE!</v>
      </c>
      <c r="CI70" s="10" t="e">
        <f>MATCH(INDEX($BP$12:$BU$12,1,MATCH(BU70,$BP$15:$BU$15,0)),结果汇总!$AI$10:$AI$13,0)</f>
        <v>#VALUE!</v>
      </c>
      <c r="CK70" s="10">
        <f t="shared" si="75"/>
        <v>0</v>
      </c>
      <c r="CL70" s="10">
        <f t="shared" si="75"/>
        <v>0</v>
      </c>
      <c r="CM70" s="10">
        <f t="shared" si="75"/>
        <v>0</v>
      </c>
      <c r="CN70" s="10">
        <f t="shared" si="75"/>
        <v>0</v>
      </c>
      <c r="CO70" s="10">
        <f t="shared" si="76"/>
        <v>0</v>
      </c>
      <c r="CP70" s="10">
        <f t="shared" si="76"/>
        <v>0</v>
      </c>
      <c r="CQ70" s="10">
        <f t="shared" si="76"/>
        <v>0</v>
      </c>
      <c r="CR70" s="10">
        <f t="shared" si="76"/>
        <v>0</v>
      </c>
      <c r="CS70" s="10" t="e">
        <f t="shared" si="77"/>
        <v>#DIV/0!</v>
      </c>
      <c r="CT70" s="10" t="e">
        <f t="shared" si="77"/>
        <v>#DIV/0!</v>
      </c>
      <c r="CU70" s="10" t="e">
        <f t="shared" si="77"/>
        <v>#DIV/0!</v>
      </c>
      <c r="CV70" s="10" t="e">
        <f t="shared" si="77"/>
        <v>#DIV/0!</v>
      </c>
      <c r="CW70" s="10">
        <f t="shared" si="78"/>
        <v>0</v>
      </c>
      <c r="CX70" s="10">
        <f t="shared" si="78"/>
        <v>0</v>
      </c>
      <c r="CY70" s="10">
        <f t="shared" si="78"/>
        <v>0</v>
      </c>
      <c r="CZ70" s="10">
        <f t="shared" si="78"/>
        <v>0</v>
      </c>
    </row>
    <row r="71" spans="4:104" x14ac:dyDescent="0.15">
      <c r="D71" s="10">
        <v>56</v>
      </c>
      <c r="E71" s="10" t="e">
        <f t="shared" si="21"/>
        <v>#VALUE!</v>
      </c>
      <c r="F71" s="10" t="e">
        <f t="shared" si="1"/>
        <v>#VALUE!</v>
      </c>
      <c r="G71" s="10" t="e">
        <f t="shared" si="2"/>
        <v>#VALUE!</v>
      </c>
      <c r="H71" s="10" t="e">
        <f t="shared" si="22"/>
        <v>#VALUE!</v>
      </c>
      <c r="I71" s="10" t="e">
        <f t="shared" si="3"/>
        <v>#VALUE!</v>
      </c>
      <c r="J71" s="10" t="e">
        <f t="shared" si="23"/>
        <v>#VALUE!</v>
      </c>
      <c r="K71" s="10" t="e">
        <f t="shared" si="4"/>
        <v>#VALUE!</v>
      </c>
      <c r="L71" s="10" t="e">
        <f t="shared" si="5"/>
        <v>#VALUE!</v>
      </c>
      <c r="M71" s="10" t="e">
        <f t="shared" si="24"/>
        <v>#VALUE!</v>
      </c>
      <c r="O71" s="10" t="e">
        <f t="shared" si="25"/>
        <v>#VALUE!</v>
      </c>
      <c r="P71" s="10" t="e">
        <f t="shared" si="6"/>
        <v>#VALUE!</v>
      </c>
      <c r="Q71" s="10" t="e">
        <f t="shared" si="7"/>
        <v>#VALUE!</v>
      </c>
      <c r="R71" s="10" t="e">
        <f t="shared" si="26"/>
        <v>#VALUE!</v>
      </c>
      <c r="S71" s="10" t="e">
        <f t="shared" si="27"/>
        <v>#VALUE!</v>
      </c>
      <c r="T71" s="10" t="e">
        <f t="shared" si="62"/>
        <v>#VALUE!</v>
      </c>
      <c r="U71" s="10" t="e">
        <f t="shared" si="63"/>
        <v>#VALUE!</v>
      </c>
      <c r="V71" s="10" t="e">
        <f t="shared" si="8"/>
        <v>#VALUE!</v>
      </c>
      <c r="W71" s="10" t="e">
        <f t="shared" si="28"/>
        <v>#VALUE!</v>
      </c>
      <c r="Y71" s="10" t="e">
        <f t="shared" si="29"/>
        <v>#VALUE!</v>
      </c>
      <c r="Z71" s="11" t="e">
        <f t="shared" si="30"/>
        <v>#VALUE!</v>
      </c>
      <c r="AA71" s="10" t="e">
        <f t="shared" si="9"/>
        <v>#VALUE!</v>
      </c>
      <c r="AB71" s="10" t="e">
        <f t="shared" si="31"/>
        <v>#VALUE!</v>
      </c>
      <c r="AC71" s="10" t="e">
        <f t="shared" si="32"/>
        <v>#VALUE!</v>
      </c>
      <c r="AD71" s="10" t="e">
        <f t="shared" si="64"/>
        <v>#VALUE!</v>
      </c>
      <c r="AE71" s="10" t="e">
        <f t="shared" si="65"/>
        <v>#VALUE!</v>
      </c>
      <c r="AF71" s="10" t="e">
        <f t="shared" si="10"/>
        <v>#VALUE!</v>
      </c>
      <c r="AG71" s="10" t="e">
        <f t="shared" si="33"/>
        <v>#VALUE!</v>
      </c>
      <c r="AI71" s="13"/>
      <c r="AK71" s="10" t="e">
        <f t="shared" si="34"/>
        <v>#VALUE!</v>
      </c>
      <c r="AL71" s="10" t="e">
        <f t="shared" si="66"/>
        <v>#VALUE!</v>
      </c>
      <c r="AM71" s="10" t="e">
        <f t="shared" si="11"/>
        <v>#VALUE!</v>
      </c>
      <c r="AN71" s="10" t="e">
        <f t="shared" si="35"/>
        <v>#VALUE!</v>
      </c>
      <c r="AO71" s="10" t="e">
        <f t="shared" si="36"/>
        <v>#VALUE!</v>
      </c>
      <c r="AP71" s="10" t="e">
        <f t="shared" si="37"/>
        <v>#VALUE!</v>
      </c>
      <c r="AQ71" s="10" t="e">
        <f t="shared" si="67"/>
        <v>#VALUE!</v>
      </c>
      <c r="AR71" s="10" t="e">
        <f t="shared" si="12"/>
        <v>#VALUE!</v>
      </c>
      <c r="AS71" s="10" t="e">
        <f t="shared" si="68"/>
        <v>#VALUE!</v>
      </c>
      <c r="AU71" s="10" t="e">
        <f t="shared" si="38"/>
        <v>#VALUE!</v>
      </c>
      <c r="AV71" s="10" t="e">
        <f t="shared" si="69"/>
        <v>#VALUE!</v>
      </c>
      <c r="AW71" s="10" t="e">
        <f t="shared" si="13"/>
        <v>#VALUE!</v>
      </c>
      <c r="AX71" s="10" t="e">
        <f t="shared" si="39"/>
        <v>#VALUE!</v>
      </c>
      <c r="AY71" s="10" t="e">
        <f t="shared" si="40"/>
        <v>#VALUE!</v>
      </c>
      <c r="AZ71" s="10" t="e">
        <f t="shared" si="41"/>
        <v>#VALUE!</v>
      </c>
      <c r="BA71" s="10" t="e">
        <f t="shared" si="70"/>
        <v>#VALUE!</v>
      </c>
      <c r="BB71" s="10" t="e">
        <f t="shared" si="14"/>
        <v>#VALUE!</v>
      </c>
      <c r="BC71" s="10" t="e">
        <f t="shared" si="71"/>
        <v>#VALUE!</v>
      </c>
      <c r="BE71" s="10" t="e">
        <f t="shared" si="42"/>
        <v>#VALUE!</v>
      </c>
      <c r="BF71" s="10" t="e">
        <f t="shared" si="72"/>
        <v>#VALUE!</v>
      </c>
      <c r="BG71" s="10" t="e">
        <f t="shared" si="15"/>
        <v>#VALUE!</v>
      </c>
      <c r="BH71" s="10" t="e">
        <f t="shared" si="43"/>
        <v>#VALUE!</v>
      </c>
      <c r="BI71" s="10" t="e">
        <f t="shared" si="44"/>
        <v>#VALUE!</v>
      </c>
      <c r="BJ71" s="10" t="e">
        <f t="shared" si="45"/>
        <v>#VALUE!</v>
      </c>
      <c r="BK71" s="10" t="e">
        <f t="shared" si="73"/>
        <v>#VALUE!</v>
      </c>
      <c r="BL71" s="10" t="e">
        <f t="shared" si="16"/>
        <v>#VALUE!</v>
      </c>
      <c r="BM71" s="10" t="e">
        <f t="shared" si="74"/>
        <v>#VALUE!</v>
      </c>
      <c r="BP71" s="10" t="e">
        <f t="shared" si="46"/>
        <v>#VALUE!</v>
      </c>
      <c r="BQ71" s="10" t="e">
        <f t="shared" si="47"/>
        <v>#VALUE!</v>
      </c>
      <c r="BR71" s="10" t="e">
        <f t="shared" si="48"/>
        <v>#VALUE!</v>
      </c>
      <c r="BS71" s="10" t="e">
        <f t="shared" si="49"/>
        <v>#VALUE!</v>
      </c>
      <c r="BT71" s="10" t="e">
        <f t="shared" si="50"/>
        <v>#VALUE!</v>
      </c>
      <c r="BU71" s="10" t="e">
        <f t="shared" si="51"/>
        <v>#VALUE!</v>
      </c>
      <c r="BW71" s="10" t="e">
        <f t="shared" si="52"/>
        <v>#VALUE!</v>
      </c>
      <c r="BX71" s="10" t="e">
        <f t="shared" si="53"/>
        <v>#VALUE!</v>
      </c>
      <c r="BY71" s="10" t="e">
        <f t="shared" si="54"/>
        <v>#VALUE!</v>
      </c>
      <c r="BZ71" s="10" t="e">
        <f t="shared" si="55"/>
        <v>#VALUE!</v>
      </c>
      <c r="CA71" s="10" t="e">
        <f t="shared" si="56"/>
        <v>#VALUE!</v>
      </c>
      <c r="CB71" s="10" t="e">
        <f t="shared" si="57"/>
        <v>#VALUE!</v>
      </c>
      <c r="CD71" s="10" t="e">
        <f>MATCH(INDEX($BP$12:$BU$12,1,MATCH(BP71,$BP$15:$BU$15,0)),结果汇总!$AI$10:$AI$13,0)</f>
        <v>#VALUE!</v>
      </c>
      <c r="CE71" s="10" t="e">
        <f>MATCH(INDEX($BP$12:$BU$12,1,MATCH(BQ71,$BP$15:$BU$15,0)),结果汇总!$AI$10:$AI$13,0)</f>
        <v>#VALUE!</v>
      </c>
      <c r="CF71" s="10" t="e">
        <f>MATCH(INDEX($BP$12:$BU$12,1,MATCH(BR71,$BP$15:$BU$15,0)),结果汇总!$AI$10:$AI$13,0)</f>
        <v>#VALUE!</v>
      </c>
      <c r="CG71" s="10" t="e">
        <f>MATCH(INDEX($BP$12:$BU$12,1,MATCH(BS71,$BP$15:$BU$15,0)),结果汇总!$AI$10:$AI$13,0)</f>
        <v>#VALUE!</v>
      </c>
      <c r="CH71" s="10" t="e">
        <f>MATCH(INDEX($BP$12:$BU$12,1,MATCH(BT71,$BP$15:$BU$15,0)),结果汇总!$AI$10:$AI$13,0)</f>
        <v>#VALUE!</v>
      </c>
      <c r="CI71" s="10" t="e">
        <f>MATCH(INDEX($BP$12:$BU$12,1,MATCH(BU71,$BP$15:$BU$15,0)),结果汇总!$AI$10:$AI$13,0)</f>
        <v>#VALUE!</v>
      </c>
      <c r="CK71" s="10">
        <f t="shared" si="75"/>
        <v>0</v>
      </c>
      <c r="CL71" s="10">
        <f t="shared" si="75"/>
        <v>0</v>
      </c>
      <c r="CM71" s="10">
        <f t="shared" si="75"/>
        <v>0</v>
      </c>
      <c r="CN71" s="10">
        <f t="shared" si="75"/>
        <v>0</v>
      </c>
      <c r="CO71" s="10">
        <f t="shared" si="76"/>
        <v>0</v>
      </c>
      <c r="CP71" s="10">
        <f t="shared" si="76"/>
        <v>0</v>
      </c>
      <c r="CQ71" s="10">
        <f t="shared" si="76"/>
        <v>0</v>
      </c>
      <c r="CR71" s="10">
        <f t="shared" si="76"/>
        <v>0</v>
      </c>
      <c r="CS71" s="10" t="e">
        <f t="shared" si="77"/>
        <v>#DIV/0!</v>
      </c>
      <c r="CT71" s="10" t="e">
        <f t="shared" si="77"/>
        <v>#DIV/0!</v>
      </c>
      <c r="CU71" s="10" t="e">
        <f t="shared" si="77"/>
        <v>#DIV/0!</v>
      </c>
      <c r="CV71" s="10" t="e">
        <f t="shared" si="77"/>
        <v>#DIV/0!</v>
      </c>
      <c r="CW71" s="10">
        <f t="shared" si="78"/>
        <v>0</v>
      </c>
      <c r="CX71" s="10">
        <f t="shared" si="78"/>
        <v>0</v>
      </c>
      <c r="CY71" s="10">
        <f t="shared" si="78"/>
        <v>0</v>
      </c>
      <c r="CZ71" s="10">
        <f t="shared" si="78"/>
        <v>0</v>
      </c>
    </row>
    <row r="72" spans="4:104" x14ac:dyDescent="0.15">
      <c r="D72" s="10">
        <v>57</v>
      </c>
      <c r="E72" s="10" t="e">
        <f t="shared" si="21"/>
        <v>#VALUE!</v>
      </c>
      <c r="F72" s="10" t="e">
        <f t="shared" si="1"/>
        <v>#VALUE!</v>
      </c>
      <c r="G72" s="10" t="e">
        <f t="shared" si="2"/>
        <v>#VALUE!</v>
      </c>
      <c r="H72" s="10" t="e">
        <f t="shared" si="22"/>
        <v>#VALUE!</v>
      </c>
      <c r="I72" s="10" t="e">
        <f t="shared" si="3"/>
        <v>#VALUE!</v>
      </c>
      <c r="J72" s="10" t="e">
        <f t="shared" si="23"/>
        <v>#VALUE!</v>
      </c>
      <c r="K72" s="10" t="e">
        <f t="shared" si="4"/>
        <v>#VALUE!</v>
      </c>
      <c r="L72" s="10" t="e">
        <f t="shared" si="5"/>
        <v>#VALUE!</v>
      </c>
      <c r="M72" s="10" t="e">
        <f t="shared" si="24"/>
        <v>#VALUE!</v>
      </c>
      <c r="O72" s="10" t="e">
        <f t="shared" si="25"/>
        <v>#VALUE!</v>
      </c>
      <c r="P72" s="10" t="e">
        <f t="shared" si="6"/>
        <v>#VALUE!</v>
      </c>
      <c r="Q72" s="10" t="e">
        <f t="shared" si="7"/>
        <v>#VALUE!</v>
      </c>
      <c r="R72" s="10" t="e">
        <f t="shared" si="26"/>
        <v>#VALUE!</v>
      </c>
      <c r="S72" s="10" t="e">
        <f t="shared" si="27"/>
        <v>#VALUE!</v>
      </c>
      <c r="T72" s="10" t="e">
        <f t="shared" si="62"/>
        <v>#VALUE!</v>
      </c>
      <c r="U72" s="10" t="e">
        <f t="shared" si="63"/>
        <v>#VALUE!</v>
      </c>
      <c r="V72" s="10" t="e">
        <f t="shared" si="8"/>
        <v>#VALUE!</v>
      </c>
      <c r="W72" s="10" t="e">
        <f t="shared" si="28"/>
        <v>#VALUE!</v>
      </c>
      <c r="Y72" s="10" t="e">
        <f t="shared" si="29"/>
        <v>#VALUE!</v>
      </c>
      <c r="Z72" s="11" t="e">
        <f t="shared" si="30"/>
        <v>#VALUE!</v>
      </c>
      <c r="AA72" s="10" t="e">
        <f t="shared" si="9"/>
        <v>#VALUE!</v>
      </c>
      <c r="AB72" s="10" t="e">
        <f t="shared" si="31"/>
        <v>#VALUE!</v>
      </c>
      <c r="AC72" s="10" t="e">
        <f t="shared" si="32"/>
        <v>#VALUE!</v>
      </c>
      <c r="AD72" s="10" t="e">
        <f t="shared" si="64"/>
        <v>#VALUE!</v>
      </c>
      <c r="AE72" s="10" t="e">
        <f t="shared" si="65"/>
        <v>#VALUE!</v>
      </c>
      <c r="AF72" s="10" t="e">
        <f t="shared" si="10"/>
        <v>#VALUE!</v>
      </c>
      <c r="AG72" s="10" t="e">
        <f t="shared" si="33"/>
        <v>#VALUE!</v>
      </c>
      <c r="AI72" s="13"/>
      <c r="AK72" s="10" t="e">
        <f t="shared" si="34"/>
        <v>#VALUE!</v>
      </c>
      <c r="AL72" s="10" t="e">
        <f t="shared" si="66"/>
        <v>#VALUE!</v>
      </c>
      <c r="AM72" s="10" t="e">
        <f t="shared" si="11"/>
        <v>#VALUE!</v>
      </c>
      <c r="AN72" s="10" t="e">
        <f t="shared" si="35"/>
        <v>#VALUE!</v>
      </c>
      <c r="AO72" s="10" t="e">
        <f t="shared" si="36"/>
        <v>#VALUE!</v>
      </c>
      <c r="AP72" s="10" t="e">
        <f t="shared" si="37"/>
        <v>#VALUE!</v>
      </c>
      <c r="AQ72" s="10" t="e">
        <f t="shared" si="67"/>
        <v>#VALUE!</v>
      </c>
      <c r="AR72" s="10" t="e">
        <f t="shared" si="12"/>
        <v>#VALUE!</v>
      </c>
      <c r="AS72" s="10" t="e">
        <f t="shared" si="68"/>
        <v>#VALUE!</v>
      </c>
      <c r="AU72" s="10" t="e">
        <f t="shared" si="38"/>
        <v>#VALUE!</v>
      </c>
      <c r="AV72" s="10" t="e">
        <f t="shared" si="69"/>
        <v>#VALUE!</v>
      </c>
      <c r="AW72" s="10" t="e">
        <f t="shared" si="13"/>
        <v>#VALUE!</v>
      </c>
      <c r="AX72" s="10" t="e">
        <f t="shared" si="39"/>
        <v>#VALUE!</v>
      </c>
      <c r="AY72" s="10" t="e">
        <f t="shared" si="40"/>
        <v>#VALUE!</v>
      </c>
      <c r="AZ72" s="10" t="e">
        <f t="shared" si="41"/>
        <v>#VALUE!</v>
      </c>
      <c r="BA72" s="10" t="e">
        <f t="shared" si="70"/>
        <v>#VALUE!</v>
      </c>
      <c r="BB72" s="10" t="e">
        <f t="shared" si="14"/>
        <v>#VALUE!</v>
      </c>
      <c r="BC72" s="10" t="e">
        <f t="shared" si="71"/>
        <v>#VALUE!</v>
      </c>
      <c r="BE72" s="10" t="e">
        <f t="shared" si="42"/>
        <v>#VALUE!</v>
      </c>
      <c r="BF72" s="10" t="e">
        <f t="shared" si="72"/>
        <v>#VALUE!</v>
      </c>
      <c r="BG72" s="10" t="e">
        <f t="shared" si="15"/>
        <v>#VALUE!</v>
      </c>
      <c r="BH72" s="10" t="e">
        <f t="shared" si="43"/>
        <v>#VALUE!</v>
      </c>
      <c r="BI72" s="10" t="e">
        <f t="shared" si="44"/>
        <v>#VALUE!</v>
      </c>
      <c r="BJ72" s="10" t="e">
        <f t="shared" si="45"/>
        <v>#VALUE!</v>
      </c>
      <c r="BK72" s="10" t="e">
        <f t="shared" si="73"/>
        <v>#VALUE!</v>
      </c>
      <c r="BL72" s="10" t="e">
        <f t="shared" si="16"/>
        <v>#VALUE!</v>
      </c>
      <c r="BM72" s="10" t="e">
        <f t="shared" si="74"/>
        <v>#VALUE!</v>
      </c>
      <c r="BP72" s="10" t="e">
        <f t="shared" si="46"/>
        <v>#VALUE!</v>
      </c>
      <c r="BQ72" s="10" t="e">
        <f t="shared" si="47"/>
        <v>#VALUE!</v>
      </c>
      <c r="BR72" s="10" t="e">
        <f t="shared" si="48"/>
        <v>#VALUE!</v>
      </c>
      <c r="BS72" s="10" t="e">
        <f t="shared" si="49"/>
        <v>#VALUE!</v>
      </c>
      <c r="BT72" s="10" t="e">
        <f t="shared" si="50"/>
        <v>#VALUE!</v>
      </c>
      <c r="BU72" s="10" t="e">
        <f t="shared" si="51"/>
        <v>#VALUE!</v>
      </c>
      <c r="BW72" s="10" t="e">
        <f t="shared" si="52"/>
        <v>#VALUE!</v>
      </c>
      <c r="BX72" s="10" t="e">
        <f t="shared" si="53"/>
        <v>#VALUE!</v>
      </c>
      <c r="BY72" s="10" t="e">
        <f t="shared" si="54"/>
        <v>#VALUE!</v>
      </c>
      <c r="BZ72" s="10" t="e">
        <f t="shared" si="55"/>
        <v>#VALUE!</v>
      </c>
      <c r="CA72" s="10" t="e">
        <f t="shared" si="56"/>
        <v>#VALUE!</v>
      </c>
      <c r="CB72" s="10" t="e">
        <f t="shared" si="57"/>
        <v>#VALUE!</v>
      </c>
      <c r="CD72" s="10" t="e">
        <f>MATCH(INDEX($BP$12:$BU$12,1,MATCH(BP72,$BP$15:$BU$15,0)),结果汇总!$AI$10:$AI$13,0)</f>
        <v>#VALUE!</v>
      </c>
      <c r="CE72" s="10" t="e">
        <f>MATCH(INDEX($BP$12:$BU$12,1,MATCH(BQ72,$BP$15:$BU$15,0)),结果汇总!$AI$10:$AI$13,0)</f>
        <v>#VALUE!</v>
      </c>
      <c r="CF72" s="10" t="e">
        <f>MATCH(INDEX($BP$12:$BU$12,1,MATCH(BR72,$BP$15:$BU$15,0)),结果汇总!$AI$10:$AI$13,0)</f>
        <v>#VALUE!</v>
      </c>
      <c r="CG72" s="10" t="e">
        <f>MATCH(INDEX($BP$12:$BU$12,1,MATCH(BS72,$BP$15:$BU$15,0)),结果汇总!$AI$10:$AI$13,0)</f>
        <v>#VALUE!</v>
      </c>
      <c r="CH72" s="10" t="e">
        <f>MATCH(INDEX($BP$12:$BU$12,1,MATCH(BT72,$BP$15:$BU$15,0)),结果汇总!$AI$10:$AI$13,0)</f>
        <v>#VALUE!</v>
      </c>
      <c r="CI72" s="10" t="e">
        <f>MATCH(INDEX($BP$12:$BU$12,1,MATCH(BU72,$BP$15:$BU$15,0)),结果汇总!$AI$10:$AI$13,0)</f>
        <v>#VALUE!</v>
      </c>
      <c r="CK72" s="10">
        <f t="shared" si="75"/>
        <v>0</v>
      </c>
      <c r="CL72" s="10">
        <f t="shared" si="75"/>
        <v>0</v>
      </c>
      <c r="CM72" s="10">
        <f t="shared" si="75"/>
        <v>0</v>
      </c>
      <c r="CN72" s="10">
        <f t="shared" si="75"/>
        <v>0</v>
      </c>
      <c r="CO72" s="10">
        <f t="shared" si="76"/>
        <v>0</v>
      </c>
      <c r="CP72" s="10">
        <f t="shared" si="76"/>
        <v>0</v>
      </c>
      <c r="CQ72" s="10">
        <f t="shared" si="76"/>
        <v>0</v>
      </c>
      <c r="CR72" s="10">
        <f t="shared" si="76"/>
        <v>0</v>
      </c>
      <c r="CS72" s="10" t="e">
        <f t="shared" si="77"/>
        <v>#DIV/0!</v>
      </c>
      <c r="CT72" s="10" t="e">
        <f t="shared" si="77"/>
        <v>#DIV/0!</v>
      </c>
      <c r="CU72" s="10" t="e">
        <f t="shared" si="77"/>
        <v>#DIV/0!</v>
      </c>
      <c r="CV72" s="10" t="e">
        <f t="shared" si="77"/>
        <v>#DIV/0!</v>
      </c>
      <c r="CW72" s="10">
        <f t="shared" si="78"/>
        <v>0</v>
      </c>
      <c r="CX72" s="10">
        <f t="shared" si="78"/>
        <v>0</v>
      </c>
      <c r="CY72" s="10">
        <f t="shared" si="78"/>
        <v>0</v>
      </c>
      <c r="CZ72" s="10">
        <f t="shared" si="78"/>
        <v>0</v>
      </c>
    </row>
    <row r="73" spans="4:104" x14ac:dyDescent="0.15">
      <c r="D73" s="10">
        <v>58</v>
      </c>
      <c r="E73" s="10" t="e">
        <f t="shared" si="21"/>
        <v>#VALUE!</v>
      </c>
      <c r="F73" s="10" t="e">
        <f t="shared" si="1"/>
        <v>#VALUE!</v>
      </c>
      <c r="G73" s="10" t="e">
        <f t="shared" si="2"/>
        <v>#VALUE!</v>
      </c>
      <c r="H73" s="10" t="e">
        <f t="shared" si="22"/>
        <v>#VALUE!</v>
      </c>
      <c r="I73" s="10" t="e">
        <f t="shared" si="3"/>
        <v>#VALUE!</v>
      </c>
      <c r="J73" s="10" t="e">
        <f t="shared" si="23"/>
        <v>#VALUE!</v>
      </c>
      <c r="K73" s="10" t="e">
        <f t="shared" si="4"/>
        <v>#VALUE!</v>
      </c>
      <c r="L73" s="10" t="e">
        <f t="shared" si="5"/>
        <v>#VALUE!</v>
      </c>
      <c r="M73" s="10" t="e">
        <f t="shared" si="24"/>
        <v>#VALUE!</v>
      </c>
      <c r="O73" s="10" t="e">
        <f t="shared" si="25"/>
        <v>#VALUE!</v>
      </c>
      <c r="P73" s="10" t="e">
        <f t="shared" si="6"/>
        <v>#VALUE!</v>
      </c>
      <c r="Q73" s="10" t="e">
        <f t="shared" si="7"/>
        <v>#VALUE!</v>
      </c>
      <c r="R73" s="10" t="e">
        <f t="shared" si="26"/>
        <v>#VALUE!</v>
      </c>
      <c r="S73" s="10" t="e">
        <f t="shared" si="27"/>
        <v>#VALUE!</v>
      </c>
      <c r="T73" s="10" t="e">
        <f t="shared" si="62"/>
        <v>#VALUE!</v>
      </c>
      <c r="U73" s="10" t="e">
        <f t="shared" si="63"/>
        <v>#VALUE!</v>
      </c>
      <c r="V73" s="10" t="e">
        <f t="shared" si="8"/>
        <v>#VALUE!</v>
      </c>
      <c r="W73" s="10" t="e">
        <f t="shared" si="28"/>
        <v>#VALUE!</v>
      </c>
      <c r="Y73" s="10" t="e">
        <f t="shared" si="29"/>
        <v>#VALUE!</v>
      </c>
      <c r="Z73" s="11" t="e">
        <f t="shared" si="30"/>
        <v>#VALUE!</v>
      </c>
      <c r="AA73" s="10" t="e">
        <f t="shared" si="9"/>
        <v>#VALUE!</v>
      </c>
      <c r="AB73" s="10" t="e">
        <f t="shared" si="31"/>
        <v>#VALUE!</v>
      </c>
      <c r="AC73" s="10" t="e">
        <f t="shared" si="32"/>
        <v>#VALUE!</v>
      </c>
      <c r="AD73" s="10" t="e">
        <f t="shared" si="64"/>
        <v>#VALUE!</v>
      </c>
      <c r="AE73" s="10" t="e">
        <f t="shared" si="65"/>
        <v>#VALUE!</v>
      </c>
      <c r="AF73" s="10" t="e">
        <f t="shared" si="10"/>
        <v>#VALUE!</v>
      </c>
      <c r="AG73" s="10" t="e">
        <f t="shared" si="33"/>
        <v>#VALUE!</v>
      </c>
      <c r="AI73" s="13"/>
      <c r="AK73" s="10" t="e">
        <f t="shared" si="34"/>
        <v>#VALUE!</v>
      </c>
      <c r="AL73" s="10" t="e">
        <f t="shared" si="66"/>
        <v>#VALUE!</v>
      </c>
      <c r="AM73" s="10" t="e">
        <f t="shared" si="11"/>
        <v>#VALUE!</v>
      </c>
      <c r="AN73" s="10" t="e">
        <f t="shared" si="35"/>
        <v>#VALUE!</v>
      </c>
      <c r="AO73" s="10" t="e">
        <f t="shared" si="36"/>
        <v>#VALUE!</v>
      </c>
      <c r="AP73" s="10" t="e">
        <f t="shared" si="37"/>
        <v>#VALUE!</v>
      </c>
      <c r="AQ73" s="10" t="e">
        <f t="shared" si="67"/>
        <v>#VALUE!</v>
      </c>
      <c r="AR73" s="10" t="e">
        <f t="shared" si="12"/>
        <v>#VALUE!</v>
      </c>
      <c r="AS73" s="10" t="e">
        <f t="shared" si="68"/>
        <v>#VALUE!</v>
      </c>
      <c r="AU73" s="10" t="e">
        <f t="shared" si="38"/>
        <v>#VALUE!</v>
      </c>
      <c r="AV73" s="10" t="e">
        <f t="shared" si="69"/>
        <v>#VALUE!</v>
      </c>
      <c r="AW73" s="10" t="e">
        <f t="shared" si="13"/>
        <v>#VALUE!</v>
      </c>
      <c r="AX73" s="10" t="e">
        <f t="shared" si="39"/>
        <v>#VALUE!</v>
      </c>
      <c r="AY73" s="10" t="e">
        <f t="shared" si="40"/>
        <v>#VALUE!</v>
      </c>
      <c r="AZ73" s="10" t="e">
        <f t="shared" si="41"/>
        <v>#VALUE!</v>
      </c>
      <c r="BA73" s="10" t="e">
        <f t="shared" si="70"/>
        <v>#VALUE!</v>
      </c>
      <c r="BB73" s="10" t="e">
        <f t="shared" si="14"/>
        <v>#VALUE!</v>
      </c>
      <c r="BC73" s="10" t="e">
        <f t="shared" si="71"/>
        <v>#VALUE!</v>
      </c>
      <c r="BE73" s="10" t="e">
        <f t="shared" si="42"/>
        <v>#VALUE!</v>
      </c>
      <c r="BF73" s="10" t="e">
        <f t="shared" si="72"/>
        <v>#VALUE!</v>
      </c>
      <c r="BG73" s="10" t="e">
        <f t="shared" si="15"/>
        <v>#VALUE!</v>
      </c>
      <c r="BH73" s="10" t="e">
        <f t="shared" si="43"/>
        <v>#VALUE!</v>
      </c>
      <c r="BI73" s="10" t="e">
        <f t="shared" si="44"/>
        <v>#VALUE!</v>
      </c>
      <c r="BJ73" s="10" t="e">
        <f t="shared" si="45"/>
        <v>#VALUE!</v>
      </c>
      <c r="BK73" s="10" t="e">
        <f t="shared" si="73"/>
        <v>#VALUE!</v>
      </c>
      <c r="BL73" s="10" t="e">
        <f t="shared" si="16"/>
        <v>#VALUE!</v>
      </c>
      <c r="BM73" s="10" t="e">
        <f t="shared" si="74"/>
        <v>#VALUE!</v>
      </c>
      <c r="BP73" s="10" t="e">
        <f t="shared" si="46"/>
        <v>#VALUE!</v>
      </c>
      <c r="BQ73" s="10" t="e">
        <f t="shared" si="47"/>
        <v>#VALUE!</v>
      </c>
      <c r="BR73" s="10" t="e">
        <f t="shared" si="48"/>
        <v>#VALUE!</v>
      </c>
      <c r="BS73" s="10" t="e">
        <f t="shared" si="49"/>
        <v>#VALUE!</v>
      </c>
      <c r="BT73" s="10" t="e">
        <f t="shared" si="50"/>
        <v>#VALUE!</v>
      </c>
      <c r="BU73" s="10" t="e">
        <f t="shared" si="51"/>
        <v>#VALUE!</v>
      </c>
      <c r="BW73" s="10" t="e">
        <f t="shared" si="52"/>
        <v>#VALUE!</v>
      </c>
      <c r="BX73" s="10" t="e">
        <f t="shared" si="53"/>
        <v>#VALUE!</v>
      </c>
      <c r="BY73" s="10" t="e">
        <f t="shared" si="54"/>
        <v>#VALUE!</v>
      </c>
      <c r="BZ73" s="10" t="e">
        <f t="shared" si="55"/>
        <v>#VALUE!</v>
      </c>
      <c r="CA73" s="10" t="e">
        <f t="shared" si="56"/>
        <v>#VALUE!</v>
      </c>
      <c r="CB73" s="10" t="e">
        <f t="shared" si="57"/>
        <v>#VALUE!</v>
      </c>
      <c r="CD73" s="10" t="e">
        <f>MATCH(INDEX($BP$12:$BU$12,1,MATCH(BP73,$BP$15:$BU$15,0)),结果汇总!$AI$10:$AI$13,0)</f>
        <v>#VALUE!</v>
      </c>
      <c r="CE73" s="10" t="e">
        <f>MATCH(INDEX($BP$12:$BU$12,1,MATCH(BQ73,$BP$15:$BU$15,0)),结果汇总!$AI$10:$AI$13,0)</f>
        <v>#VALUE!</v>
      </c>
      <c r="CF73" s="10" t="e">
        <f>MATCH(INDEX($BP$12:$BU$12,1,MATCH(BR73,$BP$15:$BU$15,0)),结果汇总!$AI$10:$AI$13,0)</f>
        <v>#VALUE!</v>
      </c>
      <c r="CG73" s="10" t="e">
        <f>MATCH(INDEX($BP$12:$BU$12,1,MATCH(BS73,$BP$15:$BU$15,0)),结果汇总!$AI$10:$AI$13,0)</f>
        <v>#VALUE!</v>
      </c>
      <c r="CH73" s="10" t="e">
        <f>MATCH(INDEX($BP$12:$BU$12,1,MATCH(BT73,$BP$15:$BU$15,0)),结果汇总!$AI$10:$AI$13,0)</f>
        <v>#VALUE!</v>
      </c>
      <c r="CI73" s="10" t="e">
        <f>MATCH(INDEX($BP$12:$BU$12,1,MATCH(BU73,$BP$15:$BU$15,0)),结果汇总!$AI$10:$AI$13,0)</f>
        <v>#VALUE!</v>
      </c>
      <c r="CK73" s="10">
        <f t="shared" si="75"/>
        <v>0</v>
      </c>
      <c r="CL73" s="10">
        <f t="shared" si="75"/>
        <v>0</v>
      </c>
      <c r="CM73" s="10">
        <f t="shared" si="75"/>
        <v>0</v>
      </c>
      <c r="CN73" s="10">
        <f t="shared" si="75"/>
        <v>0</v>
      </c>
      <c r="CO73" s="10">
        <f t="shared" si="76"/>
        <v>0</v>
      </c>
      <c r="CP73" s="10">
        <f t="shared" si="76"/>
        <v>0</v>
      </c>
      <c r="CQ73" s="10">
        <f t="shared" si="76"/>
        <v>0</v>
      </c>
      <c r="CR73" s="10">
        <f t="shared" si="76"/>
        <v>0</v>
      </c>
      <c r="CS73" s="10" t="e">
        <f t="shared" si="77"/>
        <v>#DIV/0!</v>
      </c>
      <c r="CT73" s="10" t="e">
        <f t="shared" si="77"/>
        <v>#DIV/0!</v>
      </c>
      <c r="CU73" s="10" t="e">
        <f t="shared" si="77"/>
        <v>#DIV/0!</v>
      </c>
      <c r="CV73" s="10" t="e">
        <f t="shared" si="77"/>
        <v>#DIV/0!</v>
      </c>
      <c r="CW73" s="10">
        <f t="shared" si="78"/>
        <v>0</v>
      </c>
      <c r="CX73" s="10">
        <f t="shared" si="78"/>
        <v>0</v>
      </c>
      <c r="CY73" s="10">
        <f t="shared" si="78"/>
        <v>0</v>
      </c>
      <c r="CZ73" s="10">
        <f t="shared" si="78"/>
        <v>0</v>
      </c>
    </row>
    <row r="74" spans="4:104" x14ac:dyDescent="0.15">
      <c r="D74" s="10">
        <v>59</v>
      </c>
      <c r="E74" s="10" t="e">
        <f t="shared" si="21"/>
        <v>#VALUE!</v>
      </c>
      <c r="F74" s="10" t="e">
        <f t="shared" si="1"/>
        <v>#VALUE!</v>
      </c>
      <c r="G74" s="10" t="e">
        <f t="shared" si="2"/>
        <v>#VALUE!</v>
      </c>
      <c r="H74" s="10" t="e">
        <f t="shared" si="22"/>
        <v>#VALUE!</v>
      </c>
      <c r="I74" s="10" t="e">
        <f t="shared" si="3"/>
        <v>#VALUE!</v>
      </c>
      <c r="J74" s="10" t="e">
        <f t="shared" si="23"/>
        <v>#VALUE!</v>
      </c>
      <c r="K74" s="10" t="e">
        <f t="shared" si="4"/>
        <v>#VALUE!</v>
      </c>
      <c r="L74" s="10" t="e">
        <f t="shared" si="5"/>
        <v>#VALUE!</v>
      </c>
      <c r="M74" s="10" t="e">
        <f t="shared" si="24"/>
        <v>#VALUE!</v>
      </c>
      <c r="O74" s="10" t="e">
        <f t="shared" si="25"/>
        <v>#VALUE!</v>
      </c>
      <c r="P74" s="10" t="e">
        <f t="shared" si="6"/>
        <v>#VALUE!</v>
      </c>
      <c r="Q74" s="10" t="e">
        <f t="shared" si="7"/>
        <v>#VALUE!</v>
      </c>
      <c r="R74" s="10" t="e">
        <f t="shared" si="26"/>
        <v>#VALUE!</v>
      </c>
      <c r="S74" s="10" t="e">
        <f t="shared" si="27"/>
        <v>#VALUE!</v>
      </c>
      <c r="T74" s="10" t="e">
        <f t="shared" si="62"/>
        <v>#VALUE!</v>
      </c>
      <c r="U74" s="10" t="e">
        <f t="shared" si="63"/>
        <v>#VALUE!</v>
      </c>
      <c r="V74" s="10" t="e">
        <f t="shared" si="8"/>
        <v>#VALUE!</v>
      </c>
      <c r="W74" s="10" t="e">
        <f t="shared" si="28"/>
        <v>#VALUE!</v>
      </c>
      <c r="Y74" s="10" t="e">
        <f t="shared" si="29"/>
        <v>#VALUE!</v>
      </c>
      <c r="Z74" s="11" t="e">
        <f t="shared" si="30"/>
        <v>#VALUE!</v>
      </c>
      <c r="AA74" s="10" t="e">
        <f t="shared" si="9"/>
        <v>#VALUE!</v>
      </c>
      <c r="AB74" s="10" t="e">
        <f t="shared" si="31"/>
        <v>#VALUE!</v>
      </c>
      <c r="AC74" s="10" t="e">
        <f t="shared" si="32"/>
        <v>#VALUE!</v>
      </c>
      <c r="AD74" s="10" t="e">
        <f t="shared" si="64"/>
        <v>#VALUE!</v>
      </c>
      <c r="AE74" s="10" t="e">
        <f t="shared" si="65"/>
        <v>#VALUE!</v>
      </c>
      <c r="AF74" s="10" t="e">
        <f t="shared" si="10"/>
        <v>#VALUE!</v>
      </c>
      <c r="AG74" s="10" t="e">
        <f t="shared" si="33"/>
        <v>#VALUE!</v>
      </c>
      <c r="AI74" s="13"/>
      <c r="AK74" s="10" t="e">
        <f t="shared" si="34"/>
        <v>#VALUE!</v>
      </c>
      <c r="AL74" s="10" t="e">
        <f t="shared" si="66"/>
        <v>#VALUE!</v>
      </c>
      <c r="AM74" s="10" t="e">
        <f t="shared" si="11"/>
        <v>#VALUE!</v>
      </c>
      <c r="AN74" s="10" t="e">
        <f t="shared" si="35"/>
        <v>#VALUE!</v>
      </c>
      <c r="AO74" s="10" t="e">
        <f t="shared" si="36"/>
        <v>#VALUE!</v>
      </c>
      <c r="AP74" s="10" t="e">
        <f t="shared" si="37"/>
        <v>#VALUE!</v>
      </c>
      <c r="AQ74" s="10" t="e">
        <f t="shared" si="67"/>
        <v>#VALUE!</v>
      </c>
      <c r="AR74" s="10" t="e">
        <f t="shared" si="12"/>
        <v>#VALUE!</v>
      </c>
      <c r="AS74" s="10" t="e">
        <f t="shared" si="68"/>
        <v>#VALUE!</v>
      </c>
      <c r="AU74" s="10" t="e">
        <f t="shared" si="38"/>
        <v>#VALUE!</v>
      </c>
      <c r="AV74" s="10" t="e">
        <f t="shared" si="69"/>
        <v>#VALUE!</v>
      </c>
      <c r="AW74" s="10" t="e">
        <f t="shared" si="13"/>
        <v>#VALUE!</v>
      </c>
      <c r="AX74" s="10" t="e">
        <f t="shared" si="39"/>
        <v>#VALUE!</v>
      </c>
      <c r="AY74" s="10" t="e">
        <f t="shared" si="40"/>
        <v>#VALUE!</v>
      </c>
      <c r="AZ74" s="10" t="e">
        <f t="shared" si="41"/>
        <v>#VALUE!</v>
      </c>
      <c r="BA74" s="10" t="e">
        <f t="shared" si="70"/>
        <v>#VALUE!</v>
      </c>
      <c r="BB74" s="10" t="e">
        <f t="shared" si="14"/>
        <v>#VALUE!</v>
      </c>
      <c r="BC74" s="10" t="e">
        <f t="shared" si="71"/>
        <v>#VALUE!</v>
      </c>
      <c r="BE74" s="10" t="e">
        <f t="shared" si="42"/>
        <v>#VALUE!</v>
      </c>
      <c r="BF74" s="10" t="e">
        <f t="shared" si="72"/>
        <v>#VALUE!</v>
      </c>
      <c r="BG74" s="10" t="e">
        <f t="shared" si="15"/>
        <v>#VALUE!</v>
      </c>
      <c r="BH74" s="10" t="e">
        <f t="shared" si="43"/>
        <v>#VALUE!</v>
      </c>
      <c r="BI74" s="10" t="e">
        <f t="shared" si="44"/>
        <v>#VALUE!</v>
      </c>
      <c r="BJ74" s="10" t="e">
        <f t="shared" si="45"/>
        <v>#VALUE!</v>
      </c>
      <c r="BK74" s="10" t="e">
        <f t="shared" si="73"/>
        <v>#VALUE!</v>
      </c>
      <c r="BL74" s="10" t="e">
        <f t="shared" si="16"/>
        <v>#VALUE!</v>
      </c>
      <c r="BM74" s="10" t="e">
        <f t="shared" si="74"/>
        <v>#VALUE!</v>
      </c>
      <c r="BP74" s="10" t="e">
        <f t="shared" si="46"/>
        <v>#VALUE!</v>
      </c>
      <c r="BQ74" s="10" t="e">
        <f t="shared" si="47"/>
        <v>#VALUE!</v>
      </c>
      <c r="BR74" s="10" t="e">
        <f t="shared" si="48"/>
        <v>#VALUE!</v>
      </c>
      <c r="BS74" s="10" t="e">
        <f t="shared" si="49"/>
        <v>#VALUE!</v>
      </c>
      <c r="BT74" s="10" t="e">
        <f t="shared" si="50"/>
        <v>#VALUE!</v>
      </c>
      <c r="BU74" s="10" t="e">
        <f t="shared" si="51"/>
        <v>#VALUE!</v>
      </c>
      <c r="BW74" s="10" t="e">
        <f t="shared" si="52"/>
        <v>#VALUE!</v>
      </c>
      <c r="BX74" s="10" t="e">
        <f t="shared" si="53"/>
        <v>#VALUE!</v>
      </c>
      <c r="BY74" s="10" t="e">
        <f t="shared" si="54"/>
        <v>#VALUE!</v>
      </c>
      <c r="BZ74" s="10" t="e">
        <f t="shared" si="55"/>
        <v>#VALUE!</v>
      </c>
      <c r="CA74" s="10" t="e">
        <f t="shared" si="56"/>
        <v>#VALUE!</v>
      </c>
      <c r="CB74" s="10" t="e">
        <f t="shared" si="57"/>
        <v>#VALUE!</v>
      </c>
      <c r="CD74" s="10" t="e">
        <f>MATCH(INDEX($BP$12:$BU$12,1,MATCH(BP74,$BP$15:$BU$15,0)),结果汇总!$AI$10:$AI$13,0)</f>
        <v>#VALUE!</v>
      </c>
      <c r="CE74" s="10" t="e">
        <f>MATCH(INDEX($BP$12:$BU$12,1,MATCH(BQ74,$BP$15:$BU$15,0)),结果汇总!$AI$10:$AI$13,0)</f>
        <v>#VALUE!</v>
      </c>
      <c r="CF74" s="10" t="e">
        <f>MATCH(INDEX($BP$12:$BU$12,1,MATCH(BR74,$BP$15:$BU$15,0)),结果汇总!$AI$10:$AI$13,0)</f>
        <v>#VALUE!</v>
      </c>
      <c r="CG74" s="10" t="e">
        <f>MATCH(INDEX($BP$12:$BU$12,1,MATCH(BS74,$BP$15:$BU$15,0)),结果汇总!$AI$10:$AI$13,0)</f>
        <v>#VALUE!</v>
      </c>
      <c r="CH74" s="10" t="e">
        <f>MATCH(INDEX($BP$12:$BU$12,1,MATCH(BT74,$BP$15:$BU$15,0)),结果汇总!$AI$10:$AI$13,0)</f>
        <v>#VALUE!</v>
      </c>
      <c r="CI74" s="10" t="e">
        <f>MATCH(INDEX($BP$12:$BU$12,1,MATCH(BU74,$BP$15:$BU$15,0)),结果汇总!$AI$10:$AI$13,0)</f>
        <v>#VALUE!</v>
      </c>
      <c r="CK74" s="10">
        <f t="shared" si="75"/>
        <v>0</v>
      </c>
      <c r="CL74" s="10">
        <f t="shared" si="75"/>
        <v>0</v>
      </c>
      <c r="CM74" s="10">
        <f t="shared" si="75"/>
        <v>0</v>
      </c>
      <c r="CN74" s="10">
        <f t="shared" si="75"/>
        <v>0</v>
      </c>
      <c r="CO74" s="10">
        <f t="shared" si="76"/>
        <v>0</v>
      </c>
      <c r="CP74" s="10">
        <f t="shared" si="76"/>
        <v>0</v>
      </c>
      <c r="CQ74" s="10">
        <f t="shared" si="76"/>
        <v>0</v>
      </c>
      <c r="CR74" s="10">
        <f t="shared" si="76"/>
        <v>0</v>
      </c>
      <c r="CS74" s="10" t="e">
        <f t="shared" si="77"/>
        <v>#DIV/0!</v>
      </c>
      <c r="CT74" s="10" t="e">
        <f t="shared" si="77"/>
        <v>#DIV/0!</v>
      </c>
      <c r="CU74" s="10" t="e">
        <f t="shared" si="77"/>
        <v>#DIV/0!</v>
      </c>
      <c r="CV74" s="10" t="e">
        <f t="shared" si="77"/>
        <v>#DIV/0!</v>
      </c>
      <c r="CW74" s="10">
        <f t="shared" si="78"/>
        <v>0</v>
      </c>
      <c r="CX74" s="10">
        <f t="shared" si="78"/>
        <v>0</v>
      </c>
      <c r="CY74" s="10">
        <f t="shared" si="78"/>
        <v>0</v>
      </c>
      <c r="CZ74" s="10">
        <f t="shared" si="78"/>
        <v>0</v>
      </c>
    </row>
    <row r="75" spans="4:104" x14ac:dyDescent="0.15">
      <c r="D75" s="10">
        <v>60</v>
      </c>
      <c r="E75" s="10" t="e">
        <f t="shared" si="21"/>
        <v>#VALUE!</v>
      </c>
      <c r="F75" s="10" t="e">
        <f t="shared" si="1"/>
        <v>#VALUE!</v>
      </c>
      <c r="G75" s="10" t="e">
        <f t="shared" si="2"/>
        <v>#VALUE!</v>
      </c>
      <c r="H75" s="10" t="e">
        <f t="shared" si="22"/>
        <v>#VALUE!</v>
      </c>
      <c r="I75" s="10" t="e">
        <f t="shared" si="3"/>
        <v>#VALUE!</v>
      </c>
      <c r="J75" s="10" t="e">
        <f t="shared" si="23"/>
        <v>#VALUE!</v>
      </c>
      <c r="K75" s="10" t="e">
        <f t="shared" si="4"/>
        <v>#VALUE!</v>
      </c>
      <c r="L75" s="10" t="e">
        <f t="shared" si="5"/>
        <v>#VALUE!</v>
      </c>
      <c r="M75" s="10" t="e">
        <f t="shared" si="24"/>
        <v>#VALUE!</v>
      </c>
      <c r="O75" s="10" t="e">
        <f t="shared" si="25"/>
        <v>#VALUE!</v>
      </c>
      <c r="P75" s="10" t="e">
        <f t="shared" si="6"/>
        <v>#VALUE!</v>
      </c>
      <c r="Q75" s="10" t="e">
        <f t="shared" si="7"/>
        <v>#VALUE!</v>
      </c>
      <c r="R75" s="10" t="e">
        <f t="shared" si="26"/>
        <v>#VALUE!</v>
      </c>
      <c r="S75" s="10" t="e">
        <f t="shared" si="27"/>
        <v>#VALUE!</v>
      </c>
      <c r="T75" s="10" t="e">
        <f t="shared" si="62"/>
        <v>#VALUE!</v>
      </c>
      <c r="U75" s="10" t="e">
        <f t="shared" si="63"/>
        <v>#VALUE!</v>
      </c>
      <c r="V75" s="10" t="e">
        <f t="shared" si="8"/>
        <v>#VALUE!</v>
      </c>
      <c r="W75" s="10" t="e">
        <f t="shared" si="28"/>
        <v>#VALUE!</v>
      </c>
      <c r="Y75" s="10" t="e">
        <f t="shared" si="29"/>
        <v>#VALUE!</v>
      </c>
      <c r="Z75" s="11" t="e">
        <f t="shared" si="30"/>
        <v>#VALUE!</v>
      </c>
      <c r="AA75" s="10" t="e">
        <f t="shared" si="9"/>
        <v>#VALUE!</v>
      </c>
      <c r="AB75" s="10" t="e">
        <f t="shared" si="31"/>
        <v>#VALUE!</v>
      </c>
      <c r="AC75" s="10" t="e">
        <f t="shared" si="32"/>
        <v>#VALUE!</v>
      </c>
      <c r="AD75" s="10" t="e">
        <f t="shared" si="64"/>
        <v>#VALUE!</v>
      </c>
      <c r="AE75" s="10" t="e">
        <f t="shared" si="65"/>
        <v>#VALUE!</v>
      </c>
      <c r="AF75" s="10" t="e">
        <f t="shared" si="10"/>
        <v>#VALUE!</v>
      </c>
      <c r="AG75" s="10" t="e">
        <f t="shared" si="33"/>
        <v>#VALUE!</v>
      </c>
      <c r="AI75" s="13"/>
      <c r="AK75" s="10" t="e">
        <f t="shared" si="34"/>
        <v>#VALUE!</v>
      </c>
      <c r="AL75" s="10" t="e">
        <f t="shared" si="66"/>
        <v>#VALUE!</v>
      </c>
      <c r="AM75" s="10" t="e">
        <f t="shared" si="11"/>
        <v>#VALUE!</v>
      </c>
      <c r="AN75" s="10" t="e">
        <f t="shared" si="35"/>
        <v>#VALUE!</v>
      </c>
      <c r="AO75" s="10" t="e">
        <f t="shared" si="36"/>
        <v>#VALUE!</v>
      </c>
      <c r="AP75" s="10" t="e">
        <f t="shared" si="37"/>
        <v>#VALUE!</v>
      </c>
      <c r="AQ75" s="10" t="e">
        <f t="shared" si="67"/>
        <v>#VALUE!</v>
      </c>
      <c r="AR75" s="10" t="e">
        <f t="shared" si="12"/>
        <v>#VALUE!</v>
      </c>
      <c r="AS75" s="10" t="e">
        <f t="shared" si="68"/>
        <v>#VALUE!</v>
      </c>
      <c r="AU75" s="10" t="e">
        <f t="shared" si="38"/>
        <v>#VALUE!</v>
      </c>
      <c r="AV75" s="10" t="e">
        <f t="shared" si="69"/>
        <v>#VALUE!</v>
      </c>
      <c r="AW75" s="10" t="e">
        <f t="shared" si="13"/>
        <v>#VALUE!</v>
      </c>
      <c r="AX75" s="10" t="e">
        <f t="shared" si="39"/>
        <v>#VALUE!</v>
      </c>
      <c r="AY75" s="10" t="e">
        <f t="shared" si="40"/>
        <v>#VALUE!</v>
      </c>
      <c r="AZ75" s="10" t="e">
        <f t="shared" si="41"/>
        <v>#VALUE!</v>
      </c>
      <c r="BA75" s="10" t="e">
        <f t="shared" si="70"/>
        <v>#VALUE!</v>
      </c>
      <c r="BB75" s="10" t="e">
        <f t="shared" si="14"/>
        <v>#VALUE!</v>
      </c>
      <c r="BC75" s="10" t="e">
        <f t="shared" si="71"/>
        <v>#VALUE!</v>
      </c>
      <c r="BE75" s="10" t="e">
        <f t="shared" si="42"/>
        <v>#VALUE!</v>
      </c>
      <c r="BF75" s="10" t="e">
        <f t="shared" si="72"/>
        <v>#VALUE!</v>
      </c>
      <c r="BG75" s="10" t="e">
        <f t="shared" si="15"/>
        <v>#VALUE!</v>
      </c>
      <c r="BH75" s="10" t="e">
        <f t="shared" si="43"/>
        <v>#VALUE!</v>
      </c>
      <c r="BI75" s="10" t="e">
        <f t="shared" si="44"/>
        <v>#VALUE!</v>
      </c>
      <c r="BJ75" s="10" t="e">
        <f t="shared" si="45"/>
        <v>#VALUE!</v>
      </c>
      <c r="BK75" s="10" t="e">
        <f t="shared" si="73"/>
        <v>#VALUE!</v>
      </c>
      <c r="BL75" s="10" t="e">
        <f t="shared" si="16"/>
        <v>#VALUE!</v>
      </c>
      <c r="BM75" s="10" t="e">
        <f t="shared" si="74"/>
        <v>#VALUE!</v>
      </c>
      <c r="BP75" s="10" t="e">
        <f t="shared" si="46"/>
        <v>#VALUE!</v>
      </c>
      <c r="BQ75" s="10" t="e">
        <f t="shared" si="47"/>
        <v>#VALUE!</v>
      </c>
      <c r="BR75" s="10" t="e">
        <f t="shared" si="48"/>
        <v>#VALUE!</v>
      </c>
      <c r="BS75" s="10" t="e">
        <f t="shared" si="49"/>
        <v>#VALUE!</v>
      </c>
      <c r="BT75" s="10" t="e">
        <f t="shared" si="50"/>
        <v>#VALUE!</v>
      </c>
      <c r="BU75" s="10" t="e">
        <f t="shared" si="51"/>
        <v>#VALUE!</v>
      </c>
      <c r="BW75" s="10" t="e">
        <f t="shared" si="52"/>
        <v>#VALUE!</v>
      </c>
      <c r="BX75" s="10" t="e">
        <f t="shared" si="53"/>
        <v>#VALUE!</v>
      </c>
      <c r="BY75" s="10" t="e">
        <f t="shared" si="54"/>
        <v>#VALUE!</v>
      </c>
      <c r="BZ75" s="10" t="e">
        <f t="shared" si="55"/>
        <v>#VALUE!</v>
      </c>
      <c r="CA75" s="10" t="e">
        <f t="shared" si="56"/>
        <v>#VALUE!</v>
      </c>
      <c r="CB75" s="10" t="e">
        <f t="shared" si="57"/>
        <v>#VALUE!</v>
      </c>
      <c r="CD75" s="10" t="e">
        <f>MATCH(INDEX($BP$12:$BU$12,1,MATCH(BP75,$BP$15:$BU$15,0)),结果汇总!$AI$10:$AI$13,0)</f>
        <v>#VALUE!</v>
      </c>
      <c r="CE75" s="10" t="e">
        <f>MATCH(INDEX($BP$12:$BU$12,1,MATCH(BQ75,$BP$15:$BU$15,0)),结果汇总!$AI$10:$AI$13,0)</f>
        <v>#VALUE!</v>
      </c>
      <c r="CF75" s="10" t="e">
        <f>MATCH(INDEX($BP$12:$BU$12,1,MATCH(BR75,$BP$15:$BU$15,0)),结果汇总!$AI$10:$AI$13,0)</f>
        <v>#VALUE!</v>
      </c>
      <c r="CG75" s="10" t="e">
        <f>MATCH(INDEX($BP$12:$BU$12,1,MATCH(BS75,$BP$15:$BU$15,0)),结果汇总!$AI$10:$AI$13,0)</f>
        <v>#VALUE!</v>
      </c>
      <c r="CH75" s="10" t="e">
        <f>MATCH(INDEX($BP$12:$BU$12,1,MATCH(BT75,$BP$15:$BU$15,0)),结果汇总!$AI$10:$AI$13,0)</f>
        <v>#VALUE!</v>
      </c>
      <c r="CI75" s="10" t="e">
        <f>MATCH(INDEX($BP$12:$BU$12,1,MATCH(BU75,$BP$15:$BU$15,0)),结果汇总!$AI$10:$AI$13,0)</f>
        <v>#VALUE!</v>
      </c>
      <c r="CK75" s="10">
        <f t="shared" si="75"/>
        <v>0</v>
      </c>
      <c r="CL75" s="10">
        <f t="shared" si="75"/>
        <v>0</v>
      </c>
      <c r="CM75" s="10">
        <f t="shared" si="75"/>
        <v>0</v>
      </c>
      <c r="CN75" s="10">
        <f t="shared" si="75"/>
        <v>0</v>
      </c>
      <c r="CO75" s="10">
        <f t="shared" si="76"/>
        <v>0</v>
      </c>
      <c r="CP75" s="10">
        <f t="shared" si="76"/>
        <v>0</v>
      </c>
      <c r="CQ75" s="10">
        <f t="shared" si="76"/>
        <v>0</v>
      </c>
      <c r="CR75" s="10">
        <f t="shared" si="76"/>
        <v>0</v>
      </c>
      <c r="CS75" s="10" t="e">
        <f t="shared" si="77"/>
        <v>#DIV/0!</v>
      </c>
      <c r="CT75" s="10" t="e">
        <f t="shared" si="77"/>
        <v>#DIV/0!</v>
      </c>
      <c r="CU75" s="10" t="e">
        <f t="shared" si="77"/>
        <v>#DIV/0!</v>
      </c>
      <c r="CV75" s="10" t="e">
        <f t="shared" si="77"/>
        <v>#DIV/0!</v>
      </c>
      <c r="CW75" s="10">
        <f t="shared" si="78"/>
        <v>0</v>
      </c>
      <c r="CX75" s="10">
        <f t="shared" si="78"/>
        <v>0</v>
      </c>
      <c r="CY75" s="10">
        <f t="shared" si="78"/>
        <v>0</v>
      </c>
      <c r="CZ75" s="10">
        <f t="shared" si="78"/>
        <v>0</v>
      </c>
    </row>
    <row r="76" spans="4:104" x14ac:dyDescent="0.15">
      <c r="D76" s="10">
        <v>61</v>
      </c>
      <c r="E76" s="10" t="e">
        <f t="shared" si="21"/>
        <v>#VALUE!</v>
      </c>
      <c r="F76" s="10" t="e">
        <f t="shared" si="1"/>
        <v>#VALUE!</v>
      </c>
      <c r="G76" s="10" t="e">
        <f t="shared" si="2"/>
        <v>#VALUE!</v>
      </c>
      <c r="H76" s="10" t="e">
        <f t="shared" si="22"/>
        <v>#VALUE!</v>
      </c>
      <c r="I76" s="10" t="e">
        <f t="shared" si="3"/>
        <v>#VALUE!</v>
      </c>
      <c r="J76" s="10" t="e">
        <f t="shared" si="23"/>
        <v>#VALUE!</v>
      </c>
      <c r="K76" s="10" t="e">
        <f t="shared" si="4"/>
        <v>#VALUE!</v>
      </c>
      <c r="L76" s="10" t="e">
        <f t="shared" si="5"/>
        <v>#VALUE!</v>
      </c>
      <c r="M76" s="10" t="e">
        <f t="shared" si="24"/>
        <v>#VALUE!</v>
      </c>
      <c r="O76" s="10" t="e">
        <f t="shared" si="25"/>
        <v>#VALUE!</v>
      </c>
      <c r="P76" s="10" t="e">
        <f t="shared" si="6"/>
        <v>#VALUE!</v>
      </c>
      <c r="Q76" s="10" t="e">
        <f t="shared" si="7"/>
        <v>#VALUE!</v>
      </c>
      <c r="R76" s="10" t="e">
        <f t="shared" si="26"/>
        <v>#VALUE!</v>
      </c>
      <c r="S76" s="10" t="e">
        <f t="shared" si="27"/>
        <v>#VALUE!</v>
      </c>
      <c r="T76" s="10" t="e">
        <f t="shared" si="62"/>
        <v>#VALUE!</v>
      </c>
      <c r="U76" s="10" t="e">
        <f t="shared" si="63"/>
        <v>#VALUE!</v>
      </c>
      <c r="V76" s="10" t="e">
        <f t="shared" si="8"/>
        <v>#VALUE!</v>
      </c>
      <c r="W76" s="10" t="e">
        <f t="shared" si="28"/>
        <v>#VALUE!</v>
      </c>
      <c r="Y76" s="10" t="e">
        <f t="shared" si="29"/>
        <v>#VALUE!</v>
      </c>
      <c r="Z76" s="11" t="e">
        <f t="shared" si="30"/>
        <v>#VALUE!</v>
      </c>
      <c r="AA76" s="10" t="e">
        <f t="shared" si="9"/>
        <v>#VALUE!</v>
      </c>
      <c r="AB76" s="10" t="e">
        <f t="shared" si="31"/>
        <v>#VALUE!</v>
      </c>
      <c r="AC76" s="10" t="e">
        <f t="shared" si="32"/>
        <v>#VALUE!</v>
      </c>
      <c r="AD76" s="10" t="e">
        <f t="shared" si="64"/>
        <v>#VALUE!</v>
      </c>
      <c r="AE76" s="10" t="e">
        <f t="shared" si="65"/>
        <v>#VALUE!</v>
      </c>
      <c r="AF76" s="10" t="e">
        <f t="shared" si="10"/>
        <v>#VALUE!</v>
      </c>
      <c r="AG76" s="10" t="e">
        <f t="shared" si="33"/>
        <v>#VALUE!</v>
      </c>
      <c r="AI76" s="13"/>
      <c r="AK76" s="10" t="e">
        <f t="shared" si="34"/>
        <v>#VALUE!</v>
      </c>
      <c r="AL76" s="10" t="e">
        <f t="shared" si="66"/>
        <v>#VALUE!</v>
      </c>
      <c r="AM76" s="10" t="e">
        <f t="shared" si="11"/>
        <v>#VALUE!</v>
      </c>
      <c r="AN76" s="10" t="e">
        <f t="shared" si="35"/>
        <v>#VALUE!</v>
      </c>
      <c r="AO76" s="10" t="e">
        <f t="shared" si="36"/>
        <v>#VALUE!</v>
      </c>
      <c r="AP76" s="10" t="e">
        <f t="shared" si="37"/>
        <v>#VALUE!</v>
      </c>
      <c r="AQ76" s="10" t="e">
        <f t="shared" si="67"/>
        <v>#VALUE!</v>
      </c>
      <c r="AR76" s="10" t="e">
        <f t="shared" si="12"/>
        <v>#VALUE!</v>
      </c>
      <c r="AS76" s="10" t="e">
        <f t="shared" si="68"/>
        <v>#VALUE!</v>
      </c>
      <c r="AU76" s="10" t="e">
        <f t="shared" si="38"/>
        <v>#VALUE!</v>
      </c>
      <c r="AV76" s="10" t="e">
        <f t="shared" si="69"/>
        <v>#VALUE!</v>
      </c>
      <c r="AW76" s="10" t="e">
        <f t="shared" si="13"/>
        <v>#VALUE!</v>
      </c>
      <c r="AX76" s="10" t="e">
        <f t="shared" si="39"/>
        <v>#VALUE!</v>
      </c>
      <c r="AY76" s="10" t="e">
        <f t="shared" si="40"/>
        <v>#VALUE!</v>
      </c>
      <c r="AZ76" s="10" t="e">
        <f t="shared" si="41"/>
        <v>#VALUE!</v>
      </c>
      <c r="BA76" s="10" t="e">
        <f t="shared" si="70"/>
        <v>#VALUE!</v>
      </c>
      <c r="BB76" s="10" t="e">
        <f t="shared" si="14"/>
        <v>#VALUE!</v>
      </c>
      <c r="BC76" s="10" t="e">
        <f t="shared" si="71"/>
        <v>#VALUE!</v>
      </c>
      <c r="BE76" s="10" t="e">
        <f t="shared" si="42"/>
        <v>#VALUE!</v>
      </c>
      <c r="BF76" s="10" t="e">
        <f t="shared" si="72"/>
        <v>#VALUE!</v>
      </c>
      <c r="BG76" s="10" t="e">
        <f t="shared" si="15"/>
        <v>#VALUE!</v>
      </c>
      <c r="BH76" s="10" t="e">
        <f t="shared" si="43"/>
        <v>#VALUE!</v>
      </c>
      <c r="BI76" s="10" t="e">
        <f t="shared" si="44"/>
        <v>#VALUE!</v>
      </c>
      <c r="BJ76" s="10" t="e">
        <f t="shared" si="45"/>
        <v>#VALUE!</v>
      </c>
      <c r="BK76" s="10" t="e">
        <f t="shared" si="73"/>
        <v>#VALUE!</v>
      </c>
      <c r="BL76" s="10" t="e">
        <f t="shared" si="16"/>
        <v>#VALUE!</v>
      </c>
      <c r="BM76" s="10" t="e">
        <f t="shared" si="74"/>
        <v>#VALUE!</v>
      </c>
      <c r="BP76" s="10" t="e">
        <f t="shared" si="46"/>
        <v>#VALUE!</v>
      </c>
      <c r="BQ76" s="10" t="e">
        <f t="shared" si="47"/>
        <v>#VALUE!</v>
      </c>
      <c r="BR76" s="10" t="e">
        <f t="shared" si="48"/>
        <v>#VALUE!</v>
      </c>
      <c r="BS76" s="10" t="e">
        <f t="shared" si="49"/>
        <v>#VALUE!</v>
      </c>
      <c r="BT76" s="10" t="e">
        <f t="shared" si="50"/>
        <v>#VALUE!</v>
      </c>
      <c r="BU76" s="10" t="e">
        <f t="shared" si="51"/>
        <v>#VALUE!</v>
      </c>
      <c r="BW76" s="10" t="e">
        <f t="shared" si="52"/>
        <v>#VALUE!</v>
      </c>
      <c r="BX76" s="10" t="e">
        <f t="shared" si="53"/>
        <v>#VALUE!</v>
      </c>
      <c r="BY76" s="10" t="e">
        <f t="shared" si="54"/>
        <v>#VALUE!</v>
      </c>
      <c r="BZ76" s="10" t="e">
        <f t="shared" si="55"/>
        <v>#VALUE!</v>
      </c>
      <c r="CA76" s="10" t="e">
        <f t="shared" si="56"/>
        <v>#VALUE!</v>
      </c>
      <c r="CB76" s="10" t="e">
        <f t="shared" si="57"/>
        <v>#VALUE!</v>
      </c>
      <c r="CD76" s="10" t="e">
        <f>MATCH(INDEX($BP$12:$BU$12,1,MATCH(BP76,$BP$15:$BU$15,0)),结果汇总!$AI$10:$AI$13,0)</f>
        <v>#VALUE!</v>
      </c>
      <c r="CE76" s="10" t="e">
        <f>MATCH(INDEX($BP$12:$BU$12,1,MATCH(BQ76,$BP$15:$BU$15,0)),结果汇总!$AI$10:$AI$13,0)</f>
        <v>#VALUE!</v>
      </c>
      <c r="CF76" s="10" t="e">
        <f>MATCH(INDEX($BP$12:$BU$12,1,MATCH(BR76,$BP$15:$BU$15,0)),结果汇总!$AI$10:$AI$13,0)</f>
        <v>#VALUE!</v>
      </c>
      <c r="CG76" s="10" t="e">
        <f>MATCH(INDEX($BP$12:$BU$12,1,MATCH(BS76,$BP$15:$BU$15,0)),结果汇总!$AI$10:$AI$13,0)</f>
        <v>#VALUE!</v>
      </c>
      <c r="CH76" s="10" t="e">
        <f>MATCH(INDEX($BP$12:$BU$12,1,MATCH(BT76,$BP$15:$BU$15,0)),结果汇总!$AI$10:$AI$13,0)</f>
        <v>#VALUE!</v>
      </c>
      <c r="CI76" s="10" t="e">
        <f>MATCH(INDEX($BP$12:$BU$12,1,MATCH(BU76,$BP$15:$BU$15,0)),结果汇总!$AI$10:$AI$13,0)</f>
        <v>#VALUE!</v>
      </c>
      <c r="CK76" s="10">
        <f t="shared" si="75"/>
        <v>0</v>
      </c>
      <c r="CL76" s="10">
        <f t="shared" si="75"/>
        <v>0</v>
      </c>
      <c r="CM76" s="10">
        <f t="shared" si="75"/>
        <v>0</v>
      </c>
      <c r="CN76" s="10">
        <f t="shared" si="75"/>
        <v>0</v>
      </c>
      <c r="CO76" s="10">
        <f t="shared" si="76"/>
        <v>0</v>
      </c>
      <c r="CP76" s="10">
        <f t="shared" si="76"/>
        <v>0</v>
      </c>
      <c r="CQ76" s="10">
        <f t="shared" si="76"/>
        <v>0</v>
      </c>
      <c r="CR76" s="10">
        <f t="shared" si="76"/>
        <v>0</v>
      </c>
      <c r="CS76" s="10" t="e">
        <f t="shared" si="77"/>
        <v>#DIV/0!</v>
      </c>
      <c r="CT76" s="10" t="e">
        <f t="shared" si="77"/>
        <v>#DIV/0!</v>
      </c>
      <c r="CU76" s="10" t="e">
        <f t="shared" si="77"/>
        <v>#DIV/0!</v>
      </c>
      <c r="CV76" s="10" t="e">
        <f t="shared" si="77"/>
        <v>#DIV/0!</v>
      </c>
      <c r="CW76" s="10">
        <f t="shared" si="78"/>
        <v>0</v>
      </c>
      <c r="CX76" s="10">
        <f t="shared" si="78"/>
        <v>0</v>
      </c>
      <c r="CY76" s="10">
        <f t="shared" si="78"/>
        <v>0</v>
      </c>
      <c r="CZ76" s="10">
        <f t="shared" si="78"/>
        <v>0</v>
      </c>
    </row>
    <row r="77" spans="4:104" x14ac:dyDescent="0.15">
      <c r="D77" s="10">
        <v>62</v>
      </c>
      <c r="E77" s="10" t="e">
        <f t="shared" si="21"/>
        <v>#VALUE!</v>
      </c>
      <c r="F77" s="10" t="e">
        <f t="shared" si="1"/>
        <v>#VALUE!</v>
      </c>
      <c r="G77" s="10" t="e">
        <f t="shared" si="2"/>
        <v>#VALUE!</v>
      </c>
      <c r="H77" s="10" t="e">
        <f t="shared" si="22"/>
        <v>#VALUE!</v>
      </c>
      <c r="I77" s="10" t="e">
        <f t="shared" si="3"/>
        <v>#VALUE!</v>
      </c>
      <c r="J77" s="10" t="e">
        <f t="shared" si="23"/>
        <v>#VALUE!</v>
      </c>
      <c r="K77" s="10" t="e">
        <f t="shared" si="4"/>
        <v>#VALUE!</v>
      </c>
      <c r="L77" s="10" t="e">
        <f t="shared" si="5"/>
        <v>#VALUE!</v>
      </c>
      <c r="M77" s="10" t="e">
        <f t="shared" si="24"/>
        <v>#VALUE!</v>
      </c>
      <c r="O77" s="10" t="e">
        <f t="shared" si="25"/>
        <v>#VALUE!</v>
      </c>
      <c r="P77" s="10" t="e">
        <f t="shared" si="6"/>
        <v>#VALUE!</v>
      </c>
      <c r="Q77" s="10" t="e">
        <f t="shared" si="7"/>
        <v>#VALUE!</v>
      </c>
      <c r="R77" s="10" t="e">
        <f t="shared" si="26"/>
        <v>#VALUE!</v>
      </c>
      <c r="S77" s="10" t="e">
        <f t="shared" si="27"/>
        <v>#VALUE!</v>
      </c>
      <c r="T77" s="10" t="e">
        <f t="shared" si="62"/>
        <v>#VALUE!</v>
      </c>
      <c r="U77" s="10" t="e">
        <f t="shared" si="63"/>
        <v>#VALUE!</v>
      </c>
      <c r="V77" s="10" t="e">
        <f t="shared" si="8"/>
        <v>#VALUE!</v>
      </c>
      <c r="W77" s="10" t="e">
        <f t="shared" si="28"/>
        <v>#VALUE!</v>
      </c>
      <c r="Y77" s="10" t="e">
        <f t="shared" si="29"/>
        <v>#VALUE!</v>
      </c>
      <c r="Z77" s="11" t="e">
        <f t="shared" si="30"/>
        <v>#VALUE!</v>
      </c>
      <c r="AA77" s="10" t="e">
        <f t="shared" si="9"/>
        <v>#VALUE!</v>
      </c>
      <c r="AB77" s="10" t="e">
        <f t="shared" si="31"/>
        <v>#VALUE!</v>
      </c>
      <c r="AC77" s="10" t="e">
        <f t="shared" si="32"/>
        <v>#VALUE!</v>
      </c>
      <c r="AD77" s="10" t="e">
        <f t="shared" si="64"/>
        <v>#VALUE!</v>
      </c>
      <c r="AE77" s="10" t="e">
        <f t="shared" si="65"/>
        <v>#VALUE!</v>
      </c>
      <c r="AF77" s="10" t="e">
        <f t="shared" si="10"/>
        <v>#VALUE!</v>
      </c>
      <c r="AG77" s="10" t="e">
        <f t="shared" si="33"/>
        <v>#VALUE!</v>
      </c>
      <c r="AI77" s="13"/>
      <c r="AK77" s="10" t="e">
        <f t="shared" si="34"/>
        <v>#VALUE!</v>
      </c>
      <c r="AL77" s="10" t="e">
        <f t="shared" si="66"/>
        <v>#VALUE!</v>
      </c>
      <c r="AM77" s="10" t="e">
        <f t="shared" si="11"/>
        <v>#VALUE!</v>
      </c>
      <c r="AN77" s="10" t="e">
        <f t="shared" si="35"/>
        <v>#VALUE!</v>
      </c>
      <c r="AO77" s="10" t="e">
        <f t="shared" si="36"/>
        <v>#VALUE!</v>
      </c>
      <c r="AP77" s="10" t="e">
        <f t="shared" si="37"/>
        <v>#VALUE!</v>
      </c>
      <c r="AQ77" s="10" t="e">
        <f t="shared" si="67"/>
        <v>#VALUE!</v>
      </c>
      <c r="AR77" s="10" t="e">
        <f t="shared" si="12"/>
        <v>#VALUE!</v>
      </c>
      <c r="AS77" s="10" t="e">
        <f t="shared" si="68"/>
        <v>#VALUE!</v>
      </c>
      <c r="AU77" s="10" t="e">
        <f t="shared" si="38"/>
        <v>#VALUE!</v>
      </c>
      <c r="AV77" s="10" t="e">
        <f t="shared" si="69"/>
        <v>#VALUE!</v>
      </c>
      <c r="AW77" s="10" t="e">
        <f t="shared" si="13"/>
        <v>#VALUE!</v>
      </c>
      <c r="AX77" s="10" t="e">
        <f t="shared" si="39"/>
        <v>#VALUE!</v>
      </c>
      <c r="AY77" s="10" t="e">
        <f t="shared" si="40"/>
        <v>#VALUE!</v>
      </c>
      <c r="AZ77" s="10" t="e">
        <f t="shared" si="41"/>
        <v>#VALUE!</v>
      </c>
      <c r="BA77" s="10" t="e">
        <f t="shared" si="70"/>
        <v>#VALUE!</v>
      </c>
      <c r="BB77" s="10" t="e">
        <f t="shared" si="14"/>
        <v>#VALUE!</v>
      </c>
      <c r="BC77" s="10" t="e">
        <f t="shared" si="71"/>
        <v>#VALUE!</v>
      </c>
      <c r="BE77" s="10" t="e">
        <f t="shared" si="42"/>
        <v>#VALUE!</v>
      </c>
      <c r="BF77" s="10" t="e">
        <f t="shared" si="72"/>
        <v>#VALUE!</v>
      </c>
      <c r="BG77" s="10" t="e">
        <f t="shared" si="15"/>
        <v>#VALUE!</v>
      </c>
      <c r="BH77" s="10" t="e">
        <f t="shared" si="43"/>
        <v>#VALUE!</v>
      </c>
      <c r="BI77" s="10" t="e">
        <f t="shared" si="44"/>
        <v>#VALUE!</v>
      </c>
      <c r="BJ77" s="10" t="e">
        <f t="shared" si="45"/>
        <v>#VALUE!</v>
      </c>
      <c r="BK77" s="10" t="e">
        <f t="shared" si="73"/>
        <v>#VALUE!</v>
      </c>
      <c r="BL77" s="10" t="e">
        <f t="shared" si="16"/>
        <v>#VALUE!</v>
      </c>
      <c r="BM77" s="10" t="e">
        <f t="shared" si="74"/>
        <v>#VALUE!</v>
      </c>
      <c r="BP77" s="10" t="e">
        <f t="shared" si="46"/>
        <v>#VALUE!</v>
      </c>
      <c r="BQ77" s="10" t="e">
        <f t="shared" si="47"/>
        <v>#VALUE!</v>
      </c>
      <c r="BR77" s="10" t="e">
        <f t="shared" si="48"/>
        <v>#VALUE!</v>
      </c>
      <c r="BS77" s="10" t="e">
        <f t="shared" si="49"/>
        <v>#VALUE!</v>
      </c>
      <c r="BT77" s="10" t="e">
        <f t="shared" si="50"/>
        <v>#VALUE!</v>
      </c>
      <c r="BU77" s="10" t="e">
        <f t="shared" si="51"/>
        <v>#VALUE!</v>
      </c>
      <c r="BW77" s="10" t="e">
        <f t="shared" si="52"/>
        <v>#VALUE!</v>
      </c>
      <c r="BX77" s="10" t="e">
        <f t="shared" si="53"/>
        <v>#VALUE!</v>
      </c>
      <c r="BY77" s="10" t="e">
        <f t="shared" si="54"/>
        <v>#VALUE!</v>
      </c>
      <c r="BZ77" s="10" t="e">
        <f t="shared" si="55"/>
        <v>#VALUE!</v>
      </c>
      <c r="CA77" s="10" t="e">
        <f t="shared" si="56"/>
        <v>#VALUE!</v>
      </c>
      <c r="CB77" s="10" t="e">
        <f t="shared" si="57"/>
        <v>#VALUE!</v>
      </c>
      <c r="CD77" s="10" t="e">
        <f>MATCH(INDEX($BP$12:$BU$12,1,MATCH(BP77,$BP$15:$BU$15,0)),结果汇总!$AI$10:$AI$13,0)</f>
        <v>#VALUE!</v>
      </c>
      <c r="CE77" s="10" t="e">
        <f>MATCH(INDEX($BP$12:$BU$12,1,MATCH(BQ77,$BP$15:$BU$15,0)),结果汇总!$AI$10:$AI$13,0)</f>
        <v>#VALUE!</v>
      </c>
      <c r="CF77" s="10" t="e">
        <f>MATCH(INDEX($BP$12:$BU$12,1,MATCH(BR77,$BP$15:$BU$15,0)),结果汇总!$AI$10:$AI$13,0)</f>
        <v>#VALUE!</v>
      </c>
      <c r="CG77" s="10" t="e">
        <f>MATCH(INDEX($BP$12:$BU$12,1,MATCH(BS77,$BP$15:$BU$15,0)),结果汇总!$AI$10:$AI$13,0)</f>
        <v>#VALUE!</v>
      </c>
      <c r="CH77" s="10" t="e">
        <f>MATCH(INDEX($BP$12:$BU$12,1,MATCH(BT77,$BP$15:$BU$15,0)),结果汇总!$AI$10:$AI$13,0)</f>
        <v>#VALUE!</v>
      </c>
      <c r="CI77" s="10" t="e">
        <f>MATCH(INDEX($BP$12:$BU$12,1,MATCH(BU77,$BP$15:$BU$15,0)),结果汇总!$AI$10:$AI$13,0)</f>
        <v>#VALUE!</v>
      </c>
      <c r="CK77" s="10">
        <f t="shared" si="75"/>
        <v>0</v>
      </c>
      <c r="CL77" s="10">
        <f t="shared" si="75"/>
        <v>0</v>
      </c>
      <c r="CM77" s="10">
        <f t="shared" si="75"/>
        <v>0</v>
      </c>
      <c r="CN77" s="10">
        <f t="shared" si="75"/>
        <v>0</v>
      </c>
      <c r="CO77" s="10">
        <f t="shared" si="76"/>
        <v>0</v>
      </c>
      <c r="CP77" s="10">
        <f t="shared" si="76"/>
        <v>0</v>
      </c>
      <c r="CQ77" s="10">
        <f t="shared" si="76"/>
        <v>0</v>
      </c>
      <c r="CR77" s="10">
        <f t="shared" si="76"/>
        <v>0</v>
      </c>
      <c r="CS77" s="10" t="e">
        <f t="shared" si="77"/>
        <v>#DIV/0!</v>
      </c>
      <c r="CT77" s="10" t="e">
        <f t="shared" si="77"/>
        <v>#DIV/0!</v>
      </c>
      <c r="CU77" s="10" t="e">
        <f t="shared" si="77"/>
        <v>#DIV/0!</v>
      </c>
      <c r="CV77" s="10" t="e">
        <f t="shared" si="77"/>
        <v>#DIV/0!</v>
      </c>
      <c r="CW77" s="10">
        <f t="shared" si="78"/>
        <v>0</v>
      </c>
      <c r="CX77" s="10">
        <f t="shared" si="78"/>
        <v>0</v>
      </c>
      <c r="CY77" s="10">
        <f t="shared" si="78"/>
        <v>0</v>
      </c>
      <c r="CZ77" s="10">
        <f t="shared" si="78"/>
        <v>0</v>
      </c>
    </row>
    <row r="78" spans="4:104" x14ac:dyDescent="0.15">
      <c r="D78" s="10">
        <v>63</v>
      </c>
      <c r="E78" s="10" t="e">
        <f t="shared" si="21"/>
        <v>#VALUE!</v>
      </c>
      <c r="F78" s="10" t="e">
        <f t="shared" si="1"/>
        <v>#VALUE!</v>
      </c>
      <c r="G78" s="10" t="e">
        <f t="shared" si="2"/>
        <v>#VALUE!</v>
      </c>
      <c r="H78" s="10" t="e">
        <f t="shared" si="22"/>
        <v>#VALUE!</v>
      </c>
      <c r="I78" s="10" t="e">
        <f t="shared" si="3"/>
        <v>#VALUE!</v>
      </c>
      <c r="J78" s="10" t="e">
        <f t="shared" si="23"/>
        <v>#VALUE!</v>
      </c>
      <c r="K78" s="10" t="e">
        <f t="shared" si="4"/>
        <v>#VALUE!</v>
      </c>
      <c r="L78" s="10" t="e">
        <f t="shared" si="5"/>
        <v>#VALUE!</v>
      </c>
      <c r="M78" s="10" t="e">
        <f t="shared" si="24"/>
        <v>#VALUE!</v>
      </c>
      <c r="O78" s="10" t="e">
        <f t="shared" si="25"/>
        <v>#VALUE!</v>
      </c>
      <c r="P78" s="10" t="e">
        <f t="shared" si="6"/>
        <v>#VALUE!</v>
      </c>
      <c r="Q78" s="10" t="e">
        <f t="shared" si="7"/>
        <v>#VALUE!</v>
      </c>
      <c r="R78" s="10" t="e">
        <f t="shared" si="26"/>
        <v>#VALUE!</v>
      </c>
      <c r="S78" s="10" t="e">
        <f t="shared" si="27"/>
        <v>#VALUE!</v>
      </c>
      <c r="T78" s="10" t="e">
        <f t="shared" si="62"/>
        <v>#VALUE!</v>
      </c>
      <c r="U78" s="10" t="e">
        <f t="shared" si="63"/>
        <v>#VALUE!</v>
      </c>
      <c r="V78" s="10" t="e">
        <f t="shared" si="8"/>
        <v>#VALUE!</v>
      </c>
      <c r="W78" s="10" t="e">
        <f t="shared" si="28"/>
        <v>#VALUE!</v>
      </c>
      <c r="Y78" s="10" t="e">
        <f t="shared" si="29"/>
        <v>#VALUE!</v>
      </c>
      <c r="Z78" s="11" t="e">
        <f t="shared" si="30"/>
        <v>#VALUE!</v>
      </c>
      <c r="AA78" s="10" t="e">
        <f t="shared" si="9"/>
        <v>#VALUE!</v>
      </c>
      <c r="AB78" s="10" t="e">
        <f t="shared" si="31"/>
        <v>#VALUE!</v>
      </c>
      <c r="AC78" s="10" t="e">
        <f t="shared" si="32"/>
        <v>#VALUE!</v>
      </c>
      <c r="AD78" s="10" t="e">
        <f t="shared" si="64"/>
        <v>#VALUE!</v>
      </c>
      <c r="AE78" s="10" t="e">
        <f t="shared" si="65"/>
        <v>#VALUE!</v>
      </c>
      <c r="AF78" s="10" t="e">
        <f t="shared" si="10"/>
        <v>#VALUE!</v>
      </c>
      <c r="AG78" s="10" t="e">
        <f t="shared" si="33"/>
        <v>#VALUE!</v>
      </c>
      <c r="AI78" s="13"/>
      <c r="AK78" s="10" t="e">
        <f t="shared" si="34"/>
        <v>#VALUE!</v>
      </c>
      <c r="AL78" s="10" t="e">
        <f t="shared" si="66"/>
        <v>#VALUE!</v>
      </c>
      <c r="AM78" s="10" t="e">
        <f t="shared" si="11"/>
        <v>#VALUE!</v>
      </c>
      <c r="AN78" s="10" t="e">
        <f t="shared" si="35"/>
        <v>#VALUE!</v>
      </c>
      <c r="AO78" s="10" t="e">
        <f t="shared" si="36"/>
        <v>#VALUE!</v>
      </c>
      <c r="AP78" s="10" t="e">
        <f t="shared" si="37"/>
        <v>#VALUE!</v>
      </c>
      <c r="AQ78" s="10" t="e">
        <f t="shared" si="67"/>
        <v>#VALUE!</v>
      </c>
      <c r="AR78" s="10" t="e">
        <f t="shared" si="12"/>
        <v>#VALUE!</v>
      </c>
      <c r="AS78" s="10" t="e">
        <f t="shared" si="68"/>
        <v>#VALUE!</v>
      </c>
      <c r="AU78" s="10" t="e">
        <f t="shared" si="38"/>
        <v>#VALUE!</v>
      </c>
      <c r="AV78" s="10" t="e">
        <f t="shared" si="69"/>
        <v>#VALUE!</v>
      </c>
      <c r="AW78" s="10" t="e">
        <f t="shared" si="13"/>
        <v>#VALUE!</v>
      </c>
      <c r="AX78" s="10" t="e">
        <f t="shared" si="39"/>
        <v>#VALUE!</v>
      </c>
      <c r="AY78" s="10" t="e">
        <f t="shared" si="40"/>
        <v>#VALUE!</v>
      </c>
      <c r="AZ78" s="10" t="e">
        <f t="shared" si="41"/>
        <v>#VALUE!</v>
      </c>
      <c r="BA78" s="10" t="e">
        <f t="shared" si="70"/>
        <v>#VALUE!</v>
      </c>
      <c r="BB78" s="10" t="e">
        <f t="shared" si="14"/>
        <v>#VALUE!</v>
      </c>
      <c r="BC78" s="10" t="e">
        <f t="shared" si="71"/>
        <v>#VALUE!</v>
      </c>
      <c r="BE78" s="10" t="e">
        <f t="shared" si="42"/>
        <v>#VALUE!</v>
      </c>
      <c r="BF78" s="10" t="e">
        <f t="shared" si="72"/>
        <v>#VALUE!</v>
      </c>
      <c r="BG78" s="10" t="e">
        <f t="shared" si="15"/>
        <v>#VALUE!</v>
      </c>
      <c r="BH78" s="10" t="e">
        <f t="shared" si="43"/>
        <v>#VALUE!</v>
      </c>
      <c r="BI78" s="10" t="e">
        <f t="shared" si="44"/>
        <v>#VALUE!</v>
      </c>
      <c r="BJ78" s="10" t="e">
        <f t="shared" si="45"/>
        <v>#VALUE!</v>
      </c>
      <c r="BK78" s="10" t="e">
        <f t="shared" si="73"/>
        <v>#VALUE!</v>
      </c>
      <c r="BL78" s="10" t="e">
        <f t="shared" si="16"/>
        <v>#VALUE!</v>
      </c>
      <c r="BM78" s="10" t="e">
        <f t="shared" si="74"/>
        <v>#VALUE!</v>
      </c>
      <c r="BP78" s="10" t="e">
        <f t="shared" si="46"/>
        <v>#VALUE!</v>
      </c>
      <c r="BQ78" s="10" t="e">
        <f t="shared" si="47"/>
        <v>#VALUE!</v>
      </c>
      <c r="BR78" s="10" t="e">
        <f t="shared" si="48"/>
        <v>#VALUE!</v>
      </c>
      <c r="BS78" s="10" t="e">
        <f t="shared" si="49"/>
        <v>#VALUE!</v>
      </c>
      <c r="BT78" s="10" t="e">
        <f t="shared" si="50"/>
        <v>#VALUE!</v>
      </c>
      <c r="BU78" s="10" t="e">
        <f t="shared" si="51"/>
        <v>#VALUE!</v>
      </c>
      <c r="BW78" s="10" t="e">
        <f t="shared" si="52"/>
        <v>#VALUE!</v>
      </c>
      <c r="BX78" s="10" t="e">
        <f t="shared" si="53"/>
        <v>#VALUE!</v>
      </c>
      <c r="BY78" s="10" t="e">
        <f t="shared" si="54"/>
        <v>#VALUE!</v>
      </c>
      <c r="BZ78" s="10" t="e">
        <f t="shared" si="55"/>
        <v>#VALUE!</v>
      </c>
      <c r="CA78" s="10" t="e">
        <f t="shared" si="56"/>
        <v>#VALUE!</v>
      </c>
      <c r="CB78" s="10" t="e">
        <f t="shared" si="57"/>
        <v>#VALUE!</v>
      </c>
      <c r="CD78" s="10" t="e">
        <f>MATCH(INDEX($BP$12:$BU$12,1,MATCH(BP78,$BP$15:$BU$15,0)),结果汇总!$AI$10:$AI$13,0)</f>
        <v>#VALUE!</v>
      </c>
      <c r="CE78" s="10" t="e">
        <f>MATCH(INDEX($BP$12:$BU$12,1,MATCH(BQ78,$BP$15:$BU$15,0)),结果汇总!$AI$10:$AI$13,0)</f>
        <v>#VALUE!</v>
      </c>
      <c r="CF78" s="10" t="e">
        <f>MATCH(INDEX($BP$12:$BU$12,1,MATCH(BR78,$BP$15:$BU$15,0)),结果汇总!$AI$10:$AI$13,0)</f>
        <v>#VALUE!</v>
      </c>
      <c r="CG78" s="10" t="e">
        <f>MATCH(INDEX($BP$12:$BU$12,1,MATCH(BS78,$BP$15:$BU$15,0)),结果汇总!$AI$10:$AI$13,0)</f>
        <v>#VALUE!</v>
      </c>
      <c r="CH78" s="10" t="e">
        <f>MATCH(INDEX($BP$12:$BU$12,1,MATCH(BT78,$BP$15:$BU$15,0)),结果汇总!$AI$10:$AI$13,0)</f>
        <v>#VALUE!</v>
      </c>
      <c r="CI78" s="10" t="e">
        <f>MATCH(INDEX($BP$12:$BU$12,1,MATCH(BU78,$BP$15:$BU$15,0)),结果汇总!$AI$10:$AI$13,0)</f>
        <v>#VALUE!</v>
      </c>
      <c r="CK78" s="10">
        <f t="shared" si="75"/>
        <v>0</v>
      </c>
      <c r="CL78" s="10">
        <f t="shared" si="75"/>
        <v>0</v>
      </c>
      <c r="CM78" s="10">
        <f t="shared" si="75"/>
        <v>0</v>
      </c>
      <c r="CN78" s="10">
        <f t="shared" si="75"/>
        <v>0</v>
      </c>
      <c r="CO78" s="10">
        <f t="shared" si="76"/>
        <v>0</v>
      </c>
      <c r="CP78" s="10">
        <f t="shared" si="76"/>
        <v>0</v>
      </c>
      <c r="CQ78" s="10">
        <f t="shared" si="76"/>
        <v>0</v>
      </c>
      <c r="CR78" s="10">
        <f t="shared" si="76"/>
        <v>0</v>
      </c>
      <c r="CS78" s="10" t="e">
        <f t="shared" si="77"/>
        <v>#DIV/0!</v>
      </c>
      <c r="CT78" s="10" t="e">
        <f t="shared" si="77"/>
        <v>#DIV/0!</v>
      </c>
      <c r="CU78" s="10" t="e">
        <f t="shared" si="77"/>
        <v>#DIV/0!</v>
      </c>
      <c r="CV78" s="10" t="e">
        <f t="shared" si="77"/>
        <v>#DIV/0!</v>
      </c>
      <c r="CW78" s="10">
        <f t="shared" si="78"/>
        <v>0</v>
      </c>
      <c r="CX78" s="10">
        <f t="shared" si="78"/>
        <v>0</v>
      </c>
      <c r="CY78" s="10">
        <f t="shared" si="78"/>
        <v>0</v>
      </c>
      <c r="CZ78" s="10">
        <f t="shared" si="78"/>
        <v>0</v>
      </c>
    </row>
    <row r="79" spans="4:104" x14ac:dyDescent="0.15">
      <c r="D79" s="10">
        <v>64</v>
      </c>
      <c r="E79" s="10" t="e">
        <f t="shared" si="21"/>
        <v>#VALUE!</v>
      </c>
      <c r="F79" s="10" t="e">
        <f t="shared" si="1"/>
        <v>#VALUE!</v>
      </c>
      <c r="G79" s="10" t="e">
        <f t="shared" si="2"/>
        <v>#VALUE!</v>
      </c>
      <c r="H79" s="10" t="e">
        <f t="shared" si="22"/>
        <v>#VALUE!</v>
      </c>
      <c r="I79" s="10" t="e">
        <f t="shared" si="3"/>
        <v>#VALUE!</v>
      </c>
      <c r="J79" s="10" t="e">
        <f t="shared" si="23"/>
        <v>#VALUE!</v>
      </c>
      <c r="K79" s="10" t="e">
        <f t="shared" si="4"/>
        <v>#VALUE!</v>
      </c>
      <c r="L79" s="10" t="e">
        <f t="shared" si="5"/>
        <v>#VALUE!</v>
      </c>
      <c r="M79" s="10" t="e">
        <f t="shared" si="24"/>
        <v>#VALUE!</v>
      </c>
      <c r="O79" s="10" t="e">
        <f t="shared" si="25"/>
        <v>#VALUE!</v>
      </c>
      <c r="P79" s="10" t="e">
        <f t="shared" si="6"/>
        <v>#VALUE!</v>
      </c>
      <c r="Q79" s="10" t="e">
        <f t="shared" si="7"/>
        <v>#VALUE!</v>
      </c>
      <c r="R79" s="10" t="e">
        <f t="shared" si="26"/>
        <v>#VALUE!</v>
      </c>
      <c r="S79" s="10" t="e">
        <f t="shared" si="27"/>
        <v>#VALUE!</v>
      </c>
      <c r="T79" s="10" t="e">
        <f t="shared" si="62"/>
        <v>#VALUE!</v>
      </c>
      <c r="U79" s="10" t="e">
        <f t="shared" si="63"/>
        <v>#VALUE!</v>
      </c>
      <c r="V79" s="10" t="e">
        <f t="shared" si="8"/>
        <v>#VALUE!</v>
      </c>
      <c r="W79" s="10" t="e">
        <f t="shared" si="28"/>
        <v>#VALUE!</v>
      </c>
      <c r="Y79" s="10" t="e">
        <f t="shared" si="29"/>
        <v>#VALUE!</v>
      </c>
      <c r="Z79" s="11" t="e">
        <f t="shared" si="30"/>
        <v>#VALUE!</v>
      </c>
      <c r="AA79" s="10" t="e">
        <f t="shared" si="9"/>
        <v>#VALUE!</v>
      </c>
      <c r="AB79" s="10" t="e">
        <f t="shared" si="31"/>
        <v>#VALUE!</v>
      </c>
      <c r="AC79" s="10" t="e">
        <f t="shared" si="32"/>
        <v>#VALUE!</v>
      </c>
      <c r="AD79" s="10" t="e">
        <f t="shared" si="64"/>
        <v>#VALUE!</v>
      </c>
      <c r="AE79" s="10" t="e">
        <f t="shared" si="65"/>
        <v>#VALUE!</v>
      </c>
      <c r="AF79" s="10" t="e">
        <f t="shared" si="10"/>
        <v>#VALUE!</v>
      </c>
      <c r="AG79" s="10" t="e">
        <f t="shared" si="33"/>
        <v>#VALUE!</v>
      </c>
      <c r="AI79" s="13"/>
      <c r="AK79" s="10" t="e">
        <f t="shared" si="34"/>
        <v>#VALUE!</v>
      </c>
      <c r="AL79" s="10" t="e">
        <f t="shared" si="66"/>
        <v>#VALUE!</v>
      </c>
      <c r="AM79" s="10" t="e">
        <f t="shared" si="11"/>
        <v>#VALUE!</v>
      </c>
      <c r="AN79" s="10" t="e">
        <f t="shared" si="35"/>
        <v>#VALUE!</v>
      </c>
      <c r="AO79" s="10" t="e">
        <f t="shared" si="36"/>
        <v>#VALUE!</v>
      </c>
      <c r="AP79" s="10" t="e">
        <f t="shared" si="37"/>
        <v>#VALUE!</v>
      </c>
      <c r="AQ79" s="10" t="e">
        <f t="shared" si="67"/>
        <v>#VALUE!</v>
      </c>
      <c r="AR79" s="10" t="e">
        <f t="shared" si="12"/>
        <v>#VALUE!</v>
      </c>
      <c r="AS79" s="10" t="e">
        <f t="shared" si="68"/>
        <v>#VALUE!</v>
      </c>
      <c r="AU79" s="10" t="e">
        <f t="shared" si="38"/>
        <v>#VALUE!</v>
      </c>
      <c r="AV79" s="10" t="e">
        <f t="shared" si="69"/>
        <v>#VALUE!</v>
      </c>
      <c r="AW79" s="10" t="e">
        <f t="shared" si="13"/>
        <v>#VALUE!</v>
      </c>
      <c r="AX79" s="10" t="e">
        <f t="shared" si="39"/>
        <v>#VALUE!</v>
      </c>
      <c r="AY79" s="10" t="e">
        <f t="shared" si="40"/>
        <v>#VALUE!</v>
      </c>
      <c r="AZ79" s="10" t="e">
        <f t="shared" si="41"/>
        <v>#VALUE!</v>
      </c>
      <c r="BA79" s="10" t="e">
        <f t="shared" si="70"/>
        <v>#VALUE!</v>
      </c>
      <c r="BB79" s="10" t="e">
        <f t="shared" si="14"/>
        <v>#VALUE!</v>
      </c>
      <c r="BC79" s="10" t="e">
        <f t="shared" si="71"/>
        <v>#VALUE!</v>
      </c>
      <c r="BE79" s="10" t="e">
        <f t="shared" si="42"/>
        <v>#VALUE!</v>
      </c>
      <c r="BF79" s="10" t="e">
        <f t="shared" si="72"/>
        <v>#VALUE!</v>
      </c>
      <c r="BG79" s="10" t="e">
        <f t="shared" si="15"/>
        <v>#VALUE!</v>
      </c>
      <c r="BH79" s="10" t="e">
        <f t="shared" si="43"/>
        <v>#VALUE!</v>
      </c>
      <c r="BI79" s="10" t="e">
        <f t="shared" si="44"/>
        <v>#VALUE!</v>
      </c>
      <c r="BJ79" s="10" t="e">
        <f t="shared" si="45"/>
        <v>#VALUE!</v>
      </c>
      <c r="BK79" s="10" t="e">
        <f t="shared" si="73"/>
        <v>#VALUE!</v>
      </c>
      <c r="BL79" s="10" t="e">
        <f t="shared" si="16"/>
        <v>#VALUE!</v>
      </c>
      <c r="BM79" s="10" t="e">
        <f t="shared" si="74"/>
        <v>#VALUE!</v>
      </c>
      <c r="BP79" s="10" t="e">
        <f t="shared" si="46"/>
        <v>#VALUE!</v>
      </c>
      <c r="BQ79" s="10" t="e">
        <f t="shared" si="47"/>
        <v>#VALUE!</v>
      </c>
      <c r="BR79" s="10" t="e">
        <f t="shared" si="48"/>
        <v>#VALUE!</v>
      </c>
      <c r="BS79" s="10" t="e">
        <f t="shared" si="49"/>
        <v>#VALUE!</v>
      </c>
      <c r="BT79" s="10" t="e">
        <f t="shared" si="50"/>
        <v>#VALUE!</v>
      </c>
      <c r="BU79" s="10" t="e">
        <f t="shared" si="51"/>
        <v>#VALUE!</v>
      </c>
      <c r="BW79" s="10" t="e">
        <f t="shared" si="52"/>
        <v>#VALUE!</v>
      </c>
      <c r="BX79" s="10" t="e">
        <f t="shared" si="53"/>
        <v>#VALUE!</v>
      </c>
      <c r="BY79" s="10" t="e">
        <f t="shared" si="54"/>
        <v>#VALUE!</v>
      </c>
      <c r="BZ79" s="10" t="e">
        <f t="shared" si="55"/>
        <v>#VALUE!</v>
      </c>
      <c r="CA79" s="10" t="e">
        <f t="shared" si="56"/>
        <v>#VALUE!</v>
      </c>
      <c r="CB79" s="10" t="e">
        <f t="shared" si="57"/>
        <v>#VALUE!</v>
      </c>
      <c r="CD79" s="10" t="e">
        <f>MATCH(INDEX($BP$12:$BU$12,1,MATCH(BP79,$BP$15:$BU$15,0)),结果汇总!$AI$10:$AI$13,0)</f>
        <v>#VALUE!</v>
      </c>
      <c r="CE79" s="10" t="e">
        <f>MATCH(INDEX($BP$12:$BU$12,1,MATCH(BQ79,$BP$15:$BU$15,0)),结果汇总!$AI$10:$AI$13,0)</f>
        <v>#VALUE!</v>
      </c>
      <c r="CF79" s="10" t="e">
        <f>MATCH(INDEX($BP$12:$BU$12,1,MATCH(BR79,$BP$15:$BU$15,0)),结果汇总!$AI$10:$AI$13,0)</f>
        <v>#VALUE!</v>
      </c>
      <c r="CG79" s="10" t="e">
        <f>MATCH(INDEX($BP$12:$BU$12,1,MATCH(BS79,$BP$15:$BU$15,0)),结果汇总!$AI$10:$AI$13,0)</f>
        <v>#VALUE!</v>
      </c>
      <c r="CH79" s="10" t="e">
        <f>MATCH(INDEX($BP$12:$BU$12,1,MATCH(BT79,$BP$15:$BU$15,0)),结果汇总!$AI$10:$AI$13,0)</f>
        <v>#VALUE!</v>
      </c>
      <c r="CI79" s="10" t="e">
        <f>MATCH(INDEX($BP$12:$BU$12,1,MATCH(BU79,$BP$15:$BU$15,0)),结果汇总!$AI$10:$AI$13,0)</f>
        <v>#VALUE!</v>
      </c>
      <c r="CK79" s="10">
        <f t="shared" si="75"/>
        <v>0</v>
      </c>
      <c r="CL79" s="10">
        <f t="shared" si="75"/>
        <v>0</v>
      </c>
      <c r="CM79" s="10">
        <f t="shared" si="75"/>
        <v>0</v>
      </c>
      <c r="CN79" s="10">
        <f t="shared" si="75"/>
        <v>0</v>
      </c>
      <c r="CO79" s="10">
        <f t="shared" si="76"/>
        <v>0</v>
      </c>
      <c r="CP79" s="10">
        <f t="shared" si="76"/>
        <v>0</v>
      </c>
      <c r="CQ79" s="10">
        <f t="shared" si="76"/>
        <v>0</v>
      </c>
      <c r="CR79" s="10">
        <f t="shared" si="76"/>
        <v>0</v>
      </c>
      <c r="CS79" s="10" t="e">
        <f t="shared" si="77"/>
        <v>#DIV/0!</v>
      </c>
      <c r="CT79" s="10" t="e">
        <f t="shared" si="77"/>
        <v>#DIV/0!</v>
      </c>
      <c r="CU79" s="10" t="e">
        <f t="shared" si="77"/>
        <v>#DIV/0!</v>
      </c>
      <c r="CV79" s="10" t="e">
        <f t="shared" si="77"/>
        <v>#DIV/0!</v>
      </c>
      <c r="CW79" s="10">
        <f t="shared" si="78"/>
        <v>0</v>
      </c>
      <c r="CX79" s="10">
        <f t="shared" si="78"/>
        <v>0</v>
      </c>
      <c r="CY79" s="10">
        <f t="shared" si="78"/>
        <v>0</v>
      </c>
      <c r="CZ79" s="10">
        <f t="shared" si="78"/>
        <v>0</v>
      </c>
    </row>
    <row r="80" spans="4:104" x14ac:dyDescent="0.15">
      <c r="D80" s="10">
        <v>65</v>
      </c>
      <c r="E80" s="10" t="e">
        <f t="shared" si="21"/>
        <v>#VALUE!</v>
      </c>
      <c r="F80" s="10" t="e">
        <f t="shared" ref="F80:F135" si="79">IF(E80=0,0,E80*$E$5)</f>
        <v>#VALUE!</v>
      </c>
      <c r="G80" s="10" t="e">
        <f t="shared" ref="G80:G135" si="80">F80*$P$7</f>
        <v>#VALUE!</v>
      </c>
      <c r="H80" s="10" t="e">
        <f t="shared" si="22"/>
        <v>#VALUE!</v>
      </c>
      <c r="I80" s="10" t="e">
        <f t="shared" ref="I80:I135" si="81">IF(AND(J80=0,E80&lt;&gt;0),1,H80/(H80+$G$6))</f>
        <v>#VALUE!</v>
      </c>
      <c r="J80" s="10" t="e">
        <f t="shared" si="23"/>
        <v>#VALUE!</v>
      </c>
      <c r="K80" s="10" t="e">
        <f t="shared" ref="K80:K135" si="82">IF(J80=0,0,ROUNDUP(J80,0)*$E$6)</f>
        <v>#VALUE!</v>
      </c>
      <c r="L80" s="10" t="e">
        <f t="shared" ref="L80:L135" si="83">K80*$P$7</f>
        <v>#VALUE!</v>
      </c>
      <c r="M80" s="10" t="e">
        <f t="shared" si="24"/>
        <v>#VALUE!</v>
      </c>
      <c r="O80" s="10" t="e">
        <f t="shared" si="25"/>
        <v>#VALUE!</v>
      </c>
      <c r="P80" s="10" t="e">
        <f t="shared" ref="P80:P135" si="84">IF(O80=0,0,O80*$E$8)</f>
        <v>#VALUE!</v>
      </c>
      <c r="Q80" s="10" t="e">
        <f t="shared" ref="Q80:Q135" si="85">P80*$P$7</f>
        <v>#VALUE!</v>
      </c>
      <c r="R80" s="10" t="e">
        <f t="shared" si="26"/>
        <v>#VALUE!</v>
      </c>
      <c r="S80" s="10" t="e">
        <f t="shared" si="27"/>
        <v>#VALUE!</v>
      </c>
      <c r="T80" s="10" t="e">
        <f t="shared" si="62"/>
        <v>#VALUE!</v>
      </c>
      <c r="U80" s="10" t="e">
        <f t="shared" si="63"/>
        <v>#VALUE!</v>
      </c>
      <c r="V80" s="10" t="e">
        <f t="shared" ref="V80:V135" si="86">U80*$P$7</f>
        <v>#VALUE!</v>
      </c>
      <c r="W80" s="10" t="e">
        <f t="shared" si="28"/>
        <v>#VALUE!</v>
      </c>
      <c r="Y80" s="10" t="e">
        <f t="shared" si="29"/>
        <v>#VALUE!</v>
      </c>
      <c r="Z80" s="11" t="e">
        <f t="shared" si="30"/>
        <v>#VALUE!</v>
      </c>
      <c r="AA80" s="10" t="e">
        <f t="shared" ref="AA80:AA135" si="87">Z80*$P$7</f>
        <v>#VALUE!</v>
      </c>
      <c r="AB80" s="10" t="e">
        <f t="shared" si="31"/>
        <v>#VALUE!</v>
      </c>
      <c r="AC80" s="10" t="e">
        <f t="shared" si="32"/>
        <v>#VALUE!</v>
      </c>
      <c r="AD80" s="10" t="e">
        <f t="shared" si="64"/>
        <v>#VALUE!</v>
      </c>
      <c r="AE80" s="10" t="e">
        <f t="shared" si="65"/>
        <v>#VALUE!</v>
      </c>
      <c r="AF80" s="10" t="e">
        <f t="shared" ref="AF80:AF135" si="88">AE80*$P$7</f>
        <v>#VALUE!</v>
      </c>
      <c r="AG80" s="10" t="e">
        <f t="shared" si="33"/>
        <v>#VALUE!</v>
      </c>
      <c r="AI80" s="13"/>
      <c r="AK80" s="10" t="e">
        <f t="shared" si="34"/>
        <v>#VALUE!</v>
      </c>
      <c r="AL80" s="10" t="e">
        <f t="shared" si="66"/>
        <v>#VALUE!</v>
      </c>
      <c r="AM80" s="10" t="e">
        <f t="shared" ref="AM80:AM135" si="89">AL80*$P$7</f>
        <v>#VALUE!</v>
      </c>
      <c r="AN80" s="10" t="e">
        <f t="shared" si="35"/>
        <v>#VALUE!</v>
      </c>
      <c r="AO80" s="10" t="e">
        <f t="shared" si="36"/>
        <v>#VALUE!</v>
      </c>
      <c r="AP80" s="10" t="e">
        <f t="shared" si="37"/>
        <v>#VALUE!</v>
      </c>
      <c r="AQ80" s="10" t="e">
        <f t="shared" si="67"/>
        <v>#VALUE!</v>
      </c>
      <c r="AR80" s="10" t="e">
        <f t="shared" ref="AR80:AR135" si="90">AQ80*$P$7</f>
        <v>#VALUE!</v>
      </c>
      <c r="AS80" s="10" t="e">
        <f t="shared" si="68"/>
        <v>#VALUE!</v>
      </c>
      <c r="AU80" s="10" t="e">
        <f t="shared" si="38"/>
        <v>#VALUE!</v>
      </c>
      <c r="AV80" s="10" t="e">
        <f t="shared" si="69"/>
        <v>#VALUE!</v>
      </c>
      <c r="AW80" s="10" t="e">
        <f t="shared" ref="AW80:AW135" si="91">AV80*$P$7</f>
        <v>#VALUE!</v>
      </c>
      <c r="AX80" s="10" t="e">
        <f t="shared" si="39"/>
        <v>#VALUE!</v>
      </c>
      <c r="AY80" s="10" t="e">
        <f t="shared" si="40"/>
        <v>#VALUE!</v>
      </c>
      <c r="AZ80" s="10" t="e">
        <f t="shared" si="41"/>
        <v>#VALUE!</v>
      </c>
      <c r="BA80" s="10" t="e">
        <f t="shared" si="70"/>
        <v>#VALUE!</v>
      </c>
      <c r="BB80" s="10" t="e">
        <f t="shared" ref="BB80:BB135" si="92">BA80*$P$7</f>
        <v>#VALUE!</v>
      </c>
      <c r="BC80" s="10" t="e">
        <f t="shared" si="71"/>
        <v>#VALUE!</v>
      </c>
      <c r="BE80" s="10" t="e">
        <f t="shared" si="42"/>
        <v>#VALUE!</v>
      </c>
      <c r="BF80" s="10" t="e">
        <f t="shared" si="72"/>
        <v>#VALUE!</v>
      </c>
      <c r="BG80" s="10" t="e">
        <f t="shared" ref="BG80:BG135" si="93">BF80*$P$7</f>
        <v>#VALUE!</v>
      </c>
      <c r="BH80" s="10" t="e">
        <f t="shared" si="43"/>
        <v>#VALUE!</v>
      </c>
      <c r="BI80" s="10" t="e">
        <f t="shared" si="44"/>
        <v>#VALUE!</v>
      </c>
      <c r="BJ80" s="10" t="e">
        <f t="shared" si="45"/>
        <v>#VALUE!</v>
      </c>
      <c r="BK80" s="10" t="e">
        <f t="shared" si="73"/>
        <v>#VALUE!</v>
      </c>
      <c r="BL80" s="10" t="e">
        <f t="shared" ref="BL80:BL135" si="94">BK80*$P$7</f>
        <v>#VALUE!</v>
      </c>
      <c r="BM80" s="10" t="e">
        <f t="shared" si="74"/>
        <v>#VALUE!</v>
      </c>
      <c r="BP80" s="10" t="e">
        <f t="shared" si="46"/>
        <v>#VALUE!</v>
      </c>
      <c r="BQ80" s="10" t="e">
        <f t="shared" si="47"/>
        <v>#VALUE!</v>
      </c>
      <c r="BR80" s="10" t="e">
        <f t="shared" si="48"/>
        <v>#VALUE!</v>
      </c>
      <c r="BS80" s="10" t="e">
        <f t="shared" si="49"/>
        <v>#VALUE!</v>
      </c>
      <c r="BT80" s="10" t="e">
        <f t="shared" si="50"/>
        <v>#VALUE!</v>
      </c>
      <c r="BU80" s="10" t="e">
        <f t="shared" si="51"/>
        <v>#VALUE!</v>
      </c>
      <c r="BW80" s="10" t="e">
        <f t="shared" si="52"/>
        <v>#VALUE!</v>
      </c>
      <c r="BX80" s="10" t="e">
        <f t="shared" si="53"/>
        <v>#VALUE!</v>
      </c>
      <c r="BY80" s="10" t="e">
        <f t="shared" si="54"/>
        <v>#VALUE!</v>
      </c>
      <c r="BZ80" s="10" t="e">
        <f t="shared" si="55"/>
        <v>#VALUE!</v>
      </c>
      <c r="CA80" s="10" t="e">
        <f t="shared" si="56"/>
        <v>#VALUE!</v>
      </c>
      <c r="CB80" s="10" t="e">
        <f t="shared" si="57"/>
        <v>#VALUE!</v>
      </c>
      <c r="CD80" s="10" t="e">
        <f>MATCH(INDEX($BP$12:$BU$12,1,MATCH(BP80,$BP$15:$BU$15,0)),结果汇总!$AI$10:$AI$13,0)</f>
        <v>#VALUE!</v>
      </c>
      <c r="CE80" s="10" t="e">
        <f>MATCH(INDEX($BP$12:$BU$12,1,MATCH(BQ80,$BP$15:$BU$15,0)),结果汇总!$AI$10:$AI$13,0)</f>
        <v>#VALUE!</v>
      </c>
      <c r="CF80" s="10" t="e">
        <f>MATCH(INDEX($BP$12:$BU$12,1,MATCH(BR80,$BP$15:$BU$15,0)),结果汇总!$AI$10:$AI$13,0)</f>
        <v>#VALUE!</v>
      </c>
      <c r="CG80" s="10" t="e">
        <f>MATCH(INDEX($BP$12:$BU$12,1,MATCH(BS80,$BP$15:$BU$15,0)),结果汇总!$AI$10:$AI$13,0)</f>
        <v>#VALUE!</v>
      </c>
      <c r="CH80" s="10" t="e">
        <f>MATCH(INDEX($BP$12:$BU$12,1,MATCH(BT80,$BP$15:$BU$15,0)),结果汇总!$AI$10:$AI$13,0)</f>
        <v>#VALUE!</v>
      </c>
      <c r="CI80" s="10" t="e">
        <f>MATCH(INDEX($BP$12:$BU$12,1,MATCH(BU80,$BP$15:$BU$15,0)),结果汇总!$AI$10:$AI$13,0)</f>
        <v>#VALUE!</v>
      </c>
      <c r="CK80" s="10">
        <f t="shared" si="75"/>
        <v>0</v>
      </c>
      <c r="CL80" s="10">
        <f t="shared" si="75"/>
        <v>0</v>
      </c>
      <c r="CM80" s="10">
        <f t="shared" si="75"/>
        <v>0</v>
      </c>
      <c r="CN80" s="10">
        <f t="shared" si="75"/>
        <v>0</v>
      </c>
      <c r="CO80" s="10">
        <f t="shared" si="76"/>
        <v>0</v>
      </c>
      <c r="CP80" s="10">
        <f t="shared" si="76"/>
        <v>0</v>
      </c>
      <c r="CQ80" s="10">
        <f t="shared" si="76"/>
        <v>0</v>
      </c>
      <c r="CR80" s="10">
        <f t="shared" si="76"/>
        <v>0</v>
      </c>
      <c r="CS80" s="10" t="e">
        <f t="shared" si="77"/>
        <v>#DIV/0!</v>
      </c>
      <c r="CT80" s="10" t="e">
        <f t="shared" si="77"/>
        <v>#DIV/0!</v>
      </c>
      <c r="CU80" s="10" t="e">
        <f t="shared" si="77"/>
        <v>#DIV/0!</v>
      </c>
      <c r="CV80" s="10" t="e">
        <f t="shared" si="77"/>
        <v>#DIV/0!</v>
      </c>
      <c r="CW80" s="10">
        <f t="shared" si="78"/>
        <v>0</v>
      </c>
      <c r="CX80" s="10">
        <f t="shared" si="78"/>
        <v>0</v>
      </c>
      <c r="CY80" s="10">
        <f t="shared" si="78"/>
        <v>0</v>
      </c>
      <c r="CZ80" s="10">
        <f t="shared" si="78"/>
        <v>0</v>
      </c>
    </row>
    <row r="81" spans="4:104" x14ac:dyDescent="0.15">
      <c r="D81" s="10">
        <v>66</v>
      </c>
      <c r="E81" s="10" t="e">
        <f t="shared" ref="E81:E135" si="95">IF(E80-((AL80+AM80+AQ80+AR80)*IF(BS80=1,1,0)+(AV80+AW80+BA80+BB80)*IF(BT80=1,1,0)+(BF80+BG80+BK80+BL80)*IF(BU80=1,1,0))*IF(J80=0,1,I80)/$D$5&lt;$E$16*$P$8,0,
E80-((AL80+AM80+AQ80+AR80)*IF(BS80=1,1,0)+(AV80+AW80+BA80+BB80)*IF(BT80=1,1,0)+(BF80+BG80+BK80+BL80)*IF(BU80=1,1,0))*IF(J80=0,1,I80)/$D$5)</f>
        <v>#VALUE!</v>
      </c>
      <c r="F81" s="10" t="e">
        <f t="shared" si="79"/>
        <v>#VALUE!</v>
      </c>
      <c r="G81" s="10" t="e">
        <f t="shared" si="80"/>
        <v>#VALUE!</v>
      </c>
      <c r="H81" s="10" t="e">
        <f t="shared" ref="H81:H135" si="96">IF(E81=0,0,ROUNDUP(E81/$F$5*$G$5,0))</f>
        <v>#VALUE!</v>
      </c>
      <c r="I81" s="10" t="e">
        <f t="shared" si="81"/>
        <v>#VALUE!</v>
      </c>
      <c r="J81" s="10" t="e">
        <f t="shared" ref="J81:J135" si="97">MAX(J80-((AL80+AM80+AQ80+AR80)*IF(BS80=1,1,0)+(AV80+AW80+BA80+BB80)*IF(BT80=1,1,0)+(BF80+BG80+BK80+BL80)*IF(BU80=1,1,0))*IF(E80=0,1,M80)/$D$6,0)</f>
        <v>#VALUE!</v>
      </c>
      <c r="K81" s="10" t="e">
        <f t="shared" si="82"/>
        <v>#VALUE!</v>
      </c>
      <c r="L81" s="10" t="e">
        <f t="shared" si="83"/>
        <v>#VALUE!</v>
      </c>
      <c r="M81" s="10" t="e">
        <f t="shared" ref="M81:M135" si="98">IF(J81=0,0,1-I81)</f>
        <v>#VALUE!</v>
      </c>
      <c r="O81" s="10" t="e">
        <f t="shared" ref="O81:O135" si="99">IF(O80-((AL80+AM80+AQ80+AR80)*IF(BS80=3,1,0)+(AV80+AW80+BA80+BB80)*IF(BT80=3,1,0)+(BF80+BG80+BK80+BL80)*IF(BU80=3,1,0))*IF(T80=0,1,S80)/$D$8&lt;$O$16*$P$8,0,
O80-((AL80+AM80+AQ80+AR80)*IF(BS80=3,1,0)+(AV80+AW80+BA80+BB80)*IF(BT80=3,1,0)+(BF80+BG80+BK80+BL80)*IF(BU80=3,1,0))*IF(T80=0,1,S80)/$D$8)</f>
        <v>#VALUE!</v>
      </c>
      <c r="P81" s="10" t="e">
        <f t="shared" si="84"/>
        <v>#VALUE!</v>
      </c>
      <c r="Q81" s="10" t="e">
        <f t="shared" si="85"/>
        <v>#VALUE!</v>
      </c>
      <c r="R81" s="10" t="e">
        <f t="shared" ref="R81:R135" si="100">IF(O81=0,0,ROUNDUP(O81/$F$8*$G$8,0))</f>
        <v>#VALUE!</v>
      </c>
      <c r="S81" s="10" t="e">
        <f t="shared" ref="S81:S135" si="101">IF(AND(T81=0,O81&lt;&gt;0),1,R81/(R81+$G$9))</f>
        <v>#VALUE!</v>
      </c>
      <c r="T81" s="10" t="e">
        <f t="shared" si="62"/>
        <v>#VALUE!</v>
      </c>
      <c r="U81" s="10" t="e">
        <f t="shared" si="63"/>
        <v>#VALUE!</v>
      </c>
      <c r="V81" s="10" t="e">
        <f t="shared" si="86"/>
        <v>#VALUE!</v>
      </c>
      <c r="W81" s="10" t="e">
        <f t="shared" ref="W81:W135" si="102">IF(T81=0,0,1-S81)</f>
        <v>#VALUE!</v>
      </c>
      <c r="Y81" s="10" t="e">
        <f t="shared" ref="Y81:Y135" si="103">IF(Y80-((AL80+AM80+AQ80+AR80)*IF(BS80=5,1,0)+(AV80+AW80+BA80+BB80)*IF(BT80=5,1,0)+(BF80+BG80+BK80+BL80)*IF(BU80=5,1,0))*IF(AD80=0,1,AC80)/$D$11&lt;$Y$16*$P$8,0,
Y80-((AL80+AM80+AQ80+AR80)*IF(BS80=5,1,0)+(AV80+AW80+BA80+BB80)*IF(BT80=5,1,0)+(BF80+BG80+BK80+BL80)*IF(BU80=5,1,0))*IF(AD80=0,1,AC80)/$D$11)</f>
        <v>#VALUE!</v>
      </c>
      <c r="Z81" s="11" t="e">
        <f t="shared" ref="Z81:Z135" si="104">IF(Y81=0,0,Y81*$E$11)</f>
        <v>#VALUE!</v>
      </c>
      <c r="AA81" s="10" t="e">
        <f t="shared" si="87"/>
        <v>#VALUE!</v>
      </c>
      <c r="AB81" s="10" t="e">
        <f t="shared" ref="AB81:AB135" si="105">IF(Y81=0,0,ROUNDUP(Y81/$F$11*$G$11,0))</f>
        <v>#VALUE!</v>
      </c>
      <c r="AC81" s="10" t="e">
        <f t="shared" ref="AC81:AC135" si="106">IF(AND(AD81=0,Y81&lt;&gt;0),1,AB81/(AB81+$G$12))</f>
        <v>#VALUE!</v>
      </c>
      <c r="AD81" s="10" t="e">
        <f t="shared" si="64"/>
        <v>#VALUE!</v>
      </c>
      <c r="AE81" s="10" t="e">
        <f t="shared" si="65"/>
        <v>#VALUE!</v>
      </c>
      <c r="AF81" s="10" t="e">
        <f t="shared" si="88"/>
        <v>#VALUE!</v>
      </c>
      <c r="AG81" s="10" t="e">
        <f t="shared" ref="AG81:AG135" si="107">IF(AD81=0,0,1-AC81)</f>
        <v>#VALUE!</v>
      </c>
      <c r="AI81" s="13"/>
      <c r="AK81" s="10" t="e">
        <f t="shared" ref="AK81:AK135" si="108">IF(AK80-((F80+G80+K80+L80)*IF(BR80=2,1,0)+(P80+Q80+U80+V80)*IF(BQ80=2,1,0)+(Z80+AA80+AE80+AF80)*IF(BP80=2,1,0))*IF(AP80=0,1,AO80)/$J$5&lt;$AK$16*$P$8,0,
AK80-((F80+G80+K80+L80)*IF(BR80=2,1,0)+(P80+Q80+U80+V80)*IF(BQ80=2,1,0)+(Z80+AA80+AE80+AF80)*IF(BP80=2,1,0))*IF(AP80=0,1,AO80)/$J$5)</f>
        <v>#VALUE!</v>
      </c>
      <c r="AL81" s="10" t="e">
        <f t="shared" si="66"/>
        <v>#VALUE!</v>
      </c>
      <c r="AM81" s="10" t="e">
        <f t="shared" si="89"/>
        <v>#VALUE!</v>
      </c>
      <c r="AN81" s="10" t="e">
        <f t="shared" ref="AN81:AN135" si="109">IF(AK81=0,0,ROUNDUP(AK81/$L$5*$M$5,0))</f>
        <v>#VALUE!</v>
      </c>
      <c r="AO81" s="10" t="e">
        <f t="shared" ref="AO81:AO135" si="110">IF(AND(AP81=0,AK81&lt;&gt;0),1,AN81/(AN81+$M$6))</f>
        <v>#VALUE!</v>
      </c>
      <c r="AP81" s="10" t="e">
        <f t="shared" ref="AP81:AP135" si="111">MAX(AP80-((F80+G80+K80+L80)*IF(BR80=2,1,0)+(P80+Q80+U80+V80)*IF(BQ80=2,1,0)+(Z80+AA80+AE80+AF80)*IF(BP80=2,1,0))*IF(AK80=0,1,AS80)/$J$6,0)</f>
        <v>#VALUE!</v>
      </c>
      <c r="AQ81" s="10" t="e">
        <f t="shared" si="67"/>
        <v>#VALUE!</v>
      </c>
      <c r="AR81" s="10" t="e">
        <f t="shared" si="90"/>
        <v>#VALUE!</v>
      </c>
      <c r="AS81" s="10" t="e">
        <f t="shared" si="68"/>
        <v>#VALUE!</v>
      </c>
      <c r="AU81" s="10" t="e">
        <f t="shared" ref="AU81:AU135" si="112">IF(AU80-((F80+G80+K80+L80)*IF(BR80=4,1,0)+(P80+Q80+U80+V80)*IF(BQ80=4,1,0)+(Z80+AA80+AE80+AF80)*IF(BP80=4,1,0))*IF(AZ80=0,1,AY80)/$J$8&lt;$AU$16*$P$8,0,
AU80-((F80+G80+K80+L80)*IF(BR80=4,1,0)+(P80+Q80+U80+V80)*IF(BQ80=4,1,0)+(Z80+AA80+AE80+AF80)*IF(BP80=4,1,0))*IF(AZ80=0,1,AY80)/$J$8)</f>
        <v>#VALUE!</v>
      </c>
      <c r="AV81" s="10" t="e">
        <f t="shared" si="69"/>
        <v>#VALUE!</v>
      </c>
      <c r="AW81" s="10" t="e">
        <f t="shared" si="91"/>
        <v>#VALUE!</v>
      </c>
      <c r="AX81" s="10" t="e">
        <f t="shared" ref="AX81:AX135" si="113">IF(AU81=0,0,ROUNDUP(AU81/$L$8*$M$8,0))</f>
        <v>#VALUE!</v>
      </c>
      <c r="AY81" s="10" t="e">
        <f t="shared" ref="AY81:AY135" si="114">IF(AND(AZ81=0,AU81&lt;&gt;0),1,AX81/(AX81+$M$9))</f>
        <v>#VALUE!</v>
      </c>
      <c r="AZ81" s="10" t="e">
        <f t="shared" ref="AZ81:AZ135" si="115">MAX(AZ80-((F80+G80+K80+L80)*IF(BR80=4,1,0)+(P80+Q80+U80+V80)*IF(BQ80=4,1,0)+(Z80+AA80+AE80+AF80)*IF(BP80=4,1,0))*IF(AU80=0,1,BC80)/$J$9,0)</f>
        <v>#VALUE!</v>
      </c>
      <c r="BA81" s="10" t="e">
        <f t="shared" si="70"/>
        <v>#VALUE!</v>
      </c>
      <c r="BB81" s="10" t="e">
        <f t="shared" si="92"/>
        <v>#VALUE!</v>
      </c>
      <c r="BC81" s="10" t="e">
        <f t="shared" si="71"/>
        <v>#VALUE!</v>
      </c>
      <c r="BE81" s="10" t="e">
        <f t="shared" ref="BE81:BE135" si="116">IF(BE80-((F80+G80+K80+L80)*IF(BR80=6,1,0)+(P80+Q80+U80+V80)*IF(BQ80=6,1,0)+(Z80+AA80+AE80+AF80)*IF(BP80=6,1,0))*IF(BJ80=0,1,BI80)/$J$11&lt;$BE$16*$P$8,0,
BE80-((F80+G80+K80+L80)*IF(BR80=6,1,0)+(P80+Q80+U80+V80)*IF(BQ80=6,1,0)+(Z80+AA80+AE80+AF80)*IF(BP80=6,1,0))*IF(BJ80=0,1,BI80)/$J$11)</f>
        <v>#VALUE!</v>
      </c>
      <c r="BF81" s="10" t="e">
        <f t="shared" si="72"/>
        <v>#VALUE!</v>
      </c>
      <c r="BG81" s="10" t="e">
        <f t="shared" si="93"/>
        <v>#VALUE!</v>
      </c>
      <c r="BH81" s="10" t="e">
        <f t="shared" ref="BH81:BH135" si="117">IF(BE81=0,0,ROUNDUP(BE81/$L$11*$M$11,0))</f>
        <v>#VALUE!</v>
      </c>
      <c r="BI81" s="10" t="e">
        <f t="shared" ref="BI81:BI135" si="118">IF(AND(BJ81=0,BE81&lt;&gt;0),1,BH81/(BH81+$M$12))</f>
        <v>#VALUE!</v>
      </c>
      <c r="BJ81" s="10" t="e">
        <f t="shared" ref="BJ81:BJ135" si="119">MAX(BJ80-((F80+G80+K80+L80)*IF(BR80=6,1,0)+(P80+Q80+U80+V80)*IF(BQ80=6,1,0)+(Z80+AA80+AE80+AF80)*IF(BP80=6,1,0))*IF(BE80=0,1,BM80)/$J$12,0)</f>
        <v>#VALUE!</v>
      </c>
      <c r="BK81" s="10" t="e">
        <f t="shared" si="73"/>
        <v>#VALUE!</v>
      </c>
      <c r="BL81" s="10" t="e">
        <f t="shared" si="94"/>
        <v>#VALUE!</v>
      </c>
      <c r="BM81" s="10" t="e">
        <f t="shared" si="74"/>
        <v>#VALUE!</v>
      </c>
      <c r="BP81" s="10" t="e">
        <f t="shared" ref="BP81:BP135" si="120">IF(CB81&gt;0,BU$15,IF(CA81&gt;0,BT$15,BS$15))</f>
        <v>#VALUE!</v>
      </c>
      <c r="BQ81" s="10" t="e">
        <f t="shared" ref="BQ81:BQ135" si="121">IF(BZ81&gt;0,BS$15,IF(CA81&gt;0,BT$15,BU$15))</f>
        <v>#VALUE!</v>
      </c>
      <c r="BR81" s="10" t="e">
        <f t="shared" ref="BR81:BR135" si="122">IF(BZ81&gt;0,BS$15,IF(CA81&gt;0,BT$15,BU$15))</f>
        <v>#VALUE!</v>
      </c>
      <c r="BS81" s="10" t="e">
        <f t="shared" ref="BS81:BS135" si="123">IF(BY81&gt;0,BR$15,IF(BX81&gt;0,BQ$15,BP$15))</f>
        <v>#VALUE!</v>
      </c>
      <c r="BT81" s="10" t="e">
        <f t="shared" ref="BT81:BT135" si="124">IF(BY81&gt;0,BR$15,IF(BX81&gt;0,BQ$15,BP$15))</f>
        <v>#VALUE!</v>
      </c>
      <c r="BU81" s="10" t="e">
        <f t="shared" ref="BU81:BU135" si="125">IF(BW81&gt;0,BP$15,IF(BX81&gt;0,BQ$15,BR$15))</f>
        <v>#VALUE!</v>
      </c>
      <c r="BW81" s="10" t="e">
        <f t="shared" ref="BW81:BW135" si="126">Y81+AD81*1000</f>
        <v>#VALUE!</v>
      </c>
      <c r="BX81" s="10" t="e">
        <f t="shared" ref="BX81:BX135" si="127">O81+T81*1000</f>
        <v>#VALUE!</v>
      </c>
      <c r="BY81" s="10" t="e">
        <f t="shared" ref="BY81:BY135" si="128">E81+J81*1000</f>
        <v>#VALUE!</v>
      </c>
      <c r="BZ81" s="10" t="e">
        <f t="shared" ref="BZ81:BZ135" si="129">AK81+AP81*1000</f>
        <v>#VALUE!</v>
      </c>
      <c r="CA81" s="10" t="e">
        <f t="shared" ref="CA81:CA135" si="130">AU81+AZ81*1000</f>
        <v>#VALUE!</v>
      </c>
      <c r="CB81" s="10" t="e">
        <f t="shared" ref="CB81:CB135" si="131">BE81+BJ81*1000</f>
        <v>#VALUE!</v>
      </c>
      <c r="CD81" s="10" t="e">
        <f>MATCH(INDEX($BP$12:$BU$12,1,MATCH(BP81,$BP$15:$BU$15,0)),结果汇总!$AI$10:$AI$13,0)</f>
        <v>#VALUE!</v>
      </c>
      <c r="CE81" s="10" t="e">
        <f>MATCH(INDEX($BP$12:$BU$12,1,MATCH(BQ81,$BP$15:$BU$15,0)),结果汇总!$AI$10:$AI$13,0)</f>
        <v>#VALUE!</v>
      </c>
      <c r="CF81" s="10" t="e">
        <f>MATCH(INDEX($BP$12:$BU$12,1,MATCH(BR81,$BP$15:$BU$15,0)),结果汇总!$AI$10:$AI$13,0)</f>
        <v>#VALUE!</v>
      </c>
      <c r="CG81" s="10" t="e">
        <f>MATCH(INDEX($BP$12:$BU$12,1,MATCH(BS81,$BP$15:$BU$15,0)),结果汇总!$AI$10:$AI$13,0)</f>
        <v>#VALUE!</v>
      </c>
      <c r="CH81" s="10" t="e">
        <f>MATCH(INDEX($BP$12:$BU$12,1,MATCH(BT81,$BP$15:$BU$15,0)),结果汇总!$AI$10:$AI$13,0)</f>
        <v>#VALUE!</v>
      </c>
      <c r="CI81" s="10" t="e">
        <f>MATCH(INDEX($BP$12:$BU$12,1,MATCH(BU81,$BP$15:$BU$15,0)),结果汇总!$AI$10:$AI$13,0)</f>
        <v>#VALUE!</v>
      </c>
      <c r="CK81" s="10">
        <f t="shared" ref="CK81:CN112" si="132">COUNTIFS($CD81:$CI81,CK$15,$CD$15:$CI$15,$CK$14)/COUNTIFS($CD$15:$CI$15,$CK$14)</f>
        <v>0</v>
      </c>
      <c r="CL81" s="10">
        <f t="shared" si="132"/>
        <v>0</v>
      </c>
      <c r="CM81" s="10">
        <f t="shared" si="132"/>
        <v>0</v>
      </c>
      <c r="CN81" s="10">
        <f t="shared" si="132"/>
        <v>0</v>
      </c>
      <c r="CO81" s="10">
        <f t="shared" ref="CO81:CR112" si="133">COUNTIFS($CD81:$CI81,CO$15,$CD$15:$CI$15,$CO$14)/COUNTIFS($CD$15:$CI$15,$CO$14)</f>
        <v>0</v>
      </c>
      <c r="CP81" s="10">
        <f t="shared" si="133"/>
        <v>0</v>
      </c>
      <c r="CQ81" s="10">
        <f t="shared" si="133"/>
        <v>0</v>
      </c>
      <c r="CR81" s="10">
        <f t="shared" si="133"/>
        <v>0</v>
      </c>
      <c r="CS81" s="10" t="e">
        <f t="shared" ref="CS81:CV112" si="134">COUNTIFS($CD81:$CI81,CS$15,$CD$15:$CI$15,$CS$14)/COUNTIFS($CD$15:$CI$15,$CS$14)</f>
        <v>#DIV/0!</v>
      </c>
      <c r="CT81" s="10" t="e">
        <f t="shared" si="134"/>
        <v>#DIV/0!</v>
      </c>
      <c r="CU81" s="10" t="e">
        <f t="shared" si="134"/>
        <v>#DIV/0!</v>
      </c>
      <c r="CV81" s="10" t="e">
        <f t="shared" si="134"/>
        <v>#DIV/0!</v>
      </c>
      <c r="CW81" s="10">
        <f t="shared" ref="CW81:CZ112" si="135">COUNTIFS($CD81:$CI81,CW$15,$CD$15:$CI$15,$CW$14)/COUNTIFS($CD$15:$CI$15,$CW$14)</f>
        <v>0</v>
      </c>
      <c r="CX81" s="10">
        <f t="shared" si="135"/>
        <v>0</v>
      </c>
      <c r="CY81" s="10">
        <f t="shared" si="135"/>
        <v>0</v>
      </c>
      <c r="CZ81" s="10">
        <f t="shared" si="135"/>
        <v>0</v>
      </c>
    </row>
    <row r="82" spans="4:104" x14ac:dyDescent="0.15">
      <c r="D82" s="10">
        <v>67</v>
      </c>
      <c r="E82" s="10" t="e">
        <f t="shared" si="95"/>
        <v>#VALUE!</v>
      </c>
      <c r="F82" s="10" t="e">
        <f t="shared" si="79"/>
        <v>#VALUE!</v>
      </c>
      <c r="G82" s="10" t="e">
        <f t="shared" si="80"/>
        <v>#VALUE!</v>
      </c>
      <c r="H82" s="10" t="e">
        <f t="shared" si="96"/>
        <v>#VALUE!</v>
      </c>
      <c r="I82" s="10" t="e">
        <f t="shared" si="81"/>
        <v>#VALUE!</v>
      </c>
      <c r="J82" s="10" t="e">
        <f t="shared" si="97"/>
        <v>#VALUE!</v>
      </c>
      <c r="K82" s="10" t="e">
        <f t="shared" si="82"/>
        <v>#VALUE!</v>
      </c>
      <c r="L82" s="10" t="e">
        <f t="shared" si="83"/>
        <v>#VALUE!</v>
      </c>
      <c r="M82" s="10" t="e">
        <f t="shared" si="98"/>
        <v>#VALUE!</v>
      </c>
      <c r="O82" s="10" t="e">
        <f t="shared" si="99"/>
        <v>#VALUE!</v>
      </c>
      <c r="P82" s="10" t="e">
        <f t="shared" si="84"/>
        <v>#VALUE!</v>
      </c>
      <c r="Q82" s="10" t="e">
        <f t="shared" si="85"/>
        <v>#VALUE!</v>
      </c>
      <c r="R82" s="10" t="e">
        <f t="shared" si="100"/>
        <v>#VALUE!</v>
      </c>
      <c r="S82" s="10" t="e">
        <f t="shared" si="101"/>
        <v>#VALUE!</v>
      </c>
      <c r="T82" s="10" t="e">
        <f t="shared" ref="T82:T135" si="136">MAX(T81-((AL81+AM81+AQ81+AR81)*IF(BS81=3,1,0)+(AV81+AW81+BA81+BB81)*IF(BT81=3,1,0)+(BF81+BG81+BK81+BL81)*IF(BU81=3,1,0))*IF(O81=0,1,W81)/$D$9,0)</f>
        <v>#VALUE!</v>
      </c>
      <c r="U82" s="10" t="e">
        <f t="shared" ref="U82:U135" si="137">IF(T82=0,0,ROUNDUP(T82,0)*$E$9)</f>
        <v>#VALUE!</v>
      </c>
      <c r="V82" s="10" t="e">
        <f t="shared" si="86"/>
        <v>#VALUE!</v>
      </c>
      <c r="W82" s="10" t="e">
        <f t="shared" si="102"/>
        <v>#VALUE!</v>
      </c>
      <c r="Y82" s="10" t="e">
        <f t="shared" si="103"/>
        <v>#VALUE!</v>
      </c>
      <c r="Z82" s="11" t="e">
        <f t="shared" si="104"/>
        <v>#VALUE!</v>
      </c>
      <c r="AA82" s="10" t="e">
        <f t="shared" si="87"/>
        <v>#VALUE!</v>
      </c>
      <c r="AB82" s="10" t="e">
        <f t="shared" si="105"/>
        <v>#VALUE!</v>
      </c>
      <c r="AC82" s="10" t="e">
        <f t="shared" si="106"/>
        <v>#VALUE!</v>
      </c>
      <c r="AD82" s="10" t="e">
        <f t="shared" ref="AD82:AD135" si="138">MAX(AD81-((AL81+AM81+AQ81+AR81)*IF(BS81=5,1,0)+(AV81+AW81+BA81+BB81)*IF(BT81=5,1,0)+(BF81+BG81+BK81+BL81)*IF(BU81=5,1,0))*IF(Y81=0,1,AG81)/$D$12,0)</f>
        <v>#VALUE!</v>
      </c>
      <c r="AE82" s="10" t="e">
        <f t="shared" ref="AE82:AE135" si="139">IF(AD82=0,0,ROUNDUP(AD82,0)*$E$12)</f>
        <v>#VALUE!</v>
      </c>
      <c r="AF82" s="10" t="e">
        <f t="shared" si="88"/>
        <v>#VALUE!</v>
      </c>
      <c r="AG82" s="10" t="e">
        <f t="shared" si="107"/>
        <v>#VALUE!</v>
      </c>
      <c r="AI82" s="13"/>
      <c r="AK82" s="10" t="e">
        <f t="shared" si="108"/>
        <v>#VALUE!</v>
      </c>
      <c r="AL82" s="10" t="e">
        <f t="shared" ref="AL82:AL135" si="140">IF(AK82=0,0,AK82*$K$5)</f>
        <v>#VALUE!</v>
      </c>
      <c r="AM82" s="10" t="e">
        <f t="shared" si="89"/>
        <v>#VALUE!</v>
      </c>
      <c r="AN82" s="10" t="e">
        <f t="shared" si="109"/>
        <v>#VALUE!</v>
      </c>
      <c r="AO82" s="10" t="e">
        <f t="shared" si="110"/>
        <v>#VALUE!</v>
      </c>
      <c r="AP82" s="10" t="e">
        <f t="shared" si="111"/>
        <v>#VALUE!</v>
      </c>
      <c r="AQ82" s="10" t="e">
        <f t="shared" ref="AQ82:AQ135" si="141">IF(AP82=0,0,ROUNDUP(AP82,0)*$K$6)</f>
        <v>#VALUE!</v>
      </c>
      <c r="AR82" s="10" t="e">
        <f t="shared" si="90"/>
        <v>#VALUE!</v>
      </c>
      <c r="AS82" s="10" t="e">
        <f t="shared" ref="AS82:AS135" si="142">IF(AP82=0,0,1-AO82)</f>
        <v>#VALUE!</v>
      </c>
      <c r="AU82" s="10" t="e">
        <f t="shared" si="112"/>
        <v>#VALUE!</v>
      </c>
      <c r="AV82" s="10" t="e">
        <f t="shared" ref="AV82:AV135" si="143">IF(AU82=0,0,AU82*$K$8)</f>
        <v>#VALUE!</v>
      </c>
      <c r="AW82" s="10" t="e">
        <f t="shared" si="91"/>
        <v>#VALUE!</v>
      </c>
      <c r="AX82" s="10" t="e">
        <f t="shared" si="113"/>
        <v>#VALUE!</v>
      </c>
      <c r="AY82" s="10" t="e">
        <f t="shared" si="114"/>
        <v>#VALUE!</v>
      </c>
      <c r="AZ82" s="10" t="e">
        <f t="shared" si="115"/>
        <v>#VALUE!</v>
      </c>
      <c r="BA82" s="10" t="e">
        <f t="shared" ref="BA82:BA135" si="144">IF(AZ82=0,0,ROUNDUP(AZ82,0)*$K$9)</f>
        <v>#VALUE!</v>
      </c>
      <c r="BB82" s="10" t="e">
        <f t="shared" si="92"/>
        <v>#VALUE!</v>
      </c>
      <c r="BC82" s="10" t="e">
        <f t="shared" ref="BC82:BC135" si="145">IF(AZ82=0,0,1-AY82)</f>
        <v>#VALUE!</v>
      </c>
      <c r="BE82" s="10" t="e">
        <f t="shared" si="116"/>
        <v>#VALUE!</v>
      </c>
      <c r="BF82" s="10" t="e">
        <f t="shared" ref="BF82:BF135" si="146">IF(BE82=0,0,BE82*$K$11)</f>
        <v>#VALUE!</v>
      </c>
      <c r="BG82" s="10" t="e">
        <f t="shared" si="93"/>
        <v>#VALUE!</v>
      </c>
      <c r="BH82" s="10" t="e">
        <f t="shared" si="117"/>
        <v>#VALUE!</v>
      </c>
      <c r="BI82" s="10" t="e">
        <f t="shared" si="118"/>
        <v>#VALUE!</v>
      </c>
      <c r="BJ82" s="10" t="e">
        <f t="shared" si="119"/>
        <v>#VALUE!</v>
      </c>
      <c r="BK82" s="10" t="e">
        <f t="shared" ref="BK82:BK135" si="147">IF(BJ82=0,0,ROUNDUP(BJ82,0)*$K$12)</f>
        <v>#VALUE!</v>
      </c>
      <c r="BL82" s="10" t="e">
        <f t="shared" si="94"/>
        <v>#VALUE!</v>
      </c>
      <c r="BM82" s="10" t="e">
        <f t="shared" ref="BM82:BM135" si="148">IF(BJ82=0,0,1-BI82)</f>
        <v>#VALUE!</v>
      </c>
      <c r="BP82" s="10" t="e">
        <f t="shared" si="120"/>
        <v>#VALUE!</v>
      </c>
      <c r="BQ82" s="10" t="e">
        <f t="shared" si="121"/>
        <v>#VALUE!</v>
      </c>
      <c r="BR82" s="10" t="e">
        <f t="shared" si="122"/>
        <v>#VALUE!</v>
      </c>
      <c r="BS82" s="10" t="e">
        <f t="shared" si="123"/>
        <v>#VALUE!</v>
      </c>
      <c r="BT82" s="10" t="e">
        <f t="shared" si="124"/>
        <v>#VALUE!</v>
      </c>
      <c r="BU82" s="10" t="e">
        <f t="shared" si="125"/>
        <v>#VALUE!</v>
      </c>
      <c r="BW82" s="10" t="e">
        <f t="shared" si="126"/>
        <v>#VALUE!</v>
      </c>
      <c r="BX82" s="10" t="e">
        <f t="shared" si="127"/>
        <v>#VALUE!</v>
      </c>
      <c r="BY82" s="10" t="e">
        <f t="shared" si="128"/>
        <v>#VALUE!</v>
      </c>
      <c r="BZ82" s="10" t="e">
        <f t="shared" si="129"/>
        <v>#VALUE!</v>
      </c>
      <c r="CA82" s="10" t="e">
        <f t="shared" si="130"/>
        <v>#VALUE!</v>
      </c>
      <c r="CB82" s="10" t="e">
        <f t="shared" si="131"/>
        <v>#VALUE!</v>
      </c>
      <c r="CD82" s="10" t="e">
        <f>MATCH(INDEX($BP$12:$BU$12,1,MATCH(BP82,$BP$15:$BU$15,0)),结果汇总!$AI$10:$AI$13,0)</f>
        <v>#VALUE!</v>
      </c>
      <c r="CE82" s="10" t="e">
        <f>MATCH(INDEX($BP$12:$BU$12,1,MATCH(BQ82,$BP$15:$BU$15,0)),结果汇总!$AI$10:$AI$13,0)</f>
        <v>#VALUE!</v>
      </c>
      <c r="CF82" s="10" t="e">
        <f>MATCH(INDEX($BP$12:$BU$12,1,MATCH(BR82,$BP$15:$BU$15,0)),结果汇总!$AI$10:$AI$13,0)</f>
        <v>#VALUE!</v>
      </c>
      <c r="CG82" s="10" t="e">
        <f>MATCH(INDEX($BP$12:$BU$12,1,MATCH(BS82,$BP$15:$BU$15,0)),结果汇总!$AI$10:$AI$13,0)</f>
        <v>#VALUE!</v>
      </c>
      <c r="CH82" s="10" t="e">
        <f>MATCH(INDEX($BP$12:$BU$12,1,MATCH(BT82,$BP$15:$BU$15,0)),结果汇总!$AI$10:$AI$13,0)</f>
        <v>#VALUE!</v>
      </c>
      <c r="CI82" s="10" t="e">
        <f>MATCH(INDEX($BP$12:$BU$12,1,MATCH(BU82,$BP$15:$BU$15,0)),结果汇总!$AI$10:$AI$13,0)</f>
        <v>#VALUE!</v>
      </c>
      <c r="CK82" s="10">
        <f t="shared" si="132"/>
        <v>0</v>
      </c>
      <c r="CL82" s="10">
        <f t="shared" si="132"/>
        <v>0</v>
      </c>
      <c r="CM82" s="10">
        <f t="shared" si="132"/>
        <v>0</v>
      </c>
      <c r="CN82" s="10">
        <f t="shared" si="132"/>
        <v>0</v>
      </c>
      <c r="CO82" s="10">
        <f t="shared" si="133"/>
        <v>0</v>
      </c>
      <c r="CP82" s="10">
        <f t="shared" si="133"/>
        <v>0</v>
      </c>
      <c r="CQ82" s="10">
        <f t="shared" si="133"/>
        <v>0</v>
      </c>
      <c r="CR82" s="10">
        <f t="shared" si="133"/>
        <v>0</v>
      </c>
      <c r="CS82" s="10" t="e">
        <f t="shared" si="134"/>
        <v>#DIV/0!</v>
      </c>
      <c r="CT82" s="10" t="e">
        <f t="shared" si="134"/>
        <v>#DIV/0!</v>
      </c>
      <c r="CU82" s="10" t="e">
        <f t="shared" si="134"/>
        <v>#DIV/0!</v>
      </c>
      <c r="CV82" s="10" t="e">
        <f t="shared" si="134"/>
        <v>#DIV/0!</v>
      </c>
      <c r="CW82" s="10">
        <f t="shared" si="135"/>
        <v>0</v>
      </c>
      <c r="CX82" s="10">
        <f t="shared" si="135"/>
        <v>0</v>
      </c>
      <c r="CY82" s="10">
        <f t="shared" si="135"/>
        <v>0</v>
      </c>
      <c r="CZ82" s="10">
        <f t="shared" si="135"/>
        <v>0</v>
      </c>
    </row>
    <row r="83" spans="4:104" x14ac:dyDescent="0.15">
      <c r="D83" s="10">
        <v>68</v>
      </c>
      <c r="E83" s="10" t="e">
        <f t="shared" si="95"/>
        <v>#VALUE!</v>
      </c>
      <c r="F83" s="10" t="e">
        <f t="shared" si="79"/>
        <v>#VALUE!</v>
      </c>
      <c r="G83" s="10" t="e">
        <f t="shared" si="80"/>
        <v>#VALUE!</v>
      </c>
      <c r="H83" s="10" t="e">
        <f t="shared" si="96"/>
        <v>#VALUE!</v>
      </c>
      <c r="I83" s="10" t="e">
        <f t="shared" si="81"/>
        <v>#VALUE!</v>
      </c>
      <c r="J83" s="10" t="e">
        <f t="shared" si="97"/>
        <v>#VALUE!</v>
      </c>
      <c r="K83" s="10" t="e">
        <f t="shared" si="82"/>
        <v>#VALUE!</v>
      </c>
      <c r="L83" s="10" t="e">
        <f t="shared" si="83"/>
        <v>#VALUE!</v>
      </c>
      <c r="M83" s="10" t="e">
        <f t="shared" si="98"/>
        <v>#VALUE!</v>
      </c>
      <c r="O83" s="10" t="e">
        <f t="shared" si="99"/>
        <v>#VALUE!</v>
      </c>
      <c r="P83" s="10" t="e">
        <f t="shared" si="84"/>
        <v>#VALUE!</v>
      </c>
      <c r="Q83" s="10" t="e">
        <f t="shared" si="85"/>
        <v>#VALUE!</v>
      </c>
      <c r="R83" s="10" t="e">
        <f t="shared" si="100"/>
        <v>#VALUE!</v>
      </c>
      <c r="S83" s="10" t="e">
        <f t="shared" si="101"/>
        <v>#VALUE!</v>
      </c>
      <c r="T83" s="10" t="e">
        <f t="shared" si="136"/>
        <v>#VALUE!</v>
      </c>
      <c r="U83" s="10" t="e">
        <f t="shared" si="137"/>
        <v>#VALUE!</v>
      </c>
      <c r="V83" s="10" t="e">
        <f t="shared" si="86"/>
        <v>#VALUE!</v>
      </c>
      <c r="W83" s="10" t="e">
        <f t="shared" si="102"/>
        <v>#VALUE!</v>
      </c>
      <c r="Y83" s="10" t="e">
        <f t="shared" si="103"/>
        <v>#VALUE!</v>
      </c>
      <c r="Z83" s="11" t="e">
        <f t="shared" si="104"/>
        <v>#VALUE!</v>
      </c>
      <c r="AA83" s="10" t="e">
        <f t="shared" si="87"/>
        <v>#VALUE!</v>
      </c>
      <c r="AB83" s="10" t="e">
        <f t="shared" si="105"/>
        <v>#VALUE!</v>
      </c>
      <c r="AC83" s="10" t="e">
        <f t="shared" si="106"/>
        <v>#VALUE!</v>
      </c>
      <c r="AD83" s="10" t="e">
        <f t="shared" si="138"/>
        <v>#VALUE!</v>
      </c>
      <c r="AE83" s="10" t="e">
        <f t="shared" si="139"/>
        <v>#VALUE!</v>
      </c>
      <c r="AF83" s="10" t="e">
        <f t="shared" si="88"/>
        <v>#VALUE!</v>
      </c>
      <c r="AG83" s="10" t="e">
        <f t="shared" si="107"/>
        <v>#VALUE!</v>
      </c>
      <c r="AI83" s="13"/>
      <c r="AK83" s="10" t="e">
        <f t="shared" si="108"/>
        <v>#VALUE!</v>
      </c>
      <c r="AL83" s="10" t="e">
        <f t="shared" si="140"/>
        <v>#VALUE!</v>
      </c>
      <c r="AM83" s="10" t="e">
        <f t="shared" si="89"/>
        <v>#VALUE!</v>
      </c>
      <c r="AN83" s="10" t="e">
        <f t="shared" si="109"/>
        <v>#VALUE!</v>
      </c>
      <c r="AO83" s="10" t="e">
        <f t="shared" si="110"/>
        <v>#VALUE!</v>
      </c>
      <c r="AP83" s="10" t="e">
        <f t="shared" si="111"/>
        <v>#VALUE!</v>
      </c>
      <c r="AQ83" s="10" t="e">
        <f t="shared" si="141"/>
        <v>#VALUE!</v>
      </c>
      <c r="AR83" s="10" t="e">
        <f t="shared" si="90"/>
        <v>#VALUE!</v>
      </c>
      <c r="AS83" s="10" t="e">
        <f t="shared" si="142"/>
        <v>#VALUE!</v>
      </c>
      <c r="AU83" s="10" t="e">
        <f t="shared" si="112"/>
        <v>#VALUE!</v>
      </c>
      <c r="AV83" s="10" t="e">
        <f t="shared" si="143"/>
        <v>#VALUE!</v>
      </c>
      <c r="AW83" s="10" t="e">
        <f t="shared" si="91"/>
        <v>#VALUE!</v>
      </c>
      <c r="AX83" s="10" t="e">
        <f t="shared" si="113"/>
        <v>#VALUE!</v>
      </c>
      <c r="AY83" s="10" t="e">
        <f t="shared" si="114"/>
        <v>#VALUE!</v>
      </c>
      <c r="AZ83" s="10" t="e">
        <f t="shared" si="115"/>
        <v>#VALUE!</v>
      </c>
      <c r="BA83" s="10" t="e">
        <f t="shared" si="144"/>
        <v>#VALUE!</v>
      </c>
      <c r="BB83" s="10" t="e">
        <f t="shared" si="92"/>
        <v>#VALUE!</v>
      </c>
      <c r="BC83" s="10" t="e">
        <f t="shared" si="145"/>
        <v>#VALUE!</v>
      </c>
      <c r="BE83" s="10" t="e">
        <f t="shared" si="116"/>
        <v>#VALUE!</v>
      </c>
      <c r="BF83" s="10" t="e">
        <f t="shared" si="146"/>
        <v>#VALUE!</v>
      </c>
      <c r="BG83" s="10" t="e">
        <f t="shared" si="93"/>
        <v>#VALUE!</v>
      </c>
      <c r="BH83" s="10" t="e">
        <f t="shared" si="117"/>
        <v>#VALUE!</v>
      </c>
      <c r="BI83" s="10" t="e">
        <f t="shared" si="118"/>
        <v>#VALUE!</v>
      </c>
      <c r="BJ83" s="10" t="e">
        <f t="shared" si="119"/>
        <v>#VALUE!</v>
      </c>
      <c r="BK83" s="10" t="e">
        <f t="shared" si="147"/>
        <v>#VALUE!</v>
      </c>
      <c r="BL83" s="10" t="e">
        <f t="shared" si="94"/>
        <v>#VALUE!</v>
      </c>
      <c r="BM83" s="10" t="e">
        <f t="shared" si="148"/>
        <v>#VALUE!</v>
      </c>
      <c r="BP83" s="10" t="e">
        <f t="shared" si="120"/>
        <v>#VALUE!</v>
      </c>
      <c r="BQ83" s="10" t="e">
        <f t="shared" si="121"/>
        <v>#VALUE!</v>
      </c>
      <c r="BR83" s="10" t="e">
        <f t="shared" si="122"/>
        <v>#VALUE!</v>
      </c>
      <c r="BS83" s="10" t="e">
        <f t="shared" si="123"/>
        <v>#VALUE!</v>
      </c>
      <c r="BT83" s="10" t="e">
        <f t="shared" si="124"/>
        <v>#VALUE!</v>
      </c>
      <c r="BU83" s="10" t="e">
        <f t="shared" si="125"/>
        <v>#VALUE!</v>
      </c>
      <c r="BW83" s="10" t="e">
        <f t="shared" si="126"/>
        <v>#VALUE!</v>
      </c>
      <c r="BX83" s="10" t="e">
        <f t="shared" si="127"/>
        <v>#VALUE!</v>
      </c>
      <c r="BY83" s="10" t="e">
        <f t="shared" si="128"/>
        <v>#VALUE!</v>
      </c>
      <c r="BZ83" s="10" t="e">
        <f t="shared" si="129"/>
        <v>#VALUE!</v>
      </c>
      <c r="CA83" s="10" t="e">
        <f t="shared" si="130"/>
        <v>#VALUE!</v>
      </c>
      <c r="CB83" s="10" t="e">
        <f t="shared" si="131"/>
        <v>#VALUE!</v>
      </c>
      <c r="CD83" s="10" t="e">
        <f>MATCH(INDEX($BP$12:$BU$12,1,MATCH(BP83,$BP$15:$BU$15,0)),结果汇总!$AI$10:$AI$13,0)</f>
        <v>#VALUE!</v>
      </c>
      <c r="CE83" s="10" t="e">
        <f>MATCH(INDEX($BP$12:$BU$12,1,MATCH(BQ83,$BP$15:$BU$15,0)),结果汇总!$AI$10:$AI$13,0)</f>
        <v>#VALUE!</v>
      </c>
      <c r="CF83" s="10" t="e">
        <f>MATCH(INDEX($BP$12:$BU$12,1,MATCH(BR83,$BP$15:$BU$15,0)),结果汇总!$AI$10:$AI$13,0)</f>
        <v>#VALUE!</v>
      </c>
      <c r="CG83" s="10" t="e">
        <f>MATCH(INDEX($BP$12:$BU$12,1,MATCH(BS83,$BP$15:$BU$15,0)),结果汇总!$AI$10:$AI$13,0)</f>
        <v>#VALUE!</v>
      </c>
      <c r="CH83" s="10" t="e">
        <f>MATCH(INDEX($BP$12:$BU$12,1,MATCH(BT83,$BP$15:$BU$15,0)),结果汇总!$AI$10:$AI$13,0)</f>
        <v>#VALUE!</v>
      </c>
      <c r="CI83" s="10" t="e">
        <f>MATCH(INDEX($BP$12:$BU$12,1,MATCH(BU83,$BP$15:$BU$15,0)),结果汇总!$AI$10:$AI$13,0)</f>
        <v>#VALUE!</v>
      </c>
      <c r="CK83" s="10">
        <f t="shared" si="132"/>
        <v>0</v>
      </c>
      <c r="CL83" s="10">
        <f t="shared" si="132"/>
        <v>0</v>
      </c>
      <c r="CM83" s="10">
        <f t="shared" si="132"/>
        <v>0</v>
      </c>
      <c r="CN83" s="10">
        <f t="shared" si="132"/>
        <v>0</v>
      </c>
      <c r="CO83" s="10">
        <f t="shared" si="133"/>
        <v>0</v>
      </c>
      <c r="CP83" s="10">
        <f t="shared" si="133"/>
        <v>0</v>
      </c>
      <c r="CQ83" s="10">
        <f t="shared" si="133"/>
        <v>0</v>
      </c>
      <c r="CR83" s="10">
        <f t="shared" si="133"/>
        <v>0</v>
      </c>
      <c r="CS83" s="10" t="e">
        <f t="shared" si="134"/>
        <v>#DIV/0!</v>
      </c>
      <c r="CT83" s="10" t="e">
        <f t="shared" si="134"/>
        <v>#DIV/0!</v>
      </c>
      <c r="CU83" s="10" t="e">
        <f t="shared" si="134"/>
        <v>#DIV/0!</v>
      </c>
      <c r="CV83" s="10" t="e">
        <f t="shared" si="134"/>
        <v>#DIV/0!</v>
      </c>
      <c r="CW83" s="10">
        <f t="shared" si="135"/>
        <v>0</v>
      </c>
      <c r="CX83" s="10">
        <f t="shared" si="135"/>
        <v>0</v>
      </c>
      <c r="CY83" s="10">
        <f t="shared" si="135"/>
        <v>0</v>
      </c>
      <c r="CZ83" s="10">
        <f t="shared" si="135"/>
        <v>0</v>
      </c>
    </row>
    <row r="84" spans="4:104" x14ac:dyDescent="0.15">
      <c r="D84" s="10">
        <v>69</v>
      </c>
      <c r="E84" s="10" t="e">
        <f t="shared" si="95"/>
        <v>#VALUE!</v>
      </c>
      <c r="F84" s="10" t="e">
        <f t="shared" si="79"/>
        <v>#VALUE!</v>
      </c>
      <c r="G84" s="10" t="e">
        <f t="shared" si="80"/>
        <v>#VALUE!</v>
      </c>
      <c r="H84" s="10" t="e">
        <f t="shared" si="96"/>
        <v>#VALUE!</v>
      </c>
      <c r="I84" s="10" t="e">
        <f t="shared" si="81"/>
        <v>#VALUE!</v>
      </c>
      <c r="J84" s="10" t="e">
        <f t="shared" si="97"/>
        <v>#VALUE!</v>
      </c>
      <c r="K84" s="10" t="e">
        <f t="shared" si="82"/>
        <v>#VALUE!</v>
      </c>
      <c r="L84" s="10" t="e">
        <f t="shared" si="83"/>
        <v>#VALUE!</v>
      </c>
      <c r="M84" s="10" t="e">
        <f t="shared" si="98"/>
        <v>#VALUE!</v>
      </c>
      <c r="O84" s="10" t="e">
        <f t="shared" si="99"/>
        <v>#VALUE!</v>
      </c>
      <c r="P84" s="10" t="e">
        <f t="shared" si="84"/>
        <v>#VALUE!</v>
      </c>
      <c r="Q84" s="10" t="e">
        <f t="shared" si="85"/>
        <v>#VALUE!</v>
      </c>
      <c r="R84" s="10" t="e">
        <f t="shared" si="100"/>
        <v>#VALUE!</v>
      </c>
      <c r="S84" s="10" t="e">
        <f t="shared" si="101"/>
        <v>#VALUE!</v>
      </c>
      <c r="T84" s="10" t="e">
        <f t="shared" si="136"/>
        <v>#VALUE!</v>
      </c>
      <c r="U84" s="10" t="e">
        <f t="shared" si="137"/>
        <v>#VALUE!</v>
      </c>
      <c r="V84" s="10" t="e">
        <f t="shared" si="86"/>
        <v>#VALUE!</v>
      </c>
      <c r="W84" s="10" t="e">
        <f t="shared" si="102"/>
        <v>#VALUE!</v>
      </c>
      <c r="Y84" s="10" t="e">
        <f t="shared" si="103"/>
        <v>#VALUE!</v>
      </c>
      <c r="Z84" s="11" t="e">
        <f t="shared" si="104"/>
        <v>#VALUE!</v>
      </c>
      <c r="AA84" s="10" t="e">
        <f t="shared" si="87"/>
        <v>#VALUE!</v>
      </c>
      <c r="AB84" s="10" t="e">
        <f t="shared" si="105"/>
        <v>#VALUE!</v>
      </c>
      <c r="AC84" s="10" t="e">
        <f t="shared" si="106"/>
        <v>#VALUE!</v>
      </c>
      <c r="AD84" s="10" t="e">
        <f t="shared" si="138"/>
        <v>#VALUE!</v>
      </c>
      <c r="AE84" s="10" t="e">
        <f t="shared" si="139"/>
        <v>#VALUE!</v>
      </c>
      <c r="AF84" s="10" t="e">
        <f t="shared" si="88"/>
        <v>#VALUE!</v>
      </c>
      <c r="AG84" s="10" t="e">
        <f t="shared" si="107"/>
        <v>#VALUE!</v>
      </c>
      <c r="AI84" s="13"/>
      <c r="AK84" s="10" t="e">
        <f t="shared" si="108"/>
        <v>#VALUE!</v>
      </c>
      <c r="AL84" s="10" t="e">
        <f t="shared" si="140"/>
        <v>#VALUE!</v>
      </c>
      <c r="AM84" s="10" t="e">
        <f t="shared" si="89"/>
        <v>#VALUE!</v>
      </c>
      <c r="AN84" s="10" t="e">
        <f t="shared" si="109"/>
        <v>#VALUE!</v>
      </c>
      <c r="AO84" s="10" t="e">
        <f t="shared" si="110"/>
        <v>#VALUE!</v>
      </c>
      <c r="AP84" s="10" t="e">
        <f t="shared" si="111"/>
        <v>#VALUE!</v>
      </c>
      <c r="AQ84" s="10" t="e">
        <f t="shared" si="141"/>
        <v>#VALUE!</v>
      </c>
      <c r="AR84" s="10" t="e">
        <f t="shared" si="90"/>
        <v>#VALUE!</v>
      </c>
      <c r="AS84" s="10" t="e">
        <f t="shared" si="142"/>
        <v>#VALUE!</v>
      </c>
      <c r="AU84" s="10" t="e">
        <f t="shared" si="112"/>
        <v>#VALUE!</v>
      </c>
      <c r="AV84" s="10" t="e">
        <f t="shared" si="143"/>
        <v>#VALUE!</v>
      </c>
      <c r="AW84" s="10" t="e">
        <f t="shared" si="91"/>
        <v>#VALUE!</v>
      </c>
      <c r="AX84" s="10" t="e">
        <f t="shared" si="113"/>
        <v>#VALUE!</v>
      </c>
      <c r="AY84" s="10" t="e">
        <f t="shared" si="114"/>
        <v>#VALUE!</v>
      </c>
      <c r="AZ84" s="10" t="e">
        <f t="shared" si="115"/>
        <v>#VALUE!</v>
      </c>
      <c r="BA84" s="10" t="e">
        <f t="shared" si="144"/>
        <v>#VALUE!</v>
      </c>
      <c r="BB84" s="10" t="e">
        <f t="shared" si="92"/>
        <v>#VALUE!</v>
      </c>
      <c r="BC84" s="10" t="e">
        <f t="shared" si="145"/>
        <v>#VALUE!</v>
      </c>
      <c r="BE84" s="10" t="e">
        <f t="shared" si="116"/>
        <v>#VALUE!</v>
      </c>
      <c r="BF84" s="10" t="e">
        <f t="shared" si="146"/>
        <v>#VALUE!</v>
      </c>
      <c r="BG84" s="10" t="e">
        <f t="shared" si="93"/>
        <v>#VALUE!</v>
      </c>
      <c r="BH84" s="10" t="e">
        <f t="shared" si="117"/>
        <v>#VALUE!</v>
      </c>
      <c r="BI84" s="10" t="e">
        <f t="shared" si="118"/>
        <v>#VALUE!</v>
      </c>
      <c r="BJ84" s="10" t="e">
        <f t="shared" si="119"/>
        <v>#VALUE!</v>
      </c>
      <c r="BK84" s="10" t="e">
        <f t="shared" si="147"/>
        <v>#VALUE!</v>
      </c>
      <c r="BL84" s="10" t="e">
        <f t="shared" si="94"/>
        <v>#VALUE!</v>
      </c>
      <c r="BM84" s="10" t="e">
        <f t="shared" si="148"/>
        <v>#VALUE!</v>
      </c>
      <c r="BP84" s="10" t="e">
        <f t="shared" si="120"/>
        <v>#VALUE!</v>
      </c>
      <c r="BQ84" s="10" t="e">
        <f t="shared" si="121"/>
        <v>#VALUE!</v>
      </c>
      <c r="BR84" s="10" t="e">
        <f t="shared" si="122"/>
        <v>#VALUE!</v>
      </c>
      <c r="BS84" s="10" t="e">
        <f t="shared" si="123"/>
        <v>#VALUE!</v>
      </c>
      <c r="BT84" s="10" t="e">
        <f t="shared" si="124"/>
        <v>#VALUE!</v>
      </c>
      <c r="BU84" s="10" t="e">
        <f t="shared" si="125"/>
        <v>#VALUE!</v>
      </c>
      <c r="BW84" s="10" t="e">
        <f t="shared" si="126"/>
        <v>#VALUE!</v>
      </c>
      <c r="BX84" s="10" t="e">
        <f t="shared" si="127"/>
        <v>#VALUE!</v>
      </c>
      <c r="BY84" s="10" t="e">
        <f t="shared" si="128"/>
        <v>#VALUE!</v>
      </c>
      <c r="BZ84" s="10" t="e">
        <f t="shared" si="129"/>
        <v>#VALUE!</v>
      </c>
      <c r="CA84" s="10" t="e">
        <f t="shared" si="130"/>
        <v>#VALUE!</v>
      </c>
      <c r="CB84" s="10" t="e">
        <f t="shared" si="131"/>
        <v>#VALUE!</v>
      </c>
      <c r="CD84" s="10" t="e">
        <f>MATCH(INDEX($BP$12:$BU$12,1,MATCH(BP84,$BP$15:$BU$15,0)),结果汇总!$AI$10:$AI$13,0)</f>
        <v>#VALUE!</v>
      </c>
      <c r="CE84" s="10" t="e">
        <f>MATCH(INDEX($BP$12:$BU$12,1,MATCH(BQ84,$BP$15:$BU$15,0)),结果汇总!$AI$10:$AI$13,0)</f>
        <v>#VALUE!</v>
      </c>
      <c r="CF84" s="10" t="e">
        <f>MATCH(INDEX($BP$12:$BU$12,1,MATCH(BR84,$BP$15:$BU$15,0)),结果汇总!$AI$10:$AI$13,0)</f>
        <v>#VALUE!</v>
      </c>
      <c r="CG84" s="10" t="e">
        <f>MATCH(INDEX($BP$12:$BU$12,1,MATCH(BS84,$BP$15:$BU$15,0)),结果汇总!$AI$10:$AI$13,0)</f>
        <v>#VALUE!</v>
      </c>
      <c r="CH84" s="10" t="e">
        <f>MATCH(INDEX($BP$12:$BU$12,1,MATCH(BT84,$BP$15:$BU$15,0)),结果汇总!$AI$10:$AI$13,0)</f>
        <v>#VALUE!</v>
      </c>
      <c r="CI84" s="10" t="e">
        <f>MATCH(INDEX($BP$12:$BU$12,1,MATCH(BU84,$BP$15:$BU$15,0)),结果汇总!$AI$10:$AI$13,0)</f>
        <v>#VALUE!</v>
      </c>
      <c r="CK84" s="10">
        <f t="shared" si="132"/>
        <v>0</v>
      </c>
      <c r="CL84" s="10">
        <f t="shared" si="132"/>
        <v>0</v>
      </c>
      <c r="CM84" s="10">
        <f t="shared" si="132"/>
        <v>0</v>
      </c>
      <c r="CN84" s="10">
        <f t="shared" si="132"/>
        <v>0</v>
      </c>
      <c r="CO84" s="10">
        <f t="shared" si="133"/>
        <v>0</v>
      </c>
      <c r="CP84" s="10">
        <f t="shared" si="133"/>
        <v>0</v>
      </c>
      <c r="CQ84" s="10">
        <f t="shared" si="133"/>
        <v>0</v>
      </c>
      <c r="CR84" s="10">
        <f t="shared" si="133"/>
        <v>0</v>
      </c>
      <c r="CS84" s="10" t="e">
        <f t="shared" si="134"/>
        <v>#DIV/0!</v>
      </c>
      <c r="CT84" s="10" t="e">
        <f t="shared" si="134"/>
        <v>#DIV/0!</v>
      </c>
      <c r="CU84" s="10" t="e">
        <f t="shared" si="134"/>
        <v>#DIV/0!</v>
      </c>
      <c r="CV84" s="10" t="e">
        <f t="shared" si="134"/>
        <v>#DIV/0!</v>
      </c>
      <c r="CW84" s="10">
        <f t="shared" si="135"/>
        <v>0</v>
      </c>
      <c r="CX84" s="10">
        <f t="shared" si="135"/>
        <v>0</v>
      </c>
      <c r="CY84" s="10">
        <f t="shared" si="135"/>
        <v>0</v>
      </c>
      <c r="CZ84" s="10">
        <f t="shared" si="135"/>
        <v>0</v>
      </c>
    </row>
    <row r="85" spans="4:104" x14ac:dyDescent="0.15">
      <c r="D85" s="10">
        <v>70</v>
      </c>
      <c r="E85" s="10" t="e">
        <f t="shared" si="95"/>
        <v>#VALUE!</v>
      </c>
      <c r="F85" s="10" t="e">
        <f t="shared" si="79"/>
        <v>#VALUE!</v>
      </c>
      <c r="G85" s="10" t="e">
        <f t="shared" si="80"/>
        <v>#VALUE!</v>
      </c>
      <c r="H85" s="10" t="e">
        <f t="shared" si="96"/>
        <v>#VALUE!</v>
      </c>
      <c r="I85" s="10" t="e">
        <f t="shared" si="81"/>
        <v>#VALUE!</v>
      </c>
      <c r="J85" s="10" t="e">
        <f t="shared" si="97"/>
        <v>#VALUE!</v>
      </c>
      <c r="K85" s="10" t="e">
        <f t="shared" si="82"/>
        <v>#VALUE!</v>
      </c>
      <c r="L85" s="10" t="e">
        <f t="shared" si="83"/>
        <v>#VALUE!</v>
      </c>
      <c r="M85" s="10" t="e">
        <f t="shared" si="98"/>
        <v>#VALUE!</v>
      </c>
      <c r="O85" s="10" t="e">
        <f t="shared" si="99"/>
        <v>#VALUE!</v>
      </c>
      <c r="P85" s="10" t="e">
        <f t="shared" si="84"/>
        <v>#VALUE!</v>
      </c>
      <c r="Q85" s="10" t="e">
        <f t="shared" si="85"/>
        <v>#VALUE!</v>
      </c>
      <c r="R85" s="10" t="e">
        <f t="shared" si="100"/>
        <v>#VALUE!</v>
      </c>
      <c r="S85" s="10" t="e">
        <f t="shared" si="101"/>
        <v>#VALUE!</v>
      </c>
      <c r="T85" s="10" t="e">
        <f t="shared" si="136"/>
        <v>#VALUE!</v>
      </c>
      <c r="U85" s="10" t="e">
        <f t="shared" si="137"/>
        <v>#VALUE!</v>
      </c>
      <c r="V85" s="10" t="e">
        <f t="shared" si="86"/>
        <v>#VALUE!</v>
      </c>
      <c r="W85" s="10" t="e">
        <f t="shared" si="102"/>
        <v>#VALUE!</v>
      </c>
      <c r="Y85" s="10" t="e">
        <f t="shared" si="103"/>
        <v>#VALUE!</v>
      </c>
      <c r="Z85" s="11" t="e">
        <f t="shared" si="104"/>
        <v>#VALUE!</v>
      </c>
      <c r="AA85" s="10" t="e">
        <f t="shared" si="87"/>
        <v>#VALUE!</v>
      </c>
      <c r="AB85" s="10" t="e">
        <f t="shared" si="105"/>
        <v>#VALUE!</v>
      </c>
      <c r="AC85" s="10" t="e">
        <f t="shared" si="106"/>
        <v>#VALUE!</v>
      </c>
      <c r="AD85" s="10" t="e">
        <f t="shared" si="138"/>
        <v>#VALUE!</v>
      </c>
      <c r="AE85" s="10" t="e">
        <f t="shared" si="139"/>
        <v>#VALUE!</v>
      </c>
      <c r="AF85" s="10" t="e">
        <f t="shared" si="88"/>
        <v>#VALUE!</v>
      </c>
      <c r="AG85" s="10" t="e">
        <f t="shared" si="107"/>
        <v>#VALUE!</v>
      </c>
      <c r="AI85" s="13"/>
      <c r="AK85" s="10" t="e">
        <f t="shared" si="108"/>
        <v>#VALUE!</v>
      </c>
      <c r="AL85" s="10" t="e">
        <f t="shared" si="140"/>
        <v>#VALUE!</v>
      </c>
      <c r="AM85" s="10" t="e">
        <f t="shared" si="89"/>
        <v>#VALUE!</v>
      </c>
      <c r="AN85" s="10" t="e">
        <f t="shared" si="109"/>
        <v>#VALUE!</v>
      </c>
      <c r="AO85" s="10" t="e">
        <f t="shared" si="110"/>
        <v>#VALUE!</v>
      </c>
      <c r="AP85" s="10" t="e">
        <f t="shared" si="111"/>
        <v>#VALUE!</v>
      </c>
      <c r="AQ85" s="10" t="e">
        <f t="shared" si="141"/>
        <v>#VALUE!</v>
      </c>
      <c r="AR85" s="10" t="e">
        <f t="shared" si="90"/>
        <v>#VALUE!</v>
      </c>
      <c r="AS85" s="10" t="e">
        <f t="shared" si="142"/>
        <v>#VALUE!</v>
      </c>
      <c r="AU85" s="10" t="e">
        <f t="shared" si="112"/>
        <v>#VALUE!</v>
      </c>
      <c r="AV85" s="10" t="e">
        <f t="shared" si="143"/>
        <v>#VALUE!</v>
      </c>
      <c r="AW85" s="10" t="e">
        <f t="shared" si="91"/>
        <v>#VALUE!</v>
      </c>
      <c r="AX85" s="10" t="e">
        <f t="shared" si="113"/>
        <v>#VALUE!</v>
      </c>
      <c r="AY85" s="10" t="e">
        <f t="shared" si="114"/>
        <v>#VALUE!</v>
      </c>
      <c r="AZ85" s="10" t="e">
        <f t="shared" si="115"/>
        <v>#VALUE!</v>
      </c>
      <c r="BA85" s="10" t="e">
        <f t="shared" si="144"/>
        <v>#VALUE!</v>
      </c>
      <c r="BB85" s="10" t="e">
        <f t="shared" si="92"/>
        <v>#VALUE!</v>
      </c>
      <c r="BC85" s="10" t="e">
        <f t="shared" si="145"/>
        <v>#VALUE!</v>
      </c>
      <c r="BE85" s="10" t="e">
        <f t="shared" si="116"/>
        <v>#VALUE!</v>
      </c>
      <c r="BF85" s="10" t="e">
        <f t="shared" si="146"/>
        <v>#VALUE!</v>
      </c>
      <c r="BG85" s="10" t="e">
        <f t="shared" si="93"/>
        <v>#VALUE!</v>
      </c>
      <c r="BH85" s="10" t="e">
        <f t="shared" si="117"/>
        <v>#VALUE!</v>
      </c>
      <c r="BI85" s="10" t="e">
        <f t="shared" si="118"/>
        <v>#VALUE!</v>
      </c>
      <c r="BJ85" s="10" t="e">
        <f t="shared" si="119"/>
        <v>#VALUE!</v>
      </c>
      <c r="BK85" s="10" t="e">
        <f t="shared" si="147"/>
        <v>#VALUE!</v>
      </c>
      <c r="BL85" s="10" t="e">
        <f t="shared" si="94"/>
        <v>#VALUE!</v>
      </c>
      <c r="BM85" s="10" t="e">
        <f t="shared" si="148"/>
        <v>#VALUE!</v>
      </c>
      <c r="BP85" s="10" t="e">
        <f t="shared" si="120"/>
        <v>#VALUE!</v>
      </c>
      <c r="BQ85" s="10" t="e">
        <f t="shared" si="121"/>
        <v>#VALUE!</v>
      </c>
      <c r="BR85" s="10" t="e">
        <f t="shared" si="122"/>
        <v>#VALUE!</v>
      </c>
      <c r="BS85" s="10" t="e">
        <f t="shared" si="123"/>
        <v>#VALUE!</v>
      </c>
      <c r="BT85" s="10" t="e">
        <f t="shared" si="124"/>
        <v>#VALUE!</v>
      </c>
      <c r="BU85" s="10" t="e">
        <f t="shared" si="125"/>
        <v>#VALUE!</v>
      </c>
      <c r="BW85" s="10" t="e">
        <f t="shared" si="126"/>
        <v>#VALUE!</v>
      </c>
      <c r="BX85" s="10" t="e">
        <f t="shared" si="127"/>
        <v>#VALUE!</v>
      </c>
      <c r="BY85" s="10" t="e">
        <f t="shared" si="128"/>
        <v>#VALUE!</v>
      </c>
      <c r="BZ85" s="10" t="e">
        <f t="shared" si="129"/>
        <v>#VALUE!</v>
      </c>
      <c r="CA85" s="10" t="e">
        <f t="shared" si="130"/>
        <v>#VALUE!</v>
      </c>
      <c r="CB85" s="10" t="e">
        <f t="shared" si="131"/>
        <v>#VALUE!</v>
      </c>
      <c r="CD85" s="10" t="e">
        <f>MATCH(INDEX($BP$12:$BU$12,1,MATCH(BP85,$BP$15:$BU$15,0)),结果汇总!$AI$10:$AI$13,0)</f>
        <v>#VALUE!</v>
      </c>
      <c r="CE85" s="10" t="e">
        <f>MATCH(INDEX($BP$12:$BU$12,1,MATCH(BQ85,$BP$15:$BU$15,0)),结果汇总!$AI$10:$AI$13,0)</f>
        <v>#VALUE!</v>
      </c>
      <c r="CF85" s="10" t="e">
        <f>MATCH(INDEX($BP$12:$BU$12,1,MATCH(BR85,$BP$15:$BU$15,0)),结果汇总!$AI$10:$AI$13,0)</f>
        <v>#VALUE!</v>
      </c>
      <c r="CG85" s="10" t="e">
        <f>MATCH(INDEX($BP$12:$BU$12,1,MATCH(BS85,$BP$15:$BU$15,0)),结果汇总!$AI$10:$AI$13,0)</f>
        <v>#VALUE!</v>
      </c>
      <c r="CH85" s="10" t="e">
        <f>MATCH(INDEX($BP$12:$BU$12,1,MATCH(BT85,$BP$15:$BU$15,0)),结果汇总!$AI$10:$AI$13,0)</f>
        <v>#VALUE!</v>
      </c>
      <c r="CI85" s="10" t="e">
        <f>MATCH(INDEX($BP$12:$BU$12,1,MATCH(BU85,$BP$15:$BU$15,0)),结果汇总!$AI$10:$AI$13,0)</f>
        <v>#VALUE!</v>
      </c>
      <c r="CK85" s="10">
        <f t="shared" si="132"/>
        <v>0</v>
      </c>
      <c r="CL85" s="10">
        <f t="shared" si="132"/>
        <v>0</v>
      </c>
      <c r="CM85" s="10">
        <f t="shared" si="132"/>
        <v>0</v>
      </c>
      <c r="CN85" s="10">
        <f t="shared" si="132"/>
        <v>0</v>
      </c>
      <c r="CO85" s="10">
        <f t="shared" si="133"/>
        <v>0</v>
      </c>
      <c r="CP85" s="10">
        <f t="shared" si="133"/>
        <v>0</v>
      </c>
      <c r="CQ85" s="10">
        <f t="shared" si="133"/>
        <v>0</v>
      </c>
      <c r="CR85" s="10">
        <f t="shared" si="133"/>
        <v>0</v>
      </c>
      <c r="CS85" s="10" t="e">
        <f t="shared" si="134"/>
        <v>#DIV/0!</v>
      </c>
      <c r="CT85" s="10" t="e">
        <f t="shared" si="134"/>
        <v>#DIV/0!</v>
      </c>
      <c r="CU85" s="10" t="e">
        <f t="shared" si="134"/>
        <v>#DIV/0!</v>
      </c>
      <c r="CV85" s="10" t="e">
        <f t="shared" si="134"/>
        <v>#DIV/0!</v>
      </c>
      <c r="CW85" s="10">
        <f t="shared" si="135"/>
        <v>0</v>
      </c>
      <c r="CX85" s="10">
        <f t="shared" si="135"/>
        <v>0</v>
      </c>
      <c r="CY85" s="10">
        <f t="shared" si="135"/>
        <v>0</v>
      </c>
      <c r="CZ85" s="10">
        <f t="shared" si="135"/>
        <v>0</v>
      </c>
    </row>
    <row r="86" spans="4:104" x14ac:dyDescent="0.15">
      <c r="D86" s="10">
        <v>71</v>
      </c>
      <c r="E86" s="10" t="e">
        <f t="shared" si="95"/>
        <v>#VALUE!</v>
      </c>
      <c r="F86" s="10" t="e">
        <f t="shared" si="79"/>
        <v>#VALUE!</v>
      </c>
      <c r="G86" s="10" t="e">
        <f t="shared" si="80"/>
        <v>#VALUE!</v>
      </c>
      <c r="H86" s="10" t="e">
        <f t="shared" si="96"/>
        <v>#VALUE!</v>
      </c>
      <c r="I86" s="10" t="e">
        <f t="shared" si="81"/>
        <v>#VALUE!</v>
      </c>
      <c r="J86" s="10" t="e">
        <f t="shared" si="97"/>
        <v>#VALUE!</v>
      </c>
      <c r="K86" s="10" t="e">
        <f t="shared" si="82"/>
        <v>#VALUE!</v>
      </c>
      <c r="L86" s="10" t="e">
        <f t="shared" si="83"/>
        <v>#VALUE!</v>
      </c>
      <c r="M86" s="10" t="e">
        <f t="shared" si="98"/>
        <v>#VALUE!</v>
      </c>
      <c r="O86" s="10" t="e">
        <f t="shared" si="99"/>
        <v>#VALUE!</v>
      </c>
      <c r="P86" s="10" t="e">
        <f t="shared" si="84"/>
        <v>#VALUE!</v>
      </c>
      <c r="Q86" s="10" t="e">
        <f t="shared" si="85"/>
        <v>#VALUE!</v>
      </c>
      <c r="R86" s="10" t="e">
        <f t="shared" si="100"/>
        <v>#VALUE!</v>
      </c>
      <c r="S86" s="10" t="e">
        <f t="shared" si="101"/>
        <v>#VALUE!</v>
      </c>
      <c r="T86" s="10" t="e">
        <f t="shared" si="136"/>
        <v>#VALUE!</v>
      </c>
      <c r="U86" s="10" t="e">
        <f t="shared" si="137"/>
        <v>#VALUE!</v>
      </c>
      <c r="V86" s="10" t="e">
        <f t="shared" si="86"/>
        <v>#VALUE!</v>
      </c>
      <c r="W86" s="10" t="e">
        <f t="shared" si="102"/>
        <v>#VALUE!</v>
      </c>
      <c r="Y86" s="10" t="e">
        <f t="shared" si="103"/>
        <v>#VALUE!</v>
      </c>
      <c r="Z86" s="11" t="e">
        <f t="shared" si="104"/>
        <v>#VALUE!</v>
      </c>
      <c r="AA86" s="10" t="e">
        <f t="shared" si="87"/>
        <v>#VALUE!</v>
      </c>
      <c r="AB86" s="10" t="e">
        <f t="shared" si="105"/>
        <v>#VALUE!</v>
      </c>
      <c r="AC86" s="10" t="e">
        <f t="shared" si="106"/>
        <v>#VALUE!</v>
      </c>
      <c r="AD86" s="10" t="e">
        <f t="shared" si="138"/>
        <v>#VALUE!</v>
      </c>
      <c r="AE86" s="10" t="e">
        <f t="shared" si="139"/>
        <v>#VALUE!</v>
      </c>
      <c r="AF86" s="10" t="e">
        <f t="shared" si="88"/>
        <v>#VALUE!</v>
      </c>
      <c r="AG86" s="10" t="e">
        <f t="shared" si="107"/>
        <v>#VALUE!</v>
      </c>
      <c r="AI86" s="13"/>
      <c r="AK86" s="10" t="e">
        <f t="shared" si="108"/>
        <v>#VALUE!</v>
      </c>
      <c r="AL86" s="10" t="e">
        <f t="shared" si="140"/>
        <v>#VALUE!</v>
      </c>
      <c r="AM86" s="10" t="e">
        <f t="shared" si="89"/>
        <v>#VALUE!</v>
      </c>
      <c r="AN86" s="10" t="e">
        <f t="shared" si="109"/>
        <v>#VALUE!</v>
      </c>
      <c r="AO86" s="10" t="e">
        <f t="shared" si="110"/>
        <v>#VALUE!</v>
      </c>
      <c r="AP86" s="10" t="e">
        <f t="shared" si="111"/>
        <v>#VALUE!</v>
      </c>
      <c r="AQ86" s="10" t="e">
        <f t="shared" si="141"/>
        <v>#VALUE!</v>
      </c>
      <c r="AR86" s="10" t="e">
        <f t="shared" si="90"/>
        <v>#VALUE!</v>
      </c>
      <c r="AS86" s="10" t="e">
        <f t="shared" si="142"/>
        <v>#VALUE!</v>
      </c>
      <c r="AU86" s="10" t="e">
        <f t="shared" si="112"/>
        <v>#VALUE!</v>
      </c>
      <c r="AV86" s="10" t="e">
        <f t="shared" si="143"/>
        <v>#VALUE!</v>
      </c>
      <c r="AW86" s="10" t="e">
        <f t="shared" si="91"/>
        <v>#VALUE!</v>
      </c>
      <c r="AX86" s="10" t="e">
        <f t="shared" si="113"/>
        <v>#VALUE!</v>
      </c>
      <c r="AY86" s="10" t="e">
        <f t="shared" si="114"/>
        <v>#VALUE!</v>
      </c>
      <c r="AZ86" s="10" t="e">
        <f t="shared" si="115"/>
        <v>#VALUE!</v>
      </c>
      <c r="BA86" s="10" t="e">
        <f t="shared" si="144"/>
        <v>#VALUE!</v>
      </c>
      <c r="BB86" s="10" t="e">
        <f t="shared" si="92"/>
        <v>#VALUE!</v>
      </c>
      <c r="BC86" s="10" t="e">
        <f t="shared" si="145"/>
        <v>#VALUE!</v>
      </c>
      <c r="BE86" s="10" t="e">
        <f t="shared" si="116"/>
        <v>#VALUE!</v>
      </c>
      <c r="BF86" s="10" t="e">
        <f t="shared" si="146"/>
        <v>#VALUE!</v>
      </c>
      <c r="BG86" s="10" t="e">
        <f t="shared" si="93"/>
        <v>#VALUE!</v>
      </c>
      <c r="BH86" s="10" t="e">
        <f t="shared" si="117"/>
        <v>#VALUE!</v>
      </c>
      <c r="BI86" s="10" t="e">
        <f t="shared" si="118"/>
        <v>#VALUE!</v>
      </c>
      <c r="BJ86" s="10" t="e">
        <f t="shared" si="119"/>
        <v>#VALUE!</v>
      </c>
      <c r="BK86" s="10" t="e">
        <f t="shared" si="147"/>
        <v>#VALUE!</v>
      </c>
      <c r="BL86" s="10" t="e">
        <f t="shared" si="94"/>
        <v>#VALUE!</v>
      </c>
      <c r="BM86" s="10" t="e">
        <f t="shared" si="148"/>
        <v>#VALUE!</v>
      </c>
      <c r="BP86" s="10" t="e">
        <f t="shared" si="120"/>
        <v>#VALUE!</v>
      </c>
      <c r="BQ86" s="10" t="e">
        <f t="shared" si="121"/>
        <v>#VALUE!</v>
      </c>
      <c r="BR86" s="10" t="e">
        <f t="shared" si="122"/>
        <v>#VALUE!</v>
      </c>
      <c r="BS86" s="10" t="e">
        <f t="shared" si="123"/>
        <v>#VALUE!</v>
      </c>
      <c r="BT86" s="10" t="e">
        <f t="shared" si="124"/>
        <v>#VALUE!</v>
      </c>
      <c r="BU86" s="10" t="e">
        <f t="shared" si="125"/>
        <v>#VALUE!</v>
      </c>
      <c r="BW86" s="10" t="e">
        <f t="shared" si="126"/>
        <v>#VALUE!</v>
      </c>
      <c r="BX86" s="10" t="e">
        <f t="shared" si="127"/>
        <v>#VALUE!</v>
      </c>
      <c r="BY86" s="10" t="e">
        <f t="shared" si="128"/>
        <v>#VALUE!</v>
      </c>
      <c r="BZ86" s="10" t="e">
        <f t="shared" si="129"/>
        <v>#VALUE!</v>
      </c>
      <c r="CA86" s="10" t="e">
        <f t="shared" si="130"/>
        <v>#VALUE!</v>
      </c>
      <c r="CB86" s="10" t="e">
        <f t="shared" si="131"/>
        <v>#VALUE!</v>
      </c>
      <c r="CD86" s="10" t="e">
        <f>MATCH(INDEX($BP$12:$BU$12,1,MATCH(BP86,$BP$15:$BU$15,0)),结果汇总!$AI$10:$AI$13,0)</f>
        <v>#VALUE!</v>
      </c>
      <c r="CE86" s="10" t="e">
        <f>MATCH(INDEX($BP$12:$BU$12,1,MATCH(BQ86,$BP$15:$BU$15,0)),结果汇总!$AI$10:$AI$13,0)</f>
        <v>#VALUE!</v>
      </c>
      <c r="CF86" s="10" t="e">
        <f>MATCH(INDEX($BP$12:$BU$12,1,MATCH(BR86,$BP$15:$BU$15,0)),结果汇总!$AI$10:$AI$13,0)</f>
        <v>#VALUE!</v>
      </c>
      <c r="CG86" s="10" t="e">
        <f>MATCH(INDEX($BP$12:$BU$12,1,MATCH(BS86,$BP$15:$BU$15,0)),结果汇总!$AI$10:$AI$13,0)</f>
        <v>#VALUE!</v>
      </c>
      <c r="CH86" s="10" t="e">
        <f>MATCH(INDEX($BP$12:$BU$12,1,MATCH(BT86,$BP$15:$BU$15,0)),结果汇总!$AI$10:$AI$13,0)</f>
        <v>#VALUE!</v>
      </c>
      <c r="CI86" s="10" t="e">
        <f>MATCH(INDEX($BP$12:$BU$12,1,MATCH(BU86,$BP$15:$BU$15,0)),结果汇总!$AI$10:$AI$13,0)</f>
        <v>#VALUE!</v>
      </c>
      <c r="CK86" s="10">
        <f t="shared" si="132"/>
        <v>0</v>
      </c>
      <c r="CL86" s="10">
        <f t="shared" si="132"/>
        <v>0</v>
      </c>
      <c r="CM86" s="10">
        <f t="shared" si="132"/>
        <v>0</v>
      </c>
      <c r="CN86" s="10">
        <f t="shared" si="132"/>
        <v>0</v>
      </c>
      <c r="CO86" s="10">
        <f t="shared" si="133"/>
        <v>0</v>
      </c>
      <c r="CP86" s="10">
        <f t="shared" si="133"/>
        <v>0</v>
      </c>
      <c r="CQ86" s="10">
        <f t="shared" si="133"/>
        <v>0</v>
      </c>
      <c r="CR86" s="10">
        <f t="shared" si="133"/>
        <v>0</v>
      </c>
      <c r="CS86" s="10" t="e">
        <f t="shared" si="134"/>
        <v>#DIV/0!</v>
      </c>
      <c r="CT86" s="10" t="e">
        <f t="shared" si="134"/>
        <v>#DIV/0!</v>
      </c>
      <c r="CU86" s="10" t="e">
        <f t="shared" si="134"/>
        <v>#DIV/0!</v>
      </c>
      <c r="CV86" s="10" t="e">
        <f t="shared" si="134"/>
        <v>#DIV/0!</v>
      </c>
      <c r="CW86" s="10">
        <f t="shared" si="135"/>
        <v>0</v>
      </c>
      <c r="CX86" s="10">
        <f t="shared" si="135"/>
        <v>0</v>
      </c>
      <c r="CY86" s="10">
        <f t="shared" si="135"/>
        <v>0</v>
      </c>
      <c r="CZ86" s="10">
        <f t="shared" si="135"/>
        <v>0</v>
      </c>
    </row>
    <row r="87" spans="4:104" x14ac:dyDescent="0.15">
      <c r="D87" s="10">
        <v>72</v>
      </c>
      <c r="E87" s="10" t="e">
        <f t="shared" si="95"/>
        <v>#VALUE!</v>
      </c>
      <c r="F87" s="10" t="e">
        <f t="shared" si="79"/>
        <v>#VALUE!</v>
      </c>
      <c r="G87" s="10" t="e">
        <f t="shared" si="80"/>
        <v>#VALUE!</v>
      </c>
      <c r="H87" s="10" t="e">
        <f t="shared" si="96"/>
        <v>#VALUE!</v>
      </c>
      <c r="I87" s="10" t="e">
        <f t="shared" si="81"/>
        <v>#VALUE!</v>
      </c>
      <c r="J87" s="10" t="e">
        <f t="shared" si="97"/>
        <v>#VALUE!</v>
      </c>
      <c r="K87" s="10" t="e">
        <f t="shared" si="82"/>
        <v>#VALUE!</v>
      </c>
      <c r="L87" s="10" t="e">
        <f t="shared" si="83"/>
        <v>#VALUE!</v>
      </c>
      <c r="M87" s="10" t="e">
        <f t="shared" si="98"/>
        <v>#VALUE!</v>
      </c>
      <c r="O87" s="10" t="e">
        <f t="shared" si="99"/>
        <v>#VALUE!</v>
      </c>
      <c r="P87" s="10" t="e">
        <f t="shared" si="84"/>
        <v>#VALUE!</v>
      </c>
      <c r="Q87" s="10" t="e">
        <f t="shared" si="85"/>
        <v>#VALUE!</v>
      </c>
      <c r="R87" s="10" t="e">
        <f t="shared" si="100"/>
        <v>#VALUE!</v>
      </c>
      <c r="S87" s="10" t="e">
        <f t="shared" si="101"/>
        <v>#VALUE!</v>
      </c>
      <c r="T87" s="10" t="e">
        <f t="shared" si="136"/>
        <v>#VALUE!</v>
      </c>
      <c r="U87" s="10" t="e">
        <f t="shared" si="137"/>
        <v>#VALUE!</v>
      </c>
      <c r="V87" s="10" t="e">
        <f t="shared" si="86"/>
        <v>#VALUE!</v>
      </c>
      <c r="W87" s="10" t="e">
        <f t="shared" si="102"/>
        <v>#VALUE!</v>
      </c>
      <c r="Y87" s="10" t="e">
        <f t="shared" si="103"/>
        <v>#VALUE!</v>
      </c>
      <c r="Z87" s="11" t="e">
        <f t="shared" si="104"/>
        <v>#VALUE!</v>
      </c>
      <c r="AA87" s="10" t="e">
        <f t="shared" si="87"/>
        <v>#VALUE!</v>
      </c>
      <c r="AB87" s="10" t="e">
        <f t="shared" si="105"/>
        <v>#VALUE!</v>
      </c>
      <c r="AC87" s="10" t="e">
        <f t="shared" si="106"/>
        <v>#VALUE!</v>
      </c>
      <c r="AD87" s="10" t="e">
        <f t="shared" si="138"/>
        <v>#VALUE!</v>
      </c>
      <c r="AE87" s="10" t="e">
        <f t="shared" si="139"/>
        <v>#VALUE!</v>
      </c>
      <c r="AF87" s="10" t="e">
        <f t="shared" si="88"/>
        <v>#VALUE!</v>
      </c>
      <c r="AG87" s="10" t="e">
        <f t="shared" si="107"/>
        <v>#VALUE!</v>
      </c>
      <c r="AI87" s="13"/>
      <c r="AK87" s="10" t="e">
        <f t="shared" si="108"/>
        <v>#VALUE!</v>
      </c>
      <c r="AL87" s="10" t="e">
        <f t="shared" si="140"/>
        <v>#VALUE!</v>
      </c>
      <c r="AM87" s="10" t="e">
        <f t="shared" si="89"/>
        <v>#VALUE!</v>
      </c>
      <c r="AN87" s="10" t="e">
        <f t="shared" si="109"/>
        <v>#VALUE!</v>
      </c>
      <c r="AO87" s="10" t="e">
        <f t="shared" si="110"/>
        <v>#VALUE!</v>
      </c>
      <c r="AP87" s="10" t="e">
        <f t="shared" si="111"/>
        <v>#VALUE!</v>
      </c>
      <c r="AQ87" s="10" t="e">
        <f t="shared" si="141"/>
        <v>#VALUE!</v>
      </c>
      <c r="AR87" s="10" t="e">
        <f t="shared" si="90"/>
        <v>#VALUE!</v>
      </c>
      <c r="AS87" s="10" t="e">
        <f t="shared" si="142"/>
        <v>#VALUE!</v>
      </c>
      <c r="AU87" s="10" t="e">
        <f t="shared" si="112"/>
        <v>#VALUE!</v>
      </c>
      <c r="AV87" s="10" t="e">
        <f t="shared" si="143"/>
        <v>#VALUE!</v>
      </c>
      <c r="AW87" s="10" t="e">
        <f t="shared" si="91"/>
        <v>#VALUE!</v>
      </c>
      <c r="AX87" s="10" t="e">
        <f t="shared" si="113"/>
        <v>#VALUE!</v>
      </c>
      <c r="AY87" s="10" t="e">
        <f t="shared" si="114"/>
        <v>#VALUE!</v>
      </c>
      <c r="AZ87" s="10" t="e">
        <f t="shared" si="115"/>
        <v>#VALUE!</v>
      </c>
      <c r="BA87" s="10" t="e">
        <f t="shared" si="144"/>
        <v>#VALUE!</v>
      </c>
      <c r="BB87" s="10" t="e">
        <f t="shared" si="92"/>
        <v>#VALUE!</v>
      </c>
      <c r="BC87" s="10" t="e">
        <f t="shared" si="145"/>
        <v>#VALUE!</v>
      </c>
      <c r="BE87" s="10" t="e">
        <f t="shared" si="116"/>
        <v>#VALUE!</v>
      </c>
      <c r="BF87" s="10" t="e">
        <f t="shared" si="146"/>
        <v>#VALUE!</v>
      </c>
      <c r="BG87" s="10" t="e">
        <f t="shared" si="93"/>
        <v>#VALUE!</v>
      </c>
      <c r="BH87" s="10" t="e">
        <f t="shared" si="117"/>
        <v>#VALUE!</v>
      </c>
      <c r="BI87" s="10" t="e">
        <f t="shared" si="118"/>
        <v>#VALUE!</v>
      </c>
      <c r="BJ87" s="10" t="e">
        <f t="shared" si="119"/>
        <v>#VALUE!</v>
      </c>
      <c r="BK87" s="10" t="e">
        <f t="shared" si="147"/>
        <v>#VALUE!</v>
      </c>
      <c r="BL87" s="10" t="e">
        <f t="shared" si="94"/>
        <v>#VALUE!</v>
      </c>
      <c r="BM87" s="10" t="e">
        <f t="shared" si="148"/>
        <v>#VALUE!</v>
      </c>
      <c r="BP87" s="10" t="e">
        <f t="shared" si="120"/>
        <v>#VALUE!</v>
      </c>
      <c r="BQ87" s="10" t="e">
        <f t="shared" si="121"/>
        <v>#VALUE!</v>
      </c>
      <c r="BR87" s="10" t="e">
        <f t="shared" si="122"/>
        <v>#VALUE!</v>
      </c>
      <c r="BS87" s="10" t="e">
        <f t="shared" si="123"/>
        <v>#VALUE!</v>
      </c>
      <c r="BT87" s="10" t="e">
        <f t="shared" si="124"/>
        <v>#VALUE!</v>
      </c>
      <c r="BU87" s="10" t="e">
        <f t="shared" si="125"/>
        <v>#VALUE!</v>
      </c>
      <c r="BW87" s="10" t="e">
        <f t="shared" si="126"/>
        <v>#VALUE!</v>
      </c>
      <c r="BX87" s="10" t="e">
        <f t="shared" si="127"/>
        <v>#VALUE!</v>
      </c>
      <c r="BY87" s="10" t="e">
        <f t="shared" si="128"/>
        <v>#VALUE!</v>
      </c>
      <c r="BZ87" s="10" t="e">
        <f t="shared" si="129"/>
        <v>#VALUE!</v>
      </c>
      <c r="CA87" s="10" t="e">
        <f t="shared" si="130"/>
        <v>#VALUE!</v>
      </c>
      <c r="CB87" s="10" t="e">
        <f t="shared" si="131"/>
        <v>#VALUE!</v>
      </c>
      <c r="CD87" s="10" t="e">
        <f>MATCH(INDEX($BP$12:$BU$12,1,MATCH(BP87,$BP$15:$BU$15,0)),结果汇总!$AI$10:$AI$13,0)</f>
        <v>#VALUE!</v>
      </c>
      <c r="CE87" s="10" t="e">
        <f>MATCH(INDEX($BP$12:$BU$12,1,MATCH(BQ87,$BP$15:$BU$15,0)),结果汇总!$AI$10:$AI$13,0)</f>
        <v>#VALUE!</v>
      </c>
      <c r="CF87" s="10" t="e">
        <f>MATCH(INDEX($BP$12:$BU$12,1,MATCH(BR87,$BP$15:$BU$15,0)),结果汇总!$AI$10:$AI$13,0)</f>
        <v>#VALUE!</v>
      </c>
      <c r="CG87" s="10" t="e">
        <f>MATCH(INDEX($BP$12:$BU$12,1,MATCH(BS87,$BP$15:$BU$15,0)),结果汇总!$AI$10:$AI$13,0)</f>
        <v>#VALUE!</v>
      </c>
      <c r="CH87" s="10" t="e">
        <f>MATCH(INDEX($BP$12:$BU$12,1,MATCH(BT87,$BP$15:$BU$15,0)),结果汇总!$AI$10:$AI$13,0)</f>
        <v>#VALUE!</v>
      </c>
      <c r="CI87" s="10" t="e">
        <f>MATCH(INDEX($BP$12:$BU$12,1,MATCH(BU87,$BP$15:$BU$15,0)),结果汇总!$AI$10:$AI$13,0)</f>
        <v>#VALUE!</v>
      </c>
      <c r="CK87" s="10">
        <f t="shared" si="132"/>
        <v>0</v>
      </c>
      <c r="CL87" s="10">
        <f t="shared" si="132"/>
        <v>0</v>
      </c>
      <c r="CM87" s="10">
        <f t="shared" si="132"/>
        <v>0</v>
      </c>
      <c r="CN87" s="10">
        <f t="shared" si="132"/>
        <v>0</v>
      </c>
      <c r="CO87" s="10">
        <f t="shared" si="133"/>
        <v>0</v>
      </c>
      <c r="CP87" s="10">
        <f t="shared" si="133"/>
        <v>0</v>
      </c>
      <c r="CQ87" s="10">
        <f t="shared" si="133"/>
        <v>0</v>
      </c>
      <c r="CR87" s="10">
        <f t="shared" si="133"/>
        <v>0</v>
      </c>
      <c r="CS87" s="10" t="e">
        <f t="shared" si="134"/>
        <v>#DIV/0!</v>
      </c>
      <c r="CT87" s="10" t="e">
        <f t="shared" si="134"/>
        <v>#DIV/0!</v>
      </c>
      <c r="CU87" s="10" t="e">
        <f t="shared" si="134"/>
        <v>#DIV/0!</v>
      </c>
      <c r="CV87" s="10" t="e">
        <f t="shared" si="134"/>
        <v>#DIV/0!</v>
      </c>
      <c r="CW87" s="10">
        <f t="shared" si="135"/>
        <v>0</v>
      </c>
      <c r="CX87" s="10">
        <f t="shared" si="135"/>
        <v>0</v>
      </c>
      <c r="CY87" s="10">
        <f t="shared" si="135"/>
        <v>0</v>
      </c>
      <c r="CZ87" s="10">
        <f t="shared" si="135"/>
        <v>0</v>
      </c>
    </row>
    <row r="88" spans="4:104" x14ac:dyDescent="0.15">
      <c r="D88" s="10">
        <v>73</v>
      </c>
      <c r="E88" s="10" t="e">
        <f t="shared" si="95"/>
        <v>#VALUE!</v>
      </c>
      <c r="F88" s="10" t="e">
        <f t="shared" si="79"/>
        <v>#VALUE!</v>
      </c>
      <c r="G88" s="10" t="e">
        <f t="shared" si="80"/>
        <v>#VALUE!</v>
      </c>
      <c r="H88" s="10" t="e">
        <f t="shared" si="96"/>
        <v>#VALUE!</v>
      </c>
      <c r="I88" s="10" t="e">
        <f t="shared" si="81"/>
        <v>#VALUE!</v>
      </c>
      <c r="J88" s="10" t="e">
        <f t="shared" si="97"/>
        <v>#VALUE!</v>
      </c>
      <c r="K88" s="10" t="e">
        <f t="shared" si="82"/>
        <v>#VALUE!</v>
      </c>
      <c r="L88" s="10" t="e">
        <f t="shared" si="83"/>
        <v>#VALUE!</v>
      </c>
      <c r="M88" s="10" t="e">
        <f t="shared" si="98"/>
        <v>#VALUE!</v>
      </c>
      <c r="O88" s="10" t="e">
        <f t="shared" si="99"/>
        <v>#VALUE!</v>
      </c>
      <c r="P88" s="10" t="e">
        <f t="shared" si="84"/>
        <v>#VALUE!</v>
      </c>
      <c r="Q88" s="10" t="e">
        <f t="shared" si="85"/>
        <v>#VALUE!</v>
      </c>
      <c r="R88" s="10" t="e">
        <f t="shared" si="100"/>
        <v>#VALUE!</v>
      </c>
      <c r="S88" s="10" t="e">
        <f t="shared" si="101"/>
        <v>#VALUE!</v>
      </c>
      <c r="T88" s="10" t="e">
        <f t="shared" si="136"/>
        <v>#VALUE!</v>
      </c>
      <c r="U88" s="10" t="e">
        <f t="shared" si="137"/>
        <v>#VALUE!</v>
      </c>
      <c r="V88" s="10" t="e">
        <f t="shared" si="86"/>
        <v>#VALUE!</v>
      </c>
      <c r="W88" s="10" t="e">
        <f t="shared" si="102"/>
        <v>#VALUE!</v>
      </c>
      <c r="Y88" s="10" t="e">
        <f t="shared" si="103"/>
        <v>#VALUE!</v>
      </c>
      <c r="Z88" s="11" t="e">
        <f t="shared" si="104"/>
        <v>#VALUE!</v>
      </c>
      <c r="AA88" s="10" t="e">
        <f t="shared" si="87"/>
        <v>#VALUE!</v>
      </c>
      <c r="AB88" s="10" t="e">
        <f t="shared" si="105"/>
        <v>#VALUE!</v>
      </c>
      <c r="AC88" s="10" t="e">
        <f t="shared" si="106"/>
        <v>#VALUE!</v>
      </c>
      <c r="AD88" s="10" t="e">
        <f t="shared" si="138"/>
        <v>#VALUE!</v>
      </c>
      <c r="AE88" s="10" t="e">
        <f t="shared" si="139"/>
        <v>#VALUE!</v>
      </c>
      <c r="AF88" s="10" t="e">
        <f t="shared" si="88"/>
        <v>#VALUE!</v>
      </c>
      <c r="AG88" s="10" t="e">
        <f t="shared" si="107"/>
        <v>#VALUE!</v>
      </c>
      <c r="AI88" s="13"/>
      <c r="AK88" s="10" t="e">
        <f t="shared" si="108"/>
        <v>#VALUE!</v>
      </c>
      <c r="AL88" s="10" t="e">
        <f t="shared" si="140"/>
        <v>#VALUE!</v>
      </c>
      <c r="AM88" s="10" t="e">
        <f t="shared" si="89"/>
        <v>#VALUE!</v>
      </c>
      <c r="AN88" s="10" t="e">
        <f t="shared" si="109"/>
        <v>#VALUE!</v>
      </c>
      <c r="AO88" s="10" t="e">
        <f t="shared" si="110"/>
        <v>#VALUE!</v>
      </c>
      <c r="AP88" s="10" t="e">
        <f t="shared" si="111"/>
        <v>#VALUE!</v>
      </c>
      <c r="AQ88" s="10" t="e">
        <f t="shared" si="141"/>
        <v>#VALUE!</v>
      </c>
      <c r="AR88" s="10" t="e">
        <f t="shared" si="90"/>
        <v>#VALUE!</v>
      </c>
      <c r="AS88" s="10" t="e">
        <f t="shared" si="142"/>
        <v>#VALUE!</v>
      </c>
      <c r="AU88" s="10" t="e">
        <f t="shared" si="112"/>
        <v>#VALUE!</v>
      </c>
      <c r="AV88" s="10" t="e">
        <f t="shared" si="143"/>
        <v>#VALUE!</v>
      </c>
      <c r="AW88" s="10" t="e">
        <f t="shared" si="91"/>
        <v>#VALUE!</v>
      </c>
      <c r="AX88" s="10" t="e">
        <f t="shared" si="113"/>
        <v>#VALUE!</v>
      </c>
      <c r="AY88" s="10" t="e">
        <f t="shared" si="114"/>
        <v>#VALUE!</v>
      </c>
      <c r="AZ88" s="10" t="e">
        <f t="shared" si="115"/>
        <v>#VALUE!</v>
      </c>
      <c r="BA88" s="10" t="e">
        <f t="shared" si="144"/>
        <v>#VALUE!</v>
      </c>
      <c r="BB88" s="10" t="e">
        <f t="shared" si="92"/>
        <v>#VALUE!</v>
      </c>
      <c r="BC88" s="10" t="e">
        <f t="shared" si="145"/>
        <v>#VALUE!</v>
      </c>
      <c r="BE88" s="10" t="e">
        <f t="shared" si="116"/>
        <v>#VALUE!</v>
      </c>
      <c r="BF88" s="10" t="e">
        <f t="shared" si="146"/>
        <v>#VALUE!</v>
      </c>
      <c r="BG88" s="10" t="e">
        <f t="shared" si="93"/>
        <v>#VALUE!</v>
      </c>
      <c r="BH88" s="10" t="e">
        <f t="shared" si="117"/>
        <v>#VALUE!</v>
      </c>
      <c r="BI88" s="10" t="e">
        <f t="shared" si="118"/>
        <v>#VALUE!</v>
      </c>
      <c r="BJ88" s="10" t="e">
        <f t="shared" si="119"/>
        <v>#VALUE!</v>
      </c>
      <c r="BK88" s="10" t="e">
        <f t="shared" si="147"/>
        <v>#VALUE!</v>
      </c>
      <c r="BL88" s="10" t="e">
        <f t="shared" si="94"/>
        <v>#VALUE!</v>
      </c>
      <c r="BM88" s="10" t="e">
        <f t="shared" si="148"/>
        <v>#VALUE!</v>
      </c>
      <c r="BP88" s="10" t="e">
        <f t="shared" si="120"/>
        <v>#VALUE!</v>
      </c>
      <c r="BQ88" s="10" t="e">
        <f t="shared" si="121"/>
        <v>#VALUE!</v>
      </c>
      <c r="BR88" s="10" t="e">
        <f t="shared" si="122"/>
        <v>#VALUE!</v>
      </c>
      <c r="BS88" s="10" t="e">
        <f t="shared" si="123"/>
        <v>#VALUE!</v>
      </c>
      <c r="BT88" s="10" t="e">
        <f t="shared" si="124"/>
        <v>#VALUE!</v>
      </c>
      <c r="BU88" s="10" t="e">
        <f t="shared" si="125"/>
        <v>#VALUE!</v>
      </c>
      <c r="BW88" s="10" t="e">
        <f t="shared" si="126"/>
        <v>#VALUE!</v>
      </c>
      <c r="BX88" s="10" t="e">
        <f t="shared" si="127"/>
        <v>#VALUE!</v>
      </c>
      <c r="BY88" s="10" t="e">
        <f t="shared" si="128"/>
        <v>#VALUE!</v>
      </c>
      <c r="BZ88" s="10" t="e">
        <f t="shared" si="129"/>
        <v>#VALUE!</v>
      </c>
      <c r="CA88" s="10" t="e">
        <f t="shared" si="130"/>
        <v>#VALUE!</v>
      </c>
      <c r="CB88" s="10" t="e">
        <f t="shared" si="131"/>
        <v>#VALUE!</v>
      </c>
      <c r="CD88" s="10" t="e">
        <f>MATCH(INDEX($BP$12:$BU$12,1,MATCH(BP88,$BP$15:$BU$15,0)),结果汇总!$AI$10:$AI$13,0)</f>
        <v>#VALUE!</v>
      </c>
      <c r="CE88" s="10" t="e">
        <f>MATCH(INDEX($BP$12:$BU$12,1,MATCH(BQ88,$BP$15:$BU$15,0)),结果汇总!$AI$10:$AI$13,0)</f>
        <v>#VALUE!</v>
      </c>
      <c r="CF88" s="10" t="e">
        <f>MATCH(INDEX($BP$12:$BU$12,1,MATCH(BR88,$BP$15:$BU$15,0)),结果汇总!$AI$10:$AI$13,0)</f>
        <v>#VALUE!</v>
      </c>
      <c r="CG88" s="10" t="e">
        <f>MATCH(INDEX($BP$12:$BU$12,1,MATCH(BS88,$BP$15:$BU$15,0)),结果汇总!$AI$10:$AI$13,0)</f>
        <v>#VALUE!</v>
      </c>
      <c r="CH88" s="10" t="e">
        <f>MATCH(INDEX($BP$12:$BU$12,1,MATCH(BT88,$BP$15:$BU$15,0)),结果汇总!$AI$10:$AI$13,0)</f>
        <v>#VALUE!</v>
      </c>
      <c r="CI88" s="10" t="e">
        <f>MATCH(INDEX($BP$12:$BU$12,1,MATCH(BU88,$BP$15:$BU$15,0)),结果汇总!$AI$10:$AI$13,0)</f>
        <v>#VALUE!</v>
      </c>
      <c r="CK88" s="10">
        <f t="shared" si="132"/>
        <v>0</v>
      </c>
      <c r="CL88" s="10">
        <f t="shared" si="132"/>
        <v>0</v>
      </c>
      <c r="CM88" s="10">
        <f t="shared" si="132"/>
        <v>0</v>
      </c>
      <c r="CN88" s="10">
        <f t="shared" si="132"/>
        <v>0</v>
      </c>
      <c r="CO88" s="10">
        <f t="shared" si="133"/>
        <v>0</v>
      </c>
      <c r="CP88" s="10">
        <f t="shared" si="133"/>
        <v>0</v>
      </c>
      <c r="CQ88" s="10">
        <f t="shared" si="133"/>
        <v>0</v>
      </c>
      <c r="CR88" s="10">
        <f t="shared" si="133"/>
        <v>0</v>
      </c>
      <c r="CS88" s="10" t="e">
        <f t="shared" si="134"/>
        <v>#DIV/0!</v>
      </c>
      <c r="CT88" s="10" t="e">
        <f t="shared" si="134"/>
        <v>#DIV/0!</v>
      </c>
      <c r="CU88" s="10" t="e">
        <f t="shared" si="134"/>
        <v>#DIV/0!</v>
      </c>
      <c r="CV88" s="10" t="e">
        <f t="shared" si="134"/>
        <v>#DIV/0!</v>
      </c>
      <c r="CW88" s="10">
        <f t="shared" si="135"/>
        <v>0</v>
      </c>
      <c r="CX88" s="10">
        <f t="shared" si="135"/>
        <v>0</v>
      </c>
      <c r="CY88" s="10">
        <f t="shared" si="135"/>
        <v>0</v>
      </c>
      <c r="CZ88" s="10">
        <f t="shared" si="135"/>
        <v>0</v>
      </c>
    </row>
    <row r="89" spans="4:104" x14ac:dyDescent="0.15">
      <c r="D89" s="10">
        <v>74</v>
      </c>
      <c r="E89" s="10" t="e">
        <f t="shared" si="95"/>
        <v>#VALUE!</v>
      </c>
      <c r="F89" s="10" t="e">
        <f t="shared" si="79"/>
        <v>#VALUE!</v>
      </c>
      <c r="G89" s="10" t="e">
        <f t="shared" si="80"/>
        <v>#VALUE!</v>
      </c>
      <c r="H89" s="10" t="e">
        <f t="shared" si="96"/>
        <v>#VALUE!</v>
      </c>
      <c r="I89" s="10" t="e">
        <f t="shared" si="81"/>
        <v>#VALUE!</v>
      </c>
      <c r="J89" s="10" t="e">
        <f t="shared" si="97"/>
        <v>#VALUE!</v>
      </c>
      <c r="K89" s="10" t="e">
        <f t="shared" si="82"/>
        <v>#VALUE!</v>
      </c>
      <c r="L89" s="10" t="e">
        <f t="shared" si="83"/>
        <v>#VALUE!</v>
      </c>
      <c r="M89" s="10" t="e">
        <f t="shared" si="98"/>
        <v>#VALUE!</v>
      </c>
      <c r="O89" s="10" t="e">
        <f t="shared" si="99"/>
        <v>#VALUE!</v>
      </c>
      <c r="P89" s="10" t="e">
        <f t="shared" si="84"/>
        <v>#VALUE!</v>
      </c>
      <c r="Q89" s="10" t="e">
        <f t="shared" si="85"/>
        <v>#VALUE!</v>
      </c>
      <c r="R89" s="10" t="e">
        <f t="shared" si="100"/>
        <v>#VALUE!</v>
      </c>
      <c r="S89" s="10" t="e">
        <f t="shared" si="101"/>
        <v>#VALUE!</v>
      </c>
      <c r="T89" s="10" t="e">
        <f t="shared" si="136"/>
        <v>#VALUE!</v>
      </c>
      <c r="U89" s="10" t="e">
        <f t="shared" si="137"/>
        <v>#VALUE!</v>
      </c>
      <c r="V89" s="10" t="e">
        <f t="shared" si="86"/>
        <v>#VALUE!</v>
      </c>
      <c r="W89" s="10" t="e">
        <f t="shared" si="102"/>
        <v>#VALUE!</v>
      </c>
      <c r="Y89" s="10" t="e">
        <f t="shared" si="103"/>
        <v>#VALUE!</v>
      </c>
      <c r="Z89" s="11" t="e">
        <f t="shared" si="104"/>
        <v>#VALUE!</v>
      </c>
      <c r="AA89" s="10" t="e">
        <f t="shared" si="87"/>
        <v>#VALUE!</v>
      </c>
      <c r="AB89" s="10" t="e">
        <f t="shared" si="105"/>
        <v>#VALUE!</v>
      </c>
      <c r="AC89" s="10" t="e">
        <f t="shared" si="106"/>
        <v>#VALUE!</v>
      </c>
      <c r="AD89" s="10" t="e">
        <f t="shared" si="138"/>
        <v>#VALUE!</v>
      </c>
      <c r="AE89" s="10" t="e">
        <f t="shared" si="139"/>
        <v>#VALUE!</v>
      </c>
      <c r="AF89" s="10" t="e">
        <f t="shared" si="88"/>
        <v>#VALUE!</v>
      </c>
      <c r="AG89" s="10" t="e">
        <f t="shared" si="107"/>
        <v>#VALUE!</v>
      </c>
      <c r="AI89" s="13"/>
      <c r="AK89" s="10" t="e">
        <f t="shared" si="108"/>
        <v>#VALUE!</v>
      </c>
      <c r="AL89" s="10" t="e">
        <f t="shared" si="140"/>
        <v>#VALUE!</v>
      </c>
      <c r="AM89" s="10" t="e">
        <f t="shared" si="89"/>
        <v>#VALUE!</v>
      </c>
      <c r="AN89" s="10" t="e">
        <f t="shared" si="109"/>
        <v>#VALUE!</v>
      </c>
      <c r="AO89" s="10" t="e">
        <f t="shared" si="110"/>
        <v>#VALUE!</v>
      </c>
      <c r="AP89" s="10" t="e">
        <f t="shared" si="111"/>
        <v>#VALUE!</v>
      </c>
      <c r="AQ89" s="10" t="e">
        <f t="shared" si="141"/>
        <v>#VALUE!</v>
      </c>
      <c r="AR89" s="10" t="e">
        <f t="shared" si="90"/>
        <v>#VALUE!</v>
      </c>
      <c r="AS89" s="10" t="e">
        <f t="shared" si="142"/>
        <v>#VALUE!</v>
      </c>
      <c r="AU89" s="10" t="e">
        <f t="shared" si="112"/>
        <v>#VALUE!</v>
      </c>
      <c r="AV89" s="10" t="e">
        <f t="shared" si="143"/>
        <v>#VALUE!</v>
      </c>
      <c r="AW89" s="10" t="e">
        <f t="shared" si="91"/>
        <v>#VALUE!</v>
      </c>
      <c r="AX89" s="10" t="e">
        <f t="shared" si="113"/>
        <v>#VALUE!</v>
      </c>
      <c r="AY89" s="10" t="e">
        <f t="shared" si="114"/>
        <v>#VALUE!</v>
      </c>
      <c r="AZ89" s="10" t="e">
        <f t="shared" si="115"/>
        <v>#VALUE!</v>
      </c>
      <c r="BA89" s="10" t="e">
        <f t="shared" si="144"/>
        <v>#VALUE!</v>
      </c>
      <c r="BB89" s="10" t="e">
        <f t="shared" si="92"/>
        <v>#VALUE!</v>
      </c>
      <c r="BC89" s="10" t="e">
        <f t="shared" si="145"/>
        <v>#VALUE!</v>
      </c>
      <c r="BE89" s="10" t="e">
        <f t="shared" si="116"/>
        <v>#VALUE!</v>
      </c>
      <c r="BF89" s="10" t="e">
        <f t="shared" si="146"/>
        <v>#VALUE!</v>
      </c>
      <c r="BG89" s="10" t="e">
        <f t="shared" si="93"/>
        <v>#VALUE!</v>
      </c>
      <c r="BH89" s="10" t="e">
        <f t="shared" si="117"/>
        <v>#VALUE!</v>
      </c>
      <c r="BI89" s="10" t="e">
        <f t="shared" si="118"/>
        <v>#VALUE!</v>
      </c>
      <c r="BJ89" s="10" t="e">
        <f t="shared" si="119"/>
        <v>#VALUE!</v>
      </c>
      <c r="BK89" s="10" t="e">
        <f t="shared" si="147"/>
        <v>#VALUE!</v>
      </c>
      <c r="BL89" s="10" t="e">
        <f t="shared" si="94"/>
        <v>#VALUE!</v>
      </c>
      <c r="BM89" s="10" t="e">
        <f t="shared" si="148"/>
        <v>#VALUE!</v>
      </c>
      <c r="BP89" s="10" t="e">
        <f t="shared" si="120"/>
        <v>#VALUE!</v>
      </c>
      <c r="BQ89" s="10" t="e">
        <f t="shared" si="121"/>
        <v>#VALUE!</v>
      </c>
      <c r="BR89" s="10" t="e">
        <f t="shared" si="122"/>
        <v>#VALUE!</v>
      </c>
      <c r="BS89" s="10" t="e">
        <f t="shared" si="123"/>
        <v>#VALUE!</v>
      </c>
      <c r="BT89" s="10" t="e">
        <f t="shared" si="124"/>
        <v>#VALUE!</v>
      </c>
      <c r="BU89" s="10" t="e">
        <f t="shared" si="125"/>
        <v>#VALUE!</v>
      </c>
      <c r="BW89" s="10" t="e">
        <f t="shared" si="126"/>
        <v>#VALUE!</v>
      </c>
      <c r="BX89" s="10" t="e">
        <f t="shared" si="127"/>
        <v>#VALUE!</v>
      </c>
      <c r="BY89" s="10" t="e">
        <f t="shared" si="128"/>
        <v>#VALUE!</v>
      </c>
      <c r="BZ89" s="10" t="e">
        <f t="shared" si="129"/>
        <v>#VALUE!</v>
      </c>
      <c r="CA89" s="10" t="e">
        <f t="shared" si="130"/>
        <v>#VALUE!</v>
      </c>
      <c r="CB89" s="10" t="e">
        <f t="shared" si="131"/>
        <v>#VALUE!</v>
      </c>
      <c r="CD89" s="10" t="e">
        <f>MATCH(INDEX($BP$12:$BU$12,1,MATCH(BP89,$BP$15:$BU$15,0)),结果汇总!$AI$10:$AI$13,0)</f>
        <v>#VALUE!</v>
      </c>
      <c r="CE89" s="10" t="e">
        <f>MATCH(INDEX($BP$12:$BU$12,1,MATCH(BQ89,$BP$15:$BU$15,0)),结果汇总!$AI$10:$AI$13,0)</f>
        <v>#VALUE!</v>
      </c>
      <c r="CF89" s="10" t="e">
        <f>MATCH(INDEX($BP$12:$BU$12,1,MATCH(BR89,$BP$15:$BU$15,0)),结果汇总!$AI$10:$AI$13,0)</f>
        <v>#VALUE!</v>
      </c>
      <c r="CG89" s="10" t="e">
        <f>MATCH(INDEX($BP$12:$BU$12,1,MATCH(BS89,$BP$15:$BU$15,0)),结果汇总!$AI$10:$AI$13,0)</f>
        <v>#VALUE!</v>
      </c>
      <c r="CH89" s="10" t="e">
        <f>MATCH(INDEX($BP$12:$BU$12,1,MATCH(BT89,$BP$15:$BU$15,0)),结果汇总!$AI$10:$AI$13,0)</f>
        <v>#VALUE!</v>
      </c>
      <c r="CI89" s="10" t="e">
        <f>MATCH(INDEX($BP$12:$BU$12,1,MATCH(BU89,$BP$15:$BU$15,0)),结果汇总!$AI$10:$AI$13,0)</f>
        <v>#VALUE!</v>
      </c>
      <c r="CK89" s="10">
        <f t="shared" si="132"/>
        <v>0</v>
      </c>
      <c r="CL89" s="10">
        <f t="shared" si="132"/>
        <v>0</v>
      </c>
      <c r="CM89" s="10">
        <f t="shared" si="132"/>
        <v>0</v>
      </c>
      <c r="CN89" s="10">
        <f t="shared" si="132"/>
        <v>0</v>
      </c>
      <c r="CO89" s="10">
        <f t="shared" si="133"/>
        <v>0</v>
      </c>
      <c r="CP89" s="10">
        <f t="shared" si="133"/>
        <v>0</v>
      </c>
      <c r="CQ89" s="10">
        <f t="shared" si="133"/>
        <v>0</v>
      </c>
      <c r="CR89" s="10">
        <f t="shared" si="133"/>
        <v>0</v>
      </c>
      <c r="CS89" s="10" t="e">
        <f t="shared" si="134"/>
        <v>#DIV/0!</v>
      </c>
      <c r="CT89" s="10" t="e">
        <f t="shared" si="134"/>
        <v>#DIV/0!</v>
      </c>
      <c r="CU89" s="10" t="e">
        <f t="shared" si="134"/>
        <v>#DIV/0!</v>
      </c>
      <c r="CV89" s="10" t="e">
        <f t="shared" si="134"/>
        <v>#DIV/0!</v>
      </c>
      <c r="CW89" s="10">
        <f t="shared" si="135"/>
        <v>0</v>
      </c>
      <c r="CX89" s="10">
        <f t="shared" si="135"/>
        <v>0</v>
      </c>
      <c r="CY89" s="10">
        <f t="shared" si="135"/>
        <v>0</v>
      </c>
      <c r="CZ89" s="10">
        <f t="shared" si="135"/>
        <v>0</v>
      </c>
    </row>
    <row r="90" spans="4:104" x14ac:dyDescent="0.15">
      <c r="D90" s="10">
        <v>75</v>
      </c>
      <c r="E90" s="10" t="e">
        <f t="shared" si="95"/>
        <v>#VALUE!</v>
      </c>
      <c r="F90" s="10" t="e">
        <f t="shared" si="79"/>
        <v>#VALUE!</v>
      </c>
      <c r="G90" s="10" t="e">
        <f t="shared" si="80"/>
        <v>#VALUE!</v>
      </c>
      <c r="H90" s="10" t="e">
        <f t="shared" si="96"/>
        <v>#VALUE!</v>
      </c>
      <c r="I90" s="10" t="e">
        <f t="shared" si="81"/>
        <v>#VALUE!</v>
      </c>
      <c r="J90" s="10" t="e">
        <f t="shared" si="97"/>
        <v>#VALUE!</v>
      </c>
      <c r="K90" s="10" t="e">
        <f t="shared" si="82"/>
        <v>#VALUE!</v>
      </c>
      <c r="L90" s="10" t="e">
        <f t="shared" si="83"/>
        <v>#VALUE!</v>
      </c>
      <c r="M90" s="10" t="e">
        <f t="shared" si="98"/>
        <v>#VALUE!</v>
      </c>
      <c r="O90" s="10" t="e">
        <f t="shared" si="99"/>
        <v>#VALUE!</v>
      </c>
      <c r="P90" s="10" t="e">
        <f t="shared" si="84"/>
        <v>#VALUE!</v>
      </c>
      <c r="Q90" s="10" t="e">
        <f t="shared" si="85"/>
        <v>#VALUE!</v>
      </c>
      <c r="R90" s="10" t="e">
        <f t="shared" si="100"/>
        <v>#VALUE!</v>
      </c>
      <c r="S90" s="10" t="e">
        <f t="shared" si="101"/>
        <v>#VALUE!</v>
      </c>
      <c r="T90" s="10" t="e">
        <f t="shared" si="136"/>
        <v>#VALUE!</v>
      </c>
      <c r="U90" s="10" t="e">
        <f t="shared" si="137"/>
        <v>#VALUE!</v>
      </c>
      <c r="V90" s="10" t="e">
        <f t="shared" si="86"/>
        <v>#VALUE!</v>
      </c>
      <c r="W90" s="10" t="e">
        <f t="shared" si="102"/>
        <v>#VALUE!</v>
      </c>
      <c r="Y90" s="10" t="e">
        <f t="shared" si="103"/>
        <v>#VALUE!</v>
      </c>
      <c r="Z90" s="11" t="e">
        <f t="shared" si="104"/>
        <v>#VALUE!</v>
      </c>
      <c r="AA90" s="10" t="e">
        <f t="shared" si="87"/>
        <v>#VALUE!</v>
      </c>
      <c r="AB90" s="10" t="e">
        <f t="shared" si="105"/>
        <v>#VALUE!</v>
      </c>
      <c r="AC90" s="10" t="e">
        <f t="shared" si="106"/>
        <v>#VALUE!</v>
      </c>
      <c r="AD90" s="10" t="e">
        <f t="shared" si="138"/>
        <v>#VALUE!</v>
      </c>
      <c r="AE90" s="10" t="e">
        <f t="shared" si="139"/>
        <v>#VALUE!</v>
      </c>
      <c r="AF90" s="10" t="e">
        <f t="shared" si="88"/>
        <v>#VALUE!</v>
      </c>
      <c r="AG90" s="10" t="e">
        <f t="shared" si="107"/>
        <v>#VALUE!</v>
      </c>
      <c r="AI90" s="13"/>
      <c r="AK90" s="10" t="e">
        <f t="shared" si="108"/>
        <v>#VALUE!</v>
      </c>
      <c r="AL90" s="10" t="e">
        <f t="shared" si="140"/>
        <v>#VALUE!</v>
      </c>
      <c r="AM90" s="10" t="e">
        <f t="shared" si="89"/>
        <v>#VALUE!</v>
      </c>
      <c r="AN90" s="10" t="e">
        <f t="shared" si="109"/>
        <v>#VALUE!</v>
      </c>
      <c r="AO90" s="10" t="e">
        <f t="shared" si="110"/>
        <v>#VALUE!</v>
      </c>
      <c r="AP90" s="10" t="e">
        <f t="shared" si="111"/>
        <v>#VALUE!</v>
      </c>
      <c r="AQ90" s="10" t="e">
        <f t="shared" si="141"/>
        <v>#VALUE!</v>
      </c>
      <c r="AR90" s="10" t="e">
        <f t="shared" si="90"/>
        <v>#VALUE!</v>
      </c>
      <c r="AS90" s="10" t="e">
        <f t="shared" si="142"/>
        <v>#VALUE!</v>
      </c>
      <c r="AU90" s="10" t="e">
        <f t="shared" si="112"/>
        <v>#VALUE!</v>
      </c>
      <c r="AV90" s="10" t="e">
        <f t="shared" si="143"/>
        <v>#VALUE!</v>
      </c>
      <c r="AW90" s="10" t="e">
        <f t="shared" si="91"/>
        <v>#VALUE!</v>
      </c>
      <c r="AX90" s="10" t="e">
        <f t="shared" si="113"/>
        <v>#VALUE!</v>
      </c>
      <c r="AY90" s="10" t="e">
        <f t="shared" si="114"/>
        <v>#VALUE!</v>
      </c>
      <c r="AZ90" s="10" t="e">
        <f t="shared" si="115"/>
        <v>#VALUE!</v>
      </c>
      <c r="BA90" s="10" t="e">
        <f t="shared" si="144"/>
        <v>#VALUE!</v>
      </c>
      <c r="BB90" s="10" t="e">
        <f t="shared" si="92"/>
        <v>#VALUE!</v>
      </c>
      <c r="BC90" s="10" t="e">
        <f t="shared" si="145"/>
        <v>#VALUE!</v>
      </c>
      <c r="BE90" s="10" t="e">
        <f t="shared" si="116"/>
        <v>#VALUE!</v>
      </c>
      <c r="BF90" s="10" t="e">
        <f t="shared" si="146"/>
        <v>#VALUE!</v>
      </c>
      <c r="BG90" s="10" t="e">
        <f t="shared" si="93"/>
        <v>#VALUE!</v>
      </c>
      <c r="BH90" s="10" t="e">
        <f t="shared" si="117"/>
        <v>#VALUE!</v>
      </c>
      <c r="BI90" s="10" t="e">
        <f t="shared" si="118"/>
        <v>#VALUE!</v>
      </c>
      <c r="BJ90" s="10" t="e">
        <f t="shared" si="119"/>
        <v>#VALUE!</v>
      </c>
      <c r="BK90" s="10" t="e">
        <f t="shared" si="147"/>
        <v>#VALUE!</v>
      </c>
      <c r="BL90" s="10" t="e">
        <f t="shared" si="94"/>
        <v>#VALUE!</v>
      </c>
      <c r="BM90" s="10" t="e">
        <f t="shared" si="148"/>
        <v>#VALUE!</v>
      </c>
      <c r="BP90" s="10" t="e">
        <f t="shared" si="120"/>
        <v>#VALUE!</v>
      </c>
      <c r="BQ90" s="10" t="e">
        <f t="shared" si="121"/>
        <v>#VALUE!</v>
      </c>
      <c r="BR90" s="10" t="e">
        <f t="shared" si="122"/>
        <v>#VALUE!</v>
      </c>
      <c r="BS90" s="10" t="e">
        <f t="shared" si="123"/>
        <v>#VALUE!</v>
      </c>
      <c r="BT90" s="10" t="e">
        <f t="shared" si="124"/>
        <v>#VALUE!</v>
      </c>
      <c r="BU90" s="10" t="e">
        <f t="shared" si="125"/>
        <v>#VALUE!</v>
      </c>
      <c r="BW90" s="10" t="e">
        <f t="shared" si="126"/>
        <v>#VALUE!</v>
      </c>
      <c r="BX90" s="10" t="e">
        <f t="shared" si="127"/>
        <v>#VALUE!</v>
      </c>
      <c r="BY90" s="10" t="e">
        <f t="shared" si="128"/>
        <v>#VALUE!</v>
      </c>
      <c r="BZ90" s="10" t="e">
        <f t="shared" si="129"/>
        <v>#VALUE!</v>
      </c>
      <c r="CA90" s="10" t="e">
        <f t="shared" si="130"/>
        <v>#VALUE!</v>
      </c>
      <c r="CB90" s="10" t="e">
        <f t="shared" si="131"/>
        <v>#VALUE!</v>
      </c>
      <c r="CD90" s="10" t="e">
        <f>MATCH(INDEX($BP$12:$BU$12,1,MATCH(BP90,$BP$15:$BU$15,0)),结果汇总!$AI$10:$AI$13,0)</f>
        <v>#VALUE!</v>
      </c>
      <c r="CE90" s="10" t="e">
        <f>MATCH(INDEX($BP$12:$BU$12,1,MATCH(BQ90,$BP$15:$BU$15,0)),结果汇总!$AI$10:$AI$13,0)</f>
        <v>#VALUE!</v>
      </c>
      <c r="CF90" s="10" t="e">
        <f>MATCH(INDEX($BP$12:$BU$12,1,MATCH(BR90,$BP$15:$BU$15,0)),结果汇总!$AI$10:$AI$13,0)</f>
        <v>#VALUE!</v>
      </c>
      <c r="CG90" s="10" t="e">
        <f>MATCH(INDEX($BP$12:$BU$12,1,MATCH(BS90,$BP$15:$BU$15,0)),结果汇总!$AI$10:$AI$13,0)</f>
        <v>#VALUE!</v>
      </c>
      <c r="CH90" s="10" t="e">
        <f>MATCH(INDEX($BP$12:$BU$12,1,MATCH(BT90,$BP$15:$BU$15,0)),结果汇总!$AI$10:$AI$13,0)</f>
        <v>#VALUE!</v>
      </c>
      <c r="CI90" s="10" t="e">
        <f>MATCH(INDEX($BP$12:$BU$12,1,MATCH(BU90,$BP$15:$BU$15,0)),结果汇总!$AI$10:$AI$13,0)</f>
        <v>#VALUE!</v>
      </c>
      <c r="CK90" s="10">
        <f t="shared" si="132"/>
        <v>0</v>
      </c>
      <c r="CL90" s="10">
        <f t="shared" si="132"/>
        <v>0</v>
      </c>
      <c r="CM90" s="10">
        <f t="shared" si="132"/>
        <v>0</v>
      </c>
      <c r="CN90" s="10">
        <f t="shared" si="132"/>
        <v>0</v>
      </c>
      <c r="CO90" s="10">
        <f t="shared" si="133"/>
        <v>0</v>
      </c>
      <c r="CP90" s="10">
        <f t="shared" si="133"/>
        <v>0</v>
      </c>
      <c r="CQ90" s="10">
        <f t="shared" si="133"/>
        <v>0</v>
      </c>
      <c r="CR90" s="10">
        <f t="shared" si="133"/>
        <v>0</v>
      </c>
      <c r="CS90" s="10" t="e">
        <f t="shared" si="134"/>
        <v>#DIV/0!</v>
      </c>
      <c r="CT90" s="10" t="e">
        <f t="shared" si="134"/>
        <v>#DIV/0!</v>
      </c>
      <c r="CU90" s="10" t="e">
        <f t="shared" si="134"/>
        <v>#DIV/0!</v>
      </c>
      <c r="CV90" s="10" t="e">
        <f t="shared" si="134"/>
        <v>#DIV/0!</v>
      </c>
      <c r="CW90" s="10">
        <f t="shared" si="135"/>
        <v>0</v>
      </c>
      <c r="CX90" s="10">
        <f t="shared" si="135"/>
        <v>0</v>
      </c>
      <c r="CY90" s="10">
        <f t="shared" si="135"/>
        <v>0</v>
      </c>
      <c r="CZ90" s="10">
        <f t="shared" si="135"/>
        <v>0</v>
      </c>
    </row>
    <row r="91" spans="4:104" x14ac:dyDescent="0.15">
      <c r="D91" s="10">
        <v>76</v>
      </c>
      <c r="E91" s="10" t="e">
        <f t="shared" si="95"/>
        <v>#VALUE!</v>
      </c>
      <c r="F91" s="10" t="e">
        <f t="shared" si="79"/>
        <v>#VALUE!</v>
      </c>
      <c r="G91" s="10" t="e">
        <f t="shared" si="80"/>
        <v>#VALUE!</v>
      </c>
      <c r="H91" s="10" t="e">
        <f t="shared" si="96"/>
        <v>#VALUE!</v>
      </c>
      <c r="I91" s="10" t="e">
        <f t="shared" si="81"/>
        <v>#VALUE!</v>
      </c>
      <c r="J91" s="10" t="e">
        <f t="shared" si="97"/>
        <v>#VALUE!</v>
      </c>
      <c r="K91" s="10" t="e">
        <f t="shared" si="82"/>
        <v>#VALUE!</v>
      </c>
      <c r="L91" s="10" t="e">
        <f t="shared" si="83"/>
        <v>#VALUE!</v>
      </c>
      <c r="M91" s="10" t="e">
        <f t="shared" si="98"/>
        <v>#VALUE!</v>
      </c>
      <c r="O91" s="10" t="e">
        <f t="shared" si="99"/>
        <v>#VALUE!</v>
      </c>
      <c r="P91" s="10" t="e">
        <f t="shared" si="84"/>
        <v>#VALUE!</v>
      </c>
      <c r="Q91" s="10" t="e">
        <f t="shared" si="85"/>
        <v>#VALUE!</v>
      </c>
      <c r="R91" s="10" t="e">
        <f t="shared" si="100"/>
        <v>#VALUE!</v>
      </c>
      <c r="S91" s="10" t="e">
        <f t="shared" si="101"/>
        <v>#VALUE!</v>
      </c>
      <c r="T91" s="10" t="e">
        <f t="shared" si="136"/>
        <v>#VALUE!</v>
      </c>
      <c r="U91" s="10" t="e">
        <f t="shared" si="137"/>
        <v>#VALUE!</v>
      </c>
      <c r="V91" s="10" t="e">
        <f t="shared" si="86"/>
        <v>#VALUE!</v>
      </c>
      <c r="W91" s="10" t="e">
        <f t="shared" si="102"/>
        <v>#VALUE!</v>
      </c>
      <c r="Y91" s="10" t="e">
        <f t="shared" si="103"/>
        <v>#VALUE!</v>
      </c>
      <c r="Z91" s="11" t="e">
        <f t="shared" si="104"/>
        <v>#VALUE!</v>
      </c>
      <c r="AA91" s="10" t="e">
        <f t="shared" si="87"/>
        <v>#VALUE!</v>
      </c>
      <c r="AB91" s="10" t="e">
        <f t="shared" si="105"/>
        <v>#VALUE!</v>
      </c>
      <c r="AC91" s="10" t="e">
        <f t="shared" si="106"/>
        <v>#VALUE!</v>
      </c>
      <c r="AD91" s="10" t="e">
        <f t="shared" si="138"/>
        <v>#VALUE!</v>
      </c>
      <c r="AE91" s="10" t="e">
        <f t="shared" si="139"/>
        <v>#VALUE!</v>
      </c>
      <c r="AF91" s="10" t="e">
        <f t="shared" si="88"/>
        <v>#VALUE!</v>
      </c>
      <c r="AG91" s="10" t="e">
        <f t="shared" si="107"/>
        <v>#VALUE!</v>
      </c>
      <c r="AI91" s="13"/>
      <c r="AK91" s="10" t="e">
        <f t="shared" si="108"/>
        <v>#VALUE!</v>
      </c>
      <c r="AL91" s="10" t="e">
        <f t="shared" si="140"/>
        <v>#VALUE!</v>
      </c>
      <c r="AM91" s="10" t="e">
        <f t="shared" si="89"/>
        <v>#VALUE!</v>
      </c>
      <c r="AN91" s="10" t="e">
        <f t="shared" si="109"/>
        <v>#VALUE!</v>
      </c>
      <c r="AO91" s="10" t="e">
        <f t="shared" si="110"/>
        <v>#VALUE!</v>
      </c>
      <c r="AP91" s="10" t="e">
        <f t="shared" si="111"/>
        <v>#VALUE!</v>
      </c>
      <c r="AQ91" s="10" t="e">
        <f t="shared" si="141"/>
        <v>#VALUE!</v>
      </c>
      <c r="AR91" s="10" t="e">
        <f t="shared" si="90"/>
        <v>#VALUE!</v>
      </c>
      <c r="AS91" s="10" t="e">
        <f t="shared" si="142"/>
        <v>#VALUE!</v>
      </c>
      <c r="AU91" s="10" t="e">
        <f t="shared" si="112"/>
        <v>#VALUE!</v>
      </c>
      <c r="AV91" s="10" t="e">
        <f t="shared" si="143"/>
        <v>#VALUE!</v>
      </c>
      <c r="AW91" s="10" t="e">
        <f t="shared" si="91"/>
        <v>#VALUE!</v>
      </c>
      <c r="AX91" s="10" t="e">
        <f t="shared" si="113"/>
        <v>#VALUE!</v>
      </c>
      <c r="AY91" s="10" t="e">
        <f t="shared" si="114"/>
        <v>#VALUE!</v>
      </c>
      <c r="AZ91" s="10" t="e">
        <f t="shared" si="115"/>
        <v>#VALUE!</v>
      </c>
      <c r="BA91" s="10" t="e">
        <f t="shared" si="144"/>
        <v>#VALUE!</v>
      </c>
      <c r="BB91" s="10" t="e">
        <f t="shared" si="92"/>
        <v>#VALUE!</v>
      </c>
      <c r="BC91" s="10" t="e">
        <f t="shared" si="145"/>
        <v>#VALUE!</v>
      </c>
      <c r="BE91" s="10" t="e">
        <f t="shared" si="116"/>
        <v>#VALUE!</v>
      </c>
      <c r="BF91" s="10" t="e">
        <f t="shared" si="146"/>
        <v>#VALUE!</v>
      </c>
      <c r="BG91" s="10" t="e">
        <f t="shared" si="93"/>
        <v>#VALUE!</v>
      </c>
      <c r="BH91" s="10" t="e">
        <f t="shared" si="117"/>
        <v>#VALUE!</v>
      </c>
      <c r="BI91" s="10" t="e">
        <f t="shared" si="118"/>
        <v>#VALUE!</v>
      </c>
      <c r="BJ91" s="10" t="e">
        <f t="shared" si="119"/>
        <v>#VALUE!</v>
      </c>
      <c r="BK91" s="10" t="e">
        <f t="shared" si="147"/>
        <v>#VALUE!</v>
      </c>
      <c r="BL91" s="10" t="e">
        <f t="shared" si="94"/>
        <v>#VALUE!</v>
      </c>
      <c r="BM91" s="10" t="e">
        <f t="shared" si="148"/>
        <v>#VALUE!</v>
      </c>
      <c r="BP91" s="10" t="e">
        <f t="shared" si="120"/>
        <v>#VALUE!</v>
      </c>
      <c r="BQ91" s="10" t="e">
        <f t="shared" si="121"/>
        <v>#VALUE!</v>
      </c>
      <c r="BR91" s="10" t="e">
        <f t="shared" si="122"/>
        <v>#VALUE!</v>
      </c>
      <c r="BS91" s="10" t="e">
        <f t="shared" si="123"/>
        <v>#VALUE!</v>
      </c>
      <c r="BT91" s="10" t="e">
        <f t="shared" si="124"/>
        <v>#VALUE!</v>
      </c>
      <c r="BU91" s="10" t="e">
        <f t="shared" si="125"/>
        <v>#VALUE!</v>
      </c>
      <c r="BW91" s="10" t="e">
        <f t="shared" si="126"/>
        <v>#VALUE!</v>
      </c>
      <c r="BX91" s="10" t="e">
        <f t="shared" si="127"/>
        <v>#VALUE!</v>
      </c>
      <c r="BY91" s="10" t="e">
        <f t="shared" si="128"/>
        <v>#VALUE!</v>
      </c>
      <c r="BZ91" s="10" t="e">
        <f t="shared" si="129"/>
        <v>#VALUE!</v>
      </c>
      <c r="CA91" s="10" t="e">
        <f t="shared" si="130"/>
        <v>#VALUE!</v>
      </c>
      <c r="CB91" s="10" t="e">
        <f t="shared" si="131"/>
        <v>#VALUE!</v>
      </c>
      <c r="CD91" s="10" t="e">
        <f>MATCH(INDEX($BP$12:$BU$12,1,MATCH(BP91,$BP$15:$BU$15,0)),结果汇总!$AI$10:$AI$13,0)</f>
        <v>#VALUE!</v>
      </c>
      <c r="CE91" s="10" t="e">
        <f>MATCH(INDEX($BP$12:$BU$12,1,MATCH(BQ91,$BP$15:$BU$15,0)),结果汇总!$AI$10:$AI$13,0)</f>
        <v>#VALUE!</v>
      </c>
      <c r="CF91" s="10" t="e">
        <f>MATCH(INDEX($BP$12:$BU$12,1,MATCH(BR91,$BP$15:$BU$15,0)),结果汇总!$AI$10:$AI$13,0)</f>
        <v>#VALUE!</v>
      </c>
      <c r="CG91" s="10" t="e">
        <f>MATCH(INDEX($BP$12:$BU$12,1,MATCH(BS91,$BP$15:$BU$15,0)),结果汇总!$AI$10:$AI$13,0)</f>
        <v>#VALUE!</v>
      </c>
      <c r="CH91" s="10" t="e">
        <f>MATCH(INDEX($BP$12:$BU$12,1,MATCH(BT91,$BP$15:$BU$15,0)),结果汇总!$AI$10:$AI$13,0)</f>
        <v>#VALUE!</v>
      </c>
      <c r="CI91" s="10" t="e">
        <f>MATCH(INDEX($BP$12:$BU$12,1,MATCH(BU91,$BP$15:$BU$15,0)),结果汇总!$AI$10:$AI$13,0)</f>
        <v>#VALUE!</v>
      </c>
      <c r="CK91" s="10">
        <f t="shared" si="132"/>
        <v>0</v>
      </c>
      <c r="CL91" s="10">
        <f t="shared" si="132"/>
        <v>0</v>
      </c>
      <c r="CM91" s="10">
        <f t="shared" si="132"/>
        <v>0</v>
      </c>
      <c r="CN91" s="10">
        <f t="shared" si="132"/>
        <v>0</v>
      </c>
      <c r="CO91" s="10">
        <f t="shared" si="133"/>
        <v>0</v>
      </c>
      <c r="CP91" s="10">
        <f t="shared" si="133"/>
        <v>0</v>
      </c>
      <c r="CQ91" s="10">
        <f t="shared" si="133"/>
        <v>0</v>
      </c>
      <c r="CR91" s="10">
        <f t="shared" si="133"/>
        <v>0</v>
      </c>
      <c r="CS91" s="10" t="e">
        <f t="shared" si="134"/>
        <v>#DIV/0!</v>
      </c>
      <c r="CT91" s="10" t="e">
        <f t="shared" si="134"/>
        <v>#DIV/0!</v>
      </c>
      <c r="CU91" s="10" t="e">
        <f t="shared" si="134"/>
        <v>#DIV/0!</v>
      </c>
      <c r="CV91" s="10" t="e">
        <f t="shared" si="134"/>
        <v>#DIV/0!</v>
      </c>
      <c r="CW91" s="10">
        <f t="shared" si="135"/>
        <v>0</v>
      </c>
      <c r="CX91" s="10">
        <f t="shared" si="135"/>
        <v>0</v>
      </c>
      <c r="CY91" s="10">
        <f t="shared" si="135"/>
        <v>0</v>
      </c>
      <c r="CZ91" s="10">
        <f t="shared" si="135"/>
        <v>0</v>
      </c>
    </row>
    <row r="92" spans="4:104" x14ac:dyDescent="0.15">
      <c r="D92" s="10">
        <v>77</v>
      </c>
      <c r="E92" s="10" t="e">
        <f t="shared" si="95"/>
        <v>#VALUE!</v>
      </c>
      <c r="F92" s="10" t="e">
        <f t="shared" si="79"/>
        <v>#VALUE!</v>
      </c>
      <c r="G92" s="10" t="e">
        <f t="shared" si="80"/>
        <v>#VALUE!</v>
      </c>
      <c r="H92" s="10" t="e">
        <f t="shared" si="96"/>
        <v>#VALUE!</v>
      </c>
      <c r="I92" s="10" t="e">
        <f t="shared" si="81"/>
        <v>#VALUE!</v>
      </c>
      <c r="J92" s="10" t="e">
        <f t="shared" si="97"/>
        <v>#VALUE!</v>
      </c>
      <c r="K92" s="10" t="e">
        <f t="shared" si="82"/>
        <v>#VALUE!</v>
      </c>
      <c r="L92" s="10" t="e">
        <f t="shared" si="83"/>
        <v>#VALUE!</v>
      </c>
      <c r="M92" s="10" t="e">
        <f t="shared" si="98"/>
        <v>#VALUE!</v>
      </c>
      <c r="O92" s="10" t="e">
        <f t="shared" si="99"/>
        <v>#VALUE!</v>
      </c>
      <c r="P92" s="10" t="e">
        <f t="shared" si="84"/>
        <v>#VALUE!</v>
      </c>
      <c r="Q92" s="10" t="e">
        <f t="shared" si="85"/>
        <v>#VALUE!</v>
      </c>
      <c r="R92" s="10" t="e">
        <f t="shared" si="100"/>
        <v>#VALUE!</v>
      </c>
      <c r="S92" s="10" t="e">
        <f t="shared" si="101"/>
        <v>#VALUE!</v>
      </c>
      <c r="T92" s="10" t="e">
        <f t="shared" si="136"/>
        <v>#VALUE!</v>
      </c>
      <c r="U92" s="10" t="e">
        <f t="shared" si="137"/>
        <v>#VALUE!</v>
      </c>
      <c r="V92" s="10" t="e">
        <f t="shared" si="86"/>
        <v>#VALUE!</v>
      </c>
      <c r="W92" s="10" t="e">
        <f t="shared" si="102"/>
        <v>#VALUE!</v>
      </c>
      <c r="Y92" s="10" t="e">
        <f t="shared" si="103"/>
        <v>#VALUE!</v>
      </c>
      <c r="Z92" s="11" t="e">
        <f t="shared" si="104"/>
        <v>#VALUE!</v>
      </c>
      <c r="AA92" s="10" t="e">
        <f t="shared" si="87"/>
        <v>#VALUE!</v>
      </c>
      <c r="AB92" s="10" t="e">
        <f t="shared" si="105"/>
        <v>#VALUE!</v>
      </c>
      <c r="AC92" s="10" t="e">
        <f t="shared" si="106"/>
        <v>#VALUE!</v>
      </c>
      <c r="AD92" s="10" t="e">
        <f t="shared" si="138"/>
        <v>#VALUE!</v>
      </c>
      <c r="AE92" s="10" t="e">
        <f t="shared" si="139"/>
        <v>#VALUE!</v>
      </c>
      <c r="AF92" s="10" t="e">
        <f t="shared" si="88"/>
        <v>#VALUE!</v>
      </c>
      <c r="AG92" s="10" t="e">
        <f t="shared" si="107"/>
        <v>#VALUE!</v>
      </c>
      <c r="AI92" s="13"/>
      <c r="AK92" s="10" t="e">
        <f t="shared" si="108"/>
        <v>#VALUE!</v>
      </c>
      <c r="AL92" s="10" t="e">
        <f t="shared" si="140"/>
        <v>#VALUE!</v>
      </c>
      <c r="AM92" s="10" t="e">
        <f t="shared" si="89"/>
        <v>#VALUE!</v>
      </c>
      <c r="AN92" s="10" t="e">
        <f t="shared" si="109"/>
        <v>#VALUE!</v>
      </c>
      <c r="AO92" s="10" t="e">
        <f t="shared" si="110"/>
        <v>#VALUE!</v>
      </c>
      <c r="AP92" s="10" t="e">
        <f t="shared" si="111"/>
        <v>#VALUE!</v>
      </c>
      <c r="AQ92" s="10" t="e">
        <f t="shared" si="141"/>
        <v>#VALUE!</v>
      </c>
      <c r="AR92" s="10" t="e">
        <f t="shared" si="90"/>
        <v>#VALUE!</v>
      </c>
      <c r="AS92" s="10" t="e">
        <f t="shared" si="142"/>
        <v>#VALUE!</v>
      </c>
      <c r="AU92" s="10" t="e">
        <f t="shared" si="112"/>
        <v>#VALUE!</v>
      </c>
      <c r="AV92" s="10" t="e">
        <f t="shared" si="143"/>
        <v>#VALUE!</v>
      </c>
      <c r="AW92" s="10" t="e">
        <f t="shared" si="91"/>
        <v>#VALUE!</v>
      </c>
      <c r="AX92" s="10" t="e">
        <f t="shared" si="113"/>
        <v>#VALUE!</v>
      </c>
      <c r="AY92" s="10" t="e">
        <f t="shared" si="114"/>
        <v>#VALUE!</v>
      </c>
      <c r="AZ92" s="10" t="e">
        <f t="shared" si="115"/>
        <v>#VALUE!</v>
      </c>
      <c r="BA92" s="10" t="e">
        <f t="shared" si="144"/>
        <v>#VALUE!</v>
      </c>
      <c r="BB92" s="10" t="e">
        <f t="shared" si="92"/>
        <v>#VALUE!</v>
      </c>
      <c r="BC92" s="10" t="e">
        <f t="shared" si="145"/>
        <v>#VALUE!</v>
      </c>
      <c r="BE92" s="10" t="e">
        <f t="shared" si="116"/>
        <v>#VALUE!</v>
      </c>
      <c r="BF92" s="10" t="e">
        <f t="shared" si="146"/>
        <v>#VALUE!</v>
      </c>
      <c r="BG92" s="10" t="e">
        <f t="shared" si="93"/>
        <v>#VALUE!</v>
      </c>
      <c r="BH92" s="10" t="e">
        <f t="shared" si="117"/>
        <v>#VALUE!</v>
      </c>
      <c r="BI92" s="10" t="e">
        <f t="shared" si="118"/>
        <v>#VALUE!</v>
      </c>
      <c r="BJ92" s="10" t="e">
        <f t="shared" si="119"/>
        <v>#VALUE!</v>
      </c>
      <c r="BK92" s="10" t="e">
        <f t="shared" si="147"/>
        <v>#VALUE!</v>
      </c>
      <c r="BL92" s="10" t="e">
        <f t="shared" si="94"/>
        <v>#VALUE!</v>
      </c>
      <c r="BM92" s="10" t="e">
        <f t="shared" si="148"/>
        <v>#VALUE!</v>
      </c>
      <c r="BP92" s="10" t="e">
        <f t="shared" si="120"/>
        <v>#VALUE!</v>
      </c>
      <c r="BQ92" s="10" t="e">
        <f t="shared" si="121"/>
        <v>#VALUE!</v>
      </c>
      <c r="BR92" s="10" t="e">
        <f t="shared" si="122"/>
        <v>#VALUE!</v>
      </c>
      <c r="BS92" s="10" t="e">
        <f t="shared" si="123"/>
        <v>#VALUE!</v>
      </c>
      <c r="BT92" s="10" t="e">
        <f t="shared" si="124"/>
        <v>#VALUE!</v>
      </c>
      <c r="BU92" s="10" t="e">
        <f t="shared" si="125"/>
        <v>#VALUE!</v>
      </c>
      <c r="BW92" s="10" t="e">
        <f t="shared" si="126"/>
        <v>#VALUE!</v>
      </c>
      <c r="BX92" s="10" t="e">
        <f t="shared" si="127"/>
        <v>#VALUE!</v>
      </c>
      <c r="BY92" s="10" t="e">
        <f t="shared" si="128"/>
        <v>#VALUE!</v>
      </c>
      <c r="BZ92" s="10" t="e">
        <f t="shared" si="129"/>
        <v>#VALUE!</v>
      </c>
      <c r="CA92" s="10" t="e">
        <f t="shared" si="130"/>
        <v>#VALUE!</v>
      </c>
      <c r="CB92" s="10" t="e">
        <f t="shared" si="131"/>
        <v>#VALUE!</v>
      </c>
      <c r="CD92" s="10" t="e">
        <f>MATCH(INDEX($BP$12:$BU$12,1,MATCH(BP92,$BP$15:$BU$15,0)),结果汇总!$AI$10:$AI$13,0)</f>
        <v>#VALUE!</v>
      </c>
      <c r="CE92" s="10" t="e">
        <f>MATCH(INDEX($BP$12:$BU$12,1,MATCH(BQ92,$BP$15:$BU$15,0)),结果汇总!$AI$10:$AI$13,0)</f>
        <v>#VALUE!</v>
      </c>
      <c r="CF92" s="10" t="e">
        <f>MATCH(INDEX($BP$12:$BU$12,1,MATCH(BR92,$BP$15:$BU$15,0)),结果汇总!$AI$10:$AI$13,0)</f>
        <v>#VALUE!</v>
      </c>
      <c r="CG92" s="10" t="e">
        <f>MATCH(INDEX($BP$12:$BU$12,1,MATCH(BS92,$BP$15:$BU$15,0)),结果汇总!$AI$10:$AI$13,0)</f>
        <v>#VALUE!</v>
      </c>
      <c r="CH92" s="10" t="e">
        <f>MATCH(INDEX($BP$12:$BU$12,1,MATCH(BT92,$BP$15:$BU$15,0)),结果汇总!$AI$10:$AI$13,0)</f>
        <v>#VALUE!</v>
      </c>
      <c r="CI92" s="10" t="e">
        <f>MATCH(INDEX($BP$12:$BU$12,1,MATCH(BU92,$BP$15:$BU$15,0)),结果汇总!$AI$10:$AI$13,0)</f>
        <v>#VALUE!</v>
      </c>
      <c r="CK92" s="10">
        <f t="shared" si="132"/>
        <v>0</v>
      </c>
      <c r="CL92" s="10">
        <f t="shared" si="132"/>
        <v>0</v>
      </c>
      <c r="CM92" s="10">
        <f t="shared" si="132"/>
        <v>0</v>
      </c>
      <c r="CN92" s="10">
        <f t="shared" si="132"/>
        <v>0</v>
      </c>
      <c r="CO92" s="10">
        <f t="shared" si="133"/>
        <v>0</v>
      </c>
      <c r="CP92" s="10">
        <f t="shared" si="133"/>
        <v>0</v>
      </c>
      <c r="CQ92" s="10">
        <f t="shared" si="133"/>
        <v>0</v>
      </c>
      <c r="CR92" s="10">
        <f t="shared" si="133"/>
        <v>0</v>
      </c>
      <c r="CS92" s="10" t="e">
        <f t="shared" si="134"/>
        <v>#DIV/0!</v>
      </c>
      <c r="CT92" s="10" t="e">
        <f t="shared" si="134"/>
        <v>#DIV/0!</v>
      </c>
      <c r="CU92" s="10" t="e">
        <f t="shared" si="134"/>
        <v>#DIV/0!</v>
      </c>
      <c r="CV92" s="10" t="e">
        <f t="shared" si="134"/>
        <v>#DIV/0!</v>
      </c>
      <c r="CW92" s="10">
        <f t="shared" si="135"/>
        <v>0</v>
      </c>
      <c r="CX92" s="10">
        <f t="shared" si="135"/>
        <v>0</v>
      </c>
      <c r="CY92" s="10">
        <f t="shared" si="135"/>
        <v>0</v>
      </c>
      <c r="CZ92" s="10">
        <f t="shared" si="135"/>
        <v>0</v>
      </c>
    </row>
    <row r="93" spans="4:104" x14ac:dyDescent="0.15">
      <c r="D93" s="10">
        <v>78</v>
      </c>
      <c r="E93" s="10" t="e">
        <f t="shared" si="95"/>
        <v>#VALUE!</v>
      </c>
      <c r="F93" s="10" t="e">
        <f t="shared" si="79"/>
        <v>#VALUE!</v>
      </c>
      <c r="G93" s="10" t="e">
        <f t="shared" si="80"/>
        <v>#VALUE!</v>
      </c>
      <c r="H93" s="10" t="e">
        <f t="shared" si="96"/>
        <v>#VALUE!</v>
      </c>
      <c r="I93" s="10" t="e">
        <f t="shared" si="81"/>
        <v>#VALUE!</v>
      </c>
      <c r="J93" s="10" t="e">
        <f t="shared" si="97"/>
        <v>#VALUE!</v>
      </c>
      <c r="K93" s="10" t="e">
        <f t="shared" si="82"/>
        <v>#VALUE!</v>
      </c>
      <c r="L93" s="10" t="e">
        <f t="shared" si="83"/>
        <v>#VALUE!</v>
      </c>
      <c r="M93" s="10" t="e">
        <f t="shared" si="98"/>
        <v>#VALUE!</v>
      </c>
      <c r="O93" s="10" t="e">
        <f t="shared" si="99"/>
        <v>#VALUE!</v>
      </c>
      <c r="P93" s="10" t="e">
        <f t="shared" si="84"/>
        <v>#VALUE!</v>
      </c>
      <c r="Q93" s="10" t="e">
        <f t="shared" si="85"/>
        <v>#VALUE!</v>
      </c>
      <c r="R93" s="10" t="e">
        <f t="shared" si="100"/>
        <v>#VALUE!</v>
      </c>
      <c r="S93" s="10" t="e">
        <f t="shared" si="101"/>
        <v>#VALUE!</v>
      </c>
      <c r="T93" s="10" t="e">
        <f t="shared" si="136"/>
        <v>#VALUE!</v>
      </c>
      <c r="U93" s="10" t="e">
        <f t="shared" si="137"/>
        <v>#VALUE!</v>
      </c>
      <c r="V93" s="10" t="e">
        <f t="shared" si="86"/>
        <v>#VALUE!</v>
      </c>
      <c r="W93" s="10" t="e">
        <f t="shared" si="102"/>
        <v>#VALUE!</v>
      </c>
      <c r="Y93" s="10" t="e">
        <f t="shared" si="103"/>
        <v>#VALUE!</v>
      </c>
      <c r="Z93" s="11" t="e">
        <f t="shared" si="104"/>
        <v>#VALUE!</v>
      </c>
      <c r="AA93" s="10" t="e">
        <f t="shared" si="87"/>
        <v>#VALUE!</v>
      </c>
      <c r="AB93" s="10" t="e">
        <f t="shared" si="105"/>
        <v>#VALUE!</v>
      </c>
      <c r="AC93" s="10" t="e">
        <f t="shared" si="106"/>
        <v>#VALUE!</v>
      </c>
      <c r="AD93" s="10" t="e">
        <f t="shared" si="138"/>
        <v>#VALUE!</v>
      </c>
      <c r="AE93" s="10" t="e">
        <f t="shared" si="139"/>
        <v>#VALUE!</v>
      </c>
      <c r="AF93" s="10" t="e">
        <f t="shared" si="88"/>
        <v>#VALUE!</v>
      </c>
      <c r="AG93" s="10" t="e">
        <f t="shared" si="107"/>
        <v>#VALUE!</v>
      </c>
      <c r="AI93" s="13"/>
      <c r="AK93" s="10" t="e">
        <f t="shared" si="108"/>
        <v>#VALUE!</v>
      </c>
      <c r="AL93" s="10" t="e">
        <f t="shared" si="140"/>
        <v>#VALUE!</v>
      </c>
      <c r="AM93" s="10" t="e">
        <f t="shared" si="89"/>
        <v>#VALUE!</v>
      </c>
      <c r="AN93" s="10" t="e">
        <f t="shared" si="109"/>
        <v>#VALUE!</v>
      </c>
      <c r="AO93" s="10" t="e">
        <f t="shared" si="110"/>
        <v>#VALUE!</v>
      </c>
      <c r="AP93" s="10" t="e">
        <f t="shared" si="111"/>
        <v>#VALUE!</v>
      </c>
      <c r="AQ93" s="10" t="e">
        <f t="shared" si="141"/>
        <v>#VALUE!</v>
      </c>
      <c r="AR93" s="10" t="e">
        <f t="shared" si="90"/>
        <v>#VALUE!</v>
      </c>
      <c r="AS93" s="10" t="e">
        <f t="shared" si="142"/>
        <v>#VALUE!</v>
      </c>
      <c r="AU93" s="10" t="e">
        <f t="shared" si="112"/>
        <v>#VALUE!</v>
      </c>
      <c r="AV93" s="10" t="e">
        <f t="shared" si="143"/>
        <v>#VALUE!</v>
      </c>
      <c r="AW93" s="10" t="e">
        <f t="shared" si="91"/>
        <v>#VALUE!</v>
      </c>
      <c r="AX93" s="10" t="e">
        <f t="shared" si="113"/>
        <v>#VALUE!</v>
      </c>
      <c r="AY93" s="10" t="e">
        <f t="shared" si="114"/>
        <v>#VALUE!</v>
      </c>
      <c r="AZ93" s="10" t="e">
        <f t="shared" si="115"/>
        <v>#VALUE!</v>
      </c>
      <c r="BA93" s="10" t="e">
        <f t="shared" si="144"/>
        <v>#VALUE!</v>
      </c>
      <c r="BB93" s="10" t="e">
        <f t="shared" si="92"/>
        <v>#VALUE!</v>
      </c>
      <c r="BC93" s="10" t="e">
        <f t="shared" si="145"/>
        <v>#VALUE!</v>
      </c>
      <c r="BE93" s="10" t="e">
        <f t="shared" si="116"/>
        <v>#VALUE!</v>
      </c>
      <c r="BF93" s="10" t="e">
        <f t="shared" si="146"/>
        <v>#VALUE!</v>
      </c>
      <c r="BG93" s="10" t="e">
        <f t="shared" si="93"/>
        <v>#VALUE!</v>
      </c>
      <c r="BH93" s="10" t="e">
        <f t="shared" si="117"/>
        <v>#VALUE!</v>
      </c>
      <c r="BI93" s="10" t="e">
        <f t="shared" si="118"/>
        <v>#VALUE!</v>
      </c>
      <c r="BJ93" s="10" t="e">
        <f t="shared" si="119"/>
        <v>#VALUE!</v>
      </c>
      <c r="BK93" s="10" t="e">
        <f t="shared" si="147"/>
        <v>#VALUE!</v>
      </c>
      <c r="BL93" s="10" t="e">
        <f t="shared" si="94"/>
        <v>#VALUE!</v>
      </c>
      <c r="BM93" s="10" t="e">
        <f t="shared" si="148"/>
        <v>#VALUE!</v>
      </c>
      <c r="BP93" s="10" t="e">
        <f t="shared" si="120"/>
        <v>#VALUE!</v>
      </c>
      <c r="BQ93" s="10" t="e">
        <f t="shared" si="121"/>
        <v>#VALUE!</v>
      </c>
      <c r="BR93" s="10" t="e">
        <f t="shared" si="122"/>
        <v>#VALUE!</v>
      </c>
      <c r="BS93" s="10" t="e">
        <f t="shared" si="123"/>
        <v>#VALUE!</v>
      </c>
      <c r="BT93" s="10" t="e">
        <f t="shared" si="124"/>
        <v>#VALUE!</v>
      </c>
      <c r="BU93" s="10" t="e">
        <f t="shared" si="125"/>
        <v>#VALUE!</v>
      </c>
      <c r="BW93" s="10" t="e">
        <f t="shared" si="126"/>
        <v>#VALUE!</v>
      </c>
      <c r="BX93" s="10" t="e">
        <f t="shared" si="127"/>
        <v>#VALUE!</v>
      </c>
      <c r="BY93" s="10" t="e">
        <f t="shared" si="128"/>
        <v>#VALUE!</v>
      </c>
      <c r="BZ93" s="10" t="e">
        <f t="shared" si="129"/>
        <v>#VALUE!</v>
      </c>
      <c r="CA93" s="10" t="e">
        <f t="shared" si="130"/>
        <v>#VALUE!</v>
      </c>
      <c r="CB93" s="10" t="e">
        <f t="shared" si="131"/>
        <v>#VALUE!</v>
      </c>
      <c r="CD93" s="10" t="e">
        <f>MATCH(INDEX($BP$12:$BU$12,1,MATCH(BP93,$BP$15:$BU$15,0)),结果汇总!$AI$10:$AI$13,0)</f>
        <v>#VALUE!</v>
      </c>
      <c r="CE93" s="10" t="e">
        <f>MATCH(INDEX($BP$12:$BU$12,1,MATCH(BQ93,$BP$15:$BU$15,0)),结果汇总!$AI$10:$AI$13,0)</f>
        <v>#VALUE!</v>
      </c>
      <c r="CF93" s="10" t="e">
        <f>MATCH(INDEX($BP$12:$BU$12,1,MATCH(BR93,$BP$15:$BU$15,0)),结果汇总!$AI$10:$AI$13,0)</f>
        <v>#VALUE!</v>
      </c>
      <c r="CG93" s="10" t="e">
        <f>MATCH(INDEX($BP$12:$BU$12,1,MATCH(BS93,$BP$15:$BU$15,0)),结果汇总!$AI$10:$AI$13,0)</f>
        <v>#VALUE!</v>
      </c>
      <c r="CH93" s="10" t="e">
        <f>MATCH(INDEX($BP$12:$BU$12,1,MATCH(BT93,$BP$15:$BU$15,0)),结果汇总!$AI$10:$AI$13,0)</f>
        <v>#VALUE!</v>
      </c>
      <c r="CI93" s="10" t="e">
        <f>MATCH(INDEX($BP$12:$BU$12,1,MATCH(BU93,$BP$15:$BU$15,0)),结果汇总!$AI$10:$AI$13,0)</f>
        <v>#VALUE!</v>
      </c>
      <c r="CK93" s="10">
        <f t="shared" si="132"/>
        <v>0</v>
      </c>
      <c r="CL93" s="10">
        <f t="shared" si="132"/>
        <v>0</v>
      </c>
      <c r="CM93" s="10">
        <f t="shared" si="132"/>
        <v>0</v>
      </c>
      <c r="CN93" s="10">
        <f t="shared" si="132"/>
        <v>0</v>
      </c>
      <c r="CO93" s="10">
        <f t="shared" si="133"/>
        <v>0</v>
      </c>
      <c r="CP93" s="10">
        <f t="shared" si="133"/>
        <v>0</v>
      </c>
      <c r="CQ93" s="10">
        <f t="shared" si="133"/>
        <v>0</v>
      </c>
      <c r="CR93" s="10">
        <f t="shared" si="133"/>
        <v>0</v>
      </c>
      <c r="CS93" s="10" t="e">
        <f t="shared" si="134"/>
        <v>#DIV/0!</v>
      </c>
      <c r="CT93" s="10" t="e">
        <f t="shared" si="134"/>
        <v>#DIV/0!</v>
      </c>
      <c r="CU93" s="10" t="e">
        <f t="shared" si="134"/>
        <v>#DIV/0!</v>
      </c>
      <c r="CV93" s="10" t="e">
        <f t="shared" si="134"/>
        <v>#DIV/0!</v>
      </c>
      <c r="CW93" s="10">
        <f t="shared" si="135"/>
        <v>0</v>
      </c>
      <c r="CX93" s="10">
        <f t="shared" si="135"/>
        <v>0</v>
      </c>
      <c r="CY93" s="10">
        <f t="shared" si="135"/>
        <v>0</v>
      </c>
      <c r="CZ93" s="10">
        <f t="shared" si="135"/>
        <v>0</v>
      </c>
    </row>
    <row r="94" spans="4:104" x14ac:dyDescent="0.15">
      <c r="D94" s="10">
        <v>79</v>
      </c>
      <c r="E94" s="10" t="e">
        <f t="shared" si="95"/>
        <v>#VALUE!</v>
      </c>
      <c r="F94" s="10" t="e">
        <f t="shared" si="79"/>
        <v>#VALUE!</v>
      </c>
      <c r="G94" s="10" t="e">
        <f t="shared" si="80"/>
        <v>#VALUE!</v>
      </c>
      <c r="H94" s="10" t="e">
        <f t="shared" si="96"/>
        <v>#VALUE!</v>
      </c>
      <c r="I94" s="10" t="e">
        <f t="shared" si="81"/>
        <v>#VALUE!</v>
      </c>
      <c r="J94" s="10" t="e">
        <f t="shared" si="97"/>
        <v>#VALUE!</v>
      </c>
      <c r="K94" s="10" t="e">
        <f t="shared" si="82"/>
        <v>#VALUE!</v>
      </c>
      <c r="L94" s="10" t="e">
        <f t="shared" si="83"/>
        <v>#VALUE!</v>
      </c>
      <c r="M94" s="10" t="e">
        <f t="shared" si="98"/>
        <v>#VALUE!</v>
      </c>
      <c r="O94" s="10" t="e">
        <f t="shared" si="99"/>
        <v>#VALUE!</v>
      </c>
      <c r="P94" s="10" t="e">
        <f t="shared" si="84"/>
        <v>#VALUE!</v>
      </c>
      <c r="Q94" s="10" t="e">
        <f t="shared" si="85"/>
        <v>#VALUE!</v>
      </c>
      <c r="R94" s="10" t="e">
        <f t="shared" si="100"/>
        <v>#VALUE!</v>
      </c>
      <c r="S94" s="10" t="e">
        <f t="shared" si="101"/>
        <v>#VALUE!</v>
      </c>
      <c r="T94" s="10" t="e">
        <f t="shared" si="136"/>
        <v>#VALUE!</v>
      </c>
      <c r="U94" s="10" t="e">
        <f t="shared" si="137"/>
        <v>#VALUE!</v>
      </c>
      <c r="V94" s="10" t="e">
        <f t="shared" si="86"/>
        <v>#VALUE!</v>
      </c>
      <c r="W94" s="10" t="e">
        <f t="shared" si="102"/>
        <v>#VALUE!</v>
      </c>
      <c r="Y94" s="10" t="e">
        <f t="shared" si="103"/>
        <v>#VALUE!</v>
      </c>
      <c r="Z94" s="11" t="e">
        <f t="shared" si="104"/>
        <v>#VALUE!</v>
      </c>
      <c r="AA94" s="10" t="e">
        <f t="shared" si="87"/>
        <v>#VALUE!</v>
      </c>
      <c r="AB94" s="10" t="e">
        <f t="shared" si="105"/>
        <v>#VALUE!</v>
      </c>
      <c r="AC94" s="10" t="e">
        <f t="shared" si="106"/>
        <v>#VALUE!</v>
      </c>
      <c r="AD94" s="10" t="e">
        <f t="shared" si="138"/>
        <v>#VALUE!</v>
      </c>
      <c r="AE94" s="10" t="e">
        <f t="shared" si="139"/>
        <v>#VALUE!</v>
      </c>
      <c r="AF94" s="10" t="e">
        <f t="shared" si="88"/>
        <v>#VALUE!</v>
      </c>
      <c r="AG94" s="10" t="e">
        <f t="shared" si="107"/>
        <v>#VALUE!</v>
      </c>
      <c r="AI94" s="13"/>
      <c r="AK94" s="10" t="e">
        <f t="shared" si="108"/>
        <v>#VALUE!</v>
      </c>
      <c r="AL94" s="10" t="e">
        <f t="shared" si="140"/>
        <v>#VALUE!</v>
      </c>
      <c r="AM94" s="10" t="e">
        <f t="shared" si="89"/>
        <v>#VALUE!</v>
      </c>
      <c r="AN94" s="10" t="e">
        <f t="shared" si="109"/>
        <v>#VALUE!</v>
      </c>
      <c r="AO94" s="10" t="e">
        <f t="shared" si="110"/>
        <v>#VALUE!</v>
      </c>
      <c r="AP94" s="10" t="e">
        <f t="shared" si="111"/>
        <v>#VALUE!</v>
      </c>
      <c r="AQ94" s="10" t="e">
        <f t="shared" si="141"/>
        <v>#VALUE!</v>
      </c>
      <c r="AR94" s="10" t="e">
        <f t="shared" si="90"/>
        <v>#VALUE!</v>
      </c>
      <c r="AS94" s="10" t="e">
        <f t="shared" si="142"/>
        <v>#VALUE!</v>
      </c>
      <c r="AU94" s="10" t="e">
        <f t="shared" si="112"/>
        <v>#VALUE!</v>
      </c>
      <c r="AV94" s="10" t="e">
        <f t="shared" si="143"/>
        <v>#VALUE!</v>
      </c>
      <c r="AW94" s="10" t="e">
        <f t="shared" si="91"/>
        <v>#VALUE!</v>
      </c>
      <c r="AX94" s="10" t="e">
        <f t="shared" si="113"/>
        <v>#VALUE!</v>
      </c>
      <c r="AY94" s="10" t="e">
        <f t="shared" si="114"/>
        <v>#VALUE!</v>
      </c>
      <c r="AZ94" s="10" t="e">
        <f t="shared" si="115"/>
        <v>#VALUE!</v>
      </c>
      <c r="BA94" s="10" t="e">
        <f t="shared" si="144"/>
        <v>#VALUE!</v>
      </c>
      <c r="BB94" s="10" t="e">
        <f t="shared" si="92"/>
        <v>#VALUE!</v>
      </c>
      <c r="BC94" s="10" t="e">
        <f t="shared" si="145"/>
        <v>#VALUE!</v>
      </c>
      <c r="BE94" s="10" t="e">
        <f t="shared" si="116"/>
        <v>#VALUE!</v>
      </c>
      <c r="BF94" s="10" t="e">
        <f t="shared" si="146"/>
        <v>#VALUE!</v>
      </c>
      <c r="BG94" s="10" t="e">
        <f t="shared" si="93"/>
        <v>#VALUE!</v>
      </c>
      <c r="BH94" s="10" t="e">
        <f t="shared" si="117"/>
        <v>#VALUE!</v>
      </c>
      <c r="BI94" s="10" t="e">
        <f t="shared" si="118"/>
        <v>#VALUE!</v>
      </c>
      <c r="BJ94" s="10" t="e">
        <f t="shared" si="119"/>
        <v>#VALUE!</v>
      </c>
      <c r="BK94" s="10" t="e">
        <f t="shared" si="147"/>
        <v>#VALUE!</v>
      </c>
      <c r="BL94" s="10" t="e">
        <f t="shared" si="94"/>
        <v>#VALUE!</v>
      </c>
      <c r="BM94" s="10" t="e">
        <f t="shared" si="148"/>
        <v>#VALUE!</v>
      </c>
      <c r="BP94" s="10" t="e">
        <f t="shared" si="120"/>
        <v>#VALUE!</v>
      </c>
      <c r="BQ94" s="10" t="e">
        <f t="shared" si="121"/>
        <v>#VALUE!</v>
      </c>
      <c r="BR94" s="10" t="e">
        <f t="shared" si="122"/>
        <v>#VALUE!</v>
      </c>
      <c r="BS94" s="10" t="e">
        <f t="shared" si="123"/>
        <v>#VALUE!</v>
      </c>
      <c r="BT94" s="10" t="e">
        <f t="shared" si="124"/>
        <v>#VALUE!</v>
      </c>
      <c r="BU94" s="10" t="e">
        <f t="shared" si="125"/>
        <v>#VALUE!</v>
      </c>
      <c r="BW94" s="10" t="e">
        <f t="shared" si="126"/>
        <v>#VALUE!</v>
      </c>
      <c r="BX94" s="10" t="e">
        <f t="shared" si="127"/>
        <v>#VALUE!</v>
      </c>
      <c r="BY94" s="10" t="e">
        <f t="shared" si="128"/>
        <v>#VALUE!</v>
      </c>
      <c r="BZ94" s="10" t="e">
        <f t="shared" si="129"/>
        <v>#VALUE!</v>
      </c>
      <c r="CA94" s="10" t="e">
        <f t="shared" si="130"/>
        <v>#VALUE!</v>
      </c>
      <c r="CB94" s="10" t="e">
        <f t="shared" si="131"/>
        <v>#VALUE!</v>
      </c>
      <c r="CD94" s="10" t="e">
        <f>MATCH(INDEX($BP$12:$BU$12,1,MATCH(BP94,$BP$15:$BU$15,0)),结果汇总!$AI$10:$AI$13,0)</f>
        <v>#VALUE!</v>
      </c>
      <c r="CE94" s="10" t="e">
        <f>MATCH(INDEX($BP$12:$BU$12,1,MATCH(BQ94,$BP$15:$BU$15,0)),结果汇总!$AI$10:$AI$13,0)</f>
        <v>#VALUE!</v>
      </c>
      <c r="CF94" s="10" t="e">
        <f>MATCH(INDEX($BP$12:$BU$12,1,MATCH(BR94,$BP$15:$BU$15,0)),结果汇总!$AI$10:$AI$13,0)</f>
        <v>#VALUE!</v>
      </c>
      <c r="CG94" s="10" t="e">
        <f>MATCH(INDEX($BP$12:$BU$12,1,MATCH(BS94,$BP$15:$BU$15,0)),结果汇总!$AI$10:$AI$13,0)</f>
        <v>#VALUE!</v>
      </c>
      <c r="CH94" s="10" t="e">
        <f>MATCH(INDEX($BP$12:$BU$12,1,MATCH(BT94,$BP$15:$BU$15,0)),结果汇总!$AI$10:$AI$13,0)</f>
        <v>#VALUE!</v>
      </c>
      <c r="CI94" s="10" t="e">
        <f>MATCH(INDEX($BP$12:$BU$12,1,MATCH(BU94,$BP$15:$BU$15,0)),结果汇总!$AI$10:$AI$13,0)</f>
        <v>#VALUE!</v>
      </c>
      <c r="CK94" s="10">
        <f t="shared" si="132"/>
        <v>0</v>
      </c>
      <c r="CL94" s="10">
        <f t="shared" si="132"/>
        <v>0</v>
      </c>
      <c r="CM94" s="10">
        <f t="shared" si="132"/>
        <v>0</v>
      </c>
      <c r="CN94" s="10">
        <f t="shared" si="132"/>
        <v>0</v>
      </c>
      <c r="CO94" s="10">
        <f t="shared" si="133"/>
        <v>0</v>
      </c>
      <c r="CP94" s="10">
        <f t="shared" si="133"/>
        <v>0</v>
      </c>
      <c r="CQ94" s="10">
        <f t="shared" si="133"/>
        <v>0</v>
      </c>
      <c r="CR94" s="10">
        <f t="shared" si="133"/>
        <v>0</v>
      </c>
      <c r="CS94" s="10" t="e">
        <f t="shared" si="134"/>
        <v>#DIV/0!</v>
      </c>
      <c r="CT94" s="10" t="e">
        <f t="shared" si="134"/>
        <v>#DIV/0!</v>
      </c>
      <c r="CU94" s="10" t="e">
        <f t="shared" si="134"/>
        <v>#DIV/0!</v>
      </c>
      <c r="CV94" s="10" t="e">
        <f t="shared" si="134"/>
        <v>#DIV/0!</v>
      </c>
      <c r="CW94" s="10">
        <f t="shared" si="135"/>
        <v>0</v>
      </c>
      <c r="CX94" s="10">
        <f t="shared" si="135"/>
        <v>0</v>
      </c>
      <c r="CY94" s="10">
        <f t="shared" si="135"/>
        <v>0</v>
      </c>
      <c r="CZ94" s="10">
        <f t="shared" si="135"/>
        <v>0</v>
      </c>
    </row>
    <row r="95" spans="4:104" x14ac:dyDescent="0.15">
      <c r="D95" s="10">
        <v>80</v>
      </c>
      <c r="E95" s="10" t="e">
        <f t="shared" si="95"/>
        <v>#VALUE!</v>
      </c>
      <c r="F95" s="10" t="e">
        <f t="shared" si="79"/>
        <v>#VALUE!</v>
      </c>
      <c r="G95" s="10" t="e">
        <f t="shared" si="80"/>
        <v>#VALUE!</v>
      </c>
      <c r="H95" s="10" t="e">
        <f t="shared" si="96"/>
        <v>#VALUE!</v>
      </c>
      <c r="I95" s="10" t="e">
        <f t="shared" si="81"/>
        <v>#VALUE!</v>
      </c>
      <c r="J95" s="10" t="e">
        <f t="shared" si="97"/>
        <v>#VALUE!</v>
      </c>
      <c r="K95" s="10" t="e">
        <f t="shared" si="82"/>
        <v>#VALUE!</v>
      </c>
      <c r="L95" s="10" t="e">
        <f t="shared" si="83"/>
        <v>#VALUE!</v>
      </c>
      <c r="M95" s="10" t="e">
        <f t="shared" si="98"/>
        <v>#VALUE!</v>
      </c>
      <c r="O95" s="10" t="e">
        <f t="shared" si="99"/>
        <v>#VALUE!</v>
      </c>
      <c r="P95" s="10" t="e">
        <f t="shared" si="84"/>
        <v>#VALUE!</v>
      </c>
      <c r="Q95" s="10" t="e">
        <f t="shared" si="85"/>
        <v>#VALUE!</v>
      </c>
      <c r="R95" s="10" t="e">
        <f t="shared" si="100"/>
        <v>#VALUE!</v>
      </c>
      <c r="S95" s="10" t="e">
        <f t="shared" si="101"/>
        <v>#VALUE!</v>
      </c>
      <c r="T95" s="10" t="e">
        <f t="shared" si="136"/>
        <v>#VALUE!</v>
      </c>
      <c r="U95" s="10" t="e">
        <f t="shared" si="137"/>
        <v>#VALUE!</v>
      </c>
      <c r="V95" s="10" t="e">
        <f t="shared" si="86"/>
        <v>#VALUE!</v>
      </c>
      <c r="W95" s="10" t="e">
        <f t="shared" si="102"/>
        <v>#VALUE!</v>
      </c>
      <c r="Y95" s="10" t="e">
        <f t="shared" si="103"/>
        <v>#VALUE!</v>
      </c>
      <c r="Z95" s="11" t="e">
        <f t="shared" si="104"/>
        <v>#VALUE!</v>
      </c>
      <c r="AA95" s="10" t="e">
        <f t="shared" si="87"/>
        <v>#VALUE!</v>
      </c>
      <c r="AB95" s="10" t="e">
        <f t="shared" si="105"/>
        <v>#VALUE!</v>
      </c>
      <c r="AC95" s="10" t="e">
        <f t="shared" si="106"/>
        <v>#VALUE!</v>
      </c>
      <c r="AD95" s="10" t="e">
        <f t="shared" si="138"/>
        <v>#VALUE!</v>
      </c>
      <c r="AE95" s="10" t="e">
        <f t="shared" si="139"/>
        <v>#VALUE!</v>
      </c>
      <c r="AF95" s="10" t="e">
        <f t="shared" si="88"/>
        <v>#VALUE!</v>
      </c>
      <c r="AG95" s="10" t="e">
        <f t="shared" si="107"/>
        <v>#VALUE!</v>
      </c>
      <c r="AI95" s="13"/>
      <c r="AK95" s="10" t="e">
        <f t="shared" si="108"/>
        <v>#VALUE!</v>
      </c>
      <c r="AL95" s="10" t="e">
        <f t="shared" si="140"/>
        <v>#VALUE!</v>
      </c>
      <c r="AM95" s="10" t="e">
        <f t="shared" si="89"/>
        <v>#VALUE!</v>
      </c>
      <c r="AN95" s="10" t="e">
        <f t="shared" si="109"/>
        <v>#VALUE!</v>
      </c>
      <c r="AO95" s="10" t="e">
        <f t="shared" si="110"/>
        <v>#VALUE!</v>
      </c>
      <c r="AP95" s="10" t="e">
        <f t="shared" si="111"/>
        <v>#VALUE!</v>
      </c>
      <c r="AQ95" s="10" t="e">
        <f t="shared" si="141"/>
        <v>#VALUE!</v>
      </c>
      <c r="AR95" s="10" t="e">
        <f t="shared" si="90"/>
        <v>#VALUE!</v>
      </c>
      <c r="AS95" s="10" t="e">
        <f t="shared" si="142"/>
        <v>#VALUE!</v>
      </c>
      <c r="AU95" s="10" t="e">
        <f t="shared" si="112"/>
        <v>#VALUE!</v>
      </c>
      <c r="AV95" s="10" t="e">
        <f t="shared" si="143"/>
        <v>#VALUE!</v>
      </c>
      <c r="AW95" s="10" t="e">
        <f t="shared" si="91"/>
        <v>#VALUE!</v>
      </c>
      <c r="AX95" s="10" t="e">
        <f t="shared" si="113"/>
        <v>#VALUE!</v>
      </c>
      <c r="AY95" s="10" t="e">
        <f t="shared" si="114"/>
        <v>#VALUE!</v>
      </c>
      <c r="AZ95" s="10" t="e">
        <f t="shared" si="115"/>
        <v>#VALUE!</v>
      </c>
      <c r="BA95" s="10" t="e">
        <f t="shared" si="144"/>
        <v>#VALUE!</v>
      </c>
      <c r="BB95" s="10" t="e">
        <f t="shared" si="92"/>
        <v>#VALUE!</v>
      </c>
      <c r="BC95" s="10" t="e">
        <f t="shared" si="145"/>
        <v>#VALUE!</v>
      </c>
      <c r="BE95" s="10" t="e">
        <f t="shared" si="116"/>
        <v>#VALUE!</v>
      </c>
      <c r="BF95" s="10" t="e">
        <f t="shared" si="146"/>
        <v>#VALUE!</v>
      </c>
      <c r="BG95" s="10" t="e">
        <f t="shared" si="93"/>
        <v>#VALUE!</v>
      </c>
      <c r="BH95" s="10" t="e">
        <f t="shared" si="117"/>
        <v>#VALUE!</v>
      </c>
      <c r="BI95" s="10" t="e">
        <f t="shared" si="118"/>
        <v>#VALUE!</v>
      </c>
      <c r="BJ95" s="10" t="e">
        <f t="shared" si="119"/>
        <v>#VALUE!</v>
      </c>
      <c r="BK95" s="10" t="e">
        <f t="shared" si="147"/>
        <v>#VALUE!</v>
      </c>
      <c r="BL95" s="10" t="e">
        <f t="shared" si="94"/>
        <v>#VALUE!</v>
      </c>
      <c r="BM95" s="10" t="e">
        <f t="shared" si="148"/>
        <v>#VALUE!</v>
      </c>
      <c r="BP95" s="10" t="e">
        <f t="shared" si="120"/>
        <v>#VALUE!</v>
      </c>
      <c r="BQ95" s="10" t="e">
        <f t="shared" si="121"/>
        <v>#VALUE!</v>
      </c>
      <c r="BR95" s="10" t="e">
        <f t="shared" si="122"/>
        <v>#VALUE!</v>
      </c>
      <c r="BS95" s="10" t="e">
        <f t="shared" si="123"/>
        <v>#VALUE!</v>
      </c>
      <c r="BT95" s="10" t="e">
        <f t="shared" si="124"/>
        <v>#VALUE!</v>
      </c>
      <c r="BU95" s="10" t="e">
        <f t="shared" si="125"/>
        <v>#VALUE!</v>
      </c>
      <c r="BW95" s="10" t="e">
        <f t="shared" si="126"/>
        <v>#VALUE!</v>
      </c>
      <c r="BX95" s="10" t="e">
        <f t="shared" si="127"/>
        <v>#VALUE!</v>
      </c>
      <c r="BY95" s="10" t="e">
        <f t="shared" si="128"/>
        <v>#VALUE!</v>
      </c>
      <c r="BZ95" s="10" t="e">
        <f t="shared" si="129"/>
        <v>#VALUE!</v>
      </c>
      <c r="CA95" s="10" t="e">
        <f t="shared" si="130"/>
        <v>#VALUE!</v>
      </c>
      <c r="CB95" s="10" t="e">
        <f t="shared" si="131"/>
        <v>#VALUE!</v>
      </c>
      <c r="CD95" s="10" t="e">
        <f>MATCH(INDEX($BP$12:$BU$12,1,MATCH(BP95,$BP$15:$BU$15,0)),结果汇总!$AI$10:$AI$13,0)</f>
        <v>#VALUE!</v>
      </c>
      <c r="CE95" s="10" t="e">
        <f>MATCH(INDEX($BP$12:$BU$12,1,MATCH(BQ95,$BP$15:$BU$15,0)),结果汇总!$AI$10:$AI$13,0)</f>
        <v>#VALUE!</v>
      </c>
      <c r="CF95" s="10" t="e">
        <f>MATCH(INDEX($BP$12:$BU$12,1,MATCH(BR95,$BP$15:$BU$15,0)),结果汇总!$AI$10:$AI$13,0)</f>
        <v>#VALUE!</v>
      </c>
      <c r="CG95" s="10" t="e">
        <f>MATCH(INDEX($BP$12:$BU$12,1,MATCH(BS95,$BP$15:$BU$15,0)),结果汇总!$AI$10:$AI$13,0)</f>
        <v>#VALUE!</v>
      </c>
      <c r="CH95" s="10" t="e">
        <f>MATCH(INDEX($BP$12:$BU$12,1,MATCH(BT95,$BP$15:$BU$15,0)),结果汇总!$AI$10:$AI$13,0)</f>
        <v>#VALUE!</v>
      </c>
      <c r="CI95" s="10" t="e">
        <f>MATCH(INDEX($BP$12:$BU$12,1,MATCH(BU95,$BP$15:$BU$15,0)),结果汇总!$AI$10:$AI$13,0)</f>
        <v>#VALUE!</v>
      </c>
      <c r="CK95" s="10">
        <f t="shared" si="132"/>
        <v>0</v>
      </c>
      <c r="CL95" s="10">
        <f t="shared" si="132"/>
        <v>0</v>
      </c>
      <c r="CM95" s="10">
        <f t="shared" si="132"/>
        <v>0</v>
      </c>
      <c r="CN95" s="10">
        <f t="shared" si="132"/>
        <v>0</v>
      </c>
      <c r="CO95" s="10">
        <f t="shared" si="133"/>
        <v>0</v>
      </c>
      <c r="CP95" s="10">
        <f t="shared" si="133"/>
        <v>0</v>
      </c>
      <c r="CQ95" s="10">
        <f t="shared" si="133"/>
        <v>0</v>
      </c>
      <c r="CR95" s="10">
        <f t="shared" si="133"/>
        <v>0</v>
      </c>
      <c r="CS95" s="10" t="e">
        <f t="shared" si="134"/>
        <v>#DIV/0!</v>
      </c>
      <c r="CT95" s="10" t="e">
        <f t="shared" si="134"/>
        <v>#DIV/0!</v>
      </c>
      <c r="CU95" s="10" t="e">
        <f t="shared" si="134"/>
        <v>#DIV/0!</v>
      </c>
      <c r="CV95" s="10" t="e">
        <f t="shared" si="134"/>
        <v>#DIV/0!</v>
      </c>
      <c r="CW95" s="10">
        <f t="shared" si="135"/>
        <v>0</v>
      </c>
      <c r="CX95" s="10">
        <f t="shared" si="135"/>
        <v>0</v>
      </c>
      <c r="CY95" s="10">
        <f t="shared" si="135"/>
        <v>0</v>
      </c>
      <c r="CZ95" s="10">
        <f t="shared" si="135"/>
        <v>0</v>
      </c>
    </row>
    <row r="96" spans="4:104" x14ac:dyDescent="0.15">
      <c r="D96" s="10">
        <v>81</v>
      </c>
      <c r="E96" s="10" t="e">
        <f t="shared" si="95"/>
        <v>#VALUE!</v>
      </c>
      <c r="F96" s="10" t="e">
        <f t="shared" si="79"/>
        <v>#VALUE!</v>
      </c>
      <c r="G96" s="10" t="e">
        <f t="shared" si="80"/>
        <v>#VALUE!</v>
      </c>
      <c r="H96" s="10" t="e">
        <f t="shared" si="96"/>
        <v>#VALUE!</v>
      </c>
      <c r="I96" s="10" t="e">
        <f t="shared" si="81"/>
        <v>#VALUE!</v>
      </c>
      <c r="J96" s="10" t="e">
        <f t="shared" si="97"/>
        <v>#VALUE!</v>
      </c>
      <c r="K96" s="10" t="e">
        <f t="shared" si="82"/>
        <v>#VALUE!</v>
      </c>
      <c r="L96" s="10" t="e">
        <f t="shared" si="83"/>
        <v>#VALUE!</v>
      </c>
      <c r="M96" s="10" t="e">
        <f t="shared" si="98"/>
        <v>#VALUE!</v>
      </c>
      <c r="O96" s="10" t="e">
        <f t="shared" si="99"/>
        <v>#VALUE!</v>
      </c>
      <c r="P96" s="10" t="e">
        <f t="shared" si="84"/>
        <v>#VALUE!</v>
      </c>
      <c r="Q96" s="10" t="e">
        <f t="shared" si="85"/>
        <v>#VALUE!</v>
      </c>
      <c r="R96" s="10" t="e">
        <f t="shared" si="100"/>
        <v>#VALUE!</v>
      </c>
      <c r="S96" s="10" t="e">
        <f t="shared" si="101"/>
        <v>#VALUE!</v>
      </c>
      <c r="T96" s="10" t="e">
        <f t="shared" si="136"/>
        <v>#VALUE!</v>
      </c>
      <c r="U96" s="10" t="e">
        <f t="shared" si="137"/>
        <v>#VALUE!</v>
      </c>
      <c r="V96" s="10" t="e">
        <f t="shared" si="86"/>
        <v>#VALUE!</v>
      </c>
      <c r="W96" s="10" t="e">
        <f t="shared" si="102"/>
        <v>#VALUE!</v>
      </c>
      <c r="Y96" s="10" t="e">
        <f t="shared" si="103"/>
        <v>#VALUE!</v>
      </c>
      <c r="Z96" s="11" t="e">
        <f t="shared" si="104"/>
        <v>#VALUE!</v>
      </c>
      <c r="AA96" s="10" t="e">
        <f t="shared" si="87"/>
        <v>#VALUE!</v>
      </c>
      <c r="AB96" s="10" t="e">
        <f t="shared" si="105"/>
        <v>#VALUE!</v>
      </c>
      <c r="AC96" s="10" t="e">
        <f t="shared" si="106"/>
        <v>#VALUE!</v>
      </c>
      <c r="AD96" s="10" t="e">
        <f t="shared" si="138"/>
        <v>#VALUE!</v>
      </c>
      <c r="AE96" s="10" t="e">
        <f t="shared" si="139"/>
        <v>#VALUE!</v>
      </c>
      <c r="AF96" s="10" t="e">
        <f t="shared" si="88"/>
        <v>#VALUE!</v>
      </c>
      <c r="AG96" s="10" t="e">
        <f t="shared" si="107"/>
        <v>#VALUE!</v>
      </c>
      <c r="AI96" s="13"/>
      <c r="AK96" s="10" t="e">
        <f t="shared" si="108"/>
        <v>#VALUE!</v>
      </c>
      <c r="AL96" s="10" t="e">
        <f t="shared" si="140"/>
        <v>#VALUE!</v>
      </c>
      <c r="AM96" s="10" t="e">
        <f t="shared" si="89"/>
        <v>#VALUE!</v>
      </c>
      <c r="AN96" s="10" t="e">
        <f t="shared" si="109"/>
        <v>#VALUE!</v>
      </c>
      <c r="AO96" s="10" t="e">
        <f t="shared" si="110"/>
        <v>#VALUE!</v>
      </c>
      <c r="AP96" s="10" t="e">
        <f t="shared" si="111"/>
        <v>#VALUE!</v>
      </c>
      <c r="AQ96" s="10" t="e">
        <f t="shared" si="141"/>
        <v>#VALUE!</v>
      </c>
      <c r="AR96" s="10" t="e">
        <f t="shared" si="90"/>
        <v>#VALUE!</v>
      </c>
      <c r="AS96" s="10" t="e">
        <f t="shared" si="142"/>
        <v>#VALUE!</v>
      </c>
      <c r="AU96" s="10" t="e">
        <f t="shared" si="112"/>
        <v>#VALUE!</v>
      </c>
      <c r="AV96" s="10" t="e">
        <f t="shared" si="143"/>
        <v>#VALUE!</v>
      </c>
      <c r="AW96" s="10" t="e">
        <f t="shared" si="91"/>
        <v>#VALUE!</v>
      </c>
      <c r="AX96" s="10" t="e">
        <f t="shared" si="113"/>
        <v>#VALUE!</v>
      </c>
      <c r="AY96" s="10" t="e">
        <f t="shared" si="114"/>
        <v>#VALUE!</v>
      </c>
      <c r="AZ96" s="10" t="e">
        <f t="shared" si="115"/>
        <v>#VALUE!</v>
      </c>
      <c r="BA96" s="10" t="e">
        <f t="shared" si="144"/>
        <v>#VALUE!</v>
      </c>
      <c r="BB96" s="10" t="e">
        <f t="shared" si="92"/>
        <v>#VALUE!</v>
      </c>
      <c r="BC96" s="10" t="e">
        <f t="shared" si="145"/>
        <v>#VALUE!</v>
      </c>
      <c r="BE96" s="10" t="e">
        <f t="shared" si="116"/>
        <v>#VALUE!</v>
      </c>
      <c r="BF96" s="10" t="e">
        <f t="shared" si="146"/>
        <v>#VALUE!</v>
      </c>
      <c r="BG96" s="10" t="e">
        <f t="shared" si="93"/>
        <v>#VALUE!</v>
      </c>
      <c r="BH96" s="10" t="e">
        <f t="shared" si="117"/>
        <v>#VALUE!</v>
      </c>
      <c r="BI96" s="10" t="e">
        <f t="shared" si="118"/>
        <v>#VALUE!</v>
      </c>
      <c r="BJ96" s="10" t="e">
        <f t="shared" si="119"/>
        <v>#VALUE!</v>
      </c>
      <c r="BK96" s="10" t="e">
        <f t="shared" si="147"/>
        <v>#VALUE!</v>
      </c>
      <c r="BL96" s="10" t="e">
        <f t="shared" si="94"/>
        <v>#VALUE!</v>
      </c>
      <c r="BM96" s="10" t="e">
        <f t="shared" si="148"/>
        <v>#VALUE!</v>
      </c>
      <c r="BP96" s="10" t="e">
        <f t="shared" si="120"/>
        <v>#VALUE!</v>
      </c>
      <c r="BQ96" s="10" t="e">
        <f t="shared" si="121"/>
        <v>#VALUE!</v>
      </c>
      <c r="BR96" s="10" t="e">
        <f t="shared" si="122"/>
        <v>#VALUE!</v>
      </c>
      <c r="BS96" s="10" t="e">
        <f t="shared" si="123"/>
        <v>#VALUE!</v>
      </c>
      <c r="BT96" s="10" t="e">
        <f t="shared" si="124"/>
        <v>#VALUE!</v>
      </c>
      <c r="BU96" s="10" t="e">
        <f t="shared" si="125"/>
        <v>#VALUE!</v>
      </c>
      <c r="BW96" s="10" t="e">
        <f t="shared" si="126"/>
        <v>#VALUE!</v>
      </c>
      <c r="BX96" s="10" t="e">
        <f t="shared" si="127"/>
        <v>#VALUE!</v>
      </c>
      <c r="BY96" s="10" t="e">
        <f t="shared" si="128"/>
        <v>#VALUE!</v>
      </c>
      <c r="BZ96" s="10" t="e">
        <f t="shared" si="129"/>
        <v>#VALUE!</v>
      </c>
      <c r="CA96" s="10" t="e">
        <f t="shared" si="130"/>
        <v>#VALUE!</v>
      </c>
      <c r="CB96" s="10" t="e">
        <f t="shared" si="131"/>
        <v>#VALUE!</v>
      </c>
      <c r="CD96" s="10" t="e">
        <f>MATCH(INDEX($BP$12:$BU$12,1,MATCH(BP96,$BP$15:$BU$15,0)),结果汇总!$AI$10:$AI$13,0)</f>
        <v>#VALUE!</v>
      </c>
      <c r="CE96" s="10" t="e">
        <f>MATCH(INDEX($BP$12:$BU$12,1,MATCH(BQ96,$BP$15:$BU$15,0)),结果汇总!$AI$10:$AI$13,0)</f>
        <v>#VALUE!</v>
      </c>
      <c r="CF96" s="10" t="e">
        <f>MATCH(INDEX($BP$12:$BU$12,1,MATCH(BR96,$BP$15:$BU$15,0)),结果汇总!$AI$10:$AI$13,0)</f>
        <v>#VALUE!</v>
      </c>
      <c r="CG96" s="10" t="e">
        <f>MATCH(INDEX($BP$12:$BU$12,1,MATCH(BS96,$BP$15:$BU$15,0)),结果汇总!$AI$10:$AI$13,0)</f>
        <v>#VALUE!</v>
      </c>
      <c r="CH96" s="10" t="e">
        <f>MATCH(INDEX($BP$12:$BU$12,1,MATCH(BT96,$BP$15:$BU$15,0)),结果汇总!$AI$10:$AI$13,0)</f>
        <v>#VALUE!</v>
      </c>
      <c r="CI96" s="10" t="e">
        <f>MATCH(INDEX($BP$12:$BU$12,1,MATCH(BU96,$BP$15:$BU$15,0)),结果汇总!$AI$10:$AI$13,0)</f>
        <v>#VALUE!</v>
      </c>
      <c r="CK96" s="10">
        <f t="shared" si="132"/>
        <v>0</v>
      </c>
      <c r="CL96" s="10">
        <f t="shared" si="132"/>
        <v>0</v>
      </c>
      <c r="CM96" s="10">
        <f t="shared" si="132"/>
        <v>0</v>
      </c>
      <c r="CN96" s="10">
        <f t="shared" si="132"/>
        <v>0</v>
      </c>
      <c r="CO96" s="10">
        <f t="shared" si="133"/>
        <v>0</v>
      </c>
      <c r="CP96" s="10">
        <f t="shared" si="133"/>
        <v>0</v>
      </c>
      <c r="CQ96" s="10">
        <f t="shared" si="133"/>
        <v>0</v>
      </c>
      <c r="CR96" s="10">
        <f t="shared" si="133"/>
        <v>0</v>
      </c>
      <c r="CS96" s="10" t="e">
        <f t="shared" si="134"/>
        <v>#DIV/0!</v>
      </c>
      <c r="CT96" s="10" t="e">
        <f t="shared" si="134"/>
        <v>#DIV/0!</v>
      </c>
      <c r="CU96" s="10" t="e">
        <f t="shared" si="134"/>
        <v>#DIV/0!</v>
      </c>
      <c r="CV96" s="10" t="e">
        <f t="shared" si="134"/>
        <v>#DIV/0!</v>
      </c>
      <c r="CW96" s="10">
        <f t="shared" si="135"/>
        <v>0</v>
      </c>
      <c r="CX96" s="10">
        <f t="shared" si="135"/>
        <v>0</v>
      </c>
      <c r="CY96" s="10">
        <f t="shared" si="135"/>
        <v>0</v>
      </c>
      <c r="CZ96" s="10">
        <f t="shared" si="135"/>
        <v>0</v>
      </c>
    </row>
    <row r="97" spans="4:104" x14ac:dyDescent="0.15">
      <c r="D97" s="10">
        <v>82</v>
      </c>
      <c r="E97" s="10" t="e">
        <f t="shared" si="95"/>
        <v>#VALUE!</v>
      </c>
      <c r="F97" s="10" t="e">
        <f t="shared" si="79"/>
        <v>#VALUE!</v>
      </c>
      <c r="G97" s="10" t="e">
        <f t="shared" si="80"/>
        <v>#VALUE!</v>
      </c>
      <c r="H97" s="10" t="e">
        <f t="shared" si="96"/>
        <v>#VALUE!</v>
      </c>
      <c r="I97" s="10" t="e">
        <f t="shared" si="81"/>
        <v>#VALUE!</v>
      </c>
      <c r="J97" s="10" t="e">
        <f t="shared" si="97"/>
        <v>#VALUE!</v>
      </c>
      <c r="K97" s="10" t="e">
        <f t="shared" si="82"/>
        <v>#VALUE!</v>
      </c>
      <c r="L97" s="10" t="e">
        <f t="shared" si="83"/>
        <v>#VALUE!</v>
      </c>
      <c r="M97" s="10" t="e">
        <f t="shared" si="98"/>
        <v>#VALUE!</v>
      </c>
      <c r="O97" s="10" t="e">
        <f t="shared" si="99"/>
        <v>#VALUE!</v>
      </c>
      <c r="P97" s="10" t="e">
        <f t="shared" si="84"/>
        <v>#VALUE!</v>
      </c>
      <c r="Q97" s="10" t="e">
        <f t="shared" si="85"/>
        <v>#VALUE!</v>
      </c>
      <c r="R97" s="10" t="e">
        <f t="shared" si="100"/>
        <v>#VALUE!</v>
      </c>
      <c r="S97" s="10" t="e">
        <f t="shared" si="101"/>
        <v>#VALUE!</v>
      </c>
      <c r="T97" s="10" t="e">
        <f t="shared" si="136"/>
        <v>#VALUE!</v>
      </c>
      <c r="U97" s="10" t="e">
        <f t="shared" si="137"/>
        <v>#VALUE!</v>
      </c>
      <c r="V97" s="10" t="e">
        <f t="shared" si="86"/>
        <v>#VALUE!</v>
      </c>
      <c r="W97" s="10" t="e">
        <f t="shared" si="102"/>
        <v>#VALUE!</v>
      </c>
      <c r="Y97" s="10" t="e">
        <f t="shared" si="103"/>
        <v>#VALUE!</v>
      </c>
      <c r="Z97" s="11" t="e">
        <f t="shared" si="104"/>
        <v>#VALUE!</v>
      </c>
      <c r="AA97" s="10" t="e">
        <f t="shared" si="87"/>
        <v>#VALUE!</v>
      </c>
      <c r="AB97" s="10" t="e">
        <f t="shared" si="105"/>
        <v>#VALUE!</v>
      </c>
      <c r="AC97" s="10" t="e">
        <f t="shared" si="106"/>
        <v>#VALUE!</v>
      </c>
      <c r="AD97" s="10" t="e">
        <f t="shared" si="138"/>
        <v>#VALUE!</v>
      </c>
      <c r="AE97" s="10" t="e">
        <f t="shared" si="139"/>
        <v>#VALUE!</v>
      </c>
      <c r="AF97" s="10" t="e">
        <f t="shared" si="88"/>
        <v>#VALUE!</v>
      </c>
      <c r="AG97" s="10" t="e">
        <f t="shared" si="107"/>
        <v>#VALUE!</v>
      </c>
      <c r="AI97" s="13"/>
      <c r="AK97" s="10" t="e">
        <f t="shared" si="108"/>
        <v>#VALUE!</v>
      </c>
      <c r="AL97" s="10" t="e">
        <f t="shared" si="140"/>
        <v>#VALUE!</v>
      </c>
      <c r="AM97" s="10" t="e">
        <f t="shared" si="89"/>
        <v>#VALUE!</v>
      </c>
      <c r="AN97" s="10" t="e">
        <f t="shared" si="109"/>
        <v>#VALUE!</v>
      </c>
      <c r="AO97" s="10" t="e">
        <f t="shared" si="110"/>
        <v>#VALUE!</v>
      </c>
      <c r="AP97" s="10" t="e">
        <f t="shared" si="111"/>
        <v>#VALUE!</v>
      </c>
      <c r="AQ97" s="10" t="e">
        <f t="shared" si="141"/>
        <v>#VALUE!</v>
      </c>
      <c r="AR97" s="10" t="e">
        <f t="shared" si="90"/>
        <v>#VALUE!</v>
      </c>
      <c r="AS97" s="10" t="e">
        <f t="shared" si="142"/>
        <v>#VALUE!</v>
      </c>
      <c r="AU97" s="10" t="e">
        <f t="shared" si="112"/>
        <v>#VALUE!</v>
      </c>
      <c r="AV97" s="10" t="e">
        <f t="shared" si="143"/>
        <v>#VALUE!</v>
      </c>
      <c r="AW97" s="10" t="e">
        <f t="shared" si="91"/>
        <v>#VALUE!</v>
      </c>
      <c r="AX97" s="10" t="e">
        <f t="shared" si="113"/>
        <v>#VALUE!</v>
      </c>
      <c r="AY97" s="10" t="e">
        <f t="shared" si="114"/>
        <v>#VALUE!</v>
      </c>
      <c r="AZ97" s="10" t="e">
        <f t="shared" si="115"/>
        <v>#VALUE!</v>
      </c>
      <c r="BA97" s="10" t="e">
        <f t="shared" si="144"/>
        <v>#VALUE!</v>
      </c>
      <c r="BB97" s="10" t="e">
        <f t="shared" si="92"/>
        <v>#VALUE!</v>
      </c>
      <c r="BC97" s="10" t="e">
        <f t="shared" si="145"/>
        <v>#VALUE!</v>
      </c>
      <c r="BE97" s="10" t="e">
        <f t="shared" si="116"/>
        <v>#VALUE!</v>
      </c>
      <c r="BF97" s="10" t="e">
        <f t="shared" si="146"/>
        <v>#VALUE!</v>
      </c>
      <c r="BG97" s="10" t="e">
        <f t="shared" si="93"/>
        <v>#VALUE!</v>
      </c>
      <c r="BH97" s="10" t="e">
        <f t="shared" si="117"/>
        <v>#VALUE!</v>
      </c>
      <c r="BI97" s="10" t="e">
        <f t="shared" si="118"/>
        <v>#VALUE!</v>
      </c>
      <c r="BJ97" s="10" t="e">
        <f t="shared" si="119"/>
        <v>#VALUE!</v>
      </c>
      <c r="BK97" s="10" t="e">
        <f t="shared" si="147"/>
        <v>#VALUE!</v>
      </c>
      <c r="BL97" s="10" t="e">
        <f t="shared" si="94"/>
        <v>#VALUE!</v>
      </c>
      <c r="BM97" s="10" t="e">
        <f t="shared" si="148"/>
        <v>#VALUE!</v>
      </c>
      <c r="BP97" s="10" t="e">
        <f t="shared" si="120"/>
        <v>#VALUE!</v>
      </c>
      <c r="BQ97" s="10" t="e">
        <f t="shared" si="121"/>
        <v>#VALUE!</v>
      </c>
      <c r="BR97" s="10" t="e">
        <f t="shared" si="122"/>
        <v>#VALUE!</v>
      </c>
      <c r="BS97" s="10" t="e">
        <f t="shared" si="123"/>
        <v>#VALUE!</v>
      </c>
      <c r="BT97" s="10" t="e">
        <f t="shared" si="124"/>
        <v>#VALUE!</v>
      </c>
      <c r="BU97" s="10" t="e">
        <f t="shared" si="125"/>
        <v>#VALUE!</v>
      </c>
      <c r="BW97" s="10" t="e">
        <f t="shared" si="126"/>
        <v>#VALUE!</v>
      </c>
      <c r="BX97" s="10" t="e">
        <f t="shared" si="127"/>
        <v>#VALUE!</v>
      </c>
      <c r="BY97" s="10" t="e">
        <f t="shared" si="128"/>
        <v>#VALUE!</v>
      </c>
      <c r="BZ97" s="10" t="e">
        <f t="shared" si="129"/>
        <v>#VALUE!</v>
      </c>
      <c r="CA97" s="10" t="e">
        <f t="shared" si="130"/>
        <v>#VALUE!</v>
      </c>
      <c r="CB97" s="10" t="e">
        <f t="shared" si="131"/>
        <v>#VALUE!</v>
      </c>
      <c r="CD97" s="10" t="e">
        <f>MATCH(INDEX($BP$12:$BU$12,1,MATCH(BP97,$BP$15:$BU$15,0)),结果汇总!$AI$10:$AI$13,0)</f>
        <v>#VALUE!</v>
      </c>
      <c r="CE97" s="10" t="e">
        <f>MATCH(INDEX($BP$12:$BU$12,1,MATCH(BQ97,$BP$15:$BU$15,0)),结果汇总!$AI$10:$AI$13,0)</f>
        <v>#VALUE!</v>
      </c>
      <c r="CF97" s="10" t="e">
        <f>MATCH(INDEX($BP$12:$BU$12,1,MATCH(BR97,$BP$15:$BU$15,0)),结果汇总!$AI$10:$AI$13,0)</f>
        <v>#VALUE!</v>
      </c>
      <c r="CG97" s="10" t="e">
        <f>MATCH(INDEX($BP$12:$BU$12,1,MATCH(BS97,$BP$15:$BU$15,0)),结果汇总!$AI$10:$AI$13,0)</f>
        <v>#VALUE!</v>
      </c>
      <c r="CH97" s="10" t="e">
        <f>MATCH(INDEX($BP$12:$BU$12,1,MATCH(BT97,$BP$15:$BU$15,0)),结果汇总!$AI$10:$AI$13,0)</f>
        <v>#VALUE!</v>
      </c>
      <c r="CI97" s="10" t="e">
        <f>MATCH(INDEX($BP$12:$BU$12,1,MATCH(BU97,$BP$15:$BU$15,0)),结果汇总!$AI$10:$AI$13,0)</f>
        <v>#VALUE!</v>
      </c>
      <c r="CK97" s="10">
        <f t="shared" si="132"/>
        <v>0</v>
      </c>
      <c r="CL97" s="10">
        <f t="shared" si="132"/>
        <v>0</v>
      </c>
      <c r="CM97" s="10">
        <f t="shared" si="132"/>
        <v>0</v>
      </c>
      <c r="CN97" s="10">
        <f t="shared" si="132"/>
        <v>0</v>
      </c>
      <c r="CO97" s="10">
        <f t="shared" si="133"/>
        <v>0</v>
      </c>
      <c r="CP97" s="10">
        <f t="shared" si="133"/>
        <v>0</v>
      </c>
      <c r="CQ97" s="10">
        <f t="shared" si="133"/>
        <v>0</v>
      </c>
      <c r="CR97" s="10">
        <f t="shared" si="133"/>
        <v>0</v>
      </c>
      <c r="CS97" s="10" t="e">
        <f t="shared" si="134"/>
        <v>#DIV/0!</v>
      </c>
      <c r="CT97" s="10" t="e">
        <f t="shared" si="134"/>
        <v>#DIV/0!</v>
      </c>
      <c r="CU97" s="10" t="e">
        <f t="shared" si="134"/>
        <v>#DIV/0!</v>
      </c>
      <c r="CV97" s="10" t="e">
        <f t="shared" si="134"/>
        <v>#DIV/0!</v>
      </c>
      <c r="CW97" s="10">
        <f t="shared" si="135"/>
        <v>0</v>
      </c>
      <c r="CX97" s="10">
        <f t="shared" si="135"/>
        <v>0</v>
      </c>
      <c r="CY97" s="10">
        <f t="shared" si="135"/>
        <v>0</v>
      </c>
      <c r="CZ97" s="10">
        <f t="shared" si="135"/>
        <v>0</v>
      </c>
    </row>
    <row r="98" spans="4:104" x14ac:dyDescent="0.15">
      <c r="D98" s="10">
        <v>83</v>
      </c>
      <c r="E98" s="10" t="e">
        <f t="shared" si="95"/>
        <v>#VALUE!</v>
      </c>
      <c r="F98" s="10" t="e">
        <f t="shared" si="79"/>
        <v>#VALUE!</v>
      </c>
      <c r="G98" s="10" t="e">
        <f t="shared" si="80"/>
        <v>#VALUE!</v>
      </c>
      <c r="H98" s="10" t="e">
        <f t="shared" si="96"/>
        <v>#VALUE!</v>
      </c>
      <c r="I98" s="10" t="e">
        <f t="shared" si="81"/>
        <v>#VALUE!</v>
      </c>
      <c r="J98" s="10" t="e">
        <f t="shared" si="97"/>
        <v>#VALUE!</v>
      </c>
      <c r="K98" s="10" t="e">
        <f t="shared" si="82"/>
        <v>#VALUE!</v>
      </c>
      <c r="L98" s="10" t="e">
        <f t="shared" si="83"/>
        <v>#VALUE!</v>
      </c>
      <c r="M98" s="10" t="e">
        <f t="shared" si="98"/>
        <v>#VALUE!</v>
      </c>
      <c r="O98" s="10" t="e">
        <f t="shared" si="99"/>
        <v>#VALUE!</v>
      </c>
      <c r="P98" s="10" t="e">
        <f t="shared" si="84"/>
        <v>#VALUE!</v>
      </c>
      <c r="Q98" s="10" t="e">
        <f t="shared" si="85"/>
        <v>#VALUE!</v>
      </c>
      <c r="R98" s="10" t="e">
        <f t="shared" si="100"/>
        <v>#VALUE!</v>
      </c>
      <c r="S98" s="10" t="e">
        <f t="shared" si="101"/>
        <v>#VALUE!</v>
      </c>
      <c r="T98" s="10" t="e">
        <f t="shared" si="136"/>
        <v>#VALUE!</v>
      </c>
      <c r="U98" s="10" t="e">
        <f t="shared" si="137"/>
        <v>#VALUE!</v>
      </c>
      <c r="V98" s="10" t="e">
        <f t="shared" si="86"/>
        <v>#VALUE!</v>
      </c>
      <c r="W98" s="10" t="e">
        <f t="shared" si="102"/>
        <v>#VALUE!</v>
      </c>
      <c r="Y98" s="10" t="e">
        <f t="shared" si="103"/>
        <v>#VALUE!</v>
      </c>
      <c r="Z98" s="11" t="e">
        <f t="shared" si="104"/>
        <v>#VALUE!</v>
      </c>
      <c r="AA98" s="10" t="e">
        <f t="shared" si="87"/>
        <v>#VALUE!</v>
      </c>
      <c r="AB98" s="10" t="e">
        <f t="shared" si="105"/>
        <v>#VALUE!</v>
      </c>
      <c r="AC98" s="10" t="e">
        <f t="shared" si="106"/>
        <v>#VALUE!</v>
      </c>
      <c r="AD98" s="10" t="e">
        <f t="shared" si="138"/>
        <v>#VALUE!</v>
      </c>
      <c r="AE98" s="10" t="e">
        <f t="shared" si="139"/>
        <v>#VALUE!</v>
      </c>
      <c r="AF98" s="10" t="e">
        <f t="shared" si="88"/>
        <v>#VALUE!</v>
      </c>
      <c r="AG98" s="10" t="e">
        <f t="shared" si="107"/>
        <v>#VALUE!</v>
      </c>
      <c r="AI98" s="13"/>
      <c r="AK98" s="10" t="e">
        <f t="shared" si="108"/>
        <v>#VALUE!</v>
      </c>
      <c r="AL98" s="10" t="e">
        <f t="shared" si="140"/>
        <v>#VALUE!</v>
      </c>
      <c r="AM98" s="10" t="e">
        <f t="shared" si="89"/>
        <v>#VALUE!</v>
      </c>
      <c r="AN98" s="10" t="e">
        <f t="shared" si="109"/>
        <v>#VALUE!</v>
      </c>
      <c r="AO98" s="10" t="e">
        <f t="shared" si="110"/>
        <v>#VALUE!</v>
      </c>
      <c r="AP98" s="10" t="e">
        <f t="shared" si="111"/>
        <v>#VALUE!</v>
      </c>
      <c r="AQ98" s="10" t="e">
        <f t="shared" si="141"/>
        <v>#VALUE!</v>
      </c>
      <c r="AR98" s="10" t="e">
        <f t="shared" si="90"/>
        <v>#VALUE!</v>
      </c>
      <c r="AS98" s="10" t="e">
        <f t="shared" si="142"/>
        <v>#VALUE!</v>
      </c>
      <c r="AU98" s="10" t="e">
        <f t="shared" si="112"/>
        <v>#VALUE!</v>
      </c>
      <c r="AV98" s="10" t="e">
        <f t="shared" si="143"/>
        <v>#VALUE!</v>
      </c>
      <c r="AW98" s="10" t="e">
        <f t="shared" si="91"/>
        <v>#VALUE!</v>
      </c>
      <c r="AX98" s="10" t="e">
        <f t="shared" si="113"/>
        <v>#VALUE!</v>
      </c>
      <c r="AY98" s="10" t="e">
        <f t="shared" si="114"/>
        <v>#VALUE!</v>
      </c>
      <c r="AZ98" s="10" t="e">
        <f t="shared" si="115"/>
        <v>#VALUE!</v>
      </c>
      <c r="BA98" s="10" t="e">
        <f t="shared" si="144"/>
        <v>#VALUE!</v>
      </c>
      <c r="BB98" s="10" t="e">
        <f t="shared" si="92"/>
        <v>#VALUE!</v>
      </c>
      <c r="BC98" s="10" t="e">
        <f t="shared" si="145"/>
        <v>#VALUE!</v>
      </c>
      <c r="BE98" s="10" t="e">
        <f t="shared" si="116"/>
        <v>#VALUE!</v>
      </c>
      <c r="BF98" s="10" t="e">
        <f t="shared" si="146"/>
        <v>#VALUE!</v>
      </c>
      <c r="BG98" s="10" t="e">
        <f t="shared" si="93"/>
        <v>#VALUE!</v>
      </c>
      <c r="BH98" s="10" t="e">
        <f t="shared" si="117"/>
        <v>#VALUE!</v>
      </c>
      <c r="BI98" s="10" t="e">
        <f t="shared" si="118"/>
        <v>#VALUE!</v>
      </c>
      <c r="BJ98" s="10" t="e">
        <f t="shared" si="119"/>
        <v>#VALUE!</v>
      </c>
      <c r="BK98" s="10" t="e">
        <f t="shared" si="147"/>
        <v>#VALUE!</v>
      </c>
      <c r="BL98" s="10" t="e">
        <f t="shared" si="94"/>
        <v>#VALUE!</v>
      </c>
      <c r="BM98" s="10" t="e">
        <f t="shared" si="148"/>
        <v>#VALUE!</v>
      </c>
      <c r="BP98" s="10" t="e">
        <f t="shared" si="120"/>
        <v>#VALUE!</v>
      </c>
      <c r="BQ98" s="10" t="e">
        <f t="shared" si="121"/>
        <v>#VALUE!</v>
      </c>
      <c r="BR98" s="10" t="e">
        <f t="shared" si="122"/>
        <v>#VALUE!</v>
      </c>
      <c r="BS98" s="10" t="e">
        <f t="shared" si="123"/>
        <v>#VALUE!</v>
      </c>
      <c r="BT98" s="10" t="e">
        <f t="shared" si="124"/>
        <v>#VALUE!</v>
      </c>
      <c r="BU98" s="10" t="e">
        <f t="shared" si="125"/>
        <v>#VALUE!</v>
      </c>
      <c r="BW98" s="10" t="e">
        <f t="shared" si="126"/>
        <v>#VALUE!</v>
      </c>
      <c r="BX98" s="10" t="e">
        <f t="shared" si="127"/>
        <v>#VALUE!</v>
      </c>
      <c r="BY98" s="10" t="e">
        <f t="shared" si="128"/>
        <v>#VALUE!</v>
      </c>
      <c r="BZ98" s="10" t="e">
        <f t="shared" si="129"/>
        <v>#VALUE!</v>
      </c>
      <c r="CA98" s="10" t="e">
        <f t="shared" si="130"/>
        <v>#VALUE!</v>
      </c>
      <c r="CB98" s="10" t="e">
        <f t="shared" si="131"/>
        <v>#VALUE!</v>
      </c>
      <c r="CD98" s="10" t="e">
        <f>MATCH(INDEX($BP$12:$BU$12,1,MATCH(BP98,$BP$15:$BU$15,0)),结果汇总!$AI$10:$AI$13,0)</f>
        <v>#VALUE!</v>
      </c>
      <c r="CE98" s="10" t="e">
        <f>MATCH(INDEX($BP$12:$BU$12,1,MATCH(BQ98,$BP$15:$BU$15,0)),结果汇总!$AI$10:$AI$13,0)</f>
        <v>#VALUE!</v>
      </c>
      <c r="CF98" s="10" t="e">
        <f>MATCH(INDEX($BP$12:$BU$12,1,MATCH(BR98,$BP$15:$BU$15,0)),结果汇总!$AI$10:$AI$13,0)</f>
        <v>#VALUE!</v>
      </c>
      <c r="CG98" s="10" t="e">
        <f>MATCH(INDEX($BP$12:$BU$12,1,MATCH(BS98,$BP$15:$BU$15,0)),结果汇总!$AI$10:$AI$13,0)</f>
        <v>#VALUE!</v>
      </c>
      <c r="CH98" s="10" t="e">
        <f>MATCH(INDEX($BP$12:$BU$12,1,MATCH(BT98,$BP$15:$BU$15,0)),结果汇总!$AI$10:$AI$13,0)</f>
        <v>#VALUE!</v>
      </c>
      <c r="CI98" s="10" t="e">
        <f>MATCH(INDEX($BP$12:$BU$12,1,MATCH(BU98,$BP$15:$BU$15,0)),结果汇总!$AI$10:$AI$13,0)</f>
        <v>#VALUE!</v>
      </c>
      <c r="CK98" s="10">
        <f t="shared" si="132"/>
        <v>0</v>
      </c>
      <c r="CL98" s="10">
        <f t="shared" si="132"/>
        <v>0</v>
      </c>
      <c r="CM98" s="10">
        <f t="shared" si="132"/>
        <v>0</v>
      </c>
      <c r="CN98" s="10">
        <f t="shared" si="132"/>
        <v>0</v>
      </c>
      <c r="CO98" s="10">
        <f t="shared" si="133"/>
        <v>0</v>
      </c>
      <c r="CP98" s="10">
        <f t="shared" si="133"/>
        <v>0</v>
      </c>
      <c r="CQ98" s="10">
        <f t="shared" si="133"/>
        <v>0</v>
      </c>
      <c r="CR98" s="10">
        <f t="shared" si="133"/>
        <v>0</v>
      </c>
      <c r="CS98" s="10" t="e">
        <f t="shared" si="134"/>
        <v>#DIV/0!</v>
      </c>
      <c r="CT98" s="10" t="e">
        <f t="shared" si="134"/>
        <v>#DIV/0!</v>
      </c>
      <c r="CU98" s="10" t="e">
        <f t="shared" si="134"/>
        <v>#DIV/0!</v>
      </c>
      <c r="CV98" s="10" t="e">
        <f t="shared" si="134"/>
        <v>#DIV/0!</v>
      </c>
      <c r="CW98" s="10">
        <f t="shared" si="135"/>
        <v>0</v>
      </c>
      <c r="CX98" s="10">
        <f t="shared" si="135"/>
        <v>0</v>
      </c>
      <c r="CY98" s="10">
        <f t="shared" si="135"/>
        <v>0</v>
      </c>
      <c r="CZ98" s="10">
        <f t="shared" si="135"/>
        <v>0</v>
      </c>
    </row>
    <row r="99" spans="4:104" x14ac:dyDescent="0.15">
      <c r="D99" s="10">
        <v>84</v>
      </c>
      <c r="E99" s="10" t="e">
        <f t="shared" si="95"/>
        <v>#VALUE!</v>
      </c>
      <c r="F99" s="10" t="e">
        <f t="shared" si="79"/>
        <v>#VALUE!</v>
      </c>
      <c r="G99" s="10" t="e">
        <f t="shared" si="80"/>
        <v>#VALUE!</v>
      </c>
      <c r="H99" s="10" t="e">
        <f t="shared" si="96"/>
        <v>#VALUE!</v>
      </c>
      <c r="I99" s="10" t="e">
        <f t="shared" si="81"/>
        <v>#VALUE!</v>
      </c>
      <c r="J99" s="10" t="e">
        <f t="shared" si="97"/>
        <v>#VALUE!</v>
      </c>
      <c r="K99" s="10" t="e">
        <f t="shared" si="82"/>
        <v>#VALUE!</v>
      </c>
      <c r="L99" s="10" t="e">
        <f t="shared" si="83"/>
        <v>#VALUE!</v>
      </c>
      <c r="M99" s="10" t="e">
        <f t="shared" si="98"/>
        <v>#VALUE!</v>
      </c>
      <c r="O99" s="10" t="e">
        <f t="shared" si="99"/>
        <v>#VALUE!</v>
      </c>
      <c r="P99" s="10" t="e">
        <f t="shared" si="84"/>
        <v>#VALUE!</v>
      </c>
      <c r="Q99" s="10" t="e">
        <f t="shared" si="85"/>
        <v>#VALUE!</v>
      </c>
      <c r="R99" s="10" t="e">
        <f t="shared" si="100"/>
        <v>#VALUE!</v>
      </c>
      <c r="S99" s="10" t="e">
        <f t="shared" si="101"/>
        <v>#VALUE!</v>
      </c>
      <c r="T99" s="10" t="e">
        <f t="shared" si="136"/>
        <v>#VALUE!</v>
      </c>
      <c r="U99" s="10" t="e">
        <f t="shared" si="137"/>
        <v>#VALUE!</v>
      </c>
      <c r="V99" s="10" t="e">
        <f t="shared" si="86"/>
        <v>#VALUE!</v>
      </c>
      <c r="W99" s="10" t="e">
        <f t="shared" si="102"/>
        <v>#VALUE!</v>
      </c>
      <c r="Y99" s="10" t="e">
        <f t="shared" si="103"/>
        <v>#VALUE!</v>
      </c>
      <c r="Z99" s="11" t="e">
        <f t="shared" si="104"/>
        <v>#VALUE!</v>
      </c>
      <c r="AA99" s="10" t="e">
        <f t="shared" si="87"/>
        <v>#VALUE!</v>
      </c>
      <c r="AB99" s="10" t="e">
        <f t="shared" si="105"/>
        <v>#VALUE!</v>
      </c>
      <c r="AC99" s="10" t="e">
        <f t="shared" si="106"/>
        <v>#VALUE!</v>
      </c>
      <c r="AD99" s="10" t="e">
        <f t="shared" si="138"/>
        <v>#VALUE!</v>
      </c>
      <c r="AE99" s="10" t="e">
        <f t="shared" si="139"/>
        <v>#VALUE!</v>
      </c>
      <c r="AF99" s="10" t="e">
        <f t="shared" si="88"/>
        <v>#VALUE!</v>
      </c>
      <c r="AG99" s="10" t="e">
        <f t="shared" si="107"/>
        <v>#VALUE!</v>
      </c>
      <c r="AI99" s="13"/>
      <c r="AK99" s="10" t="e">
        <f t="shared" si="108"/>
        <v>#VALUE!</v>
      </c>
      <c r="AL99" s="10" t="e">
        <f t="shared" si="140"/>
        <v>#VALUE!</v>
      </c>
      <c r="AM99" s="10" t="e">
        <f t="shared" si="89"/>
        <v>#VALUE!</v>
      </c>
      <c r="AN99" s="10" t="e">
        <f t="shared" si="109"/>
        <v>#VALUE!</v>
      </c>
      <c r="AO99" s="10" t="e">
        <f t="shared" si="110"/>
        <v>#VALUE!</v>
      </c>
      <c r="AP99" s="10" t="e">
        <f t="shared" si="111"/>
        <v>#VALUE!</v>
      </c>
      <c r="AQ99" s="10" t="e">
        <f t="shared" si="141"/>
        <v>#VALUE!</v>
      </c>
      <c r="AR99" s="10" t="e">
        <f t="shared" si="90"/>
        <v>#VALUE!</v>
      </c>
      <c r="AS99" s="10" t="e">
        <f t="shared" si="142"/>
        <v>#VALUE!</v>
      </c>
      <c r="AU99" s="10" t="e">
        <f t="shared" si="112"/>
        <v>#VALUE!</v>
      </c>
      <c r="AV99" s="10" t="e">
        <f t="shared" si="143"/>
        <v>#VALUE!</v>
      </c>
      <c r="AW99" s="10" t="e">
        <f t="shared" si="91"/>
        <v>#VALUE!</v>
      </c>
      <c r="AX99" s="10" t="e">
        <f t="shared" si="113"/>
        <v>#VALUE!</v>
      </c>
      <c r="AY99" s="10" t="e">
        <f t="shared" si="114"/>
        <v>#VALUE!</v>
      </c>
      <c r="AZ99" s="10" t="e">
        <f t="shared" si="115"/>
        <v>#VALUE!</v>
      </c>
      <c r="BA99" s="10" t="e">
        <f t="shared" si="144"/>
        <v>#VALUE!</v>
      </c>
      <c r="BB99" s="10" t="e">
        <f t="shared" si="92"/>
        <v>#VALUE!</v>
      </c>
      <c r="BC99" s="10" t="e">
        <f t="shared" si="145"/>
        <v>#VALUE!</v>
      </c>
      <c r="BE99" s="10" t="e">
        <f t="shared" si="116"/>
        <v>#VALUE!</v>
      </c>
      <c r="BF99" s="10" t="e">
        <f t="shared" si="146"/>
        <v>#VALUE!</v>
      </c>
      <c r="BG99" s="10" t="e">
        <f t="shared" si="93"/>
        <v>#VALUE!</v>
      </c>
      <c r="BH99" s="10" t="e">
        <f t="shared" si="117"/>
        <v>#VALUE!</v>
      </c>
      <c r="BI99" s="10" t="e">
        <f t="shared" si="118"/>
        <v>#VALUE!</v>
      </c>
      <c r="BJ99" s="10" t="e">
        <f t="shared" si="119"/>
        <v>#VALUE!</v>
      </c>
      <c r="BK99" s="10" t="e">
        <f t="shared" si="147"/>
        <v>#VALUE!</v>
      </c>
      <c r="BL99" s="10" t="e">
        <f t="shared" si="94"/>
        <v>#VALUE!</v>
      </c>
      <c r="BM99" s="10" t="e">
        <f t="shared" si="148"/>
        <v>#VALUE!</v>
      </c>
      <c r="BP99" s="10" t="e">
        <f t="shared" si="120"/>
        <v>#VALUE!</v>
      </c>
      <c r="BQ99" s="10" t="e">
        <f t="shared" si="121"/>
        <v>#VALUE!</v>
      </c>
      <c r="BR99" s="10" t="e">
        <f t="shared" si="122"/>
        <v>#VALUE!</v>
      </c>
      <c r="BS99" s="10" t="e">
        <f t="shared" si="123"/>
        <v>#VALUE!</v>
      </c>
      <c r="BT99" s="10" t="e">
        <f t="shared" si="124"/>
        <v>#VALUE!</v>
      </c>
      <c r="BU99" s="10" t="e">
        <f t="shared" si="125"/>
        <v>#VALUE!</v>
      </c>
      <c r="BW99" s="10" t="e">
        <f t="shared" si="126"/>
        <v>#VALUE!</v>
      </c>
      <c r="BX99" s="10" t="e">
        <f t="shared" si="127"/>
        <v>#VALUE!</v>
      </c>
      <c r="BY99" s="10" t="e">
        <f t="shared" si="128"/>
        <v>#VALUE!</v>
      </c>
      <c r="BZ99" s="10" t="e">
        <f t="shared" si="129"/>
        <v>#VALUE!</v>
      </c>
      <c r="CA99" s="10" t="e">
        <f t="shared" si="130"/>
        <v>#VALUE!</v>
      </c>
      <c r="CB99" s="10" t="e">
        <f t="shared" si="131"/>
        <v>#VALUE!</v>
      </c>
      <c r="CD99" s="10" t="e">
        <f>MATCH(INDEX($BP$12:$BU$12,1,MATCH(BP99,$BP$15:$BU$15,0)),结果汇总!$AI$10:$AI$13,0)</f>
        <v>#VALUE!</v>
      </c>
      <c r="CE99" s="10" t="e">
        <f>MATCH(INDEX($BP$12:$BU$12,1,MATCH(BQ99,$BP$15:$BU$15,0)),结果汇总!$AI$10:$AI$13,0)</f>
        <v>#VALUE!</v>
      </c>
      <c r="CF99" s="10" t="e">
        <f>MATCH(INDEX($BP$12:$BU$12,1,MATCH(BR99,$BP$15:$BU$15,0)),结果汇总!$AI$10:$AI$13,0)</f>
        <v>#VALUE!</v>
      </c>
      <c r="CG99" s="10" t="e">
        <f>MATCH(INDEX($BP$12:$BU$12,1,MATCH(BS99,$BP$15:$BU$15,0)),结果汇总!$AI$10:$AI$13,0)</f>
        <v>#VALUE!</v>
      </c>
      <c r="CH99" s="10" t="e">
        <f>MATCH(INDEX($BP$12:$BU$12,1,MATCH(BT99,$BP$15:$BU$15,0)),结果汇总!$AI$10:$AI$13,0)</f>
        <v>#VALUE!</v>
      </c>
      <c r="CI99" s="10" t="e">
        <f>MATCH(INDEX($BP$12:$BU$12,1,MATCH(BU99,$BP$15:$BU$15,0)),结果汇总!$AI$10:$AI$13,0)</f>
        <v>#VALUE!</v>
      </c>
      <c r="CK99" s="10">
        <f t="shared" si="132"/>
        <v>0</v>
      </c>
      <c r="CL99" s="10">
        <f t="shared" si="132"/>
        <v>0</v>
      </c>
      <c r="CM99" s="10">
        <f t="shared" si="132"/>
        <v>0</v>
      </c>
      <c r="CN99" s="10">
        <f t="shared" si="132"/>
        <v>0</v>
      </c>
      <c r="CO99" s="10">
        <f t="shared" si="133"/>
        <v>0</v>
      </c>
      <c r="CP99" s="10">
        <f t="shared" si="133"/>
        <v>0</v>
      </c>
      <c r="CQ99" s="10">
        <f t="shared" si="133"/>
        <v>0</v>
      </c>
      <c r="CR99" s="10">
        <f t="shared" si="133"/>
        <v>0</v>
      </c>
      <c r="CS99" s="10" t="e">
        <f t="shared" si="134"/>
        <v>#DIV/0!</v>
      </c>
      <c r="CT99" s="10" t="e">
        <f t="shared" si="134"/>
        <v>#DIV/0!</v>
      </c>
      <c r="CU99" s="10" t="e">
        <f t="shared" si="134"/>
        <v>#DIV/0!</v>
      </c>
      <c r="CV99" s="10" t="e">
        <f t="shared" si="134"/>
        <v>#DIV/0!</v>
      </c>
      <c r="CW99" s="10">
        <f t="shared" si="135"/>
        <v>0</v>
      </c>
      <c r="CX99" s="10">
        <f t="shared" si="135"/>
        <v>0</v>
      </c>
      <c r="CY99" s="10">
        <f t="shared" si="135"/>
        <v>0</v>
      </c>
      <c r="CZ99" s="10">
        <f t="shared" si="135"/>
        <v>0</v>
      </c>
    </row>
    <row r="100" spans="4:104" x14ac:dyDescent="0.15">
      <c r="D100" s="10">
        <v>85</v>
      </c>
      <c r="E100" s="10" t="e">
        <f t="shared" si="95"/>
        <v>#VALUE!</v>
      </c>
      <c r="F100" s="10" t="e">
        <f t="shared" si="79"/>
        <v>#VALUE!</v>
      </c>
      <c r="G100" s="10" t="e">
        <f t="shared" si="80"/>
        <v>#VALUE!</v>
      </c>
      <c r="H100" s="10" t="e">
        <f t="shared" si="96"/>
        <v>#VALUE!</v>
      </c>
      <c r="I100" s="10" t="e">
        <f t="shared" si="81"/>
        <v>#VALUE!</v>
      </c>
      <c r="J100" s="10" t="e">
        <f t="shared" si="97"/>
        <v>#VALUE!</v>
      </c>
      <c r="K100" s="10" t="e">
        <f t="shared" si="82"/>
        <v>#VALUE!</v>
      </c>
      <c r="L100" s="10" t="e">
        <f t="shared" si="83"/>
        <v>#VALUE!</v>
      </c>
      <c r="M100" s="10" t="e">
        <f t="shared" si="98"/>
        <v>#VALUE!</v>
      </c>
      <c r="O100" s="10" t="e">
        <f t="shared" si="99"/>
        <v>#VALUE!</v>
      </c>
      <c r="P100" s="10" t="e">
        <f t="shared" si="84"/>
        <v>#VALUE!</v>
      </c>
      <c r="Q100" s="10" t="e">
        <f t="shared" si="85"/>
        <v>#VALUE!</v>
      </c>
      <c r="R100" s="10" t="e">
        <f t="shared" si="100"/>
        <v>#VALUE!</v>
      </c>
      <c r="S100" s="10" t="e">
        <f t="shared" si="101"/>
        <v>#VALUE!</v>
      </c>
      <c r="T100" s="10" t="e">
        <f t="shared" si="136"/>
        <v>#VALUE!</v>
      </c>
      <c r="U100" s="10" t="e">
        <f t="shared" si="137"/>
        <v>#VALUE!</v>
      </c>
      <c r="V100" s="10" t="e">
        <f t="shared" si="86"/>
        <v>#VALUE!</v>
      </c>
      <c r="W100" s="10" t="e">
        <f t="shared" si="102"/>
        <v>#VALUE!</v>
      </c>
      <c r="Y100" s="10" t="e">
        <f t="shared" si="103"/>
        <v>#VALUE!</v>
      </c>
      <c r="Z100" s="11" t="e">
        <f t="shared" si="104"/>
        <v>#VALUE!</v>
      </c>
      <c r="AA100" s="10" t="e">
        <f t="shared" si="87"/>
        <v>#VALUE!</v>
      </c>
      <c r="AB100" s="10" t="e">
        <f t="shared" si="105"/>
        <v>#VALUE!</v>
      </c>
      <c r="AC100" s="10" t="e">
        <f t="shared" si="106"/>
        <v>#VALUE!</v>
      </c>
      <c r="AD100" s="10" t="e">
        <f t="shared" si="138"/>
        <v>#VALUE!</v>
      </c>
      <c r="AE100" s="10" t="e">
        <f t="shared" si="139"/>
        <v>#VALUE!</v>
      </c>
      <c r="AF100" s="10" t="e">
        <f t="shared" si="88"/>
        <v>#VALUE!</v>
      </c>
      <c r="AG100" s="10" t="e">
        <f t="shared" si="107"/>
        <v>#VALUE!</v>
      </c>
      <c r="AI100" s="13"/>
      <c r="AK100" s="10" t="e">
        <f t="shared" si="108"/>
        <v>#VALUE!</v>
      </c>
      <c r="AL100" s="10" t="e">
        <f t="shared" si="140"/>
        <v>#VALUE!</v>
      </c>
      <c r="AM100" s="10" t="e">
        <f t="shared" si="89"/>
        <v>#VALUE!</v>
      </c>
      <c r="AN100" s="10" t="e">
        <f t="shared" si="109"/>
        <v>#VALUE!</v>
      </c>
      <c r="AO100" s="10" t="e">
        <f t="shared" si="110"/>
        <v>#VALUE!</v>
      </c>
      <c r="AP100" s="10" t="e">
        <f t="shared" si="111"/>
        <v>#VALUE!</v>
      </c>
      <c r="AQ100" s="10" t="e">
        <f t="shared" si="141"/>
        <v>#VALUE!</v>
      </c>
      <c r="AR100" s="10" t="e">
        <f t="shared" si="90"/>
        <v>#VALUE!</v>
      </c>
      <c r="AS100" s="10" t="e">
        <f t="shared" si="142"/>
        <v>#VALUE!</v>
      </c>
      <c r="AU100" s="10" t="e">
        <f t="shared" si="112"/>
        <v>#VALUE!</v>
      </c>
      <c r="AV100" s="10" t="e">
        <f t="shared" si="143"/>
        <v>#VALUE!</v>
      </c>
      <c r="AW100" s="10" t="e">
        <f t="shared" si="91"/>
        <v>#VALUE!</v>
      </c>
      <c r="AX100" s="10" t="e">
        <f t="shared" si="113"/>
        <v>#VALUE!</v>
      </c>
      <c r="AY100" s="10" t="e">
        <f t="shared" si="114"/>
        <v>#VALUE!</v>
      </c>
      <c r="AZ100" s="10" t="e">
        <f t="shared" si="115"/>
        <v>#VALUE!</v>
      </c>
      <c r="BA100" s="10" t="e">
        <f t="shared" si="144"/>
        <v>#VALUE!</v>
      </c>
      <c r="BB100" s="10" t="e">
        <f t="shared" si="92"/>
        <v>#VALUE!</v>
      </c>
      <c r="BC100" s="10" t="e">
        <f t="shared" si="145"/>
        <v>#VALUE!</v>
      </c>
      <c r="BE100" s="10" t="e">
        <f t="shared" si="116"/>
        <v>#VALUE!</v>
      </c>
      <c r="BF100" s="10" t="e">
        <f t="shared" si="146"/>
        <v>#VALUE!</v>
      </c>
      <c r="BG100" s="10" t="e">
        <f t="shared" si="93"/>
        <v>#VALUE!</v>
      </c>
      <c r="BH100" s="10" t="e">
        <f t="shared" si="117"/>
        <v>#VALUE!</v>
      </c>
      <c r="BI100" s="10" t="e">
        <f t="shared" si="118"/>
        <v>#VALUE!</v>
      </c>
      <c r="BJ100" s="10" t="e">
        <f t="shared" si="119"/>
        <v>#VALUE!</v>
      </c>
      <c r="BK100" s="10" t="e">
        <f t="shared" si="147"/>
        <v>#VALUE!</v>
      </c>
      <c r="BL100" s="10" t="e">
        <f t="shared" si="94"/>
        <v>#VALUE!</v>
      </c>
      <c r="BM100" s="10" t="e">
        <f t="shared" si="148"/>
        <v>#VALUE!</v>
      </c>
      <c r="BP100" s="10" t="e">
        <f t="shared" si="120"/>
        <v>#VALUE!</v>
      </c>
      <c r="BQ100" s="10" t="e">
        <f t="shared" si="121"/>
        <v>#VALUE!</v>
      </c>
      <c r="BR100" s="10" t="e">
        <f t="shared" si="122"/>
        <v>#VALUE!</v>
      </c>
      <c r="BS100" s="10" t="e">
        <f t="shared" si="123"/>
        <v>#VALUE!</v>
      </c>
      <c r="BT100" s="10" t="e">
        <f t="shared" si="124"/>
        <v>#VALUE!</v>
      </c>
      <c r="BU100" s="10" t="e">
        <f t="shared" si="125"/>
        <v>#VALUE!</v>
      </c>
      <c r="BW100" s="10" t="e">
        <f t="shared" si="126"/>
        <v>#VALUE!</v>
      </c>
      <c r="BX100" s="10" t="e">
        <f t="shared" si="127"/>
        <v>#VALUE!</v>
      </c>
      <c r="BY100" s="10" t="e">
        <f t="shared" si="128"/>
        <v>#VALUE!</v>
      </c>
      <c r="BZ100" s="10" t="e">
        <f t="shared" si="129"/>
        <v>#VALUE!</v>
      </c>
      <c r="CA100" s="10" t="e">
        <f t="shared" si="130"/>
        <v>#VALUE!</v>
      </c>
      <c r="CB100" s="10" t="e">
        <f t="shared" si="131"/>
        <v>#VALUE!</v>
      </c>
      <c r="CD100" s="10" t="e">
        <f>MATCH(INDEX($BP$12:$BU$12,1,MATCH(BP100,$BP$15:$BU$15,0)),结果汇总!$AI$10:$AI$13,0)</f>
        <v>#VALUE!</v>
      </c>
      <c r="CE100" s="10" t="e">
        <f>MATCH(INDEX($BP$12:$BU$12,1,MATCH(BQ100,$BP$15:$BU$15,0)),结果汇总!$AI$10:$AI$13,0)</f>
        <v>#VALUE!</v>
      </c>
      <c r="CF100" s="10" t="e">
        <f>MATCH(INDEX($BP$12:$BU$12,1,MATCH(BR100,$BP$15:$BU$15,0)),结果汇总!$AI$10:$AI$13,0)</f>
        <v>#VALUE!</v>
      </c>
      <c r="CG100" s="10" t="e">
        <f>MATCH(INDEX($BP$12:$BU$12,1,MATCH(BS100,$BP$15:$BU$15,0)),结果汇总!$AI$10:$AI$13,0)</f>
        <v>#VALUE!</v>
      </c>
      <c r="CH100" s="10" t="e">
        <f>MATCH(INDEX($BP$12:$BU$12,1,MATCH(BT100,$BP$15:$BU$15,0)),结果汇总!$AI$10:$AI$13,0)</f>
        <v>#VALUE!</v>
      </c>
      <c r="CI100" s="10" t="e">
        <f>MATCH(INDEX($BP$12:$BU$12,1,MATCH(BU100,$BP$15:$BU$15,0)),结果汇总!$AI$10:$AI$13,0)</f>
        <v>#VALUE!</v>
      </c>
      <c r="CK100" s="10">
        <f t="shared" si="132"/>
        <v>0</v>
      </c>
      <c r="CL100" s="10">
        <f t="shared" si="132"/>
        <v>0</v>
      </c>
      <c r="CM100" s="10">
        <f t="shared" si="132"/>
        <v>0</v>
      </c>
      <c r="CN100" s="10">
        <f t="shared" si="132"/>
        <v>0</v>
      </c>
      <c r="CO100" s="10">
        <f t="shared" si="133"/>
        <v>0</v>
      </c>
      <c r="CP100" s="10">
        <f t="shared" si="133"/>
        <v>0</v>
      </c>
      <c r="CQ100" s="10">
        <f t="shared" si="133"/>
        <v>0</v>
      </c>
      <c r="CR100" s="10">
        <f t="shared" si="133"/>
        <v>0</v>
      </c>
      <c r="CS100" s="10" t="e">
        <f t="shared" si="134"/>
        <v>#DIV/0!</v>
      </c>
      <c r="CT100" s="10" t="e">
        <f t="shared" si="134"/>
        <v>#DIV/0!</v>
      </c>
      <c r="CU100" s="10" t="e">
        <f t="shared" si="134"/>
        <v>#DIV/0!</v>
      </c>
      <c r="CV100" s="10" t="e">
        <f t="shared" si="134"/>
        <v>#DIV/0!</v>
      </c>
      <c r="CW100" s="10">
        <f t="shared" si="135"/>
        <v>0</v>
      </c>
      <c r="CX100" s="10">
        <f t="shared" si="135"/>
        <v>0</v>
      </c>
      <c r="CY100" s="10">
        <f t="shared" si="135"/>
        <v>0</v>
      </c>
      <c r="CZ100" s="10">
        <f t="shared" si="135"/>
        <v>0</v>
      </c>
    </row>
    <row r="101" spans="4:104" x14ac:dyDescent="0.15">
      <c r="D101" s="10">
        <v>86</v>
      </c>
      <c r="E101" s="10" t="e">
        <f t="shared" si="95"/>
        <v>#VALUE!</v>
      </c>
      <c r="F101" s="10" t="e">
        <f t="shared" si="79"/>
        <v>#VALUE!</v>
      </c>
      <c r="G101" s="10" t="e">
        <f t="shared" si="80"/>
        <v>#VALUE!</v>
      </c>
      <c r="H101" s="10" t="e">
        <f t="shared" si="96"/>
        <v>#VALUE!</v>
      </c>
      <c r="I101" s="10" t="e">
        <f t="shared" si="81"/>
        <v>#VALUE!</v>
      </c>
      <c r="J101" s="10" t="e">
        <f t="shared" si="97"/>
        <v>#VALUE!</v>
      </c>
      <c r="K101" s="10" t="e">
        <f t="shared" si="82"/>
        <v>#VALUE!</v>
      </c>
      <c r="L101" s="10" t="e">
        <f t="shared" si="83"/>
        <v>#VALUE!</v>
      </c>
      <c r="M101" s="10" t="e">
        <f t="shared" si="98"/>
        <v>#VALUE!</v>
      </c>
      <c r="O101" s="10" t="e">
        <f t="shared" si="99"/>
        <v>#VALUE!</v>
      </c>
      <c r="P101" s="10" t="e">
        <f t="shared" si="84"/>
        <v>#VALUE!</v>
      </c>
      <c r="Q101" s="10" t="e">
        <f t="shared" si="85"/>
        <v>#VALUE!</v>
      </c>
      <c r="R101" s="10" t="e">
        <f t="shared" si="100"/>
        <v>#VALUE!</v>
      </c>
      <c r="S101" s="10" t="e">
        <f t="shared" si="101"/>
        <v>#VALUE!</v>
      </c>
      <c r="T101" s="10" t="e">
        <f t="shared" si="136"/>
        <v>#VALUE!</v>
      </c>
      <c r="U101" s="10" t="e">
        <f t="shared" si="137"/>
        <v>#VALUE!</v>
      </c>
      <c r="V101" s="10" t="e">
        <f t="shared" si="86"/>
        <v>#VALUE!</v>
      </c>
      <c r="W101" s="10" t="e">
        <f t="shared" si="102"/>
        <v>#VALUE!</v>
      </c>
      <c r="Y101" s="10" t="e">
        <f t="shared" si="103"/>
        <v>#VALUE!</v>
      </c>
      <c r="Z101" s="11" t="e">
        <f t="shared" si="104"/>
        <v>#VALUE!</v>
      </c>
      <c r="AA101" s="10" t="e">
        <f t="shared" si="87"/>
        <v>#VALUE!</v>
      </c>
      <c r="AB101" s="10" t="e">
        <f t="shared" si="105"/>
        <v>#VALUE!</v>
      </c>
      <c r="AC101" s="10" t="e">
        <f t="shared" si="106"/>
        <v>#VALUE!</v>
      </c>
      <c r="AD101" s="10" t="e">
        <f t="shared" si="138"/>
        <v>#VALUE!</v>
      </c>
      <c r="AE101" s="10" t="e">
        <f t="shared" si="139"/>
        <v>#VALUE!</v>
      </c>
      <c r="AF101" s="10" t="e">
        <f t="shared" si="88"/>
        <v>#VALUE!</v>
      </c>
      <c r="AG101" s="10" t="e">
        <f t="shared" si="107"/>
        <v>#VALUE!</v>
      </c>
      <c r="AI101" s="13"/>
      <c r="AK101" s="10" t="e">
        <f t="shared" si="108"/>
        <v>#VALUE!</v>
      </c>
      <c r="AL101" s="10" t="e">
        <f t="shared" si="140"/>
        <v>#VALUE!</v>
      </c>
      <c r="AM101" s="10" t="e">
        <f t="shared" si="89"/>
        <v>#VALUE!</v>
      </c>
      <c r="AN101" s="10" t="e">
        <f t="shared" si="109"/>
        <v>#VALUE!</v>
      </c>
      <c r="AO101" s="10" t="e">
        <f t="shared" si="110"/>
        <v>#VALUE!</v>
      </c>
      <c r="AP101" s="10" t="e">
        <f t="shared" si="111"/>
        <v>#VALUE!</v>
      </c>
      <c r="AQ101" s="10" t="e">
        <f t="shared" si="141"/>
        <v>#VALUE!</v>
      </c>
      <c r="AR101" s="10" t="e">
        <f t="shared" si="90"/>
        <v>#VALUE!</v>
      </c>
      <c r="AS101" s="10" t="e">
        <f t="shared" si="142"/>
        <v>#VALUE!</v>
      </c>
      <c r="AU101" s="10" t="e">
        <f t="shared" si="112"/>
        <v>#VALUE!</v>
      </c>
      <c r="AV101" s="10" t="e">
        <f t="shared" si="143"/>
        <v>#VALUE!</v>
      </c>
      <c r="AW101" s="10" t="e">
        <f t="shared" si="91"/>
        <v>#VALUE!</v>
      </c>
      <c r="AX101" s="10" t="e">
        <f t="shared" si="113"/>
        <v>#VALUE!</v>
      </c>
      <c r="AY101" s="10" t="e">
        <f t="shared" si="114"/>
        <v>#VALUE!</v>
      </c>
      <c r="AZ101" s="10" t="e">
        <f t="shared" si="115"/>
        <v>#VALUE!</v>
      </c>
      <c r="BA101" s="10" t="e">
        <f t="shared" si="144"/>
        <v>#VALUE!</v>
      </c>
      <c r="BB101" s="10" t="e">
        <f t="shared" si="92"/>
        <v>#VALUE!</v>
      </c>
      <c r="BC101" s="10" t="e">
        <f t="shared" si="145"/>
        <v>#VALUE!</v>
      </c>
      <c r="BE101" s="10" t="e">
        <f t="shared" si="116"/>
        <v>#VALUE!</v>
      </c>
      <c r="BF101" s="10" t="e">
        <f t="shared" si="146"/>
        <v>#VALUE!</v>
      </c>
      <c r="BG101" s="10" t="e">
        <f t="shared" si="93"/>
        <v>#VALUE!</v>
      </c>
      <c r="BH101" s="10" t="e">
        <f t="shared" si="117"/>
        <v>#VALUE!</v>
      </c>
      <c r="BI101" s="10" t="e">
        <f t="shared" si="118"/>
        <v>#VALUE!</v>
      </c>
      <c r="BJ101" s="10" t="e">
        <f t="shared" si="119"/>
        <v>#VALUE!</v>
      </c>
      <c r="BK101" s="10" t="e">
        <f t="shared" si="147"/>
        <v>#VALUE!</v>
      </c>
      <c r="BL101" s="10" t="e">
        <f t="shared" si="94"/>
        <v>#VALUE!</v>
      </c>
      <c r="BM101" s="10" t="e">
        <f t="shared" si="148"/>
        <v>#VALUE!</v>
      </c>
      <c r="BP101" s="10" t="e">
        <f t="shared" si="120"/>
        <v>#VALUE!</v>
      </c>
      <c r="BQ101" s="10" t="e">
        <f t="shared" si="121"/>
        <v>#VALUE!</v>
      </c>
      <c r="BR101" s="10" t="e">
        <f t="shared" si="122"/>
        <v>#VALUE!</v>
      </c>
      <c r="BS101" s="10" t="e">
        <f t="shared" si="123"/>
        <v>#VALUE!</v>
      </c>
      <c r="BT101" s="10" t="e">
        <f t="shared" si="124"/>
        <v>#VALUE!</v>
      </c>
      <c r="BU101" s="10" t="e">
        <f t="shared" si="125"/>
        <v>#VALUE!</v>
      </c>
      <c r="BW101" s="10" t="e">
        <f t="shared" si="126"/>
        <v>#VALUE!</v>
      </c>
      <c r="BX101" s="10" t="e">
        <f t="shared" si="127"/>
        <v>#VALUE!</v>
      </c>
      <c r="BY101" s="10" t="e">
        <f t="shared" si="128"/>
        <v>#VALUE!</v>
      </c>
      <c r="BZ101" s="10" t="e">
        <f t="shared" si="129"/>
        <v>#VALUE!</v>
      </c>
      <c r="CA101" s="10" t="e">
        <f t="shared" si="130"/>
        <v>#VALUE!</v>
      </c>
      <c r="CB101" s="10" t="e">
        <f t="shared" si="131"/>
        <v>#VALUE!</v>
      </c>
      <c r="CD101" s="10" t="e">
        <f>MATCH(INDEX($BP$12:$BU$12,1,MATCH(BP101,$BP$15:$BU$15,0)),结果汇总!$AI$10:$AI$13,0)</f>
        <v>#VALUE!</v>
      </c>
      <c r="CE101" s="10" t="e">
        <f>MATCH(INDEX($BP$12:$BU$12,1,MATCH(BQ101,$BP$15:$BU$15,0)),结果汇总!$AI$10:$AI$13,0)</f>
        <v>#VALUE!</v>
      </c>
      <c r="CF101" s="10" t="e">
        <f>MATCH(INDEX($BP$12:$BU$12,1,MATCH(BR101,$BP$15:$BU$15,0)),结果汇总!$AI$10:$AI$13,0)</f>
        <v>#VALUE!</v>
      </c>
      <c r="CG101" s="10" t="e">
        <f>MATCH(INDEX($BP$12:$BU$12,1,MATCH(BS101,$BP$15:$BU$15,0)),结果汇总!$AI$10:$AI$13,0)</f>
        <v>#VALUE!</v>
      </c>
      <c r="CH101" s="10" t="e">
        <f>MATCH(INDEX($BP$12:$BU$12,1,MATCH(BT101,$BP$15:$BU$15,0)),结果汇总!$AI$10:$AI$13,0)</f>
        <v>#VALUE!</v>
      </c>
      <c r="CI101" s="10" t="e">
        <f>MATCH(INDEX($BP$12:$BU$12,1,MATCH(BU101,$BP$15:$BU$15,0)),结果汇总!$AI$10:$AI$13,0)</f>
        <v>#VALUE!</v>
      </c>
      <c r="CK101" s="10">
        <f t="shared" si="132"/>
        <v>0</v>
      </c>
      <c r="CL101" s="10">
        <f t="shared" si="132"/>
        <v>0</v>
      </c>
      <c r="CM101" s="10">
        <f t="shared" si="132"/>
        <v>0</v>
      </c>
      <c r="CN101" s="10">
        <f t="shared" si="132"/>
        <v>0</v>
      </c>
      <c r="CO101" s="10">
        <f t="shared" si="133"/>
        <v>0</v>
      </c>
      <c r="CP101" s="10">
        <f t="shared" si="133"/>
        <v>0</v>
      </c>
      <c r="CQ101" s="10">
        <f t="shared" si="133"/>
        <v>0</v>
      </c>
      <c r="CR101" s="10">
        <f t="shared" si="133"/>
        <v>0</v>
      </c>
      <c r="CS101" s="10" t="e">
        <f t="shared" si="134"/>
        <v>#DIV/0!</v>
      </c>
      <c r="CT101" s="10" t="e">
        <f t="shared" si="134"/>
        <v>#DIV/0!</v>
      </c>
      <c r="CU101" s="10" t="e">
        <f t="shared" si="134"/>
        <v>#DIV/0!</v>
      </c>
      <c r="CV101" s="10" t="e">
        <f t="shared" si="134"/>
        <v>#DIV/0!</v>
      </c>
      <c r="CW101" s="10">
        <f t="shared" si="135"/>
        <v>0</v>
      </c>
      <c r="CX101" s="10">
        <f t="shared" si="135"/>
        <v>0</v>
      </c>
      <c r="CY101" s="10">
        <f t="shared" si="135"/>
        <v>0</v>
      </c>
      <c r="CZ101" s="10">
        <f t="shared" si="135"/>
        <v>0</v>
      </c>
    </row>
    <row r="102" spans="4:104" x14ac:dyDescent="0.15">
      <c r="D102" s="10">
        <v>87</v>
      </c>
      <c r="E102" s="10" t="e">
        <f t="shared" si="95"/>
        <v>#VALUE!</v>
      </c>
      <c r="F102" s="10" t="e">
        <f t="shared" si="79"/>
        <v>#VALUE!</v>
      </c>
      <c r="G102" s="10" t="e">
        <f t="shared" si="80"/>
        <v>#VALUE!</v>
      </c>
      <c r="H102" s="10" t="e">
        <f t="shared" si="96"/>
        <v>#VALUE!</v>
      </c>
      <c r="I102" s="10" t="e">
        <f t="shared" si="81"/>
        <v>#VALUE!</v>
      </c>
      <c r="J102" s="10" t="e">
        <f t="shared" si="97"/>
        <v>#VALUE!</v>
      </c>
      <c r="K102" s="10" t="e">
        <f t="shared" si="82"/>
        <v>#VALUE!</v>
      </c>
      <c r="L102" s="10" t="e">
        <f t="shared" si="83"/>
        <v>#VALUE!</v>
      </c>
      <c r="M102" s="10" t="e">
        <f t="shared" si="98"/>
        <v>#VALUE!</v>
      </c>
      <c r="O102" s="10" t="e">
        <f t="shared" si="99"/>
        <v>#VALUE!</v>
      </c>
      <c r="P102" s="10" t="e">
        <f t="shared" si="84"/>
        <v>#VALUE!</v>
      </c>
      <c r="Q102" s="10" t="e">
        <f t="shared" si="85"/>
        <v>#VALUE!</v>
      </c>
      <c r="R102" s="10" t="e">
        <f t="shared" si="100"/>
        <v>#VALUE!</v>
      </c>
      <c r="S102" s="10" t="e">
        <f t="shared" si="101"/>
        <v>#VALUE!</v>
      </c>
      <c r="T102" s="10" t="e">
        <f t="shared" si="136"/>
        <v>#VALUE!</v>
      </c>
      <c r="U102" s="10" t="e">
        <f t="shared" si="137"/>
        <v>#VALUE!</v>
      </c>
      <c r="V102" s="10" t="e">
        <f t="shared" si="86"/>
        <v>#VALUE!</v>
      </c>
      <c r="W102" s="10" t="e">
        <f t="shared" si="102"/>
        <v>#VALUE!</v>
      </c>
      <c r="Y102" s="10" t="e">
        <f t="shared" si="103"/>
        <v>#VALUE!</v>
      </c>
      <c r="Z102" s="11" t="e">
        <f t="shared" si="104"/>
        <v>#VALUE!</v>
      </c>
      <c r="AA102" s="10" t="e">
        <f t="shared" si="87"/>
        <v>#VALUE!</v>
      </c>
      <c r="AB102" s="10" t="e">
        <f t="shared" si="105"/>
        <v>#VALUE!</v>
      </c>
      <c r="AC102" s="10" t="e">
        <f t="shared" si="106"/>
        <v>#VALUE!</v>
      </c>
      <c r="AD102" s="10" t="e">
        <f t="shared" si="138"/>
        <v>#VALUE!</v>
      </c>
      <c r="AE102" s="10" t="e">
        <f t="shared" si="139"/>
        <v>#VALUE!</v>
      </c>
      <c r="AF102" s="10" t="e">
        <f t="shared" si="88"/>
        <v>#VALUE!</v>
      </c>
      <c r="AG102" s="10" t="e">
        <f t="shared" si="107"/>
        <v>#VALUE!</v>
      </c>
      <c r="AI102" s="13"/>
      <c r="AK102" s="10" t="e">
        <f t="shared" si="108"/>
        <v>#VALUE!</v>
      </c>
      <c r="AL102" s="10" t="e">
        <f t="shared" si="140"/>
        <v>#VALUE!</v>
      </c>
      <c r="AM102" s="10" t="e">
        <f t="shared" si="89"/>
        <v>#VALUE!</v>
      </c>
      <c r="AN102" s="10" t="e">
        <f t="shared" si="109"/>
        <v>#VALUE!</v>
      </c>
      <c r="AO102" s="10" t="e">
        <f t="shared" si="110"/>
        <v>#VALUE!</v>
      </c>
      <c r="AP102" s="10" t="e">
        <f t="shared" si="111"/>
        <v>#VALUE!</v>
      </c>
      <c r="AQ102" s="10" t="e">
        <f t="shared" si="141"/>
        <v>#VALUE!</v>
      </c>
      <c r="AR102" s="10" t="e">
        <f t="shared" si="90"/>
        <v>#VALUE!</v>
      </c>
      <c r="AS102" s="10" t="e">
        <f t="shared" si="142"/>
        <v>#VALUE!</v>
      </c>
      <c r="AU102" s="10" t="e">
        <f t="shared" si="112"/>
        <v>#VALUE!</v>
      </c>
      <c r="AV102" s="10" t="e">
        <f t="shared" si="143"/>
        <v>#VALUE!</v>
      </c>
      <c r="AW102" s="10" t="e">
        <f t="shared" si="91"/>
        <v>#VALUE!</v>
      </c>
      <c r="AX102" s="10" t="e">
        <f t="shared" si="113"/>
        <v>#VALUE!</v>
      </c>
      <c r="AY102" s="10" t="e">
        <f t="shared" si="114"/>
        <v>#VALUE!</v>
      </c>
      <c r="AZ102" s="10" t="e">
        <f t="shared" si="115"/>
        <v>#VALUE!</v>
      </c>
      <c r="BA102" s="10" t="e">
        <f t="shared" si="144"/>
        <v>#VALUE!</v>
      </c>
      <c r="BB102" s="10" t="e">
        <f t="shared" si="92"/>
        <v>#VALUE!</v>
      </c>
      <c r="BC102" s="10" t="e">
        <f t="shared" si="145"/>
        <v>#VALUE!</v>
      </c>
      <c r="BE102" s="10" t="e">
        <f t="shared" si="116"/>
        <v>#VALUE!</v>
      </c>
      <c r="BF102" s="10" t="e">
        <f t="shared" si="146"/>
        <v>#VALUE!</v>
      </c>
      <c r="BG102" s="10" t="e">
        <f t="shared" si="93"/>
        <v>#VALUE!</v>
      </c>
      <c r="BH102" s="10" t="e">
        <f t="shared" si="117"/>
        <v>#VALUE!</v>
      </c>
      <c r="BI102" s="10" t="e">
        <f t="shared" si="118"/>
        <v>#VALUE!</v>
      </c>
      <c r="BJ102" s="10" t="e">
        <f t="shared" si="119"/>
        <v>#VALUE!</v>
      </c>
      <c r="BK102" s="10" t="e">
        <f t="shared" si="147"/>
        <v>#VALUE!</v>
      </c>
      <c r="BL102" s="10" t="e">
        <f t="shared" si="94"/>
        <v>#VALUE!</v>
      </c>
      <c r="BM102" s="10" t="e">
        <f t="shared" si="148"/>
        <v>#VALUE!</v>
      </c>
      <c r="BP102" s="10" t="e">
        <f t="shared" si="120"/>
        <v>#VALUE!</v>
      </c>
      <c r="BQ102" s="10" t="e">
        <f t="shared" si="121"/>
        <v>#VALUE!</v>
      </c>
      <c r="BR102" s="10" t="e">
        <f t="shared" si="122"/>
        <v>#VALUE!</v>
      </c>
      <c r="BS102" s="10" t="e">
        <f t="shared" si="123"/>
        <v>#VALUE!</v>
      </c>
      <c r="BT102" s="10" t="e">
        <f t="shared" si="124"/>
        <v>#VALUE!</v>
      </c>
      <c r="BU102" s="10" t="e">
        <f t="shared" si="125"/>
        <v>#VALUE!</v>
      </c>
      <c r="BW102" s="10" t="e">
        <f t="shared" si="126"/>
        <v>#VALUE!</v>
      </c>
      <c r="BX102" s="10" t="e">
        <f t="shared" si="127"/>
        <v>#VALUE!</v>
      </c>
      <c r="BY102" s="10" t="e">
        <f t="shared" si="128"/>
        <v>#VALUE!</v>
      </c>
      <c r="BZ102" s="10" t="e">
        <f t="shared" si="129"/>
        <v>#VALUE!</v>
      </c>
      <c r="CA102" s="10" t="e">
        <f t="shared" si="130"/>
        <v>#VALUE!</v>
      </c>
      <c r="CB102" s="10" t="e">
        <f t="shared" si="131"/>
        <v>#VALUE!</v>
      </c>
      <c r="CD102" s="10" t="e">
        <f>MATCH(INDEX($BP$12:$BU$12,1,MATCH(BP102,$BP$15:$BU$15,0)),结果汇总!$AI$10:$AI$13,0)</f>
        <v>#VALUE!</v>
      </c>
      <c r="CE102" s="10" t="e">
        <f>MATCH(INDEX($BP$12:$BU$12,1,MATCH(BQ102,$BP$15:$BU$15,0)),结果汇总!$AI$10:$AI$13,0)</f>
        <v>#VALUE!</v>
      </c>
      <c r="CF102" s="10" t="e">
        <f>MATCH(INDEX($BP$12:$BU$12,1,MATCH(BR102,$BP$15:$BU$15,0)),结果汇总!$AI$10:$AI$13,0)</f>
        <v>#VALUE!</v>
      </c>
      <c r="CG102" s="10" t="e">
        <f>MATCH(INDEX($BP$12:$BU$12,1,MATCH(BS102,$BP$15:$BU$15,0)),结果汇总!$AI$10:$AI$13,0)</f>
        <v>#VALUE!</v>
      </c>
      <c r="CH102" s="10" t="e">
        <f>MATCH(INDEX($BP$12:$BU$12,1,MATCH(BT102,$BP$15:$BU$15,0)),结果汇总!$AI$10:$AI$13,0)</f>
        <v>#VALUE!</v>
      </c>
      <c r="CI102" s="10" t="e">
        <f>MATCH(INDEX($BP$12:$BU$12,1,MATCH(BU102,$BP$15:$BU$15,0)),结果汇总!$AI$10:$AI$13,0)</f>
        <v>#VALUE!</v>
      </c>
      <c r="CK102" s="10">
        <f t="shared" si="132"/>
        <v>0</v>
      </c>
      <c r="CL102" s="10">
        <f t="shared" si="132"/>
        <v>0</v>
      </c>
      <c r="CM102" s="10">
        <f t="shared" si="132"/>
        <v>0</v>
      </c>
      <c r="CN102" s="10">
        <f t="shared" si="132"/>
        <v>0</v>
      </c>
      <c r="CO102" s="10">
        <f t="shared" si="133"/>
        <v>0</v>
      </c>
      <c r="CP102" s="10">
        <f t="shared" si="133"/>
        <v>0</v>
      </c>
      <c r="CQ102" s="10">
        <f t="shared" si="133"/>
        <v>0</v>
      </c>
      <c r="CR102" s="10">
        <f t="shared" si="133"/>
        <v>0</v>
      </c>
      <c r="CS102" s="10" t="e">
        <f t="shared" si="134"/>
        <v>#DIV/0!</v>
      </c>
      <c r="CT102" s="10" t="e">
        <f t="shared" si="134"/>
        <v>#DIV/0!</v>
      </c>
      <c r="CU102" s="10" t="e">
        <f t="shared" si="134"/>
        <v>#DIV/0!</v>
      </c>
      <c r="CV102" s="10" t="e">
        <f t="shared" si="134"/>
        <v>#DIV/0!</v>
      </c>
      <c r="CW102" s="10">
        <f t="shared" si="135"/>
        <v>0</v>
      </c>
      <c r="CX102" s="10">
        <f t="shared" si="135"/>
        <v>0</v>
      </c>
      <c r="CY102" s="10">
        <f t="shared" si="135"/>
        <v>0</v>
      </c>
      <c r="CZ102" s="10">
        <f t="shared" si="135"/>
        <v>0</v>
      </c>
    </row>
    <row r="103" spans="4:104" x14ac:dyDescent="0.15">
      <c r="D103" s="10">
        <v>88</v>
      </c>
      <c r="E103" s="10" t="e">
        <f t="shared" si="95"/>
        <v>#VALUE!</v>
      </c>
      <c r="F103" s="10" t="e">
        <f t="shared" si="79"/>
        <v>#VALUE!</v>
      </c>
      <c r="G103" s="10" t="e">
        <f t="shared" si="80"/>
        <v>#VALUE!</v>
      </c>
      <c r="H103" s="10" t="e">
        <f t="shared" si="96"/>
        <v>#VALUE!</v>
      </c>
      <c r="I103" s="10" t="e">
        <f t="shared" si="81"/>
        <v>#VALUE!</v>
      </c>
      <c r="J103" s="10" t="e">
        <f t="shared" si="97"/>
        <v>#VALUE!</v>
      </c>
      <c r="K103" s="10" t="e">
        <f t="shared" si="82"/>
        <v>#VALUE!</v>
      </c>
      <c r="L103" s="10" t="e">
        <f t="shared" si="83"/>
        <v>#VALUE!</v>
      </c>
      <c r="M103" s="10" t="e">
        <f t="shared" si="98"/>
        <v>#VALUE!</v>
      </c>
      <c r="O103" s="10" t="e">
        <f t="shared" si="99"/>
        <v>#VALUE!</v>
      </c>
      <c r="P103" s="10" t="e">
        <f t="shared" si="84"/>
        <v>#VALUE!</v>
      </c>
      <c r="Q103" s="10" t="e">
        <f t="shared" si="85"/>
        <v>#VALUE!</v>
      </c>
      <c r="R103" s="10" t="e">
        <f t="shared" si="100"/>
        <v>#VALUE!</v>
      </c>
      <c r="S103" s="10" t="e">
        <f t="shared" si="101"/>
        <v>#VALUE!</v>
      </c>
      <c r="T103" s="10" t="e">
        <f t="shared" si="136"/>
        <v>#VALUE!</v>
      </c>
      <c r="U103" s="10" t="e">
        <f t="shared" si="137"/>
        <v>#VALUE!</v>
      </c>
      <c r="V103" s="10" t="e">
        <f t="shared" si="86"/>
        <v>#VALUE!</v>
      </c>
      <c r="W103" s="10" t="e">
        <f t="shared" si="102"/>
        <v>#VALUE!</v>
      </c>
      <c r="Y103" s="10" t="e">
        <f t="shared" si="103"/>
        <v>#VALUE!</v>
      </c>
      <c r="Z103" s="11" t="e">
        <f t="shared" si="104"/>
        <v>#VALUE!</v>
      </c>
      <c r="AA103" s="10" t="e">
        <f t="shared" si="87"/>
        <v>#VALUE!</v>
      </c>
      <c r="AB103" s="10" t="e">
        <f t="shared" si="105"/>
        <v>#VALUE!</v>
      </c>
      <c r="AC103" s="10" t="e">
        <f t="shared" si="106"/>
        <v>#VALUE!</v>
      </c>
      <c r="AD103" s="10" t="e">
        <f t="shared" si="138"/>
        <v>#VALUE!</v>
      </c>
      <c r="AE103" s="10" t="e">
        <f t="shared" si="139"/>
        <v>#VALUE!</v>
      </c>
      <c r="AF103" s="10" t="e">
        <f t="shared" si="88"/>
        <v>#VALUE!</v>
      </c>
      <c r="AG103" s="10" t="e">
        <f t="shared" si="107"/>
        <v>#VALUE!</v>
      </c>
      <c r="AI103" s="13"/>
      <c r="AK103" s="10" t="e">
        <f t="shared" si="108"/>
        <v>#VALUE!</v>
      </c>
      <c r="AL103" s="10" t="e">
        <f t="shared" si="140"/>
        <v>#VALUE!</v>
      </c>
      <c r="AM103" s="10" t="e">
        <f t="shared" si="89"/>
        <v>#VALUE!</v>
      </c>
      <c r="AN103" s="10" t="e">
        <f t="shared" si="109"/>
        <v>#VALUE!</v>
      </c>
      <c r="AO103" s="10" t="e">
        <f t="shared" si="110"/>
        <v>#VALUE!</v>
      </c>
      <c r="AP103" s="10" t="e">
        <f t="shared" si="111"/>
        <v>#VALUE!</v>
      </c>
      <c r="AQ103" s="10" t="e">
        <f t="shared" si="141"/>
        <v>#VALUE!</v>
      </c>
      <c r="AR103" s="10" t="e">
        <f t="shared" si="90"/>
        <v>#VALUE!</v>
      </c>
      <c r="AS103" s="10" t="e">
        <f t="shared" si="142"/>
        <v>#VALUE!</v>
      </c>
      <c r="AU103" s="10" t="e">
        <f t="shared" si="112"/>
        <v>#VALUE!</v>
      </c>
      <c r="AV103" s="10" t="e">
        <f t="shared" si="143"/>
        <v>#VALUE!</v>
      </c>
      <c r="AW103" s="10" t="e">
        <f t="shared" si="91"/>
        <v>#VALUE!</v>
      </c>
      <c r="AX103" s="10" t="e">
        <f t="shared" si="113"/>
        <v>#VALUE!</v>
      </c>
      <c r="AY103" s="10" t="e">
        <f t="shared" si="114"/>
        <v>#VALUE!</v>
      </c>
      <c r="AZ103" s="10" t="e">
        <f t="shared" si="115"/>
        <v>#VALUE!</v>
      </c>
      <c r="BA103" s="10" t="e">
        <f t="shared" si="144"/>
        <v>#VALUE!</v>
      </c>
      <c r="BB103" s="10" t="e">
        <f t="shared" si="92"/>
        <v>#VALUE!</v>
      </c>
      <c r="BC103" s="10" t="e">
        <f t="shared" si="145"/>
        <v>#VALUE!</v>
      </c>
      <c r="BE103" s="10" t="e">
        <f t="shared" si="116"/>
        <v>#VALUE!</v>
      </c>
      <c r="BF103" s="10" t="e">
        <f t="shared" si="146"/>
        <v>#VALUE!</v>
      </c>
      <c r="BG103" s="10" t="e">
        <f t="shared" si="93"/>
        <v>#VALUE!</v>
      </c>
      <c r="BH103" s="10" t="e">
        <f t="shared" si="117"/>
        <v>#VALUE!</v>
      </c>
      <c r="BI103" s="10" t="e">
        <f t="shared" si="118"/>
        <v>#VALUE!</v>
      </c>
      <c r="BJ103" s="10" t="e">
        <f t="shared" si="119"/>
        <v>#VALUE!</v>
      </c>
      <c r="BK103" s="10" t="e">
        <f t="shared" si="147"/>
        <v>#VALUE!</v>
      </c>
      <c r="BL103" s="10" t="e">
        <f t="shared" si="94"/>
        <v>#VALUE!</v>
      </c>
      <c r="BM103" s="10" t="e">
        <f t="shared" si="148"/>
        <v>#VALUE!</v>
      </c>
      <c r="BP103" s="10" t="e">
        <f t="shared" si="120"/>
        <v>#VALUE!</v>
      </c>
      <c r="BQ103" s="10" t="e">
        <f t="shared" si="121"/>
        <v>#VALUE!</v>
      </c>
      <c r="BR103" s="10" t="e">
        <f t="shared" si="122"/>
        <v>#VALUE!</v>
      </c>
      <c r="BS103" s="10" t="e">
        <f t="shared" si="123"/>
        <v>#VALUE!</v>
      </c>
      <c r="BT103" s="10" t="e">
        <f t="shared" si="124"/>
        <v>#VALUE!</v>
      </c>
      <c r="BU103" s="10" t="e">
        <f t="shared" si="125"/>
        <v>#VALUE!</v>
      </c>
      <c r="BW103" s="10" t="e">
        <f t="shared" si="126"/>
        <v>#VALUE!</v>
      </c>
      <c r="BX103" s="10" t="e">
        <f t="shared" si="127"/>
        <v>#VALUE!</v>
      </c>
      <c r="BY103" s="10" t="e">
        <f t="shared" si="128"/>
        <v>#VALUE!</v>
      </c>
      <c r="BZ103" s="10" t="e">
        <f t="shared" si="129"/>
        <v>#VALUE!</v>
      </c>
      <c r="CA103" s="10" t="e">
        <f t="shared" si="130"/>
        <v>#VALUE!</v>
      </c>
      <c r="CB103" s="10" t="e">
        <f t="shared" si="131"/>
        <v>#VALUE!</v>
      </c>
      <c r="CD103" s="10" t="e">
        <f>MATCH(INDEX($BP$12:$BU$12,1,MATCH(BP103,$BP$15:$BU$15,0)),结果汇总!$AI$10:$AI$13,0)</f>
        <v>#VALUE!</v>
      </c>
      <c r="CE103" s="10" t="e">
        <f>MATCH(INDEX($BP$12:$BU$12,1,MATCH(BQ103,$BP$15:$BU$15,0)),结果汇总!$AI$10:$AI$13,0)</f>
        <v>#VALUE!</v>
      </c>
      <c r="CF103" s="10" t="e">
        <f>MATCH(INDEX($BP$12:$BU$12,1,MATCH(BR103,$BP$15:$BU$15,0)),结果汇总!$AI$10:$AI$13,0)</f>
        <v>#VALUE!</v>
      </c>
      <c r="CG103" s="10" t="e">
        <f>MATCH(INDEX($BP$12:$BU$12,1,MATCH(BS103,$BP$15:$BU$15,0)),结果汇总!$AI$10:$AI$13,0)</f>
        <v>#VALUE!</v>
      </c>
      <c r="CH103" s="10" t="e">
        <f>MATCH(INDEX($BP$12:$BU$12,1,MATCH(BT103,$BP$15:$BU$15,0)),结果汇总!$AI$10:$AI$13,0)</f>
        <v>#VALUE!</v>
      </c>
      <c r="CI103" s="10" t="e">
        <f>MATCH(INDEX($BP$12:$BU$12,1,MATCH(BU103,$BP$15:$BU$15,0)),结果汇总!$AI$10:$AI$13,0)</f>
        <v>#VALUE!</v>
      </c>
      <c r="CK103" s="10">
        <f t="shared" si="132"/>
        <v>0</v>
      </c>
      <c r="CL103" s="10">
        <f t="shared" si="132"/>
        <v>0</v>
      </c>
      <c r="CM103" s="10">
        <f t="shared" si="132"/>
        <v>0</v>
      </c>
      <c r="CN103" s="10">
        <f t="shared" si="132"/>
        <v>0</v>
      </c>
      <c r="CO103" s="10">
        <f t="shared" si="133"/>
        <v>0</v>
      </c>
      <c r="CP103" s="10">
        <f t="shared" si="133"/>
        <v>0</v>
      </c>
      <c r="CQ103" s="10">
        <f t="shared" si="133"/>
        <v>0</v>
      </c>
      <c r="CR103" s="10">
        <f t="shared" si="133"/>
        <v>0</v>
      </c>
      <c r="CS103" s="10" t="e">
        <f t="shared" si="134"/>
        <v>#DIV/0!</v>
      </c>
      <c r="CT103" s="10" t="e">
        <f t="shared" si="134"/>
        <v>#DIV/0!</v>
      </c>
      <c r="CU103" s="10" t="e">
        <f t="shared" si="134"/>
        <v>#DIV/0!</v>
      </c>
      <c r="CV103" s="10" t="e">
        <f t="shared" si="134"/>
        <v>#DIV/0!</v>
      </c>
      <c r="CW103" s="10">
        <f t="shared" si="135"/>
        <v>0</v>
      </c>
      <c r="CX103" s="10">
        <f t="shared" si="135"/>
        <v>0</v>
      </c>
      <c r="CY103" s="10">
        <f t="shared" si="135"/>
        <v>0</v>
      </c>
      <c r="CZ103" s="10">
        <f t="shared" si="135"/>
        <v>0</v>
      </c>
    </row>
    <row r="104" spans="4:104" x14ac:dyDescent="0.15">
      <c r="D104" s="10">
        <v>89</v>
      </c>
      <c r="E104" s="10" t="e">
        <f t="shared" si="95"/>
        <v>#VALUE!</v>
      </c>
      <c r="F104" s="10" t="e">
        <f t="shared" si="79"/>
        <v>#VALUE!</v>
      </c>
      <c r="G104" s="10" t="e">
        <f t="shared" si="80"/>
        <v>#VALUE!</v>
      </c>
      <c r="H104" s="10" t="e">
        <f t="shared" si="96"/>
        <v>#VALUE!</v>
      </c>
      <c r="I104" s="10" t="e">
        <f t="shared" si="81"/>
        <v>#VALUE!</v>
      </c>
      <c r="J104" s="10" t="e">
        <f t="shared" si="97"/>
        <v>#VALUE!</v>
      </c>
      <c r="K104" s="10" t="e">
        <f t="shared" si="82"/>
        <v>#VALUE!</v>
      </c>
      <c r="L104" s="10" t="e">
        <f t="shared" si="83"/>
        <v>#VALUE!</v>
      </c>
      <c r="M104" s="10" t="e">
        <f t="shared" si="98"/>
        <v>#VALUE!</v>
      </c>
      <c r="O104" s="10" t="e">
        <f t="shared" si="99"/>
        <v>#VALUE!</v>
      </c>
      <c r="P104" s="10" t="e">
        <f t="shared" si="84"/>
        <v>#VALUE!</v>
      </c>
      <c r="Q104" s="10" t="e">
        <f t="shared" si="85"/>
        <v>#VALUE!</v>
      </c>
      <c r="R104" s="10" t="e">
        <f t="shared" si="100"/>
        <v>#VALUE!</v>
      </c>
      <c r="S104" s="10" t="e">
        <f t="shared" si="101"/>
        <v>#VALUE!</v>
      </c>
      <c r="T104" s="10" t="e">
        <f t="shared" si="136"/>
        <v>#VALUE!</v>
      </c>
      <c r="U104" s="10" t="e">
        <f t="shared" si="137"/>
        <v>#VALUE!</v>
      </c>
      <c r="V104" s="10" t="e">
        <f t="shared" si="86"/>
        <v>#VALUE!</v>
      </c>
      <c r="W104" s="10" t="e">
        <f t="shared" si="102"/>
        <v>#VALUE!</v>
      </c>
      <c r="Y104" s="10" t="e">
        <f t="shared" si="103"/>
        <v>#VALUE!</v>
      </c>
      <c r="Z104" s="11" t="e">
        <f t="shared" si="104"/>
        <v>#VALUE!</v>
      </c>
      <c r="AA104" s="10" t="e">
        <f t="shared" si="87"/>
        <v>#VALUE!</v>
      </c>
      <c r="AB104" s="10" t="e">
        <f t="shared" si="105"/>
        <v>#VALUE!</v>
      </c>
      <c r="AC104" s="10" t="e">
        <f t="shared" si="106"/>
        <v>#VALUE!</v>
      </c>
      <c r="AD104" s="10" t="e">
        <f t="shared" si="138"/>
        <v>#VALUE!</v>
      </c>
      <c r="AE104" s="10" t="e">
        <f t="shared" si="139"/>
        <v>#VALUE!</v>
      </c>
      <c r="AF104" s="10" t="e">
        <f t="shared" si="88"/>
        <v>#VALUE!</v>
      </c>
      <c r="AG104" s="10" t="e">
        <f t="shared" si="107"/>
        <v>#VALUE!</v>
      </c>
      <c r="AI104" s="13"/>
      <c r="AK104" s="10" t="e">
        <f t="shared" si="108"/>
        <v>#VALUE!</v>
      </c>
      <c r="AL104" s="10" t="e">
        <f t="shared" si="140"/>
        <v>#VALUE!</v>
      </c>
      <c r="AM104" s="10" t="e">
        <f t="shared" si="89"/>
        <v>#VALUE!</v>
      </c>
      <c r="AN104" s="10" t="e">
        <f t="shared" si="109"/>
        <v>#VALUE!</v>
      </c>
      <c r="AO104" s="10" t="e">
        <f t="shared" si="110"/>
        <v>#VALUE!</v>
      </c>
      <c r="AP104" s="10" t="e">
        <f t="shared" si="111"/>
        <v>#VALUE!</v>
      </c>
      <c r="AQ104" s="10" t="e">
        <f t="shared" si="141"/>
        <v>#VALUE!</v>
      </c>
      <c r="AR104" s="10" t="e">
        <f t="shared" si="90"/>
        <v>#VALUE!</v>
      </c>
      <c r="AS104" s="10" t="e">
        <f t="shared" si="142"/>
        <v>#VALUE!</v>
      </c>
      <c r="AU104" s="10" t="e">
        <f t="shared" si="112"/>
        <v>#VALUE!</v>
      </c>
      <c r="AV104" s="10" t="e">
        <f t="shared" si="143"/>
        <v>#VALUE!</v>
      </c>
      <c r="AW104" s="10" t="e">
        <f t="shared" si="91"/>
        <v>#VALUE!</v>
      </c>
      <c r="AX104" s="10" t="e">
        <f t="shared" si="113"/>
        <v>#VALUE!</v>
      </c>
      <c r="AY104" s="10" t="e">
        <f t="shared" si="114"/>
        <v>#VALUE!</v>
      </c>
      <c r="AZ104" s="10" t="e">
        <f t="shared" si="115"/>
        <v>#VALUE!</v>
      </c>
      <c r="BA104" s="10" t="e">
        <f t="shared" si="144"/>
        <v>#VALUE!</v>
      </c>
      <c r="BB104" s="10" t="e">
        <f t="shared" si="92"/>
        <v>#VALUE!</v>
      </c>
      <c r="BC104" s="10" t="e">
        <f t="shared" si="145"/>
        <v>#VALUE!</v>
      </c>
      <c r="BE104" s="10" t="e">
        <f t="shared" si="116"/>
        <v>#VALUE!</v>
      </c>
      <c r="BF104" s="10" t="e">
        <f t="shared" si="146"/>
        <v>#VALUE!</v>
      </c>
      <c r="BG104" s="10" t="e">
        <f t="shared" si="93"/>
        <v>#VALUE!</v>
      </c>
      <c r="BH104" s="10" t="e">
        <f t="shared" si="117"/>
        <v>#VALUE!</v>
      </c>
      <c r="BI104" s="10" t="e">
        <f t="shared" si="118"/>
        <v>#VALUE!</v>
      </c>
      <c r="BJ104" s="10" t="e">
        <f t="shared" si="119"/>
        <v>#VALUE!</v>
      </c>
      <c r="BK104" s="10" t="e">
        <f t="shared" si="147"/>
        <v>#VALUE!</v>
      </c>
      <c r="BL104" s="10" t="e">
        <f t="shared" si="94"/>
        <v>#VALUE!</v>
      </c>
      <c r="BM104" s="10" t="e">
        <f t="shared" si="148"/>
        <v>#VALUE!</v>
      </c>
      <c r="BP104" s="10" t="e">
        <f t="shared" si="120"/>
        <v>#VALUE!</v>
      </c>
      <c r="BQ104" s="10" t="e">
        <f t="shared" si="121"/>
        <v>#VALUE!</v>
      </c>
      <c r="BR104" s="10" t="e">
        <f t="shared" si="122"/>
        <v>#VALUE!</v>
      </c>
      <c r="BS104" s="10" t="e">
        <f t="shared" si="123"/>
        <v>#VALUE!</v>
      </c>
      <c r="BT104" s="10" t="e">
        <f t="shared" si="124"/>
        <v>#VALUE!</v>
      </c>
      <c r="BU104" s="10" t="e">
        <f t="shared" si="125"/>
        <v>#VALUE!</v>
      </c>
      <c r="BW104" s="10" t="e">
        <f>Y104+AD104*1000</f>
        <v>#VALUE!</v>
      </c>
      <c r="BX104" s="10" t="e">
        <f t="shared" si="127"/>
        <v>#VALUE!</v>
      </c>
      <c r="BY104" s="10" t="e">
        <f t="shared" si="128"/>
        <v>#VALUE!</v>
      </c>
      <c r="BZ104" s="10" t="e">
        <f t="shared" si="129"/>
        <v>#VALUE!</v>
      </c>
      <c r="CA104" s="10" t="e">
        <f t="shared" si="130"/>
        <v>#VALUE!</v>
      </c>
      <c r="CB104" s="10" t="e">
        <f t="shared" si="131"/>
        <v>#VALUE!</v>
      </c>
      <c r="CD104" s="10" t="e">
        <f>MATCH(INDEX($BP$12:$BU$12,1,MATCH(BP104,$BP$15:$BU$15,0)),结果汇总!$AI$10:$AI$13,0)</f>
        <v>#VALUE!</v>
      </c>
      <c r="CE104" s="10" t="e">
        <f>MATCH(INDEX($BP$12:$BU$12,1,MATCH(BQ104,$BP$15:$BU$15,0)),结果汇总!$AI$10:$AI$13,0)</f>
        <v>#VALUE!</v>
      </c>
      <c r="CF104" s="10" t="e">
        <f>MATCH(INDEX($BP$12:$BU$12,1,MATCH(BR104,$BP$15:$BU$15,0)),结果汇总!$AI$10:$AI$13,0)</f>
        <v>#VALUE!</v>
      </c>
      <c r="CG104" s="10" t="e">
        <f>MATCH(INDEX($BP$12:$BU$12,1,MATCH(BS104,$BP$15:$BU$15,0)),结果汇总!$AI$10:$AI$13,0)</f>
        <v>#VALUE!</v>
      </c>
      <c r="CH104" s="10" t="e">
        <f>MATCH(INDEX($BP$12:$BU$12,1,MATCH(BT104,$BP$15:$BU$15,0)),结果汇总!$AI$10:$AI$13,0)</f>
        <v>#VALUE!</v>
      </c>
      <c r="CI104" s="10" t="e">
        <f>MATCH(INDEX($BP$12:$BU$12,1,MATCH(BU104,$BP$15:$BU$15,0)),结果汇总!$AI$10:$AI$13,0)</f>
        <v>#VALUE!</v>
      </c>
      <c r="CK104" s="10">
        <f t="shared" si="132"/>
        <v>0</v>
      </c>
      <c r="CL104" s="10">
        <f t="shared" si="132"/>
        <v>0</v>
      </c>
      <c r="CM104" s="10">
        <f t="shared" si="132"/>
        <v>0</v>
      </c>
      <c r="CN104" s="10">
        <f t="shared" si="132"/>
        <v>0</v>
      </c>
      <c r="CO104" s="10">
        <f t="shared" si="133"/>
        <v>0</v>
      </c>
      <c r="CP104" s="10">
        <f t="shared" si="133"/>
        <v>0</v>
      </c>
      <c r="CQ104" s="10">
        <f t="shared" si="133"/>
        <v>0</v>
      </c>
      <c r="CR104" s="10">
        <f t="shared" si="133"/>
        <v>0</v>
      </c>
      <c r="CS104" s="10" t="e">
        <f t="shared" si="134"/>
        <v>#DIV/0!</v>
      </c>
      <c r="CT104" s="10" t="e">
        <f t="shared" si="134"/>
        <v>#DIV/0!</v>
      </c>
      <c r="CU104" s="10" t="e">
        <f t="shared" si="134"/>
        <v>#DIV/0!</v>
      </c>
      <c r="CV104" s="10" t="e">
        <f t="shared" si="134"/>
        <v>#DIV/0!</v>
      </c>
      <c r="CW104" s="10">
        <f t="shared" si="135"/>
        <v>0</v>
      </c>
      <c r="CX104" s="10">
        <f t="shared" si="135"/>
        <v>0</v>
      </c>
      <c r="CY104" s="10">
        <f t="shared" si="135"/>
        <v>0</v>
      </c>
      <c r="CZ104" s="10">
        <f t="shared" si="135"/>
        <v>0</v>
      </c>
    </row>
    <row r="105" spans="4:104" x14ac:dyDescent="0.15">
      <c r="D105" s="10">
        <v>90</v>
      </c>
      <c r="E105" s="10" t="e">
        <f t="shared" si="95"/>
        <v>#VALUE!</v>
      </c>
      <c r="F105" s="10" t="e">
        <f t="shared" si="79"/>
        <v>#VALUE!</v>
      </c>
      <c r="G105" s="10" t="e">
        <f t="shared" si="80"/>
        <v>#VALUE!</v>
      </c>
      <c r="H105" s="10" t="e">
        <f t="shared" si="96"/>
        <v>#VALUE!</v>
      </c>
      <c r="I105" s="10" t="e">
        <f t="shared" si="81"/>
        <v>#VALUE!</v>
      </c>
      <c r="J105" s="10" t="e">
        <f t="shared" si="97"/>
        <v>#VALUE!</v>
      </c>
      <c r="K105" s="10" t="e">
        <f t="shared" si="82"/>
        <v>#VALUE!</v>
      </c>
      <c r="L105" s="10" t="e">
        <f t="shared" si="83"/>
        <v>#VALUE!</v>
      </c>
      <c r="M105" s="10" t="e">
        <f t="shared" si="98"/>
        <v>#VALUE!</v>
      </c>
      <c r="O105" s="10" t="e">
        <f t="shared" si="99"/>
        <v>#VALUE!</v>
      </c>
      <c r="P105" s="10" t="e">
        <f t="shared" si="84"/>
        <v>#VALUE!</v>
      </c>
      <c r="Q105" s="10" t="e">
        <f t="shared" si="85"/>
        <v>#VALUE!</v>
      </c>
      <c r="R105" s="10" t="e">
        <f t="shared" si="100"/>
        <v>#VALUE!</v>
      </c>
      <c r="S105" s="10" t="e">
        <f t="shared" si="101"/>
        <v>#VALUE!</v>
      </c>
      <c r="T105" s="10" t="e">
        <f t="shared" si="136"/>
        <v>#VALUE!</v>
      </c>
      <c r="U105" s="10" t="e">
        <f t="shared" si="137"/>
        <v>#VALUE!</v>
      </c>
      <c r="V105" s="10" t="e">
        <f t="shared" si="86"/>
        <v>#VALUE!</v>
      </c>
      <c r="W105" s="10" t="e">
        <f t="shared" si="102"/>
        <v>#VALUE!</v>
      </c>
      <c r="Y105" s="10" t="e">
        <f t="shared" si="103"/>
        <v>#VALUE!</v>
      </c>
      <c r="Z105" s="11" t="e">
        <f t="shared" si="104"/>
        <v>#VALUE!</v>
      </c>
      <c r="AA105" s="10" t="e">
        <f t="shared" si="87"/>
        <v>#VALUE!</v>
      </c>
      <c r="AB105" s="10" t="e">
        <f t="shared" si="105"/>
        <v>#VALUE!</v>
      </c>
      <c r="AC105" s="10" t="e">
        <f t="shared" si="106"/>
        <v>#VALUE!</v>
      </c>
      <c r="AD105" s="10" t="e">
        <f t="shared" si="138"/>
        <v>#VALUE!</v>
      </c>
      <c r="AE105" s="10" t="e">
        <f t="shared" si="139"/>
        <v>#VALUE!</v>
      </c>
      <c r="AF105" s="10" t="e">
        <f t="shared" si="88"/>
        <v>#VALUE!</v>
      </c>
      <c r="AG105" s="10" t="e">
        <f t="shared" si="107"/>
        <v>#VALUE!</v>
      </c>
      <c r="AI105" s="13"/>
      <c r="AK105" s="10" t="e">
        <f t="shared" si="108"/>
        <v>#VALUE!</v>
      </c>
      <c r="AL105" s="10" t="e">
        <f t="shared" si="140"/>
        <v>#VALUE!</v>
      </c>
      <c r="AM105" s="10" t="e">
        <f t="shared" si="89"/>
        <v>#VALUE!</v>
      </c>
      <c r="AN105" s="10" t="e">
        <f t="shared" si="109"/>
        <v>#VALUE!</v>
      </c>
      <c r="AO105" s="10" t="e">
        <f t="shared" si="110"/>
        <v>#VALUE!</v>
      </c>
      <c r="AP105" s="10" t="e">
        <f t="shared" si="111"/>
        <v>#VALUE!</v>
      </c>
      <c r="AQ105" s="10" t="e">
        <f t="shared" si="141"/>
        <v>#VALUE!</v>
      </c>
      <c r="AR105" s="10" t="e">
        <f t="shared" si="90"/>
        <v>#VALUE!</v>
      </c>
      <c r="AS105" s="10" t="e">
        <f t="shared" si="142"/>
        <v>#VALUE!</v>
      </c>
      <c r="AU105" s="10" t="e">
        <f t="shared" si="112"/>
        <v>#VALUE!</v>
      </c>
      <c r="AV105" s="10" t="e">
        <f t="shared" si="143"/>
        <v>#VALUE!</v>
      </c>
      <c r="AW105" s="10" t="e">
        <f t="shared" si="91"/>
        <v>#VALUE!</v>
      </c>
      <c r="AX105" s="10" t="e">
        <f t="shared" si="113"/>
        <v>#VALUE!</v>
      </c>
      <c r="AY105" s="10" t="e">
        <f t="shared" si="114"/>
        <v>#VALUE!</v>
      </c>
      <c r="AZ105" s="10" t="e">
        <f t="shared" si="115"/>
        <v>#VALUE!</v>
      </c>
      <c r="BA105" s="10" t="e">
        <f t="shared" si="144"/>
        <v>#VALUE!</v>
      </c>
      <c r="BB105" s="10" t="e">
        <f t="shared" si="92"/>
        <v>#VALUE!</v>
      </c>
      <c r="BC105" s="10" t="e">
        <f t="shared" si="145"/>
        <v>#VALUE!</v>
      </c>
      <c r="BE105" s="10" t="e">
        <f t="shared" si="116"/>
        <v>#VALUE!</v>
      </c>
      <c r="BF105" s="10" t="e">
        <f t="shared" si="146"/>
        <v>#VALUE!</v>
      </c>
      <c r="BG105" s="10" t="e">
        <f t="shared" si="93"/>
        <v>#VALUE!</v>
      </c>
      <c r="BH105" s="10" t="e">
        <f t="shared" si="117"/>
        <v>#VALUE!</v>
      </c>
      <c r="BI105" s="10" t="e">
        <f t="shared" si="118"/>
        <v>#VALUE!</v>
      </c>
      <c r="BJ105" s="10" t="e">
        <f t="shared" si="119"/>
        <v>#VALUE!</v>
      </c>
      <c r="BK105" s="10" t="e">
        <f t="shared" si="147"/>
        <v>#VALUE!</v>
      </c>
      <c r="BL105" s="10" t="e">
        <f t="shared" si="94"/>
        <v>#VALUE!</v>
      </c>
      <c r="BM105" s="10" t="e">
        <f t="shared" si="148"/>
        <v>#VALUE!</v>
      </c>
      <c r="BP105" s="10" t="e">
        <f t="shared" si="120"/>
        <v>#VALUE!</v>
      </c>
      <c r="BQ105" s="10" t="e">
        <f t="shared" si="121"/>
        <v>#VALUE!</v>
      </c>
      <c r="BR105" s="10" t="e">
        <f t="shared" si="122"/>
        <v>#VALUE!</v>
      </c>
      <c r="BS105" s="10" t="e">
        <f t="shared" si="123"/>
        <v>#VALUE!</v>
      </c>
      <c r="BT105" s="10" t="e">
        <f t="shared" si="124"/>
        <v>#VALUE!</v>
      </c>
      <c r="BU105" s="10" t="e">
        <f t="shared" si="125"/>
        <v>#VALUE!</v>
      </c>
      <c r="BW105" s="10" t="e">
        <f t="shared" si="126"/>
        <v>#VALUE!</v>
      </c>
      <c r="BX105" s="10" t="e">
        <f t="shared" si="127"/>
        <v>#VALUE!</v>
      </c>
      <c r="BY105" s="10" t="e">
        <f t="shared" si="128"/>
        <v>#VALUE!</v>
      </c>
      <c r="BZ105" s="10" t="e">
        <f t="shared" si="129"/>
        <v>#VALUE!</v>
      </c>
      <c r="CA105" s="10" t="e">
        <f t="shared" si="130"/>
        <v>#VALUE!</v>
      </c>
      <c r="CB105" s="10" t="e">
        <f t="shared" si="131"/>
        <v>#VALUE!</v>
      </c>
      <c r="CD105" s="10" t="e">
        <f>MATCH(INDEX($BP$12:$BU$12,1,MATCH(BP105,$BP$15:$BU$15,0)),结果汇总!$AI$10:$AI$13,0)</f>
        <v>#VALUE!</v>
      </c>
      <c r="CE105" s="10" t="e">
        <f>MATCH(INDEX($BP$12:$BU$12,1,MATCH(BQ105,$BP$15:$BU$15,0)),结果汇总!$AI$10:$AI$13,0)</f>
        <v>#VALUE!</v>
      </c>
      <c r="CF105" s="10" t="e">
        <f>MATCH(INDEX($BP$12:$BU$12,1,MATCH(BR105,$BP$15:$BU$15,0)),结果汇总!$AI$10:$AI$13,0)</f>
        <v>#VALUE!</v>
      </c>
      <c r="CG105" s="10" t="e">
        <f>MATCH(INDEX($BP$12:$BU$12,1,MATCH(BS105,$BP$15:$BU$15,0)),结果汇总!$AI$10:$AI$13,0)</f>
        <v>#VALUE!</v>
      </c>
      <c r="CH105" s="10" t="e">
        <f>MATCH(INDEX($BP$12:$BU$12,1,MATCH(BT105,$BP$15:$BU$15,0)),结果汇总!$AI$10:$AI$13,0)</f>
        <v>#VALUE!</v>
      </c>
      <c r="CI105" s="10" t="e">
        <f>MATCH(INDEX($BP$12:$BU$12,1,MATCH(BU105,$BP$15:$BU$15,0)),结果汇总!$AI$10:$AI$13,0)</f>
        <v>#VALUE!</v>
      </c>
      <c r="CK105" s="10">
        <f t="shared" si="132"/>
        <v>0</v>
      </c>
      <c r="CL105" s="10">
        <f t="shared" si="132"/>
        <v>0</v>
      </c>
      <c r="CM105" s="10">
        <f t="shared" si="132"/>
        <v>0</v>
      </c>
      <c r="CN105" s="10">
        <f t="shared" si="132"/>
        <v>0</v>
      </c>
      <c r="CO105" s="10">
        <f t="shared" si="133"/>
        <v>0</v>
      </c>
      <c r="CP105" s="10">
        <f t="shared" si="133"/>
        <v>0</v>
      </c>
      <c r="CQ105" s="10">
        <f t="shared" si="133"/>
        <v>0</v>
      </c>
      <c r="CR105" s="10">
        <f t="shared" si="133"/>
        <v>0</v>
      </c>
      <c r="CS105" s="10" t="e">
        <f t="shared" si="134"/>
        <v>#DIV/0!</v>
      </c>
      <c r="CT105" s="10" t="e">
        <f t="shared" si="134"/>
        <v>#DIV/0!</v>
      </c>
      <c r="CU105" s="10" t="e">
        <f t="shared" si="134"/>
        <v>#DIV/0!</v>
      </c>
      <c r="CV105" s="10" t="e">
        <f t="shared" si="134"/>
        <v>#DIV/0!</v>
      </c>
      <c r="CW105" s="10">
        <f t="shared" si="135"/>
        <v>0</v>
      </c>
      <c r="CX105" s="10">
        <f t="shared" si="135"/>
        <v>0</v>
      </c>
      <c r="CY105" s="10">
        <f t="shared" si="135"/>
        <v>0</v>
      </c>
      <c r="CZ105" s="10">
        <f t="shared" si="135"/>
        <v>0</v>
      </c>
    </row>
    <row r="106" spans="4:104" x14ac:dyDescent="0.15">
      <c r="D106" s="10">
        <v>91</v>
      </c>
      <c r="E106" s="10" t="e">
        <f t="shared" si="95"/>
        <v>#VALUE!</v>
      </c>
      <c r="F106" s="10" t="e">
        <f t="shared" si="79"/>
        <v>#VALUE!</v>
      </c>
      <c r="G106" s="10" t="e">
        <f t="shared" si="80"/>
        <v>#VALUE!</v>
      </c>
      <c r="H106" s="10" t="e">
        <f t="shared" si="96"/>
        <v>#VALUE!</v>
      </c>
      <c r="I106" s="10" t="e">
        <f t="shared" si="81"/>
        <v>#VALUE!</v>
      </c>
      <c r="J106" s="10" t="e">
        <f t="shared" si="97"/>
        <v>#VALUE!</v>
      </c>
      <c r="K106" s="10" t="e">
        <f t="shared" si="82"/>
        <v>#VALUE!</v>
      </c>
      <c r="L106" s="10" t="e">
        <f t="shared" si="83"/>
        <v>#VALUE!</v>
      </c>
      <c r="M106" s="10" t="e">
        <f t="shared" si="98"/>
        <v>#VALUE!</v>
      </c>
      <c r="O106" s="10" t="e">
        <f t="shared" si="99"/>
        <v>#VALUE!</v>
      </c>
      <c r="P106" s="10" t="e">
        <f t="shared" si="84"/>
        <v>#VALUE!</v>
      </c>
      <c r="Q106" s="10" t="e">
        <f t="shared" si="85"/>
        <v>#VALUE!</v>
      </c>
      <c r="R106" s="10" t="e">
        <f t="shared" si="100"/>
        <v>#VALUE!</v>
      </c>
      <c r="S106" s="10" t="e">
        <f t="shared" si="101"/>
        <v>#VALUE!</v>
      </c>
      <c r="T106" s="10" t="e">
        <f t="shared" si="136"/>
        <v>#VALUE!</v>
      </c>
      <c r="U106" s="10" t="e">
        <f t="shared" si="137"/>
        <v>#VALUE!</v>
      </c>
      <c r="V106" s="10" t="e">
        <f t="shared" si="86"/>
        <v>#VALUE!</v>
      </c>
      <c r="W106" s="10" t="e">
        <f t="shared" si="102"/>
        <v>#VALUE!</v>
      </c>
      <c r="Y106" s="10" t="e">
        <f t="shared" si="103"/>
        <v>#VALUE!</v>
      </c>
      <c r="Z106" s="11" t="e">
        <f t="shared" si="104"/>
        <v>#VALUE!</v>
      </c>
      <c r="AA106" s="10" t="e">
        <f t="shared" si="87"/>
        <v>#VALUE!</v>
      </c>
      <c r="AB106" s="10" t="e">
        <f t="shared" si="105"/>
        <v>#VALUE!</v>
      </c>
      <c r="AC106" s="10" t="e">
        <f t="shared" si="106"/>
        <v>#VALUE!</v>
      </c>
      <c r="AD106" s="10" t="e">
        <f t="shared" si="138"/>
        <v>#VALUE!</v>
      </c>
      <c r="AE106" s="10" t="e">
        <f t="shared" si="139"/>
        <v>#VALUE!</v>
      </c>
      <c r="AF106" s="10" t="e">
        <f t="shared" si="88"/>
        <v>#VALUE!</v>
      </c>
      <c r="AG106" s="10" t="e">
        <f t="shared" si="107"/>
        <v>#VALUE!</v>
      </c>
      <c r="AI106" s="13"/>
      <c r="AK106" s="10" t="e">
        <f t="shared" si="108"/>
        <v>#VALUE!</v>
      </c>
      <c r="AL106" s="10" t="e">
        <f t="shared" si="140"/>
        <v>#VALUE!</v>
      </c>
      <c r="AM106" s="10" t="e">
        <f t="shared" si="89"/>
        <v>#VALUE!</v>
      </c>
      <c r="AN106" s="10" t="e">
        <f t="shared" si="109"/>
        <v>#VALUE!</v>
      </c>
      <c r="AO106" s="10" t="e">
        <f t="shared" si="110"/>
        <v>#VALUE!</v>
      </c>
      <c r="AP106" s="10" t="e">
        <f t="shared" si="111"/>
        <v>#VALUE!</v>
      </c>
      <c r="AQ106" s="10" t="e">
        <f t="shared" si="141"/>
        <v>#VALUE!</v>
      </c>
      <c r="AR106" s="10" t="e">
        <f t="shared" si="90"/>
        <v>#VALUE!</v>
      </c>
      <c r="AS106" s="10" t="e">
        <f t="shared" si="142"/>
        <v>#VALUE!</v>
      </c>
      <c r="AU106" s="10" t="e">
        <f t="shared" si="112"/>
        <v>#VALUE!</v>
      </c>
      <c r="AV106" s="10" t="e">
        <f t="shared" si="143"/>
        <v>#VALUE!</v>
      </c>
      <c r="AW106" s="10" t="e">
        <f t="shared" si="91"/>
        <v>#VALUE!</v>
      </c>
      <c r="AX106" s="10" t="e">
        <f t="shared" si="113"/>
        <v>#VALUE!</v>
      </c>
      <c r="AY106" s="10" t="e">
        <f t="shared" si="114"/>
        <v>#VALUE!</v>
      </c>
      <c r="AZ106" s="10" t="e">
        <f t="shared" si="115"/>
        <v>#VALUE!</v>
      </c>
      <c r="BA106" s="10" t="e">
        <f t="shared" si="144"/>
        <v>#VALUE!</v>
      </c>
      <c r="BB106" s="10" t="e">
        <f t="shared" si="92"/>
        <v>#VALUE!</v>
      </c>
      <c r="BC106" s="10" t="e">
        <f t="shared" si="145"/>
        <v>#VALUE!</v>
      </c>
      <c r="BE106" s="10" t="e">
        <f t="shared" si="116"/>
        <v>#VALUE!</v>
      </c>
      <c r="BF106" s="10" t="e">
        <f t="shared" si="146"/>
        <v>#VALUE!</v>
      </c>
      <c r="BG106" s="10" t="e">
        <f t="shared" si="93"/>
        <v>#VALUE!</v>
      </c>
      <c r="BH106" s="10" t="e">
        <f t="shared" si="117"/>
        <v>#VALUE!</v>
      </c>
      <c r="BI106" s="10" t="e">
        <f t="shared" si="118"/>
        <v>#VALUE!</v>
      </c>
      <c r="BJ106" s="10" t="e">
        <f t="shared" si="119"/>
        <v>#VALUE!</v>
      </c>
      <c r="BK106" s="10" t="e">
        <f t="shared" si="147"/>
        <v>#VALUE!</v>
      </c>
      <c r="BL106" s="10" t="e">
        <f t="shared" si="94"/>
        <v>#VALUE!</v>
      </c>
      <c r="BM106" s="10" t="e">
        <f t="shared" si="148"/>
        <v>#VALUE!</v>
      </c>
      <c r="BP106" s="10" t="e">
        <f t="shared" si="120"/>
        <v>#VALUE!</v>
      </c>
      <c r="BQ106" s="10" t="e">
        <f t="shared" si="121"/>
        <v>#VALUE!</v>
      </c>
      <c r="BR106" s="10" t="e">
        <f t="shared" si="122"/>
        <v>#VALUE!</v>
      </c>
      <c r="BS106" s="10" t="e">
        <f t="shared" si="123"/>
        <v>#VALUE!</v>
      </c>
      <c r="BT106" s="10" t="e">
        <f t="shared" si="124"/>
        <v>#VALUE!</v>
      </c>
      <c r="BU106" s="10" t="e">
        <f t="shared" si="125"/>
        <v>#VALUE!</v>
      </c>
      <c r="BW106" s="10" t="e">
        <f t="shared" si="126"/>
        <v>#VALUE!</v>
      </c>
      <c r="BX106" s="10" t="e">
        <f t="shared" si="127"/>
        <v>#VALUE!</v>
      </c>
      <c r="BY106" s="10" t="e">
        <f t="shared" si="128"/>
        <v>#VALUE!</v>
      </c>
      <c r="BZ106" s="10" t="e">
        <f t="shared" si="129"/>
        <v>#VALUE!</v>
      </c>
      <c r="CA106" s="10" t="e">
        <f t="shared" si="130"/>
        <v>#VALUE!</v>
      </c>
      <c r="CB106" s="10" t="e">
        <f t="shared" si="131"/>
        <v>#VALUE!</v>
      </c>
      <c r="CD106" s="10" t="e">
        <f>MATCH(INDEX($BP$12:$BU$12,1,MATCH(BP106,$BP$15:$BU$15,0)),结果汇总!$AI$10:$AI$13,0)</f>
        <v>#VALUE!</v>
      </c>
      <c r="CE106" s="10" t="e">
        <f>MATCH(INDEX($BP$12:$BU$12,1,MATCH(BQ106,$BP$15:$BU$15,0)),结果汇总!$AI$10:$AI$13,0)</f>
        <v>#VALUE!</v>
      </c>
      <c r="CF106" s="10" t="e">
        <f>MATCH(INDEX($BP$12:$BU$12,1,MATCH(BR106,$BP$15:$BU$15,0)),结果汇总!$AI$10:$AI$13,0)</f>
        <v>#VALUE!</v>
      </c>
      <c r="CG106" s="10" t="e">
        <f>MATCH(INDEX($BP$12:$BU$12,1,MATCH(BS106,$BP$15:$BU$15,0)),结果汇总!$AI$10:$AI$13,0)</f>
        <v>#VALUE!</v>
      </c>
      <c r="CH106" s="10" t="e">
        <f>MATCH(INDEX($BP$12:$BU$12,1,MATCH(BT106,$BP$15:$BU$15,0)),结果汇总!$AI$10:$AI$13,0)</f>
        <v>#VALUE!</v>
      </c>
      <c r="CI106" s="10" t="e">
        <f>MATCH(INDEX($BP$12:$BU$12,1,MATCH(BU106,$BP$15:$BU$15,0)),结果汇总!$AI$10:$AI$13,0)</f>
        <v>#VALUE!</v>
      </c>
      <c r="CK106" s="10">
        <f t="shared" si="132"/>
        <v>0</v>
      </c>
      <c r="CL106" s="10">
        <f t="shared" si="132"/>
        <v>0</v>
      </c>
      <c r="CM106" s="10">
        <f t="shared" si="132"/>
        <v>0</v>
      </c>
      <c r="CN106" s="10">
        <f t="shared" si="132"/>
        <v>0</v>
      </c>
      <c r="CO106" s="10">
        <f t="shared" si="133"/>
        <v>0</v>
      </c>
      <c r="CP106" s="10">
        <f t="shared" si="133"/>
        <v>0</v>
      </c>
      <c r="CQ106" s="10">
        <f t="shared" si="133"/>
        <v>0</v>
      </c>
      <c r="CR106" s="10">
        <f t="shared" si="133"/>
        <v>0</v>
      </c>
      <c r="CS106" s="10" t="e">
        <f t="shared" si="134"/>
        <v>#DIV/0!</v>
      </c>
      <c r="CT106" s="10" t="e">
        <f t="shared" si="134"/>
        <v>#DIV/0!</v>
      </c>
      <c r="CU106" s="10" t="e">
        <f t="shared" si="134"/>
        <v>#DIV/0!</v>
      </c>
      <c r="CV106" s="10" t="e">
        <f t="shared" si="134"/>
        <v>#DIV/0!</v>
      </c>
      <c r="CW106" s="10">
        <f t="shared" si="135"/>
        <v>0</v>
      </c>
      <c r="CX106" s="10">
        <f t="shared" si="135"/>
        <v>0</v>
      </c>
      <c r="CY106" s="10">
        <f t="shared" si="135"/>
        <v>0</v>
      </c>
      <c r="CZ106" s="10">
        <f t="shared" si="135"/>
        <v>0</v>
      </c>
    </row>
    <row r="107" spans="4:104" x14ac:dyDescent="0.15">
      <c r="D107" s="10">
        <v>92</v>
      </c>
      <c r="E107" s="10" t="e">
        <f t="shared" si="95"/>
        <v>#VALUE!</v>
      </c>
      <c r="F107" s="10" t="e">
        <f t="shared" si="79"/>
        <v>#VALUE!</v>
      </c>
      <c r="G107" s="10" t="e">
        <f t="shared" si="80"/>
        <v>#VALUE!</v>
      </c>
      <c r="H107" s="10" t="e">
        <f t="shared" si="96"/>
        <v>#VALUE!</v>
      </c>
      <c r="I107" s="10" t="e">
        <f t="shared" si="81"/>
        <v>#VALUE!</v>
      </c>
      <c r="J107" s="10" t="e">
        <f t="shared" si="97"/>
        <v>#VALUE!</v>
      </c>
      <c r="K107" s="10" t="e">
        <f t="shared" si="82"/>
        <v>#VALUE!</v>
      </c>
      <c r="L107" s="10" t="e">
        <f t="shared" si="83"/>
        <v>#VALUE!</v>
      </c>
      <c r="M107" s="10" t="e">
        <f t="shared" si="98"/>
        <v>#VALUE!</v>
      </c>
      <c r="O107" s="10" t="e">
        <f t="shared" si="99"/>
        <v>#VALUE!</v>
      </c>
      <c r="P107" s="10" t="e">
        <f t="shared" si="84"/>
        <v>#VALUE!</v>
      </c>
      <c r="Q107" s="10" t="e">
        <f t="shared" si="85"/>
        <v>#VALUE!</v>
      </c>
      <c r="R107" s="10" t="e">
        <f t="shared" si="100"/>
        <v>#VALUE!</v>
      </c>
      <c r="S107" s="10" t="e">
        <f t="shared" si="101"/>
        <v>#VALUE!</v>
      </c>
      <c r="T107" s="10" t="e">
        <f t="shared" si="136"/>
        <v>#VALUE!</v>
      </c>
      <c r="U107" s="10" t="e">
        <f t="shared" si="137"/>
        <v>#VALUE!</v>
      </c>
      <c r="V107" s="10" t="e">
        <f t="shared" si="86"/>
        <v>#VALUE!</v>
      </c>
      <c r="W107" s="10" t="e">
        <f t="shared" si="102"/>
        <v>#VALUE!</v>
      </c>
      <c r="Y107" s="10" t="e">
        <f t="shared" si="103"/>
        <v>#VALUE!</v>
      </c>
      <c r="Z107" s="11" t="e">
        <f t="shared" si="104"/>
        <v>#VALUE!</v>
      </c>
      <c r="AA107" s="10" t="e">
        <f t="shared" si="87"/>
        <v>#VALUE!</v>
      </c>
      <c r="AB107" s="10" t="e">
        <f t="shared" si="105"/>
        <v>#VALUE!</v>
      </c>
      <c r="AC107" s="10" t="e">
        <f t="shared" si="106"/>
        <v>#VALUE!</v>
      </c>
      <c r="AD107" s="10" t="e">
        <f t="shared" si="138"/>
        <v>#VALUE!</v>
      </c>
      <c r="AE107" s="10" t="e">
        <f t="shared" si="139"/>
        <v>#VALUE!</v>
      </c>
      <c r="AF107" s="10" t="e">
        <f t="shared" si="88"/>
        <v>#VALUE!</v>
      </c>
      <c r="AG107" s="10" t="e">
        <f t="shared" si="107"/>
        <v>#VALUE!</v>
      </c>
      <c r="AI107" s="13"/>
      <c r="AK107" s="10" t="e">
        <f t="shared" si="108"/>
        <v>#VALUE!</v>
      </c>
      <c r="AL107" s="10" t="e">
        <f t="shared" si="140"/>
        <v>#VALUE!</v>
      </c>
      <c r="AM107" s="10" t="e">
        <f t="shared" si="89"/>
        <v>#VALUE!</v>
      </c>
      <c r="AN107" s="10" t="e">
        <f t="shared" si="109"/>
        <v>#VALUE!</v>
      </c>
      <c r="AO107" s="10" t="e">
        <f t="shared" si="110"/>
        <v>#VALUE!</v>
      </c>
      <c r="AP107" s="10" t="e">
        <f t="shared" si="111"/>
        <v>#VALUE!</v>
      </c>
      <c r="AQ107" s="10" t="e">
        <f t="shared" si="141"/>
        <v>#VALUE!</v>
      </c>
      <c r="AR107" s="10" t="e">
        <f t="shared" si="90"/>
        <v>#VALUE!</v>
      </c>
      <c r="AS107" s="10" t="e">
        <f t="shared" si="142"/>
        <v>#VALUE!</v>
      </c>
      <c r="AU107" s="10" t="e">
        <f t="shared" si="112"/>
        <v>#VALUE!</v>
      </c>
      <c r="AV107" s="10" t="e">
        <f t="shared" si="143"/>
        <v>#VALUE!</v>
      </c>
      <c r="AW107" s="10" t="e">
        <f t="shared" si="91"/>
        <v>#VALUE!</v>
      </c>
      <c r="AX107" s="10" t="e">
        <f t="shared" si="113"/>
        <v>#VALUE!</v>
      </c>
      <c r="AY107" s="10" t="e">
        <f t="shared" si="114"/>
        <v>#VALUE!</v>
      </c>
      <c r="AZ107" s="10" t="e">
        <f t="shared" si="115"/>
        <v>#VALUE!</v>
      </c>
      <c r="BA107" s="10" t="e">
        <f t="shared" si="144"/>
        <v>#VALUE!</v>
      </c>
      <c r="BB107" s="10" t="e">
        <f t="shared" si="92"/>
        <v>#VALUE!</v>
      </c>
      <c r="BC107" s="10" t="e">
        <f t="shared" si="145"/>
        <v>#VALUE!</v>
      </c>
      <c r="BE107" s="10" t="e">
        <f t="shared" si="116"/>
        <v>#VALUE!</v>
      </c>
      <c r="BF107" s="10" t="e">
        <f t="shared" si="146"/>
        <v>#VALUE!</v>
      </c>
      <c r="BG107" s="10" t="e">
        <f t="shared" si="93"/>
        <v>#VALUE!</v>
      </c>
      <c r="BH107" s="10" t="e">
        <f t="shared" si="117"/>
        <v>#VALUE!</v>
      </c>
      <c r="BI107" s="10" t="e">
        <f t="shared" si="118"/>
        <v>#VALUE!</v>
      </c>
      <c r="BJ107" s="10" t="e">
        <f t="shared" si="119"/>
        <v>#VALUE!</v>
      </c>
      <c r="BK107" s="10" t="e">
        <f t="shared" si="147"/>
        <v>#VALUE!</v>
      </c>
      <c r="BL107" s="10" t="e">
        <f t="shared" si="94"/>
        <v>#VALUE!</v>
      </c>
      <c r="BM107" s="10" t="e">
        <f t="shared" si="148"/>
        <v>#VALUE!</v>
      </c>
      <c r="BP107" s="10" t="e">
        <f t="shared" si="120"/>
        <v>#VALUE!</v>
      </c>
      <c r="BQ107" s="10" t="e">
        <f t="shared" si="121"/>
        <v>#VALUE!</v>
      </c>
      <c r="BR107" s="10" t="e">
        <f t="shared" si="122"/>
        <v>#VALUE!</v>
      </c>
      <c r="BS107" s="10" t="e">
        <f t="shared" si="123"/>
        <v>#VALUE!</v>
      </c>
      <c r="BT107" s="10" t="e">
        <f t="shared" si="124"/>
        <v>#VALUE!</v>
      </c>
      <c r="BU107" s="10" t="e">
        <f t="shared" si="125"/>
        <v>#VALUE!</v>
      </c>
      <c r="BW107" s="10" t="e">
        <f t="shared" si="126"/>
        <v>#VALUE!</v>
      </c>
      <c r="BX107" s="10" t="e">
        <f t="shared" si="127"/>
        <v>#VALUE!</v>
      </c>
      <c r="BY107" s="10" t="e">
        <f t="shared" si="128"/>
        <v>#VALUE!</v>
      </c>
      <c r="BZ107" s="10" t="e">
        <f t="shared" si="129"/>
        <v>#VALUE!</v>
      </c>
      <c r="CA107" s="10" t="e">
        <f t="shared" si="130"/>
        <v>#VALUE!</v>
      </c>
      <c r="CB107" s="10" t="e">
        <f t="shared" si="131"/>
        <v>#VALUE!</v>
      </c>
      <c r="CD107" s="10" t="e">
        <f>MATCH(INDEX($BP$12:$BU$12,1,MATCH(BP107,$BP$15:$BU$15,0)),结果汇总!$AI$10:$AI$13,0)</f>
        <v>#VALUE!</v>
      </c>
      <c r="CE107" s="10" t="e">
        <f>MATCH(INDEX($BP$12:$BU$12,1,MATCH(BQ107,$BP$15:$BU$15,0)),结果汇总!$AI$10:$AI$13,0)</f>
        <v>#VALUE!</v>
      </c>
      <c r="CF107" s="10" t="e">
        <f>MATCH(INDEX($BP$12:$BU$12,1,MATCH(BR107,$BP$15:$BU$15,0)),结果汇总!$AI$10:$AI$13,0)</f>
        <v>#VALUE!</v>
      </c>
      <c r="CG107" s="10" t="e">
        <f>MATCH(INDEX($BP$12:$BU$12,1,MATCH(BS107,$BP$15:$BU$15,0)),结果汇总!$AI$10:$AI$13,0)</f>
        <v>#VALUE!</v>
      </c>
      <c r="CH107" s="10" t="e">
        <f>MATCH(INDEX($BP$12:$BU$12,1,MATCH(BT107,$BP$15:$BU$15,0)),结果汇总!$AI$10:$AI$13,0)</f>
        <v>#VALUE!</v>
      </c>
      <c r="CI107" s="10" t="e">
        <f>MATCH(INDEX($BP$12:$BU$12,1,MATCH(BU107,$BP$15:$BU$15,0)),结果汇总!$AI$10:$AI$13,0)</f>
        <v>#VALUE!</v>
      </c>
      <c r="CK107" s="10">
        <f t="shared" si="132"/>
        <v>0</v>
      </c>
      <c r="CL107" s="10">
        <f t="shared" si="132"/>
        <v>0</v>
      </c>
      <c r="CM107" s="10">
        <f t="shared" si="132"/>
        <v>0</v>
      </c>
      <c r="CN107" s="10">
        <f t="shared" si="132"/>
        <v>0</v>
      </c>
      <c r="CO107" s="10">
        <f t="shared" si="133"/>
        <v>0</v>
      </c>
      <c r="CP107" s="10">
        <f t="shared" si="133"/>
        <v>0</v>
      </c>
      <c r="CQ107" s="10">
        <f t="shared" si="133"/>
        <v>0</v>
      </c>
      <c r="CR107" s="10">
        <f t="shared" si="133"/>
        <v>0</v>
      </c>
      <c r="CS107" s="10" t="e">
        <f t="shared" si="134"/>
        <v>#DIV/0!</v>
      </c>
      <c r="CT107" s="10" t="e">
        <f t="shared" si="134"/>
        <v>#DIV/0!</v>
      </c>
      <c r="CU107" s="10" t="e">
        <f t="shared" si="134"/>
        <v>#DIV/0!</v>
      </c>
      <c r="CV107" s="10" t="e">
        <f t="shared" si="134"/>
        <v>#DIV/0!</v>
      </c>
      <c r="CW107" s="10">
        <f t="shared" si="135"/>
        <v>0</v>
      </c>
      <c r="CX107" s="10">
        <f t="shared" si="135"/>
        <v>0</v>
      </c>
      <c r="CY107" s="10">
        <f t="shared" si="135"/>
        <v>0</v>
      </c>
      <c r="CZ107" s="10">
        <f t="shared" si="135"/>
        <v>0</v>
      </c>
    </row>
    <row r="108" spans="4:104" x14ac:dyDescent="0.15">
      <c r="D108" s="10">
        <v>93</v>
      </c>
      <c r="E108" s="10" t="e">
        <f t="shared" si="95"/>
        <v>#VALUE!</v>
      </c>
      <c r="F108" s="10" t="e">
        <f t="shared" si="79"/>
        <v>#VALUE!</v>
      </c>
      <c r="G108" s="10" t="e">
        <f t="shared" si="80"/>
        <v>#VALUE!</v>
      </c>
      <c r="H108" s="10" t="e">
        <f t="shared" si="96"/>
        <v>#VALUE!</v>
      </c>
      <c r="I108" s="10" t="e">
        <f t="shared" si="81"/>
        <v>#VALUE!</v>
      </c>
      <c r="J108" s="10" t="e">
        <f t="shared" si="97"/>
        <v>#VALUE!</v>
      </c>
      <c r="K108" s="10" t="e">
        <f t="shared" si="82"/>
        <v>#VALUE!</v>
      </c>
      <c r="L108" s="10" t="e">
        <f t="shared" si="83"/>
        <v>#VALUE!</v>
      </c>
      <c r="M108" s="10" t="e">
        <f t="shared" si="98"/>
        <v>#VALUE!</v>
      </c>
      <c r="O108" s="10" t="e">
        <f t="shared" si="99"/>
        <v>#VALUE!</v>
      </c>
      <c r="P108" s="10" t="e">
        <f t="shared" si="84"/>
        <v>#VALUE!</v>
      </c>
      <c r="Q108" s="10" t="e">
        <f t="shared" si="85"/>
        <v>#VALUE!</v>
      </c>
      <c r="R108" s="10" t="e">
        <f t="shared" si="100"/>
        <v>#VALUE!</v>
      </c>
      <c r="S108" s="10" t="e">
        <f t="shared" si="101"/>
        <v>#VALUE!</v>
      </c>
      <c r="T108" s="10" t="e">
        <f t="shared" si="136"/>
        <v>#VALUE!</v>
      </c>
      <c r="U108" s="10" t="e">
        <f t="shared" si="137"/>
        <v>#VALUE!</v>
      </c>
      <c r="V108" s="10" t="e">
        <f t="shared" si="86"/>
        <v>#VALUE!</v>
      </c>
      <c r="W108" s="10" t="e">
        <f t="shared" si="102"/>
        <v>#VALUE!</v>
      </c>
      <c r="Y108" s="10" t="e">
        <f t="shared" si="103"/>
        <v>#VALUE!</v>
      </c>
      <c r="Z108" s="11" t="e">
        <f t="shared" si="104"/>
        <v>#VALUE!</v>
      </c>
      <c r="AA108" s="10" t="e">
        <f t="shared" si="87"/>
        <v>#VALUE!</v>
      </c>
      <c r="AB108" s="10" t="e">
        <f t="shared" si="105"/>
        <v>#VALUE!</v>
      </c>
      <c r="AC108" s="10" t="e">
        <f t="shared" si="106"/>
        <v>#VALUE!</v>
      </c>
      <c r="AD108" s="10" t="e">
        <f t="shared" si="138"/>
        <v>#VALUE!</v>
      </c>
      <c r="AE108" s="10" t="e">
        <f t="shared" si="139"/>
        <v>#VALUE!</v>
      </c>
      <c r="AF108" s="10" t="e">
        <f t="shared" si="88"/>
        <v>#VALUE!</v>
      </c>
      <c r="AG108" s="10" t="e">
        <f t="shared" si="107"/>
        <v>#VALUE!</v>
      </c>
      <c r="AI108" s="13"/>
      <c r="AK108" s="10" t="e">
        <f t="shared" si="108"/>
        <v>#VALUE!</v>
      </c>
      <c r="AL108" s="10" t="e">
        <f t="shared" si="140"/>
        <v>#VALUE!</v>
      </c>
      <c r="AM108" s="10" t="e">
        <f t="shared" si="89"/>
        <v>#VALUE!</v>
      </c>
      <c r="AN108" s="10" t="e">
        <f t="shared" si="109"/>
        <v>#VALUE!</v>
      </c>
      <c r="AO108" s="10" t="e">
        <f t="shared" si="110"/>
        <v>#VALUE!</v>
      </c>
      <c r="AP108" s="10" t="e">
        <f t="shared" si="111"/>
        <v>#VALUE!</v>
      </c>
      <c r="AQ108" s="10" t="e">
        <f t="shared" si="141"/>
        <v>#VALUE!</v>
      </c>
      <c r="AR108" s="10" t="e">
        <f t="shared" si="90"/>
        <v>#VALUE!</v>
      </c>
      <c r="AS108" s="10" t="e">
        <f t="shared" si="142"/>
        <v>#VALUE!</v>
      </c>
      <c r="AU108" s="10" t="e">
        <f t="shared" si="112"/>
        <v>#VALUE!</v>
      </c>
      <c r="AV108" s="10" t="e">
        <f t="shared" si="143"/>
        <v>#VALUE!</v>
      </c>
      <c r="AW108" s="10" t="e">
        <f t="shared" si="91"/>
        <v>#VALUE!</v>
      </c>
      <c r="AX108" s="10" t="e">
        <f t="shared" si="113"/>
        <v>#VALUE!</v>
      </c>
      <c r="AY108" s="10" t="e">
        <f t="shared" si="114"/>
        <v>#VALUE!</v>
      </c>
      <c r="AZ108" s="10" t="e">
        <f t="shared" si="115"/>
        <v>#VALUE!</v>
      </c>
      <c r="BA108" s="10" t="e">
        <f t="shared" si="144"/>
        <v>#VALUE!</v>
      </c>
      <c r="BB108" s="10" t="e">
        <f t="shared" si="92"/>
        <v>#VALUE!</v>
      </c>
      <c r="BC108" s="10" t="e">
        <f t="shared" si="145"/>
        <v>#VALUE!</v>
      </c>
      <c r="BE108" s="10" t="e">
        <f t="shared" si="116"/>
        <v>#VALUE!</v>
      </c>
      <c r="BF108" s="10" t="e">
        <f t="shared" si="146"/>
        <v>#VALUE!</v>
      </c>
      <c r="BG108" s="10" t="e">
        <f t="shared" si="93"/>
        <v>#VALUE!</v>
      </c>
      <c r="BH108" s="10" t="e">
        <f t="shared" si="117"/>
        <v>#VALUE!</v>
      </c>
      <c r="BI108" s="10" t="e">
        <f t="shared" si="118"/>
        <v>#VALUE!</v>
      </c>
      <c r="BJ108" s="10" t="e">
        <f t="shared" si="119"/>
        <v>#VALUE!</v>
      </c>
      <c r="BK108" s="10" t="e">
        <f t="shared" si="147"/>
        <v>#VALUE!</v>
      </c>
      <c r="BL108" s="10" t="e">
        <f t="shared" si="94"/>
        <v>#VALUE!</v>
      </c>
      <c r="BM108" s="10" t="e">
        <f t="shared" si="148"/>
        <v>#VALUE!</v>
      </c>
      <c r="BP108" s="10" t="e">
        <f t="shared" si="120"/>
        <v>#VALUE!</v>
      </c>
      <c r="BQ108" s="10" t="e">
        <f t="shared" si="121"/>
        <v>#VALUE!</v>
      </c>
      <c r="BR108" s="10" t="e">
        <f t="shared" si="122"/>
        <v>#VALUE!</v>
      </c>
      <c r="BS108" s="10" t="e">
        <f t="shared" si="123"/>
        <v>#VALUE!</v>
      </c>
      <c r="BT108" s="10" t="e">
        <f t="shared" si="124"/>
        <v>#VALUE!</v>
      </c>
      <c r="BU108" s="10" t="e">
        <f t="shared" si="125"/>
        <v>#VALUE!</v>
      </c>
      <c r="BW108" s="10" t="e">
        <f t="shared" si="126"/>
        <v>#VALUE!</v>
      </c>
      <c r="BX108" s="10" t="e">
        <f t="shared" si="127"/>
        <v>#VALUE!</v>
      </c>
      <c r="BY108" s="10" t="e">
        <f t="shared" si="128"/>
        <v>#VALUE!</v>
      </c>
      <c r="BZ108" s="10" t="e">
        <f t="shared" si="129"/>
        <v>#VALUE!</v>
      </c>
      <c r="CA108" s="10" t="e">
        <f t="shared" si="130"/>
        <v>#VALUE!</v>
      </c>
      <c r="CB108" s="10" t="e">
        <f t="shared" si="131"/>
        <v>#VALUE!</v>
      </c>
      <c r="CD108" s="10" t="e">
        <f>MATCH(INDEX($BP$12:$BU$12,1,MATCH(BP108,$BP$15:$BU$15,0)),结果汇总!$AI$10:$AI$13,0)</f>
        <v>#VALUE!</v>
      </c>
      <c r="CE108" s="10" t="e">
        <f>MATCH(INDEX($BP$12:$BU$12,1,MATCH(BQ108,$BP$15:$BU$15,0)),结果汇总!$AI$10:$AI$13,0)</f>
        <v>#VALUE!</v>
      </c>
      <c r="CF108" s="10" t="e">
        <f>MATCH(INDEX($BP$12:$BU$12,1,MATCH(BR108,$BP$15:$BU$15,0)),结果汇总!$AI$10:$AI$13,0)</f>
        <v>#VALUE!</v>
      </c>
      <c r="CG108" s="10" t="e">
        <f>MATCH(INDEX($BP$12:$BU$12,1,MATCH(BS108,$BP$15:$BU$15,0)),结果汇总!$AI$10:$AI$13,0)</f>
        <v>#VALUE!</v>
      </c>
      <c r="CH108" s="10" t="e">
        <f>MATCH(INDEX($BP$12:$BU$12,1,MATCH(BT108,$BP$15:$BU$15,0)),结果汇总!$AI$10:$AI$13,0)</f>
        <v>#VALUE!</v>
      </c>
      <c r="CI108" s="10" t="e">
        <f>MATCH(INDEX($BP$12:$BU$12,1,MATCH(BU108,$BP$15:$BU$15,0)),结果汇总!$AI$10:$AI$13,0)</f>
        <v>#VALUE!</v>
      </c>
      <c r="CK108" s="10">
        <f t="shared" si="132"/>
        <v>0</v>
      </c>
      <c r="CL108" s="10">
        <f t="shared" si="132"/>
        <v>0</v>
      </c>
      <c r="CM108" s="10">
        <f t="shared" si="132"/>
        <v>0</v>
      </c>
      <c r="CN108" s="10">
        <f t="shared" si="132"/>
        <v>0</v>
      </c>
      <c r="CO108" s="10">
        <f t="shared" si="133"/>
        <v>0</v>
      </c>
      <c r="CP108" s="10">
        <f t="shared" si="133"/>
        <v>0</v>
      </c>
      <c r="CQ108" s="10">
        <f t="shared" si="133"/>
        <v>0</v>
      </c>
      <c r="CR108" s="10">
        <f t="shared" si="133"/>
        <v>0</v>
      </c>
      <c r="CS108" s="10" t="e">
        <f t="shared" si="134"/>
        <v>#DIV/0!</v>
      </c>
      <c r="CT108" s="10" t="e">
        <f t="shared" si="134"/>
        <v>#DIV/0!</v>
      </c>
      <c r="CU108" s="10" t="e">
        <f t="shared" si="134"/>
        <v>#DIV/0!</v>
      </c>
      <c r="CV108" s="10" t="e">
        <f t="shared" si="134"/>
        <v>#DIV/0!</v>
      </c>
      <c r="CW108" s="10">
        <f t="shared" si="135"/>
        <v>0</v>
      </c>
      <c r="CX108" s="10">
        <f t="shared" si="135"/>
        <v>0</v>
      </c>
      <c r="CY108" s="10">
        <f t="shared" si="135"/>
        <v>0</v>
      </c>
      <c r="CZ108" s="10">
        <f t="shared" si="135"/>
        <v>0</v>
      </c>
    </row>
    <row r="109" spans="4:104" x14ac:dyDescent="0.15">
      <c r="D109" s="10">
        <v>94</v>
      </c>
      <c r="E109" s="10" t="e">
        <f t="shared" si="95"/>
        <v>#VALUE!</v>
      </c>
      <c r="F109" s="10" t="e">
        <f t="shared" si="79"/>
        <v>#VALUE!</v>
      </c>
      <c r="G109" s="10" t="e">
        <f t="shared" si="80"/>
        <v>#VALUE!</v>
      </c>
      <c r="H109" s="10" t="e">
        <f t="shared" si="96"/>
        <v>#VALUE!</v>
      </c>
      <c r="I109" s="10" t="e">
        <f t="shared" si="81"/>
        <v>#VALUE!</v>
      </c>
      <c r="J109" s="10" t="e">
        <f t="shared" si="97"/>
        <v>#VALUE!</v>
      </c>
      <c r="K109" s="10" t="e">
        <f t="shared" si="82"/>
        <v>#VALUE!</v>
      </c>
      <c r="L109" s="10" t="e">
        <f t="shared" si="83"/>
        <v>#VALUE!</v>
      </c>
      <c r="M109" s="10" t="e">
        <f t="shared" si="98"/>
        <v>#VALUE!</v>
      </c>
      <c r="O109" s="10" t="e">
        <f t="shared" si="99"/>
        <v>#VALUE!</v>
      </c>
      <c r="P109" s="10" t="e">
        <f t="shared" si="84"/>
        <v>#VALUE!</v>
      </c>
      <c r="Q109" s="10" t="e">
        <f t="shared" si="85"/>
        <v>#VALUE!</v>
      </c>
      <c r="R109" s="10" t="e">
        <f t="shared" si="100"/>
        <v>#VALUE!</v>
      </c>
      <c r="S109" s="10" t="e">
        <f t="shared" si="101"/>
        <v>#VALUE!</v>
      </c>
      <c r="T109" s="10" t="e">
        <f t="shared" si="136"/>
        <v>#VALUE!</v>
      </c>
      <c r="U109" s="10" t="e">
        <f t="shared" si="137"/>
        <v>#VALUE!</v>
      </c>
      <c r="V109" s="10" t="e">
        <f t="shared" si="86"/>
        <v>#VALUE!</v>
      </c>
      <c r="W109" s="10" t="e">
        <f t="shared" si="102"/>
        <v>#VALUE!</v>
      </c>
      <c r="Y109" s="10" t="e">
        <f t="shared" si="103"/>
        <v>#VALUE!</v>
      </c>
      <c r="Z109" s="11" t="e">
        <f t="shared" si="104"/>
        <v>#VALUE!</v>
      </c>
      <c r="AA109" s="10" t="e">
        <f t="shared" si="87"/>
        <v>#VALUE!</v>
      </c>
      <c r="AB109" s="10" t="e">
        <f t="shared" si="105"/>
        <v>#VALUE!</v>
      </c>
      <c r="AC109" s="10" t="e">
        <f t="shared" si="106"/>
        <v>#VALUE!</v>
      </c>
      <c r="AD109" s="10" t="e">
        <f t="shared" si="138"/>
        <v>#VALUE!</v>
      </c>
      <c r="AE109" s="10" t="e">
        <f t="shared" si="139"/>
        <v>#VALUE!</v>
      </c>
      <c r="AF109" s="10" t="e">
        <f t="shared" si="88"/>
        <v>#VALUE!</v>
      </c>
      <c r="AG109" s="10" t="e">
        <f t="shared" si="107"/>
        <v>#VALUE!</v>
      </c>
      <c r="AI109" s="13"/>
      <c r="AK109" s="10" t="e">
        <f t="shared" si="108"/>
        <v>#VALUE!</v>
      </c>
      <c r="AL109" s="10" t="e">
        <f t="shared" si="140"/>
        <v>#VALUE!</v>
      </c>
      <c r="AM109" s="10" t="e">
        <f t="shared" si="89"/>
        <v>#VALUE!</v>
      </c>
      <c r="AN109" s="10" t="e">
        <f t="shared" si="109"/>
        <v>#VALUE!</v>
      </c>
      <c r="AO109" s="10" t="e">
        <f t="shared" si="110"/>
        <v>#VALUE!</v>
      </c>
      <c r="AP109" s="10" t="e">
        <f t="shared" si="111"/>
        <v>#VALUE!</v>
      </c>
      <c r="AQ109" s="10" t="e">
        <f t="shared" si="141"/>
        <v>#VALUE!</v>
      </c>
      <c r="AR109" s="10" t="e">
        <f t="shared" si="90"/>
        <v>#VALUE!</v>
      </c>
      <c r="AS109" s="10" t="e">
        <f t="shared" si="142"/>
        <v>#VALUE!</v>
      </c>
      <c r="AU109" s="10" t="e">
        <f t="shared" si="112"/>
        <v>#VALUE!</v>
      </c>
      <c r="AV109" s="10" t="e">
        <f t="shared" si="143"/>
        <v>#VALUE!</v>
      </c>
      <c r="AW109" s="10" t="e">
        <f t="shared" si="91"/>
        <v>#VALUE!</v>
      </c>
      <c r="AX109" s="10" t="e">
        <f t="shared" si="113"/>
        <v>#VALUE!</v>
      </c>
      <c r="AY109" s="10" t="e">
        <f t="shared" si="114"/>
        <v>#VALUE!</v>
      </c>
      <c r="AZ109" s="10" t="e">
        <f t="shared" si="115"/>
        <v>#VALUE!</v>
      </c>
      <c r="BA109" s="10" t="e">
        <f t="shared" si="144"/>
        <v>#VALUE!</v>
      </c>
      <c r="BB109" s="10" t="e">
        <f t="shared" si="92"/>
        <v>#VALUE!</v>
      </c>
      <c r="BC109" s="10" t="e">
        <f t="shared" si="145"/>
        <v>#VALUE!</v>
      </c>
      <c r="BE109" s="10" t="e">
        <f t="shared" si="116"/>
        <v>#VALUE!</v>
      </c>
      <c r="BF109" s="10" t="e">
        <f t="shared" si="146"/>
        <v>#VALUE!</v>
      </c>
      <c r="BG109" s="10" t="e">
        <f t="shared" si="93"/>
        <v>#VALUE!</v>
      </c>
      <c r="BH109" s="10" t="e">
        <f t="shared" si="117"/>
        <v>#VALUE!</v>
      </c>
      <c r="BI109" s="10" t="e">
        <f t="shared" si="118"/>
        <v>#VALUE!</v>
      </c>
      <c r="BJ109" s="10" t="e">
        <f t="shared" si="119"/>
        <v>#VALUE!</v>
      </c>
      <c r="BK109" s="10" t="e">
        <f t="shared" si="147"/>
        <v>#VALUE!</v>
      </c>
      <c r="BL109" s="10" t="e">
        <f t="shared" si="94"/>
        <v>#VALUE!</v>
      </c>
      <c r="BM109" s="10" t="e">
        <f t="shared" si="148"/>
        <v>#VALUE!</v>
      </c>
      <c r="BP109" s="10" t="e">
        <f t="shared" si="120"/>
        <v>#VALUE!</v>
      </c>
      <c r="BQ109" s="10" t="e">
        <f t="shared" si="121"/>
        <v>#VALUE!</v>
      </c>
      <c r="BR109" s="10" t="e">
        <f t="shared" si="122"/>
        <v>#VALUE!</v>
      </c>
      <c r="BS109" s="10" t="e">
        <f t="shared" si="123"/>
        <v>#VALUE!</v>
      </c>
      <c r="BT109" s="10" t="e">
        <f t="shared" si="124"/>
        <v>#VALUE!</v>
      </c>
      <c r="BU109" s="10" t="e">
        <f t="shared" si="125"/>
        <v>#VALUE!</v>
      </c>
      <c r="BW109" s="10" t="e">
        <f t="shared" si="126"/>
        <v>#VALUE!</v>
      </c>
      <c r="BX109" s="10" t="e">
        <f t="shared" si="127"/>
        <v>#VALUE!</v>
      </c>
      <c r="BY109" s="10" t="e">
        <f t="shared" si="128"/>
        <v>#VALUE!</v>
      </c>
      <c r="BZ109" s="10" t="e">
        <f t="shared" si="129"/>
        <v>#VALUE!</v>
      </c>
      <c r="CA109" s="10" t="e">
        <f t="shared" si="130"/>
        <v>#VALUE!</v>
      </c>
      <c r="CB109" s="10" t="e">
        <f t="shared" si="131"/>
        <v>#VALUE!</v>
      </c>
      <c r="CD109" s="10" t="e">
        <f>MATCH(INDEX($BP$12:$BU$12,1,MATCH(BP109,$BP$15:$BU$15,0)),结果汇总!$AI$10:$AI$13,0)</f>
        <v>#VALUE!</v>
      </c>
      <c r="CE109" s="10" t="e">
        <f>MATCH(INDEX($BP$12:$BU$12,1,MATCH(BQ109,$BP$15:$BU$15,0)),结果汇总!$AI$10:$AI$13,0)</f>
        <v>#VALUE!</v>
      </c>
      <c r="CF109" s="10" t="e">
        <f>MATCH(INDEX($BP$12:$BU$12,1,MATCH(BR109,$BP$15:$BU$15,0)),结果汇总!$AI$10:$AI$13,0)</f>
        <v>#VALUE!</v>
      </c>
      <c r="CG109" s="10" t="e">
        <f>MATCH(INDEX($BP$12:$BU$12,1,MATCH(BS109,$BP$15:$BU$15,0)),结果汇总!$AI$10:$AI$13,0)</f>
        <v>#VALUE!</v>
      </c>
      <c r="CH109" s="10" t="e">
        <f>MATCH(INDEX($BP$12:$BU$12,1,MATCH(BT109,$BP$15:$BU$15,0)),结果汇总!$AI$10:$AI$13,0)</f>
        <v>#VALUE!</v>
      </c>
      <c r="CI109" s="10" t="e">
        <f>MATCH(INDEX($BP$12:$BU$12,1,MATCH(BU109,$BP$15:$BU$15,0)),结果汇总!$AI$10:$AI$13,0)</f>
        <v>#VALUE!</v>
      </c>
      <c r="CK109" s="10">
        <f t="shared" si="132"/>
        <v>0</v>
      </c>
      <c r="CL109" s="10">
        <f t="shared" si="132"/>
        <v>0</v>
      </c>
      <c r="CM109" s="10">
        <f t="shared" si="132"/>
        <v>0</v>
      </c>
      <c r="CN109" s="10">
        <f t="shared" si="132"/>
        <v>0</v>
      </c>
      <c r="CO109" s="10">
        <f t="shared" si="133"/>
        <v>0</v>
      </c>
      <c r="CP109" s="10">
        <f t="shared" si="133"/>
        <v>0</v>
      </c>
      <c r="CQ109" s="10">
        <f t="shared" si="133"/>
        <v>0</v>
      </c>
      <c r="CR109" s="10">
        <f t="shared" si="133"/>
        <v>0</v>
      </c>
      <c r="CS109" s="10" t="e">
        <f t="shared" si="134"/>
        <v>#DIV/0!</v>
      </c>
      <c r="CT109" s="10" t="e">
        <f t="shared" si="134"/>
        <v>#DIV/0!</v>
      </c>
      <c r="CU109" s="10" t="e">
        <f t="shared" si="134"/>
        <v>#DIV/0!</v>
      </c>
      <c r="CV109" s="10" t="e">
        <f t="shared" si="134"/>
        <v>#DIV/0!</v>
      </c>
      <c r="CW109" s="10">
        <f t="shared" si="135"/>
        <v>0</v>
      </c>
      <c r="CX109" s="10">
        <f t="shared" si="135"/>
        <v>0</v>
      </c>
      <c r="CY109" s="10">
        <f t="shared" si="135"/>
        <v>0</v>
      </c>
      <c r="CZ109" s="10">
        <f t="shared" si="135"/>
        <v>0</v>
      </c>
    </row>
    <row r="110" spans="4:104" x14ac:dyDescent="0.15">
      <c r="D110" s="10">
        <v>95</v>
      </c>
      <c r="E110" s="10" t="e">
        <f t="shared" si="95"/>
        <v>#VALUE!</v>
      </c>
      <c r="F110" s="10" t="e">
        <f t="shared" si="79"/>
        <v>#VALUE!</v>
      </c>
      <c r="G110" s="10" t="e">
        <f t="shared" si="80"/>
        <v>#VALUE!</v>
      </c>
      <c r="H110" s="10" t="e">
        <f t="shared" si="96"/>
        <v>#VALUE!</v>
      </c>
      <c r="I110" s="10" t="e">
        <f t="shared" si="81"/>
        <v>#VALUE!</v>
      </c>
      <c r="J110" s="10" t="e">
        <f t="shared" si="97"/>
        <v>#VALUE!</v>
      </c>
      <c r="K110" s="10" t="e">
        <f t="shared" si="82"/>
        <v>#VALUE!</v>
      </c>
      <c r="L110" s="10" t="e">
        <f t="shared" si="83"/>
        <v>#VALUE!</v>
      </c>
      <c r="M110" s="10" t="e">
        <f t="shared" si="98"/>
        <v>#VALUE!</v>
      </c>
      <c r="O110" s="10" t="e">
        <f t="shared" si="99"/>
        <v>#VALUE!</v>
      </c>
      <c r="P110" s="10" t="e">
        <f t="shared" si="84"/>
        <v>#VALUE!</v>
      </c>
      <c r="Q110" s="10" t="e">
        <f t="shared" si="85"/>
        <v>#VALUE!</v>
      </c>
      <c r="R110" s="10" t="e">
        <f t="shared" si="100"/>
        <v>#VALUE!</v>
      </c>
      <c r="S110" s="10" t="e">
        <f t="shared" si="101"/>
        <v>#VALUE!</v>
      </c>
      <c r="T110" s="10" t="e">
        <f t="shared" si="136"/>
        <v>#VALUE!</v>
      </c>
      <c r="U110" s="10" t="e">
        <f t="shared" si="137"/>
        <v>#VALUE!</v>
      </c>
      <c r="V110" s="10" t="e">
        <f t="shared" si="86"/>
        <v>#VALUE!</v>
      </c>
      <c r="W110" s="10" t="e">
        <f t="shared" si="102"/>
        <v>#VALUE!</v>
      </c>
      <c r="Y110" s="10" t="e">
        <f t="shared" si="103"/>
        <v>#VALUE!</v>
      </c>
      <c r="Z110" s="11" t="e">
        <f t="shared" si="104"/>
        <v>#VALUE!</v>
      </c>
      <c r="AA110" s="10" t="e">
        <f t="shared" si="87"/>
        <v>#VALUE!</v>
      </c>
      <c r="AB110" s="10" t="e">
        <f t="shared" si="105"/>
        <v>#VALUE!</v>
      </c>
      <c r="AC110" s="10" t="e">
        <f t="shared" si="106"/>
        <v>#VALUE!</v>
      </c>
      <c r="AD110" s="10" t="e">
        <f t="shared" si="138"/>
        <v>#VALUE!</v>
      </c>
      <c r="AE110" s="10" t="e">
        <f t="shared" si="139"/>
        <v>#VALUE!</v>
      </c>
      <c r="AF110" s="10" t="e">
        <f t="shared" si="88"/>
        <v>#VALUE!</v>
      </c>
      <c r="AG110" s="10" t="e">
        <f t="shared" si="107"/>
        <v>#VALUE!</v>
      </c>
      <c r="AI110" s="13"/>
      <c r="AK110" s="10" t="e">
        <f t="shared" si="108"/>
        <v>#VALUE!</v>
      </c>
      <c r="AL110" s="10" t="e">
        <f t="shared" si="140"/>
        <v>#VALUE!</v>
      </c>
      <c r="AM110" s="10" t="e">
        <f t="shared" si="89"/>
        <v>#VALUE!</v>
      </c>
      <c r="AN110" s="10" t="e">
        <f t="shared" si="109"/>
        <v>#VALUE!</v>
      </c>
      <c r="AO110" s="10" t="e">
        <f t="shared" si="110"/>
        <v>#VALUE!</v>
      </c>
      <c r="AP110" s="10" t="e">
        <f t="shared" si="111"/>
        <v>#VALUE!</v>
      </c>
      <c r="AQ110" s="10" t="e">
        <f t="shared" si="141"/>
        <v>#VALUE!</v>
      </c>
      <c r="AR110" s="10" t="e">
        <f t="shared" si="90"/>
        <v>#VALUE!</v>
      </c>
      <c r="AS110" s="10" t="e">
        <f t="shared" si="142"/>
        <v>#VALUE!</v>
      </c>
      <c r="AU110" s="10" t="e">
        <f t="shared" si="112"/>
        <v>#VALUE!</v>
      </c>
      <c r="AV110" s="10" t="e">
        <f t="shared" si="143"/>
        <v>#VALUE!</v>
      </c>
      <c r="AW110" s="10" t="e">
        <f t="shared" si="91"/>
        <v>#VALUE!</v>
      </c>
      <c r="AX110" s="10" t="e">
        <f t="shared" si="113"/>
        <v>#VALUE!</v>
      </c>
      <c r="AY110" s="10" t="e">
        <f t="shared" si="114"/>
        <v>#VALUE!</v>
      </c>
      <c r="AZ110" s="10" t="e">
        <f t="shared" si="115"/>
        <v>#VALUE!</v>
      </c>
      <c r="BA110" s="10" t="e">
        <f t="shared" si="144"/>
        <v>#VALUE!</v>
      </c>
      <c r="BB110" s="10" t="e">
        <f t="shared" si="92"/>
        <v>#VALUE!</v>
      </c>
      <c r="BC110" s="10" t="e">
        <f t="shared" si="145"/>
        <v>#VALUE!</v>
      </c>
      <c r="BE110" s="10" t="e">
        <f t="shared" si="116"/>
        <v>#VALUE!</v>
      </c>
      <c r="BF110" s="10" t="e">
        <f t="shared" si="146"/>
        <v>#VALUE!</v>
      </c>
      <c r="BG110" s="10" t="e">
        <f t="shared" si="93"/>
        <v>#VALUE!</v>
      </c>
      <c r="BH110" s="10" t="e">
        <f t="shared" si="117"/>
        <v>#VALUE!</v>
      </c>
      <c r="BI110" s="10" t="e">
        <f t="shared" si="118"/>
        <v>#VALUE!</v>
      </c>
      <c r="BJ110" s="10" t="e">
        <f t="shared" si="119"/>
        <v>#VALUE!</v>
      </c>
      <c r="BK110" s="10" t="e">
        <f t="shared" si="147"/>
        <v>#VALUE!</v>
      </c>
      <c r="BL110" s="10" t="e">
        <f t="shared" si="94"/>
        <v>#VALUE!</v>
      </c>
      <c r="BM110" s="10" t="e">
        <f t="shared" si="148"/>
        <v>#VALUE!</v>
      </c>
      <c r="BP110" s="10" t="e">
        <f t="shared" si="120"/>
        <v>#VALUE!</v>
      </c>
      <c r="BQ110" s="10" t="e">
        <f t="shared" si="121"/>
        <v>#VALUE!</v>
      </c>
      <c r="BR110" s="10" t="e">
        <f t="shared" si="122"/>
        <v>#VALUE!</v>
      </c>
      <c r="BS110" s="10" t="e">
        <f t="shared" si="123"/>
        <v>#VALUE!</v>
      </c>
      <c r="BT110" s="10" t="e">
        <f t="shared" si="124"/>
        <v>#VALUE!</v>
      </c>
      <c r="BU110" s="10" t="e">
        <f t="shared" si="125"/>
        <v>#VALUE!</v>
      </c>
      <c r="BW110" s="10" t="e">
        <f t="shared" si="126"/>
        <v>#VALUE!</v>
      </c>
      <c r="BX110" s="10" t="e">
        <f t="shared" si="127"/>
        <v>#VALUE!</v>
      </c>
      <c r="BY110" s="10" t="e">
        <f t="shared" si="128"/>
        <v>#VALUE!</v>
      </c>
      <c r="BZ110" s="10" t="e">
        <f t="shared" si="129"/>
        <v>#VALUE!</v>
      </c>
      <c r="CA110" s="10" t="e">
        <f t="shared" si="130"/>
        <v>#VALUE!</v>
      </c>
      <c r="CB110" s="10" t="e">
        <f t="shared" si="131"/>
        <v>#VALUE!</v>
      </c>
      <c r="CD110" s="10" t="e">
        <f>MATCH(INDEX($BP$12:$BU$12,1,MATCH(BP110,$BP$15:$BU$15,0)),结果汇总!$AI$10:$AI$13,0)</f>
        <v>#VALUE!</v>
      </c>
      <c r="CE110" s="10" t="e">
        <f>MATCH(INDEX($BP$12:$BU$12,1,MATCH(BQ110,$BP$15:$BU$15,0)),结果汇总!$AI$10:$AI$13,0)</f>
        <v>#VALUE!</v>
      </c>
      <c r="CF110" s="10" t="e">
        <f>MATCH(INDEX($BP$12:$BU$12,1,MATCH(BR110,$BP$15:$BU$15,0)),结果汇总!$AI$10:$AI$13,0)</f>
        <v>#VALUE!</v>
      </c>
      <c r="CG110" s="10" t="e">
        <f>MATCH(INDEX($BP$12:$BU$12,1,MATCH(BS110,$BP$15:$BU$15,0)),结果汇总!$AI$10:$AI$13,0)</f>
        <v>#VALUE!</v>
      </c>
      <c r="CH110" s="10" t="e">
        <f>MATCH(INDEX($BP$12:$BU$12,1,MATCH(BT110,$BP$15:$BU$15,0)),结果汇总!$AI$10:$AI$13,0)</f>
        <v>#VALUE!</v>
      </c>
      <c r="CI110" s="10" t="e">
        <f>MATCH(INDEX($BP$12:$BU$12,1,MATCH(BU110,$BP$15:$BU$15,0)),结果汇总!$AI$10:$AI$13,0)</f>
        <v>#VALUE!</v>
      </c>
      <c r="CK110" s="10">
        <f t="shared" si="132"/>
        <v>0</v>
      </c>
      <c r="CL110" s="10">
        <f t="shared" si="132"/>
        <v>0</v>
      </c>
      <c r="CM110" s="10">
        <f t="shared" si="132"/>
        <v>0</v>
      </c>
      <c r="CN110" s="10">
        <f t="shared" si="132"/>
        <v>0</v>
      </c>
      <c r="CO110" s="10">
        <f t="shared" si="133"/>
        <v>0</v>
      </c>
      <c r="CP110" s="10">
        <f t="shared" si="133"/>
        <v>0</v>
      </c>
      <c r="CQ110" s="10">
        <f t="shared" si="133"/>
        <v>0</v>
      </c>
      <c r="CR110" s="10">
        <f t="shared" si="133"/>
        <v>0</v>
      </c>
      <c r="CS110" s="10" t="e">
        <f t="shared" si="134"/>
        <v>#DIV/0!</v>
      </c>
      <c r="CT110" s="10" t="e">
        <f t="shared" si="134"/>
        <v>#DIV/0!</v>
      </c>
      <c r="CU110" s="10" t="e">
        <f t="shared" si="134"/>
        <v>#DIV/0!</v>
      </c>
      <c r="CV110" s="10" t="e">
        <f t="shared" si="134"/>
        <v>#DIV/0!</v>
      </c>
      <c r="CW110" s="10">
        <f t="shared" si="135"/>
        <v>0</v>
      </c>
      <c r="CX110" s="10">
        <f t="shared" si="135"/>
        <v>0</v>
      </c>
      <c r="CY110" s="10">
        <f t="shared" si="135"/>
        <v>0</v>
      </c>
      <c r="CZ110" s="10">
        <f t="shared" si="135"/>
        <v>0</v>
      </c>
    </row>
    <row r="111" spans="4:104" x14ac:dyDescent="0.15">
      <c r="D111" s="10">
        <v>96</v>
      </c>
      <c r="E111" s="10" t="e">
        <f t="shared" si="95"/>
        <v>#VALUE!</v>
      </c>
      <c r="F111" s="10" t="e">
        <f t="shared" si="79"/>
        <v>#VALUE!</v>
      </c>
      <c r="G111" s="10" t="e">
        <f t="shared" si="80"/>
        <v>#VALUE!</v>
      </c>
      <c r="H111" s="10" t="e">
        <f t="shared" si="96"/>
        <v>#VALUE!</v>
      </c>
      <c r="I111" s="10" t="e">
        <f t="shared" si="81"/>
        <v>#VALUE!</v>
      </c>
      <c r="J111" s="10" t="e">
        <f t="shared" si="97"/>
        <v>#VALUE!</v>
      </c>
      <c r="K111" s="10" t="e">
        <f t="shared" si="82"/>
        <v>#VALUE!</v>
      </c>
      <c r="L111" s="10" t="e">
        <f t="shared" si="83"/>
        <v>#VALUE!</v>
      </c>
      <c r="M111" s="10" t="e">
        <f t="shared" si="98"/>
        <v>#VALUE!</v>
      </c>
      <c r="O111" s="10" t="e">
        <f t="shared" si="99"/>
        <v>#VALUE!</v>
      </c>
      <c r="P111" s="10" t="e">
        <f t="shared" si="84"/>
        <v>#VALUE!</v>
      </c>
      <c r="Q111" s="10" t="e">
        <f t="shared" si="85"/>
        <v>#VALUE!</v>
      </c>
      <c r="R111" s="10" t="e">
        <f t="shared" si="100"/>
        <v>#VALUE!</v>
      </c>
      <c r="S111" s="10" t="e">
        <f t="shared" si="101"/>
        <v>#VALUE!</v>
      </c>
      <c r="T111" s="10" t="e">
        <f t="shared" si="136"/>
        <v>#VALUE!</v>
      </c>
      <c r="U111" s="10" t="e">
        <f t="shared" si="137"/>
        <v>#VALUE!</v>
      </c>
      <c r="V111" s="10" t="e">
        <f t="shared" si="86"/>
        <v>#VALUE!</v>
      </c>
      <c r="W111" s="10" t="e">
        <f t="shared" si="102"/>
        <v>#VALUE!</v>
      </c>
      <c r="Y111" s="10" t="e">
        <f t="shared" si="103"/>
        <v>#VALUE!</v>
      </c>
      <c r="Z111" s="11" t="e">
        <f t="shared" si="104"/>
        <v>#VALUE!</v>
      </c>
      <c r="AA111" s="10" t="e">
        <f t="shared" si="87"/>
        <v>#VALUE!</v>
      </c>
      <c r="AB111" s="10" t="e">
        <f t="shared" si="105"/>
        <v>#VALUE!</v>
      </c>
      <c r="AC111" s="10" t="e">
        <f t="shared" si="106"/>
        <v>#VALUE!</v>
      </c>
      <c r="AD111" s="10" t="e">
        <f t="shared" si="138"/>
        <v>#VALUE!</v>
      </c>
      <c r="AE111" s="10" t="e">
        <f t="shared" si="139"/>
        <v>#VALUE!</v>
      </c>
      <c r="AF111" s="10" t="e">
        <f t="shared" si="88"/>
        <v>#VALUE!</v>
      </c>
      <c r="AG111" s="10" t="e">
        <f t="shared" si="107"/>
        <v>#VALUE!</v>
      </c>
      <c r="AI111" s="13"/>
      <c r="AK111" s="10" t="e">
        <f t="shared" si="108"/>
        <v>#VALUE!</v>
      </c>
      <c r="AL111" s="10" t="e">
        <f t="shared" si="140"/>
        <v>#VALUE!</v>
      </c>
      <c r="AM111" s="10" t="e">
        <f t="shared" si="89"/>
        <v>#VALUE!</v>
      </c>
      <c r="AN111" s="10" t="e">
        <f t="shared" si="109"/>
        <v>#VALUE!</v>
      </c>
      <c r="AO111" s="10" t="e">
        <f t="shared" si="110"/>
        <v>#VALUE!</v>
      </c>
      <c r="AP111" s="10" t="e">
        <f t="shared" si="111"/>
        <v>#VALUE!</v>
      </c>
      <c r="AQ111" s="10" t="e">
        <f t="shared" si="141"/>
        <v>#VALUE!</v>
      </c>
      <c r="AR111" s="10" t="e">
        <f t="shared" si="90"/>
        <v>#VALUE!</v>
      </c>
      <c r="AS111" s="10" t="e">
        <f t="shared" si="142"/>
        <v>#VALUE!</v>
      </c>
      <c r="AU111" s="10" t="e">
        <f t="shared" si="112"/>
        <v>#VALUE!</v>
      </c>
      <c r="AV111" s="10" t="e">
        <f t="shared" si="143"/>
        <v>#VALUE!</v>
      </c>
      <c r="AW111" s="10" t="e">
        <f t="shared" si="91"/>
        <v>#VALUE!</v>
      </c>
      <c r="AX111" s="10" t="e">
        <f t="shared" si="113"/>
        <v>#VALUE!</v>
      </c>
      <c r="AY111" s="10" t="e">
        <f t="shared" si="114"/>
        <v>#VALUE!</v>
      </c>
      <c r="AZ111" s="10" t="e">
        <f t="shared" si="115"/>
        <v>#VALUE!</v>
      </c>
      <c r="BA111" s="10" t="e">
        <f t="shared" si="144"/>
        <v>#VALUE!</v>
      </c>
      <c r="BB111" s="10" t="e">
        <f t="shared" si="92"/>
        <v>#VALUE!</v>
      </c>
      <c r="BC111" s="10" t="e">
        <f t="shared" si="145"/>
        <v>#VALUE!</v>
      </c>
      <c r="BE111" s="10" t="e">
        <f t="shared" si="116"/>
        <v>#VALUE!</v>
      </c>
      <c r="BF111" s="10" t="e">
        <f t="shared" si="146"/>
        <v>#VALUE!</v>
      </c>
      <c r="BG111" s="10" t="e">
        <f t="shared" si="93"/>
        <v>#VALUE!</v>
      </c>
      <c r="BH111" s="10" t="e">
        <f t="shared" si="117"/>
        <v>#VALUE!</v>
      </c>
      <c r="BI111" s="10" t="e">
        <f t="shared" si="118"/>
        <v>#VALUE!</v>
      </c>
      <c r="BJ111" s="10" t="e">
        <f t="shared" si="119"/>
        <v>#VALUE!</v>
      </c>
      <c r="BK111" s="10" t="e">
        <f t="shared" si="147"/>
        <v>#VALUE!</v>
      </c>
      <c r="BL111" s="10" t="e">
        <f t="shared" si="94"/>
        <v>#VALUE!</v>
      </c>
      <c r="BM111" s="10" t="e">
        <f t="shared" si="148"/>
        <v>#VALUE!</v>
      </c>
      <c r="BP111" s="10" t="e">
        <f t="shared" si="120"/>
        <v>#VALUE!</v>
      </c>
      <c r="BQ111" s="10" t="e">
        <f t="shared" si="121"/>
        <v>#VALUE!</v>
      </c>
      <c r="BR111" s="10" t="e">
        <f t="shared" si="122"/>
        <v>#VALUE!</v>
      </c>
      <c r="BS111" s="10" t="e">
        <f t="shared" si="123"/>
        <v>#VALUE!</v>
      </c>
      <c r="BT111" s="10" t="e">
        <f t="shared" si="124"/>
        <v>#VALUE!</v>
      </c>
      <c r="BU111" s="10" t="e">
        <f t="shared" si="125"/>
        <v>#VALUE!</v>
      </c>
      <c r="BW111" s="10" t="e">
        <f t="shared" si="126"/>
        <v>#VALUE!</v>
      </c>
      <c r="BX111" s="10" t="e">
        <f t="shared" si="127"/>
        <v>#VALUE!</v>
      </c>
      <c r="BY111" s="10" t="e">
        <f t="shared" si="128"/>
        <v>#VALUE!</v>
      </c>
      <c r="BZ111" s="10" t="e">
        <f t="shared" si="129"/>
        <v>#VALUE!</v>
      </c>
      <c r="CA111" s="10" t="e">
        <f t="shared" si="130"/>
        <v>#VALUE!</v>
      </c>
      <c r="CB111" s="10" t="e">
        <f t="shared" si="131"/>
        <v>#VALUE!</v>
      </c>
      <c r="CD111" s="10" t="e">
        <f>MATCH(INDEX($BP$12:$BU$12,1,MATCH(BP111,$BP$15:$BU$15,0)),结果汇总!$AI$10:$AI$13,0)</f>
        <v>#VALUE!</v>
      </c>
      <c r="CE111" s="10" t="e">
        <f>MATCH(INDEX($BP$12:$BU$12,1,MATCH(BQ111,$BP$15:$BU$15,0)),结果汇总!$AI$10:$AI$13,0)</f>
        <v>#VALUE!</v>
      </c>
      <c r="CF111" s="10" t="e">
        <f>MATCH(INDEX($BP$12:$BU$12,1,MATCH(BR111,$BP$15:$BU$15,0)),结果汇总!$AI$10:$AI$13,0)</f>
        <v>#VALUE!</v>
      </c>
      <c r="CG111" s="10" t="e">
        <f>MATCH(INDEX($BP$12:$BU$12,1,MATCH(BS111,$BP$15:$BU$15,0)),结果汇总!$AI$10:$AI$13,0)</f>
        <v>#VALUE!</v>
      </c>
      <c r="CH111" s="10" t="e">
        <f>MATCH(INDEX($BP$12:$BU$12,1,MATCH(BT111,$BP$15:$BU$15,0)),结果汇总!$AI$10:$AI$13,0)</f>
        <v>#VALUE!</v>
      </c>
      <c r="CI111" s="10" t="e">
        <f>MATCH(INDEX($BP$12:$BU$12,1,MATCH(BU111,$BP$15:$BU$15,0)),结果汇总!$AI$10:$AI$13,0)</f>
        <v>#VALUE!</v>
      </c>
      <c r="CK111" s="10">
        <f t="shared" si="132"/>
        <v>0</v>
      </c>
      <c r="CL111" s="10">
        <f t="shared" si="132"/>
        <v>0</v>
      </c>
      <c r="CM111" s="10">
        <f t="shared" si="132"/>
        <v>0</v>
      </c>
      <c r="CN111" s="10">
        <f t="shared" si="132"/>
        <v>0</v>
      </c>
      <c r="CO111" s="10">
        <f t="shared" si="133"/>
        <v>0</v>
      </c>
      <c r="CP111" s="10">
        <f t="shared" si="133"/>
        <v>0</v>
      </c>
      <c r="CQ111" s="10">
        <f t="shared" si="133"/>
        <v>0</v>
      </c>
      <c r="CR111" s="10">
        <f t="shared" si="133"/>
        <v>0</v>
      </c>
      <c r="CS111" s="10" t="e">
        <f t="shared" si="134"/>
        <v>#DIV/0!</v>
      </c>
      <c r="CT111" s="10" t="e">
        <f t="shared" si="134"/>
        <v>#DIV/0!</v>
      </c>
      <c r="CU111" s="10" t="e">
        <f t="shared" si="134"/>
        <v>#DIV/0!</v>
      </c>
      <c r="CV111" s="10" t="e">
        <f t="shared" si="134"/>
        <v>#DIV/0!</v>
      </c>
      <c r="CW111" s="10">
        <f t="shared" si="135"/>
        <v>0</v>
      </c>
      <c r="CX111" s="10">
        <f t="shared" si="135"/>
        <v>0</v>
      </c>
      <c r="CY111" s="10">
        <f t="shared" si="135"/>
        <v>0</v>
      </c>
      <c r="CZ111" s="10">
        <f t="shared" si="135"/>
        <v>0</v>
      </c>
    </row>
    <row r="112" spans="4:104" x14ac:dyDescent="0.15">
      <c r="D112" s="10">
        <v>97</v>
      </c>
      <c r="E112" s="10" t="e">
        <f t="shared" si="95"/>
        <v>#VALUE!</v>
      </c>
      <c r="F112" s="10" t="e">
        <f t="shared" si="79"/>
        <v>#VALUE!</v>
      </c>
      <c r="G112" s="10" t="e">
        <f t="shared" si="80"/>
        <v>#VALUE!</v>
      </c>
      <c r="H112" s="10" t="e">
        <f t="shared" si="96"/>
        <v>#VALUE!</v>
      </c>
      <c r="I112" s="10" t="e">
        <f t="shared" si="81"/>
        <v>#VALUE!</v>
      </c>
      <c r="J112" s="10" t="e">
        <f t="shared" si="97"/>
        <v>#VALUE!</v>
      </c>
      <c r="K112" s="10" t="e">
        <f t="shared" si="82"/>
        <v>#VALUE!</v>
      </c>
      <c r="L112" s="10" t="e">
        <f t="shared" si="83"/>
        <v>#VALUE!</v>
      </c>
      <c r="M112" s="10" t="e">
        <f t="shared" si="98"/>
        <v>#VALUE!</v>
      </c>
      <c r="O112" s="10" t="e">
        <f t="shared" si="99"/>
        <v>#VALUE!</v>
      </c>
      <c r="P112" s="10" t="e">
        <f t="shared" si="84"/>
        <v>#VALUE!</v>
      </c>
      <c r="Q112" s="10" t="e">
        <f t="shared" si="85"/>
        <v>#VALUE!</v>
      </c>
      <c r="R112" s="10" t="e">
        <f t="shared" si="100"/>
        <v>#VALUE!</v>
      </c>
      <c r="S112" s="10" t="e">
        <f t="shared" si="101"/>
        <v>#VALUE!</v>
      </c>
      <c r="T112" s="10" t="e">
        <f t="shared" si="136"/>
        <v>#VALUE!</v>
      </c>
      <c r="U112" s="10" t="e">
        <f t="shared" si="137"/>
        <v>#VALUE!</v>
      </c>
      <c r="V112" s="10" t="e">
        <f t="shared" si="86"/>
        <v>#VALUE!</v>
      </c>
      <c r="W112" s="10" t="e">
        <f t="shared" si="102"/>
        <v>#VALUE!</v>
      </c>
      <c r="Y112" s="10" t="e">
        <f t="shared" si="103"/>
        <v>#VALUE!</v>
      </c>
      <c r="Z112" s="11" t="e">
        <f t="shared" si="104"/>
        <v>#VALUE!</v>
      </c>
      <c r="AA112" s="10" t="e">
        <f t="shared" si="87"/>
        <v>#VALUE!</v>
      </c>
      <c r="AB112" s="10" t="e">
        <f t="shared" si="105"/>
        <v>#VALUE!</v>
      </c>
      <c r="AC112" s="10" t="e">
        <f t="shared" si="106"/>
        <v>#VALUE!</v>
      </c>
      <c r="AD112" s="10" t="e">
        <f t="shared" si="138"/>
        <v>#VALUE!</v>
      </c>
      <c r="AE112" s="10" t="e">
        <f t="shared" si="139"/>
        <v>#VALUE!</v>
      </c>
      <c r="AF112" s="10" t="e">
        <f t="shared" si="88"/>
        <v>#VALUE!</v>
      </c>
      <c r="AG112" s="10" t="e">
        <f t="shared" si="107"/>
        <v>#VALUE!</v>
      </c>
      <c r="AI112" s="13"/>
      <c r="AK112" s="10" t="e">
        <f t="shared" si="108"/>
        <v>#VALUE!</v>
      </c>
      <c r="AL112" s="10" t="e">
        <f t="shared" si="140"/>
        <v>#VALUE!</v>
      </c>
      <c r="AM112" s="10" t="e">
        <f t="shared" si="89"/>
        <v>#VALUE!</v>
      </c>
      <c r="AN112" s="10" t="e">
        <f t="shared" si="109"/>
        <v>#VALUE!</v>
      </c>
      <c r="AO112" s="10" t="e">
        <f t="shared" si="110"/>
        <v>#VALUE!</v>
      </c>
      <c r="AP112" s="10" t="e">
        <f t="shared" si="111"/>
        <v>#VALUE!</v>
      </c>
      <c r="AQ112" s="10" t="e">
        <f t="shared" si="141"/>
        <v>#VALUE!</v>
      </c>
      <c r="AR112" s="10" t="e">
        <f t="shared" si="90"/>
        <v>#VALUE!</v>
      </c>
      <c r="AS112" s="10" t="e">
        <f t="shared" si="142"/>
        <v>#VALUE!</v>
      </c>
      <c r="AU112" s="10" t="e">
        <f t="shared" si="112"/>
        <v>#VALUE!</v>
      </c>
      <c r="AV112" s="10" t="e">
        <f t="shared" si="143"/>
        <v>#VALUE!</v>
      </c>
      <c r="AW112" s="10" t="e">
        <f t="shared" si="91"/>
        <v>#VALUE!</v>
      </c>
      <c r="AX112" s="10" t="e">
        <f t="shared" si="113"/>
        <v>#VALUE!</v>
      </c>
      <c r="AY112" s="10" t="e">
        <f t="shared" si="114"/>
        <v>#VALUE!</v>
      </c>
      <c r="AZ112" s="10" t="e">
        <f t="shared" si="115"/>
        <v>#VALUE!</v>
      </c>
      <c r="BA112" s="10" t="e">
        <f t="shared" si="144"/>
        <v>#VALUE!</v>
      </c>
      <c r="BB112" s="10" t="e">
        <f t="shared" si="92"/>
        <v>#VALUE!</v>
      </c>
      <c r="BC112" s="10" t="e">
        <f t="shared" si="145"/>
        <v>#VALUE!</v>
      </c>
      <c r="BE112" s="10" t="e">
        <f t="shared" si="116"/>
        <v>#VALUE!</v>
      </c>
      <c r="BF112" s="10" t="e">
        <f t="shared" si="146"/>
        <v>#VALUE!</v>
      </c>
      <c r="BG112" s="10" t="e">
        <f t="shared" si="93"/>
        <v>#VALUE!</v>
      </c>
      <c r="BH112" s="10" t="e">
        <f t="shared" si="117"/>
        <v>#VALUE!</v>
      </c>
      <c r="BI112" s="10" t="e">
        <f t="shared" si="118"/>
        <v>#VALUE!</v>
      </c>
      <c r="BJ112" s="10" t="e">
        <f t="shared" si="119"/>
        <v>#VALUE!</v>
      </c>
      <c r="BK112" s="10" t="e">
        <f t="shared" si="147"/>
        <v>#VALUE!</v>
      </c>
      <c r="BL112" s="10" t="e">
        <f t="shared" si="94"/>
        <v>#VALUE!</v>
      </c>
      <c r="BM112" s="10" t="e">
        <f t="shared" si="148"/>
        <v>#VALUE!</v>
      </c>
      <c r="BP112" s="10" t="e">
        <f t="shared" si="120"/>
        <v>#VALUE!</v>
      </c>
      <c r="BQ112" s="10" t="e">
        <f t="shared" si="121"/>
        <v>#VALUE!</v>
      </c>
      <c r="BR112" s="10" t="e">
        <f t="shared" si="122"/>
        <v>#VALUE!</v>
      </c>
      <c r="BS112" s="10" t="e">
        <f t="shared" si="123"/>
        <v>#VALUE!</v>
      </c>
      <c r="BT112" s="10" t="e">
        <f t="shared" si="124"/>
        <v>#VALUE!</v>
      </c>
      <c r="BU112" s="10" t="e">
        <f t="shared" si="125"/>
        <v>#VALUE!</v>
      </c>
      <c r="BW112" s="10" t="e">
        <f t="shared" si="126"/>
        <v>#VALUE!</v>
      </c>
      <c r="BX112" s="10" t="e">
        <f t="shared" si="127"/>
        <v>#VALUE!</v>
      </c>
      <c r="BY112" s="10" t="e">
        <f t="shared" si="128"/>
        <v>#VALUE!</v>
      </c>
      <c r="BZ112" s="10" t="e">
        <f t="shared" si="129"/>
        <v>#VALUE!</v>
      </c>
      <c r="CA112" s="10" t="e">
        <f t="shared" si="130"/>
        <v>#VALUE!</v>
      </c>
      <c r="CB112" s="10" t="e">
        <f t="shared" si="131"/>
        <v>#VALUE!</v>
      </c>
      <c r="CD112" s="10" t="e">
        <f>MATCH(INDEX($BP$12:$BU$12,1,MATCH(BP112,$BP$15:$BU$15,0)),结果汇总!$AI$10:$AI$13,0)</f>
        <v>#VALUE!</v>
      </c>
      <c r="CE112" s="10" t="e">
        <f>MATCH(INDEX($BP$12:$BU$12,1,MATCH(BQ112,$BP$15:$BU$15,0)),结果汇总!$AI$10:$AI$13,0)</f>
        <v>#VALUE!</v>
      </c>
      <c r="CF112" s="10" t="e">
        <f>MATCH(INDEX($BP$12:$BU$12,1,MATCH(BR112,$BP$15:$BU$15,0)),结果汇总!$AI$10:$AI$13,0)</f>
        <v>#VALUE!</v>
      </c>
      <c r="CG112" s="10" t="e">
        <f>MATCH(INDEX($BP$12:$BU$12,1,MATCH(BS112,$BP$15:$BU$15,0)),结果汇总!$AI$10:$AI$13,0)</f>
        <v>#VALUE!</v>
      </c>
      <c r="CH112" s="10" t="e">
        <f>MATCH(INDEX($BP$12:$BU$12,1,MATCH(BT112,$BP$15:$BU$15,0)),结果汇总!$AI$10:$AI$13,0)</f>
        <v>#VALUE!</v>
      </c>
      <c r="CI112" s="10" t="e">
        <f>MATCH(INDEX($BP$12:$BU$12,1,MATCH(BU112,$BP$15:$BU$15,0)),结果汇总!$AI$10:$AI$13,0)</f>
        <v>#VALUE!</v>
      </c>
      <c r="CK112" s="10">
        <f t="shared" si="132"/>
        <v>0</v>
      </c>
      <c r="CL112" s="10">
        <f t="shared" si="132"/>
        <v>0</v>
      </c>
      <c r="CM112" s="10">
        <f t="shared" si="132"/>
        <v>0</v>
      </c>
      <c r="CN112" s="10">
        <f t="shared" si="132"/>
        <v>0</v>
      </c>
      <c r="CO112" s="10">
        <f t="shared" si="133"/>
        <v>0</v>
      </c>
      <c r="CP112" s="10">
        <f t="shared" si="133"/>
        <v>0</v>
      </c>
      <c r="CQ112" s="10">
        <f t="shared" si="133"/>
        <v>0</v>
      </c>
      <c r="CR112" s="10">
        <f t="shared" si="133"/>
        <v>0</v>
      </c>
      <c r="CS112" s="10" t="e">
        <f t="shared" si="134"/>
        <v>#DIV/0!</v>
      </c>
      <c r="CT112" s="10" t="e">
        <f t="shared" si="134"/>
        <v>#DIV/0!</v>
      </c>
      <c r="CU112" s="10" t="e">
        <f t="shared" si="134"/>
        <v>#DIV/0!</v>
      </c>
      <c r="CV112" s="10" t="e">
        <f t="shared" si="134"/>
        <v>#DIV/0!</v>
      </c>
      <c r="CW112" s="10">
        <f t="shared" si="135"/>
        <v>0</v>
      </c>
      <c r="CX112" s="10">
        <f t="shared" si="135"/>
        <v>0</v>
      </c>
      <c r="CY112" s="10">
        <f t="shared" si="135"/>
        <v>0</v>
      </c>
      <c r="CZ112" s="10">
        <f t="shared" si="135"/>
        <v>0</v>
      </c>
    </row>
    <row r="113" spans="4:104" x14ac:dyDescent="0.15">
      <c r="D113" s="10">
        <v>98</v>
      </c>
      <c r="E113" s="10" t="e">
        <f t="shared" si="95"/>
        <v>#VALUE!</v>
      </c>
      <c r="F113" s="10" t="e">
        <f t="shared" si="79"/>
        <v>#VALUE!</v>
      </c>
      <c r="G113" s="10" t="e">
        <f t="shared" si="80"/>
        <v>#VALUE!</v>
      </c>
      <c r="H113" s="10" t="e">
        <f t="shared" si="96"/>
        <v>#VALUE!</v>
      </c>
      <c r="I113" s="10" t="e">
        <f t="shared" si="81"/>
        <v>#VALUE!</v>
      </c>
      <c r="J113" s="10" t="e">
        <f t="shared" si="97"/>
        <v>#VALUE!</v>
      </c>
      <c r="K113" s="10" t="e">
        <f t="shared" si="82"/>
        <v>#VALUE!</v>
      </c>
      <c r="L113" s="10" t="e">
        <f t="shared" si="83"/>
        <v>#VALUE!</v>
      </c>
      <c r="M113" s="10" t="e">
        <f t="shared" si="98"/>
        <v>#VALUE!</v>
      </c>
      <c r="O113" s="10" t="e">
        <f t="shared" si="99"/>
        <v>#VALUE!</v>
      </c>
      <c r="P113" s="10" t="e">
        <f t="shared" si="84"/>
        <v>#VALUE!</v>
      </c>
      <c r="Q113" s="10" t="e">
        <f t="shared" si="85"/>
        <v>#VALUE!</v>
      </c>
      <c r="R113" s="10" t="e">
        <f t="shared" si="100"/>
        <v>#VALUE!</v>
      </c>
      <c r="S113" s="10" t="e">
        <f t="shared" si="101"/>
        <v>#VALUE!</v>
      </c>
      <c r="T113" s="10" t="e">
        <f t="shared" si="136"/>
        <v>#VALUE!</v>
      </c>
      <c r="U113" s="10" t="e">
        <f t="shared" si="137"/>
        <v>#VALUE!</v>
      </c>
      <c r="V113" s="10" t="e">
        <f t="shared" si="86"/>
        <v>#VALUE!</v>
      </c>
      <c r="W113" s="10" t="e">
        <f t="shared" si="102"/>
        <v>#VALUE!</v>
      </c>
      <c r="Y113" s="10" t="e">
        <f t="shared" si="103"/>
        <v>#VALUE!</v>
      </c>
      <c r="Z113" s="11" t="e">
        <f t="shared" si="104"/>
        <v>#VALUE!</v>
      </c>
      <c r="AA113" s="10" t="e">
        <f t="shared" si="87"/>
        <v>#VALUE!</v>
      </c>
      <c r="AB113" s="10" t="e">
        <f t="shared" si="105"/>
        <v>#VALUE!</v>
      </c>
      <c r="AC113" s="10" t="e">
        <f t="shared" si="106"/>
        <v>#VALUE!</v>
      </c>
      <c r="AD113" s="10" t="e">
        <f t="shared" si="138"/>
        <v>#VALUE!</v>
      </c>
      <c r="AE113" s="10" t="e">
        <f t="shared" si="139"/>
        <v>#VALUE!</v>
      </c>
      <c r="AF113" s="10" t="e">
        <f t="shared" si="88"/>
        <v>#VALUE!</v>
      </c>
      <c r="AG113" s="10" t="e">
        <f t="shared" si="107"/>
        <v>#VALUE!</v>
      </c>
      <c r="AI113" s="13"/>
      <c r="AK113" s="10" t="e">
        <f t="shared" si="108"/>
        <v>#VALUE!</v>
      </c>
      <c r="AL113" s="10" t="e">
        <f t="shared" si="140"/>
        <v>#VALUE!</v>
      </c>
      <c r="AM113" s="10" t="e">
        <f t="shared" si="89"/>
        <v>#VALUE!</v>
      </c>
      <c r="AN113" s="10" t="e">
        <f t="shared" si="109"/>
        <v>#VALUE!</v>
      </c>
      <c r="AO113" s="10" t="e">
        <f t="shared" si="110"/>
        <v>#VALUE!</v>
      </c>
      <c r="AP113" s="10" t="e">
        <f t="shared" si="111"/>
        <v>#VALUE!</v>
      </c>
      <c r="AQ113" s="10" t="e">
        <f t="shared" si="141"/>
        <v>#VALUE!</v>
      </c>
      <c r="AR113" s="10" t="e">
        <f t="shared" si="90"/>
        <v>#VALUE!</v>
      </c>
      <c r="AS113" s="10" t="e">
        <f t="shared" si="142"/>
        <v>#VALUE!</v>
      </c>
      <c r="AU113" s="10" t="e">
        <f t="shared" si="112"/>
        <v>#VALUE!</v>
      </c>
      <c r="AV113" s="10" t="e">
        <f t="shared" si="143"/>
        <v>#VALUE!</v>
      </c>
      <c r="AW113" s="10" t="e">
        <f t="shared" si="91"/>
        <v>#VALUE!</v>
      </c>
      <c r="AX113" s="10" t="e">
        <f t="shared" si="113"/>
        <v>#VALUE!</v>
      </c>
      <c r="AY113" s="10" t="e">
        <f t="shared" si="114"/>
        <v>#VALUE!</v>
      </c>
      <c r="AZ113" s="10" t="e">
        <f t="shared" si="115"/>
        <v>#VALUE!</v>
      </c>
      <c r="BA113" s="10" t="e">
        <f t="shared" si="144"/>
        <v>#VALUE!</v>
      </c>
      <c r="BB113" s="10" t="e">
        <f t="shared" si="92"/>
        <v>#VALUE!</v>
      </c>
      <c r="BC113" s="10" t="e">
        <f t="shared" si="145"/>
        <v>#VALUE!</v>
      </c>
      <c r="BE113" s="10" t="e">
        <f t="shared" si="116"/>
        <v>#VALUE!</v>
      </c>
      <c r="BF113" s="10" t="e">
        <f t="shared" si="146"/>
        <v>#VALUE!</v>
      </c>
      <c r="BG113" s="10" t="e">
        <f t="shared" si="93"/>
        <v>#VALUE!</v>
      </c>
      <c r="BH113" s="10" t="e">
        <f t="shared" si="117"/>
        <v>#VALUE!</v>
      </c>
      <c r="BI113" s="10" t="e">
        <f t="shared" si="118"/>
        <v>#VALUE!</v>
      </c>
      <c r="BJ113" s="10" t="e">
        <f t="shared" si="119"/>
        <v>#VALUE!</v>
      </c>
      <c r="BK113" s="10" t="e">
        <f t="shared" si="147"/>
        <v>#VALUE!</v>
      </c>
      <c r="BL113" s="10" t="e">
        <f t="shared" si="94"/>
        <v>#VALUE!</v>
      </c>
      <c r="BM113" s="10" t="e">
        <f t="shared" si="148"/>
        <v>#VALUE!</v>
      </c>
      <c r="BP113" s="10" t="e">
        <f t="shared" si="120"/>
        <v>#VALUE!</v>
      </c>
      <c r="BQ113" s="10" t="e">
        <f t="shared" si="121"/>
        <v>#VALUE!</v>
      </c>
      <c r="BR113" s="10" t="e">
        <f t="shared" si="122"/>
        <v>#VALUE!</v>
      </c>
      <c r="BS113" s="10" t="e">
        <f t="shared" si="123"/>
        <v>#VALUE!</v>
      </c>
      <c r="BT113" s="10" t="e">
        <f t="shared" si="124"/>
        <v>#VALUE!</v>
      </c>
      <c r="BU113" s="10" t="e">
        <f t="shared" si="125"/>
        <v>#VALUE!</v>
      </c>
      <c r="BW113" s="10" t="e">
        <f t="shared" si="126"/>
        <v>#VALUE!</v>
      </c>
      <c r="BX113" s="10" t="e">
        <f t="shared" si="127"/>
        <v>#VALUE!</v>
      </c>
      <c r="BY113" s="10" t="e">
        <f t="shared" si="128"/>
        <v>#VALUE!</v>
      </c>
      <c r="BZ113" s="10" t="e">
        <f t="shared" si="129"/>
        <v>#VALUE!</v>
      </c>
      <c r="CA113" s="10" t="e">
        <f t="shared" si="130"/>
        <v>#VALUE!</v>
      </c>
      <c r="CB113" s="10" t="e">
        <f t="shared" si="131"/>
        <v>#VALUE!</v>
      </c>
      <c r="CD113" s="10" t="e">
        <f>MATCH(INDEX($BP$12:$BU$12,1,MATCH(BP113,$BP$15:$BU$15,0)),结果汇总!$AI$10:$AI$13,0)</f>
        <v>#VALUE!</v>
      </c>
      <c r="CE113" s="10" t="e">
        <f>MATCH(INDEX($BP$12:$BU$12,1,MATCH(BQ113,$BP$15:$BU$15,0)),结果汇总!$AI$10:$AI$13,0)</f>
        <v>#VALUE!</v>
      </c>
      <c r="CF113" s="10" t="e">
        <f>MATCH(INDEX($BP$12:$BU$12,1,MATCH(BR113,$BP$15:$BU$15,0)),结果汇总!$AI$10:$AI$13,0)</f>
        <v>#VALUE!</v>
      </c>
      <c r="CG113" s="10" t="e">
        <f>MATCH(INDEX($BP$12:$BU$12,1,MATCH(BS113,$BP$15:$BU$15,0)),结果汇总!$AI$10:$AI$13,0)</f>
        <v>#VALUE!</v>
      </c>
      <c r="CH113" s="10" t="e">
        <f>MATCH(INDEX($BP$12:$BU$12,1,MATCH(BT113,$BP$15:$BU$15,0)),结果汇总!$AI$10:$AI$13,0)</f>
        <v>#VALUE!</v>
      </c>
      <c r="CI113" s="10" t="e">
        <f>MATCH(INDEX($BP$12:$BU$12,1,MATCH(BU113,$BP$15:$BU$15,0)),结果汇总!$AI$10:$AI$13,0)</f>
        <v>#VALUE!</v>
      </c>
      <c r="CK113" s="10">
        <f t="shared" ref="CK113:CN135" si="149">COUNTIFS($CD113:$CI113,CK$15,$CD$15:$CI$15,$CK$14)/COUNTIFS($CD$15:$CI$15,$CK$14)</f>
        <v>0</v>
      </c>
      <c r="CL113" s="10">
        <f t="shared" si="149"/>
        <v>0</v>
      </c>
      <c r="CM113" s="10">
        <f t="shared" si="149"/>
        <v>0</v>
      </c>
      <c r="CN113" s="10">
        <f t="shared" si="149"/>
        <v>0</v>
      </c>
      <c r="CO113" s="10">
        <f t="shared" ref="CO113:CR135" si="150">COUNTIFS($CD113:$CI113,CO$15,$CD$15:$CI$15,$CO$14)/COUNTIFS($CD$15:$CI$15,$CO$14)</f>
        <v>0</v>
      </c>
      <c r="CP113" s="10">
        <f t="shared" si="150"/>
        <v>0</v>
      </c>
      <c r="CQ113" s="10">
        <f t="shared" si="150"/>
        <v>0</v>
      </c>
      <c r="CR113" s="10">
        <f t="shared" si="150"/>
        <v>0</v>
      </c>
      <c r="CS113" s="10" t="e">
        <f t="shared" ref="CS113:CV135" si="151">COUNTIFS($CD113:$CI113,CS$15,$CD$15:$CI$15,$CS$14)/COUNTIFS($CD$15:$CI$15,$CS$14)</f>
        <v>#DIV/0!</v>
      </c>
      <c r="CT113" s="10" t="e">
        <f t="shared" si="151"/>
        <v>#DIV/0!</v>
      </c>
      <c r="CU113" s="10" t="e">
        <f t="shared" si="151"/>
        <v>#DIV/0!</v>
      </c>
      <c r="CV113" s="10" t="e">
        <f t="shared" si="151"/>
        <v>#DIV/0!</v>
      </c>
      <c r="CW113" s="10">
        <f t="shared" ref="CW113:CZ135" si="152">COUNTIFS($CD113:$CI113,CW$15,$CD$15:$CI$15,$CW$14)/COUNTIFS($CD$15:$CI$15,$CW$14)</f>
        <v>0</v>
      </c>
      <c r="CX113" s="10">
        <f t="shared" si="152"/>
        <v>0</v>
      </c>
      <c r="CY113" s="10">
        <f t="shared" si="152"/>
        <v>0</v>
      </c>
      <c r="CZ113" s="10">
        <f t="shared" si="152"/>
        <v>0</v>
      </c>
    </row>
    <row r="114" spans="4:104" x14ac:dyDescent="0.15">
      <c r="D114" s="10">
        <v>99</v>
      </c>
      <c r="E114" s="10" t="e">
        <f t="shared" si="95"/>
        <v>#VALUE!</v>
      </c>
      <c r="F114" s="10" t="e">
        <f t="shared" si="79"/>
        <v>#VALUE!</v>
      </c>
      <c r="G114" s="10" t="e">
        <f t="shared" si="80"/>
        <v>#VALUE!</v>
      </c>
      <c r="H114" s="10" t="e">
        <f t="shared" si="96"/>
        <v>#VALUE!</v>
      </c>
      <c r="I114" s="10" t="e">
        <f t="shared" si="81"/>
        <v>#VALUE!</v>
      </c>
      <c r="J114" s="10" t="e">
        <f t="shared" si="97"/>
        <v>#VALUE!</v>
      </c>
      <c r="K114" s="10" t="e">
        <f t="shared" si="82"/>
        <v>#VALUE!</v>
      </c>
      <c r="L114" s="10" t="e">
        <f t="shared" si="83"/>
        <v>#VALUE!</v>
      </c>
      <c r="M114" s="10" t="e">
        <f t="shared" si="98"/>
        <v>#VALUE!</v>
      </c>
      <c r="O114" s="10" t="e">
        <f t="shared" si="99"/>
        <v>#VALUE!</v>
      </c>
      <c r="P114" s="10" t="e">
        <f t="shared" si="84"/>
        <v>#VALUE!</v>
      </c>
      <c r="Q114" s="10" t="e">
        <f t="shared" si="85"/>
        <v>#VALUE!</v>
      </c>
      <c r="R114" s="10" t="e">
        <f t="shared" si="100"/>
        <v>#VALUE!</v>
      </c>
      <c r="S114" s="10" t="e">
        <f t="shared" si="101"/>
        <v>#VALUE!</v>
      </c>
      <c r="T114" s="10" t="e">
        <f t="shared" si="136"/>
        <v>#VALUE!</v>
      </c>
      <c r="U114" s="10" t="e">
        <f t="shared" si="137"/>
        <v>#VALUE!</v>
      </c>
      <c r="V114" s="10" t="e">
        <f t="shared" si="86"/>
        <v>#VALUE!</v>
      </c>
      <c r="W114" s="10" t="e">
        <f t="shared" si="102"/>
        <v>#VALUE!</v>
      </c>
      <c r="Y114" s="10" t="e">
        <f t="shared" si="103"/>
        <v>#VALUE!</v>
      </c>
      <c r="Z114" s="11" t="e">
        <f t="shared" si="104"/>
        <v>#VALUE!</v>
      </c>
      <c r="AA114" s="10" t="e">
        <f t="shared" si="87"/>
        <v>#VALUE!</v>
      </c>
      <c r="AB114" s="10" t="e">
        <f t="shared" si="105"/>
        <v>#VALUE!</v>
      </c>
      <c r="AC114" s="10" t="e">
        <f t="shared" si="106"/>
        <v>#VALUE!</v>
      </c>
      <c r="AD114" s="10" t="e">
        <f t="shared" si="138"/>
        <v>#VALUE!</v>
      </c>
      <c r="AE114" s="10" t="e">
        <f t="shared" si="139"/>
        <v>#VALUE!</v>
      </c>
      <c r="AF114" s="10" t="e">
        <f t="shared" si="88"/>
        <v>#VALUE!</v>
      </c>
      <c r="AG114" s="10" t="e">
        <f t="shared" si="107"/>
        <v>#VALUE!</v>
      </c>
      <c r="AI114" s="13"/>
      <c r="AK114" s="10" t="e">
        <f t="shared" si="108"/>
        <v>#VALUE!</v>
      </c>
      <c r="AL114" s="10" t="e">
        <f t="shared" si="140"/>
        <v>#VALUE!</v>
      </c>
      <c r="AM114" s="10" t="e">
        <f t="shared" si="89"/>
        <v>#VALUE!</v>
      </c>
      <c r="AN114" s="10" t="e">
        <f t="shared" si="109"/>
        <v>#VALUE!</v>
      </c>
      <c r="AO114" s="10" t="e">
        <f t="shared" si="110"/>
        <v>#VALUE!</v>
      </c>
      <c r="AP114" s="10" t="e">
        <f t="shared" si="111"/>
        <v>#VALUE!</v>
      </c>
      <c r="AQ114" s="10" t="e">
        <f t="shared" si="141"/>
        <v>#VALUE!</v>
      </c>
      <c r="AR114" s="10" t="e">
        <f t="shared" si="90"/>
        <v>#VALUE!</v>
      </c>
      <c r="AS114" s="10" t="e">
        <f t="shared" si="142"/>
        <v>#VALUE!</v>
      </c>
      <c r="AU114" s="10" t="e">
        <f t="shared" si="112"/>
        <v>#VALUE!</v>
      </c>
      <c r="AV114" s="10" t="e">
        <f t="shared" si="143"/>
        <v>#VALUE!</v>
      </c>
      <c r="AW114" s="10" t="e">
        <f t="shared" si="91"/>
        <v>#VALUE!</v>
      </c>
      <c r="AX114" s="10" t="e">
        <f t="shared" si="113"/>
        <v>#VALUE!</v>
      </c>
      <c r="AY114" s="10" t="e">
        <f t="shared" si="114"/>
        <v>#VALUE!</v>
      </c>
      <c r="AZ114" s="10" t="e">
        <f t="shared" si="115"/>
        <v>#VALUE!</v>
      </c>
      <c r="BA114" s="10" t="e">
        <f t="shared" si="144"/>
        <v>#VALUE!</v>
      </c>
      <c r="BB114" s="10" t="e">
        <f t="shared" si="92"/>
        <v>#VALUE!</v>
      </c>
      <c r="BC114" s="10" t="e">
        <f t="shared" si="145"/>
        <v>#VALUE!</v>
      </c>
      <c r="BE114" s="10" t="e">
        <f t="shared" si="116"/>
        <v>#VALUE!</v>
      </c>
      <c r="BF114" s="10" t="e">
        <f t="shared" si="146"/>
        <v>#VALUE!</v>
      </c>
      <c r="BG114" s="10" t="e">
        <f t="shared" si="93"/>
        <v>#VALUE!</v>
      </c>
      <c r="BH114" s="10" t="e">
        <f t="shared" si="117"/>
        <v>#VALUE!</v>
      </c>
      <c r="BI114" s="10" t="e">
        <f t="shared" si="118"/>
        <v>#VALUE!</v>
      </c>
      <c r="BJ114" s="10" t="e">
        <f t="shared" si="119"/>
        <v>#VALUE!</v>
      </c>
      <c r="BK114" s="10" t="e">
        <f t="shared" si="147"/>
        <v>#VALUE!</v>
      </c>
      <c r="BL114" s="10" t="e">
        <f t="shared" si="94"/>
        <v>#VALUE!</v>
      </c>
      <c r="BM114" s="10" t="e">
        <f t="shared" si="148"/>
        <v>#VALUE!</v>
      </c>
      <c r="BP114" s="10" t="e">
        <f t="shared" si="120"/>
        <v>#VALUE!</v>
      </c>
      <c r="BQ114" s="10" t="e">
        <f t="shared" si="121"/>
        <v>#VALUE!</v>
      </c>
      <c r="BR114" s="10" t="e">
        <f t="shared" si="122"/>
        <v>#VALUE!</v>
      </c>
      <c r="BS114" s="10" t="e">
        <f t="shared" si="123"/>
        <v>#VALUE!</v>
      </c>
      <c r="BT114" s="10" t="e">
        <f t="shared" si="124"/>
        <v>#VALUE!</v>
      </c>
      <c r="BU114" s="10" t="e">
        <f t="shared" si="125"/>
        <v>#VALUE!</v>
      </c>
      <c r="BW114" s="10" t="e">
        <f t="shared" si="126"/>
        <v>#VALUE!</v>
      </c>
      <c r="BX114" s="10" t="e">
        <f t="shared" si="127"/>
        <v>#VALUE!</v>
      </c>
      <c r="BY114" s="10" t="e">
        <f t="shared" si="128"/>
        <v>#VALUE!</v>
      </c>
      <c r="BZ114" s="10" t="e">
        <f t="shared" si="129"/>
        <v>#VALUE!</v>
      </c>
      <c r="CA114" s="10" t="e">
        <f t="shared" si="130"/>
        <v>#VALUE!</v>
      </c>
      <c r="CB114" s="10" t="e">
        <f t="shared" si="131"/>
        <v>#VALUE!</v>
      </c>
      <c r="CD114" s="10" t="e">
        <f>MATCH(INDEX($BP$12:$BU$12,1,MATCH(BP114,$BP$15:$BU$15,0)),结果汇总!$AI$10:$AI$13,0)</f>
        <v>#VALUE!</v>
      </c>
      <c r="CE114" s="10" t="e">
        <f>MATCH(INDEX($BP$12:$BU$12,1,MATCH(BQ114,$BP$15:$BU$15,0)),结果汇总!$AI$10:$AI$13,0)</f>
        <v>#VALUE!</v>
      </c>
      <c r="CF114" s="10" t="e">
        <f>MATCH(INDEX($BP$12:$BU$12,1,MATCH(BR114,$BP$15:$BU$15,0)),结果汇总!$AI$10:$AI$13,0)</f>
        <v>#VALUE!</v>
      </c>
      <c r="CG114" s="10" t="e">
        <f>MATCH(INDEX($BP$12:$BU$12,1,MATCH(BS114,$BP$15:$BU$15,0)),结果汇总!$AI$10:$AI$13,0)</f>
        <v>#VALUE!</v>
      </c>
      <c r="CH114" s="10" t="e">
        <f>MATCH(INDEX($BP$12:$BU$12,1,MATCH(BT114,$BP$15:$BU$15,0)),结果汇总!$AI$10:$AI$13,0)</f>
        <v>#VALUE!</v>
      </c>
      <c r="CI114" s="10" t="e">
        <f>MATCH(INDEX($BP$12:$BU$12,1,MATCH(BU114,$BP$15:$BU$15,0)),结果汇总!$AI$10:$AI$13,0)</f>
        <v>#VALUE!</v>
      </c>
      <c r="CK114" s="10">
        <f t="shared" si="149"/>
        <v>0</v>
      </c>
      <c r="CL114" s="10">
        <f t="shared" si="149"/>
        <v>0</v>
      </c>
      <c r="CM114" s="10">
        <f t="shared" si="149"/>
        <v>0</v>
      </c>
      <c r="CN114" s="10">
        <f t="shared" si="149"/>
        <v>0</v>
      </c>
      <c r="CO114" s="10">
        <f t="shared" si="150"/>
        <v>0</v>
      </c>
      <c r="CP114" s="10">
        <f t="shared" si="150"/>
        <v>0</v>
      </c>
      <c r="CQ114" s="10">
        <f t="shared" si="150"/>
        <v>0</v>
      </c>
      <c r="CR114" s="10">
        <f t="shared" si="150"/>
        <v>0</v>
      </c>
      <c r="CS114" s="10" t="e">
        <f t="shared" si="151"/>
        <v>#DIV/0!</v>
      </c>
      <c r="CT114" s="10" t="e">
        <f t="shared" si="151"/>
        <v>#DIV/0!</v>
      </c>
      <c r="CU114" s="10" t="e">
        <f t="shared" si="151"/>
        <v>#DIV/0!</v>
      </c>
      <c r="CV114" s="10" t="e">
        <f t="shared" si="151"/>
        <v>#DIV/0!</v>
      </c>
      <c r="CW114" s="10">
        <f t="shared" si="152"/>
        <v>0</v>
      </c>
      <c r="CX114" s="10">
        <f t="shared" si="152"/>
        <v>0</v>
      </c>
      <c r="CY114" s="10">
        <f t="shared" si="152"/>
        <v>0</v>
      </c>
      <c r="CZ114" s="10">
        <f t="shared" si="152"/>
        <v>0</v>
      </c>
    </row>
    <row r="115" spans="4:104" x14ac:dyDescent="0.15">
      <c r="D115" s="10">
        <v>100</v>
      </c>
      <c r="E115" s="10" t="e">
        <f t="shared" si="95"/>
        <v>#VALUE!</v>
      </c>
      <c r="F115" s="10" t="e">
        <f t="shared" si="79"/>
        <v>#VALUE!</v>
      </c>
      <c r="G115" s="10" t="e">
        <f t="shared" si="80"/>
        <v>#VALUE!</v>
      </c>
      <c r="H115" s="10" t="e">
        <f t="shared" si="96"/>
        <v>#VALUE!</v>
      </c>
      <c r="I115" s="10" t="e">
        <f t="shared" si="81"/>
        <v>#VALUE!</v>
      </c>
      <c r="J115" s="10" t="e">
        <f t="shared" si="97"/>
        <v>#VALUE!</v>
      </c>
      <c r="K115" s="10" t="e">
        <f t="shared" si="82"/>
        <v>#VALUE!</v>
      </c>
      <c r="L115" s="10" t="e">
        <f t="shared" si="83"/>
        <v>#VALUE!</v>
      </c>
      <c r="M115" s="10" t="e">
        <f t="shared" si="98"/>
        <v>#VALUE!</v>
      </c>
      <c r="O115" s="10" t="e">
        <f t="shared" si="99"/>
        <v>#VALUE!</v>
      </c>
      <c r="P115" s="10" t="e">
        <f t="shared" si="84"/>
        <v>#VALUE!</v>
      </c>
      <c r="Q115" s="10" t="e">
        <f t="shared" si="85"/>
        <v>#VALUE!</v>
      </c>
      <c r="R115" s="10" t="e">
        <f t="shared" si="100"/>
        <v>#VALUE!</v>
      </c>
      <c r="S115" s="10" t="e">
        <f t="shared" si="101"/>
        <v>#VALUE!</v>
      </c>
      <c r="T115" s="10" t="e">
        <f t="shared" si="136"/>
        <v>#VALUE!</v>
      </c>
      <c r="U115" s="10" t="e">
        <f t="shared" si="137"/>
        <v>#VALUE!</v>
      </c>
      <c r="V115" s="10" t="e">
        <f t="shared" si="86"/>
        <v>#VALUE!</v>
      </c>
      <c r="W115" s="10" t="e">
        <f t="shared" si="102"/>
        <v>#VALUE!</v>
      </c>
      <c r="Y115" s="10" t="e">
        <f t="shared" si="103"/>
        <v>#VALUE!</v>
      </c>
      <c r="Z115" s="11" t="e">
        <f t="shared" si="104"/>
        <v>#VALUE!</v>
      </c>
      <c r="AA115" s="10" t="e">
        <f t="shared" si="87"/>
        <v>#VALUE!</v>
      </c>
      <c r="AB115" s="10" t="e">
        <f t="shared" si="105"/>
        <v>#VALUE!</v>
      </c>
      <c r="AC115" s="10" t="e">
        <f t="shared" si="106"/>
        <v>#VALUE!</v>
      </c>
      <c r="AD115" s="10" t="e">
        <f t="shared" si="138"/>
        <v>#VALUE!</v>
      </c>
      <c r="AE115" s="10" t="e">
        <f t="shared" si="139"/>
        <v>#VALUE!</v>
      </c>
      <c r="AF115" s="10" t="e">
        <f t="shared" si="88"/>
        <v>#VALUE!</v>
      </c>
      <c r="AG115" s="10" t="e">
        <f t="shared" si="107"/>
        <v>#VALUE!</v>
      </c>
      <c r="AI115" s="13"/>
      <c r="AK115" s="10" t="e">
        <f t="shared" si="108"/>
        <v>#VALUE!</v>
      </c>
      <c r="AL115" s="10" t="e">
        <f t="shared" si="140"/>
        <v>#VALUE!</v>
      </c>
      <c r="AM115" s="10" t="e">
        <f t="shared" si="89"/>
        <v>#VALUE!</v>
      </c>
      <c r="AN115" s="10" t="e">
        <f t="shared" si="109"/>
        <v>#VALUE!</v>
      </c>
      <c r="AO115" s="10" t="e">
        <f t="shared" si="110"/>
        <v>#VALUE!</v>
      </c>
      <c r="AP115" s="10" t="e">
        <f t="shared" si="111"/>
        <v>#VALUE!</v>
      </c>
      <c r="AQ115" s="10" t="e">
        <f t="shared" si="141"/>
        <v>#VALUE!</v>
      </c>
      <c r="AR115" s="10" t="e">
        <f t="shared" si="90"/>
        <v>#VALUE!</v>
      </c>
      <c r="AS115" s="10" t="e">
        <f t="shared" si="142"/>
        <v>#VALUE!</v>
      </c>
      <c r="AU115" s="10" t="e">
        <f t="shared" si="112"/>
        <v>#VALUE!</v>
      </c>
      <c r="AV115" s="10" t="e">
        <f t="shared" si="143"/>
        <v>#VALUE!</v>
      </c>
      <c r="AW115" s="10" t="e">
        <f t="shared" si="91"/>
        <v>#VALUE!</v>
      </c>
      <c r="AX115" s="10" t="e">
        <f t="shared" si="113"/>
        <v>#VALUE!</v>
      </c>
      <c r="AY115" s="10" t="e">
        <f t="shared" si="114"/>
        <v>#VALUE!</v>
      </c>
      <c r="AZ115" s="10" t="e">
        <f t="shared" si="115"/>
        <v>#VALUE!</v>
      </c>
      <c r="BA115" s="10" t="e">
        <f t="shared" si="144"/>
        <v>#VALUE!</v>
      </c>
      <c r="BB115" s="10" t="e">
        <f t="shared" si="92"/>
        <v>#VALUE!</v>
      </c>
      <c r="BC115" s="10" t="e">
        <f t="shared" si="145"/>
        <v>#VALUE!</v>
      </c>
      <c r="BE115" s="10" t="e">
        <f t="shared" si="116"/>
        <v>#VALUE!</v>
      </c>
      <c r="BF115" s="10" t="e">
        <f t="shared" si="146"/>
        <v>#VALUE!</v>
      </c>
      <c r="BG115" s="10" t="e">
        <f t="shared" si="93"/>
        <v>#VALUE!</v>
      </c>
      <c r="BH115" s="10" t="e">
        <f t="shared" si="117"/>
        <v>#VALUE!</v>
      </c>
      <c r="BI115" s="10" t="e">
        <f t="shared" si="118"/>
        <v>#VALUE!</v>
      </c>
      <c r="BJ115" s="10" t="e">
        <f t="shared" si="119"/>
        <v>#VALUE!</v>
      </c>
      <c r="BK115" s="10" t="e">
        <f t="shared" si="147"/>
        <v>#VALUE!</v>
      </c>
      <c r="BL115" s="10" t="e">
        <f t="shared" si="94"/>
        <v>#VALUE!</v>
      </c>
      <c r="BM115" s="10" t="e">
        <f t="shared" si="148"/>
        <v>#VALUE!</v>
      </c>
      <c r="BP115" s="10" t="e">
        <f t="shared" si="120"/>
        <v>#VALUE!</v>
      </c>
      <c r="BQ115" s="10" t="e">
        <f t="shared" si="121"/>
        <v>#VALUE!</v>
      </c>
      <c r="BR115" s="10" t="e">
        <f t="shared" si="122"/>
        <v>#VALUE!</v>
      </c>
      <c r="BS115" s="10" t="e">
        <f t="shared" si="123"/>
        <v>#VALUE!</v>
      </c>
      <c r="BT115" s="10" t="e">
        <f t="shared" si="124"/>
        <v>#VALUE!</v>
      </c>
      <c r="BU115" s="10" t="e">
        <f t="shared" si="125"/>
        <v>#VALUE!</v>
      </c>
      <c r="BW115" s="10" t="e">
        <f t="shared" si="126"/>
        <v>#VALUE!</v>
      </c>
      <c r="BX115" s="10" t="e">
        <f t="shared" si="127"/>
        <v>#VALUE!</v>
      </c>
      <c r="BY115" s="10" t="e">
        <f t="shared" si="128"/>
        <v>#VALUE!</v>
      </c>
      <c r="BZ115" s="10" t="e">
        <f t="shared" si="129"/>
        <v>#VALUE!</v>
      </c>
      <c r="CA115" s="10" t="e">
        <f t="shared" si="130"/>
        <v>#VALUE!</v>
      </c>
      <c r="CB115" s="10" t="e">
        <f t="shared" si="131"/>
        <v>#VALUE!</v>
      </c>
      <c r="CD115" s="10" t="e">
        <f>MATCH(INDEX($BP$12:$BU$12,1,MATCH(BP115,$BP$15:$BU$15,0)),结果汇总!$AI$10:$AI$13,0)</f>
        <v>#VALUE!</v>
      </c>
      <c r="CE115" s="10" t="e">
        <f>MATCH(INDEX($BP$12:$BU$12,1,MATCH(BQ115,$BP$15:$BU$15,0)),结果汇总!$AI$10:$AI$13,0)</f>
        <v>#VALUE!</v>
      </c>
      <c r="CF115" s="10" t="e">
        <f>MATCH(INDEX($BP$12:$BU$12,1,MATCH(BR115,$BP$15:$BU$15,0)),结果汇总!$AI$10:$AI$13,0)</f>
        <v>#VALUE!</v>
      </c>
      <c r="CG115" s="10" t="e">
        <f>MATCH(INDEX($BP$12:$BU$12,1,MATCH(BS115,$BP$15:$BU$15,0)),结果汇总!$AI$10:$AI$13,0)</f>
        <v>#VALUE!</v>
      </c>
      <c r="CH115" s="10" t="e">
        <f>MATCH(INDEX($BP$12:$BU$12,1,MATCH(BT115,$BP$15:$BU$15,0)),结果汇总!$AI$10:$AI$13,0)</f>
        <v>#VALUE!</v>
      </c>
      <c r="CI115" s="10" t="e">
        <f>MATCH(INDEX($BP$12:$BU$12,1,MATCH(BU115,$BP$15:$BU$15,0)),结果汇总!$AI$10:$AI$13,0)</f>
        <v>#VALUE!</v>
      </c>
      <c r="CK115" s="10">
        <f t="shared" si="149"/>
        <v>0</v>
      </c>
      <c r="CL115" s="10">
        <f t="shared" si="149"/>
        <v>0</v>
      </c>
      <c r="CM115" s="10">
        <f t="shared" si="149"/>
        <v>0</v>
      </c>
      <c r="CN115" s="10">
        <f t="shared" si="149"/>
        <v>0</v>
      </c>
      <c r="CO115" s="10">
        <f t="shared" si="150"/>
        <v>0</v>
      </c>
      <c r="CP115" s="10">
        <f t="shared" si="150"/>
        <v>0</v>
      </c>
      <c r="CQ115" s="10">
        <f t="shared" si="150"/>
        <v>0</v>
      </c>
      <c r="CR115" s="10">
        <f t="shared" si="150"/>
        <v>0</v>
      </c>
      <c r="CS115" s="10" t="e">
        <f t="shared" si="151"/>
        <v>#DIV/0!</v>
      </c>
      <c r="CT115" s="10" t="e">
        <f t="shared" si="151"/>
        <v>#DIV/0!</v>
      </c>
      <c r="CU115" s="10" t="e">
        <f t="shared" si="151"/>
        <v>#DIV/0!</v>
      </c>
      <c r="CV115" s="10" t="e">
        <f t="shared" si="151"/>
        <v>#DIV/0!</v>
      </c>
      <c r="CW115" s="10">
        <f t="shared" si="152"/>
        <v>0</v>
      </c>
      <c r="CX115" s="10">
        <f t="shared" si="152"/>
        <v>0</v>
      </c>
      <c r="CY115" s="10">
        <f t="shared" si="152"/>
        <v>0</v>
      </c>
      <c r="CZ115" s="10">
        <f t="shared" si="152"/>
        <v>0</v>
      </c>
    </row>
    <row r="116" spans="4:104" x14ac:dyDescent="0.15">
      <c r="D116" s="10">
        <v>101</v>
      </c>
      <c r="E116" s="10" t="e">
        <f t="shared" si="95"/>
        <v>#VALUE!</v>
      </c>
      <c r="F116" s="10" t="e">
        <f t="shared" si="79"/>
        <v>#VALUE!</v>
      </c>
      <c r="G116" s="10" t="e">
        <f t="shared" si="80"/>
        <v>#VALUE!</v>
      </c>
      <c r="H116" s="10" t="e">
        <f t="shared" si="96"/>
        <v>#VALUE!</v>
      </c>
      <c r="I116" s="10" t="e">
        <f t="shared" si="81"/>
        <v>#VALUE!</v>
      </c>
      <c r="J116" s="10" t="e">
        <f t="shared" si="97"/>
        <v>#VALUE!</v>
      </c>
      <c r="K116" s="10" t="e">
        <f t="shared" si="82"/>
        <v>#VALUE!</v>
      </c>
      <c r="L116" s="10" t="e">
        <f t="shared" si="83"/>
        <v>#VALUE!</v>
      </c>
      <c r="M116" s="10" t="e">
        <f t="shared" si="98"/>
        <v>#VALUE!</v>
      </c>
      <c r="O116" s="10" t="e">
        <f t="shared" si="99"/>
        <v>#VALUE!</v>
      </c>
      <c r="P116" s="10" t="e">
        <f t="shared" si="84"/>
        <v>#VALUE!</v>
      </c>
      <c r="Q116" s="10" t="e">
        <f t="shared" si="85"/>
        <v>#VALUE!</v>
      </c>
      <c r="R116" s="10" t="e">
        <f t="shared" si="100"/>
        <v>#VALUE!</v>
      </c>
      <c r="S116" s="10" t="e">
        <f t="shared" si="101"/>
        <v>#VALUE!</v>
      </c>
      <c r="T116" s="10" t="e">
        <f t="shared" si="136"/>
        <v>#VALUE!</v>
      </c>
      <c r="U116" s="10" t="e">
        <f t="shared" si="137"/>
        <v>#VALUE!</v>
      </c>
      <c r="V116" s="10" t="e">
        <f t="shared" si="86"/>
        <v>#VALUE!</v>
      </c>
      <c r="W116" s="10" t="e">
        <f t="shared" si="102"/>
        <v>#VALUE!</v>
      </c>
      <c r="Y116" s="10" t="e">
        <f t="shared" si="103"/>
        <v>#VALUE!</v>
      </c>
      <c r="Z116" s="11" t="e">
        <f t="shared" si="104"/>
        <v>#VALUE!</v>
      </c>
      <c r="AA116" s="10" t="e">
        <f t="shared" si="87"/>
        <v>#VALUE!</v>
      </c>
      <c r="AB116" s="10" t="e">
        <f t="shared" si="105"/>
        <v>#VALUE!</v>
      </c>
      <c r="AC116" s="10" t="e">
        <f t="shared" si="106"/>
        <v>#VALUE!</v>
      </c>
      <c r="AD116" s="10" t="e">
        <f t="shared" si="138"/>
        <v>#VALUE!</v>
      </c>
      <c r="AE116" s="10" t="e">
        <f t="shared" si="139"/>
        <v>#VALUE!</v>
      </c>
      <c r="AF116" s="10" t="e">
        <f t="shared" si="88"/>
        <v>#VALUE!</v>
      </c>
      <c r="AG116" s="10" t="e">
        <f t="shared" si="107"/>
        <v>#VALUE!</v>
      </c>
      <c r="AI116" s="13"/>
      <c r="AK116" s="10" t="e">
        <f t="shared" si="108"/>
        <v>#VALUE!</v>
      </c>
      <c r="AL116" s="10" t="e">
        <f t="shared" si="140"/>
        <v>#VALUE!</v>
      </c>
      <c r="AM116" s="10" t="e">
        <f t="shared" si="89"/>
        <v>#VALUE!</v>
      </c>
      <c r="AN116" s="10" t="e">
        <f t="shared" si="109"/>
        <v>#VALUE!</v>
      </c>
      <c r="AO116" s="10" t="e">
        <f t="shared" si="110"/>
        <v>#VALUE!</v>
      </c>
      <c r="AP116" s="10" t="e">
        <f t="shared" si="111"/>
        <v>#VALUE!</v>
      </c>
      <c r="AQ116" s="10" t="e">
        <f t="shared" si="141"/>
        <v>#VALUE!</v>
      </c>
      <c r="AR116" s="10" t="e">
        <f t="shared" si="90"/>
        <v>#VALUE!</v>
      </c>
      <c r="AS116" s="10" t="e">
        <f t="shared" si="142"/>
        <v>#VALUE!</v>
      </c>
      <c r="AU116" s="10" t="e">
        <f t="shared" si="112"/>
        <v>#VALUE!</v>
      </c>
      <c r="AV116" s="10" t="e">
        <f t="shared" si="143"/>
        <v>#VALUE!</v>
      </c>
      <c r="AW116" s="10" t="e">
        <f t="shared" si="91"/>
        <v>#VALUE!</v>
      </c>
      <c r="AX116" s="10" t="e">
        <f t="shared" si="113"/>
        <v>#VALUE!</v>
      </c>
      <c r="AY116" s="10" t="e">
        <f t="shared" si="114"/>
        <v>#VALUE!</v>
      </c>
      <c r="AZ116" s="10" t="e">
        <f t="shared" si="115"/>
        <v>#VALUE!</v>
      </c>
      <c r="BA116" s="10" t="e">
        <f t="shared" si="144"/>
        <v>#VALUE!</v>
      </c>
      <c r="BB116" s="10" t="e">
        <f t="shared" si="92"/>
        <v>#VALUE!</v>
      </c>
      <c r="BC116" s="10" t="e">
        <f t="shared" si="145"/>
        <v>#VALUE!</v>
      </c>
      <c r="BE116" s="10" t="e">
        <f t="shared" si="116"/>
        <v>#VALUE!</v>
      </c>
      <c r="BF116" s="10" t="e">
        <f t="shared" si="146"/>
        <v>#VALUE!</v>
      </c>
      <c r="BG116" s="10" t="e">
        <f t="shared" si="93"/>
        <v>#VALUE!</v>
      </c>
      <c r="BH116" s="10" t="e">
        <f t="shared" si="117"/>
        <v>#VALUE!</v>
      </c>
      <c r="BI116" s="10" t="e">
        <f t="shared" si="118"/>
        <v>#VALUE!</v>
      </c>
      <c r="BJ116" s="10" t="e">
        <f t="shared" si="119"/>
        <v>#VALUE!</v>
      </c>
      <c r="BK116" s="10" t="e">
        <f t="shared" si="147"/>
        <v>#VALUE!</v>
      </c>
      <c r="BL116" s="10" t="e">
        <f t="shared" si="94"/>
        <v>#VALUE!</v>
      </c>
      <c r="BM116" s="10" t="e">
        <f t="shared" si="148"/>
        <v>#VALUE!</v>
      </c>
      <c r="BP116" s="10" t="e">
        <f t="shared" si="120"/>
        <v>#VALUE!</v>
      </c>
      <c r="BQ116" s="10" t="e">
        <f t="shared" si="121"/>
        <v>#VALUE!</v>
      </c>
      <c r="BR116" s="10" t="e">
        <f t="shared" si="122"/>
        <v>#VALUE!</v>
      </c>
      <c r="BS116" s="10" t="e">
        <f t="shared" si="123"/>
        <v>#VALUE!</v>
      </c>
      <c r="BT116" s="10" t="e">
        <f t="shared" si="124"/>
        <v>#VALUE!</v>
      </c>
      <c r="BU116" s="10" t="e">
        <f t="shared" si="125"/>
        <v>#VALUE!</v>
      </c>
      <c r="BW116" s="10" t="e">
        <f t="shared" si="126"/>
        <v>#VALUE!</v>
      </c>
      <c r="BX116" s="10" t="e">
        <f t="shared" si="127"/>
        <v>#VALUE!</v>
      </c>
      <c r="BY116" s="10" t="e">
        <f t="shared" si="128"/>
        <v>#VALUE!</v>
      </c>
      <c r="BZ116" s="10" t="e">
        <f t="shared" si="129"/>
        <v>#VALUE!</v>
      </c>
      <c r="CA116" s="10" t="e">
        <f t="shared" si="130"/>
        <v>#VALUE!</v>
      </c>
      <c r="CB116" s="10" t="e">
        <f t="shared" si="131"/>
        <v>#VALUE!</v>
      </c>
      <c r="CD116" s="10" t="e">
        <f>MATCH(INDEX($BP$12:$BU$12,1,MATCH(BP116,$BP$15:$BU$15,0)),结果汇总!$AI$10:$AI$13,0)</f>
        <v>#VALUE!</v>
      </c>
      <c r="CE116" s="10" t="e">
        <f>MATCH(INDEX($BP$12:$BU$12,1,MATCH(BQ116,$BP$15:$BU$15,0)),结果汇总!$AI$10:$AI$13,0)</f>
        <v>#VALUE!</v>
      </c>
      <c r="CF116" s="10" t="e">
        <f>MATCH(INDEX($BP$12:$BU$12,1,MATCH(BR116,$BP$15:$BU$15,0)),结果汇总!$AI$10:$AI$13,0)</f>
        <v>#VALUE!</v>
      </c>
      <c r="CG116" s="10" t="e">
        <f>MATCH(INDEX($BP$12:$BU$12,1,MATCH(BS116,$BP$15:$BU$15,0)),结果汇总!$AI$10:$AI$13,0)</f>
        <v>#VALUE!</v>
      </c>
      <c r="CH116" s="10" t="e">
        <f>MATCH(INDEX($BP$12:$BU$12,1,MATCH(BT116,$BP$15:$BU$15,0)),结果汇总!$AI$10:$AI$13,0)</f>
        <v>#VALUE!</v>
      </c>
      <c r="CI116" s="10" t="e">
        <f>MATCH(INDEX($BP$12:$BU$12,1,MATCH(BU116,$BP$15:$BU$15,0)),结果汇总!$AI$10:$AI$13,0)</f>
        <v>#VALUE!</v>
      </c>
      <c r="CK116" s="10">
        <f t="shared" si="149"/>
        <v>0</v>
      </c>
      <c r="CL116" s="10">
        <f t="shared" si="149"/>
        <v>0</v>
      </c>
      <c r="CM116" s="10">
        <f t="shared" si="149"/>
        <v>0</v>
      </c>
      <c r="CN116" s="10">
        <f t="shared" si="149"/>
        <v>0</v>
      </c>
      <c r="CO116" s="10">
        <f t="shared" si="150"/>
        <v>0</v>
      </c>
      <c r="CP116" s="10">
        <f t="shared" si="150"/>
        <v>0</v>
      </c>
      <c r="CQ116" s="10">
        <f t="shared" si="150"/>
        <v>0</v>
      </c>
      <c r="CR116" s="10">
        <f t="shared" si="150"/>
        <v>0</v>
      </c>
      <c r="CS116" s="10" t="e">
        <f t="shared" si="151"/>
        <v>#DIV/0!</v>
      </c>
      <c r="CT116" s="10" t="e">
        <f t="shared" si="151"/>
        <v>#DIV/0!</v>
      </c>
      <c r="CU116" s="10" t="e">
        <f t="shared" si="151"/>
        <v>#DIV/0!</v>
      </c>
      <c r="CV116" s="10" t="e">
        <f t="shared" si="151"/>
        <v>#DIV/0!</v>
      </c>
      <c r="CW116" s="10">
        <f t="shared" si="152"/>
        <v>0</v>
      </c>
      <c r="CX116" s="10">
        <f t="shared" si="152"/>
        <v>0</v>
      </c>
      <c r="CY116" s="10">
        <f t="shared" si="152"/>
        <v>0</v>
      </c>
      <c r="CZ116" s="10">
        <f t="shared" si="152"/>
        <v>0</v>
      </c>
    </row>
    <row r="117" spans="4:104" x14ac:dyDescent="0.15">
      <c r="D117" s="10">
        <v>102</v>
      </c>
      <c r="E117" s="10" t="e">
        <f t="shared" si="95"/>
        <v>#VALUE!</v>
      </c>
      <c r="F117" s="10" t="e">
        <f t="shared" si="79"/>
        <v>#VALUE!</v>
      </c>
      <c r="G117" s="10" t="e">
        <f t="shared" si="80"/>
        <v>#VALUE!</v>
      </c>
      <c r="H117" s="10" t="e">
        <f t="shared" si="96"/>
        <v>#VALUE!</v>
      </c>
      <c r="I117" s="10" t="e">
        <f t="shared" si="81"/>
        <v>#VALUE!</v>
      </c>
      <c r="J117" s="10" t="e">
        <f t="shared" si="97"/>
        <v>#VALUE!</v>
      </c>
      <c r="K117" s="10" t="e">
        <f t="shared" si="82"/>
        <v>#VALUE!</v>
      </c>
      <c r="L117" s="10" t="e">
        <f t="shared" si="83"/>
        <v>#VALUE!</v>
      </c>
      <c r="M117" s="10" t="e">
        <f t="shared" si="98"/>
        <v>#VALUE!</v>
      </c>
      <c r="O117" s="10" t="e">
        <f t="shared" si="99"/>
        <v>#VALUE!</v>
      </c>
      <c r="P117" s="10" t="e">
        <f t="shared" si="84"/>
        <v>#VALUE!</v>
      </c>
      <c r="Q117" s="10" t="e">
        <f t="shared" si="85"/>
        <v>#VALUE!</v>
      </c>
      <c r="R117" s="10" t="e">
        <f t="shared" si="100"/>
        <v>#VALUE!</v>
      </c>
      <c r="S117" s="10" t="e">
        <f t="shared" si="101"/>
        <v>#VALUE!</v>
      </c>
      <c r="T117" s="10" t="e">
        <f t="shared" si="136"/>
        <v>#VALUE!</v>
      </c>
      <c r="U117" s="10" t="e">
        <f t="shared" si="137"/>
        <v>#VALUE!</v>
      </c>
      <c r="V117" s="10" t="e">
        <f t="shared" si="86"/>
        <v>#VALUE!</v>
      </c>
      <c r="W117" s="10" t="e">
        <f t="shared" si="102"/>
        <v>#VALUE!</v>
      </c>
      <c r="Y117" s="10" t="e">
        <f t="shared" si="103"/>
        <v>#VALUE!</v>
      </c>
      <c r="Z117" s="11" t="e">
        <f t="shared" si="104"/>
        <v>#VALUE!</v>
      </c>
      <c r="AA117" s="10" t="e">
        <f t="shared" si="87"/>
        <v>#VALUE!</v>
      </c>
      <c r="AB117" s="10" t="e">
        <f t="shared" si="105"/>
        <v>#VALUE!</v>
      </c>
      <c r="AC117" s="10" t="e">
        <f t="shared" si="106"/>
        <v>#VALUE!</v>
      </c>
      <c r="AD117" s="10" t="e">
        <f t="shared" si="138"/>
        <v>#VALUE!</v>
      </c>
      <c r="AE117" s="10" t="e">
        <f t="shared" si="139"/>
        <v>#VALUE!</v>
      </c>
      <c r="AF117" s="10" t="e">
        <f t="shared" si="88"/>
        <v>#VALUE!</v>
      </c>
      <c r="AG117" s="10" t="e">
        <f t="shared" si="107"/>
        <v>#VALUE!</v>
      </c>
      <c r="AI117" s="13"/>
      <c r="AK117" s="10" t="e">
        <f t="shared" si="108"/>
        <v>#VALUE!</v>
      </c>
      <c r="AL117" s="10" t="e">
        <f t="shared" si="140"/>
        <v>#VALUE!</v>
      </c>
      <c r="AM117" s="10" t="e">
        <f t="shared" si="89"/>
        <v>#VALUE!</v>
      </c>
      <c r="AN117" s="10" t="e">
        <f t="shared" si="109"/>
        <v>#VALUE!</v>
      </c>
      <c r="AO117" s="10" t="e">
        <f t="shared" si="110"/>
        <v>#VALUE!</v>
      </c>
      <c r="AP117" s="10" t="e">
        <f t="shared" si="111"/>
        <v>#VALUE!</v>
      </c>
      <c r="AQ117" s="10" t="e">
        <f t="shared" si="141"/>
        <v>#VALUE!</v>
      </c>
      <c r="AR117" s="10" t="e">
        <f t="shared" si="90"/>
        <v>#VALUE!</v>
      </c>
      <c r="AS117" s="10" t="e">
        <f t="shared" si="142"/>
        <v>#VALUE!</v>
      </c>
      <c r="AU117" s="10" t="e">
        <f t="shared" si="112"/>
        <v>#VALUE!</v>
      </c>
      <c r="AV117" s="10" t="e">
        <f t="shared" si="143"/>
        <v>#VALUE!</v>
      </c>
      <c r="AW117" s="10" t="e">
        <f t="shared" si="91"/>
        <v>#VALUE!</v>
      </c>
      <c r="AX117" s="10" t="e">
        <f t="shared" si="113"/>
        <v>#VALUE!</v>
      </c>
      <c r="AY117" s="10" t="e">
        <f t="shared" si="114"/>
        <v>#VALUE!</v>
      </c>
      <c r="AZ117" s="10" t="e">
        <f t="shared" si="115"/>
        <v>#VALUE!</v>
      </c>
      <c r="BA117" s="10" t="e">
        <f t="shared" si="144"/>
        <v>#VALUE!</v>
      </c>
      <c r="BB117" s="10" t="e">
        <f t="shared" si="92"/>
        <v>#VALUE!</v>
      </c>
      <c r="BC117" s="10" t="e">
        <f t="shared" si="145"/>
        <v>#VALUE!</v>
      </c>
      <c r="BE117" s="10" t="e">
        <f t="shared" si="116"/>
        <v>#VALUE!</v>
      </c>
      <c r="BF117" s="10" t="e">
        <f t="shared" si="146"/>
        <v>#VALUE!</v>
      </c>
      <c r="BG117" s="10" t="e">
        <f t="shared" si="93"/>
        <v>#VALUE!</v>
      </c>
      <c r="BH117" s="10" t="e">
        <f t="shared" si="117"/>
        <v>#VALUE!</v>
      </c>
      <c r="BI117" s="10" t="e">
        <f t="shared" si="118"/>
        <v>#VALUE!</v>
      </c>
      <c r="BJ117" s="10" t="e">
        <f t="shared" si="119"/>
        <v>#VALUE!</v>
      </c>
      <c r="BK117" s="10" t="e">
        <f t="shared" si="147"/>
        <v>#VALUE!</v>
      </c>
      <c r="BL117" s="10" t="e">
        <f t="shared" si="94"/>
        <v>#VALUE!</v>
      </c>
      <c r="BM117" s="10" t="e">
        <f t="shared" si="148"/>
        <v>#VALUE!</v>
      </c>
      <c r="BP117" s="10" t="e">
        <f t="shared" si="120"/>
        <v>#VALUE!</v>
      </c>
      <c r="BQ117" s="10" t="e">
        <f t="shared" si="121"/>
        <v>#VALUE!</v>
      </c>
      <c r="BR117" s="10" t="e">
        <f t="shared" si="122"/>
        <v>#VALUE!</v>
      </c>
      <c r="BS117" s="10" t="e">
        <f t="shared" si="123"/>
        <v>#VALUE!</v>
      </c>
      <c r="BT117" s="10" t="e">
        <f t="shared" si="124"/>
        <v>#VALUE!</v>
      </c>
      <c r="BU117" s="10" t="e">
        <f t="shared" si="125"/>
        <v>#VALUE!</v>
      </c>
      <c r="BW117" s="10" t="e">
        <f t="shared" si="126"/>
        <v>#VALUE!</v>
      </c>
      <c r="BX117" s="10" t="e">
        <f t="shared" si="127"/>
        <v>#VALUE!</v>
      </c>
      <c r="BY117" s="10" t="e">
        <f t="shared" si="128"/>
        <v>#VALUE!</v>
      </c>
      <c r="BZ117" s="10" t="e">
        <f t="shared" si="129"/>
        <v>#VALUE!</v>
      </c>
      <c r="CA117" s="10" t="e">
        <f t="shared" si="130"/>
        <v>#VALUE!</v>
      </c>
      <c r="CB117" s="10" t="e">
        <f t="shared" si="131"/>
        <v>#VALUE!</v>
      </c>
      <c r="CD117" s="10" t="e">
        <f>MATCH(INDEX($BP$12:$BU$12,1,MATCH(BP117,$BP$15:$BU$15,0)),结果汇总!$AI$10:$AI$13,0)</f>
        <v>#VALUE!</v>
      </c>
      <c r="CE117" s="10" t="e">
        <f>MATCH(INDEX($BP$12:$BU$12,1,MATCH(BQ117,$BP$15:$BU$15,0)),结果汇总!$AI$10:$AI$13,0)</f>
        <v>#VALUE!</v>
      </c>
      <c r="CF117" s="10" t="e">
        <f>MATCH(INDEX($BP$12:$BU$12,1,MATCH(BR117,$BP$15:$BU$15,0)),结果汇总!$AI$10:$AI$13,0)</f>
        <v>#VALUE!</v>
      </c>
      <c r="CG117" s="10" t="e">
        <f>MATCH(INDEX($BP$12:$BU$12,1,MATCH(BS117,$BP$15:$BU$15,0)),结果汇总!$AI$10:$AI$13,0)</f>
        <v>#VALUE!</v>
      </c>
      <c r="CH117" s="10" t="e">
        <f>MATCH(INDEX($BP$12:$BU$12,1,MATCH(BT117,$BP$15:$BU$15,0)),结果汇总!$AI$10:$AI$13,0)</f>
        <v>#VALUE!</v>
      </c>
      <c r="CI117" s="10" t="e">
        <f>MATCH(INDEX($BP$12:$BU$12,1,MATCH(BU117,$BP$15:$BU$15,0)),结果汇总!$AI$10:$AI$13,0)</f>
        <v>#VALUE!</v>
      </c>
      <c r="CK117" s="10">
        <f t="shared" si="149"/>
        <v>0</v>
      </c>
      <c r="CL117" s="10">
        <f t="shared" si="149"/>
        <v>0</v>
      </c>
      <c r="CM117" s="10">
        <f t="shared" si="149"/>
        <v>0</v>
      </c>
      <c r="CN117" s="10">
        <f t="shared" si="149"/>
        <v>0</v>
      </c>
      <c r="CO117" s="10">
        <f t="shared" si="150"/>
        <v>0</v>
      </c>
      <c r="CP117" s="10">
        <f t="shared" si="150"/>
        <v>0</v>
      </c>
      <c r="CQ117" s="10">
        <f t="shared" si="150"/>
        <v>0</v>
      </c>
      <c r="CR117" s="10">
        <f t="shared" si="150"/>
        <v>0</v>
      </c>
      <c r="CS117" s="10" t="e">
        <f t="shared" si="151"/>
        <v>#DIV/0!</v>
      </c>
      <c r="CT117" s="10" t="e">
        <f t="shared" si="151"/>
        <v>#DIV/0!</v>
      </c>
      <c r="CU117" s="10" t="e">
        <f t="shared" si="151"/>
        <v>#DIV/0!</v>
      </c>
      <c r="CV117" s="10" t="e">
        <f t="shared" si="151"/>
        <v>#DIV/0!</v>
      </c>
      <c r="CW117" s="10">
        <f t="shared" si="152"/>
        <v>0</v>
      </c>
      <c r="CX117" s="10">
        <f t="shared" si="152"/>
        <v>0</v>
      </c>
      <c r="CY117" s="10">
        <f t="shared" si="152"/>
        <v>0</v>
      </c>
      <c r="CZ117" s="10">
        <f t="shared" si="152"/>
        <v>0</v>
      </c>
    </row>
    <row r="118" spans="4:104" x14ac:dyDescent="0.15">
      <c r="D118" s="10">
        <v>103</v>
      </c>
      <c r="E118" s="10" t="e">
        <f t="shared" si="95"/>
        <v>#VALUE!</v>
      </c>
      <c r="F118" s="10" t="e">
        <f t="shared" si="79"/>
        <v>#VALUE!</v>
      </c>
      <c r="G118" s="10" t="e">
        <f t="shared" si="80"/>
        <v>#VALUE!</v>
      </c>
      <c r="H118" s="10" t="e">
        <f t="shared" si="96"/>
        <v>#VALUE!</v>
      </c>
      <c r="I118" s="10" t="e">
        <f t="shared" si="81"/>
        <v>#VALUE!</v>
      </c>
      <c r="J118" s="10" t="e">
        <f t="shared" si="97"/>
        <v>#VALUE!</v>
      </c>
      <c r="K118" s="10" t="e">
        <f t="shared" si="82"/>
        <v>#VALUE!</v>
      </c>
      <c r="L118" s="10" t="e">
        <f t="shared" si="83"/>
        <v>#VALUE!</v>
      </c>
      <c r="M118" s="10" t="e">
        <f t="shared" si="98"/>
        <v>#VALUE!</v>
      </c>
      <c r="O118" s="10" t="e">
        <f t="shared" si="99"/>
        <v>#VALUE!</v>
      </c>
      <c r="P118" s="10" t="e">
        <f t="shared" si="84"/>
        <v>#VALUE!</v>
      </c>
      <c r="Q118" s="10" t="e">
        <f t="shared" si="85"/>
        <v>#VALUE!</v>
      </c>
      <c r="R118" s="10" t="e">
        <f t="shared" si="100"/>
        <v>#VALUE!</v>
      </c>
      <c r="S118" s="10" t="e">
        <f t="shared" si="101"/>
        <v>#VALUE!</v>
      </c>
      <c r="T118" s="10" t="e">
        <f t="shared" si="136"/>
        <v>#VALUE!</v>
      </c>
      <c r="U118" s="10" t="e">
        <f t="shared" si="137"/>
        <v>#VALUE!</v>
      </c>
      <c r="V118" s="10" t="e">
        <f t="shared" si="86"/>
        <v>#VALUE!</v>
      </c>
      <c r="W118" s="10" t="e">
        <f t="shared" si="102"/>
        <v>#VALUE!</v>
      </c>
      <c r="Y118" s="10" t="e">
        <f t="shared" si="103"/>
        <v>#VALUE!</v>
      </c>
      <c r="Z118" s="11" t="e">
        <f t="shared" si="104"/>
        <v>#VALUE!</v>
      </c>
      <c r="AA118" s="10" t="e">
        <f t="shared" si="87"/>
        <v>#VALUE!</v>
      </c>
      <c r="AB118" s="10" t="e">
        <f t="shared" si="105"/>
        <v>#VALUE!</v>
      </c>
      <c r="AC118" s="10" t="e">
        <f t="shared" si="106"/>
        <v>#VALUE!</v>
      </c>
      <c r="AD118" s="10" t="e">
        <f t="shared" si="138"/>
        <v>#VALUE!</v>
      </c>
      <c r="AE118" s="10" t="e">
        <f t="shared" si="139"/>
        <v>#VALUE!</v>
      </c>
      <c r="AF118" s="10" t="e">
        <f t="shared" si="88"/>
        <v>#VALUE!</v>
      </c>
      <c r="AG118" s="10" t="e">
        <f t="shared" si="107"/>
        <v>#VALUE!</v>
      </c>
      <c r="AI118" s="13"/>
      <c r="AK118" s="10" t="e">
        <f t="shared" si="108"/>
        <v>#VALUE!</v>
      </c>
      <c r="AL118" s="10" t="e">
        <f t="shared" si="140"/>
        <v>#VALUE!</v>
      </c>
      <c r="AM118" s="10" t="e">
        <f t="shared" si="89"/>
        <v>#VALUE!</v>
      </c>
      <c r="AN118" s="10" t="e">
        <f t="shared" si="109"/>
        <v>#VALUE!</v>
      </c>
      <c r="AO118" s="10" t="e">
        <f t="shared" si="110"/>
        <v>#VALUE!</v>
      </c>
      <c r="AP118" s="10" t="e">
        <f t="shared" si="111"/>
        <v>#VALUE!</v>
      </c>
      <c r="AQ118" s="10" t="e">
        <f t="shared" si="141"/>
        <v>#VALUE!</v>
      </c>
      <c r="AR118" s="10" t="e">
        <f t="shared" si="90"/>
        <v>#VALUE!</v>
      </c>
      <c r="AS118" s="10" t="e">
        <f t="shared" si="142"/>
        <v>#VALUE!</v>
      </c>
      <c r="AU118" s="10" t="e">
        <f t="shared" si="112"/>
        <v>#VALUE!</v>
      </c>
      <c r="AV118" s="10" t="e">
        <f t="shared" si="143"/>
        <v>#VALUE!</v>
      </c>
      <c r="AW118" s="10" t="e">
        <f t="shared" si="91"/>
        <v>#VALUE!</v>
      </c>
      <c r="AX118" s="10" t="e">
        <f t="shared" si="113"/>
        <v>#VALUE!</v>
      </c>
      <c r="AY118" s="10" t="e">
        <f t="shared" si="114"/>
        <v>#VALUE!</v>
      </c>
      <c r="AZ118" s="10" t="e">
        <f t="shared" si="115"/>
        <v>#VALUE!</v>
      </c>
      <c r="BA118" s="10" t="e">
        <f t="shared" si="144"/>
        <v>#VALUE!</v>
      </c>
      <c r="BB118" s="10" t="e">
        <f t="shared" si="92"/>
        <v>#VALUE!</v>
      </c>
      <c r="BC118" s="10" t="e">
        <f t="shared" si="145"/>
        <v>#VALUE!</v>
      </c>
      <c r="BE118" s="10" t="e">
        <f t="shared" si="116"/>
        <v>#VALUE!</v>
      </c>
      <c r="BF118" s="10" t="e">
        <f t="shared" si="146"/>
        <v>#VALUE!</v>
      </c>
      <c r="BG118" s="10" t="e">
        <f t="shared" si="93"/>
        <v>#VALUE!</v>
      </c>
      <c r="BH118" s="10" t="e">
        <f t="shared" si="117"/>
        <v>#VALUE!</v>
      </c>
      <c r="BI118" s="10" t="e">
        <f t="shared" si="118"/>
        <v>#VALUE!</v>
      </c>
      <c r="BJ118" s="10" t="e">
        <f t="shared" si="119"/>
        <v>#VALUE!</v>
      </c>
      <c r="BK118" s="10" t="e">
        <f t="shared" si="147"/>
        <v>#VALUE!</v>
      </c>
      <c r="BL118" s="10" t="e">
        <f t="shared" si="94"/>
        <v>#VALUE!</v>
      </c>
      <c r="BM118" s="10" t="e">
        <f t="shared" si="148"/>
        <v>#VALUE!</v>
      </c>
      <c r="BP118" s="10" t="e">
        <f t="shared" si="120"/>
        <v>#VALUE!</v>
      </c>
      <c r="BQ118" s="10" t="e">
        <f t="shared" si="121"/>
        <v>#VALUE!</v>
      </c>
      <c r="BR118" s="10" t="e">
        <f t="shared" si="122"/>
        <v>#VALUE!</v>
      </c>
      <c r="BS118" s="10" t="e">
        <f t="shared" si="123"/>
        <v>#VALUE!</v>
      </c>
      <c r="BT118" s="10" t="e">
        <f t="shared" si="124"/>
        <v>#VALUE!</v>
      </c>
      <c r="BU118" s="10" t="e">
        <f t="shared" si="125"/>
        <v>#VALUE!</v>
      </c>
      <c r="BW118" s="10" t="e">
        <f t="shared" si="126"/>
        <v>#VALUE!</v>
      </c>
      <c r="BX118" s="10" t="e">
        <f t="shared" si="127"/>
        <v>#VALUE!</v>
      </c>
      <c r="BY118" s="10" t="e">
        <f t="shared" si="128"/>
        <v>#VALUE!</v>
      </c>
      <c r="BZ118" s="10" t="e">
        <f t="shared" si="129"/>
        <v>#VALUE!</v>
      </c>
      <c r="CA118" s="10" t="e">
        <f t="shared" si="130"/>
        <v>#VALUE!</v>
      </c>
      <c r="CB118" s="10" t="e">
        <f t="shared" si="131"/>
        <v>#VALUE!</v>
      </c>
      <c r="CD118" s="10" t="e">
        <f>MATCH(INDEX($BP$12:$BU$12,1,MATCH(BP118,$BP$15:$BU$15,0)),结果汇总!$AI$10:$AI$13,0)</f>
        <v>#VALUE!</v>
      </c>
      <c r="CE118" s="10" t="e">
        <f>MATCH(INDEX($BP$12:$BU$12,1,MATCH(BQ118,$BP$15:$BU$15,0)),结果汇总!$AI$10:$AI$13,0)</f>
        <v>#VALUE!</v>
      </c>
      <c r="CF118" s="10" t="e">
        <f>MATCH(INDEX($BP$12:$BU$12,1,MATCH(BR118,$BP$15:$BU$15,0)),结果汇总!$AI$10:$AI$13,0)</f>
        <v>#VALUE!</v>
      </c>
      <c r="CG118" s="10" t="e">
        <f>MATCH(INDEX($BP$12:$BU$12,1,MATCH(BS118,$BP$15:$BU$15,0)),结果汇总!$AI$10:$AI$13,0)</f>
        <v>#VALUE!</v>
      </c>
      <c r="CH118" s="10" t="e">
        <f>MATCH(INDEX($BP$12:$BU$12,1,MATCH(BT118,$BP$15:$BU$15,0)),结果汇总!$AI$10:$AI$13,0)</f>
        <v>#VALUE!</v>
      </c>
      <c r="CI118" s="10" t="e">
        <f>MATCH(INDEX($BP$12:$BU$12,1,MATCH(BU118,$BP$15:$BU$15,0)),结果汇总!$AI$10:$AI$13,0)</f>
        <v>#VALUE!</v>
      </c>
      <c r="CK118" s="10">
        <f t="shared" si="149"/>
        <v>0</v>
      </c>
      <c r="CL118" s="10">
        <f t="shared" si="149"/>
        <v>0</v>
      </c>
      <c r="CM118" s="10">
        <f t="shared" si="149"/>
        <v>0</v>
      </c>
      <c r="CN118" s="10">
        <f t="shared" si="149"/>
        <v>0</v>
      </c>
      <c r="CO118" s="10">
        <f t="shared" si="150"/>
        <v>0</v>
      </c>
      <c r="CP118" s="10">
        <f t="shared" si="150"/>
        <v>0</v>
      </c>
      <c r="CQ118" s="10">
        <f t="shared" si="150"/>
        <v>0</v>
      </c>
      <c r="CR118" s="10">
        <f t="shared" si="150"/>
        <v>0</v>
      </c>
      <c r="CS118" s="10" t="e">
        <f t="shared" si="151"/>
        <v>#DIV/0!</v>
      </c>
      <c r="CT118" s="10" t="e">
        <f t="shared" si="151"/>
        <v>#DIV/0!</v>
      </c>
      <c r="CU118" s="10" t="e">
        <f t="shared" si="151"/>
        <v>#DIV/0!</v>
      </c>
      <c r="CV118" s="10" t="e">
        <f t="shared" si="151"/>
        <v>#DIV/0!</v>
      </c>
      <c r="CW118" s="10">
        <f t="shared" si="152"/>
        <v>0</v>
      </c>
      <c r="CX118" s="10">
        <f t="shared" si="152"/>
        <v>0</v>
      </c>
      <c r="CY118" s="10">
        <f t="shared" si="152"/>
        <v>0</v>
      </c>
      <c r="CZ118" s="10">
        <f t="shared" si="152"/>
        <v>0</v>
      </c>
    </row>
    <row r="119" spans="4:104" x14ac:dyDescent="0.15">
      <c r="D119" s="10">
        <v>104</v>
      </c>
      <c r="E119" s="10" t="e">
        <f t="shared" si="95"/>
        <v>#VALUE!</v>
      </c>
      <c r="F119" s="10" t="e">
        <f t="shared" si="79"/>
        <v>#VALUE!</v>
      </c>
      <c r="G119" s="10" t="e">
        <f t="shared" si="80"/>
        <v>#VALUE!</v>
      </c>
      <c r="H119" s="10" t="e">
        <f t="shared" si="96"/>
        <v>#VALUE!</v>
      </c>
      <c r="I119" s="10" t="e">
        <f t="shared" si="81"/>
        <v>#VALUE!</v>
      </c>
      <c r="J119" s="10" t="e">
        <f t="shared" si="97"/>
        <v>#VALUE!</v>
      </c>
      <c r="K119" s="10" t="e">
        <f t="shared" si="82"/>
        <v>#VALUE!</v>
      </c>
      <c r="L119" s="10" t="e">
        <f t="shared" si="83"/>
        <v>#VALUE!</v>
      </c>
      <c r="M119" s="10" t="e">
        <f t="shared" si="98"/>
        <v>#VALUE!</v>
      </c>
      <c r="O119" s="10" t="e">
        <f t="shared" si="99"/>
        <v>#VALUE!</v>
      </c>
      <c r="P119" s="10" t="e">
        <f t="shared" si="84"/>
        <v>#VALUE!</v>
      </c>
      <c r="Q119" s="10" t="e">
        <f t="shared" si="85"/>
        <v>#VALUE!</v>
      </c>
      <c r="R119" s="10" t="e">
        <f t="shared" si="100"/>
        <v>#VALUE!</v>
      </c>
      <c r="S119" s="10" t="e">
        <f t="shared" si="101"/>
        <v>#VALUE!</v>
      </c>
      <c r="T119" s="10" t="e">
        <f t="shared" si="136"/>
        <v>#VALUE!</v>
      </c>
      <c r="U119" s="10" t="e">
        <f t="shared" si="137"/>
        <v>#VALUE!</v>
      </c>
      <c r="V119" s="10" t="e">
        <f t="shared" si="86"/>
        <v>#VALUE!</v>
      </c>
      <c r="W119" s="10" t="e">
        <f t="shared" si="102"/>
        <v>#VALUE!</v>
      </c>
      <c r="Y119" s="10" t="e">
        <f t="shared" si="103"/>
        <v>#VALUE!</v>
      </c>
      <c r="Z119" s="11" t="e">
        <f t="shared" si="104"/>
        <v>#VALUE!</v>
      </c>
      <c r="AA119" s="10" t="e">
        <f t="shared" si="87"/>
        <v>#VALUE!</v>
      </c>
      <c r="AB119" s="10" t="e">
        <f t="shared" si="105"/>
        <v>#VALUE!</v>
      </c>
      <c r="AC119" s="10" t="e">
        <f t="shared" si="106"/>
        <v>#VALUE!</v>
      </c>
      <c r="AD119" s="10" t="e">
        <f t="shared" si="138"/>
        <v>#VALUE!</v>
      </c>
      <c r="AE119" s="10" t="e">
        <f t="shared" si="139"/>
        <v>#VALUE!</v>
      </c>
      <c r="AF119" s="10" t="e">
        <f t="shared" si="88"/>
        <v>#VALUE!</v>
      </c>
      <c r="AG119" s="10" t="e">
        <f t="shared" si="107"/>
        <v>#VALUE!</v>
      </c>
      <c r="AI119" s="13"/>
      <c r="AK119" s="10" t="e">
        <f t="shared" si="108"/>
        <v>#VALUE!</v>
      </c>
      <c r="AL119" s="10" t="e">
        <f t="shared" si="140"/>
        <v>#VALUE!</v>
      </c>
      <c r="AM119" s="10" t="e">
        <f t="shared" si="89"/>
        <v>#VALUE!</v>
      </c>
      <c r="AN119" s="10" t="e">
        <f t="shared" si="109"/>
        <v>#VALUE!</v>
      </c>
      <c r="AO119" s="10" t="e">
        <f t="shared" si="110"/>
        <v>#VALUE!</v>
      </c>
      <c r="AP119" s="10" t="e">
        <f t="shared" si="111"/>
        <v>#VALUE!</v>
      </c>
      <c r="AQ119" s="10" t="e">
        <f t="shared" si="141"/>
        <v>#VALUE!</v>
      </c>
      <c r="AR119" s="10" t="e">
        <f t="shared" si="90"/>
        <v>#VALUE!</v>
      </c>
      <c r="AS119" s="10" t="e">
        <f t="shared" si="142"/>
        <v>#VALUE!</v>
      </c>
      <c r="AU119" s="10" t="e">
        <f t="shared" si="112"/>
        <v>#VALUE!</v>
      </c>
      <c r="AV119" s="10" t="e">
        <f t="shared" si="143"/>
        <v>#VALUE!</v>
      </c>
      <c r="AW119" s="10" t="e">
        <f t="shared" si="91"/>
        <v>#VALUE!</v>
      </c>
      <c r="AX119" s="10" t="e">
        <f t="shared" si="113"/>
        <v>#VALUE!</v>
      </c>
      <c r="AY119" s="10" t="e">
        <f t="shared" si="114"/>
        <v>#VALUE!</v>
      </c>
      <c r="AZ119" s="10" t="e">
        <f t="shared" si="115"/>
        <v>#VALUE!</v>
      </c>
      <c r="BA119" s="10" t="e">
        <f t="shared" si="144"/>
        <v>#VALUE!</v>
      </c>
      <c r="BB119" s="10" t="e">
        <f t="shared" si="92"/>
        <v>#VALUE!</v>
      </c>
      <c r="BC119" s="10" t="e">
        <f t="shared" si="145"/>
        <v>#VALUE!</v>
      </c>
      <c r="BE119" s="10" t="e">
        <f t="shared" si="116"/>
        <v>#VALUE!</v>
      </c>
      <c r="BF119" s="10" t="e">
        <f t="shared" si="146"/>
        <v>#VALUE!</v>
      </c>
      <c r="BG119" s="10" t="e">
        <f t="shared" si="93"/>
        <v>#VALUE!</v>
      </c>
      <c r="BH119" s="10" t="e">
        <f t="shared" si="117"/>
        <v>#VALUE!</v>
      </c>
      <c r="BI119" s="10" t="e">
        <f t="shared" si="118"/>
        <v>#VALUE!</v>
      </c>
      <c r="BJ119" s="10" t="e">
        <f t="shared" si="119"/>
        <v>#VALUE!</v>
      </c>
      <c r="BK119" s="10" t="e">
        <f t="shared" si="147"/>
        <v>#VALUE!</v>
      </c>
      <c r="BL119" s="10" t="e">
        <f t="shared" si="94"/>
        <v>#VALUE!</v>
      </c>
      <c r="BM119" s="10" t="e">
        <f t="shared" si="148"/>
        <v>#VALUE!</v>
      </c>
      <c r="BP119" s="10" t="e">
        <f t="shared" si="120"/>
        <v>#VALUE!</v>
      </c>
      <c r="BQ119" s="10" t="e">
        <f t="shared" si="121"/>
        <v>#VALUE!</v>
      </c>
      <c r="BR119" s="10" t="e">
        <f t="shared" si="122"/>
        <v>#VALUE!</v>
      </c>
      <c r="BS119" s="10" t="e">
        <f t="shared" si="123"/>
        <v>#VALUE!</v>
      </c>
      <c r="BT119" s="10" t="e">
        <f t="shared" si="124"/>
        <v>#VALUE!</v>
      </c>
      <c r="BU119" s="10" t="e">
        <f t="shared" si="125"/>
        <v>#VALUE!</v>
      </c>
      <c r="BW119" s="10" t="e">
        <f t="shared" si="126"/>
        <v>#VALUE!</v>
      </c>
      <c r="BX119" s="10" t="e">
        <f t="shared" si="127"/>
        <v>#VALUE!</v>
      </c>
      <c r="BY119" s="10" t="e">
        <f t="shared" si="128"/>
        <v>#VALUE!</v>
      </c>
      <c r="BZ119" s="10" t="e">
        <f t="shared" si="129"/>
        <v>#VALUE!</v>
      </c>
      <c r="CA119" s="10" t="e">
        <f t="shared" si="130"/>
        <v>#VALUE!</v>
      </c>
      <c r="CB119" s="10" t="e">
        <f t="shared" si="131"/>
        <v>#VALUE!</v>
      </c>
      <c r="CD119" s="10" t="e">
        <f>MATCH(INDEX($BP$12:$BU$12,1,MATCH(BP119,$BP$15:$BU$15,0)),结果汇总!$AI$10:$AI$13,0)</f>
        <v>#VALUE!</v>
      </c>
      <c r="CE119" s="10" t="e">
        <f>MATCH(INDEX($BP$12:$BU$12,1,MATCH(BQ119,$BP$15:$BU$15,0)),结果汇总!$AI$10:$AI$13,0)</f>
        <v>#VALUE!</v>
      </c>
      <c r="CF119" s="10" t="e">
        <f>MATCH(INDEX($BP$12:$BU$12,1,MATCH(BR119,$BP$15:$BU$15,0)),结果汇总!$AI$10:$AI$13,0)</f>
        <v>#VALUE!</v>
      </c>
      <c r="CG119" s="10" t="e">
        <f>MATCH(INDEX($BP$12:$BU$12,1,MATCH(BS119,$BP$15:$BU$15,0)),结果汇总!$AI$10:$AI$13,0)</f>
        <v>#VALUE!</v>
      </c>
      <c r="CH119" s="10" t="e">
        <f>MATCH(INDEX($BP$12:$BU$12,1,MATCH(BT119,$BP$15:$BU$15,0)),结果汇总!$AI$10:$AI$13,0)</f>
        <v>#VALUE!</v>
      </c>
      <c r="CI119" s="10" t="e">
        <f>MATCH(INDEX($BP$12:$BU$12,1,MATCH(BU119,$BP$15:$BU$15,0)),结果汇总!$AI$10:$AI$13,0)</f>
        <v>#VALUE!</v>
      </c>
      <c r="CK119" s="10">
        <f t="shared" si="149"/>
        <v>0</v>
      </c>
      <c r="CL119" s="10">
        <f t="shared" si="149"/>
        <v>0</v>
      </c>
      <c r="CM119" s="10">
        <f t="shared" si="149"/>
        <v>0</v>
      </c>
      <c r="CN119" s="10">
        <f t="shared" si="149"/>
        <v>0</v>
      </c>
      <c r="CO119" s="10">
        <f t="shared" si="150"/>
        <v>0</v>
      </c>
      <c r="CP119" s="10">
        <f t="shared" si="150"/>
        <v>0</v>
      </c>
      <c r="CQ119" s="10">
        <f t="shared" si="150"/>
        <v>0</v>
      </c>
      <c r="CR119" s="10">
        <f t="shared" si="150"/>
        <v>0</v>
      </c>
      <c r="CS119" s="10" t="e">
        <f t="shared" si="151"/>
        <v>#DIV/0!</v>
      </c>
      <c r="CT119" s="10" t="e">
        <f t="shared" si="151"/>
        <v>#DIV/0!</v>
      </c>
      <c r="CU119" s="10" t="e">
        <f t="shared" si="151"/>
        <v>#DIV/0!</v>
      </c>
      <c r="CV119" s="10" t="e">
        <f t="shared" si="151"/>
        <v>#DIV/0!</v>
      </c>
      <c r="CW119" s="10">
        <f t="shared" si="152"/>
        <v>0</v>
      </c>
      <c r="CX119" s="10">
        <f t="shared" si="152"/>
        <v>0</v>
      </c>
      <c r="CY119" s="10">
        <f t="shared" si="152"/>
        <v>0</v>
      </c>
      <c r="CZ119" s="10">
        <f t="shared" si="152"/>
        <v>0</v>
      </c>
    </row>
    <row r="120" spans="4:104" x14ac:dyDescent="0.15">
      <c r="D120" s="10">
        <v>105</v>
      </c>
      <c r="E120" s="10" t="e">
        <f t="shared" si="95"/>
        <v>#VALUE!</v>
      </c>
      <c r="F120" s="10" t="e">
        <f t="shared" si="79"/>
        <v>#VALUE!</v>
      </c>
      <c r="G120" s="10" t="e">
        <f t="shared" si="80"/>
        <v>#VALUE!</v>
      </c>
      <c r="H120" s="10" t="e">
        <f t="shared" si="96"/>
        <v>#VALUE!</v>
      </c>
      <c r="I120" s="10" t="e">
        <f t="shared" si="81"/>
        <v>#VALUE!</v>
      </c>
      <c r="J120" s="10" t="e">
        <f t="shared" si="97"/>
        <v>#VALUE!</v>
      </c>
      <c r="K120" s="10" t="e">
        <f t="shared" si="82"/>
        <v>#VALUE!</v>
      </c>
      <c r="L120" s="10" t="e">
        <f t="shared" si="83"/>
        <v>#VALUE!</v>
      </c>
      <c r="M120" s="10" t="e">
        <f t="shared" si="98"/>
        <v>#VALUE!</v>
      </c>
      <c r="O120" s="10" t="e">
        <f t="shared" si="99"/>
        <v>#VALUE!</v>
      </c>
      <c r="P120" s="10" t="e">
        <f t="shared" si="84"/>
        <v>#VALUE!</v>
      </c>
      <c r="Q120" s="10" t="e">
        <f t="shared" si="85"/>
        <v>#VALUE!</v>
      </c>
      <c r="R120" s="10" t="e">
        <f t="shared" si="100"/>
        <v>#VALUE!</v>
      </c>
      <c r="S120" s="10" t="e">
        <f t="shared" si="101"/>
        <v>#VALUE!</v>
      </c>
      <c r="T120" s="10" t="e">
        <f t="shared" si="136"/>
        <v>#VALUE!</v>
      </c>
      <c r="U120" s="10" t="e">
        <f t="shared" si="137"/>
        <v>#VALUE!</v>
      </c>
      <c r="V120" s="10" t="e">
        <f t="shared" si="86"/>
        <v>#VALUE!</v>
      </c>
      <c r="W120" s="10" t="e">
        <f t="shared" si="102"/>
        <v>#VALUE!</v>
      </c>
      <c r="Y120" s="10" t="e">
        <f t="shared" si="103"/>
        <v>#VALUE!</v>
      </c>
      <c r="Z120" s="11" t="e">
        <f t="shared" si="104"/>
        <v>#VALUE!</v>
      </c>
      <c r="AA120" s="10" t="e">
        <f t="shared" si="87"/>
        <v>#VALUE!</v>
      </c>
      <c r="AB120" s="10" t="e">
        <f t="shared" si="105"/>
        <v>#VALUE!</v>
      </c>
      <c r="AC120" s="10" t="e">
        <f t="shared" si="106"/>
        <v>#VALUE!</v>
      </c>
      <c r="AD120" s="10" t="e">
        <f t="shared" si="138"/>
        <v>#VALUE!</v>
      </c>
      <c r="AE120" s="10" t="e">
        <f t="shared" si="139"/>
        <v>#VALUE!</v>
      </c>
      <c r="AF120" s="10" t="e">
        <f t="shared" si="88"/>
        <v>#VALUE!</v>
      </c>
      <c r="AG120" s="10" t="e">
        <f t="shared" si="107"/>
        <v>#VALUE!</v>
      </c>
      <c r="AI120" s="13"/>
      <c r="AK120" s="10" t="e">
        <f t="shared" si="108"/>
        <v>#VALUE!</v>
      </c>
      <c r="AL120" s="10" t="e">
        <f t="shared" si="140"/>
        <v>#VALUE!</v>
      </c>
      <c r="AM120" s="10" t="e">
        <f t="shared" si="89"/>
        <v>#VALUE!</v>
      </c>
      <c r="AN120" s="10" t="e">
        <f t="shared" si="109"/>
        <v>#VALUE!</v>
      </c>
      <c r="AO120" s="10" t="e">
        <f t="shared" si="110"/>
        <v>#VALUE!</v>
      </c>
      <c r="AP120" s="10" t="e">
        <f t="shared" si="111"/>
        <v>#VALUE!</v>
      </c>
      <c r="AQ120" s="10" t="e">
        <f t="shared" si="141"/>
        <v>#VALUE!</v>
      </c>
      <c r="AR120" s="10" t="e">
        <f t="shared" si="90"/>
        <v>#VALUE!</v>
      </c>
      <c r="AS120" s="10" t="e">
        <f t="shared" si="142"/>
        <v>#VALUE!</v>
      </c>
      <c r="AU120" s="10" t="e">
        <f t="shared" si="112"/>
        <v>#VALUE!</v>
      </c>
      <c r="AV120" s="10" t="e">
        <f t="shared" si="143"/>
        <v>#VALUE!</v>
      </c>
      <c r="AW120" s="10" t="e">
        <f t="shared" si="91"/>
        <v>#VALUE!</v>
      </c>
      <c r="AX120" s="10" t="e">
        <f t="shared" si="113"/>
        <v>#VALUE!</v>
      </c>
      <c r="AY120" s="10" t="e">
        <f t="shared" si="114"/>
        <v>#VALUE!</v>
      </c>
      <c r="AZ120" s="10" t="e">
        <f t="shared" si="115"/>
        <v>#VALUE!</v>
      </c>
      <c r="BA120" s="10" t="e">
        <f t="shared" si="144"/>
        <v>#VALUE!</v>
      </c>
      <c r="BB120" s="10" t="e">
        <f t="shared" si="92"/>
        <v>#VALUE!</v>
      </c>
      <c r="BC120" s="10" t="e">
        <f t="shared" si="145"/>
        <v>#VALUE!</v>
      </c>
      <c r="BE120" s="10" t="e">
        <f t="shared" si="116"/>
        <v>#VALUE!</v>
      </c>
      <c r="BF120" s="10" t="e">
        <f t="shared" si="146"/>
        <v>#VALUE!</v>
      </c>
      <c r="BG120" s="10" t="e">
        <f t="shared" si="93"/>
        <v>#VALUE!</v>
      </c>
      <c r="BH120" s="10" t="e">
        <f t="shared" si="117"/>
        <v>#VALUE!</v>
      </c>
      <c r="BI120" s="10" t="e">
        <f t="shared" si="118"/>
        <v>#VALUE!</v>
      </c>
      <c r="BJ120" s="10" t="e">
        <f t="shared" si="119"/>
        <v>#VALUE!</v>
      </c>
      <c r="BK120" s="10" t="e">
        <f t="shared" si="147"/>
        <v>#VALUE!</v>
      </c>
      <c r="BL120" s="10" t="e">
        <f t="shared" si="94"/>
        <v>#VALUE!</v>
      </c>
      <c r="BM120" s="10" t="e">
        <f t="shared" si="148"/>
        <v>#VALUE!</v>
      </c>
      <c r="BP120" s="10" t="e">
        <f t="shared" si="120"/>
        <v>#VALUE!</v>
      </c>
      <c r="BQ120" s="10" t="e">
        <f t="shared" si="121"/>
        <v>#VALUE!</v>
      </c>
      <c r="BR120" s="10" t="e">
        <f t="shared" si="122"/>
        <v>#VALUE!</v>
      </c>
      <c r="BS120" s="10" t="e">
        <f t="shared" si="123"/>
        <v>#VALUE!</v>
      </c>
      <c r="BT120" s="10" t="e">
        <f t="shared" si="124"/>
        <v>#VALUE!</v>
      </c>
      <c r="BU120" s="10" t="e">
        <f t="shared" si="125"/>
        <v>#VALUE!</v>
      </c>
      <c r="BW120" s="10" t="e">
        <f t="shared" si="126"/>
        <v>#VALUE!</v>
      </c>
      <c r="BX120" s="10" t="e">
        <f t="shared" si="127"/>
        <v>#VALUE!</v>
      </c>
      <c r="BY120" s="10" t="e">
        <f t="shared" si="128"/>
        <v>#VALUE!</v>
      </c>
      <c r="BZ120" s="10" t="e">
        <f t="shared" si="129"/>
        <v>#VALUE!</v>
      </c>
      <c r="CA120" s="10" t="e">
        <f t="shared" si="130"/>
        <v>#VALUE!</v>
      </c>
      <c r="CB120" s="10" t="e">
        <f t="shared" si="131"/>
        <v>#VALUE!</v>
      </c>
      <c r="CD120" s="10" t="e">
        <f>MATCH(INDEX($BP$12:$BU$12,1,MATCH(BP120,$BP$15:$BU$15,0)),结果汇总!$AI$10:$AI$13,0)</f>
        <v>#VALUE!</v>
      </c>
      <c r="CE120" s="10" t="e">
        <f>MATCH(INDEX($BP$12:$BU$12,1,MATCH(BQ120,$BP$15:$BU$15,0)),结果汇总!$AI$10:$AI$13,0)</f>
        <v>#VALUE!</v>
      </c>
      <c r="CF120" s="10" t="e">
        <f>MATCH(INDEX($BP$12:$BU$12,1,MATCH(BR120,$BP$15:$BU$15,0)),结果汇总!$AI$10:$AI$13,0)</f>
        <v>#VALUE!</v>
      </c>
      <c r="CG120" s="10" t="e">
        <f>MATCH(INDEX($BP$12:$BU$12,1,MATCH(BS120,$BP$15:$BU$15,0)),结果汇总!$AI$10:$AI$13,0)</f>
        <v>#VALUE!</v>
      </c>
      <c r="CH120" s="10" t="e">
        <f>MATCH(INDEX($BP$12:$BU$12,1,MATCH(BT120,$BP$15:$BU$15,0)),结果汇总!$AI$10:$AI$13,0)</f>
        <v>#VALUE!</v>
      </c>
      <c r="CI120" s="10" t="e">
        <f>MATCH(INDEX($BP$12:$BU$12,1,MATCH(BU120,$BP$15:$BU$15,0)),结果汇总!$AI$10:$AI$13,0)</f>
        <v>#VALUE!</v>
      </c>
      <c r="CK120" s="10">
        <f t="shared" si="149"/>
        <v>0</v>
      </c>
      <c r="CL120" s="10">
        <f t="shared" si="149"/>
        <v>0</v>
      </c>
      <c r="CM120" s="10">
        <f t="shared" si="149"/>
        <v>0</v>
      </c>
      <c r="CN120" s="10">
        <f t="shared" si="149"/>
        <v>0</v>
      </c>
      <c r="CO120" s="10">
        <f t="shared" si="150"/>
        <v>0</v>
      </c>
      <c r="CP120" s="10">
        <f t="shared" si="150"/>
        <v>0</v>
      </c>
      <c r="CQ120" s="10">
        <f t="shared" si="150"/>
        <v>0</v>
      </c>
      <c r="CR120" s="10">
        <f t="shared" si="150"/>
        <v>0</v>
      </c>
      <c r="CS120" s="10" t="e">
        <f t="shared" si="151"/>
        <v>#DIV/0!</v>
      </c>
      <c r="CT120" s="10" t="e">
        <f t="shared" si="151"/>
        <v>#DIV/0!</v>
      </c>
      <c r="CU120" s="10" t="e">
        <f t="shared" si="151"/>
        <v>#DIV/0!</v>
      </c>
      <c r="CV120" s="10" t="e">
        <f t="shared" si="151"/>
        <v>#DIV/0!</v>
      </c>
      <c r="CW120" s="10">
        <f t="shared" si="152"/>
        <v>0</v>
      </c>
      <c r="CX120" s="10">
        <f t="shared" si="152"/>
        <v>0</v>
      </c>
      <c r="CY120" s="10">
        <f t="shared" si="152"/>
        <v>0</v>
      </c>
      <c r="CZ120" s="10">
        <f t="shared" si="152"/>
        <v>0</v>
      </c>
    </row>
    <row r="121" spans="4:104" x14ac:dyDescent="0.15">
      <c r="D121" s="10">
        <v>106</v>
      </c>
      <c r="E121" s="10" t="e">
        <f t="shared" si="95"/>
        <v>#VALUE!</v>
      </c>
      <c r="F121" s="10" t="e">
        <f t="shared" si="79"/>
        <v>#VALUE!</v>
      </c>
      <c r="G121" s="10" t="e">
        <f t="shared" si="80"/>
        <v>#VALUE!</v>
      </c>
      <c r="H121" s="10" t="e">
        <f t="shared" si="96"/>
        <v>#VALUE!</v>
      </c>
      <c r="I121" s="10" t="e">
        <f t="shared" si="81"/>
        <v>#VALUE!</v>
      </c>
      <c r="J121" s="10" t="e">
        <f t="shared" si="97"/>
        <v>#VALUE!</v>
      </c>
      <c r="K121" s="10" t="e">
        <f t="shared" si="82"/>
        <v>#VALUE!</v>
      </c>
      <c r="L121" s="10" t="e">
        <f t="shared" si="83"/>
        <v>#VALUE!</v>
      </c>
      <c r="M121" s="10" t="e">
        <f t="shared" si="98"/>
        <v>#VALUE!</v>
      </c>
      <c r="O121" s="10" t="e">
        <f t="shared" si="99"/>
        <v>#VALUE!</v>
      </c>
      <c r="P121" s="10" t="e">
        <f t="shared" si="84"/>
        <v>#VALUE!</v>
      </c>
      <c r="Q121" s="10" t="e">
        <f t="shared" si="85"/>
        <v>#VALUE!</v>
      </c>
      <c r="R121" s="10" t="e">
        <f t="shared" si="100"/>
        <v>#VALUE!</v>
      </c>
      <c r="S121" s="10" t="e">
        <f t="shared" si="101"/>
        <v>#VALUE!</v>
      </c>
      <c r="T121" s="10" t="e">
        <f t="shared" si="136"/>
        <v>#VALUE!</v>
      </c>
      <c r="U121" s="10" t="e">
        <f t="shared" si="137"/>
        <v>#VALUE!</v>
      </c>
      <c r="V121" s="10" t="e">
        <f t="shared" si="86"/>
        <v>#VALUE!</v>
      </c>
      <c r="W121" s="10" t="e">
        <f t="shared" si="102"/>
        <v>#VALUE!</v>
      </c>
      <c r="Y121" s="10" t="e">
        <f t="shared" si="103"/>
        <v>#VALUE!</v>
      </c>
      <c r="Z121" s="11" t="e">
        <f t="shared" si="104"/>
        <v>#VALUE!</v>
      </c>
      <c r="AA121" s="10" t="e">
        <f t="shared" si="87"/>
        <v>#VALUE!</v>
      </c>
      <c r="AB121" s="10" t="e">
        <f t="shared" si="105"/>
        <v>#VALUE!</v>
      </c>
      <c r="AC121" s="10" t="e">
        <f t="shared" si="106"/>
        <v>#VALUE!</v>
      </c>
      <c r="AD121" s="10" t="e">
        <f t="shared" si="138"/>
        <v>#VALUE!</v>
      </c>
      <c r="AE121" s="10" t="e">
        <f t="shared" si="139"/>
        <v>#VALUE!</v>
      </c>
      <c r="AF121" s="10" t="e">
        <f t="shared" si="88"/>
        <v>#VALUE!</v>
      </c>
      <c r="AG121" s="10" t="e">
        <f t="shared" si="107"/>
        <v>#VALUE!</v>
      </c>
      <c r="AI121" s="13"/>
      <c r="AK121" s="10" t="e">
        <f t="shared" si="108"/>
        <v>#VALUE!</v>
      </c>
      <c r="AL121" s="10" t="e">
        <f t="shared" si="140"/>
        <v>#VALUE!</v>
      </c>
      <c r="AM121" s="10" t="e">
        <f t="shared" si="89"/>
        <v>#VALUE!</v>
      </c>
      <c r="AN121" s="10" t="e">
        <f t="shared" si="109"/>
        <v>#VALUE!</v>
      </c>
      <c r="AO121" s="10" t="e">
        <f t="shared" si="110"/>
        <v>#VALUE!</v>
      </c>
      <c r="AP121" s="10" t="e">
        <f t="shared" si="111"/>
        <v>#VALUE!</v>
      </c>
      <c r="AQ121" s="10" t="e">
        <f t="shared" si="141"/>
        <v>#VALUE!</v>
      </c>
      <c r="AR121" s="10" t="e">
        <f t="shared" si="90"/>
        <v>#VALUE!</v>
      </c>
      <c r="AS121" s="10" t="e">
        <f t="shared" si="142"/>
        <v>#VALUE!</v>
      </c>
      <c r="AU121" s="10" t="e">
        <f t="shared" si="112"/>
        <v>#VALUE!</v>
      </c>
      <c r="AV121" s="10" t="e">
        <f t="shared" si="143"/>
        <v>#VALUE!</v>
      </c>
      <c r="AW121" s="10" t="e">
        <f t="shared" si="91"/>
        <v>#VALUE!</v>
      </c>
      <c r="AX121" s="10" t="e">
        <f t="shared" si="113"/>
        <v>#VALUE!</v>
      </c>
      <c r="AY121" s="10" t="e">
        <f t="shared" si="114"/>
        <v>#VALUE!</v>
      </c>
      <c r="AZ121" s="10" t="e">
        <f t="shared" si="115"/>
        <v>#VALUE!</v>
      </c>
      <c r="BA121" s="10" t="e">
        <f t="shared" si="144"/>
        <v>#VALUE!</v>
      </c>
      <c r="BB121" s="10" t="e">
        <f t="shared" si="92"/>
        <v>#VALUE!</v>
      </c>
      <c r="BC121" s="10" t="e">
        <f t="shared" si="145"/>
        <v>#VALUE!</v>
      </c>
      <c r="BE121" s="10" t="e">
        <f t="shared" si="116"/>
        <v>#VALUE!</v>
      </c>
      <c r="BF121" s="10" t="e">
        <f t="shared" si="146"/>
        <v>#VALUE!</v>
      </c>
      <c r="BG121" s="10" t="e">
        <f t="shared" si="93"/>
        <v>#VALUE!</v>
      </c>
      <c r="BH121" s="10" t="e">
        <f t="shared" si="117"/>
        <v>#VALUE!</v>
      </c>
      <c r="BI121" s="10" t="e">
        <f t="shared" si="118"/>
        <v>#VALUE!</v>
      </c>
      <c r="BJ121" s="10" t="e">
        <f t="shared" si="119"/>
        <v>#VALUE!</v>
      </c>
      <c r="BK121" s="10" t="e">
        <f t="shared" si="147"/>
        <v>#VALUE!</v>
      </c>
      <c r="BL121" s="10" t="e">
        <f t="shared" si="94"/>
        <v>#VALUE!</v>
      </c>
      <c r="BM121" s="10" t="e">
        <f t="shared" si="148"/>
        <v>#VALUE!</v>
      </c>
      <c r="BP121" s="10" t="e">
        <f t="shared" si="120"/>
        <v>#VALUE!</v>
      </c>
      <c r="BQ121" s="10" t="e">
        <f t="shared" si="121"/>
        <v>#VALUE!</v>
      </c>
      <c r="BR121" s="10" t="e">
        <f t="shared" si="122"/>
        <v>#VALUE!</v>
      </c>
      <c r="BS121" s="10" t="e">
        <f t="shared" si="123"/>
        <v>#VALUE!</v>
      </c>
      <c r="BT121" s="10" t="e">
        <f t="shared" si="124"/>
        <v>#VALUE!</v>
      </c>
      <c r="BU121" s="10" t="e">
        <f t="shared" si="125"/>
        <v>#VALUE!</v>
      </c>
      <c r="BW121" s="10" t="e">
        <f t="shared" si="126"/>
        <v>#VALUE!</v>
      </c>
      <c r="BX121" s="10" t="e">
        <f t="shared" si="127"/>
        <v>#VALUE!</v>
      </c>
      <c r="BY121" s="10" t="e">
        <f t="shared" si="128"/>
        <v>#VALUE!</v>
      </c>
      <c r="BZ121" s="10" t="e">
        <f t="shared" si="129"/>
        <v>#VALUE!</v>
      </c>
      <c r="CA121" s="10" t="e">
        <f t="shared" si="130"/>
        <v>#VALUE!</v>
      </c>
      <c r="CB121" s="10" t="e">
        <f t="shared" si="131"/>
        <v>#VALUE!</v>
      </c>
      <c r="CD121" s="10" t="e">
        <f>MATCH(INDEX($BP$12:$BU$12,1,MATCH(BP121,$BP$15:$BU$15,0)),结果汇总!$AI$10:$AI$13,0)</f>
        <v>#VALUE!</v>
      </c>
      <c r="CE121" s="10" t="e">
        <f>MATCH(INDEX($BP$12:$BU$12,1,MATCH(BQ121,$BP$15:$BU$15,0)),结果汇总!$AI$10:$AI$13,0)</f>
        <v>#VALUE!</v>
      </c>
      <c r="CF121" s="10" t="e">
        <f>MATCH(INDEX($BP$12:$BU$12,1,MATCH(BR121,$BP$15:$BU$15,0)),结果汇总!$AI$10:$AI$13,0)</f>
        <v>#VALUE!</v>
      </c>
      <c r="CG121" s="10" t="e">
        <f>MATCH(INDEX($BP$12:$BU$12,1,MATCH(BS121,$BP$15:$BU$15,0)),结果汇总!$AI$10:$AI$13,0)</f>
        <v>#VALUE!</v>
      </c>
      <c r="CH121" s="10" t="e">
        <f>MATCH(INDEX($BP$12:$BU$12,1,MATCH(BT121,$BP$15:$BU$15,0)),结果汇总!$AI$10:$AI$13,0)</f>
        <v>#VALUE!</v>
      </c>
      <c r="CI121" s="10" t="e">
        <f>MATCH(INDEX($BP$12:$BU$12,1,MATCH(BU121,$BP$15:$BU$15,0)),结果汇总!$AI$10:$AI$13,0)</f>
        <v>#VALUE!</v>
      </c>
      <c r="CK121" s="10">
        <f t="shared" si="149"/>
        <v>0</v>
      </c>
      <c r="CL121" s="10">
        <f t="shared" si="149"/>
        <v>0</v>
      </c>
      <c r="CM121" s="10">
        <f t="shared" si="149"/>
        <v>0</v>
      </c>
      <c r="CN121" s="10">
        <f t="shared" si="149"/>
        <v>0</v>
      </c>
      <c r="CO121" s="10">
        <f t="shared" si="150"/>
        <v>0</v>
      </c>
      <c r="CP121" s="10">
        <f t="shared" si="150"/>
        <v>0</v>
      </c>
      <c r="CQ121" s="10">
        <f t="shared" si="150"/>
        <v>0</v>
      </c>
      <c r="CR121" s="10">
        <f t="shared" si="150"/>
        <v>0</v>
      </c>
      <c r="CS121" s="10" t="e">
        <f t="shared" si="151"/>
        <v>#DIV/0!</v>
      </c>
      <c r="CT121" s="10" t="e">
        <f t="shared" si="151"/>
        <v>#DIV/0!</v>
      </c>
      <c r="CU121" s="10" t="e">
        <f t="shared" si="151"/>
        <v>#DIV/0!</v>
      </c>
      <c r="CV121" s="10" t="e">
        <f t="shared" si="151"/>
        <v>#DIV/0!</v>
      </c>
      <c r="CW121" s="10">
        <f t="shared" si="152"/>
        <v>0</v>
      </c>
      <c r="CX121" s="10">
        <f t="shared" si="152"/>
        <v>0</v>
      </c>
      <c r="CY121" s="10">
        <f t="shared" si="152"/>
        <v>0</v>
      </c>
      <c r="CZ121" s="10">
        <f t="shared" si="152"/>
        <v>0</v>
      </c>
    </row>
    <row r="122" spans="4:104" x14ac:dyDescent="0.15">
      <c r="D122" s="10">
        <v>107</v>
      </c>
      <c r="E122" s="10" t="e">
        <f t="shared" si="95"/>
        <v>#VALUE!</v>
      </c>
      <c r="F122" s="10" t="e">
        <f t="shared" si="79"/>
        <v>#VALUE!</v>
      </c>
      <c r="G122" s="10" t="e">
        <f t="shared" si="80"/>
        <v>#VALUE!</v>
      </c>
      <c r="H122" s="10" t="e">
        <f t="shared" si="96"/>
        <v>#VALUE!</v>
      </c>
      <c r="I122" s="10" t="e">
        <f t="shared" si="81"/>
        <v>#VALUE!</v>
      </c>
      <c r="J122" s="10" t="e">
        <f t="shared" si="97"/>
        <v>#VALUE!</v>
      </c>
      <c r="K122" s="10" t="e">
        <f t="shared" si="82"/>
        <v>#VALUE!</v>
      </c>
      <c r="L122" s="10" t="e">
        <f t="shared" si="83"/>
        <v>#VALUE!</v>
      </c>
      <c r="M122" s="10" t="e">
        <f t="shared" si="98"/>
        <v>#VALUE!</v>
      </c>
      <c r="O122" s="10" t="e">
        <f t="shared" si="99"/>
        <v>#VALUE!</v>
      </c>
      <c r="P122" s="10" t="e">
        <f t="shared" si="84"/>
        <v>#VALUE!</v>
      </c>
      <c r="Q122" s="10" t="e">
        <f t="shared" si="85"/>
        <v>#VALUE!</v>
      </c>
      <c r="R122" s="10" t="e">
        <f t="shared" si="100"/>
        <v>#VALUE!</v>
      </c>
      <c r="S122" s="10" t="e">
        <f t="shared" si="101"/>
        <v>#VALUE!</v>
      </c>
      <c r="T122" s="10" t="e">
        <f t="shared" si="136"/>
        <v>#VALUE!</v>
      </c>
      <c r="U122" s="10" t="e">
        <f t="shared" si="137"/>
        <v>#VALUE!</v>
      </c>
      <c r="V122" s="10" t="e">
        <f t="shared" si="86"/>
        <v>#VALUE!</v>
      </c>
      <c r="W122" s="10" t="e">
        <f t="shared" si="102"/>
        <v>#VALUE!</v>
      </c>
      <c r="Y122" s="10" t="e">
        <f t="shared" si="103"/>
        <v>#VALUE!</v>
      </c>
      <c r="Z122" s="11" t="e">
        <f t="shared" si="104"/>
        <v>#VALUE!</v>
      </c>
      <c r="AA122" s="10" t="e">
        <f t="shared" si="87"/>
        <v>#VALUE!</v>
      </c>
      <c r="AB122" s="10" t="e">
        <f t="shared" si="105"/>
        <v>#VALUE!</v>
      </c>
      <c r="AC122" s="10" t="e">
        <f t="shared" si="106"/>
        <v>#VALUE!</v>
      </c>
      <c r="AD122" s="10" t="e">
        <f t="shared" si="138"/>
        <v>#VALUE!</v>
      </c>
      <c r="AE122" s="10" t="e">
        <f t="shared" si="139"/>
        <v>#VALUE!</v>
      </c>
      <c r="AF122" s="10" t="e">
        <f t="shared" si="88"/>
        <v>#VALUE!</v>
      </c>
      <c r="AG122" s="10" t="e">
        <f t="shared" si="107"/>
        <v>#VALUE!</v>
      </c>
      <c r="AI122" s="13"/>
      <c r="AK122" s="10" t="e">
        <f t="shared" si="108"/>
        <v>#VALUE!</v>
      </c>
      <c r="AL122" s="10" t="e">
        <f t="shared" si="140"/>
        <v>#VALUE!</v>
      </c>
      <c r="AM122" s="10" t="e">
        <f t="shared" si="89"/>
        <v>#VALUE!</v>
      </c>
      <c r="AN122" s="10" t="e">
        <f t="shared" si="109"/>
        <v>#VALUE!</v>
      </c>
      <c r="AO122" s="10" t="e">
        <f t="shared" si="110"/>
        <v>#VALUE!</v>
      </c>
      <c r="AP122" s="10" t="e">
        <f t="shared" si="111"/>
        <v>#VALUE!</v>
      </c>
      <c r="AQ122" s="10" t="e">
        <f t="shared" si="141"/>
        <v>#VALUE!</v>
      </c>
      <c r="AR122" s="10" t="e">
        <f t="shared" si="90"/>
        <v>#VALUE!</v>
      </c>
      <c r="AS122" s="10" t="e">
        <f t="shared" si="142"/>
        <v>#VALUE!</v>
      </c>
      <c r="AU122" s="10" t="e">
        <f t="shared" si="112"/>
        <v>#VALUE!</v>
      </c>
      <c r="AV122" s="10" t="e">
        <f t="shared" si="143"/>
        <v>#VALUE!</v>
      </c>
      <c r="AW122" s="10" t="e">
        <f t="shared" si="91"/>
        <v>#VALUE!</v>
      </c>
      <c r="AX122" s="10" t="e">
        <f t="shared" si="113"/>
        <v>#VALUE!</v>
      </c>
      <c r="AY122" s="10" t="e">
        <f t="shared" si="114"/>
        <v>#VALUE!</v>
      </c>
      <c r="AZ122" s="10" t="e">
        <f t="shared" si="115"/>
        <v>#VALUE!</v>
      </c>
      <c r="BA122" s="10" t="e">
        <f t="shared" si="144"/>
        <v>#VALUE!</v>
      </c>
      <c r="BB122" s="10" t="e">
        <f t="shared" si="92"/>
        <v>#VALUE!</v>
      </c>
      <c r="BC122" s="10" t="e">
        <f t="shared" si="145"/>
        <v>#VALUE!</v>
      </c>
      <c r="BE122" s="10" t="e">
        <f t="shared" si="116"/>
        <v>#VALUE!</v>
      </c>
      <c r="BF122" s="10" t="e">
        <f t="shared" si="146"/>
        <v>#VALUE!</v>
      </c>
      <c r="BG122" s="10" t="e">
        <f t="shared" si="93"/>
        <v>#VALUE!</v>
      </c>
      <c r="BH122" s="10" t="e">
        <f t="shared" si="117"/>
        <v>#VALUE!</v>
      </c>
      <c r="BI122" s="10" t="e">
        <f t="shared" si="118"/>
        <v>#VALUE!</v>
      </c>
      <c r="BJ122" s="10" t="e">
        <f t="shared" si="119"/>
        <v>#VALUE!</v>
      </c>
      <c r="BK122" s="10" t="e">
        <f t="shared" si="147"/>
        <v>#VALUE!</v>
      </c>
      <c r="BL122" s="10" t="e">
        <f t="shared" si="94"/>
        <v>#VALUE!</v>
      </c>
      <c r="BM122" s="10" t="e">
        <f t="shared" si="148"/>
        <v>#VALUE!</v>
      </c>
      <c r="BP122" s="10" t="e">
        <f t="shared" si="120"/>
        <v>#VALUE!</v>
      </c>
      <c r="BQ122" s="10" t="e">
        <f t="shared" si="121"/>
        <v>#VALUE!</v>
      </c>
      <c r="BR122" s="10" t="e">
        <f t="shared" si="122"/>
        <v>#VALUE!</v>
      </c>
      <c r="BS122" s="10" t="e">
        <f t="shared" si="123"/>
        <v>#VALUE!</v>
      </c>
      <c r="BT122" s="10" t="e">
        <f t="shared" si="124"/>
        <v>#VALUE!</v>
      </c>
      <c r="BU122" s="10" t="e">
        <f t="shared" si="125"/>
        <v>#VALUE!</v>
      </c>
      <c r="BW122" s="10" t="e">
        <f t="shared" si="126"/>
        <v>#VALUE!</v>
      </c>
      <c r="BX122" s="10" t="e">
        <f t="shared" si="127"/>
        <v>#VALUE!</v>
      </c>
      <c r="BY122" s="10" t="e">
        <f t="shared" si="128"/>
        <v>#VALUE!</v>
      </c>
      <c r="BZ122" s="10" t="e">
        <f t="shared" si="129"/>
        <v>#VALUE!</v>
      </c>
      <c r="CA122" s="10" t="e">
        <f t="shared" si="130"/>
        <v>#VALUE!</v>
      </c>
      <c r="CB122" s="10" t="e">
        <f t="shared" si="131"/>
        <v>#VALUE!</v>
      </c>
      <c r="CD122" s="10" t="e">
        <f>MATCH(INDEX($BP$12:$BU$12,1,MATCH(BP122,$BP$15:$BU$15,0)),结果汇总!$AI$10:$AI$13,0)</f>
        <v>#VALUE!</v>
      </c>
      <c r="CE122" s="10" t="e">
        <f>MATCH(INDEX($BP$12:$BU$12,1,MATCH(BQ122,$BP$15:$BU$15,0)),结果汇总!$AI$10:$AI$13,0)</f>
        <v>#VALUE!</v>
      </c>
      <c r="CF122" s="10" t="e">
        <f>MATCH(INDEX($BP$12:$BU$12,1,MATCH(BR122,$BP$15:$BU$15,0)),结果汇总!$AI$10:$AI$13,0)</f>
        <v>#VALUE!</v>
      </c>
      <c r="CG122" s="10" t="e">
        <f>MATCH(INDEX($BP$12:$BU$12,1,MATCH(BS122,$BP$15:$BU$15,0)),结果汇总!$AI$10:$AI$13,0)</f>
        <v>#VALUE!</v>
      </c>
      <c r="CH122" s="10" t="e">
        <f>MATCH(INDEX($BP$12:$BU$12,1,MATCH(BT122,$BP$15:$BU$15,0)),结果汇总!$AI$10:$AI$13,0)</f>
        <v>#VALUE!</v>
      </c>
      <c r="CI122" s="10" t="e">
        <f>MATCH(INDEX($BP$12:$BU$12,1,MATCH(BU122,$BP$15:$BU$15,0)),结果汇总!$AI$10:$AI$13,0)</f>
        <v>#VALUE!</v>
      </c>
      <c r="CK122" s="10">
        <f t="shared" si="149"/>
        <v>0</v>
      </c>
      <c r="CL122" s="10">
        <f t="shared" si="149"/>
        <v>0</v>
      </c>
      <c r="CM122" s="10">
        <f t="shared" si="149"/>
        <v>0</v>
      </c>
      <c r="CN122" s="10">
        <f t="shared" si="149"/>
        <v>0</v>
      </c>
      <c r="CO122" s="10">
        <f t="shared" si="150"/>
        <v>0</v>
      </c>
      <c r="CP122" s="10">
        <f t="shared" si="150"/>
        <v>0</v>
      </c>
      <c r="CQ122" s="10">
        <f t="shared" si="150"/>
        <v>0</v>
      </c>
      <c r="CR122" s="10">
        <f t="shared" si="150"/>
        <v>0</v>
      </c>
      <c r="CS122" s="10" t="e">
        <f t="shared" si="151"/>
        <v>#DIV/0!</v>
      </c>
      <c r="CT122" s="10" t="e">
        <f t="shared" si="151"/>
        <v>#DIV/0!</v>
      </c>
      <c r="CU122" s="10" t="e">
        <f t="shared" si="151"/>
        <v>#DIV/0!</v>
      </c>
      <c r="CV122" s="10" t="e">
        <f t="shared" si="151"/>
        <v>#DIV/0!</v>
      </c>
      <c r="CW122" s="10">
        <f t="shared" si="152"/>
        <v>0</v>
      </c>
      <c r="CX122" s="10">
        <f t="shared" si="152"/>
        <v>0</v>
      </c>
      <c r="CY122" s="10">
        <f t="shared" si="152"/>
        <v>0</v>
      </c>
      <c r="CZ122" s="10">
        <f t="shared" si="152"/>
        <v>0</v>
      </c>
    </row>
    <row r="123" spans="4:104" x14ac:dyDescent="0.15">
      <c r="D123" s="10">
        <v>108</v>
      </c>
      <c r="E123" s="10" t="e">
        <f t="shared" si="95"/>
        <v>#VALUE!</v>
      </c>
      <c r="F123" s="10" t="e">
        <f t="shared" si="79"/>
        <v>#VALUE!</v>
      </c>
      <c r="G123" s="10" t="e">
        <f t="shared" si="80"/>
        <v>#VALUE!</v>
      </c>
      <c r="H123" s="10" t="e">
        <f t="shared" si="96"/>
        <v>#VALUE!</v>
      </c>
      <c r="I123" s="10" t="e">
        <f t="shared" si="81"/>
        <v>#VALUE!</v>
      </c>
      <c r="J123" s="10" t="e">
        <f t="shared" si="97"/>
        <v>#VALUE!</v>
      </c>
      <c r="K123" s="10" t="e">
        <f t="shared" si="82"/>
        <v>#VALUE!</v>
      </c>
      <c r="L123" s="10" t="e">
        <f t="shared" si="83"/>
        <v>#VALUE!</v>
      </c>
      <c r="M123" s="10" t="e">
        <f t="shared" si="98"/>
        <v>#VALUE!</v>
      </c>
      <c r="O123" s="10" t="e">
        <f t="shared" si="99"/>
        <v>#VALUE!</v>
      </c>
      <c r="P123" s="10" t="e">
        <f t="shared" si="84"/>
        <v>#VALUE!</v>
      </c>
      <c r="Q123" s="10" t="e">
        <f t="shared" si="85"/>
        <v>#VALUE!</v>
      </c>
      <c r="R123" s="10" t="e">
        <f t="shared" si="100"/>
        <v>#VALUE!</v>
      </c>
      <c r="S123" s="10" t="e">
        <f t="shared" si="101"/>
        <v>#VALUE!</v>
      </c>
      <c r="T123" s="10" t="e">
        <f t="shared" si="136"/>
        <v>#VALUE!</v>
      </c>
      <c r="U123" s="10" t="e">
        <f t="shared" si="137"/>
        <v>#VALUE!</v>
      </c>
      <c r="V123" s="10" t="e">
        <f t="shared" si="86"/>
        <v>#VALUE!</v>
      </c>
      <c r="W123" s="10" t="e">
        <f t="shared" si="102"/>
        <v>#VALUE!</v>
      </c>
      <c r="Y123" s="10" t="e">
        <f t="shared" si="103"/>
        <v>#VALUE!</v>
      </c>
      <c r="Z123" s="11" t="e">
        <f t="shared" si="104"/>
        <v>#VALUE!</v>
      </c>
      <c r="AA123" s="10" t="e">
        <f t="shared" si="87"/>
        <v>#VALUE!</v>
      </c>
      <c r="AB123" s="10" t="e">
        <f t="shared" si="105"/>
        <v>#VALUE!</v>
      </c>
      <c r="AC123" s="10" t="e">
        <f t="shared" si="106"/>
        <v>#VALUE!</v>
      </c>
      <c r="AD123" s="10" t="e">
        <f t="shared" si="138"/>
        <v>#VALUE!</v>
      </c>
      <c r="AE123" s="10" t="e">
        <f t="shared" si="139"/>
        <v>#VALUE!</v>
      </c>
      <c r="AF123" s="10" t="e">
        <f t="shared" si="88"/>
        <v>#VALUE!</v>
      </c>
      <c r="AG123" s="10" t="e">
        <f t="shared" si="107"/>
        <v>#VALUE!</v>
      </c>
      <c r="AI123" s="13"/>
      <c r="AK123" s="10" t="e">
        <f t="shared" si="108"/>
        <v>#VALUE!</v>
      </c>
      <c r="AL123" s="10" t="e">
        <f t="shared" si="140"/>
        <v>#VALUE!</v>
      </c>
      <c r="AM123" s="10" t="e">
        <f t="shared" si="89"/>
        <v>#VALUE!</v>
      </c>
      <c r="AN123" s="10" t="e">
        <f t="shared" si="109"/>
        <v>#VALUE!</v>
      </c>
      <c r="AO123" s="10" t="e">
        <f t="shared" si="110"/>
        <v>#VALUE!</v>
      </c>
      <c r="AP123" s="10" t="e">
        <f t="shared" si="111"/>
        <v>#VALUE!</v>
      </c>
      <c r="AQ123" s="10" t="e">
        <f t="shared" si="141"/>
        <v>#VALUE!</v>
      </c>
      <c r="AR123" s="10" t="e">
        <f t="shared" si="90"/>
        <v>#VALUE!</v>
      </c>
      <c r="AS123" s="10" t="e">
        <f t="shared" si="142"/>
        <v>#VALUE!</v>
      </c>
      <c r="AU123" s="10" t="e">
        <f t="shared" si="112"/>
        <v>#VALUE!</v>
      </c>
      <c r="AV123" s="10" t="e">
        <f t="shared" si="143"/>
        <v>#VALUE!</v>
      </c>
      <c r="AW123" s="10" t="e">
        <f t="shared" si="91"/>
        <v>#VALUE!</v>
      </c>
      <c r="AX123" s="10" t="e">
        <f t="shared" si="113"/>
        <v>#VALUE!</v>
      </c>
      <c r="AY123" s="10" t="e">
        <f t="shared" si="114"/>
        <v>#VALUE!</v>
      </c>
      <c r="AZ123" s="10" t="e">
        <f t="shared" si="115"/>
        <v>#VALUE!</v>
      </c>
      <c r="BA123" s="10" t="e">
        <f t="shared" si="144"/>
        <v>#VALUE!</v>
      </c>
      <c r="BB123" s="10" t="e">
        <f t="shared" si="92"/>
        <v>#VALUE!</v>
      </c>
      <c r="BC123" s="10" t="e">
        <f t="shared" si="145"/>
        <v>#VALUE!</v>
      </c>
      <c r="BE123" s="10" t="e">
        <f t="shared" si="116"/>
        <v>#VALUE!</v>
      </c>
      <c r="BF123" s="10" t="e">
        <f t="shared" si="146"/>
        <v>#VALUE!</v>
      </c>
      <c r="BG123" s="10" t="e">
        <f t="shared" si="93"/>
        <v>#VALUE!</v>
      </c>
      <c r="BH123" s="10" t="e">
        <f t="shared" si="117"/>
        <v>#VALUE!</v>
      </c>
      <c r="BI123" s="10" t="e">
        <f t="shared" si="118"/>
        <v>#VALUE!</v>
      </c>
      <c r="BJ123" s="10" t="e">
        <f t="shared" si="119"/>
        <v>#VALUE!</v>
      </c>
      <c r="BK123" s="10" t="e">
        <f t="shared" si="147"/>
        <v>#VALUE!</v>
      </c>
      <c r="BL123" s="10" t="e">
        <f t="shared" si="94"/>
        <v>#VALUE!</v>
      </c>
      <c r="BM123" s="10" t="e">
        <f t="shared" si="148"/>
        <v>#VALUE!</v>
      </c>
      <c r="BP123" s="10" t="e">
        <f t="shared" si="120"/>
        <v>#VALUE!</v>
      </c>
      <c r="BQ123" s="10" t="e">
        <f t="shared" si="121"/>
        <v>#VALUE!</v>
      </c>
      <c r="BR123" s="10" t="e">
        <f t="shared" si="122"/>
        <v>#VALUE!</v>
      </c>
      <c r="BS123" s="10" t="e">
        <f t="shared" si="123"/>
        <v>#VALUE!</v>
      </c>
      <c r="BT123" s="10" t="e">
        <f t="shared" si="124"/>
        <v>#VALUE!</v>
      </c>
      <c r="BU123" s="10" t="e">
        <f t="shared" si="125"/>
        <v>#VALUE!</v>
      </c>
      <c r="BW123" s="10" t="e">
        <f t="shared" si="126"/>
        <v>#VALUE!</v>
      </c>
      <c r="BX123" s="10" t="e">
        <f t="shared" si="127"/>
        <v>#VALUE!</v>
      </c>
      <c r="BY123" s="10" t="e">
        <f t="shared" si="128"/>
        <v>#VALUE!</v>
      </c>
      <c r="BZ123" s="10" t="e">
        <f t="shared" si="129"/>
        <v>#VALUE!</v>
      </c>
      <c r="CA123" s="10" t="e">
        <f t="shared" si="130"/>
        <v>#VALUE!</v>
      </c>
      <c r="CB123" s="10" t="e">
        <f t="shared" si="131"/>
        <v>#VALUE!</v>
      </c>
      <c r="CD123" s="10" t="e">
        <f>MATCH(INDEX($BP$12:$BU$12,1,MATCH(BP123,$BP$15:$BU$15,0)),结果汇总!$AI$10:$AI$13,0)</f>
        <v>#VALUE!</v>
      </c>
      <c r="CE123" s="10" t="e">
        <f>MATCH(INDEX($BP$12:$BU$12,1,MATCH(BQ123,$BP$15:$BU$15,0)),结果汇总!$AI$10:$AI$13,0)</f>
        <v>#VALUE!</v>
      </c>
      <c r="CF123" s="10" t="e">
        <f>MATCH(INDEX($BP$12:$BU$12,1,MATCH(BR123,$BP$15:$BU$15,0)),结果汇总!$AI$10:$AI$13,0)</f>
        <v>#VALUE!</v>
      </c>
      <c r="CG123" s="10" t="e">
        <f>MATCH(INDEX($BP$12:$BU$12,1,MATCH(BS123,$BP$15:$BU$15,0)),结果汇总!$AI$10:$AI$13,0)</f>
        <v>#VALUE!</v>
      </c>
      <c r="CH123" s="10" t="e">
        <f>MATCH(INDEX($BP$12:$BU$12,1,MATCH(BT123,$BP$15:$BU$15,0)),结果汇总!$AI$10:$AI$13,0)</f>
        <v>#VALUE!</v>
      </c>
      <c r="CI123" s="10" t="e">
        <f>MATCH(INDEX($BP$12:$BU$12,1,MATCH(BU123,$BP$15:$BU$15,0)),结果汇总!$AI$10:$AI$13,0)</f>
        <v>#VALUE!</v>
      </c>
      <c r="CK123" s="10">
        <f t="shared" si="149"/>
        <v>0</v>
      </c>
      <c r="CL123" s="10">
        <f t="shared" si="149"/>
        <v>0</v>
      </c>
      <c r="CM123" s="10">
        <f t="shared" si="149"/>
        <v>0</v>
      </c>
      <c r="CN123" s="10">
        <f t="shared" si="149"/>
        <v>0</v>
      </c>
      <c r="CO123" s="10">
        <f t="shared" si="150"/>
        <v>0</v>
      </c>
      <c r="CP123" s="10">
        <f t="shared" si="150"/>
        <v>0</v>
      </c>
      <c r="CQ123" s="10">
        <f t="shared" si="150"/>
        <v>0</v>
      </c>
      <c r="CR123" s="10">
        <f t="shared" si="150"/>
        <v>0</v>
      </c>
      <c r="CS123" s="10" t="e">
        <f t="shared" si="151"/>
        <v>#DIV/0!</v>
      </c>
      <c r="CT123" s="10" t="e">
        <f t="shared" si="151"/>
        <v>#DIV/0!</v>
      </c>
      <c r="CU123" s="10" t="e">
        <f t="shared" si="151"/>
        <v>#DIV/0!</v>
      </c>
      <c r="CV123" s="10" t="e">
        <f t="shared" si="151"/>
        <v>#DIV/0!</v>
      </c>
      <c r="CW123" s="10">
        <f t="shared" si="152"/>
        <v>0</v>
      </c>
      <c r="CX123" s="10">
        <f t="shared" si="152"/>
        <v>0</v>
      </c>
      <c r="CY123" s="10">
        <f t="shared" si="152"/>
        <v>0</v>
      </c>
      <c r="CZ123" s="10">
        <f t="shared" si="152"/>
        <v>0</v>
      </c>
    </row>
    <row r="124" spans="4:104" x14ac:dyDescent="0.15">
      <c r="D124" s="10">
        <v>109</v>
      </c>
      <c r="E124" s="10" t="e">
        <f t="shared" si="95"/>
        <v>#VALUE!</v>
      </c>
      <c r="F124" s="10" t="e">
        <f t="shared" si="79"/>
        <v>#VALUE!</v>
      </c>
      <c r="G124" s="10" t="e">
        <f t="shared" si="80"/>
        <v>#VALUE!</v>
      </c>
      <c r="H124" s="10" t="e">
        <f t="shared" si="96"/>
        <v>#VALUE!</v>
      </c>
      <c r="I124" s="10" t="e">
        <f t="shared" si="81"/>
        <v>#VALUE!</v>
      </c>
      <c r="J124" s="10" t="e">
        <f t="shared" si="97"/>
        <v>#VALUE!</v>
      </c>
      <c r="K124" s="10" t="e">
        <f t="shared" si="82"/>
        <v>#VALUE!</v>
      </c>
      <c r="L124" s="10" t="e">
        <f t="shared" si="83"/>
        <v>#VALUE!</v>
      </c>
      <c r="M124" s="10" t="e">
        <f t="shared" si="98"/>
        <v>#VALUE!</v>
      </c>
      <c r="O124" s="10" t="e">
        <f t="shared" si="99"/>
        <v>#VALUE!</v>
      </c>
      <c r="P124" s="10" t="e">
        <f t="shared" si="84"/>
        <v>#VALUE!</v>
      </c>
      <c r="Q124" s="10" t="e">
        <f t="shared" si="85"/>
        <v>#VALUE!</v>
      </c>
      <c r="R124" s="10" t="e">
        <f t="shared" si="100"/>
        <v>#VALUE!</v>
      </c>
      <c r="S124" s="10" t="e">
        <f t="shared" si="101"/>
        <v>#VALUE!</v>
      </c>
      <c r="T124" s="10" t="e">
        <f t="shared" si="136"/>
        <v>#VALUE!</v>
      </c>
      <c r="U124" s="10" t="e">
        <f t="shared" si="137"/>
        <v>#VALUE!</v>
      </c>
      <c r="V124" s="10" t="e">
        <f t="shared" si="86"/>
        <v>#VALUE!</v>
      </c>
      <c r="W124" s="10" t="e">
        <f t="shared" si="102"/>
        <v>#VALUE!</v>
      </c>
      <c r="Y124" s="10" t="e">
        <f t="shared" si="103"/>
        <v>#VALUE!</v>
      </c>
      <c r="Z124" s="11" t="e">
        <f t="shared" si="104"/>
        <v>#VALUE!</v>
      </c>
      <c r="AA124" s="10" t="e">
        <f t="shared" si="87"/>
        <v>#VALUE!</v>
      </c>
      <c r="AB124" s="10" t="e">
        <f t="shared" si="105"/>
        <v>#VALUE!</v>
      </c>
      <c r="AC124" s="10" t="e">
        <f t="shared" si="106"/>
        <v>#VALUE!</v>
      </c>
      <c r="AD124" s="10" t="e">
        <f t="shared" si="138"/>
        <v>#VALUE!</v>
      </c>
      <c r="AE124" s="10" t="e">
        <f t="shared" si="139"/>
        <v>#VALUE!</v>
      </c>
      <c r="AF124" s="10" t="e">
        <f t="shared" si="88"/>
        <v>#VALUE!</v>
      </c>
      <c r="AG124" s="10" t="e">
        <f t="shared" si="107"/>
        <v>#VALUE!</v>
      </c>
      <c r="AI124" s="13"/>
      <c r="AK124" s="10" t="e">
        <f t="shared" si="108"/>
        <v>#VALUE!</v>
      </c>
      <c r="AL124" s="10" t="e">
        <f t="shared" si="140"/>
        <v>#VALUE!</v>
      </c>
      <c r="AM124" s="10" t="e">
        <f t="shared" si="89"/>
        <v>#VALUE!</v>
      </c>
      <c r="AN124" s="10" t="e">
        <f t="shared" si="109"/>
        <v>#VALUE!</v>
      </c>
      <c r="AO124" s="10" t="e">
        <f t="shared" si="110"/>
        <v>#VALUE!</v>
      </c>
      <c r="AP124" s="10" t="e">
        <f t="shared" si="111"/>
        <v>#VALUE!</v>
      </c>
      <c r="AQ124" s="10" t="e">
        <f t="shared" si="141"/>
        <v>#VALUE!</v>
      </c>
      <c r="AR124" s="10" t="e">
        <f t="shared" si="90"/>
        <v>#VALUE!</v>
      </c>
      <c r="AS124" s="10" t="e">
        <f t="shared" si="142"/>
        <v>#VALUE!</v>
      </c>
      <c r="AU124" s="10" t="e">
        <f t="shared" si="112"/>
        <v>#VALUE!</v>
      </c>
      <c r="AV124" s="10" t="e">
        <f t="shared" si="143"/>
        <v>#VALUE!</v>
      </c>
      <c r="AW124" s="10" t="e">
        <f t="shared" si="91"/>
        <v>#VALUE!</v>
      </c>
      <c r="AX124" s="10" t="e">
        <f t="shared" si="113"/>
        <v>#VALUE!</v>
      </c>
      <c r="AY124" s="10" t="e">
        <f t="shared" si="114"/>
        <v>#VALUE!</v>
      </c>
      <c r="AZ124" s="10" t="e">
        <f t="shared" si="115"/>
        <v>#VALUE!</v>
      </c>
      <c r="BA124" s="10" t="e">
        <f t="shared" si="144"/>
        <v>#VALUE!</v>
      </c>
      <c r="BB124" s="10" t="e">
        <f t="shared" si="92"/>
        <v>#VALUE!</v>
      </c>
      <c r="BC124" s="10" t="e">
        <f t="shared" si="145"/>
        <v>#VALUE!</v>
      </c>
      <c r="BE124" s="10" t="e">
        <f t="shared" si="116"/>
        <v>#VALUE!</v>
      </c>
      <c r="BF124" s="10" t="e">
        <f t="shared" si="146"/>
        <v>#VALUE!</v>
      </c>
      <c r="BG124" s="10" t="e">
        <f t="shared" si="93"/>
        <v>#VALUE!</v>
      </c>
      <c r="BH124" s="10" t="e">
        <f t="shared" si="117"/>
        <v>#VALUE!</v>
      </c>
      <c r="BI124" s="10" t="e">
        <f t="shared" si="118"/>
        <v>#VALUE!</v>
      </c>
      <c r="BJ124" s="10" t="e">
        <f t="shared" si="119"/>
        <v>#VALUE!</v>
      </c>
      <c r="BK124" s="10" t="e">
        <f t="shared" si="147"/>
        <v>#VALUE!</v>
      </c>
      <c r="BL124" s="10" t="e">
        <f t="shared" si="94"/>
        <v>#VALUE!</v>
      </c>
      <c r="BM124" s="10" t="e">
        <f t="shared" si="148"/>
        <v>#VALUE!</v>
      </c>
      <c r="BP124" s="10" t="e">
        <f t="shared" si="120"/>
        <v>#VALUE!</v>
      </c>
      <c r="BQ124" s="10" t="e">
        <f t="shared" si="121"/>
        <v>#VALUE!</v>
      </c>
      <c r="BR124" s="10" t="e">
        <f t="shared" si="122"/>
        <v>#VALUE!</v>
      </c>
      <c r="BS124" s="10" t="e">
        <f t="shared" si="123"/>
        <v>#VALUE!</v>
      </c>
      <c r="BT124" s="10" t="e">
        <f t="shared" si="124"/>
        <v>#VALUE!</v>
      </c>
      <c r="BU124" s="10" t="e">
        <f t="shared" si="125"/>
        <v>#VALUE!</v>
      </c>
      <c r="BW124" s="10" t="e">
        <f t="shared" si="126"/>
        <v>#VALUE!</v>
      </c>
      <c r="BX124" s="10" t="e">
        <f t="shared" si="127"/>
        <v>#VALUE!</v>
      </c>
      <c r="BY124" s="10" t="e">
        <f t="shared" si="128"/>
        <v>#VALUE!</v>
      </c>
      <c r="BZ124" s="10" t="e">
        <f t="shared" si="129"/>
        <v>#VALUE!</v>
      </c>
      <c r="CA124" s="10" t="e">
        <f t="shared" si="130"/>
        <v>#VALUE!</v>
      </c>
      <c r="CB124" s="10" t="e">
        <f t="shared" si="131"/>
        <v>#VALUE!</v>
      </c>
      <c r="CD124" s="10" t="e">
        <f>MATCH(INDEX($BP$12:$BU$12,1,MATCH(BP124,$BP$15:$BU$15,0)),结果汇总!$AI$10:$AI$13,0)</f>
        <v>#VALUE!</v>
      </c>
      <c r="CE124" s="10" t="e">
        <f>MATCH(INDEX($BP$12:$BU$12,1,MATCH(BQ124,$BP$15:$BU$15,0)),结果汇总!$AI$10:$AI$13,0)</f>
        <v>#VALUE!</v>
      </c>
      <c r="CF124" s="10" t="e">
        <f>MATCH(INDEX($BP$12:$BU$12,1,MATCH(BR124,$BP$15:$BU$15,0)),结果汇总!$AI$10:$AI$13,0)</f>
        <v>#VALUE!</v>
      </c>
      <c r="CG124" s="10" t="e">
        <f>MATCH(INDEX($BP$12:$BU$12,1,MATCH(BS124,$BP$15:$BU$15,0)),结果汇总!$AI$10:$AI$13,0)</f>
        <v>#VALUE!</v>
      </c>
      <c r="CH124" s="10" t="e">
        <f>MATCH(INDEX($BP$12:$BU$12,1,MATCH(BT124,$BP$15:$BU$15,0)),结果汇总!$AI$10:$AI$13,0)</f>
        <v>#VALUE!</v>
      </c>
      <c r="CI124" s="10" t="e">
        <f>MATCH(INDEX($BP$12:$BU$12,1,MATCH(BU124,$BP$15:$BU$15,0)),结果汇总!$AI$10:$AI$13,0)</f>
        <v>#VALUE!</v>
      </c>
      <c r="CK124" s="10">
        <f t="shared" si="149"/>
        <v>0</v>
      </c>
      <c r="CL124" s="10">
        <f t="shared" si="149"/>
        <v>0</v>
      </c>
      <c r="CM124" s="10">
        <f t="shared" si="149"/>
        <v>0</v>
      </c>
      <c r="CN124" s="10">
        <f t="shared" si="149"/>
        <v>0</v>
      </c>
      <c r="CO124" s="10">
        <f t="shared" si="150"/>
        <v>0</v>
      </c>
      <c r="CP124" s="10">
        <f t="shared" si="150"/>
        <v>0</v>
      </c>
      <c r="CQ124" s="10">
        <f t="shared" si="150"/>
        <v>0</v>
      </c>
      <c r="CR124" s="10">
        <f t="shared" si="150"/>
        <v>0</v>
      </c>
      <c r="CS124" s="10" t="e">
        <f t="shared" si="151"/>
        <v>#DIV/0!</v>
      </c>
      <c r="CT124" s="10" t="e">
        <f t="shared" si="151"/>
        <v>#DIV/0!</v>
      </c>
      <c r="CU124" s="10" t="e">
        <f t="shared" si="151"/>
        <v>#DIV/0!</v>
      </c>
      <c r="CV124" s="10" t="e">
        <f t="shared" si="151"/>
        <v>#DIV/0!</v>
      </c>
      <c r="CW124" s="10">
        <f t="shared" si="152"/>
        <v>0</v>
      </c>
      <c r="CX124" s="10">
        <f t="shared" si="152"/>
        <v>0</v>
      </c>
      <c r="CY124" s="10">
        <f t="shared" si="152"/>
        <v>0</v>
      </c>
      <c r="CZ124" s="10">
        <f t="shared" si="152"/>
        <v>0</v>
      </c>
    </row>
    <row r="125" spans="4:104" x14ac:dyDescent="0.15">
      <c r="D125" s="10">
        <v>110</v>
      </c>
      <c r="E125" s="10" t="e">
        <f t="shared" si="95"/>
        <v>#VALUE!</v>
      </c>
      <c r="F125" s="10" t="e">
        <f t="shared" si="79"/>
        <v>#VALUE!</v>
      </c>
      <c r="G125" s="10" t="e">
        <f t="shared" si="80"/>
        <v>#VALUE!</v>
      </c>
      <c r="H125" s="10" t="e">
        <f t="shared" si="96"/>
        <v>#VALUE!</v>
      </c>
      <c r="I125" s="10" t="e">
        <f t="shared" si="81"/>
        <v>#VALUE!</v>
      </c>
      <c r="J125" s="10" t="e">
        <f t="shared" si="97"/>
        <v>#VALUE!</v>
      </c>
      <c r="K125" s="10" t="e">
        <f t="shared" si="82"/>
        <v>#VALUE!</v>
      </c>
      <c r="L125" s="10" t="e">
        <f t="shared" si="83"/>
        <v>#VALUE!</v>
      </c>
      <c r="M125" s="10" t="e">
        <f t="shared" si="98"/>
        <v>#VALUE!</v>
      </c>
      <c r="O125" s="10" t="e">
        <f t="shared" si="99"/>
        <v>#VALUE!</v>
      </c>
      <c r="P125" s="10" t="e">
        <f t="shared" si="84"/>
        <v>#VALUE!</v>
      </c>
      <c r="Q125" s="10" t="e">
        <f t="shared" si="85"/>
        <v>#VALUE!</v>
      </c>
      <c r="R125" s="10" t="e">
        <f t="shared" si="100"/>
        <v>#VALUE!</v>
      </c>
      <c r="S125" s="10" t="e">
        <f t="shared" si="101"/>
        <v>#VALUE!</v>
      </c>
      <c r="T125" s="10" t="e">
        <f t="shared" si="136"/>
        <v>#VALUE!</v>
      </c>
      <c r="U125" s="10" t="e">
        <f t="shared" si="137"/>
        <v>#VALUE!</v>
      </c>
      <c r="V125" s="10" t="e">
        <f t="shared" si="86"/>
        <v>#VALUE!</v>
      </c>
      <c r="W125" s="10" t="e">
        <f t="shared" si="102"/>
        <v>#VALUE!</v>
      </c>
      <c r="Y125" s="10" t="e">
        <f t="shared" si="103"/>
        <v>#VALUE!</v>
      </c>
      <c r="Z125" s="11" t="e">
        <f t="shared" si="104"/>
        <v>#VALUE!</v>
      </c>
      <c r="AA125" s="10" t="e">
        <f t="shared" si="87"/>
        <v>#VALUE!</v>
      </c>
      <c r="AB125" s="10" t="e">
        <f t="shared" si="105"/>
        <v>#VALUE!</v>
      </c>
      <c r="AC125" s="10" t="e">
        <f t="shared" si="106"/>
        <v>#VALUE!</v>
      </c>
      <c r="AD125" s="10" t="e">
        <f t="shared" si="138"/>
        <v>#VALUE!</v>
      </c>
      <c r="AE125" s="10" t="e">
        <f t="shared" si="139"/>
        <v>#VALUE!</v>
      </c>
      <c r="AF125" s="10" t="e">
        <f t="shared" si="88"/>
        <v>#VALUE!</v>
      </c>
      <c r="AG125" s="10" t="e">
        <f t="shared" si="107"/>
        <v>#VALUE!</v>
      </c>
      <c r="AI125" s="13"/>
      <c r="AK125" s="10" t="e">
        <f t="shared" si="108"/>
        <v>#VALUE!</v>
      </c>
      <c r="AL125" s="10" t="e">
        <f t="shared" si="140"/>
        <v>#VALUE!</v>
      </c>
      <c r="AM125" s="10" t="e">
        <f t="shared" si="89"/>
        <v>#VALUE!</v>
      </c>
      <c r="AN125" s="10" t="e">
        <f t="shared" si="109"/>
        <v>#VALUE!</v>
      </c>
      <c r="AO125" s="10" t="e">
        <f t="shared" si="110"/>
        <v>#VALUE!</v>
      </c>
      <c r="AP125" s="10" t="e">
        <f t="shared" si="111"/>
        <v>#VALUE!</v>
      </c>
      <c r="AQ125" s="10" t="e">
        <f t="shared" si="141"/>
        <v>#VALUE!</v>
      </c>
      <c r="AR125" s="10" t="e">
        <f t="shared" si="90"/>
        <v>#VALUE!</v>
      </c>
      <c r="AS125" s="10" t="e">
        <f t="shared" si="142"/>
        <v>#VALUE!</v>
      </c>
      <c r="AU125" s="10" t="e">
        <f t="shared" si="112"/>
        <v>#VALUE!</v>
      </c>
      <c r="AV125" s="10" t="e">
        <f t="shared" si="143"/>
        <v>#VALUE!</v>
      </c>
      <c r="AW125" s="10" t="e">
        <f t="shared" si="91"/>
        <v>#VALUE!</v>
      </c>
      <c r="AX125" s="10" t="e">
        <f t="shared" si="113"/>
        <v>#VALUE!</v>
      </c>
      <c r="AY125" s="10" t="e">
        <f t="shared" si="114"/>
        <v>#VALUE!</v>
      </c>
      <c r="AZ125" s="10" t="e">
        <f t="shared" si="115"/>
        <v>#VALUE!</v>
      </c>
      <c r="BA125" s="10" t="e">
        <f t="shared" si="144"/>
        <v>#VALUE!</v>
      </c>
      <c r="BB125" s="10" t="e">
        <f t="shared" si="92"/>
        <v>#VALUE!</v>
      </c>
      <c r="BC125" s="10" t="e">
        <f t="shared" si="145"/>
        <v>#VALUE!</v>
      </c>
      <c r="BE125" s="10" t="e">
        <f t="shared" si="116"/>
        <v>#VALUE!</v>
      </c>
      <c r="BF125" s="10" t="e">
        <f t="shared" si="146"/>
        <v>#VALUE!</v>
      </c>
      <c r="BG125" s="10" t="e">
        <f t="shared" si="93"/>
        <v>#VALUE!</v>
      </c>
      <c r="BH125" s="10" t="e">
        <f t="shared" si="117"/>
        <v>#VALUE!</v>
      </c>
      <c r="BI125" s="10" t="e">
        <f t="shared" si="118"/>
        <v>#VALUE!</v>
      </c>
      <c r="BJ125" s="10" t="e">
        <f t="shared" si="119"/>
        <v>#VALUE!</v>
      </c>
      <c r="BK125" s="10" t="e">
        <f t="shared" si="147"/>
        <v>#VALUE!</v>
      </c>
      <c r="BL125" s="10" t="e">
        <f t="shared" si="94"/>
        <v>#VALUE!</v>
      </c>
      <c r="BM125" s="10" t="e">
        <f t="shared" si="148"/>
        <v>#VALUE!</v>
      </c>
      <c r="BP125" s="10" t="e">
        <f t="shared" si="120"/>
        <v>#VALUE!</v>
      </c>
      <c r="BQ125" s="10" t="e">
        <f t="shared" si="121"/>
        <v>#VALUE!</v>
      </c>
      <c r="BR125" s="10" t="e">
        <f t="shared" si="122"/>
        <v>#VALUE!</v>
      </c>
      <c r="BS125" s="10" t="e">
        <f t="shared" si="123"/>
        <v>#VALUE!</v>
      </c>
      <c r="BT125" s="10" t="e">
        <f t="shared" si="124"/>
        <v>#VALUE!</v>
      </c>
      <c r="BU125" s="10" t="e">
        <f t="shared" si="125"/>
        <v>#VALUE!</v>
      </c>
      <c r="BW125" s="10" t="e">
        <f t="shared" si="126"/>
        <v>#VALUE!</v>
      </c>
      <c r="BX125" s="10" t="e">
        <f t="shared" si="127"/>
        <v>#VALUE!</v>
      </c>
      <c r="BY125" s="10" t="e">
        <f t="shared" si="128"/>
        <v>#VALUE!</v>
      </c>
      <c r="BZ125" s="10" t="e">
        <f t="shared" si="129"/>
        <v>#VALUE!</v>
      </c>
      <c r="CA125" s="10" t="e">
        <f t="shared" si="130"/>
        <v>#VALUE!</v>
      </c>
      <c r="CB125" s="10" t="e">
        <f t="shared" si="131"/>
        <v>#VALUE!</v>
      </c>
      <c r="CD125" s="10" t="e">
        <f>MATCH(INDEX($BP$12:$BU$12,1,MATCH(BP125,$BP$15:$BU$15,0)),结果汇总!$AI$10:$AI$13,0)</f>
        <v>#VALUE!</v>
      </c>
      <c r="CE125" s="10" t="e">
        <f>MATCH(INDEX($BP$12:$BU$12,1,MATCH(BQ125,$BP$15:$BU$15,0)),结果汇总!$AI$10:$AI$13,0)</f>
        <v>#VALUE!</v>
      </c>
      <c r="CF125" s="10" t="e">
        <f>MATCH(INDEX($BP$12:$BU$12,1,MATCH(BR125,$BP$15:$BU$15,0)),结果汇总!$AI$10:$AI$13,0)</f>
        <v>#VALUE!</v>
      </c>
      <c r="CG125" s="10" t="e">
        <f>MATCH(INDEX($BP$12:$BU$12,1,MATCH(BS125,$BP$15:$BU$15,0)),结果汇总!$AI$10:$AI$13,0)</f>
        <v>#VALUE!</v>
      </c>
      <c r="CH125" s="10" t="e">
        <f>MATCH(INDEX($BP$12:$BU$12,1,MATCH(BT125,$BP$15:$BU$15,0)),结果汇总!$AI$10:$AI$13,0)</f>
        <v>#VALUE!</v>
      </c>
      <c r="CI125" s="10" t="e">
        <f>MATCH(INDEX($BP$12:$BU$12,1,MATCH(BU125,$BP$15:$BU$15,0)),结果汇总!$AI$10:$AI$13,0)</f>
        <v>#VALUE!</v>
      </c>
      <c r="CK125" s="10">
        <f t="shared" si="149"/>
        <v>0</v>
      </c>
      <c r="CL125" s="10">
        <f t="shared" si="149"/>
        <v>0</v>
      </c>
      <c r="CM125" s="10">
        <f t="shared" si="149"/>
        <v>0</v>
      </c>
      <c r="CN125" s="10">
        <f t="shared" si="149"/>
        <v>0</v>
      </c>
      <c r="CO125" s="10">
        <f t="shared" si="150"/>
        <v>0</v>
      </c>
      <c r="CP125" s="10">
        <f t="shared" si="150"/>
        <v>0</v>
      </c>
      <c r="CQ125" s="10">
        <f t="shared" si="150"/>
        <v>0</v>
      </c>
      <c r="CR125" s="10">
        <f t="shared" si="150"/>
        <v>0</v>
      </c>
      <c r="CS125" s="10" t="e">
        <f t="shared" si="151"/>
        <v>#DIV/0!</v>
      </c>
      <c r="CT125" s="10" t="e">
        <f t="shared" si="151"/>
        <v>#DIV/0!</v>
      </c>
      <c r="CU125" s="10" t="e">
        <f t="shared" si="151"/>
        <v>#DIV/0!</v>
      </c>
      <c r="CV125" s="10" t="e">
        <f t="shared" si="151"/>
        <v>#DIV/0!</v>
      </c>
      <c r="CW125" s="10">
        <f t="shared" si="152"/>
        <v>0</v>
      </c>
      <c r="CX125" s="10">
        <f t="shared" si="152"/>
        <v>0</v>
      </c>
      <c r="CY125" s="10">
        <f t="shared" si="152"/>
        <v>0</v>
      </c>
      <c r="CZ125" s="10">
        <f t="shared" si="152"/>
        <v>0</v>
      </c>
    </row>
    <row r="126" spans="4:104" x14ac:dyDescent="0.15">
      <c r="D126" s="10">
        <v>111</v>
      </c>
      <c r="E126" s="10" t="e">
        <f t="shared" si="95"/>
        <v>#VALUE!</v>
      </c>
      <c r="F126" s="10" t="e">
        <f t="shared" si="79"/>
        <v>#VALUE!</v>
      </c>
      <c r="G126" s="10" t="e">
        <f t="shared" si="80"/>
        <v>#VALUE!</v>
      </c>
      <c r="H126" s="10" t="e">
        <f t="shared" si="96"/>
        <v>#VALUE!</v>
      </c>
      <c r="I126" s="10" t="e">
        <f t="shared" si="81"/>
        <v>#VALUE!</v>
      </c>
      <c r="J126" s="10" t="e">
        <f t="shared" si="97"/>
        <v>#VALUE!</v>
      </c>
      <c r="K126" s="10" t="e">
        <f t="shared" si="82"/>
        <v>#VALUE!</v>
      </c>
      <c r="L126" s="10" t="e">
        <f t="shared" si="83"/>
        <v>#VALUE!</v>
      </c>
      <c r="M126" s="10" t="e">
        <f t="shared" si="98"/>
        <v>#VALUE!</v>
      </c>
      <c r="O126" s="10" t="e">
        <f t="shared" si="99"/>
        <v>#VALUE!</v>
      </c>
      <c r="P126" s="10" t="e">
        <f t="shared" si="84"/>
        <v>#VALUE!</v>
      </c>
      <c r="Q126" s="10" t="e">
        <f t="shared" si="85"/>
        <v>#VALUE!</v>
      </c>
      <c r="R126" s="10" t="e">
        <f t="shared" si="100"/>
        <v>#VALUE!</v>
      </c>
      <c r="S126" s="10" t="e">
        <f t="shared" si="101"/>
        <v>#VALUE!</v>
      </c>
      <c r="T126" s="10" t="e">
        <f t="shared" si="136"/>
        <v>#VALUE!</v>
      </c>
      <c r="U126" s="10" t="e">
        <f t="shared" si="137"/>
        <v>#VALUE!</v>
      </c>
      <c r="V126" s="10" t="e">
        <f t="shared" si="86"/>
        <v>#VALUE!</v>
      </c>
      <c r="W126" s="10" t="e">
        <f t="shared" si="102"/>
        <v>#VALUE!</v>
      </c>
      <c r="Y126" s="10" t="e">
        <f t="shared" si="103"/>
        <v>#VALUE!</v>
      </c>
      <c r="Z126" s="11" t="e">
        <f t="shared" si="104"/>
        <v>#VALUE!</v>
      </c>
      <c r="AA126" s="10" t="e">
        <f t="shared" si="87"/>
        <v>#VALUE!</v>
      </c>
      <c r="AB126" s="10" t="e">
        <f t="shared" si="105"/>
        <v>#VALUE!</v>
      </c>
      <c r="AC126" s="10" t="e">
        <f t="shared" si="106"/>
        <v>#VALUE!</v>
      </c>
      <c r="AD126" s="10" t="e">
        <f t="shared" si="138"/>
        <v>#VALUE!</v>
      </c>
      <c r="AE126" s="10" t="e">
        <f t="shared" si="139"/>
        <v>#VALUE!</v>
      </c>
      <c r="AF126" s="10" t="e">
        <f t="shared" si="88"/>
        <v>#VALUE!</v>
      </c>
      <c r="AG126" s="10" t="e">
        <f t="shared" si="107"/>
        <v>#VALUE!</v>
      </c>
      <c r="AI126" s="13"/>
      <c r="AK126" s="10" t="e">
        <f t="shared" si="108"/>
        <v>#VALUE!</v>
      </c>
      <c r="AL126" s="10" t="e">
        <f t="shared" si="140"/>
        <v>#VALUE!</v>
      </c>
      <c r="AM126" s="10" t="e">
        <f t="shared" si="89"/>
        <v>#VALUE!</v>
      </c>
      <c r="AN126" s="10" t="e">
        <f t="shared" si="109"/>
        <v>#VALUE!</v>
      </c>
      <c r="AO126" s="10" t="e">
        <f t="shared" si="110"/>
        <v>#VALUE!</v>
      </c>
      <c r="AP126" s="10" t="e">
        <f t="shared" si="111"/>
        <v>#VALUE!</v>
      </c>
      <c r="AQ126" s="10" t="e">
        <f t="shared" si="141"/>
        <v>#VALUE!</v>
      </c>
      <c r="AR126" s="10" t="e">
        <f t="shared" si="90"/>
        <v>#VALUE!</v>
      </c>
      <c r="AS126" s="10" t="e">
        <f t="shared" si="142"/>
        <v>#VALUE!</v>
      </c>
      <c r="AU126" s="10" t="e">
        <f t="shared" si="112"/>
        <v>#VALUE!</v>
      </c>
      <c r="AV126" s="10" t="e">
        <f t="shared" si="143"/>
        <v>#VALUE!</v>
      </c>
      <c r="AW126" s="10" t="e">
        <f t="shared" si="91"/>
        <v>#VALUE!</v>
      </c>
      <c r="AX126" s="10" t="e">
        <f t="shared" si="113"/>
        <v>#VALUE!</v>
      </c>
      <c r="AY126" s="10" t="e">
        <f t="shared" si="114"/>
        <v>#VALUE!</v>
      </c>
      <c r="AZ126" s="10" t="e">
        <f t="shared" si="115"/>
        <v>#VALUE!</v>
      </c>
      <c r="BA126" s="10" t="e">
        <f t="shared" si="144"/>
        <v>#VALUE!</v>
      </c>
      <c r="BB126" s="10" t="e">
        <f t="shared" si="92"/>
        <v>#VALUE!</v>
      </c>
      <c r="BC126" s="10" t="e">
        <f t="shared" si="145"/>
        <v>#VALUE!</v>
      </c>
      <c r="BE126" s="10" t="e">
        <f t="shared" si="116"/>
        <v>#VALUE!</v>
      </c>
      <c r="BF126" s="10" t="e">
        <f t="shared" si="146"/>
        <v>#VALUE!</v>
      </c>
      <c r="BG126" s="10" t="e">
        <f t="shared" si="93"/>
        <v>#VALUE!</v>
      </c>
      <c r="BH126" s="10" t="e">
        <f t="shared" si="117"/>
        <v>#VALUE!</v>
      </c>
      <c r="BI126" s="10" t="e">
        <f t="shared" si="118"/>
        <v>#VALUE!</v>
      </c>
      <c r="BJ126" s="10" t="e">
        <f t="shared" si="119"/>
        <v>#VALUE!</v>
      </c>
      <c r="BK126" s="10" t="e">
        <f t="shared" si="147"/>
        <v>#VALUE!</v>
      </c>
      <c r="BL126" s="10" t="e">
        <f t="shared" si="94"/>
        <v>#VALUE!</v>
      </c>
      <c r="BM126" s="10" t="e">
        <f t="shared" si="148"/>
        <v>#VALUE!</v>
      </c>
      <c r="BP126" s="10" t="e">
        <f t="shared" si="120"/>
        <v>#VALUE!</v>
      </c>
      <c r="BQ126" s="10" t="e">
        <f t="shared" si="121"/>
        <v>#VALUE!</v>
      </c>
      <c r="BR126" s="10" t="e">
        <f t="shared" si="122"/>
        <v>#VALUE!</v>
      </c>
      <c r="BS126" s="10" t="e">
        <f t="shared" si="123"/>
        <v>#VALUE!</v>
      </c>
      <c r="BT126" s="10" t="e">
        <f t="shared" si="124"/>
        <v>#VALUE!</v>
      </c>
      <c r="BU126" s="10" t="e">
        <f t="shared" si="125"/>
        <v>#VALUE!</v>
      </c>
      <c r="BW126" s="10" t="e">
        <f t="shared" si="126"/>
        <v>#VALUE!</v>
      </c>
      <c r="BX126" s="10" t="e">
        <f t="shared" si="127"/>
        <v>#VALUE!</v>
      </c>
      <c r="BY126" s="10" t="e">
        <f t="shared" si="128"/>
        <v>#VALUE!</v>
      </c>
      <c r="BZ126" s="10" t="e">
        <f t="shared" si="129"/>
        <v>#VALUE!</v>
      </c>
      <c r="CA126" s="10" t="e">
        <f t="shared" si="130"/>
        <v>#VALUE!</v>
      </c>
      <c r="CB126" s="10" t="e">
        <f t="shared" si="131"/>
        <v>#VALUE!</v>
      </c>
      <c r="CD126" s="10" t="e">
        <f>MATCH(INDEX($BP$12:$BU$12,1,MATCH(BP126,$BP$15:$BU$15,0)),结果汇总!$AI$10:$AI$13,0)</f>
        <v>#VALUE!</v>
      </c>
      <c r="CE126" s="10" t="e">
        <f>MATCH(INDEX($BP$12:$BU$12,1,MATCH(BQ126,$BP$15:$BU$15,0)),结果汇总!$AI$10:$AI$13,0)</f>
        <v>#VALUE!</v>
      </c>
      <c r="CF126" s="10" t="e">
        <f>MATCH(INDEX($BP$12:$BU$12,1,MATCH(BR126,$BP$15:$BU$15,0)),结果汇总!$AI$10:$AI$13,0)</f>
        <v>#VALUE!</v>
      </c>
      <c r="CG126" s="10" t="e">
        <f>MATCH(INDEX($BP$12:$BU$12,1,MATCH(BS126,$BP$15:$BU$15,0)),结果汇总!$AI$10:$AI$13,0)</f>
        <v>#VALUE!</v>
      </c>
      <c r="CH126" s="10" t="e">
        <f>MATCH(INDEX($BP$12:$BU$12,1,MATCH(BT126,$BP$15:$BU$15,0)),结果汇总!$AI$10:$AI$13,0)</f>
        <v>#VALUE!</v>
      </c>
      <c r="CI126" s="10" t="e">
        <f>MATCH(INDEX($BP$12:$BU$12,1,MATCH(BU126,$BP$15:$BU$15,0)),结果汇总!$AI$10:$AI$13,0)</f>
        <v>#VALUE!</v>
      </c>
      <c r="CK126" s="10">
        <f t="shared" si="149"/>
        <v>0</v>
      </c>
      <c r="CL126" s="10">
        <f t="shared" si="149"/>
        <v>0</v>
      </c>
      <c r="CM126" s="10">
        <f t="shared" si="149"/>
        <v>0</v>
      </c>
      <c r="CN126" s="10">
        <f t="shared" si="149"/>
        <v>0</v>
      </c>
      <c r="CO126" s="10">
        <f t="shared" si="150"/>
        <v>0</v>
      </c>
      <c r="CP126" s="10">
        <f t="shared" si="150"/>
        <v>0</v>
      </c>
      <c r="CQ126" s="10">
        <f t="shared" si="150"/>
        <v>0</v>
      </c>
      <c r="CR126" s="10">
        <f t="shared" si="150"/>
        <v>0</v>
      </c>
      <c r="CS126" s="10" t="e">
        <f t="shared" si="151"/>
        <v>#DIV/0!</v>
      </c>
      <c r="CT126" s="10" t="e">
        <f t="shared" si="151"/>
        <v>#DIV/0!</v>
      </c>
      <c r="CU126" s="10" t="e">
        <f t="shared" si="151"/>
        <v>#DIV/0!</v>
      </c>
      <c r="CV126" s="10" t="e">
        <f t="shared" si="151"/>
        <v>#DIV/0!</v>
      </c>
      <c r="CW126" s="10">
        <f t="shared" si="152"/>
        <v>0</v>
      </c>
      <c r="CX126" s="10">
        <f t="shared" si="152"/>
        <v>0</v>
      </c>
      <c r="CY126" s="10">
        <f t="shared" si="152"/>
        <v>0</v>
      </c>
      <c r="CZ126" s="10">
        <f t="shared" si="152"/>
        <v>0</v>
      </c>
    </row>
    <row r="127" spans="4:104" x14ac:dyDescent="0.15">
      <c r="D127" s="10">
        <v>112</v>
      </c>
      <c r="E127" s="10" t="e">
        <f t="shared" si="95"/>
        <v>#VALUE!</v>
      </c>
      <c r="F127" s="10" t="e">
        <f t="shared" si="79"/>
        <v>#VALUE!</v>
      </c>
      <c r="G127" s="10" t="e">
        <f t="shared" si="80"/>
        <v>#VALUE!</v>
      </c>
      <c r="H127" s="10" t="e">
        <f t="shared" si="96"/>
        <v>#VALUE!</v>
      </c>
      <c r="I127" s="10" t="e">
        <f t="shared" si="81"/>
        <v>#VALUE!</v>
      </c>
      <c r="J127" s="10" t="e">
        <f t="shared" si="97"/>
        <v>#VALUE!</v>
      </c>
      <c r="K127" s="10" t="e">
        <f t="shared" si="82"/>
        <v>#VALUE!</v>
      </c>
      <c r="L127" s="10" t="e">
        <f t="shared" si="83"/>
        <v>#VALUE!</v>
      </c>
      <c r="M127" s="10" t="e">
        <f t="shared" si="98"/>
        <v>#VALUE!</v>
      </c>
      <c r="O127" s="10" t="e">
        <f t="shared" si="99"/>
        <v>#VALUE!</v>
      </c>
      <c r="P127" s="10" t="e">
        <f t="shared" si="84"/>
        <v>#VALUE!</v>
      </c>
      <c r="Q127" s="10" t="e">
        <f t="shared" si="85"/>
        <v>#VALUE!</v>
      </c>
      <c r="R127" s="10" t="e">
        <f t="shared" si="100"/>
        <v>#VALUE!</v>
      </c>
      <c r="S127" s="10" t="e">
        <f t="shared" si="101"/>
        <v>#VALUE!</v>
      </c>
      <c r="T127" s="10" t="e">
        <f t="shared" si="136"/>
        <v>#VALUE!</v>
      </c>
      <c r="U127" s="10" t="e">
        <f t="shared" si="137"/>
        <v>#VALUE!</v>
      </c>
      <c r="V127" s="10" t="e">
        <f t="shared" si="86"/>
        <v>#VALUE!</v>
      </c>
      <c r="W127" s="10" t="e">
        <f t="shared" si="102"/>
        <v>#VALUE!</v>
      </c>
      <c r="Y127" s="10" t="e">
        <f t="shared" si="103"/>
        <v>#VALUE!</v>
      </c>
      <c r="Z127" s="11" t="e">
        <f t="shared" si="104"/>
        <v>#VALUE!</v>
      </c>
      <c r="AA127" s="10" t="e">
        <f t="shared" si="87"/>
        <v>#VALUE!</v>
      </c>
      <c r="AB127" s="10" t="e">
        <f t="shared" si="105"/>
        <v>#VALUE!</v>
      </c>
      <c r="AC127" s="10" t="e">
        <f t="shared" si="106"/>
        <v>#VALUE!</v>
      </c>
      <c r="AD127" s="10" t="e">
        <f t="shared" si="138"/>
        <v>#VALUE!</v>
      </c>
      <c r="AE127" s="10" t="e">
        <f t="shared" si="139"/>
        <v>#VALUE!</v>
      </c>
      <c r="AF127" s="10" t="e">
        <f t="shared" si="88"/>
        <v>#VALUE!</v>
      </c>
      <c r="AG127" s="10" t="e">
        <f t="shared" si="107"/>
        <v>#VALUE!</v>
      </c>
      <c r="AI127" s="13"/>
      <c r="AK127" s="10" t="e">
        <f t="shared" si="108"/>
        <v>#VALUE!</v>
      </c>
      <c r="AL127" s="10" t="e">
        <f t="shared" si="140"/>
        <v>#VALUE!</v>
      </c>
      <c r="AM127" s="10" t="e">
        <f t="shared" si="89"/>
        <v>#VALUE!</v>
      </c>
      <c r="AN127" s="10" t="e">
        <f t="shared" si="109"/>
        <v>#VALUE!</v>
      </c>
      <c r="AO127" s="10" t="e">
        <f t="shared" si="110"/>
        <v>#VALUE!</v>
      </c>
      <c r="AP127" s="10" t="e">
        <f t="shared" si="111"/>
        <v>#VALUE!</v>
      </c>
      <c r="AQ127" s="10" t="e">
        <f t="shared" si="141"/>
        <v>#VALUE!</v>
      </c>
      <c r="AR127" s="10" t="e">
        <f t="shared" si="90"/>
        <v>#VALUE!</v>
      </c>
      <c r="AS127" s="10" t="e">
        <f t="shared" si="142"/>
        <v>#VALUE!</v>
      </c>
      <c r="AU127" s="10" t="e">
        <f t="shared" si="112"/>
        <v>#VALUE!</v>
      </c>
      <c r="AV127" s="10" t="e">
        <f t="shared" si="143"/>
        <v>#VALUE!</v>
      </c>
      <c r="AW127" s="10" t="e">
        <f t="shared" si="91"/>
        <v>#VALUE!</v>
      </c>
      <c r="AX127" s="10" t="e">
        <f t="shared" si="113"/>
        <v>#VALUE!</v>
      </c>
      <c r="AY127" s="10" t="e">
        <f t="shared" si="114"/>
        <v>#VALUE!</v>
      </c>
      <c r="AZ127" s="10" t="e">
        <f t="shared" si="115"/>
        <v>#VALUE!</v>
      </c>
      <c r="BA127" s="10" t="e">
        <f t="shared" si="144"/>
        <v>#VALUE!</v>
      </c>
      <c r="BB127" s="10" t="e">
        <f t="shared" si="92"/>
        <v>#VALUE!</v>
      </c>
      <c r="BC127" s="10" t="e">
        <f t="shared" si="145"/>
        <v>#VALUE!</v>
      </c>
      <c r="BE127" s="10" t="e">
        <f t="shared" si="116"/>
        <v>#VALUE!</v>
      </c>
      <c r="BF127" s="10" t="e">
        <f t="shared" si="146"/>
        <v>#VALUE!</v>
      </c>
      <c r="BG127" s="10" t="e">
        <f t="shared" si="93"/>
        <v>#VALUE!</v>
      </c>
      <c r="BH127" s="10" t="e">
        <f t="shared" si="117"/>
        <v>#VALUE!</v>
      </c>
      <c r="BI127" s="10" t="e">
        <f t="shared" si="118"/>
        <v>#VALUE!</v>
      </c>
      <c r="BJ127" s="10" t="e">
        <f t="shared" si="119"/>
        <v>#VALUE!</v>
      </c>
      <c r="BK127" s="10" t="e">
        <f t="shared" si="147"/>
        <v>#VALUE!</v>
      </c>
      <c r="BL127" s="10" t="e">
        <f t="shared" si="94"/>
        <v>#VALUE!</v>
      </c>
      <c r="BM127" s="10" t="e">
        <f t="shared" si="148"/>
        <v>#VALUE!</v>
      </c>
      <c r="BP127" s="10" t="e">
        <f t="shared" si="120"/>
        <v>#VALUE!</v>
      </c>
      <c r="BQ127" s="10" t="e">
        <f t="shared" si="121"/>
        <v>#VALUE!</v>
      </c>
      <c r="BR127" s="10" t="e">
        <f t="shared" si="122"/>
        <v>#VALUE!</v>
      </c>
      <c r="BS127" s="10" t="e">
        <f t="shared" si="123"/>
        <v>#VALUE!</v>
      </c>
      <c r="BT127" s="10" t="e">
        <f t="shared" si="124"/>
        <v>#VALUE!</v>
      </c>
      <c r="BU127" s="10" t="e">
        <f t="shared" si="125"/>
        <v>#VALUE!</v>
      </c>
      <c r="BW127" s="10" t="e">
        <f t="shared" si="126"/>
        <v>#VALUE!</v>
      </c>
      <c r="BX127" s="10" t="e">
        <f t="shared" si="127"/>
        <v>#VALUE!</v>
      </c>
      <c r="BY127" s="10" t="e">
        <f t="shared" si="128"/>
        <v>#VALUE!</v>
      </c>
      <c r="BZ127" s="10" t="e">
        <f t="shared" si="129"/>
        <v>#VALUE!</v>
      </c>
      <c r="CA127" s="10" t="e">
        <f t="shared" si="130"/>
        <v>#VALUE!</v>
      </c>
      <c r="CB127" s="10" t="e">
        <f t="shared" si="131"/>
        <v>#VALUE!</v>
      </c>
      <c r="CD127" s="10" t="e">
        <f>MATCH(INDEX($BP$12:$BU$12,1,MATCH(BP127,$BP$15:$BU$15,0)),结果汇总!$AI$10:$AI$13,0)</f>
        <v>#VALUE!</v>
      </c>
      <c r="CE127" s="10" t="e">
        <f>MATCH(INDEX($BP$12:$BU$12,1,MATCH(BQ127,$BP$15:$BU$15,0)),结果汇总!$AI$10:$AI$13,0)</f>
        <v>#VALUE!</v>
      </c>
      <c r="CF127" s="10" t="e">
        <f>MATCH(INDEX($BP$12:$BU$12,1,MATCH(BR127,$BP$15:$BU$15,0)),结果汇总!$AI$10:$AI$13,0)</f>
        <v>#VALUE!</v>
      </c>
      <c r="CG127" s="10" t="e">
        <f>MATCH(INDEX($BP$12:$BU$12,1,MATCH(BS127,$BP$15:$BU$15,0)),结果汇总!$AI$10:$AI$13,0)</f>
        <v>#VALUE!</v>
      </c>
      <c r="CH127" s="10" t="e">
        <f>MATCH(INDEX($BP$12:$BU$12,1,MATCH(BT127,$BP$15:$BU$15,0)),结果汇总!$AI$10:$AI$13,0)</f>
        <v>#VALUE!</v>
      </c>
      <c r="CI127" s="10" t="e">
        <f>MATCH(INDEX($BP$12:$BU$12,1,MATCH(BU127,$BP$15:$BU$15,0)),结果汇总!$AI$10:$AI$13,0)</f>
        <v>#VALUE!</v>
      </c>
      <c r="CK127" s="10">
        <f t="shared" si="149"/>
        <v>0</v>
      </c>
      <c r="CL127" s="10">
        <f t="shared" si="149"/>
        <v>0</v>
      </c>
      <c r="CM127" s="10">
        <f t="shared" si="149"/>
        <v>0</v>
      </c>
      <c r="CN127" s="10">
        <f t="shared" si="149"/>
        <v>0</v>
      </c>
      <c r="CO127" s="10">
        <f t="shared" si="150"/>
        <v>0</v>
      </c>
      <c r="CP127" s="10">
        <f t="shared" si="150"/>
        <v>0</v>
      </c>
      <c r="CQ127" s="10">
        <f t="shared" si="150"/>
        <v>0</v>
      </c>
      <c r="CR127" s="10">
        <f t="shared" si="150"/>
        <v>0</v>
      </c>
      <c r="CS127" s="10" t="e">
        <f t="shared" si="151"/>
        <v>#DIV/0!</v>
      </c>
      <c r="CT127" s="10" t="e">
        <f t="shared" si="151"/>
        <v>#DIV/0!</v>
      </c>
      <c r="CU127" s="10" t="e">
        <f t="shared" si="151"/>
        <v>#DIV/0!</v>
      </c>
      <c r="CV127" s="10" t="e">
        <f t="shared" si="151"/>
        <v>#DIV/0!</v>
      </c>
      <c r="CW127" s="10">
        <f t="shared" si="152"/>
        <v>0</v>
      </c>
      <c r="CX127" s="10">
        <f t="shared" si="152"/>
        <v>0</v>
      </c>
      <c r="CY127" s="10">
        <f t="shared" si="152"/>
        <v>0</v>
      </c>
      <c r="CZ127" s="10">
        <f t="shared" si="152"/>
        <v>0</v>
      </c>
    </row>
    <row r="128" spans="4:104" x14ac:dyDescent="0.15">
      <c r="D128" s="10">
        <v>113</v>
      </c>
      <c r="E128" s="10" t="e">
        <f t="shared" si="95"/>
        <v>#VALUE!</v>
      </c>
      <c r="F128" s="10" t="e">
        <f t="shared" si="79"/>
        <v>#VALUE!</v>
      </c>
      <c r="G128" s="10" t="e">
        <f t="shared" si="80"/>
        <v>#VALUE!</v>
      </c>
      <c r="H128" s="10" t="e">
        <f t="shared" si="96"/>
        <v>#VALUE!</v>
      </c>
      <c r="I128" s="10" t="e">
        <f t="shared" si="81"/>
        <v>#VALUE!</v>
      </c>
      <c r="J128" s="10" t="e">
        <f t="shared" si="97"/>
        <v>#VALUE!</v>
      </c>
      <c r="K128" s="10" t="e">
        <f t="shared" si="82"/>
        <v>#VALUE!</v>
      </c>
      <c r="L128" s="10" t="e">
        <f t="shared" si="83"/>
        <v>#VALUE!</v>
      </c>
      <c r="M128" s="10" t="e">
        <f t="shared" si="98"/>
        <v>#VALUE!</v>
      </c>
      <c r="O128" s="10" t="e">
        <f t="shared" si="99"/>
        <v>#VALUE!</v>
      </c>
      <c r="P128" s="10" t="e">
        <f t="shared" si="84"/>
        <v>#VALUE!</v>
      </c>
      <c r="Q128" s="10" t="e">
        <f t="shared" si="85"/>
        <v>#VALUE!</v>
      </c>
      <c r="R128" s="10" t="e">
        <f t="shared" si="100"/>
        <v>#VALUE!</v>
      </c>
      <c r="S128" s="10" t="e">
        <f t="shared" si="101"/>
        <v>#VALUE!</v>
      </c>
      <c r="T128" s="10" t="e">
        <f t="shared" si="136"/>
        <v>#VALUE!</v>
      </c>
      <c r="U128" s="10" t="e">
        <f t="shared" si="137"/>
        <v>#VALUE!</v>
      </c>
      <c r="V128" s="10" t="e">
        <f t="shared" si="86"/>
        <v>#VALUE!</v>
      </c>
      <c r="W128" s="10" t="e">
        <f t="shared" si="102"/>
        <v>#VALUE!</v>
      </c>
      <c r="Y128" s="10" t="e">
        <f t="shared" si="103"/>
        <v>#VALUE!</v>
      </c>
      <c r="Z128" s="11" t="e">
        <f t="shared" si="104"/>
        <v>#VALUE!</v>
      </c>
      <c r="AA128" s="10" t="e">
        <f t="shared" si="87"/>
        <v>#VALUE!</v>
      </c>
      <c r="AB128" s="10" t="e">
        <f t="shared" si="105"/>
        <v>#VALUE!</v>
      </c>
      <c r="AC128" s="10" t="e">
        <f t="shared" si="106"/>
        <v>#VALUE!</v>
      </c>
      <c r="AD128" s="10" t="e">
        <f t="shared" si="138"/>
        <v>#VALUE!</v>
      </c>
      <c r="AE128" s="10" t="e">
        <f t="shared" si="139"/>
        <v>#VALUE!</v>
      </c>
      <c r="AF128" s="10" t="e">
        <f t="shared" si="88"/>
        <v>#VALUE!</v>
      </c>
      <c r="AG128" s="10" t="e">
        <f t="shared" si="107"/>
        <v>#VALUE!</v>
      </c>
      <c r="AI128" s="13"/>
      <c r="AK128" s="10" t="e">
        <f t="shared" si="108"/>
        <v>#VALUE!</v>
      </c>
      <c r="AL128" s="10" t="e">
        <f t="shared" si="140"/>
        <v>#VALUE!</v>
      </c>
      <c r="AM128" s="10" t="e">
        <f t="shared" si="89"/>
        <v>#VALUE!</v>
      </c>
      <c r="AN128" s="10" t="e">
        <f t="shared" si="109"/>
        <v>#VALUE!</v>
      </c>
      <c r="AO128" s="10" t="e">
        <f t="shared" si="110"/>
        <v>#VALUE!</v>
      </c>
      <c r="AP128" s="10" t="e">
        <f t="shared" si="111"/>
        <v>#VALUE!</v>
      </c>
      <c r="AQ128" s="10" t="e">
        <f t="shared" si="141"/>
        <v>#VALUE!</v>
      </c>
      <c r="AR128" s="10" t="e">
        <f t="shared" si="90"/>
        <v>#VALUE!</v>
      </c>
      <c r="AS128" s="10" t="e">
        <f t="shared" si="142"/>
        <v>#VALUE!</v>
      </c>
      <c r="AU128" s="10" t="e">
        <f t="shared" si="112"/>
        <v>#VALUE!</v>
      </c>
      <c r="AV128" s="10" t="e">
        <f t="shared" si="143"/>
        <v>#VALUE!</v>
      </c>
      <c r="AW128" s="10" t="e">
        <f t="shared" si="91"/>
        <v>#VALUE!</v>
      </c>
      <c r="AX128" s="10" t="e">
        <f t="shared" si="113"/>
        <v>#VALUE!</v>
      </c>
      <c r="AY128" s="10" t="e">
        <f t="shared" si="114"/>
        <v>#VALUE!</v>
      </c>
      <c r="AZ128" s="10" t="e">
        <f t="shared" si="115"/>
        <v>#VALUE!</v>
      </c>
      <c r="BA128" s="10" t="e">
        <f t="shared" si="144"/>
        <v>#VALUE!</v>
      </c>
      <c r="BB128" s="10" t="e">
        <f t="shared" si="92"/>
        <v>#VALUE!</v>
      </c>
      <c r="BC128" s="10" t="e">
        <f t="shared" si="145"/>
        <v>#VALUE!</v>
      </c>
      <c r="BE128" s="10" t="e">
        <f t="shared" si="116"/>
        <v>#VALUE!</v>
      </c>
      <c r="BF128" s="10" t="e">
        <f t="shared" si="146"/>
        <v>#VALUE!</v>
      </c>
      <c r="BG128" s="10" t="e">
        <f t="shared" si="93"/>
        <v>#VALUE!</v>
      </c>
      <c r="BH128" s="10" t="e">
        <f t="shared" si="117"/>
        <v>#VALUE!</v>
      </c>
      <c r="BI128" s="10" t="e">
        <f t="shared" si="118"/>
        <v>#VALUE!</v>
      </c>
      <c r="BJ128" s="10" t="e">
        <f t="shared" si="119"/>
        <v>#VALUE!</v>
      </c>
      <c r="BK128" s="10" t="e">
        <f t="shared" si="147"/>
        <v>#VALUE!</v>
      </c>
      <c r="BL128" s="10" t="e">
        <f t="shared" si="94"/>
        <v>#VALUE!</v>
      </c>
      <c r="BM128" s="10" t="e">
        <f t="shared" si="148"/>
        <v>#VALUE!</v>
      </c>
      <c r="BP128" s="10" t="e">
        <f t="shared" si="120"/>
        <v>#VALUE!</v>
      </c>
      <c r="BQ128" s="10" t="e">
        <f t="shared" si="121"/>
        <v>#VALUE!</v>
      </c>
      <c r="BR128" s="10" t="e">
        <f t="shared" si="122"/>
        <v>#VALUE!</v>
      </c>
      <c r="BS128" s="10" t="e">
        <f t="shared" si="123"/>
        <v>#VALUE!</v>
      </c>
      <c r="BT128" s="10" t="e">
        <f t="shared" si="124"/>
        <v>#VALUE!</v>
      </c>
      <c r="BU128" s="10" t="e">
        <f t="shared" si="125"/>
        <v>#VALUE!</v>
      </c>
      <c r="BW128" s="10" t="e">
        <f t="shared" si="126"/>
        <v>#VALUE!</v>
      </c>
      <c r="BX128" s="10" t="e">
        <f t="shared" si="127"/>
        <v>#VALUE!</v>
      </c>
      <c r="BY128" s="10" t="e">
        <f t="shared" si="128"/>
        <v>#VALUE!</v>
      </c>
      <c r="BZ128" s="10" t="e">
        <f t="shared" si="129"/>
        <v>#VALUE!</v>
      </c>
      <c r="CA128" s="10" t="e">
        <f t="shared" si="130"/>
        <v>#VALUE!</v>
      </c>
      <c r="CB128" s="10" t="e">
        <f t="shared" si="131"/>
        <v>#VALUE!</v>
      </c>
      <c r="CD128" s="10" t="e">
        <f>MATCH(INDEX($BP$12:$BU$12,1,MATCH(BP128,$BP$15:$BU$15,0)),结果汇总!$AI$10:$AI$13,0)</f>
        <v>#VALUE!</v>
      </c>
      <c r="CE128" s="10" t="e">
        <f>MATCH(INDEX($BP$12:$BU$12,1,MATCH(BQ128,$BP$15:$BU$15,0)),结果汇总!$AI$10:$AI$13,0)</f>
        <v>#VALUE!</v>
      </c>
      <c r="CF128" s="10" t="e">
        <f>MATCH(INDEX($BP$12:$BU$12,1,MATCH(BR128,$BP$15:$BU$15,0)),结果汇总!$AI$10:$AI$13,0)</f>
        <v>#VALUE!</v>
      </c>
      <c r="CG128" s="10" t="e">
        <f>MATCH(INDEX($BP$12:$BU$12,1,MATCH(BS128,$BP$15:$BU$15,0)),结果汇总!$AI$10:$AI$13,0)</f>
        <v>#VALUE!</v>
      </c>
      <c r="CH128" s="10" t="e">
        <f>MATCH(INDEX($BP$12:$BU$12,1,MATCH(BT128,$BP$15:$BU$15,0)),结果汇总!$AI$10:$AI$13,0)</f>
        <v>#VALUE!</v>
      </c>
      <c r="CI128" s="10" t="e">
        <f>MATCH(INDEX($BP$12:$BU$12,1,MATCH(BU128,$BP$15:$BU$15,0)),结果汇总!$AI$10:$AI$13,0)</f>
        <v>#VALUE!</v>
      </c>
      <c r="CK128" s="10">
        <f t="shared" si="149"/>
        <v>0</v>
      </c>
      <c r="CL128" s="10">
        <f t="shared" si="149"/>
        <v>0</v>
      </c>
      <c r="CM128" s="10">
        <f t="shared" si="149"/>
        <v>0</v>
      </c>
      <c r="CN128" s="10">
        <f t="shared" si="149"/>
        <v>0</v>
      </c>
      <c r="CO128" s="10">
        <f t="shared" si="150"/>
        <v>0</v>
      </c>
      <c r="CP128" s="10">
        <f t="shared" si="150"/>
        <v>0</v>
      </c>
      <c r="CQ128" s="10">
        <f t="shared" si="150"/>
        <v>0</v>
      </c>
      <c r="CR128" s="10">
        <f t="shared" si="150"/>
        <v>0</v>
      </c>
      <c r="CS128" s="10" t="e">
        <f t="shared" si="151"/>
        <v>#DIV/0!</v>
      </c>
      <c r="CT128" s="10" t="e">
        <f t="shared" si="151"/>
        <v>#DIV/0!</v>
      </c>
      <c r="CU128" s="10" t="e">
        <f t="shared" si="151"/>
        <v>#DIV/0!</v>
      </c>
      <c r="CV128" s="10" t="e">
        <f t="shared" si="151"/>
        <v>#DIV/0!</v>
      </c>
      <c r="CW128" s="10">
        <f t="shared" si="152"/>
        <v>0</v>
      </c>
      <c r="CX128" s="10">
        <f t="shared" si="152"/>
        <v>0</v>
      </c>
      <c r="CY128" s="10">
        <f t="shared" si="152"/>
        <v>0</v>
      </c>
      <c r="CZ128" s="10">
        <f t="shared" si="152"/>
        <v>0</v>
      </c>
    </row>
    <row r="129" spans="4:104" x14ac:dyDescent="0.15">
      <c r="D129" s="10">
        <v>114</v>
      </c>
      <c r="E129" s="10" t="e">
        <f t="shared" si="95"/>
        <v>#VALUE!</v>
      </c>
      <c r="F129" s="10" t="e">
        <f t="shared" si="79"/>
        <v>#VALUE!</v>
      </c>
      <c r="G129" s="10" t="e">
        <f t="shared" si="80"/>
        <v>#VALUE!</v>
      </c>
      <c r="H129" s="10" t="e">
        <f t="shared" si="96"/>
        <v>#VALUE!</v>
      </c>
      <c r="I129" s="10" t="e">
        <f t="shared" si="81"/>
        <v>#VALUE!</v>
      </c>
      <c r="J129" s="10" t="e">
        <f t="shared" si="97"/>
        <v>#VALUE!</v>
      </c>
      <c r="K129" s="10" t="e">
        <f t="shared" si="82"/>
        <v>#VALUE!</v>
      </c>
      <c r="L129" s="10" t="e">
        <f t="shared" si="83"/>
        <v>#VALUE!</v>
      </c>
      <c r="M129" s="10" t="e">
        <f t="shared" si="98"/>
        <v>#VALUE!</v>
      </c>
      <c r="O129" s="10" t="e">
        <f t="shared" si="99"/>
        <v>#VALUE!</v>
      </c>
      <c r="P129" s="10" t="e">
        <f t="shared" si="84"/>
        <v>#VALUE!</v>
      </c>
      <c r="Q129" s="10" t="e">
        <f t="shared" si="85"/>
        <v>#VALUE!</v>
      </c>
      <c r="R129" s="10" t="e">
        <f t="shared" si="100"/>
        <v>#VALUE!</v>
      </c>
      <c r="S129" s="10" t="e">
        <f t="shared" si="101"/>
        <v>#VALUE!</v>
      </c>
      <c r="T129" s="10" t="e">
        <f t="shared" si="136"/>
        <v>#VALUE!</v>
      </c>
      <c r="U129" s="10" t="e">
        <f t="shared" si="137"/>
        <v>#VALUE!</v>
      </c>
      <c r="V129" s="10" t="e">
        <f t="shared" si="86"/>
        <v>#VALUE!</v>
      </c>
      <c r="W129" s="10" t="e">
        <f t="shared" si="102"/>
        <v>#VALUE!</v>
      </c>
      <c r="Y129" s="10" t="e">
        <f t="shared" si="103"/>
        <v>#VALUE!</v>
      </c>
      <c r="Z129" s="11" t="e">
        <f t="shared" si="104"/>
        <v>#VALUE!</v>
      </c>
      <c r="AA129" s="10" t="e">
        <f t="shared" si="87"/>
        <v>#VALUE!</v>
      </c>
      <c r="AB129" s="10" t="e">
        <f t="shared" si="105"/>
        <v>#VALUE!</v>
      </c>
      <c r="AC129" s="10" t="e">
        <f t="shared" si="106"/>
        <v>#VALUE!</v>
      </c>
      <c r="AD129" s="10" t="e">
        <f t="shared" si="138"/>
        <v>#VALUE!</v>
      </c>
      <c r="AE129" s="10" t="e">
        <f t="shared" si="139"/>
        <v>#VALUE!</v>
      </c>
      <c r="AF129" s="10" t="e">
        <f t="shared" si="88"/>
        <v>#VALUE!</v>
      </c>
      <c r="AG129" s="10" t="e">
        <f t="shared" si="107"/>
        <v>#VALUE!</v>
      </c>
      <c r="AI129" s="13"/>
      <c r="AK129" s="10" t="e">
        <f t="shared" si="108"/>
        <v>#VALUE!</v>
      </c>
      <c r="AL129" s="10" t="e">
        <f t="shared" si="140"/>
        <v>#VALUE!</v>
      </c>
      <c r="AM129" s="10" t="e">
        <f t="shared" si="89"/>
        <v>#VALUE!</v>
      </c>
      <c r="AN129" s="10" t="e">
        <f t="shared" si="109"/>
        <v>#VALUE!</v>
      </c>
      <c r="AO129" s="10" t="e">
        <f t="shared" si="110"/>
        <v>#VALUE!</v>
      </c>
      <c r="AP129" s="10" t="e">
        <f t="shared" si="111"/>
        <v>#VALUE!</v>
      </c>
      <c r="AQ129" s="10" t="e">
        <f t="shared" si="141"/>
        <v>#VALUE!</v>
      </c>
      <c r="AR129" s="10" t="e">
        <f t="shared" si="90"/>
        <v>#VALUE!</v>
      </c>
      <c r="AS129" s="10" t="e">
        <f t="shared" si="142"/>
        <v>#VALUE!</v>
      </c>
      <c r="AU129" s="10" t="e">
        <f t="shared" si="112"/>
        <v>#VALUE!</v>
      </c>
      <c r="AV129" s="10" t="e">
        <f t="shared" si="143"/>
        <v>#VALUE!</v>
      </c>
      <c r="AW129" s="10" t="e">
        <f t="shared" si="91"/>
        <v>#VALUE!</v>
      </c>
      <c r="AX129" s="10" t="e">
        <f t="shared" si="113"/>
        <v>#VALUE!</v>
      </c>
      <c r="AY129" s="10" t="e">
        <f t="shared" si="114"/>
        <v>#VALUE!</v>
      </c>
      <c r="AZ129" s="10" t="e">
        <f t="shared" si="115"/>
        <v>#VALUE!</v>
      </c>
      <c r="BA129" s="10" t="e">
        <f t="shared" si="144"/>
        <v>#VALUE!</v>
      </c>
      <c r="BB129" s="10" t="e">
        <f t="shared" si="92"/>
        <v>#VALUE!</v>
      </c>
      <c r="BC129" s="10" t="e">
        <f t="shared" si="145"/>
        <v>#VALUE!</v>
      </c>
      <c r="BE129" s="10" t="e">
        <f t="shared" si="116"/>
        <v>#VALUE!</v>
      </c>
      <c r="BF129" s="10" t="e">
        <f t="shared" si="146"/>
        <v>#VALUE!</v>
      </c>
      <c r="BG129" s="10" t="e">
        <f t="shared" si="93"/>
        <v>#VALUE!</v>
      </c>
      <c r="BH129" s="10" t="e">
        <f t="shared" si="117"/>
        <v>#VALUE!</v>
      </c>
      <c r="BI129" s="10" t="e">
        <f t="shared" si="118"/>
        <v>#VALUE!</v>
      </c>
      <c r="BJ129" s="10" t="e">
        <f t="shared" si="119"/>
        <v>#VALUE!</v>
      </c>
      <c r="BK129" s="10" t="e">
        <f t="shared" si="147"/>
        <v>#VALUE!</v>
      </c>
      <c r="BL129" s="10" t="e">
        <f t="shared" si="94"/>
        <v>#VALUE!</v>
      </c>
      <c r="BM129" s="10" t="e">
        <f t="shared" si="148"/>
        <v>#VALUE!</v>
      </c>
      <c r="BP129" s="10" t="e">
        <f t="shared" si="120"/>
        <v>#VALUE!</v>
      </c>
      <c r="BQ129" s="10" t="e">
        <f t="shared" si="121"/>
        <v>#VALUE!</v>
      </c>
      <c r="BR129" s="10" t="e">
        <f t="shared" si="122"/>
        <v>#VALUE!</v>
      </c>
      <c r="BS129" s="10" t="e">
        <f t="shared" si="123"/>
        <v>#VALUE!</v>
      </c>
      <c r="BT129" s="10" t="e">
        <f t="shared" si="124"/>
        <v>#VALUE!</v>
      </c>
      <c r="BU129" s="10" t="e">
        <f t="shared" si="125"/>
        <v>#VALUE!</v>
      </c>
      <c r="BW129" s="10" t="e">
        <f t="shared" si="126"/>
        <v>#VALUE!</v>
      </c>
      <c r="BX129" s="10" t="e">
        <f t="shared" si="127"/>
        <v>#VALUE!</v>
      </c>
      <c r="BY129" s="10" t="e">
        <f t="shared" si="128"/>
        <v>#VALUE!</v>
      </c>
      <c r="BZ129" s="10" t="e">
        <f t="shared" si="129"/>
        <v>#VALUE!</v>
      </c>
      <c r="CA129" s="10" t="e">
        <f t="shared" si="130"/>
        <v>#VALUE!</v>
      </c>
      <c r="CB129" s="10" t="e">
        <f t="shared" si="131"/>
        <v>#VALUE!</v>
      </c>
      <c r="CD129" s="10" t="e">
        <f>MATCH(INDEX($BP$12:$BU$12,1,MATCH(BP129,$BP$15:$BU$15,0)),结果汇总!$AI$10:$AI$13,0)</f>
        <v>#VALUE!</v>
      </c>
      <c r="CE129" s="10" t="e">
        <f>MATCH(INDEX($BP$12:$BU$12,1,MATCH(BQ129,$BP$15:$BU$15,0)),结果汇总!$AI$10:$AI$13,0)</f>
        <v>#VALUE!</v>
      </c>
      <c r="CF129" s="10" t="e">
        <f>MATCH(INDEX($BP$12:$BU$12,1,MATCH(BR129,$BP$15:$BU$15,0)),结果汇总!$AI$10:$AI$13,0)</f>
        <v>#VALUE!</v>
      </c>
      <c r="CG129" s="10" t="e">
        <f>MATCH(INDEX($BP$12:$BU$12,1,MATCH(BS129,$BP$15:$BU$15,0)),结果汇总!$AI$10:$AI$13,0)</f>
        <v>#VALUE!</v>
      </c>
      <c r="CH129" s="10" t="e">
        <f>MATCH(INDEX($BP$12:$BU$12,1,MATCH(BT129,$BP$15:$BU$15,0)),结果汇总!$AI$10:$AI$13,0)</f>
        <v>#VALUE!</v>
      </c>
      <c r="CI129" s="10" t="e">
        <f>MATCH(INDEX($BP$12:$BU$12,1,MATCH(BU129,$BP$15:$BU$15,0)),结果汇总!$AI$10:$AI$13,0)</f>
        <v>#VALUE!</v>
      </c>
      <c r="CK129" s="10">
        <f t="shared" si="149"/>
        <v>0</v>
      </c>
      <c r="CL129" s="10">
        <f t="shared" si="149"/>
        <v>0</v>
      </c>
      <c r="CM129" s="10">
        <f t="shared" si="149"/>
        <v>0</v>
      </c>
      <c r="CN129" s="10">
        <f t="shared" si="149"/>
        <v>0</v>
      </c>
      <c r="CO129" s="10">
        <f t="shared" si="150"/>
        <v>0</v>
      </c>
      <c r="CP129" s="10">
        <f t="shared" si="150"/>
        <v>0</v>
      </c>
      <c r="CQ129" s="10">
        <f t="shared" si="150"/>
        <v>0</v>
      </c>
      <c r="CR129" s="10">
        <f t="shared" si="150"/>
        <v>0</v>
      </c>
      <c r="CS129" s="10" t="e">
        <f t="shared" si="151"/>
        <v>#DIV/0!</v>
      </c>
      <c r="CT129" s="10" t="e">
        <f t="shared" si="151"/>
        <v>#DIV/0!</v>
      </c>
      <c r="CU129" s="10" t="e">
        <f t="shared" si="151"/>
        <v>#DIV/0!</v>
      </c>
      <c r="CV129" s="10" t="e">
        <f t="shared" si="151"/>
        <v>#DIV/0!</v>
      </c>
      <c r="CW129" s="10">
        <f t="shared" si="152"/>
        <v>0</v>
      </c>
      <c r="CX129" s="10">
        <f t="shared" si="152"/>
        <v>0</v>
      </c>
      <c r="CY129" s="10">
        <f t="shared" si="152"/>
        <v>0</v>
      </c>
      <c r="CZ129" s="10">
        <f t="shared" si="152"/>
        <v>0</v>
      </c>
    </row>
    <row r="130" spans="4:104" x14ac:dyDescent="0.15">
      <c r="D130" s="10">
        <v>115</v>
      </c>
      <c r="E130" s="10" t="e">
        <f t="shared" si="95"/>
        <v>#VALUE!</v>
      </c>
      <c r="F130" s="10" t="e">
        <f t="shared" si="79"/>
        <v>#VALUE!</v>
      </c>
      <c r="G130" s="10" t="e">
        <f t="shared" si="80"/>
        <v>#VALUE!</v>
      </c>
      <c r="H130" s="10" t="e">
        <f t="shared" si="96"/>
        <v>#VALUE!</v>
      </c>
      <c r="I130" s="10" t="e">
        <f t="shared" si="81"/>
        <v>#VALUE!</v>
      </c>
      <c r="J130" s="10" t="e">
        <f t="shared" si="97"/>
        <v>#VALUE!</v>
      </c>
      <c r="K130" s="10" t="e">
        <f t="shared" si="82"/>
        <v>#VALUE!</v>
      </c>
      <c r="L130" s="10" t="e">
        <f t="shared" si="83"/>
        <v>#VALUE!</v>
      </c>
      <c r="M130" s="10" t="e">
        <f t="shared" si="98"/>
        <v>#VALUE!</v>
      </c>
      <c r="O130" s="10" t="e">
        <f t="shared" si="99"/>
        <v>#VALUE!</v>
      </c>
      <c r="P130" s="10" t="e">
        <f t="shared" si="84"/>
        <v>#VALUE!</v>
      </c>
      <c r="Q130" s="10" t="e">
        <f t="shared" si="85"/>
        <v>#VALUE!</v>
      </c>
      <c r="R130" s="10" t="e">
        <f t="shared" si="100"/>
        <v>#VALUE!</v>
      </c>
      <c r="S130" s="10" t="e">
        <f t="shared" si="101"/>
        <v>#VALUE!</v>
      </c>
      <c r="T130" s="10" t="e">
        <f t="shared" si="136"/>
        <v>#VALUE!</v>
      </c>
      <c r="U130" s="10" t="e">
        <f t="shared" si="137"/>
        <v>#VALUE!</v>
      </c>
      <c r="V130" s="10" t="e">
        <f t="shared" si="86"/>
        <v>#VALUE!</v>
      </c>
      <c r="W130" s="10" t="e">
        <f t="shared" si="102"/>
        <v>#VALUE!</v>
      </c>
      <c r="Y130" s="10" t="e">
        <f t="shared" si="103"/>
        <v>#VALUE!</v>
      </c>
      <c r="Z130" s="11" t="e">
        <f t="shared" si="104"/>
        <v>#VALUE!</v>
      </c>
      <c r="AA130" s="10" t="e">
        <f t="shared" si="87"/>
        <v>#VALUE!</v>
      </c>
      <c r="AB130" s="10" t="e">
        <f t="shared" si="105"/>
        <v>#VALUE!</v>
      </c>
      <c r="AC130" s="10" t="e">
        <f t="shared" si="106"/>
        <v>#VALUE!</v>
      </c>
      <c r="AD130" s="10" t="e">
        <f t="shared" si="138"/>
        <v>#VALUE!</v>
      </c>
      <c r="AE130" s="10" t="e">
        <f t="shared" si="139"/>
        <v>#VALUE!</v>
      </c>
      <c r="AF130" s="10" t="e">
        <f t="shared" si="88"/>
        <v>#VALUE!</v>
      </c>
      <c r="AG130" s="10" t="e">
        <f t="shared" si="107"/>
        <v>#VALUE!</v>
      </c>
      <c r="AI130" s="13"/>
      <c r="AK130" s="10" t="e">
        <f t="shared" si="108"/>
        <v>#VALUE!</v>
      </c>
      <c r="AL130" s="10" t="e">
        <f t="shared" si="140"/>
        <v>#VALUE!</v>
      </c>
      <c r="AM130" s="10" t="e">
        <f t="shared" si="89"/>
        <v>#VALUE!</v>
      </c>
      <c r="AN130" s="10" t="e">
        <f t="shared" si="109"/>
        <v>#VALUE!</v>
      </c>
      <c r="AO130" s="10" t="e">
        <f t="shared" si="110"/>
        <v>#VALUE!</v>
      </c>
      <c r="AP130" s="10" t="e">
        <f t="shared" si="111"/>
        <v>#VALUE!</v>
      </c>
      <c r="AQ130" s="10" t="e">
        <f t="shared" si="141"/>
        <v>#VALUE!</v>
      </c>
      <c r="AR130" s="10" t="e">
        <f t="shared" si="90"/>
        <v>#VALUE!</v>
      </c>
      <c r="AS130" s="10" t="e">
        <f t="shared" si="142"/>
        <v>#VALUE!</v>
      </c>
      <c r="AU130" s="10" t="e">
        <f t="shared" si="112"/>
        <v>#VALUE!</v>
      </c>
      <c r="AV130" s="10" t="e">
        <f t="shared" si="143"/>
        <v>#VALUE!</v>
      </c>
      <c r="AW130" s="10" t="e">
        <f t="shared" si="91"/>
        <v>#VALUE!</v>
      </c>
      <c r="AX130" s="10" t="e">
        <f t="shared" si="113"/>
        <v>#VALUE!</v>
      </c>
      <c r="AY130" s="10" t="e">
        <f t="shared" si="114"/>
        <v>#VALUE!</v>
      </c>
      <c r="AZ130" s="10" t="e">
        <f t="shared" si="115"/>
        <v>#VALUE!</v>
      </c>
      <c r="BA130" s="10" t="e">
        <f t="shared" si="144"/>
        <v>#VALUE!</v>
      </c>
      <c r="BB130" s="10" t="e">
        <f t="shared" si="92"/>
        <v>#VALUE!</v>
      </c>
      <c r="BC130" s="10" t="e">
        <f t="shared" si="145"/>
        <v>#VALUE!</v>
      </c>
      <c r="BE130" s="10" t="e">
        <f t="shared" si="116"/>
        <v>#VALUE!</v>
      </c>
      <c r="BF130" s="10" t="e">
        <f t="shared" si="146"/>
        <v>#VALUE!</v>
      </c>
      <c r="BG130" s="10" t="e">
        <f t="shared" si="93"/>
        <v>#VALUE!</v>
      </c>
      <c r="BH130" s="10" t="e">
        <f t="shared" si="117"/>
        <v>#VALUE!</v>
      </c>
      <c r="BI130" s="10" t="e">
        <f t="shared" si="118"/>
        <v>#VALUE!</v>
      </c>
      <c r="BJ130" s="10" t="e">
        <f t="shared" si="119"/>
        <v>#VALUE!</v>
      </c>
      <c r="BK130" s="10" t="e">
        <f t="shared" si="147"/>
        <v>#VALUE!</v>
      </c>
      <c r="BL130" s="10" t="e">
        <f t="shared" si="94"/>
        <v>#VALUE!</v>
      </c>
      <c r="BM130" s="10" t="e">
        <f t="shared" si="148"/>
        <v>#VALUE!</v>
      </c>
      <c r="BP130" s="10" t="e">
        <f t="shared" si="120"/>
        <v>#VALUE!</v>
      </c>
      <c r="BQ130" s="10" t="e">
        <f t="shared" si="121"/>
        <v>#VALUE!</v>
      </c>
      <c r="BR130" s="10" t="e">
        <f t="shared" si="122"/>
        <v>#VALUE!</v>
      </c>
      <c r="BS130" s="10" t="e">
        <f t="shared" si="123"/>
        <v>#VALUE!</v>
      </c>
      <c r="BT130" s="10" t="e">
        <f t="shared" si="124"/>
        <v>#VALUE!</v>
      </c>
      <c r="BU130" s="10" t="e">
        <f t="shared" si="125"/>
        <v>#VALUE!</v>
      </c>
      <c r="BW130" s="10" t="e">
        <f t="shared" si="126"/>
        <v>#VALUE!</v>
      </c>
      <c r="BX130" s="10" t="e">
        <f t="shared" si="127"/>
        <v>#VALUE!</v>
      </c>
      <c r="BY130" s="10" t="e">
        <f t="shared" si="128"/>
        <v>#VALUE!</v>
      </c>
      <c r="BZ130" s="10" t="e">
        <f t="shared" si="129"/>
        <v>#VALUE!</v>
      </c>
      <c r="CA130" s="10" t="e">
        <f t="shared" si="130"/>
        <v>#VALUE!</v>
      </c>
      <c r="CB130" s="10" t="e">
        <f t="shared" si="131"/>
        <v>#VALUE!</v>
      </c>
      <c r="CD130" s="10" t="e">
        <f>MATCH(INDEX($BP$12:$BU$12,1,MATCH(BP130,$BP$15:$BU$15,0)),结果汇总!$AI$10:$AI$13,0)</f>
        <v>#VALUE!</v>
      </c>
      <c r="CE130" s="10" t="e">
        <f>MATCH(INDEX($BP$12:$BU$12,1,MATCH(BQ130,$BP$15:$BU$15,0)),结果汇总!$AI$10:$AI$13,0)</f>
        <v>#VALUE!</v>
      </c>
      <c r="CF130" s="10" t="e">
        <f>MATCH(INDEX($BP$12:$BU$12,1,MATCH(BR130,$BP$15:$BU$15,0)),结果汇总!$AI$10:$AI$13,0)</f>
        <v>#VALUE!</v>
      </c>
      <c r="CG130" s="10" t="e">
        <f>MATCH(INDEX($BP$12:$BU$12,1,MATCH(BS130,$BP$15:$BU$15,0)),结果汇总!$AI$10:$AI$13,0)</f>
        <v>#VALUE!</v>
      </c>
      <c r="CH130" s="10" t="e">
        <f>MATCH(INDEX($BP$12:$BU$12,1,MATCH(BT130,$BP$15:$BU$15,0)),结果汇总!$AI$10:$AI$13,0)</f>
        <v>#VALUE!</v>
      </c>
      <c r="CI130" s="10" t="e">
        <f>MATCH(INDEX($BP$12:$BU$12,1,MATCH(BU130,$BP$15:$BU$15,0)),结果汇总!$AI$10:$AI$13,0)</f>
        <v>#VALUE!</v>
      </c>
      <c r="CK130" s="10">
        <f t="shared" si="149"/>
        <v>0</v>
      </c>
      <c r="CL130" s="10">
        <f t="shared" si="149"/>
        <v>0</v>
      </c>
      <c r="CM130" s="10">
        <f t="shared" si="149"/>
        <v>0</v>
      </c>
      <c r="CN130" s="10">
        <f t="shared" si="149"/>
        <v>0</v>
      </c>
      <c r="CO130" s="10">
        <f t="shared" si="150"/>
        <v>0</v>
      </c>
      <c r="CP130" s="10">
        <f t="shared" si="150"/>
        <v>0</v>
      </c>
      <c r="CQ130" s="10">
        <f t="shared" si="150"/>
        <v>0</v>
      </c>
      <c r="CR130" s="10">
        <f t="shared" si="150"/>
        <v>0</v>
      </c>
      <c r="CS130" s="10" t="e">
        <f t="shared" si="151"/>
        <v>#DIV/0!</v>
      </c>
      <c r="CT130" s="10" t="e">
        <f t="shared" si="151"/>
        <v>#DIV/0!</v>
      </c>
      <c r="CU130" s="10" t="e">
        <f t="shared" si="151"/>
        <v>#DIV/0!</v>
      </c>
      <c r="CV130" s="10" t="e">
        <f t="shared" si="151"/>
        <v>#DIV/0!</v>
      </c>
      <c r="CW130" s="10">
        <f t="shared" si="152"/>
        <v>0</v>
      </c>
      <c r="CX130" s="10">
        <f t="shared" si="152"/>
        <v>0</v>
      </c>
      <c r="CY130" s="10">
        <f t="shared" si="152"/>
        <v>0</v>
      </c>
      <c r="CZ130" s="10">
        <f t="shared" si="152"/>
        <v>0</v>
      </c>
    </row>
    <row r="131" spans="4:104" x14ac:dyDescent="0.15">
      <c r="D131" s="10">
        <v>116</v>
      </c>
      <c r="E131" s="10" t="e">
        <f t="shared" si="95"/>
        <v>#VALUE!</v>
      </c>
      <c r="F131" s="10" t="e">
        <f t="shared" si="79"/>
        <v>#VALUE!</v>
      </c>
      <c r="G131" s="10" t="e">
        <f t="shared" si="80"/>
        <v>#VALUE!</v>
      </c>
      <c r="H131" s="10" t="e">
        <f t="shared" si="96"/>
        <v>#VALUE!</v>
      </c>
      <c r="I131" s="10" t="e">
        <f t="shared" si="81"/>
        <v>#VALUE!</v>
      </c>
      <c r="J131" s="10" t="e">
        <f t="shared" si="97"/>
        <v>#VALUE!</v>
      </c>
      <c r="K131" s="10" t="e">
        <f t="shared" si="82"/>
        <v>#VALUE!</v>
      </c>
      <c r="L131" s="10" t="e">
        <f t="shared" si="83"/>
        <v>#VALUE!</v>
      </c>
      <c r="M131" s="10" t="e">
        <f t="shared" si="98"/>
        <v>#VALUE!</v>
      </c>
      <c r="O131" s="10" t="e">
        <f t="shared" si="99"/>
        <v>#VALUE!</v>
      </c>
      <c r="P131" s="10" t="e">
        <f t="shared" si="84"/>
        <v>#VALUE!</v>
      </c>
      <c r="Q131" s="10" t="e">
        <f t="shared" si="85"/>
        <v>#VALUE!</v>
      </c>
      <c r="R131" s="10" t="e">
        <f t="shared" si="100"/>
        <v>#VALUE!</v>
      </c>
      <c r="S131" s="10" t="e">
        <f t="shared" si="101"/>
        <v>#VALUE!</v>
      </c>
      <c r="T131" s="10" t="e">
        <f t="shared" si="136"/>
        <v>#VALUE!</v>
      </c>
      <c r="U131" s="10" t="e">
        <f t="shared" si="137"/>
        <v>#VALUE!</v>
      </c>
      <c r="V131" s="10" t="e">
        <f t="shared" si="86"/>
        <v>#VALUE!</v>
      </c>
      <c r="W131" s="10" t="e">
        <f t="shared" si="102"/>
        <v>#VALUE!</v>
      </c>
      <c r="Y131" s="10" t="e">
        <f t="shared" si="103"/>
        <v>#VALUE!</v>
      </c>
      <c r="Z131" s="11" t="e">
        <f t="shared" si="104"/>
        <v>#VALUE!</v>
      </c>
      <c r="AA131" s="10" t="e">
        <f t="shared" si="87"/>
        <v>#VALUE!</v>
      </c>
      <c r="AB131" s="10" t="e">
        <f t="shared" si="105"/>
        <v>#VALUE!</v>
      </c>
      <c r="AC131" s="10" t="e">
        <f t="shared" si="106"/>
        <v>#VALUE!</v>
      </c>
      <c r="AD131" s="10" t="e">
        <f t="shared" si="138"/>
        <v>#VALUE!</v>
      </c>
      <c r="AE131" s="10" t="e">
        <f t="shared" si="139"/>
        <v>#VALUE!</v>
      </c>
      <c r="AF131" s="10" t="e">
        <f t="shared" si="88"/>
        <v>#VALUE!</v>
      </c>
      <c r="AG131" s="10" t="e">
        <f t="shared" si="107"/>
        <v>#VALUE!</v>
      </c>
      <c r="AI131" s="13"/>
      <c r="AK131" s="10" t="e">
        <f t="shared" si="108"/>
        <v>#VALUE!</v>
      </c>
      <c r="AL131" s="10" t="e">
        <f t="shared" si="140"/>
        <v>#VALUE!</v>
      </c>
      <c r="AM131" s="10" t="e">
        <f t="shared" si="89"/>
        <v>#VALUE!</v>
      </c>
      <c r="AN131" s="10" t="e">
        <f t="shared" si="109"/>
        <v>#VALUE!</v>
      </c>
      <c r="AO131" s="10" t="e">
        <f t="shared" si="110"/>
        <v>#VALUE!</v>
      </c>
      <c r="AP131" s="10" t="e">
        <f t="shared" si="111"/>
        <v>#VALUE!</v>
      </c>
      <c r="AQ131" s="10" t="e">
        <f t="shared" si="141"/>
        <v>#VALUE!</v>
      </c>
      <c r="AR131" s="10" t="e">
        <f t="shared" si="90"/>
        <v>#VALUE!</v>
      </c>
      <c r="AS131" s="10" t="e">
        <f t="shared" si="142"/>
        <v>#VALUE!</v>
      </c>
      <c r="AU131" s="10" t="e">
        <f t="shared" si="112"/>
        <v>#VALUE!</v>
      </c>
      <c r="AV131" s="10" t="e">
        <f t="shared" si="143"/>
        <v>#VALUE!</v>
      </c>
      <c r="AW131" s="10" t="e">
        <f t="shared" si="91"/>
        <v>#VALUE!</v>
      </c>
      <c r="AX131" s="10" t="e">
        <f t="shared" si="113"/>
        <v>#VALUE!</v>
      </c>
      <c r="AY131" s="10" t="e">
        <f t="shared" si="114"/>
        <v>#VALUE!</v>
      </c>
      <c r="AZ131" s="10" t="e">
        <f t="shared" si="115"/>
        <v>#VALUE!</v>
      </c>
      <c r="BA131" s="10" t="e">
        <f t="shared" si="144"/>
        <v>#VALUE!</v>
      </c>
      <c r="BB131" s="10" t="e">
        <f t="shared" si="92"/>
        <v>#VALUE!</v>
      </c>
      <c r="BC131" s="10" t="e">
        <f t="shared" si="145"/>
        <v>#VALUE!</v>
      </c>
      <c r="BE131" s="10" t="e">
        <f t="shared" si="116"/>
        <v>#VALUE!</v>
      </c>
      <c r="BF131" s="10" t="e">
        <f t="shared" si="146"/>
        <v>#VALUE!</v>
      </c>
      <c r="BG131" s="10" t="e">
        <f t="shared" si="93"/>
        <v>#VALUE!</v>
      </c>
      <c r="BH131" s="10" t="e">
        <f t="shared" si="117"/>
        <v>#VALUE!</v>
      </c>
      <c r="BI131" s="10" t="e">
        <f t="shared" si="118"/>
        <v>#VALUE!</v>
      </c>
      <c r="BJ131" s="10" t="e">
        <f t="shared" si="119"/>
        <v>#VALUE!</v>
      </c>
      <c r="BK131" s="10" t="e">
        <f t="shared" si="147"/>
        <v>#VALUE!</v>
      </c>
      <c r="BL131" s="10" t="e">
        <f t="shared" si="94"/>
        <v>#VALUE!</v>
      </c>
      <c r="BM131" s="10" t="e">
        <f t="shared" si="148"/>
        <v>#VALUE!</v>
      </c>
      <c r="BP131" s="10" t="e">
        <f t="shared" si="120"/>
        <v>#VALUE!</v>
      </c>
      <c r="BQ131" s="10" t="e">
        <f t="shared" si="121"/>
        <v>#VALUE!</v>
      </c>
      <c r="BR131" s="10" t="e">
        <f t="shared" si="122"/>
        <v>#VALUE!</v>
      </c>
      <c r="BS131" s="10" t="e">
        <f t="shared" si="123"/>
        <v>#VALUE!</v>
      </c>
      <c r="BT131" s="10" t="e">
        <f t="shared" si="124"/>
        <v>#VALUE!</v>
      </c>
      <c r="BU131" s="10" t="e">
        <f t="shared" si="125"/>
        <v>#VALUE!</v>
      </c>
      <c r="BW131" s="10" t="e">
        <f t="shared" si="126"/>
        <v>#VALUE!</v>
      </c>
      <c r="BX131" s="10" t="e">
        <f t="shared" si="127"/>
        <v>#VALUE!</v>
      </c>
      <c r="BY131" s="10" t="e">
        <f t="shared" si="128"/>
        <v>#VALUE!</v>
      </c>
      <c r="BZ131" s="10" t="e">
        <f t="shared" si="129"/>
        <v>#VALUE!</v>
      </c>
      <c r="CA131" s="10" t="e">
        <f t="shared" si="130"/>
        <v>#VALUE!</v>
      </c>
      <c r="CB131" s="10" t="e">
        <f t="shared" si="131"/>
        <v>#VALUE!</v>
      </c>
      <c r="CD131" s="10" t="e">
        <f>MATCH(INDEX($BP$12:$BU$12,1,MATCH(BP131,$BP$15:$BU$15,0)),结果汇总!$AI$10:$AI$13,0)</f>
        <v>#VALUE!</v>
      </c>
      <c r="CE131" s="10" t="e">
        <f>MATCH(INDEX($BP$12:$BU$12,1,MATCH(BQ131,$BP$15:$BU$15,0)),结果汇总!$AI$10:$AI$13,0)</f>
        <v>#VALUE!</v>
      </c>
      <c r="CF131" s="10" t="e">
        <f>MATCH(INDEX($BP$12:$BU$12,1,MATCH(BR131,$BP$15:$BU$15,0)),结果汇总!$AI$10:$AI$13,0)</f>
        <v>#VALUE!</v>
      </c>
      <c r="CG131" s="10" t="e">
        <f>MATCH(INDEX($BP$12:$BU$12,1,MATCH(BS131,$BP$15:$BU$15,0)),结果汇总!$AI$10:$AI$13,0)</f>
        <v>#VALUE!</v>
      </c>
      <c r="CH131" s="10" t="e">
        <f>MATCH(INDEX($BP$12:$BU$12,1,MATCH(BT131,$BP$15:$BU$15,0)),结果汇总!$AI$10:$AI$13,0)</f>
        <v>#VALUE!</v>
      </c>
      <c r="CI131" s="10" t="e">
        <f>MATCH(INDEX($BP$12:$BU$12,1,MATCH(BU131,$BP$15:$BU$15,0)),结果汇总!$AI$10:$AI$13,0)</f>
        <v>#VALUE!</v>
      </c>
      <c r="CK131" s="10">
        <f t="shared" si="149"/>
        <v>0</v>
      </c>
      <c r="CL131" s="10">
        <f t="shared" si="149"/>
        <v>0</v>
      </c>
      <c r="CM131" s="10">
        <f t="shared" si="149"/>
        <v>0</v>
      </c>
      <c r="CN131" s="10">
        <f t="shared" si="149"/>
        <v>0</v>
      </c>
      <c r="CO131" s="10">
        <f t="shared" si="150"/>
        <v>0</v>
      </c>
      <c r="CP131" s="10">
        <f t="shared" si="150"/>
        <v>0</v>
      </c>
      <c r="CQ131" s="10">
        <f t="shared" si="150"/>
        <v>0</v>
      </c>
      <c r="CR131" s="10">
        <f t="shared" si="150"/>
        <v>0</v>
      </c>
      <c r="CS131" s="10" t="e">
        <f t="shared" si="151"/>
        <v>#DIV/0!</v>
      </c>
      <c r="CT131" s="10" t="e">
        <f t="shared" si="151"/>
        <v>#DIV/0!</v>
      </c>
      <c r="CU131" s="10" t="e">
        <f t="shared" si="151"/>
        <v>#DIV/0!</v>
      </c>
      <c r="CV131" s="10" t="e">
        <f t="shared" si="151"/>
        <v>#DIV/0!</v>
      </c>
      <c r="CW131" s="10">
        <f t="shared" si="152"/>
        <v>0</v>
      </c>
      <c r="CX131" s="10">
        <f t="shared" si="152"/>
        <v>0</v>
      </c>
      <c r="CY131" s="10">
        <f t="shared" si="152"/>
        <v>0</v>
      </c>
      <c r="CZ131" s="10">
        <f t="shared" si="152"/>
        <v>0</v>
      </c>
    </row>
    <row r="132" spans="4:104" x14ac:dyDescent="0.15">
      <c r="D132" s="10">
        <v>117</v>
      </c>
      <c r="E132" s="10" t="e">
        <f t="shared" si="95"/>
        <v>#VALUE!</v>
      </c>
      <c r="F132" s="10" t="e">
        <f t="shared" si="79"/>
        <v>#VALUE!</v>
      </c>
      <c r="G132" s="10" t="e">
        <f t="shared" si="80"/>
        <v>#VALUE!</v>
      </c>
      <c r="H132" s="10" t="e">
        <f t="shared" si="96"/>
        <v>#VALUE!</v>
      </c>
      <c r="I132" s="10" t="e">
        <f t="shared" si="81"/>
        <v>#VALUE!</v>
      </c>
      <c r="J132" s="10" t="e">
        <f t="shared" si="97"/>
        <v>#VALUE!</v>
      </c>
      <c r="K132" s="10" t="e">
        <f t="shared" si="82"/>
        <v>#VALUE!</v>
      </c>
      <c r="L132" s="10" t="e">
        <f t="shared" si="83"/>
        <v>#VALUE!</v>
      </c>
      <c r="M132" s="10" t="e">
        <f t="shared" si="98"/>
        <v>#VALUE!</v>
      </c>
      <c r="O132" s="10" t="e">
        <f t="shared" si="99"/>
        <v>#VALUE!</v>
      </c>
      <c r="P132" s="10" t="e">
        <f t="shared" si="84"/>
        <v>#VALUE!</v>
      </c>
      <c r="Q132" s="10" t="e">
        <f t="shared" si="85"/>
        <v>#VALUE!</v>
      </c>
      <c r="R132" s="10" t="e">
        <f t="shared" si="100"/>
        <v>#VALUE!</v>
      </c>
      <c r="S132" s="10" t="e">
        <f t="shared" si="101"/>
        <v>#VALUE!</v>
      </c>
      <c r="T132" s="10" t="e">
        <f t="shared" si="136"/>
        <v>#VALUE!</v>
      </c>
      <c r="U132" s="10" t="e">
        <f t="shared" si="137"/>
        <v>#VALUE!</v>
      </c>
      <c r="V132" s="10" t="e">
        <f t="shared" si="86"/>
        <v>#VALUE!</v>
      </c>
      <c r="W132" s="10" t="e">
        <f t="shared" si="102"/>
        <v>#VALUE!</v>
      </c>
      <c r="Y132" s="10" t="e">
        <f t="shared" si="103"/>
        <v>#VALUE!</v>
      </c>
      <c r="Z132" s="11" t="e">
        <f t="shared" si="104"/>
        <v>#VALUE!</v>
      </c>
      <c r="AA132" s="10" t="e">
        <f t="shared" si="87"/>
        <v>#VALUE!</v>
      </c>
      <c r="AB132" s="10" t="e">
        <f t="shared" si="105"/>
        <v>#VALUE!</v>
      </c>
      <c r="AC132" s="10" t="e">
        <f t="shared" si="106"/>
        <v>#VALUE!</v>
      </c>
      <c r="AD132" s="10" t="e">
        <f t="shared" si="138"/>
        <v>#VALUE!</v>
      </c>
      <c r="AE132" s="10" t="e">
        <f t="shared" si="139"/>
        <v>#VALUE!</v>
      </c>
      <c r="AF132" s="10" t="e">
        <f t="shared" si="88"/>
        <v>#VALUE!</v>
      </c>
      <c r="AG132" s="10" t="e">
        <f t="shared" si="107"/>
        <v>#VALUE!</v>
      </c>
      <c r="AI132" s="13"/>
      <c r="AK132" s="10" t="e">
        <f t="shared" si="108"/>
        <v>#VALUE!</v>
      </c>
      <c r="AL132" s="10" t="e">
        <f t="shared" si="140"/>
        <v>#VALUE!</v>
      </c>
      <c r="AM132" s="10" t="e">
        <f t="shared" si="89"/>
        <v>#VALUE!</v>
      </c>
      <c r="AN132" s="10" t="e">
        <f t="shared" si="109"/>
        <v>#VALUE!</v>
      </c>
      <c r="AO132" s="10" t="e">
        <f t="shared" si="110"/>
        <v>#VALUE!</v>
      </c>
      <c r="AP132" s="10" t="e">
        <f t="shared" si="111"/>
        <v>#VALUE!</v>
      </c>
      <c r="AQ132" s="10" t="e">
        <f t="shared" si="141"/>
        <v>#VALUE!</v>
      </c>
      <c r="AR132" s="10" t="e">
        <f t="shared" si="90"/>
        <v>#VALUE!</v>
      </c>
      <c r="AS132" s="10" t="e">
        <f t="shared" si="142"/>
        <v>#VALUE!</v>
      </c>
      <c r="AU132" s="10" t="e">
        <f t="shared" si="112"/>
        <v>#VALUE!</v>
      </c>
      <c r="AV132" s="10" t="e">
        <f t="shared" si="143"/>
        <v>#VALUE!</v>
      </c>
      <c r="AW132" s="10" t="e">
        <f t="shared" si="91"/>
        <v>#VALUE!</v>
      </c>
      <c r="AX132" s="10" t="e">
        <f t="shared" si="113"/>
        <v>#VALUE!</v>
      </c>
      <c r="AY132" s="10" t="e">
        <f t="shared" si="114"/>
        <v>#VALUE!</v>
      </c>
      <c r="AZ132" s="10" t="e">
        <f t="shared" si="115"/>
        <v>#VALUE!</v>
      </c>
      <c r="BA132" s="10" t="e">
        <f t="shared" si="144"/>
        <v>#VALUE!</v>
      </c>
      <c r="BB132" s="10" t="e">
        <f t="shared" si="92"/>
        <v>#VALUE!</v>
      </c>
      <c r="BC132" s="10" t="e">
        <f t="shared" si="145"/>
        <v>#VALUE!</v>
      </c>
      <c r="BE132" s="10" t="e">
        <f t="shared" si="116"/>
        <v>#VALUE!</v>
      </c>
      <c r="BF132" s="10" t="e">
        <f t="shared" si="146"/>
        <v>#VALUE!</v>
      </c>
      <c r="BG132" s="10" t="e">
        <f t="shared" si="93"/>
        <v>#VALUE!</v>
      </c>
      <c r="BH132" s="10" t="e">
        <f t="shared" si="117"/>
        <v>#VALUE!</v>
      </c>
      <c r="BI132" s="10" t="e">
        <f t="shared" si="118"/>
        <v>#VALUE!</v>
      </c>
      <c r="BJ132" s="10" t="e">
        <f t="shared" si="119"/>
        <v>#VALUE!</v>
      </c>
      <c r="BK132" s="10" t="e">
        <f t="shared" si="147"/>
        <v>#VALUE!</v>
      </c>
      <c r="BL132" s="10" t="e">
        <f t="shared" si="94"/>
        <v>#VALUE!</v>
      </c>
      <c r="BM132" s="10" t="e">
        <f t="shared" si="148"/>
        <v>#VALUE!</v>
      </c>
      <c r="BP132" s="10" t="e">
        <f t="shared" si="120"/>
        <v>#VALUE!</v>
      </c>
      <c r="BQ132" s="10" t="e">
        <f t="shared" si="121"/>
        <v>#VALUE!</v>
      </c>
      <c r="BR132" s="10" t="e">
        <f t="shared" si="122"/>
        <v>#VALUE!</v>
      </c>
      <c r="BS132" s="10" t="e">
        <f t="shared" si="123"/>
        <v>#VALUE!</v>
      </c>
      <c r="BT132" s="10" t="e">
        <f t="shared" si="124"/>
        <v>#VALUE!</v>
      </c>
      <c r="BU132" s="10" t="e">
        <f t="shared" si="125"/>
        <v>#VALUE!</v>
      </c>
      <c r="BW132" s="10" t="e">
        <f t="shared" si="126"/>
        <v>#VALUE!</v>
      </c>
      <c r="BX132" s="10" t="e">
        <f t="shared" si="127"/>
        <v>#VALUE!</v>
      </c>
      <c r="BY132" s="10" t="e">
        <f t="shared" si="128"/>
        <v>#VALUE!</v>
      </c>
      <c r="BZ132" s="10" t="e">
        <f t="shared" si="129"/>
        <v>#VALUE!</v>
      </c>
      <c r="CA132" s="10" t="e">
        <f t="shared" si="130"/>
        <v>#VALUE!</v>
      </c>
      <c r="CB132" s="10" t="e">
        <f t="shared" si="131"/>
        <v>#VALUE!</v>
      </c>
      <c r="CD132" s="10" t="e">
        <f>MATCH(INDEX($BP$12:$BU$12,1,MATCH(BP132,$BP$15:$BU$15,0)),结果汇总!$AI$10:$AI$13,0)</f>
        <v>#VALUE!</v>
      </c>
      <c r="CE132" s="10" t="e">
        <f>MATCH(INDEX($BP$12:$BU$12,1,MATCH(BQ132,$BP$15:$BU$15,0)),结果汇总!$AI$10:$AI$13,0)</f>
        <v>#VALUE!</v>
      </c>
      <c r="CF132" s="10" t="e">
        <f>MATCH(INDEX($BP$12:$BU$12,1,MATCH(BR132,$BP$15:$BU$15,0)),结果汇总!$AI$10:$AI$13,0)</f>
        <v>#VALUE!</v>
      </c>
      <c r="CG132" s="10" t="e">
        <f>MATCH(INDEX($BP$12:$BU$12,1,MATCH(BS132,$BP$15:$BU$15,0)),结果汇总!$AI$10:$AI$13,0)</f>
        <v>#VALUE!</v>
      </c>
      <c r="CH132" s="10" t="e">
        <f>MATCH(INDEX($BP$12:$BU$12,1,MATCH(BT132,$BP$15:$BU$15,0)),结果汇总!$AI$10:$AI$13,0)</f>
        <v>#VALUE!</v>
      </c>
      <c r="CI132" s="10" t="e">
        <f>MATCH(INDEX($BP$12:$BU$12,1,MATCH(BU132,$BP$15:$BU$15,0)),结果汇总!$AI$10:$AI$13,0)</f>
        <v>#VALUE!</v>
      </c>
      <c r="CK132" s="10">
        <f t="shared" si="149"/>
        <v>0</v>
      </c>
      <c r="CL132" s="10">
        <f t="shared" si="149"/>
        <v>0</v>
      </c>
      <c r="CM132" s="10">
        <f t="shared" si="149"/>
        <v>0</v>
      </c>
      <c r="CN132" s="10">
        <f t="shared" si="149"/>
        <v>0</v>
      </c>
      <c r="CO132" s="10">
        <f t="shared" si="150"/>
        <v>0</v>
      </c>
      <c r="CP132" s="10">
        <f t="shared" si="150"/>
        <v>0</v>
      </c>
      <c r="CQ132" s="10">
        <f t="shared" si="150"/>
        <v>0</v>
      </c>
      <c r="CR132" s="10">
        <f t="shared" si="150"/>
        <v>0</v>
      </c>
      <c r="CS132" s="10" t="e">
        <f t="shared" si="151"/>
        <v>#DIV/0!</v>
      </c>
      <c r="CT132" s="10" t="e">
        <f t="shared" si="151"/>
        <v>#DIV/0!</v>
      </c>
      <c r="CU132" s="10" t="e">
        <f t="shared" si="151"/>
        <v>#DIV/0!</v>
      </c>
      <c r="CV132" s="10" t="e">
        <f t="shared" si="151"/>
        <v>#DIV/0!</v>
      </c>
      <c r="CW132" s="10">
        <f t="shared" si="152"/>
        <v>0</v>
      </c>
      <c r="CX132" s="10">
        <f t="shared" si="152"/>
        <v>0</v>
      </c>
      <c r="CY132" s="10">
        <f t="shared" si="152"/>
        <v>0</v>
      </c>
      <c r="CZ132" s="10">
        <f t="shared" si="152"/>
        <v>0</v>
      </c>
    </row>
    <row r="133" spans="4:104" x14ac:dyDescent="0.15">
      <c r="D133" s="10">
        <v>118</v>
      </c>
      <c r="E133" s="10" t="e">
        <f t="shared" si="95"/>
        <v>#VALUE!</v>
      </c>
      <c r="F133" s="10" t="e">
        <f t="shared" si="79"/>
        <v>#VALUE!</v>
      </c>
      <c r="G133" s="10" t="e">
        <f t="shared" si="80"/>
        <v>#VALUE!</v>
      </c>
      <c r="H133" s="10" t="e">
        <f t="shared" si="96"/>
        <v>#VALUE!</v>
      </c>
      <c r="I133" s="10" t="e">
        <f t="shared" si="81"/>
        <v>#VALUE!</v>
      </c>
      <c r="J133" s="10" t="e">
        <f t="shared" si="97"/>
        <v>#VALUE!</v>
      </c>
      <c r="K133" s="10" t="e">
        <f t="shared" si="82"/>
        <v>#VALUE!</v>
      </c>
      <c r="L133" s="10" t="e">
        <f t="shared" si="83"/>
        <v>#VALUE!</v>
      </c>
      <c r="M133" s="10" t="e">
        <f t="shared" si="98"/>
        <v>#VALUE!</v>
      </c>
      <c r="O133" s="10" t="e">
        <f t="shared" si="99"/>
        <v>#VALUE!</v>
      </c>
      <c r="P133" s="10" t="e">
        <f t="shared" si="84"/>
        <v>#VALUE!</v>
      </c>
      <c r="Q133" s="10" t="e">
        <f t="shared" si="85"/>
        <v>#VALUE!</v>
      </c>
      <c r="R133" s="10" t="e">
        <f t="shared" si="100"/>
        <v>#VALUE!</v>
      </c>
      <c r="S133" s="10" t="e">
        <f t="shared" si="101"/>
        <v>#VALUE!</v>
      </c>
      <c r="T133" s="10" t="e">
        <f t="shared" si="136"/>
        <v>#VALUE!</v>
      </c>
      <c r="U133" s="10" t="e">
        <f t="shared" si="137"/>
        <v>#VALUE!</v>
      </c>
      <c r="V133" s="10" t="e">
        <f t="shared" si="86"/>
        <v>#VALUE!</v>
      </c>
      <c r="W133" s="10" t="e">
        <f t="shared" si="102"/>
        <v>#VALUE!</v>
      </c>
      <c r="Y133" s="10" t="e">
        <f t="shared" si="103"/>
        <v>#VALUE!</v>
      </c>
      <c r="Z133" s="11" t="e">
        <f t="shared" si="104"/>
        <v>#VALUE!</v>
      </c>
      <c r="AA133" s="10" t="e">
        <f t="shared" si="87"/>
        <v>#VALUE!</v>
      </c>
      <c r="AB133" s="10" t="e">
        <f t="shared" si="105"/>
        <v>#VALUE!</v>
      </c>
      <c r="AC133" s="10" t="e">
        <f t="shared" si="106"/>
        <v>#VALUE!</v>
      </c>
      <c r="AD133" s="10" t="e">
        <f t="shared" si="138"/>
        <v>#VALUE!</v>
      </c>
      <c r="AE133" s="10" t="e">
        <f t="shared" si="139"/>
        <v>#VALUE!</v>
      </c>
      <c r="AF133" s="10" t="e">
        <f t="shared" si="88"/>
        <v>#VALUE!</v>
      </c>
      <c r="AG133" s="10" t="e">
        <f t="shared" si="107"/>
        <v>#VALUE!</v>
      </c>
      <c r="AI133" s="13"/>
      <c r="AK133" s="10" t="e">
        <f t="shared" si="108"/>
        <v>#VALUE!</v>
      </c>
      <c r="AL133" s="10" t="e">
        <f t="shared" si="140"/>
        <v>#VALUE!</v>
      </c>
      <c r="AM133" s="10" t="e">
        <f t="shared" si="89"/>
        <v>#VALUE!</v>
      </c>
      <c r="AN133" s="10" t="e">
        <f t="shared" si="109"/>
        <v>#VALUE!</v>
      </c>
      <c r="AO133" s="10" t="e">
        <f t="shared" si="110"/>
        <v>#VALUE!</v>
      </c>
      <c r="AP133" s="10" t="e">
        <f t="shared" si="111"/>
        <v>#VALUE!</v>
      </c>
      <c r="AQ133" s="10" t="e">
        <f t="shared" si="141"/>
        <v>#VALUE!</v>
      </c>
      <c r="AR133" s="10" t="e">
        <f t="shared" si="90"/>
        <v>#VALUE!</v>
      </c>
      <c r="AS133" s="10" t="e">
        <f t="shared" si="142"/>
        <v>#VALUE!</v>
      </c>
      <c r="AU133" s="10" t="e">
        <f t="shared" si="112"/>
        <v>#VALUE!</v>
      </c>
      <c r="AV133" s="10" t="e">
        <f t="shared" si="143"/>
        <v>#VALUE!</v>
      </c>
      <c r="AW133" s="10" t="e">
        <f t="shared" si="91"/>
        <v>#VALUE!</v>
      </c>
      <c r="AX133" s="10" t="e">
        <f t="shared" si="113"/>
        <v>#VALUE!</v>
      </c>
      <c r="AY133" s="10" t="e">
        <f t="shared" si="114"/>
        <v>#VALUE!</v>
      </c>
      <c r="AZ133" s="10" t="e">
        <f t="shared" si="115"/>
        <v>#VALUE!</v>
      </c>
      <c r="BA133" s="10" t="e">
        <f t="shared" si="144"/>
        <v>#VALUE!</v>
      </c>
      <c r="BB133" s="10" t="e">
        <f t="shared" si="92"/>
        <v>#VALUE!</v>
      </c>
      <c r="BC133" s="10" t="e">
        <f t="shared" si="145"/>
        <v>#VALUE!</v>
      </c>
      <c r="BE133" s="10" t="e">
        <f t="shared" si="116"/>
        <v>#VALUE!</v>
      </c>
      <c r="BF133" s="10" t="e">
        <f t="shared" si="146"/>
        <v>#VALUE!</v>
      </c>
      <c r="BG133" s="10" t="e">
        <f t="shared" si="93"/>
        <v>#VALUE!</v>
      </c>
      <c r="BH133" s="10" t="e">
        <f t="shared" si="117"/>
        <v>#VALUE!</v>
      </c>
      <c r="BI133" s="10" t="e">
        <f t="shared" si="118"/>
        <v>#VALUE!</v>
      </c>
      <c r="BJ133" s="10" t="e">
        <f t="shared" si="119"/>
        <v>#VALUE!</v>
      </c>
      <c r="BK133" s="10" t="e">
        <f t="shared" si="147"/>
        <v>#VALUE!</v>
      </c>
      <c r="BL133" s="10" t="e">
        <f t="shared" si="94"/>
        <v>#VALUE!</v>
      </c>
      <c r="BM133" s="10" t="e">
        <f t="shared" si="148"/>
        <v>#VALUE!</v>
      </c>
      <c r="BP133" s="10" t="e">
        <f t="shared" si="120"/>
        <v>#VALUE!</v>
      </c>
      <c r="BQ133" s="10" t="e">
        <f t="shared" si="121"/>
        <v>#VALUE!</v>
      </c>
      <c r="BR133" s="10" t="e">
        <f t="shared" si="122"/>
        <v>#VALUE!</v>
      </c>
      <c r="BS133" s="10" t="e">
        <f t="shared" si="123"/>
        <v>#VALUE!</v>
      </c>
      <c r="BT133" s="10" t="e">
        <f t="shared" si="124"/>
        <v>#VALUE!</v>
      </c>
      <c r="BU133" s="10" t="e">
        <f t="shared" si="125"/>
        <v>#VALUE!</v>
      </c>
      <c r="BW133" s="10" t="e">
        <f t="shared" si="126"/>
        <v>#VALUE!</v>
      </c>
      <c r="BX133" s="10" t="e">
        <f t="shared" si="127"/>
        <v>#VALUE!</v>
      </c>
      <c r="BY133" s="10" t="e">
        <f t="shared" si="128"/>
        <v>#VALUE!</v>
      </c>
      <c r="BZ133" s="10" t="e">
        <f t="shared" si="129"/>
        <v>#VALUE!</v>
      </c>
      <c r="CA133" s="10" t="e">
        <f t="shared" si="130"/>
        <v>#VALUE!</v>
      </c>
      <c r="CB133" s="10" t="e">
        <f t="shared" si="131"/>
        <v>#VALUE!</v>
      </c>
      <c r="CD133" s="10" t="e">
        <f>MATCH(INDEX($BP$12:$BU$12,1,MATCH(BP133,$BP$15:$BU$15,0)),结果汇总!$AI$10:$AI$13,0)</f>
        <v>#VALUE!</v>
      </c>
      <c r="CE133" s="10" t="e">
        <f>MATCH(INDEX($BP$12:$BU$12,1,MATCH(BQ133,$BP$15:$BU$15,0)),结果汇总!$AI$10:$AI$13,0)</f>
        <v>#VALUE!</v>
      </c>
      <c r="CF133" s="10" t="e">
        <f>MATCH(INDEX($BP$12:$BU$12,1,MATCH(BR133,$BP$15:$BU$15,0)),结果汇总!$AI$10:$AI$13,0)</f>
        <v>#VALUE!</v>
      </c>
      <c r="CG133" s="10" t="e">
        <f>MATCH(INDEX($BP$12:$BU$12,1,MATCH(BS133,$BP$15:$BU$15,0)),结果汇总!$AI$10:$AI$13,0)</f>
        <v>#VALUE!</v>
      </c>
      <c r="CH133" s="10" t="e">
        <f>MATCH(INDEX($BP$12:$BU$12,1,MATCH(BT133,$BP$15:$BU$15,0)),结果汇总!$AI$10:$AI$13,0)</f>
        <v>#VALUE!</v>
      </c>
      <c r="CI133" s="10" t="e">
        <f>MATCH(INDEX($BP$12:$BU$12,1,MATCH(BU133,$BP$15:$BU$15,0)),结果汇总!$AI$10:$AI$13,0)</f>
        <v>#VALUE!</v>
      </c>
      <c r="CK133" s="10">
        <f t="shared" si="149"/>
        <v>0</v>
      </c>
      <c r="CL133" s="10">
        <f t="shared" si="149"/>
        <v>0</v>
      </c>
      <c r="CM133" s="10">
        <f t="shared" si="149"/>
        <v>0</v>
      </c>
      <c r="CN133" s="10">
        <f t="shared" si="149"/>
        <v>0</v>
      </c>
      <c r="CO133" s="10">
        <f t="shared" si="150"/>
        <v>0</v>
      </c>
      <c r="CP133" s="10">
        <f t="shared" si="150"/>
        <v>0</v>
      </c>
      <c r="CQ133" s="10">
        <f t="shared" si="150"/>
        <v>0</v>
      </c>
      <c r="CR133" s="10">
        <f t="shared" si="150"/>
        <v>0</v>
      </c>
      <c r="CS133" s="10" t="e">
        <f t="shared" si="151"/>
        <v>#DIV/0!</v>
      </c>
      <c r="CT133" s="10" t="e">
        <f t="shared" si="151"/>
        <v>#DIV/0!</v>
      </c>
      <c r="CU133" s="10" t="e">
        <f t="shared" si="151"/>
        <v>#DIV/0!</v>
      </c>
      <c r="CV133" s="10" t="e">
        <f t="shared" si="151"/>
        <v>#DIV/0!</v>
      </c>
      <c r="CW133" s="10">
        <f t="shared" si="152"/>
        <v>0</v>
      </c>
      <c r="CX133" s="10">
        <f t="shared" si="152"/>
        <v>0</v>
      </c>
      <c r="CY133" s="10">
        <f t="shared" si="152"/>
        <v>0</v>
      </c>
      <c r="CZ133" s="10">
        <f t="shared" si="152"/>
        <v>0</v>
      </c>
    </row>
    <row r="134" spans="4:104" x14ac:dyDescent="0.15">
      <c r="D134" s="10">
        <v>119</v>
      </c>
      <c r="E134" s="10" t="e">
        <f t="shared" si="95"/>
        <v>#VALUE!</v>
      </c>
      <c r="F134" s="10" t="e">
        <f t="shared" si="79"/>
        <v>#VALUE!</v>
      </c>
      <c r="G134" s="10" t="e">
        <f t="shared" si="80"/>
        <v>#VALUE!</v>
      </c>
      <c r="H134" s="10" t="e">
        <f t="shared" si="96"/>
        <v>#VALUE!</v>
      </c>
      <c r="I134" s="10" t="e">
        <f t="shared" si="81"/>
        <v>#VALUE!</v>
      </c>
      <c r="J134" s="10" t="e">
        <f t="shared" si="97"/>
        <v>#VALUE!</v>
      </c>
      <c r="K134" s="10" t="e">
        <f t="shared" si="82"/>
        <v>#VALUE!</v>
      </c>
      <c r="L134" s="10" t="e">
        <f t="shared" si="83"/>
        <v>#VALUE!</v>
      </c>
      <c r="M134" s="10" t="e">
        <f t="shared" si="98"/>
        <v>#VALUE!</v>
      </c>
      <c r="O134" s="10" t="e">
        <f t="shared" si="99"/>
        <v>#VALUE!</v>
      </c>
      <c r="P134" s="10" t="e">
        <f t="shared" si="84"/>
        <v>#VALUE!</v>
      </c>
      <c r="Q134" s="10" t="e">
        <f t="shared" si="85"/>
        <v>#VALUE!</v>
      </c>
      <c r="R134" s="10" t="e">
        <f t="shared" si="100"/>
        <v>#VALUE!</v>
      </c>
      <c r="S134" s="10" t="e">
        <f t="shared" si="101"/>
        <v>#VALUE!</v>
      </c>
      <c r="T134" s="10" t="e">
        <f t="shared" si="136"/>
        <v>#VALUE!</v>
      </c>
      <c r="U134" s="10" t="e">
        <f t="shared" si="137"/>
        <v>#VALUE!</v>
      </c>
      <c r="V134" s="10" t="e">
        <f t="shared" si="86"/>
        <v>#VALUE!</v>
      </c>
      <c r="W134" s="10" t="e">
        <f t="shared" si="102"/>
        <v>#VALUE!</v>
      </c>
      <c r="Y134" s="10" t="e">
        <f t="shared" si="103"/>
        <v>#VALUE!</v>
      </c>
      <c r="Z134" s="11" t="e">
        <f t="shared" si="104"/>
        <v>#VALUE!</v>
      </c>
      <c r="AA134" s="10" t="e">
        <f t="shared" si="87"/>
        <v>#VALUE!</v>
      </c>
      <c r="AB134" s="10" t="e">
        <f t="shared" si="105"/>
        <v>#VALUE!</v>
      </c>
      <c r="AC134" s="10" t="e">
        <f t="shared" si="106"/>
        <v>#VALUE!</v>
      </c>
      <c r="AD134" s="10" t="e">
        <f t="shared" si="138"/>
        <v>#VALUE!</v>
      </c>
      <c r="AE134" s="10" t="e">
        <f t="shared" si="139"/>
        <v>#VALUE!</v>
      </c>
      <c r="AF134" s="10" t="e">
        <f t="shared" si="88"/>
        <v>#VALUE!</v>
      </c>
      <c r="AG134" s="10" t="e">
        <f t="shared" si="107"/>
        <v>#VALUE!</v>
      </c>
      <c r="AI134" s="13"/>
      <c r="AK134" s="10" t="e">
        <f t="shared" si="108"/>
        <v>#VALUE!</v>
      </c>
      <c r="AL134" s="10" t="e">
        <f t="shared" si="140"/>
        <v>#VALUE!</v>
      </c>
      <c r="AM134" s="10" t="e">
        <f t="shared" si="89"/>
        <v>#VALUE!</v>
      </c>
      <c r="AN134" s="10" t="e">
        <f t="shared" si="109"/>
        <v>#VALUE!</v>
      </c>
      <c r="AO134" s="10" t="e">
        <f t="shared" si="110"/>
        <v>#VALUE!</v>
      </c>
      <c r="AP134" s="10" t="e">
        <f t="shared" si="111"/>
        <v>#VALUE!</v>
      </c>
      <c r="AQ134" s="10" t="e">
        <f t="shared" si="141"/>
        <v>#VALUE!</v>
      </c>
      <c r="AR134" s="10" t="e">
        <f t="shared" si="90"/>
        <v>#VALUE!</v>
      </c>
      <c r="AS134" s="10" t="e">
        <f t="shared" si="142"/>
        <v>#VALUE!</v>
      </c>
      <c r="AU134" s="10" t="e">
        <f t="shared" si="112"/>
        <v>#VALUE!</v>
      </c>
      <c r="AV134" s="10" t="e">
        <f t="shared" si="143"/>
        <v>#VALUE!</v>
      </c>
      <c r="AW134" s="10" t="e">
        <f t="shared" si="91"/>
        <v>#VALUE!</v>
      </c>
      <c r="AX134" s="10" t="e">
        <f t="shared" si="113"/>
        <v>#VALUE!</v>
      </c>
      <c r="AY134" s="10" t="e">
        <f t="shared" si="114"/>
        <v>#VALUE!</v>
      </c>
      <c r="AZ134" s="10" t="e">
        <f t="shared" si="115"/>
        <v>#VALUE!</v>
      </c>
      <c r="BA134" s="10" t="e">
        <f t="shared" si="144"/>
        <v>#VALUE!</v>
      </c>
      <c r="BB134" s="10" t="e">
        <f t="shared" si="92"/>
        <v>#VALUE!</v>
      </c>
      <c r="BC134" s="10" t="e">
        <f t="shared" si="145"/>
        <v>#VALUE!</v>
      </c>
      <c r="BE134" s="10" t="e">
        <f t="shared" si="116"/>
        <v>#VALUE!</v>
      </c>
      <c r="BF134" s="10" t="e">
        <f t="shared" si="146"/>
        <v>#VALUE!</v>
      </c>
      <c r="BG134" s="10" t="e">
        <f t="shared" si="93"/>
        <v>#VALUE!</v>
      </c>
      <c r="BH134" s="10" t="e">
        <f t="shared" si="117"/>
        <v>#VALUE!</v>
      </c>
      <c r="BI134" s="10" t="e">
        <f t="shared" si="118"/>
        <v>#VALUE!</v>
      </c>
      <c r="BJ134" s="10" t="e">
        <f t="shared" si="119"/>
        <v>#VALUE!</v>
      </c>
      <c r="BK134" s="10" t="e">
        <f t="shared" si="147"/>
        <v>#VALUE!</v>
      </c>
      <c r="BL134" s="10" t="e">
        <f t="shared" si="94"/>
        <v>#VALUE!</v>
      </c>
      <c r="BM134" s="10" t="e">
        <f t="shared" si="148"/>
        <v>#VALUE!</v>
      </c>
      <c r="BP134" s="10" t="e">
        <f t="shared" si="120"/>
        <v>#VALUE!</v>
      </c>
      <c r="BQ134" s="10" t="e">
        <f t="shared" si="121"/>
        <v>#VALUE!</v>
      </c>
      <c r="BR134" s="10" t="e">
        <f t="shared" si="122"/>
        <v>#VALUE!</v>
      </c>
      <c r="BS134" s="10" t="e">
        <f t="shared" si="123"/>
        <v>#VALUE!</v>
      </c>
      <c r="BT134" s="10" t="e">
        <f t="shared" si="124"/>
        <v>#VALUE!</v>
      </c>
      <c r="BU134" s="10" t="e">
        <f t="shared" si="125"/>
        <v>#VALUE!</v>
      </c>
      <c r="BW134" s="10" t="e">
        <f t="shared" si="126"/>
        <v>#VALUE!</v>
      </c>
      <c r="BX134" s="10" t="e">
        <f t="shared" si="127"/>
        <v>#VALUE!</v>
      </c>
      <c r="BY134" s="10" t="e">
        <f t="shared" si="128"/>
        <v>#VALUE!</v>
      </c>
      <c r="BZ134" s="10" t="e">
        <f t="shared" si="129"/>
        <v>#VALUE!</v>
      </c>
      <c r="CA134" s="10" t="e">
        <f t="shared" si="130"/>
        <v>#VALUE!</v>
      </c>
      <c r="CB134" s="10" t="e">
        <f t="shared" si="131"/>
        <v>#VALUE!</v>
      </c>
      <c r="CD134" s="10" t="e">
        <f>MATCH(INDEX($BP$12:$BU$12,1,MATCH(BP134,$BP$15:$BU$15,0)),结果汇总!$AI$10:$AI$13,0)</f>
        <v>#VALUE!</v>
      </c>
      <c r="CE134" s="10" t="e">
        <f>MATCH(INDEX($BP$12:$BU$12,1,MATCH(BQ134,$BP$15:$BU$15,0)),结果汇总!$AI$10:$AI$13,0)</f>
        <v>#VALUE!</v>
      </c>
      <c r="CF134" s="10" t="e">
        <f>MATCH(INDEX($BP$12:$BU$12,1,MATCH(BR134,$BP$15:$BU$15,0)),结果汇总!$AI$10:$AI$13,0)</f>
        <v>#VALUE!</v>
      </c>
      <c r="CG134" s="10" t="e">
        <f>MATCH(INDEX($BP$12:$BU$12,1,MATCH(BS134,$BP$15:$BU$15,0)),结果汇总!$AI$10:$AI$13,0)</f>
        <v>#VALUE!</v>
      </c>
      <c r="CH134" s="10" t="e">
        <f>MATCH(INDEX($BP$12:$BU$12,1,MATCH(BT134,$BP$15:$BU$15,0)),结果汇总!$AI$10:$AI$13,0)</f>
        <v>#VALUE!</v>
      </c>
      <c r="CI134" s="10" t="e">
        <f>MATCH(INDEX($BP$12:$BU$12,1,MATCH(BU134,$BP$15:$BU$15,0)),结果汇总!$AI$10:$AI$13,0)</f>
        <v>#VALUE!</v>
      </c>
      <c r="CK134" s="10">
        <f t="shared" si="149"/>
        <v>0</v>
      </c>
      <c r="CL134" s="10">
        <f t="shared" si="149"/>
        <v>0</v>
      </c>
      <c r="CM134" s="10">
        <f t="shared" si="149"/>
        <v>0</v>
      </c>
      <c r="CN134" s="10">
        <f t="shared" si="149"/>
        <v>0</v>
      </c>
      <c r="CO134" s="10">
        <f t="shared" si="150"/>
        <v>0</v>
      </c>
      <c r="CP134" s="10">
        <f t="shared" si="150"/>
        <v>0</v>
      </c>
      <c r="CQ134" s="10">
        <f t="shared" si="150"/>
        <v>0</v>
      </c>
      <c r="CR134" s="10">
        <f t="shared" si="150"/>
        <v>0</v>
      </c>
      <c r="CS134" s="10" t="e">
        <f t="shared" si="151"/>
        <v>#DIV/0!</v>
      </c>
      <c r="CT134" s="10" t="e">
        <f t="shared" si="151"/>
        <v>#DIV/0!</v>
      </c>
      <c r="CU134" s="10" t="e">
        <f t="shared" si="151"/>
        <v>#DIV/0!</v>
      </c>
      <c r="CV134" s="10" t="e">
        <f t="shared" si="151"/>
        <v>#DIV/0!</v>
      </c>
      <c r="CW134" s="10">
        <f t="shared" si="152"/>
        <v>0</v>
      </c>
      <c r="CX134" s="10">
        <f t="shared" si="152"/>
        <v>0</v>
      </c>
      <c r="CY134" s="10">
        <f t="shared" si="152"/>
        <v>0</v>
      </c>
      <c r="CZ134" s="10">
        <f t="shared" si="152"/>
        <v>0</v>
      </c>
    </row>
    <row r="135" spans="4:104" x14ac:dyDescent="0.15">
      <c r="D135" s="10">
        <v>120</v>
      </c>
      <c r="E135" s="10" t="e">
        <f t="shared" si="95"/>
        <v>#VALUE!</v>
      </c>
      <c r="F135" s="10" t="e">
        <f t="shared" si="79"/>
        <v>#VALUE!</v>
      </c>
      <c r="G135" s="10" t="e">
        <f t="shared" si="80"/>
        <v>#VALUE!</v>
      </c>
      <c r="H135" s="10" t="e">
        <f t="shared" si="96"/>
        <v>#VALUE!</v>
      </c>
      <c r="I135" s="10" t="e">
        <f t="shared" si="81"/>
        <v>#VALUE!</v>
      </c>
      <c r="J135" s="10" t="e">
        <f t="shared" si="97"/>
        <v>#VALUE!</v>
      </c>
      <c r="K135" s="10" t="e">
        <f t="shared" si="82"/>
        <v>#VALUE!</v>
      </c>
      <c r="L135" s="10" t="e">
        <f t="shared" si="83"/>
        <v>#VALUE!</v>
      </c>
      <c r="M135" s="10" t="e">
        <f t="shared" si="98"/>
        <v>#VALUE!</v>
      </c>
      <c r="O135" s="10" t="e">
        <f t="shared" si="99"/>
        <v>#VALUE!</v>
      </c>
      <c r="P135" s="10" t="e">
        <f t="shared" si="84"/>
        <v>#VALUE!</v>
      </c>
      <c r="Q135" s="10" t="e">
        <f t="shared" si="85"/>
        <v>#VALUE!</v>
      </c>
      <c r="R135" s="10" t="e">
        <f t="shared" si="100"/>
        <v>#VALUE!</v>
      </c>
      <c r="S135" s="10" t="e">
        <f t="shared" si="101"/>
        <v>#VALUE!</v>
      </c>
      <c r="T135" s="10" t="e">
        <f t="shared" si="136"/>
        <v>#VALUE!</v>
      </c>
      <c r="U135" s="10" t="e">
        <f t="shared" si="137"/>
        <v>#VALUE!</v>
      </c>
      <c r="V135" s="10" t="e">
        <f t="shared" si="86"/>
        <v>#VALUE!</v>
      </c>
      <c r="W135" s="10" t="e">
        <f t="shared" si="102"/>
        <v>#VALUE!</v>
      </c>
      <c r="Y135" s="10" t="e">
        <f t="shared" si="103"/>
        <v>#VALUE!</v>
      </c>
      <c r="Z135" s="11" t="e">
        <f t="shared" si="104"/>
        <v>#VALUE!</v>
      </c>
      <c r="AA135" s="10" t="e">
        <f t="shared" si="87"/>
        <v>#VALUE!</v>
      </c>
      <c r="AB135" s="10" t="e">
        <f t="shared" si="105"/>
        <v>#VALUE!</v>
      </c>
      <c r="AC135" s="10" t="e">
        <f t="shared" si="106"/>
        <v>#VALUE!</v>
      </c>
      <c r="AD135" s="10" t="e">
        <f t="shared" si="138"/>
        <v>#VALUE!</v>
      </c>
      <c r="AE135" s="10" t="e">
        <f t="shared" si="139"/>
        <v>#VALUE!</v>
      </c>
      <c r="AF135" s="10" t="e">
        <f t="shared" si="88"/>
        <v>#VALUE!</v>
      </c>
      <c r="AG135" s="10" t="e">
        <f t="shared" si="107"/>
        <v>#VALUE!</v>
      </c>
      <c r="AI135" s="13"/>
      <c r="AK135" s="10" t="e">
        <f t="shared" si="108"/>
        <v>#VALUE!</v>
      </c>
      <c r="AL135" s="10" t="e">
        <f t="shared" si="140"/>
        <v>#VALUE!</v>
      </c>
      <c r="AM135" s="10" t="e">
        <f t="shared" si="89"/>
        <v>#VALUE!</v>
      </c>
      <c r="AN135" s="10" t="e">
        <f t="shared" si="109"/>
        <v>#VALUE!</v>
      </c>
      <c r="AO135" s="10" t="e">
        <f t="shared" si="110"/>
        <v>#VALUE!</v>
      </c>
      <c r="AP135" s="10" t="e">
        <f t="shared" si="111"/>
        <v>#VALUE!</v>
      </c>
      <c r="AQ135" s="10" t="e">
        <f t="shared" si="141"/>
        <v>#VALUE!</v>
      </c>
      <c r="AR135" s="10" t="e">
        <f t="shared" si="90"/>
        <v>#VALUE!</v>
      </c>
      <c r="AS135" s="10" t="e">
        <f t="shared" si="142"/>
        <v>#VALUE!</v>
      </c>
      <c r="AU135" s="10" t="e">
        <f t="shared" si="112"/>
        <v>#VALUE!</v>
      </c>
      <c r="AV135" s="10" t="e">
        <f t="shared" si="143"/>
        <v>#VALUE!</v>
      </c>
      <c r="AW135" s="10" t="e">
        <f t="shared" si="91"/>
        <v>#VALUE!</v>
      </c>
      <c r="AX135" s="10" t="e">
        <f t="shared" si="113"/>
        <v>#VALUE!</v>
      </c>
      <c r="AY135" s="10" t="e">
        <f t="shared" si="114"/>
        <v>#VALUE!</v>
      </c>
      <c r="AZ135" s="10" t="e">
        <f t="shared" si="115"/>
        <v>#VALUE!</v>
      </c>
      <c r="BA135" s="10" t="e">
        <f t="shared" si="144"/>
        <v>#VALUE!</v>
      </c>
      <c r="BB135" s="10" t="e">
        <f t="shared" si="92"/>
        <v>#VALUE!</v>
      </c>
      <c r="BC135" s="10" t="e">
        <f t="shared" si="145"/>
        <v>#VALUE!</v>
      </c>
      <c r="BE135" s="10" t="e">
        <f t="shared" si="116"/>
        <v>#VALUE!</v>
      </c>
      <c r="BF135" s="10" t="e">
        <f t="shared" si="146"/>
        <v>#VALUE!</v>
      </c>
      <c r="BG135" s="10" t="e">
        <f t="shared" si="93"/>
        <v>#VALUE!</v>
      </c>
      <c r="BH135" s="10" t="e">
        <f t="shared" si="117"/>
        <v>#VALUE!</v>
      </c>
      <c r="BI135" s="10" t="e">
        <f t="shared" si="118"/>
        <v>#VALUE!</v>
      </c>
      <c r="BJ135" s="10" t="e">
        <f t="shared" si="119"/>
        <v>#VALUE!</v>
      </c>
      <c r="BK135" s="10" t="e">
        <f t="shared" si="147"/>
        <v>#VALUE!</v>
      </c>
      <c r="BL135" s="10" t="e">
        <f t="shared" si="94"/>
        <v>#VALUE!</v>
      </c>
      <c r="BM135" s="10" t="e">
        <f t="shared" si="148"/>
        <v>#VALUE!</v>
      </c>
      <c r="BP135" s="10" t="e">
        <f t="shared" si="120"/>
        <v>#VALUE!</v>
      </c>
      <c r="BQ135" s="10" t="e">
        <f t="shared" si="121"/>
        <v>#VALUE!</v>
      </c>
      <c r="BR135" s="10" t="e">
        <f t="shared" si="122"/>
        <v>#VALUE!</v>
      </c>
      <c r="BS135" s="10" t="e">
        <f t="shared" si="123"/>
        <v>#VALUE!</v>
      </c>
      <c r="BT135" s="10" t="e">
        <f t="shared" si="124"/>
        <v>#VALUE!</v>
      </c>
      <c r="BU135" s="10" t="e">
        <f t="shared" si="125"/>
        <v>#VALUE!</v>
      </c>
      <c r="BW135" s="10" t="e">
        <f t="shared" si="126"/>
        <v>#VALUE!</v>
      </c>
      <c r="BX135" s="10" t="e">
        <f t="shared" si="127"/>
        <v>#VALUE!</v>
      </c>
      <c r="BY135" s="10" t="e">
        <f t="shared" si="128"/>
        <v>#VALUE!</v>
      </c>
      <c r="BZ135" s="10" t="e">
        <f t="shared" si="129"/>
        <v>#VALUE!</v>
      </c>
      <c r="CA135" s="10" t="e">
        <f t="shared" si="130"/>
        <v>#VALUE!</v>
      </c>
      <c r="CB135" s="10" t="e">
        <f t="shared" si="131"/>
        <v>#VALUE!</v>
      </c>
      <c r="CD135" s="10" t="e">
        <f>MATCH(INDEX($BP$12:$BU$12,1,MATCH(BP135,$BP$15:$BU$15,0)),结果汇总!$AI$10:$AI$13,0)</f>
        <v>#VALUE!</v>
      </c>
      <c r="CE135" s="10" t="e">
        <f>MATCH(INDEX($BP$12:$BU$12,1,MATCH(BQ135,$BP$15:$BU$15,0)),结果汇总!$AI$10:$AI$13,0)</f>
        <v>#VALUE!</v>
      </c>
      <c r="CF135" s="10" t="e">
        <f>MATCH(INDEX($BP$12:$BU$12,1,MATCH(BR135,$BP$15:$BU$15,0)),结果汇总!$AI$10:$AI$13,0)</f>
        <v>#VALUE!</v>
      </c>
      <c r="CG135" s="10" t="e">
        <f>MATCH(INDEX($BP$12:$BU$12,1,MATCH(BS135,$BP$15:$BU$15,0)),结果汇总!$AI$10:$AI$13,0)</f>
        <v>#VALUE!</v>
      </c>
      <c r="CH135" s="10" t="e">
        <f>MATCH(INDEX($BP$12:$BU$12,1,MATCH(BT135,$BP$15:$BU$15,0)),结果汇总!$AI$10:$AI$13,0)</f>
        <v>#VALUE!</v>
      </c>
      <c r="CI135" s="10" t="e">
        <f>MATCH(INDEX($BP$12:$BU$12,1,MATCH(BU135,$BP$15:$BU$15,0)),结果汇总!$AI$10:$AI$13,0)</f>
        <v>#VALUE!</v>
      </c>
      <c r="CK135" s="10">
        <f t="shared" si="149"/>
        <v>0</v>
      </c>
      <c r="CL135" s="10">
        <f t="shared" si="149"/>
        <v>0</v>
      </c>
      <c r="CM135" s="10">
        <f t="shared" si="149"/>
        <v>0</v>
      </c>
      <c r="CN135" s="10">
        <f t="shared" si="149"/>
        <v>0</v>
      </c>
      <c r="CO135" s="10">
        <f t="shared" si="150"/>
        <v>0</v>
      </c>
      <c r="CP135" s="10">
        <f t="shared" si="150"/>
        <v>0</v>
      </c>
      <c r="CQ135" s="10">
        <f t="shared" si="150"/>
        <v>0</v>
      </c>
      <c r="CR135" s="10">
        <f t="shared" si="150"/>
        <v>0</v>
      </c>
      <c r="CS135" s="10" t="e">
        <f t="shared" si="151"/>
        <v>#DIV/0!</v>
      </c>
      <c r="CT135" s="10" t="e">
        <f t="shared" si="151"/>
        <v>#DIV/0!</v>
      </c>
      <c r="CU135" s="10" t="e">
        <f t="shared" si="151"/>
        <v>#DIV/0!</v>
      </c>
      <c r="CV135" s="10" t="e">
        <f t="shared" si="151"/>
        <v>#DIV/0!</v>
      </c>
      <c r="CW135" s="10">
        <f t="shared" si="152"/>
        <v>0</v>
      </c>
      <c r="CX135" s="10">
        <f t="shared" si="152"/>
        <v>0</v>
      </c>
      <c r="CY135" s="10">
        <f t="shared" si="152"/>
        <v>0</v>
      </c>
      <c r="CZ135" s="10">
        <f t="shared" si="152"/>
        <v>0</v>
      </c>
    </row>
  </sheetData>
  <mergeCells count="6">
    <mergeCell ref="CW14:CZ14"/>
    <mergeCell ref="I2:I3"/>
    <mergeCell ref="O9:O10"/>
    <mergeCell ref="CK14:CN14"/>
    <mergeCell ref="CO14:CR14"/>
    <mergeCell ref="CS14:CV14"/>
  </mergeCells>
  <phoneticPr fontId="2" type="noConversion"/>
  <dataValidations count="1">
    <dataValidation type="list" allowBlank="1" showInputMessage="1" showErrorMessage="1" sqref="F2:H2" xr:uid="{00000000-0002-0000-0500-000000000000}">
      <formula1>$R$10:$R$13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结果汇总!$AI$10:$AI$13</xm:f>
          </x14:formula1>
          <xm:sqref>J2:L2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Excel 4.0 宏</vt:lpstr>
      </vt:variant>
      <vt:variant>
        <vt:i4>1</vt:i4>
      </vt:variant>
    </vt:vector>
  </HeadingPairs>
  <TitlesOfParts>
    <vt:vector size="7" baseType="lpstr">
      <vt:lpstr>结果汇总</vt:lpstr>
      <vt:lpstr>正常战斗1</vt:lpstr>
      <vt:lpstr>正常战斗2</vt:lpstr>
      <vt:lpstr>正常战斗3</vt:lpstr>
      <vt:lpstr>绕后战斗1</vt:lpstr>
      <vt:lpstr>绕后战斗2</vt:lpstr>
      <vt:lpstr>宏1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User</cp:lastModifiedBy>
  <dcterms:created xsi:type="dcterms:W3CDTF">2006-09-16T00:00:00Z</dcterms:created>
  <dcterms:modified xsi:type="dcterms:W3CDTF">2023-07-19T08:15:33Z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